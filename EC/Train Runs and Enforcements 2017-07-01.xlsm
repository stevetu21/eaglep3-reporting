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queryTables/queryTable1.xml" ContentType="application/vnd.openxmlformats-officedocument.spreadsheetml.queryTable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7329" codeName="{7FF41506-D638-49D5-72EF-22EC70B826FC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stu\Documents\GitHub\eaglep3-reporting\EC\"/>
    </mc:Choice>
  </mc:AlternateContent>
  <bookViews>
    <workbookView xWindow="0" yWindow="0" windowWidth="15300" windowHeight="7470"/>
  </bookViews>
  <sheets>
    <sheet name="Train Runs" sheetId="1" r:id="rId1"/>
    <sheet name="Enforcements" sheetId="3" r:id="rId2"/>
    <sheet name="Missing Trips" sheetId="6" r:id="rId3"/>
    <sheet name="Trips&amp;Operators" sheetId="4" r:id="rId4"/>
    <sheet name="Weather" sheetId="8" r:id="rId5"/>
    <sheet name="Variables" sheetId="5" r:id="rId6"/>
    <sheet name="Redmine List Values" sheetId="7" r:id="rId7"/>
    <sheet name="Slice Disagreement Check" sheetId="9" r:id="rId8"/>
  </sheets>
  <functionGroups builtInGroupCount="18"/>
  <externalReferences>
    <externalReference r:id="rId9"/>
    <externalReference r:id="rId10"/>
  </externalReferences>
  <definedNames>
    <definedName name="_xlnm._FilterDatabase" localSheetId="1" hidden="1">Enforcements!$A$6:$AC$74</definedName>
    <definedName name="_xlnm._FilterDatabase" localSheetId="2" hidden="1">'Missing Trips'!$A$2:$J$52</definedName>
    <definedName name="_xlnm._FilterDatabase" localSheetId="0" hidden="1">'Train Runs'!$A$12:$AG$271</definedName>
    <definedName name="_xlnm._FilterDatabase" localSheetId="3" hidden="1">'Trips&amp;Operators'!$A$1:$E$211</definedName>
    <definedName name="astrogrep_path">Variables!$M$18</definedName>
    <definedName name="Denver_Train_Runs_04122016" localSheetId="0">'Train Runs'!$A$12:$J$72</definedName>
    <definedName name="dls3logs">Variables!$M$31</definedName>
    <definedName name="enforcements_txt">Variables!$M$27</definedName>
    <definedName name="outputrefinedruntimes">Variables!$M$25</definedName>
    <definedName name="redm_api_key">[1]Constants!$B$4</definedName>
    <definedName name="redm_url">[1]Constants!$B$5</definedName>
    <definedName name="redmine_api">'Redmine List Values'!$I$1</definedName>
    <definedName name="redmine_api_wcr">'Redmine List Values'!$J$1</definedName>
    <definedName name="redmine_assignee">'Redmine List Values'!$I$5</definedName>
    <definedName name="redmine_assignee_wcr">'Redmine List Values'!$J$5</definedName>
    <definedName name="redmine_op_impact">'Redmine List Values'!$I$6</definedName>
    <definedName name="redmine_priority">'Redmine List Values'!$I$4</definedName>
    <definedName name="redmine_priority_wcr">'Redmine List Values'!$J$4</definedName>
    <definedName name="redmine_status">'Redmine List Values'!$I$3</definedName>
    <definedName name="redmine_status_wcr">'Redmine List Values'!$J$3</definedName>
    <definedName name="redmine_status2">'Redmine List Values'!$J$3</definedName>
    <definedName name="redmine_url">'Redmine List Values'!$I$2</definedName>
    <definedName name="redmine_url_wcr">'Redmine List Values'!$J$2</definedName>
    <definedName name="redmine_url2">'Redmine List Values'!$J$2</definedName>
    <definedName name="RefinedRTDCRunTimesOutputFile">Variables!$M$26</definedName>
    <definedName name="refinertdcruntimes">Variables!$M$24</definedName>
    <definedName name="runsrefined_txt">Variables!$M$28</definedName>
    <definedName name="s3_bucket">Variables!$M$21</definedName>
    <definedName name="search_path">Variables!$M$19</definedName>
    <definedName name="search_regexp">Variables!$M$20</definedName>
    <definedName name="SubdivInfo">Variables!$AC$3:$AF$8</definedName>
    <definedName name="trips_txt">Variables!$M$29</definedName>
    <definedName name="utc_offset">Variables!$M$23</definedName>
    <definedName name="walkandungz">Variables!$M$22</definedName>
    <definedName name="weather_txt">Variables!$M$30</definedName>
  </definedName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K14" i="1" l="1"/>
  <c r="L14" i="1"/>
  <c r="M14" i="1"/>
  <c r="N14" i="1" s="1"/>
  <c r="V14" i="1"/>
  <c r="Y14" i="1"/>
  <c r="Z14" i="1"/>
  <c r="AB14" i="1"/>
  <c r="AC14" i="1"/>
  <c r="AD14" i="1"/>
  <c r="T14" i="1" s="1"/>
  <c r="AE14" i="1"/>
  <c r="AF14" i="1"/>
  <c r="AH14" i="1"/>
  <c r="AM14" i="1"/>
  <c r="AN14" i="1"/>
  <c r="K15" i="1"/>
  <c r="L15" i="1"/>
  <c r="M15" i="1"/>
  <c r="N15" i="1" s="1"/>
  <c r="V15" i="1"/>
  <c r="Y15" i="1"/>
  <c r="Z15" i="1"/>
  <c r="AB15" i="1"/>
  <c r="AC15" i="1"/>
  <c r="AD15" i="1"/>
  <c r="T15" i="1" s="1"/>
  <c r="AE15" i="1"/>
  <c r="AF15" i="1"/>
  <c r="AH15" i="1"/>
  <c r="AM15" i="1"/>
  <c r="AN15" i="1"/>
  <c r="K16" i="1"/>
  <c r="L16" i="1"/>
  <c r="M16" i="1"/>
  <c r="N16" i="1" s="1"/>
  <c r="V16" i="1"/>
  <c r="Y16" i="1"/>
  <c r="Z16" i="1"/>
  <c r="AB16" i="1"/>
  <c r="AC16" i="1"/>
  <c r="AD16" i="1"/>
  <c r="AE16" i="1"/>
  <c r="AF16" i="1"/>
  <c r="AH16" i="1"/>
  <c r="AM16" i="1"/>
  <c r="AN16" i="1"/>
  <c r="K17" i="1"/>
  <c r="L17" i="1"/>
  <c r="M17" i="1"/>
  <c r="P17" i="1" s="1"/>
  <c r="V17" i="1"/>
  <c r="Y17" i="1"/>
  <c r="Z17" i="1"/>
  <c r="AB17" i="1"/>
  <c r="AC17" i="1"/>
  <c r="AD17" i="1"/>
  <c r="T17" i="1" s="1"/>
  <c r="AE17" i="1"/>
  <c r="AF17" i="1"/>
  <c r="AH17" i="1"/>
  <c r="AM17" i="1"/>
  <c r="AN17" i="1"/>
  <c r="K18" i="1"/>
  <c r="L18" i="1"/>
  <c r="M18" i="1"/>
  <c r="V18" i="1"/>
  <c r="S27" i="3" s="1"/>
  <c r="Y18" i="1"/>
  <c r="Z18" i="1"/>
  <c r="AB18" i="1"/>
  <c r="AC18" i="1"/>
  <c r="AD18" i="1"/>
  <c r="T18" i="1" s="1"/>
  <c r="AE18" i="1"/>
  <c r="AF18" i="1"/>
  <c r="AH18" i="1"/>
  <c r="AM18" i="1"/>
  <c r="AN18" i="1"/>
  <c r="K19" i="1"/>
  <c r="L19" i="1"/>
  <c r="M19" i="1"/>
  <c r="V19" i="1"/>
  <c r="Y19" i="1"/>
  <c r="Z19" i="1"/>
  <c r="AB19" i="1"/>
  <c r="AC19" i="1"/>
  <c r="AD19" i="1"/>
  <c r="T19" i="1" s="1"/>
  <c r="AE19" i="1"/>
  <c r="AF19" i="1"/>
  <c r="AH19" i="1"/>
  <c r="AM19" i="1"/>
  <c r="AN19" i="1"/>
  <c r="K20" i="1"/>
  <c r="L20" i="1"/>
  <c r="M20" i="1"/>
  <c r="N20" i="1" s="1"/>
  <c r="V20" i="1"/>
  <c r="Y20" i="1"/>
  <c r="Z20" i="1"/>
  <c r="AB20" i="1"/>
  <c r="AC20" i="1"/>
  <c r="AD20" i="1"/>
  <c r="AE20" i="1"/>
  <c r="AF20" i="1"/>
  <c r="AH20" i="1"/>
  <c r="AM20" i="1"/>
  <c r="AN20" i="1"/>
  <c r="K21" i="1"/>
  <c r="L21" i="1"/>
  <c r="M21" i="1"/>
  <c r="N21" i="1" s="1"/>
  <c r="V21" i="1"/>
  <c r="Y21" i="1"/>
  <c r="Z21" i="1"/>
  <c r="AB21" i="1"/>
  <c r="AC21" i="1"/>
  <c r="AD21" i="1"/>
  <c r="T21" i="1" s="1"/>
  <c r="AE21" i="1"/>
  <c r="AF21" i="1"/>
  <c r="AH21" i="1"/>
  <c r="AM21" i="1"/>
  <c r="AN21" i="1"/>
  <c r="K22" i="1"/>
  <c r="L22" i="1"/>
  <c r="M22" i="1"/>
  <c r="N22" i="1" s="1"/>
  <c r="V22" i="1"/>
  <c r="Y22" i="1"/>
  <c r="Z22" i="1"/>
  <c r="AA22" i="1" s="1"/>
  <c r="AB22" i="1"/>
  <c r="AC22" i="1"/>
  <c r="AD22" i="1"/>
  <c r="T22" i="1" s="1"/>
  <c r="AE22" i="1"/>
  <c r="AF22" i="1"/>
  <c r="AH22" i="1"/>
  <c r="AM22" i="1"/>
  <c r="AN22" i="1"/>
  <c r="K23" i="1"/>
  <c r="L23" i="1"/>
  <c r="M23" i="1"/>
  <c r="N23" i="1" s="1"/>
  <c r="V23" i="1"/>
  <c r="Y23" i="1"/>
  <c r="Z23" i="1"/>
  <c r="AB23" i="1"/>
  <c r="AC23" i="1"/>
  <c r="AD23" i="1"/>
  <c r="T23" i="1" s="1"/>
  <c r="AE23" i="1"/>
  <c r="AF23" i="1"/>
  <c r="AH23" i="1"/>
  <c r="AM23" i="1"/>
  <c r="AN23" i="1"/>
  <c r="K24" i="1"/>
  <c r="L24" i="1"/>
  <c r="M24" i="1"/>
  <c r="N24" i="1" s="1"/>
  <c r="V24" i="1"/>
  <c r="Y24" i="1"/>
  <c r="Z24" i="1"/>
  <c r="AB24" i="1"/>
  <c r="AC24" i="1"/>
  <c r="AD24" i="1"/>
  <c r="AE24" i="1"/>
  <c r="AF24" i="1"/>
  <c r="AH24" i="1"/>
  <c r="AM24" i="1"/>
  <c r="AN24" i="1"/>
  <c r="K25" i="1"/>
  <c r="L25" i="1"/>
  <c r="M25" i="1"/>
  <c r="N25" i="1" s="1"/>
  <c r="T25" i="1"/>
  <c r="V25" i="1"/>
  <c r="X25" i="1"/>
  <c r="Y25" i="1"/>
  <c r="Z25" i="1"/>
  <c r="AA25" i="1" s="1"/>
  <c r="AB25" i="1"/>
  <c r="AC25" i="1"/>
  <c r="AD25" i="1"/>
  <c r="AE25" i="1"/>
  <c r="AF25" i="1"/>
  <c r="AH25" i="1"/>
  <c r="AM25" i="1"/>
  <c r="AN25" i="1"/>
  <c r="K26" i="1"/>
  <c r="L26" i="1"/>
  <c r="M26" i="1"/>
  <c r="N26" i="1" s="1"/>
  <c r="V26" i="1"/>
  <c r="Y26" i="1"/>
  <c r="Z26" i="1"/>
  <c r="AB26" i="1"/>
  <c r="AC26" i="1"/>
  <c r="AD26" i="1"/>
  <c r="T26" i="1" s="1"/>
  <c r="AE26" i="1"/>
  <c r="AF26" i="1"/>
  <c r="AH26" i="1"/>
  <c r="AM26" i="1"/>
  <c r="AN26" i="1"/>
  <c r="K27" i="1"/>
  <c r="L27" i="1"/>
  <c r="M27" i="1"/>
  <c r="N27" i="1" s="1"/>
  <c r="V27" i="1"/>
  <c r="Y27" i="1"/>
  <c r="Z27" i="1"/>
  <c r="AA27" i="1" s="1"/>
  <c r="AB27" i="1"/>
  <c r="AC27" i="1"/>
  <c r="AD27" i="1"/>
  <c r="T27" i="1" s="1"/>
  <c r="AE27" i="1"/>
  <c r="R28" i="3" s="1"/>
  <c r="AF27" i="1"/>
  <c r="AH27" i="1"/>
  <c r="AM27" i="1"/>
  <c r="AN27" i="1"/>
  <c r="K28" i="1"/>
  <c r="L28" i="1"/>
  <c r="M28" i="1"/>
  <c r="N28" i="1" s="1"/>
  <c r="V28" i="1"/>
  <c r="Y28" i="1"/>
  <c r="Z28" i="1"/>
  <c r="AB28" i="1"/>
  <c r="AC28" i="1"/>
  <c r="AD28" i="1"/>
  <c r="X28" i="1" s="1"/>
  <c r="AE28" i="1"/>
  <c r="AF28" i="1"/>
  <c r="AH28" i="1"/>
  <c r="AM28" i="1"/>
  <c r="AN28" i="1"/>
  <c r="K29" i="1"/>
  <c r="L29" i="1"/>
  <c r="M29" i="1"/>
  <c r="N29" i="1" s="1"/>
  <c r="V29" i="1"/>
  <c r="Y29" i="1"/>
  <c r="Z29" i="1"/>
  <c r="AB29" i="1"/>
  <c r="AC29" i="1"/>
  <c r="AD29" i="1"/>
  <c r="T29" i="1" s="1"/>
  <c r="AE29" i="1"/>
  <c r="AF29" i="1"/>
  <c r="AH29" i="1"/>
  <c r="AM29" i="1"/>
  <c r="AN29" i="1"/>
  <c r="K30" i="1"/>
  <c r="L30" i="1"/>
  <c r="M30" i="1"/>
  <c r="N30" i="1" s="1"/>
  <c r="V30" i="1"/>
  <c r="Y30" i="1"/>
  <c r="Z30" i="1"/>
  <c r="AB30" i="1"/>
  <c r="AC30" i="1"/>
  <c r="AD30" i="1"/>
  <c r="AE30" i="1"/>
  <c r="AF30" i="1"/>
  <c r="AH30" i="1"/>
  <c r="AM30" i="1"/>
  <c r="AN30" i="1"/>
  <c r="K31" i="1"/>
  <c r="L31" i="1"/>
  <c r="M31" i="1"/>
  <c r="N31" i="1" s="1"/>
  <c r="V31" i="1"/>
  <c r="Y31" i="1"/>
  <c r="Z31" i="1"/>
  <c r="AB31" i="1"/>
  <c r="AC31" i="1"/>
  <c r="AD31" i="1"/>
  <c r="T31" i="1" s="1"/>
  <c r="AE31" i="1"/>
  <c r="AF31" i="1"/>
  <c r="AH31" i="1"/>
  <c r="AM31" i="1"/>
  <c r="AN31" i="1"/>
  <c r="K32" i="1"/>
  <c r="L32" i="1"/>
  <c r="M32" i="1"/>
  <c r="N32" i="1" s="1"/>
  <c r="V32" i="1"/>
  <c r="Y32" i="1"/>
  <c r="Z32" i="1"/>
  <c r="AB32" i="1"/>
  <c r="AC32" i="1"/>
  <c r="AD32" i="1"/>
  <c r="AE32" i="1"/>
  <c r="AF32" i="1"/>
  <c r="AH32" i="1"/>
  <c r="AM32" i="1"/>
  <c r="AN32" i="1"/>
  <c r="K33" i="1"/>
  <c r="L33" i="1"/>
  <c r="M33" i="1"/>
  <c r="N33" i="1" s="1"/>
  <c r="V33" i="1"/>
  <c r="Y33" i="1"/>
  <c r="Z33" i="1"/>
  <c r="AB33" i="1"/>
  <c r="AC33" i="1"/>
  <c r="AD33" i="1"/>
  <c r="T33" i="1" s="1"/>
  <c r="AE33" i="1"/>
  <c r="AF33" i="1"/>
  <c r="AH33" i="1"/>
  <c r="AM33" i="1"/>
  <c r="AN33" i="1"/>
  <c r="K34" i="1"/>
  <c r="L34" i="1"/>
  <c r="M34" i="1"/>
  <c r="N34" i="1" s="1"/>
  <c r="V34" i="1"/>
  <c r="Y34" i="1"/>
  <c r="Z34" i="1"/>
  <c r="AB34" i="1"/>
  <c r="AC34" i="1"/>
  <c r="AD34" i="1"/>
  <c r="AE34" i="1"/>
  <c r="AF34" i="1"/>
  <c r="AH34" i="1"/>
  <c r="AM34" i="1"/>
  <c r="AN34" i="1"/>
  <c r="K35" i="1"/>
  <c r="L35" i="1"/>
  <c r="M35" i="1"/>
  <c r="N35" i="1" s="1"/>
  <c r="V35" i="1"/>
  <c r="Y35" i="1"/>
  <c r="Z35" i="1"/>
  <c r="AA35" i="1" s="1"/>
  <c r="AB35" i="1"/>
  <c r="AC35" i="1"/>
  <c r="AD35" i="1"/>
  <c r="T35" i="1" s="1"/>
  <c r="AE35" i="1"/>
  <c r="AF35" i="1"/>
  <c r="AH35" i="1"/>
  <c r="AM35" i="1"/>
  <c r="AN35" i="1"/>
  <c r="K36" i="1"/>
  <c r="L36" i="1"/>
  <c r="M36" i="1"/>
  <c r="N36" i="1" s="1"/>
  <c r="V36" i="1"/>
  <c r="Y36" i="1"/>
  <c r="Z36" i="1"/>
  <c r="AB36" i="1"/>
  <c r="AC36" i="1"/>
  <c r="AD36" i="1"/>
  <c r="X36" i="1" s="1"/>
  <c r="AE36" i="1"/>
  <c r="AF36" i="1"/>
  <c r="AH36" i="1"/>
  <c r="AM36" i="1"/>
  <c r="AN36" i="1"/>
  <c r="K37" i="1"/>
  <c r="L37" i="1"/>
  <c r="M37" i="1"/>
  <c r="N37" i="1" s="1"/>
  <c r="V37" i="1"/>
  <c r="Y37" i="1"/>
  <c r="Z37" i="1"/>
  <c r="AB37" i="1"/>
  <c r="AC37" i="1"/>
  <c r="AD37" i="1"/>
  <c r="T37" i="1" s="1"/>
  <c r="AE37" i="1"/>
  <c r="AF37" i="1"/>
  <c r="AH37" i="1"/>
  <c r="AM37" i="1"/>
  <c r="AN37" i="1"/>
  <c r="K38" i="1"/>
  <c r="L38" i="1"/>
  <c r="M38" i="1"/>
  <c r="N38" i="1" s="1"/>
  <c r="V38" i="1"/>
  <c r="Y38" i="1"/>
  <c r="Z38" i="1"/>
  <c r="AB38" i="1"/>
  <c r="AC38" i="1"/>
  <c r="AD38" i="1"/>
  <c r="T38" i="1" s="1"/>
  <c r="AE38" i="1"/>
  <c r="AF38" i="1"/>
  <c r="AH38" i="1"/>
  <c r="AM38" i="1"/>
  <c r="AN38" i="1"/>
  <c r="K39" i="1"/>
  <c r="L39" i="1"/>
  <c r="M39" i="1"/>
  <c r="N39" i="1" s="1"/>
  <c r="V39" i="1"/>
  <c r="Y39" i="1"/>
  <c r="Z39" i="1"/>
  <c r="AB39" i="1"/>
  <c r="AC39" i="1"/>
  <c r="AD39" i="1"/>
  <c r="T39" i="1" s="1"/>
  <c r="AE39" i="1"/>
  <c r="AF39" i="1"/>
  <c r="AH39" i="1"/>
  <c r="AM39" i="1"/>
  <c r="AN39" i="1"/>
  <c r="K40" i="1"/>
  <c r="L40" i="1"/>
  <c r="M40" i="1"/>
  <c r="N40" i="1" s="1"/>
  <c r="V40" i="1"/>
  <c r="Y40" i="1"/>
  <c r="Z40" i="1"/>
  <c r="AB40" i="1"/>
  <c r="AC40" i="1"/>
  <c r="AD40" i="1"/>
  <c r="T40" i="1" s="1"/>
  <c r="AE40" i="1"/>
  <c r="AF40" i="1"/>
  <c r="AH40" i="1"/>
  <c r="AM40" i="1"/>
  <c r="AN40" i="1"/>
  <c r="K41" i="1"/>
  <c r="L41" i="1"/>
  <c r="M41" i="1"/>
  <c r="N41" i="1" s="1"/>
  <c r="V41" i="1"/>
  <c r="Y41" i="1"/>
  <c r="Z41" i="1"/>
  <c r="AB41" i="1"/>
  <c r="AC41" i="1"/>
  <c r="AD41" i="1"/>
  <c r="AE41" i="1"/>
  <c r="AF41" i="1"/>
  <c r="AH41" i="1"/>
  <c r="AM41" i="1"/>
  <c r="AN41" i="1"/>
  <c r="K42" i="1"/>
  <c r="L42" i="1"/>
  <c r="M42" i="1"/>
  <c r="N42" i="1" s="1"/>
  <c r="V42" i="1"/>
  <c r="Y42" i="1"/>
  <c r="Z42" i="1"/>
  <c r="AB42" i="1"/>
  <c r="AC42" i="1"/>
  <c r="AD42" i="1"/>
  <c r="T42" i="1" s="1"/>
  <c r="AE42" i="1"/>
  <c r="AF42" i="1"/>
  <c r="AH42" i="1"/>
  <c r="AM42" i="1"/>
  <c r="AN42" i="1"/>
  <c r="K43" i="1"/>
  <c r="L43" i="1"/>
  <c r="M43" i="1"/>
  <c r="N43" i="1" s="1"/>
  <c r="V43" i="1"/>
  <c r="Y43" i="1"/>
  <c r="Z43" i="1"/>
  <c r="AB43" i="1"/>
  <c r="AC43" i="1"/>
  <c r="AD43" i="1"/>
  <c r="T43" i="1" s="1"/>
  <c r="AE43" i="1"/>
  <c r="AF43" i="1"/>
  <c r="AH43" i="1"/>
  <c r="AM43" i="1"/>
  <c r="AN43" i="1"/>
  <c r="K44" i="1"/>
  <c r="L44" i="1"/>
  <c r="M44" i="1"/>
  <c r="N44" i="1" s="1"/>
  <c r="V44" i="1"/>
  <c r="Y44" i="1"/>
  <c r="Z44" i="1"/>
  <c r="AB44" i="1"/>
  <c r="AC44" i="1"/>
  <c r="AD44" i="1"/>
  <c r="T44" i="1" s="1"/>
  <c r="AE44" i="1"/>
  <c r="AF44" i="1"/>
  <c r="AH44" i="1"/>
  <c r="AM44" i="1"/>
  <c r="AN44" i="1"/>
  <c r="K45" i="1"/>
  <c r="L45" i="1"/>
  <c r="M45" i="1"/>
  <c r="N45" i="1" s="1"/>
  <c r="V45" i="1"/>
  <c r="Y45" i="1"/>
  <c r="Z45" i="1"/>
  <c r="AB45" i="1"/>
  <c r="AC45" i="1"/>
  <c r="AD45" i="1"/>
  <c r="AE45" i="1"/>
  <c r="AF45" i="1"/>
  <c r="AH45" i="1"/>
  <c r="AM45" i="1"/>
  <c r="AN45" i="1"/>
  <c r="K46" i="1"/>
  <c r="L46" i="1"/>
  <c r="M46" i="1"/>
  <c r="N46" i="1" s="1"/>
  <c r="V46" i="1"/>
  <c r="Y46" i="1"/>
  <c r="Z46" i="1"/>
  <c r="AB46" i="1"/>
  <c r="AC46" i="1"/>
  <c r="AD46" i="1"/>
  <c r="T46" i="1" s="1"/>
  <c r="AE46" i="1"/>
  <c r="AF46" i="1"/>
  <c r="AH46" i="1"/>
  <c r="AM46" i="1"/>
  <c r="AN46" i="1"/>
  <c r="K47" i="1"/>
  <c r="L47" i="1"/>
  <c r="M47" i="1"/>
  <c r="N47" i="1" s="1"/>
  <c r="V47" i="1"/>
  <c r="Y47" i="1"/>
  <c r="Z47" i="1"/>
  <c r="AB47" i="1"/>
  <c r="AC47" i="1"/>
  <c r="AD47" i="1"/>
  <c r="T47" i="1" s="1"/>
  <c r="AE47" i="1"/>
  <c r="AF47" i="1"/>
  <c r="AH47" i="1"/>
  <c r="AM47" i="1"/>
  <c r="AN47" i="1"/>
  <c r="K48" i="1"/>
  <c r="L48" i="1"/>
  <c r="M48" i="1"/>
  <c r="N48" i="1" s="1"/>
  <c r="V48" i="1"/>
  <c r="Y48" i="1"/>
  <c r="Z48" i="1"/>
  <c r="AB48" i="1"/>
  <c r="AC48" i="1"/>
  <c r="AD48" i="1"/>
  <c r="T48" i="1" s="1"/>
  <c r="AE48" i="1"/>
  <c r="AF48" i="1"/>
  <c r="AH48" i="1"/>
  <c r="AM48" i="1"/>
  <c r="AN48" i="1"/>
  <c r="K49" i="1"/>
  <c r="L49" i="1"/>
  <c r="M49" i="1"/>
  <c r="N49" i="1" s="1"/>
  <c r="V49" i="1"/>
  <c r="Y49" i="1"/>
  <c r="Z49" i="1"/>
  <c r="AB49" i="1"/>
  <c r="AC49" i="1"/>
  <c r="AD49" i="1"/>
  <c r="AE49" i="1"/>
  <c r="AF49" i="1"/>
  <c r="AH49" i="1"/>
  <c r="AM49" i="1"/>
  <c r="AN49" i="1"/>
  <c r="K50" i="1"/>
  <c r="L50" i="1"/>
  <c r="M50" i="1"/>
  <c r="N50" i="1" s="1"/>
  <c r="V50" i="1"/>
  <c r="Y50" i="1"/>
  <c r="Z50" i="1"/>
  <c r="AB50" i="1"/>
  <c r="AC50" i="1"/>
  <c r="AD50" i="1"/>
  <c r="AE50" i="1"/>
  <c r="AF50" i="1"/>
  <c r="AH50" i="1"/>
  <c r="AM50" i="1"/>
  <c r="AN50" i="1"/>
  <c r="K51" i="1"/>
  <c r="L51" i="1"/>
  <c r="M51" i="1"/>
  <c r="N51" i="1" s="1"/>
  <c r="V51" i="1"/>
  <c r="Y51" i="1"/>
  <c r="Z51" i="1"/>
  <c r="AA51" i="1" s="1"/>
  <c r="AB51" i="1"/>
  <c r="AC51" i="1"/>
  <c r="AD51" i="1"/>
  <c r="T51" i="1" s="1"/>
  <c r="AE51" i="1"/>
  <c r="AF51" i="1"/>
  <c r="AH51" i="1"/>
  <c r="AM51" i="1"/>
  <c r="AN51" i="1"/>
  <c r="K52" i="1"/>
  <c r="L52" i="1"/>
  <c r="M52" i="1"/>
  <c r="N52" i="1" s="1"/>
  <c r="V52" i="1"/>
  <c r="Y52" i="1"/>
  <c r="Z52" i="1"/>
  <c r="AB52" i="1"/>
  <c r="AC52" i="1"/>
  <c r="AD52" i="1"/>
  <c r="T52" i="1" s="1"/>
  <c r="AE52" i="1"/>
  <c r="AF52" i="1"/>
  <c r="AH52" i="1"/>
  <c r="AM52" i="1"/>
  <c r="AN52" i="1"/>
  <c r="K53" i="1"/>
  <c r="L53" i="1"/>
  <c r="M53" i="1"/>
  <c r="N53" i="1" s="1"/>
  <c r="V53" i="1"/>
  <c r="Y53" i="1"/>
  <c r="Z53" i="1"/>
  <c r="AB53" i="1"/>
  <c r="AC53" i="1"/>
  <c r="AD53" i="1"/>
  <c r="AE53" i="1"/>
  <c r="AF53" i="1"/>
  <c r="AH53" i="1"/>
  <c r="AM53" i="1"/>
  <c r="AN53" i="1"/>
  <c r="K54" i="1"/>
  <c r="L54" i="1"/>
  <c r="M54" i="1"/>
  <c r="N54" i="1" s="1"/>
  <c r="V54" i="1"/>
  <c r="Y54" i="1"/>
  <c r="Z54" i="1"/>
  <c r="AB54" i="1"/>
  <c r="AC54" i="1"/>
  <c r="AD54" i="1"/>
  <c r="T54" i="1" s="1"/>
  <c r="AE54" i="1"/>
  <c r="AF54" i="1"/>
  <c r="AH54" i="1"/>
  <c r="AM54" i="1"/>
  <c r="AN54" i="1"/>
  <c r="K55" i="1"/>
  <c r="L55" i="1"/>
  <c r="M55" i="1"/>
  <c r="N55" i="1" s="1"/>
  <c r="V55" i="1"/>
  <c r="Y55" i="1"/>
  <c r="Z55" i="1"/>
  <c r="AB55" i="1"/>
  <c r="AC55" i="1"/>
  <c r="AD55" i="1"/>
  <c r="T55" i="1" s="1"/>
  <c r="AE55" i="1"/>
  <c r="AF55" i="1"/>
  <c r="AH55" i="1"/>
  <c r="AM55" i="1"/>
  <c r="AN55" i="1"/>
  <c r="K56" i="1"/>
  <c r="L56" i="1"/>
  <c r="M56" i="1"/>
  <c r="N56" i="1" s="1"/>
  <c r="V56" i="1"/>
  <c r="Y56" i="1"/>
  <c r="Z56" i="1"/>
  <c r="AB56" i="1"/>
  <c r="AC56" i="1"/>
  <c r="AD56" i="1"/>
  <c r="AE56" i="1"/>
  <c r="AF56" i="1"/>
  <c r="AH56" i="1"/>
  <c r="AM56" i="1"/>
  <c r="AN56" i="1"/>
  <c r="K57" i="1"/>
  <c r="L57" i="1"/>
  <c r="M57" i="1"/>
  <c r="N57" i="1" s="1"/>
  <c r="V57" i="1"/>
  <c r="Y57" i="1"/>
  <c r="Z57" i="1"/>
  <c r="AB57" i="1"/>
  <c r="AC57" i="1"/>
  <c r="AD57" i="1"/>
  <c r="T57" i="1" s="1"/>
  <c r="AE57" i="1"/>
  <c r="AF57" i="1"/>
  <c r="AH57" i="1"/>
  <c r="AM57" i="1"/>
  <c r="AN57" i="1"/>
  <c r="K58" i="1"/>
  <c r="L58" i="1"/>
  <c r="M58" i="1"/>
  <c r="N58" i="1" s="1"/>
  <c r="V58" i="1"/>
  <c r="Y58" i="1"/>
  <c r="Z58" i="1"/>
  <c r="AB58" i="1"/>
  <c r="AC58" i="1"/>
  <c r="AD58" i="1"/>
  <c r="T58" i="1" s="1"/>
  <c r="AE58" i="1"/>
  <c r="AF58" i="1"/>
  <c r="AH58" i="1"/>
  <c r="AM58" i="1"/>
  <c r="AN58" i="1"/>
  <c r="K59" i="1"/>
  <c r="L59" i="1"/>
  <c r="M59" i="1"/>
  <c r="N59" i="1" s="1"/>
  <c r="V59" i="1"/>
  <c r="Y59" i="1"/>
  <c r="Z59" i="1"/>
  <c r="AA59" i="1" s="1"/>
  <c r="AB59" i="1"/>
  <c r="AC59" i="1"/>
  <c r="AD59" i="1"/>
  <c r="T59" i="1" s="1"/>
  <c r="AE59" i="1"/>
  <c r="AF59" i="1"/>
  <c r="AH59" i="1"/>
  <c r="AM59" i="1"/>
  <c r="AN59" i="1"/>
  <c r="K60" i="1"/>
  <c r="L60" i="1"/>
  <c r="M60" i="1"/>
  <c r="N60" i="1" s="1"/>
  <c r="V60" i="1"/>
  <c r="Y60" i="1"/>
  <c r="Z60" i="1"/>
  <c r="AB60" i="1"/>
  <c r="AC60" i="1"/>
  <c r="AD60" i="1"/>
  <c r="AE60" i="1"/>
  <c r="AF60" i="1"/>
  <c r="AH60" i="1"/>
  <c r="AM60" i="1"/>
  <c r="AN60" i="1"/>
  <c r="K61" i="1"/>
  <c r="L61" i="1"/>
  <c r="M61" i="1"/>
  <c r="N61" i="1" s="1"/>
  <c r="V61" i="1"/>
  <c r="Y61" i="1"/>
  <c r="Z61" i="1"/>
  <c r="AA61" i="1" s="1"/>
  <c r="AB61" i="1"/>
  <c r="AC61" i="1"/>
  <c r="AD61" i="1"/>
  <c r="T61" i="1" s="1"/>
  <c r="AE61" i="1"/>
  <c r="AF61" i="1"/>
  <c r="AH61" i="1"/>
  <c r="AM61" i="1"/>
  <c r="AN61" i="1"/>
  <c r="K62" i="1"/>
  <c r="L62" i="1"/>
  <c r="M62" i="1"/>
  <c r="N62" i="1"/>
  <c r="V62" i="1"/>
  <c r="Y62" i="1"/>
  <c r="AA62" i="1" s="1"/>
  <c r="Z62" i="1"/>
  <c r="AB62" i="1"/>
  <c r="AC62" i="1"/>
  <c r="AD62" i="1"/>
  <c r="T62" i="1" s="1"/>
  <c r="AE62" i="1"/>
  <c r="AF62" i="1"/>
  <c r="AH62" i="1"/>
  <c r="AM62" i="1"/>
  <c r="AN62" i="1"/>
  <c r="K63" i="1"/>
  <c r="L63" i="1"/>
  <c r="M63" i="1"/>
  <c r="N63" i="1" s="1"/>
  <c r="V63" i="1"/>
  <c r="Y63" i="1"/>
  <c r="Z63" i="1"/>
  <c r="AB63" i="1"/>
  <c r="AC63" i="1"/>
  <c r="AD63" i="1"/>
  <c r="T63" i="1" s="1"/>
  <c r="AE63" i="1"/>
  <c r="AF63" i="1"/>
  <c r="AH63" i="1"/>
  <c r="AM63" i="1"/>
  <c r="AN63" i="1"/>
  <c r="K64" i="1"/>
  <c r="L64" i="1"/>
  <c r="M64" i="1"/>
  <c r="N64" i="1" s="1"/>
  <c r="V64" i="1"/>
  <c r="Y64" i="1"/>
  <c r="Z64" i="1"/>
  <c r="AB64" i="1"/>
  <c r="AC64" i="1"/>
  <c r="AD64" i="1"/>
  <c r="AE64" i="1"/>
  <c r="AF64" i="1"/>
  <c r="AH64" i="1"/>
  <c r="AM64" i="1"/>
  <c r="AN64" i="1"/>
  <c r="K65" i="1"/>
  <c r="L65" i="1"/>
  <c r="M65" i="1"/>
  <c r="N65" i="1" s="1"/>
  <c r="V65" i="1"/>
  <c r="Y65" i="1"/>
  <c r="Z65" i="1"/>
  <c r="AB65" i="1"/>
  <c r="AC65" i="1"/>
  <c r="AD65" i="1"/>
  <c r="T65" i="1" s="1"/>
  <c r="AE65" i="1"/>
  <c r="AF65" i="1"/>
  <c r="AH65" i="1"/>
  <c r="AM65" i="1"/>
  <c r="AN65" i="1"/>
  <c r="K66" i="1"/>
  <c r="L66" i="1"/>
  <c r="M66" i="1"/>
  <c r="N66" i="1" s="1"/>
  <c r="V66" i="1"/>
  <c r="Y66" i="1"/>
  <c r="Z66" i="1"/>
  <c r="AB66" i="1"/>
  <c r="AC66" i="1"/>
  <c r="AD66" i="1"/>
  <c r="T66" i="1" s="1"/>
  <c r="AE66" i="1"/>
  <c r="AF66" i="1"/>
  <c r="AH66" i="1"/>
  <c r="AM66" i="1"/>
  <c r="AN66" i="1"/>
  <c r="K67" i="1"/>
  <c r="L67" i="1"/>
  <c r="M67" i="1"/>
  <c r="N67" i="1" s="1"/>
  <c r="V67" i="1"/>
  <c r="Y67" i="1"/>
  <c r="Z67" i="1"/>
  <c r="AB67" i="1"/>
  <c r="AC67" i="1"/>
  <c r="AD67" i="1"/>
  <c r="T67" i="1" s="1"/>
  <c r="AE67" i="1"/>
  <c r="AF67" i="1"/>
  <c r="AH67" i="1"/>
  <c r="AM67" i="1"/>
  <c r="AN67" i="1"/>
  <c r="K68" i="1"/>
  <c r="L68" i="1"/>
  <c r="M68" i="1"/>
  <c r="N68" i="1" s="1"/>
  <c r="V68" i="1"/>
  <c r="Y68" i="1"/>
  <c r="Z68" i="1"/>
  <c r="AB68" i="1"/>
  <c r="AC68" i="1"/>
  <c r="AD68" i="1"/>
  <c r="AE68" i="1"/>
  <c r="AF68" i="1"/>
  <c r="AH68" i="1"/>
  <c r="AM68" i="1"/>
  <c r="AN68" i="1"/>
  <c r="K69" i="1"/>
  <c r="L69" i="1"/>
  <c r="M69" i="1"/>
  <c r="V69" i="1"/>
  <c r="S22" i="3" s="1"/>
  <c r="Y69" i="1"/>
  <c r="Z69" i="1"/>
  <c r="AB69" i="1"/>
  <c r="AC69" i="1"/>
  <c r="AD69" i="1"/>
  <c r="T69" i="1" s="1"/>
  <c r="AE69" i="1"/>
  <c r="AF69" i="1"/>
  <c r="AH69" i="1"/>
  <c r="AM69" i="1"/>
  <c r="AN69" i="1"/>
  <c r="K70" i="1"/>
  <c r="L70" i="1"/>
  <c r="M70" i="1"/>
  <c r="V70" i="1"/>
  <c r="Y70" i="1"/>
  <c r="Z70" i="1"/>
  <c r="AB70" i="1"/>
  <c r="AC70" i="1"/>
  <c r="AD70" i="1"/>
  <c r="T70" i="1" s="1"/>
  <c r="AE70" i="1"/>
  <c r="AF70" i="1"/>
  <c r="AH70" i="1"/>
  <c r="AM70" i="1"/>
  <c r="AN70" i="1"/>
  <c r="K71" i="1"/>
  <c r="L71" i="1"/>
  <c r="M71" i="1"/>
  <c r="N71" i="1" s="1"/>
  <c r="V71" i="1"/>
  <c r="X71" i="1"/>
  <c r="Y71" i="1"/>
  <c r="Z71" i="1"/>
  <c r="AA71" i="1" s="1"/>
  <c r="AB71" i="1"/>
  <c r="AC71" i="1"/>
  <c r="AD71" i="1"/>
  <c r="T71" i="1" s="1"/>
  <c r="AE71" i="1"/>
  <c r="AF71" i="1"/>
  <c r="AH71" i="1"/>
  <c r="AM71" i="1"/>
  <c r="AN71" i="1"/>
  <c r="K72" i="1"/>
  <c r="L72" i="1"/>
  <c r="M72" i="1"/>
  <c r="N72" i="1" s="1"/>
  <c r="V72" i="1"/>
  <c r="Y72" i="1"/>
  <c r="Z72" i="1"/>
  <c r="AB72" i="1"/>
  <c r="AC72" i="1"/>
  <c r="AD72" i="1"/>
  <c r="AE72" i="1"/>
  <c r="AF72" i="1"/>
  <c r="AH72" i="1"/>
  <c r="AM72" i="1"/>
  <c r="AN72" i="1"/>
  <c r="K73" i="1"/>
  <c r="L73" i="1"/>
  <c r="M73" i="1"/>
  <c r="N73" i="1" s="1"/>
  <c r="V73" i="1"/>
  <c r="Y73" i="1"/>
  <c r="Z73" i="1"/>
  <c r="AA73" i="1" s="1"/>
  <c r="AB73" i="1"/>
  <c r="AC73" i="1"/>
  <c r="AD73" i="1"/>
  <c r="T73" i="1" s="1"/>
  <c r="AE73" i="1"/>
  <c r="AF73" i="1"/>
  <c r="AH73" i="1"/>
  <c r="AM73" i="1"/>
  <c r="AN73" i="1"/>
  <c r="K74" i="1"/>
  <c r="L74" i="1"/>
  <c r="M74" i="1"/>
  <c r="N74" i="1"/>
  <c r="V74" i="1"/>
  <c r="Y74" i="1"/>
  <c r="AA74" i="1" s="1"/>
  <c r="Z74" i="1"/>
  <c r="AB74" i="1"/>
  <c r="AC74" i="1"/>
  <c r="AD74" i="1"/>
  <c r="T74" i="1" s="1"/>
  <c r="AE74" i="1"/>
  <c r="AF74" i="1"/>
  <c r="AH74" i="1"/>
  <c r="AM74" i="1"/>
  <c r="AN74" i="1"/>
  <c r="K75" i="1"/>
  <c r="L75" i="1"/>
  <c r="M75" i="1"/>
  <c r="N75" i="1" s="1"/>
  <c r="V75" i="1"/>
  <c r="Y75" i="1"/>
  <c r="Z75" i="1"/>
  <c r="AB75" i="1"/>
  <c r="AC75" i="1"/>
  <c r="AD75" i="1"/>
  <c r="T75" i="1" s="1"/>
  <c r="AE75" i="1"/>
  <c r="AF75" i="1"/>
  <c r="AH75" i="1"/>
  <c r="AM75" i="1"/>
  <c r="AN75" i="1"/>
  <c r="K76" i="1"/>
  <c r="L76" i="1"/>
  <c r="M76" i="1"/>
  <c r="N76" i="1" s="1"/>
  <c r="V76" i="1"/>
  <c r="Y76" i="1"/>
  <c r="Z76" i="1"/>
  <c r="AB76" i="1"/>
  <c r="AC76" i="1"/>
  <c r="AD76" i="1"/>
  <c r="AE76" i="1"/>
  <c r="AF76" i="1"/>
  <c r="AH76" i="1"/>
  <c r="AM76" i="1"/>
  <c r="AN76" i="1"/>
  <c r="K77" i="1"/>
  <c r="L77" i="1"/>
  <c r="M77" i="1"/>
  <c r="N77" i="1" s="1"/>
  <c r="V77" i="1"/>
  <c r="Y77" i="1"/>
  <c r="Z77" i="1"/>
  <c r="AB77" i="1"/>
  <c r="AC77" i="1"/>
  <c r="AD77" i="1"/>
  <c r="T77" i="1" s="1"/>
  <c r="AE77" i="1"/>
  <c r="AF77" i="1"/>
  <c r="AH77" i="1"/>
  <c r="AM77" i="1"/>
  <c r="AN77" i="1"/>
  <c r="K78" i="1"/>
  <c r="L78" i="1"/>
  <c r="M78" i="1"/>
  <c r="N78" i="1" s="1"/>
  <c r="V78" i="1"/>
  <c r="S8" i="3" s="1"/>
  <c r="Y78" i="1"/>
  <c r="Z78" i="1"/>
  <c r="AB78" i="1"/>
  <c r="AC78" i="1"/>
  <c r="AD78" i="1"/>
  <c r="T78" i="1" s="1"/>
  <c r="AE78" i="1"/>
  <c r="AF78" i="1"/>
  <c r="AH78" i="1"/>
  <c r="AM78" i="1"/>
  <c r="AN78" i="1"/>
  <c r="K79" i="1"/>
  <c r="L79" i="1"/>
  <c r="M79" i="1"/>
  <c r="N79" i="1" s="1"/>
  <c r="V79" i="1"/>
  <c r="Y79" i="1"/>
  <c r="Z79" i="1"/>
  <c r="AB79" i="1"/>
  <c r="AC79" i="1"/>
  <c r="AD79" i="1"/>
  <c r="T79" i="1" s="1"/>
  <c r="AE79" i="1"/>
  <c r="AF79" i="1"/>
  <c r="AH79" i="1"/>
  <c r="AM79" i="1"/>
  <c r="AN79" i="1"/>
  <c r="K80" i="1"/>
  <c r="L80" i="1"/>
  <c r="M80" i="1"/>
  <c r="N80" i="1" s="1"/>
  <c r="V80" i="1"/>
  <c r="S31" i="3" s="1"/>
  <c r="Y80" i="1"/>
  <c r="Z80" i="1"/>
  <c r="AB80" i="1"/>
  <c r="AC80" i="1"/>
  <c r="AD80" i="1"/>
  <c r="T80" i="1" s="1"/>
  <c r="AE80" i="1"/>
  <c r="R31" i="3" s="1"/>
  <c r="AF80" i="1"/>
  <c r="AH80" i="1"/>
  <c r="AM80" i="1"/>
  <c r="AN80" i="1"/>
  <c r="K81" i="1"/>
  <c r="L81" i="1"/>
  <c r="M81" i="1"/>
  <c r="N81" i="1" s="1"/>
  <c r="V81" i="1"/>
  <c r="Y81" i="1"/>
  <c r="Z81" i="1"/>
  <c r="AB81" i="1"/>
  <c r="AC81" i="1"/>
  <c r="AD81" i="1"/>
  <c r="T81" i="1" s="1"/>
  <c r="AE81" i="1"/>
  <c r="AF81" i="1"/>
  <c r="AH81" i="1"/>
  <c r="AM81" i="1"/>
  <c r="AN81" i="1"/>
  <c r="K82" i="1"/>
  <c r="L82" i="1"/>
  <c r="M82" i="1"/>
  <c r="N82" i="1" s="1"/>
  <c r="V82" i="1"/>
  <c r="Y82" i="1"/>
  <c r="Z82" i="1"/>
  <c r="AB82" i="1"/>
  <c r="AC82" i="1"/>
  <c r="AD82" i="1"/>
  <c r="T82" i="1" s="1"/>
  <c r="AE82" i="1"/>
  <c r="AF82" i="1"/>
  <c r="AH82" i="1"/>
  <c r="AM82" i="1"/>
  <c r="AN82" i="1"/>
  <c r="K83" i="1"/>
  <c r="L83" i="1"/>
  <c r="M83" i="1"/>
  <c r="N83" i="1" s="1"/>
  <c r="V83" i="1"/>
  <c r="Y83" i="1"/>
  <c r="Z83" i="1"/>
  <c r="AB83" i="1"/>
  <c r="AC83" i="1"/>
  <c r="AD83" i="1"/>
  <c r="AE83" i="1"/>
  <c r="AF83" i="1"/>
  <c r="AH83" i="1"/>
  <c r="AM83" i="1"/>
  <c r="AN83" i="1"/>
  <c r="K84" i="1"/>
  <c r="L84" i="1"/>
  <c r="M84" i="1"/>
  <c r="N84" i="1" s="1"/>
  <c r="V84" i="1"/>
  <c r="Y84" i="1"/>
  <c r="Z84" i="1"/>
  <c r="AB84" i="1"/>
  <c r="AC84" i="1"/>
  <c r="AD84" i="1"/>
  <c r="T84" i="1" s="1"/>
  <c r="AE84" i="1"/>
  <c r="AF84" i="1"/>
  <c r="AH84" i="1"/>
  <c r="AM84" i="1"/>
  <c r="AN84" i="1"/>
  <c r="K85" i="1"/>
  <c r="L85" i="1"/>
  <c r="M85" i="1"/>
  <c r="N85" i="1" s="1"/>
  <c r="V85" i="1"/>
  <c r="Y85" i="1"/>
  <c r="Z85" i="1"/>
  <c r="AB85" i="1"/>
  <c r="AC85" i="1"/>
  <c r="AD85" i="1"/>
  <c r="T85" i="1" s="1"/>
  <c r="AE85" i="1"/>
  <c r="AF85" i="1"/>
  <c r="AH85" i="1"/>
  <c r="AM85" i="1"/>
  <c r="AN85" i="1"/>
  <c r="K86" i="1"/>
  <c r="L86" i="1"/>
  <c r="M86" i="1"/>
  <c r="N86" i="1" s="1"/>
  <c r="V86" i="1"/>
  <c r="Y86" i="1"/>
  <c r="Z86" i="1"/>
  <c r="AB86" i="1"/>
  <c r="AC86" i="1"/>
  <c r="AD86" i="1"/>
  <c r="X86" i="1" s="1"/>
  <c r="AE86" i="1"/>
  <c r="AF86" i="1"/>
  <c r="AH86" i="1"/>
  <c r="AM86" i="1"/>
  <c r="AN86" i="1"/>
  <c r="K87" i="1"/>
  <c r="L87" i="1"/>
  <c r="M87" i="1"/>
  <c r="N87" i="1" s="1"/>
  <c r="V87" i="1"/>
  <c r="Y87" i="1"/>
  <c r="Z87" i="1"/>
  <c r="AB87" i="1"/>
  <c r="AC87" i="1"/>
  <c r="AD87" i="1"/>
  <c r="T87" i="1" s="1"/>
  <c r="AE87" i="1"/>
  <c r="R18" i="3" s="1"/>
  <c r="AF87" i="1"/>
  <c r="AH87" i="1"/>
  <c r="AM87" i="1"/>
  <c r="AN87" i="1"/>
  <c r="K88" i="1"/>
  <c r="L88" i="1"/>
  <c r="M88" i="1"/>
  <c r="N88" i="1" s="1"/>
  <c r="V88" i="1"/>
  <c r="Y88" i="1"/>
  <c r="Z88" i="1"/>
  <c r="AB88" i="1"/>
  <c r="AC88" i="1"/>
  <c r="AD88" i="1"/>
  <c r="T88" i="1" s="1"/>
  <c r="AE88" i="1"/>
  <c r="AF88" i="1"/>
  <c r="AH88" i="1"/>
  <c r="AM88" i="1"/>
  <c r="AN88" i="1"/>
  <c r="K89" i="1"/>
  <c r="L89" i="1"/>
  <c r="M89" i="1"/>
  <c r="N89" i="1" s="1"/>
  <c r="V89" i="1"/>
  <c r="Y89" i="1"/>
  <c r="Z89" i="1"/>
  <c r="AB89" i="1"/>
  <c r="AC89" i="1"/>
  <c r="AD89" i="1"/>
  <c r="T89" i="1" s="1"/>
  <c r="AE89" i="1"/>
  <c r="AF89" i="1"/>
  <c r="AH89" i="1"/>
  <c r="AM89" i="1"/>
  <c r="AN89" i="1"/>
  <c r="K90" i="1"/>
  <c r="L90" i="1"/>
  <c r="M90" i="1"/>
  <c r="N90" i="1" s="1"/>
  <c r="V90" i="1"/>
  <c r="Y90" i="1"/>
  <c r="Z90" i="1"/>
  <c r="AB90" i="1"/>
  <c r="AC90" i="1"/>
  <c r="AD90" i="1"/>
  <c r="AE90" i="1"/>
  <c r="AF90" i="1"/>
  <c r="AH90" i="1"/>
  <c r="AM90" i="1"/>
  <c r="AN90" i="1"/>
  <c r="K91" i="1"/>
  <c r="L91" i="1"/>
  <c r="M91" i="1"/>
  <c r="P91" i="1" s="1"/>
  <c r="V91" i="1"/>
  <c r="Y91" i="1"/>
  <c r="Z91" i="1"/>
  <c r="AB91" i="1"/>
  <c r="AC91" i="1"/>
  <c r="AD91" i="1"/>
  <c r="T91" i="1" s="1"/>
  <c r="AE91" i="1"/>
  <c r="R34" i="3" s="1"/>
  <c r="AF91" i="1"/>
  <c r="AH91" i="1"/>
  <c r="AM91" i="1"/>
  <c r="AN91" i="1"/>
  <c r="K92" i="1"/>
  <c r="L92" i="1"/>
  <c r="M92" i="1"/>
  <c r="N92" i="1" s="1"/>
  <c r="V92" i="1"/>
  <c r="S32" i="3" s="1"/>
  <c r="Y92" i="1"/>
  <c r="Z92" i="1"/>
  <c r="AB92" i="1"/>
  <c r="AC92" i="1"/>
  <c r="AD92" i="1"/>
  <c r="T92" i="1" s="1"/>
  <c r="AE92" i="1"/>
  <c r="AF92" i="1"/>
  <c r="AH92" i="1"/>
  <c r="AM92" i="1"/>
  <c r="AN92" i="1"/>
  <c r="K93" i="1"/>
  <c r="L93" i="1"/>
  <c r="M93" i="1"/>
  <c r="N93" i="1" s="1"/>
  <c r="V93" i="1"/>
  <c r="Y93" i="1"/>
  <c r="Z93" i="1"/>
  <c r="AB93" i="1"/>
  <c r="AC93" i="1"/>
  <c r="AD93" i="1"/>
  <c r="T93" i="1" s="1"/>
  <c r="AE93" i="1"/>
  <c r="AF93" i="1"/>
  <c r="AH93" i="1"/>
  <c r="AM93" i="1"/>
  <c r="AN93" i="1"/>
  <c r="K94" i="1"/>
  <c r="L94" i="1"/>
  <c r="M94" i="1"/>
  <c r="N94" i="1" s="1"/>
  <c r="V94" i="1"/>
  <c r="Y94" i="1"/>
  <c r="Z94" i="1"/>
  <c r="AB94" i="1"/>
  <c r="AC94" i="1"/>
  <c r="AD94" i="1"/>
  <c r="T94" i="1" s="1"/>
  <c r="AE94" i="1"/>
  <c r="AF94" i="1"/>
  <c r="AH94" i="1"/>
  <c r="AM94" i="1"/>
  <c r="AN94" i="1"/>
  <c r="K161" i="1"/>
  <c r="L161" i="1"/>
  <c r="M161" i="1"/>
  <c r="N161" i="1" s="1"/>
  <c r="V161" i="1"/>
  <c r="Y161" i="1"/>
  <c r="Z161" i="1"/>
  <c r="AB161" i="1"/>
  <c r="AC161" i="1"/>
  <c r="AD161" i="1"/>
  <c r="T161" i="1" s="1"/>
  <c r="AE161" i="1"/>
  <c r="AF161" i="1"/>
  <c r="AH95" i="1"/>
  <c r="AM95" i="1"/>
  <c r="AN95" i="1"/>
  <c r="K162" i="1"/>
  <c r="L162" i="1"/>
  <c r="M162" i="1"/>
  <c r="N162" i="1" s="1"/>
  <c r="V162" i="1"/>
  <c r="S41" i="3" s="1"/>
  <c r="Y162" i="1"/>
  <c r="Z162" i="1"/>
  <c r="AB162" i="1"/>
  <c r="AC162" i="1"/>
  <c r="AD162" i="1"/>
  <c r="T162" i="1" s="1"/>
  <c r="AE162" i="1"/>
  <c r="R41" i="3" s="1"/>
  <c r="AF162" i="1"/>
  <c r="AH96" i="1"/>
  <c r="AM96" i="1"/>
  <c r="AN96" i="1"/>
  <c r="K163" i="1"/>
  <c r="L163" i="1"/>
  <c r="M163" i="1"/>
  <c r="N163" i="1" s="1"/>
  <c r="V163" i="1"/>
  <c r="Y163" i="1"/>
  <c r="Z163" i="1"/>
  <c r="AB163" i="1"/>
  <c r="AC163" i="1"/>
  <c r="AD163" i="1"/>
  <c r="T163" i="1" s="1"/>
  <c r="AE163" i="1"/>
  <c r="AF163" i="1"/>
  <c r="AH97" i="1"/>
  <c r="AM97" i="1"/>
  <c r="AN97" i="1"/>
  <c r="K164" i="1"/>
  <c r="L164" i="1"/>
  <c r="M164" i="1"/>
  <c r="N164" i="1" s="1"/>
  <c r="V164" i="1"/>
  <c r="Y164" i="1"/>
  <c r="Z164" i="1"/>
  <c r="AB164" i="1"/>
  <c r="AC164" i="1"/>
  <c r="AD164" i="1"/>
  <c r="X164" i="1" s="1"/>
  <c r="AE164" i="1"/>
  <c r="AF164" i="1"/>
  <c r="AH98" i="1"/>
  <c r="AM98" i="1"/>
  <c r="AN98" i="1"/>
  <c r="K165" i="1"/>
  <c r="L165" i="1"/>
  <c r="M165" i="1"/>
  <c r="N165" i="1" s="1"/>
  <c r="V165" i="1"/>
  <c r="Y165" i="1"/>
  <c r="Z165" i="1"/>
  <c r="AB165" i="1"/>
  <c r="AC165" i="1"/>
  <c r="AD165" i="1"/>
  <c r="T165" i="1" s="1"/>
  <c r="AE165" i="1"/>
  <c r="AF165" i="1"/>
  <c r="AH99" i="1"/>
  <c r="AM99" i="1"/>
  <c r="AN99" i="1"/>
  <c r="K166" i="1"/>
  <c r="L166" i="1"/>
  <c r="M166" i="1"/>
  <c r="N166" i="1" s="1"/>
  <c r="V166" i="1"/>
  <c r="Y166" i="1"/>
  <c r="Z166" i="1"/>
  <c r="AB166" i="1"/>
  <c r="AC166" i="1"/>
  <c r="AD166" i="1"/>
  <c r="T166" i="1" s="1"/>
  <c r="AE166" i="1"/>
  <c r="R43" i="3" s="1"/>
  <c r="AF166" i="1"/>
  <c r="AH100" i="1"/>
  <c r="AM100" i="1"/>
  <c r="AN100" i="1"/>
  <c r="K167" i="1"/>
  <c r="L167" i="1"/>
  <c r="M167" i="1"/>
  <c r="N167" i="1" s="1"/>
  <c r="V167" i="1"/>
  <c r="Y167" i="1"/>
  <c r="Z167" i="1"/>
  <c r="AB167" i="1"/>
  <c r="AC167" i="1"/>
  <c r="AD167" i="1"/>
  <c r="T167" i="1" s="1"/>
  <c r="AE167" i="1"/>
  <c r="AF167" i="1"/>
  <c r="AH101" i="1"/>
  <c r="AM101" i="1"/>
  <c r="AN101" i="1"/>
  <c r="K168" i="1"/>
  <c r="L168" i="1"/>
  <c r="M168" i="1"/>
  <c r="N168" i="1" s="1"/>
  <c r="V168" i="1"/>
  <c r="Y168" i="1"/>
  <c r="Z168" i="1"/>
  <c r="AB168" i="1"/>
  <c r="AC168" i="1"/>
  <c r="AD168" i="1"/>
  <c r="T168" i="1" s="1"/>
  <c r="AE168" i="1"/>
  <c r="AF168" i="1"/>
  <c r="AH102" i="1"/>
  <c r="AM102" i="1"/>
  <c r="AN102" i="1"/>
  <c r="K169" i="1"/>
  <c r="L169" i="1"/>
  <c r="M169" i="1"/>
  <c r="N169" i="1" s="1"/>
  <c r="V169" i="1"/>
  <c r="Y169" i="1"/>
  <c r="Z169" i="1"/>
  <c r="AB169" i="1"/>
  <c r="AC169" i="1"/>
  <c r="AD169" i="1"/>
  <c r="AE169" i="1"/>
  <c r="AF169" i="1"/>
  <c r="AH103" i="1"/>
  <c r="AM103" i="1"/>
  <c r="AN103" i="1"/>
  <c r="K170" i="1"/>
  <c r="L170" i="1"/>
  <c r="M170" i="1"/>
  <c r="N170" i="1" s="1"/>
  <c r="V170" i="1"/>
  <c r="Y170" i="1"/>
  <c r="Z170" i="1"/>
  <c r="AB170" i="1"/>
  <c r="AC170" i="1"/>
  <c r="AD170" i="1"/>
  <c r="T170" i="1" s="1"/>
  <c r="AE170" i="1"/>
  <c r="AF170" i="1"/>
  <c r="AH104" i="1"/>
  <c r="AM104" i="1"/>
  <c r="AN104" i="1"/>
  <c r="K95" i="1"/>
  <c r="L95" i="1"/>
  <c r="M95" i="1"/>
  <c r="N95" i="1" s="1"/>
  <c r="V95" i="1"/>
  <c r="Y95" i="1"/>
  <c r="Z95" i="1"/>
  <c r="AB95" i="1"/>
  <c r="AC95" i="1"/>
  <c r="AD95" i="1"/>
  <c r="T95" i="1" s="1"/>
  <c r="AE95" i="1"/>
  <c r="AF95" i="1"/>
  <c r="AH105" i="1"/>
  <c r="AM105" i="1"/>
  <c r="AN105" i="1"/>
  <c r="K171" i="1"/>
  <c r="L171" i="1"/>
  <c r="M171" i="1"/>
  <c r="N171" i="1" s="1"/>
  <c r="V171" i="1"/>
  <c r="Y171" i="1"/>
  <c r="Z171" i="1"/>
  <c r="AB171" i="1"/>
  <c r="AC171" i="1"/>
  <c r="AD171" i="1"/>
  <c r="AE171" i="1"/>
  <c r="AF171" i="1"/>
  <c r="AH106" i="1"/>
  <c r="AM106" i="1"/>
  <c r="AN106" i="1"/>
  <c r="K172" i="1"/>
  <c r="L172" i="1"/>
  <c r="M172" i="1"/>
  <c r="N172" i="1" s="1"/>
  <c r="V172" i="1"/>
  <c r="Y172" i="1"/>
  <c r="Z172" i="1"/>
  <c r="AB172" i="1"/>
  <c r="AC172" i="1"/>
  <c r="AD172" i="1"/>
  <c r="AE172" i="1"/>
  <c r="AF172" i="1"/>
  <c r="AH107" i="1"/>
  <c r="AM107" i="1"/>
  <c r="AN107" i="1"/>
  <c r="K173" i="1"/>
  <c r="L173" i="1"/>
  <c r="M173" i="1"/>
  <c r="N173" i="1" s="1"/>
  <c r="V173" i="1"/>
  <c r="Y173" i="1"/>
  <c r="Z173" i="1"/>
  <c r="AB173" i="1"/>
  <c r="AC173" i="1"/>
  <c r="AD173" i="1"/>
  <c r="T173" i="1" s="1"/>
  <c r="AE173" i="1"/>
  <c r="AF173" i="1"/>
  <c r="AH108" i="1"/>
  <c r="AM108" i="1"/>
  <c r="AN108" i="1"/>
  <c r="K174" i="1"/>
  <c r="L174" i="1"/>
  <c r="M174" i="1"/>
  <c r="N174" i="1" s="1"/>
  <c r="V174" i="1"/>
  <c r="Y174" i="1"/>
  <c r="Z174" i="1"/>
  <c r="AB174" i="1"/>
  <c r="AC174" i="1"/>
  <c r="AD174" i="1"/>
  <c r="T174" i="1" s="1"/>
  <c r="AE174" i="1"/>
  <c r="AF174" i="1"/>
  <c r="AH109" i="1"/>
  <c r="AM109" i="1"/>
  <c r="AN109" i="1"/>
  <c r="K175" i="1"/>
  <c r="L175" i="1"/>
  <c r="M175" i="1"/>
  <c r="N175" i="1" s="1"/>
  <c r="V175" i="1"/>
  <c r="S42" i="3" s="1"/>
  <c r="Y175" i="1"/>
  <c r="Z175" i="1"/>
  <c r="AB175" i="1"/>
  <c r="AC175" i="1"/>
  <c r="AD175" i="1"/>
  <c r="T175" i="1" s="1"/>
  <c r="AE175" i="1"/>
  <c r="R42" i="3" s="1"/>
  <c r="AF175" i="1"/>
  <c r="AH110" i="1"/>
  <c r="AM110" i="1"/>
  <c r="AN110" i="1"/>
  <c r="K176" i="1"/>
  <c r="L176" i="1"/>
  <c r="M176" i="1"/>
  <c r="N176" i="1" s="1"/>
  <c r="V176" i="1"/>
  <c r="Y176" i="1"/>
  <c r="Z176" i="1"/>
  <c r="AB176" i="1"/>
  <c r="AC176" i="1"/>
  <c r="AD176" i="1"/>
  <c r="X176" i="1" s="1"/>
  <c r="AE176" i="1"/>
  <c r="AF176" i="1"/>
  <c r="AH111" i="1"/>
  <c r="AM111" i="1"/>
  <c r="AN111" i="1"/>
  <c r="K177" i="1"/>
  <c r="L177" i="1"/>
  <c r="M177" i="1"/>
  <c r="N177" i="1" s="1"/>
  <c r="V177" i="1"/>
  <c r="Y177" i="1"/>
  <c r="Z177" i="1"/>
  <c r="AB177" i="1"/>
  <c r="AC177" i="1"/>
  <c r="AD177" i="1"/>
  <c r="T177" i="1" s="1"/>
  <c r="AE177" i="1"/>
  <c r="AF177" i="1"/>
  <c r="AH112" i="1"/>
  <c r="AM112" i="1"/>
  <c r="AN112" i="1"/>
  <c r="K178" i="1"/>
  <c r="L178" i="1"/>
  <c r="M178" i="1"/>
  <c r="N178" i="1" s="1"/>
  <c r="V178" i="1"/>
  <c r="Y178" i="1"/>
  <c r="Z178" i="1"/>
  <c r="AB178" i="1"/>
  <c r="AC178" i="1"/>
  <c r="AD178" i="1"/>
  <c r="T178" i="1" s="1"/>
  <c r="AE178" i="1"/>
  <c r="AF178" i="1"/>
  <c r="AH113" i="1"/>
  <c r="AM113" i="1"/>
  <c r="AN113" i="1"/>
  <c r="K179" i="1"/>
  <c r="L179" i="1"/>
  <c r="M179" i="1"/>
  <c r="N179" i="1" s="1"/>
  <c r="V179" i="1"/>
  <c r="Y179" i="1"/>
  <c r="Z179" i="1"/>
  <c r="AB179" i="1"/>
  <c r="AC179" i="1"/>
  <c r="AD179" i="1"/>
  <c r="AE179" i="1"/>
  <c r="AF179" i="1"/>
  <c r="AH114" i="1"/>
  <c r="AM114" i="1"/>
  <c r="AN114" i="1"/>
  <c r="K180" i="1"/>
  <c r="L180" i="1"/>
  <c r="M180" i="1"/>
  <c r="N180" i="1" s="1"/>
  <c r="V180" i="1"/>
  <c r="Y180" i="1"/>
  <c r="Z180" i="1"/>
  <c r="AB180" i="1"/>
  <c r="AC180" i="1"/>
  <c r="AD180" i="1"/>
  <c r="T180" i="1" s="1"/>
  <c r="AE180" i="1"/>
  <c r="AF180" i="1"/>
  <c r="AH115" i="1"/>
  <c r="AM115" i="1"/>
  <c r="AN115" i="1"/>
  <c r="K96" i="1"/>
  <c r="L96" i="1"/>
  <c r="M96" i="1"/>
  <c r="N96" i="1" s="1"/>
  <c r="V96" i="1"/>
  <c r="S16" i="3" s="1"/>
  <c r="Y96" i="1"/>
  <c r="Z96" i="1"/>
  <c r="AB96" i="1"/>
  <c r="AC96" i="1"/>
  <c r="AD96" i="1"/>
  <c r="T96" i="1" s="1"/>
  <c r="AE96" i="1"/>
  <c r="AF96" i="1"/>
  <c r="AH116" i="1"/>
  <c r="AM116" i="1"/>
  <c r="AN116" i="1"/>
  <c r="K181" i="1"/>
  <c r="L181" i="1"/>
  <c r="M181" i="1"/>
  <c r="N181" i="1" s="1"/>
  <c r="V181" i="1"/>
  <c r="Y181" i="1"/>
  <c r="Z181" i="1"/>
  <c r="AB181" i="1"/>
  <c r="AC181" i="1"/>
  <c r="AD181" i="1"/>
  <c r="T181" i="1" s="1"/>
  <c r="AE181" i="1"/>
  <c r="AF181" i="1"/>
  <c r="AH117" i="1"/>
  <c r="AM117" i="1"/>
  <c r="AN117" i="1"/>
  <c r="K182" i="1"/>
  <c r="L182" i="1"/>
  <c r="M182" i="1"/>
  <c r="N182" i="1" s="1"/>
  <c r="V182" i="1"/>
  <c r="Y182" i="1"/>
  <c r="Z182" i="1"/>
  <c r="AB182" i="1"/>
  <c r="AC182" i="1"/>
  <c r="AD182" i="1"/>
  <c r="T182" i="1" s="1"/>
  <c r="AE182" i="1"/>
  <c r="AF182" i="1"/>
  <c r="AH118" i="1"/>
  <c r="AM118" i="1"/>
  <c r="AN118" i="1"/>
  <c r="K183" i="1"/>
  <c r="L183" i="1"/>
  <c r="M183" i="1"/>
  <c r="N183" i="1" s="1"/>
  <c r="V183" i="1"/>
  <c r="Y183" i="1"/>
  <c r="Z183" i="1"/>
  <c r="AB183" i="1"/>
  <c r="AC183" i="1"/>
  <c r="AD183" i="1"/>
  <c r="X183" i="1" s="1"/>
  <c r="AE183" i="1"/>
  <c r="AF183" i="1"/>
  <c r="AH119" i="1"/>
  <c r="AM119" i="1"/>
  <c r="AN119" i="1"/>
  <c r="K184" i="1"/>
  <c r="L184" i="1"/>
  <c r="M184" i="1"/>
  <c r="N184" i="1" s="1"/>
  <c r="V184" i="1"/>
  <c r="Y184" i="1"/>
  <c r="Z184" i="1"/>
  <c r="AB184" i="1"/>
  <c r="AC184" i="1"/>
  <c r="AD184" i="1"/>
  <c r="T184" i="1" s="1"/>
  <c r="AE184" i="1"/>
  <c r="AF184" i="1"/>
  <c r="AH120" i="1"/>
  <c r="AM120" i="1"/>
  <c r="AN120" i="1"/>
  <c r="K185" i="1"/>
  <c r="L185" i="1"/>
  <c r="M185" i="1"/>
  <c r="N185" i="1" s="1"/>
  <c r="V185" i="1"/>
  <c r="Y185" i="1"/>
  <c r="Z185" i="1"/>
  <c r="AB185" i="1"/>
  <c r="AC185" i="1"/>
  <c r="AD185" i="1"/>
  <c r="T185" i="1" s="1"/>
  <c r="AE185" i="1"/>
  <c r="AF185" i="1"/>
  <c r="AH121" i="1"/>
  <c r="AM121" i="1"/>
  <c r="AN121" i="1"/>
  <c r="K186" i="1"/>
  <c r="L186" i="1"/>
  <c r="M186" i="1"/>
  <c r="N186" i="1" s="1"/>
  <c r="V186" i="1"/>
  <c r="Y186" i="1"/>
  <c r="Z186" i="1"/>
  <c r="AB186" i="1"/>
  <c r="AC186" i="1"/>
  <c r="AD186" i="1"/>
  <c r="T186" i="1" s="1"/>
  <c r="AE186" i="1"/>
  <c r="AF186" i="1"/>
  <c r="AH122" i="1"/>
  <c r="AM122" i="1"/>
  <c r="AN122" i="1"/>
  <c r="K187" i="1"/>
  <c r="L187" i="1"/>
  <c r="M187" i="1"/>
  <c r="N187" i="1" s="1"/>
  <c r="V187" i="1"/>
  <c r="Y187" i="1"/>
  <c r="Z187" i="1"/>
  <c r="AB187" i="1"/>
  <c r="AC187" i="1"/>
  <c r="AD187" i="1"/>
  <c r="T187" i="1" s="1"/>
  <c r="AE187" i="1"/>
  <c r="AF187" i="1"/>
  <c r="AH123" i="1"/>
  <c r="AM123" i="1"/>
  <c r="AN123" i="1"/>
  <c r="K188" i="1"/>
  <c r="L188" i="1"/>
  <c r="M188" i="1"/>
  <c r="N188" i="1" s="1"/>
  <c r="V188" i="1"/>
  <c r="Y188" i="1"/>
  <c r="Z188" i="1"/>
  <c r="AB188" i="1"/>
  <c r="AC188" i="1"/>
  <c r="AD188" i="1"/>
  <c r="AE188" i="1"/>
  <c r="AF188" i="1"/>
  <c r="AH124" i="1"/>
  <c r="AM124" i="1"/>
  <c r="AN124" i="1"/>
  <c r="K189" i="1"/>
  <c r="L189" i="1"/>
  <c r="M189" i="1"/>
  <c r="N189" i="1" s="1"/>
  <c r="V189" i="1"/>
  <c r="Y189" i="1"/>
  <c r="Z189" i="1"/>
  <c r="AB189" i="1"/>
  <c r="AC189" i="1"/>
  <c r="AD189" i="1"/>
  <c r="T189" i="1" s="1"/>
  <c r="AE189" i="1"/>
  <c r="AF189" i="1"/>
  <c r="AH125" i="1"/>
  <c r="AM125" i="1"/>
  <c r="AN125" i="1"/>
  <c r="K190" i="1"/>
  <c r="L190" i="1"/>
  <c r="M190" i="1"/>
  <c r="N190" i="1" s="1"/>
  <c r="V190" i="1"/>
  <c r="Y190" i="1"/>
  <c r="Z190" i="1"/>
  <c r="AB190" i="1"/>
  <c r="AC190" i="1"/>
  <c r="AD190" i="1"/>
  <c r="T190" i="1" s="1"/>
  <c r="AE190" i="1"/>
  <c r="AF190" i="1"/>
  <c r="AH126" i="1"/>
  <c r="AM126" i="1"/>
  <c r="AN126" i="1"/>
  <c r="K97" i="1"/>
  <c r="L97" i="1"/>
  <c r="M97" i="1"/>
  <c r="N97" i="1" s="1"/>
  <c r="V97" i="1"/>
  <c r="Y97" i="1"/>
  <c r="Z97" i="1"/>
  <c r="AB97" i="1"/>
  <c r="AC97" i="1"/>
  <c r="AD97" i="1"/>
  <c r="T97" i="1" s="1"/>
  <c r="AE97" i="1"/>
  <c r="AF97" i="1"/>
  <c r="AH127" i="1"/>
  <c r="AM127" i="1"/>
  <c r="AN127" i="1"/>
  <c r="K191" i="1"/>
  <c r="L191" i="1"/>
  <c r="M191" i="1"/>
  <c r="N191" i="1" s="1"/>
  <c r="V191" i="1"/>
  <c r="Y191" i="1"/>
  <c r="Z191" i="1"/>
  <c r="AB191" i="1"/>
  <c r="AC191" i="1"/>
  <c r="AD191" i="1"/>
  <c r="X191" i="1" s="1"/>
  <c r="AE191" i="1"/>
  <c r="AF191" i="1"/>
  <c r="AH128" i="1"/>
  <c r="AM128" i="1"/>
  <c r="AN128" i="1"/>
  <c r="K192" i="1"/>
  <c r="L192" i="1"/>
  <c r="M192" i="1"/>
  <c r="N192" i="1" s="1"/>
  <c r="V192" i="1"/>
  <c r="Y192" i="1"/>
  <c r="Z192" i="1"/>
  <c r="AB192" i="1"/>
  <c r="AC192" i="1"/>
  <c r="AD192" i="1"/>
  <c r="T192" i="1" s="1"/>
  <c r="AE192" i="1"/>
  <c r="AF192" i="1"/>
  <c r="AH129" i="1"/>
  <c r="AM129" i="1"/>
  <c r="AN129" i="1"/>
  <c r="K193" i="1"/>
  <c r="L193" i="1"/>
  <c r="M193" i="1"/>
  <c r="N193" i="1" s="1"/>
  <c r="V193" i="1"/>
  <c r="Y193" i="1"/>
  <c r="Z193" i="1"/>
  <c r="AB193" i="1"/>
  <c r="AC193" i="1"/>
  <c r="AD193" i="1"/>
  <c r="T193" i="1" s="1"/>
  <c r="AE193" i="1"/>
  <c r="AF193" i="1"/>
  <c r="AH130" i="1"/>
  <c r="AM130" i="1"/>
  <c r="AN130" i="1"/>
  <c r="K194" i="1"/>
  <c r="L194" i="1"/>
  <c r="M194" i="1"/>
  <c r="N194" i="1" s="1"/>
  <c r="V194" i="1"/>
  <c r="Y194" i="1"/>
  <c r="Z194" i="1"/>
  <c r="AB194" i="1"/>
  <c r="AC194" i="1"/>
  <c r="AD194" i="1"/>
  <c r="AE194" i="1"/>
  <c r="AF194" i="1"/>
  <c r="AH131" i="1"/>
  <c r="AM131" i="1"/>
  <c r="AN131" i="1"/>
  <c r="K98" i="1"/>
  <c r="L98" i="1"/>
  <c r="M98" i="1"/>
  <c r="N98" i="1" s="1"/>
  <c r="V98" i="1"/>
  <c r="Y98" i="1"/>
  <c r="Z98" i="1"/>
  <c r="AB98" i="1"/>
  <c r="AC98" i="1"/>
  <c r="AD98" i="1"/>
  <c r="T98" i="1" s="1"/>
  <c r="AE98" i="1"/>
  <c r="AF98" i="1"/>
  <c r="AH132" i="1"/>
  <c r="AM132" i="1"/>
  <c r="AN132" i="1"/>
  <c r="K99" i="1"/>
  <c r="L99" i="1"/>
  <c r="M99" i="1"/>
  <c r="N99" i="1" s="1"/>
  <c r="V99" i="1"/>
  <c r="Y99" i="1"/>
  <c r="Z99" i="1"/>
  <c r="AB99" i="1"/>
  <c r="AC99" i="1"/>
  <c r="AD99" i="1"/>
  <c r="T99" i="1" s="1"/>
  <c r="AE99" i="1"/>
  <c r="AF99" i="1"/>
  <c r="AH133" i="1"/>
  <c r="AM133" i="1"/>
  <c r="AN133" i="1"/>
  <c r="K100" i="1"/>
  <c r="L100" i="1"/>
  <c r="M100" i="1"/>
  <c r="N100" i="1" s="1"/>
  <c r="V100" i="1"/>
  <c r="Y100" i="1"/>
  <c r="Z100" i="1"/>
  <c r="AA100" i="1" s="1"/>
  <c r="AB100" i="1"/>
  <c r="AC100" i="1"/>
  <c r="AD100" i="1"/>
  <c r="T100" i="1" s="1"/>
  <c r="AE100" i="1"/>
  <c r="AF100" i="1"/>
  <c r="AH134" i="1"/>
  <c r="AM134" i="1"/>
  <c r="AN134" i="1"/>
  <c r="K101" i="1"/>
  <c r="L101" i="1"/>
  <c r="M101" i="1"/>
  <c r="N101" i="1" s="1"/>
  <c r="V101" i="1"/>
  <c r="Y101" i="1"/>
  <c r="Z101" i="1"/>
  <c r="AA101" i="1" s="1"/>
  <c r="AB101" i="1"/>
  <c r="AC101" i="1"/>
  <c r="AD101" i="1"/>
  <c r="AE101" i="1"/>
  <c r="AF101" i="1"/>
  <c r="AH135" i="1"/>
  <c r="AM135" i="1"/>
  <c r="AN135" i="1"/>
  <c r="K102" i="1"/>
  <c r="L102" i="1"/>
  <c r="M102" i="1"/>
  <c r="N102" i="1" s="1"/>
  <c r="V102" i="1"/>
  <c r="Y102" i="1"/>
  <c r="Z102" i="1"/>
  <c r="AB102" i="1"/>
  <c r="AC102" i="1"/>
  <c r="AD102" i="1"/>
  <c r="T102" i="1" s="1"/>
  <c r="AE102" i="1"/>
  <c r="AF102" i="1"/>
  <c r="AH136" i="1"/>
  <c r="AM136" i="1"/>
  <c r="AN136" i="1"/>
  <c r="K103" i="1"/>
  <c r="L103" i="1"/>
  <c r="M103" i="1"/>
  <c r="N103" i="1" s="1"/>
  <c r="V103" i="1"/>
  <c r="Y103" i="1"/>
  <c r="Z103" i="1"/>
  <c r="AB103" i="1"/>
  <c r="AC103" i="1"/>
  <c r="AD103" i="1"/>
  <c r="T103" i="1" s="1"/>
  <c r="AE103" i="1"/>
  <c r="AF103" i="1"/>
  <c r="AH137" i="1"/>
  <c r="AM137" i="1"/>
  <c r="AN137" i="1"/>
  <c r="K104" i="1"/>
  <c r="L104" i="1"/>
  <c r="M104" i="1"/>
  <c r="N104" i="1" s="1"/>
  <c r="V104" i="1"/>
  <c r="S33" i="3" s="1"/>
  <c r="Y104" i="1"/>
  <c r="Z104" i="1"/>
  <c r="AB104" i="1"/>
  <c r="AC104" i="1"/>
  <c r="AD104" i="1"/>
  <c r="T104" i="1" s="1"/>
  <c r="AE104" i="1"/>
  <c r="R33" i="3" s="1"/>
  <c r="AF104" i="1"/>
  <c r="AH138" i="1"/>
  <c r="AM138" i="1"/>
  <c r="AN138" i="1"/>
  <c r="K211" i="1"/>
  <c r="L211" i="1"/>
  <c r="M211" i="1"/>
  <c r="N211" i="1" s="1"/>
  <c r="V211" i="1"/>
  <c r="Y211" i="1"/>
  <c r="Z211" i="1"/>
  <c r="AB211" i="1"/>
  <c r="AC211" i="1"/>
  <c r="AD211" i="1"/>
  <c r="T211" i="1" s="1"/>
  <c r="AE211" i="1"/>
  <c r="AF211" i="1"/>
  <c r="AH139" i="1"/>
  <c r="AM139" i="1"/>
  <c r="AN139" i="1"/>
  <c r="K105" i="1"/>
  <c r="L105" i="1"/>
  <c r="M105" i="1"/>
  <c r="N105" i="1" s="1"/>
  <c r="V105" i="1"/>
  <c r="S35" i="3" s="1"/>
  <c r="Y105" i="1"/>
  <c r="Z105" i="1"/>
  <c r="AB105" i="1"/>
  <c r="AC105" i="1"/>
  <c r="AD105" i="1"/>
  <c r="X105" i="1" s="1"/>
  <c r="AE105" i="1"/>
  <c r="R35" i="3" s="1"/>
  <c r="AF105" i="1"/>
  <c r="AH140" i="1"/>
  <c r="AM140" i="1"/>
  <c r="AN140" i="1"/>
  <c r="K106" i="1"/>
  <c r="L106" i="1"/>
  <c r="M106" i="1"/>
  <c r="N106" i="1" s="1"/>
  <c r="V106" i="1"/>
  <c r="Y106" i="1"/>
  <c r="Z106" i="1"/>
  <c r="AB106" i="1"/>
  <c r="AC106" i="1"/>
  <c r="AD106" i="1"/>
  <c r="T106" i="1" s="1"/>
  <c r="AE106" i="1"/>
  <c r="AF106" i="1"/>
  <c r="AH141" i="1"/>
  <c r="AM141" i="1"/>
  <c r="AN141" i="1"/>
  <c r="K107" i="1"/>
  <c r="L107" i="1"/>
  <c r="M107" i="1"/>
  <c r="N107" i="1" s="1"/>
  <c r="V107" i="1"/>
  <c r="Y107" i="1"/>
  <c r="Z107" i="1"/>
  <c r="AA107" i="1" s="1"/>
  <c r="AB107" i="1"/>
  <c r="AC107" i="1"/>
  <c r="AD107" i="1"/>
  <c r="T107" i="1" s="1"/>
  <c r="AE107" i="1"/>
  <c r="AF107" i="1"/>
  <c r="AH142" i="1"/>
  <c r="AM142" i="1"/>
  <c r="AN142" i="1"/>
  <c r="K108" i="1"/>
  <c r="L108" i="1"/>
  <c r="M108" i="1"/>
  <c r="N108" i="1" s="1"/>
  <c r="T108" i="1"/>
  <c r="V108" i="1"/>
  <c r="X108" i="1"/>
  <c r="Y108" i="1"/>
  <c r="Z108" i="1"/>
  <c r="AA108" i="1" s="1"/>
  <c r="AB108" i="1"/>
  <c r="AC108" i="1"/>
  <c r="AD108" i="1"/>
  <c r="AE108" i="1"/>
  <c r="AF108" i="1"/>
  <c r="AH143" i="1"/>
  <c r="AM143" i="1"/>
  <c r="AN143" i="1"/>
  <c r="K109" i="1"/>
  <c r="L109" i="1"/>
  <c r="M109" i="1"/>
  <c r="N109" i="1" s="1"/>
  <c r="V109" i="1"/>
  <c r="Y109" i="1"/>
  <c r="Z109" i="1"/>
  <c r="AB109" i="1"/>
  <c r="AC109" i="1"/>
  <c r="AD109" i="1"/>
  <c r="AE109" i="1"/>
  <c r="AF109" i="1"/>
  <c r="AH144" i="1"/>
  <c r="AM144" i="1"/>
  <c r="AN144" i="1"/>
  <c r="K110" i="1"/>
  <c r="L110" i="1"/>
  <c r="M110" i="1"/>
  <c r="N110" i="1" s="1"/>
  <c r="V110" i="1"/>
  <c r="Y110" i="1"/>
  <c r="Z110" i="1"/>
  <c r="AB110" i="1"/>
  <c r="AC110" i="1"/>
  <c r="AD110" i="1"/>
  <c r="T110" i="1" s="1"/>
  <c r="AE110" i="1"/>
  <c r="AF110" i="1"/>
  <c r="AH145" i="1"/>
  <c r="AM145" i="1"/>
  <c r="AN145" i="1"/>
  <c r="K111" i="1"/>
  <c r="L111" i="1"/>
  <c r="M111" i="1"/>
  <c r="N111" i="1" s="1"/>
  <c r="V111" i="1"/>
  <c r="Y111" i="1"/>
  <c r="Z111" i="1"/>
  <c r="AB111" i="1"/>
  <c r="AC111" i="1"/>
  <c r="AD111" i="1"/>
  <c r="T111" i="1" s="1"/>
  <c r="AE111" i="1"/>
  <c r="AF111" i="1"/>
  <c r="AH146" i="1"/>
  <c r="AM146" i="1"/>
  <c r="AN146" i="1"/>
  <c r="K112" i="1"/>
  <c r="L112" i="1"/>
  <c r="M112" i="1"/>
  <c r="N112" i="1" s="1"/>
  <c r="V112" i="1"/>
  <c r="Y112" i="1"/>
  <c r="Z112" i="1"/>
  <c r="AB112" i="1"/>
  <c r="AC112" i="1"/>
  <c r="AD112" i="1"/>
  <c r="X112" i="1" s="1"/>
  <c r="AE112" i="1"/>
  <c r="AF112" i="1"/>
  <c r="AH147" i="1"/>
  <c r="AM147" i="1"/>
  <c r="AN147" i="1"/>
  <c r="K113" i="1"/>
  <c r="L113" i="1"/>
  <c r="M113" i="1"/>
  <c r="N113" i="1" s="1"/>
  <c r="V113" i="1"/>
  <c r="Y113" i="1"/>
  <c r="Z113" i="1"/>
  <c r="AB113" i="1"/>
  <c r="AC113" i="1"/>
  <c r="AD113" i="1"/>
  <c r="AE113" i="1"/>
  <c r="AF113" i="1"/>
  <c r="AH148" i="1"/>
  <c r="AM148" i="1"/>
  <c r="AN148" i="1"/>
  <c r="K114" i="1"/>
  <c r="L114" i="1"/>
  <c r="M114" i="1"/>
  <c r="N114" i="1" s="1"/>
  <c r="V114" i="1"/>
  <c r="S9" i="3" s="1"/>
  <c r="Y114" i="1"/>
  <c r="Z114" i="1"/>
  <c r="AB114" i="1"/>
  <c r="AC114" i="1"/>
  <c r="AD114" i="1"/>
  <c r="T114" i="1" s="1"/>
  <c r="AE114" i="1"/>
  <c r="R9" i="3" s="1"/>
  <c r="AF114" i="1"/>
  <c r="AH149" i="1"/>
  <c r="AM149" i="1"/>
  <c r="AN149" i="1"/>
  <c r="K115" i="1"/>
  <c r="L115" i="1"/>
  <c r="M115" i="1"/>
  <c r="N115" i="1" s="1"/>
  <c r="V115" i="1"/>
  <c r="S36" i="3" s="1"/>
  <c r="Y115" i="1"/>
  <c r="Z115" i="1"/>
  <c r="AA115" i="1" s="1"/>
  <c r="AB115" i="1"/>
  <c r="AC115" i="1"/>
  <c r="AD115" i="1"/>
  <c r="T115" i="1" s="1"/>
  <c r="AE115" i="1"/>
  <c r="R36" i="3" s="1"/>
  <c r="AF115" i="1"/>
  <c r="AH150" i="1"/>
  <c r="AM150" i="1"/>
  <c r="AN150" i="1"/>
  <c r="K116" i="1"/>
  <c r="L116" i="1"/>
  <c r="M116" i="1"/>
  <c r="N116" i="1" s="1"/>
  <c r="T116" i="1"/>
  <c r="V116" i="1"/>
  <c r="X116" i="1"/>
  <c r="Y116" i="1"/>
  <c r="Z116" i="1"/>
  <c r="AA116" i="1" s="1"/>
  <c r="AB116" i="1"/>
  <c r="AC116" i="1"/>
  <c r="AD116" i="1"/>
  <c r="AE116" i="1"/>
  <c r="AF116" i="1"/>
  <c r="AH151" i="1"/>
  <c r="AM151" i="1"/>
  <c r="AN151" i="1"/>
  <c r="K117" i="1"/>
  <c r="L117" i="1"/>
  <c r="M117" i="1"/>
  <c r="N117" i="1" s="1"/>
  <c r="V117" i="1"/>
  <c r="S7" i="3" s="1"/>
  <c r="Y117" i="1"/>
  <c r="Z117" i="1"/>
  <c r="AB117" i="1"/>
  <c r="AC117" i="1"/>
  <c r="AD117" i="1"/>
  <c r="AE117" i="1"/>
  <c r="R7" i="3" s="1"/>
  <c r="AF117" i="1"/>
  <c r="AH152" i="1"/>
  <c r="AM152" i="1"/>
  <c r="AN152" i="1"/>
  <c r="K118" i="1"/>
  <c r="L118" i="1"/>
  <c r="M118" i="1"/>
  <c r="N118" i="1" s="1"/>
  <c r="V118" i="1"/>
  <c r="Y118" i="1"/>
  <c r="Z118" i="1"/>
  <c r="AB118" i="1"/>
  <c r="AC118" i="1"/>
  <c r="AD118" i="1"/>
  <c r="T118" i="1" s="1"/>
  <c r="AE118" i="1"/>
  <c r="AF118" i="1"/>
  <c r="AH153" i="1"/>
  <c r="AM153" i="1"/>
  <c r="AN153" i="1"/>
  <c r="K119" i="1"/>
  <c r="L119" i="1"/>
  <c r="M119" i="1"/>
  <c r="N119" i="1" s="1"/>
  <c r="V119" i="1"/>
  <c r="Y119" i="1"/>
  <c r="Z119" i="1"/>
  <c r="AB119" i="1"/>
  <c r="AC119" i="1"/>
  <c r="AD119" i="1"/>
  <c r="T119" i="1" s="1"/>
  <c r="AE119" i="1"/>
  <c r="AF119" i="1"/>
  <c r="AH154" i="1"/>
  <c r="AM154" i="1"/>
  <c r="AN154" i="1"/>
  <c r="K120" i="1"/>
  <c r="L120" i="1"/>
  <c r="M120" i="1"/>
  <c r="N120" i="1" s="1"/>
  <c r="V120" i="1"/>
  <c r="Y120" i="1"/>
  <c r="Z120" i="1"/>
  <c r="AB120" i="1"/>
  <c r="AC120" i="1"/>
  <c r="AD120" i="1"/>
  <c r="T120" i="1" s="1"/>
  <c r="AE120" i="1"/>
  <c r="AF120" i="1"/>
  <c r="AH155" i="1"/>
  <c r="AM155" i="1"/>
  <c r="AN155" i="1"/>
  <c r="K121" i="1"/>
  <c r="L121" i="1"/>
  <c r="M121" i="1"/>
  <c r="N121" i="1" s="1"/>
  <c r="V121" i="1"/>
  <c r="Y121" i="1"/>
  <c r="Z121" i="1"/>
  <c r="AB121" i="1"/>
  <c r="AC121" i="1"/>
  <c r="AD121" i="1"/>
  <c r="AE121" i="1"/>
  <c r="AF121" i="1"/>
  <c r="AH156" i="1"/>
  <c r="AM156" i="1"/>
  <c r="AN156" i="1"/>
  <c r="K122" i="1"/>
  <c r="L122" i="1"/>
  <c r="M122" i="1"/>
  <c r="N122" i="1" s="1"/>
  <c r="V122" i="1"/>
  <c r="Y122" i="1"/>
  <c r="Z122" i="1"/>
  <c r="AB122" i="1"/>
  <c r="AC122" i="1"/>
  <c r="AD122" i="1"/>
  <c r="T122" i="1" s="1"/>
  <c r="AE122" i="1"/>
  <c r="AF122" i="1"/>
  <c r="AH157" i="1"/>
  <c r="AM157" i="1"/>
  <c r="AN157" i="1"/>
  <c r="K123" i="1"/>
  <c r="L123" i="1"/>
  <c r="M123" i="1"/>
  <c r="N123" i="1" s="1"/>
  <c r="V123" i="1"/>
  <c r="Y123" i="1"/>
  <c r="Z123" i="1"/>
  <c r="AA123" i="1" s="1"/>
  <c r="AB123" i="1"/>
  <c r="AC123" i="1"/>
  <c r="AD123" i="1"/>
  <c r="T123" i="1" s="1"/>
  <c r="AE123" i="1"/>
  <c r="AF123" i="1"/>
  <c r="AH158" i="1"/>
  <c r="AM158" i="1"/>
  <c r="AN158" i="1"/>
  <c r="K124" i="1"/>
  <c r="L124" i="1"/>
  <c r="M124" i="1"/>
  <c r="N124" i="1" s="1"/>
  <c r="T124" i="1"/>
  <c r="V124" i="1"/>
  <c r="X124" i="1"/>
  <c r="Y124" i="1"/>
  <c r="Z124" i="1"/>
  <c r="AA124" i="1" s="1"/>
  <c r="AB124" i="1"/>
  <c r="AC124" i="1"/>
  <c r="AD124" i="1"/>
  <c r="AE124" i="1"/>
  <c r="AF124" i="1"/>
  <c r="AH159" i="1"/>
  <c r="AM159" i="1"/>
  <c r="AN159" i="1"/>
  <c r="K125" i="1"/>
  <c r="L125" i="1"/>
  <c r="M125" i="1"/>
  <c r="N125" i="1" s="1"/>
  <c r="V125" i="1"/>
  <c r="Y125" i="1"/>
  <c r="Z125" i="1"/>
  <c r="AB125" i="1"/>
  <c r="AC125" i="1"/>
  <c r="AD125" i="1"/>
  <c r="T125" i="1" s="1"/>
  <c r="AE125" i="1"/>
  <c r="AF125" i="1"/>
  <c r="AH160" i="1"/>
  <c r="AM160" i="1"/>
  <c r="AN160" i="1"/>
  <c r="K126" i="1"/>
  <c r="L126" i="1"/>
  <c r="M126" i="1"/>
  <c r="N126" i="1" s="1"/>
  <c r="V126" i="1"/>
  <c r="Y126" i="1"/>
  <c r="Z126" i="1"/>
  <c r="AB126" i="1"/>
  <c r="AC126" i="1"/>
  <c r="AD126" i="1"/>
  <c r="T126" i="1" s="1"/>
  <c r="AE126" i="1"/>
  <c r="AF126" i="1"/>
  <c r="K127" i="1"/>
  <c r="L127" i="1"/>
  <c r="M127" i="1"/>
  <c r="N127" i="1" s="1"/>
  <c r="V127" i="1"/>
  <c r="Y127" i="1"/>
  <c r="Z127" i="1"/>
  <c r="AB127" i="1"/>
  <c r="AC127" i="1"/>
  <c r="AD127" i="1"/>
  <c r="T127" i="1" s="1"/>
  <c r="AE127" i="1"/>
  <c r="AF127" i="1"/>
  <c r="AH161" i="1"/>
  <c r="AM161" i="1"/>
  <c r="AN161" i="1"/>
  <c r="K128" i="1"/>
  <c r="L128" i="1"/>
  <c r="M128" i="1"/>
  <c r="N128" i="1" s="1"/>
  <c r="V128" i="1"/>
  <c r="Y128" i="1"/>
  <c r="Z128" i="1"/>
  <c r="AB128" i="1"/>
  <c r="AC128" i="1"/>
  <c r="AD128" i="1"/>
  <c r="AE128" i="1"/>
  <c r="AF128" i="1"/>
  <c r="AH162" i="1"/>
  <c r="AM162" i="1"/>
  <c r="AN162" i="1"/>
  <c r="K129" i="1"/>
  <c r="L129" i="1"/>
  <c r="M129" i="1"/>
  <c r="N129" i="1" s="1"/>
  <c r="V129" i="1"/>
  <c r="Y129" i="1"/>
  <c r="Z129" i="1"/>
  <c r="AB129" i="1"/>
  <c r="AC129" i="1"/>
  <c r="AD129" i="1"/>
  <c r="AE129" i="1"/>
  <c r="AF129" i="1"/>
  <c r="AH163" i="1"/>
  <c r="AM163" i="1"/>
  <c r="AN163" i="1"/>
  <c r="K130" i="1"/>
  <c r="L130" i="1"/>
  <c r="M130" i="1"/>
  <c r="N130" i="1" s="1"/>
  <c r="V130" i="1"/>
  <c r="Y130" i="1"/>
  <c r="Z130" i="1"/>
  <c r="AB130" i="1"/>
  <c r="AC130" i="1"/>
  <c r="AD130" i="1"/>
  <c r="T130" i="1" s="1"/>
  <c r="AE130" i="1"/>
  <c r="AF130" i="1"/>
  <c r="AH164" i="1"/>
  <c r="AM164" i="1"/>
  <c r="AN164" i="1"/>
  <c r="K131" i="1"/>
  <c r="L131" i="1"/>
  <c r="M131" i="1"/>
  <c r="N131" i="1" s="1"/>
  <c r="V131" i="1"/>
  <c r="S39" i="3" s="1"/>
  <c r="Y131" i="1"/>
  <c r="Z131" i="1"/>
  <c r="AB131" i="1"/>
  <c r="AC131" i="1"/>
  <c r="AD131" i="1"/>
  <c r="T131" i="1" s="1"/>
  <c r="AE131" i="1"/>
  <c r="AF131" i="1"/>
  <c r="AH165" i="1"/>
  <c r="AM165" i="1"/>
  <c r="AN165" i="1"/>
  <c r="K132" i="1"/>
  <c r="L132" i="1"/>
  <c r="M132" i="1"/>
  <c r="N132" i="1" s="1"/>
  <c r="V132" i="1"/>
  <c r="Y132" i="1"/>
  <c r="Z132" i="1"/>
  <c r="AB132" i="1"/>
  <c r="AC132" i="1"/>
  <c r="AD132" i="1"/>
  <c r="T132" i="1" s="1"/>
  <c r="AE132" i="1"/>
  <c r="AF132" i="1"/>
  <c r="AH166" i="1"/>
  <c r="AM166" i="1"/>
  <c r="AN166" i="1"/>
  <c r="K133" i="1"/>
  <c r="L133" i="1"/>
  <c r="M133" i="1"/>
  <c r="N133" i="1" s="1"/>
  <c r="V133" i="1"/>
  <c r="Y133" i="1"/>
  <c r="Z133" i="1"/>
  <c r="AB133" i="1"/>
  <c r="AC133" i="1"/>
  <c r="AD133" i="1"/>
  <c r="T133" i="1" s="1"/>
  <c r="AE133" i="1"/>
  <c r="AF133" i="1"/>
  <c r="AH167" i="1"/>
  <c r="AM167" i="1"/>
  <c r="AN167" i="1"/>
  <c r="K134" i="1"/>
  <c r="L134" i="1"/>
  <c r="M134" i="1"/>
  <c r="N134" i="1" s="1"/>
  <c r="V134" i="1"/>
  <c r="Y134" i="1"/>
  <c r="Z134" i="1"/>
  <c r="AB134" i="1"/>
  <c r="AC134" i="1"/>
  <c r="AD134" i="1"/>
  <c r="T134" i="1" s="1"/>
  <c r="AE134" i="1"/>
  <c r="R17" i="3" s="1"/>
  <c r="AF134" i="1"/>
  <c r="AH168" i="1"/>
  <c r="AM168" i="1"/>
  <c r="AN168" i="1"/>
  <c r="K135" i="1"/>
  <c r="L135" i="1"/>
  <c r="M135" i="1"/>
  <c r="N135" i="1" s="1"/>
  <c r="V135" i="1"/>
  <c r="Y135" i="1"/>
  <c r="Z135" i="1"/>
  <c r="AB135" i="1"/>
  <c r="AC135" i="1"/>
  <c r="AD135" i="1"/>
  <c r="T135" i="1" s="1"/>
  <c r="AE135" i="1"/>
  <c r="AF135" i="1"/>
  <c r="AH169" i="1"/>
  <c r="AM169" i="1"/>
  <c r="AN169" i="1"/>
  <c r="K136" i="1"/>
  <c r="L136" i="1"/>
  <c r="M136" i="1"/>
  <c r="N136" i="1" s="1"/>
  <c r="V136" i="1"/>
  <c r="Y136" i="1"/>
  <c r="Z136" i="1"/>
  <c r="AB136" i="1"/>
  <c r="AC136" i="1"/>
  <c r="AD136" i="1"/>
  <c r="AE136" i="1"/>
  <c r="AF136" i="1"/>
  <c r="AH170" i="1"/>
  <c r="AM170" i="1"/>
  <c r="AN170" i="1"/>
  <c r="K137" i="1"/>
  <c r="L137" i="1"/>
  <c r="M137" i="1"/>
  <c r="N137" i="1" s="1"/>
  <c r="V137" i="1"/>
  <c r="Y137" i="1"/>
  <c r="Z137" i="1"/>
  <c r="AB137" i="1"/>
  <c r="AC137" i="1"/>
  <c r="AD137" i="1"/>
  <c r="AE137" i="1"/>
  <c r="AF137" i="1"/>
  <c r="AH171" i="1"/>
  <c r="AM171" i="1"/>
  <c r="AN171" i="1"/>
  <c r="K138" i="1"/>
  <c r="L138" i="1"/>
  <c r="M138" i="1"/>
  <c r="N138" i="1" s="1"/>
  <c r="V138" i="1"/>
  <c r="Y138" i="1"/>
  <c r="Z138" i="1"/>
  <c r="AB138" i="1"/>
  <c r="AC138" i="1"/>
  <c r="AD138" i="1"/>
  <c r="T138" i="1" s="1"/>
  <c r="AE138" i="1"/>
  <c r="AF138" i="1"/>
  <c r="AH172" i="1"/>
  <c r="AM172" i="1"/>
  <c r="AN172" i="1"/>
  <c r="K139" i="1"/>
  <c r="L139" i="1"/>
  <c r="M139" i="1"/>
  <c r="N139" i="1" s="1"/>
  <c r="V139" i="1"/>
  <c r="S40" i="3" s="1"/>
  <c r="Y139" i="1"/>
  <c r="Z139" i="1"/>
  <c r="AB139" i="1"/>
  <c r="AC139" i="1"/>
  <c r="AD139" i="1"/>
  <c r="T139" i="1" s="1"/>
  <c r="AE139" i="1"/>
  <c r="R40" i="3" s="1"/>
  <c r="AF139" i="1"/>
  <c r="AH173" i="1"/>
  <c r="AM173" i="1"/>
  <c r="AN173" i="1"/>
  <c r="K140" i="1"/>
  <c r="L140" i="1"/>
  <c r="M140" i="1"/>
  <c r="N140" i="1" s="1"/>
  <c r="V140" i="1"/>
  <c r="Y140" i="1"/>
  <c r="AA140" i="1" s="1"/>
  <c r="Z140" i="1"/>
  <c r="AB140" i="1"/>
  <c r="AC140" i="1"/>
  <c r="AD140" i="1"/>
  <c r="T140" i="1" s="1"/>
  <c r="AE140" i="1"/>
  <c r="AF140" i="1"/>
  <c r="AH174" i="1"/>
  <c r="AM174" i="1"/>
  <c r="AN174" i="1"/>
  <c r="K141" i="1"/>
  <c r="L141" i="1"/>
  <c r="M141" i="1"/>
  <c r="N141" i="1" s="1"/>
  <c r="V141" i="1"/>
  <c r="X141" i="1"/>
  <c r="Y141" i="1"/>
  <c r="Z141" i="1"/>
  <c r="AB141" i="1"/>
  <c r="AC141" i="1"/>
  <c r="AD141" i="1"/>
  <c r="T141" i="1" s="1"/>
  <c r="AE141" i="1"/>
  <c r="AF141" i="1"/>
  <c r="AH175" i="1"/>
  <c r="AM175" i="1"/>
  <c r="AN175" i="1"/>
  <c r="K142" i="1"/>
  <c r="L142" i="1"/>
  <c r="M142" i="1"/>
  <c r="N142" i="1" s="1"/>
  <c r="V142" i="1"/>
  <c r="Y142" i="1"/>
  <c r="Z142" i="1"/>
  <c r="AA142" i="1" s="1"/>
  <c r="AB142" i="1"/>
  <c r="AC142" i="1"/>
  <c r="AD142" i="1"/>
  <c r="T142" i="1" s="1"/>
  <c r="AE142" i="1"/>
  <c r="AF142" i="1"/>
  <c r="AH176" i="1"/>
  <c r="AM176" i="1"/>
  <c r="AN176" i="1"/>
  <c r="K143" i="1"/>
  <c r="L143" i="1"/>
  <c r="M143" i="1"/>
  <c r="N143" i="1"/>
  <c r="V143" i="1"/>
  <c r="Y143" i="1"/>
  <c r="Z143" i="1"/>
  <c r="AB143" i="1"/>
  <c r="AC143" i="1"/>
  <c r="AD143" i="1"/>
  <c r="AE143" i="1"/>
  <c r="AF143" i="1"/>
  <c r="AH177" i="1"/>
  <c r="AM177" i="1"/>
  <c r="AN177" i="1"/>
  <c r="K144" i="1"/>
  <c r="L144" i="1"/>
  <c r="M144" i="1"/>
  <c r="N144" i="1" s="1"/>
  <c r="V144" i="1"/>
  <c r="Y144" i="1"/>
  <c r="Z144" i="1"/>
  <c r="AB144" i="1"/>
  <c r="AC144" i="1"/>
  <c r="AD144" i="1"/>
  <c r="T144" i="1" s="1"/>
  <c r="AE144" i="1"/>
  <c r="AF144" i="1"/>
  <c r="AH178" i="1"/>
  <c r="AM178" i="1"/>
  <c r="AN178" i="1"/>
  <c r="K145" i="1"/>
  <c r="L145" i="1"/>
  <c r="M145" i="1"/>
  <c r="N145" i="1" s="1"/>
  <c r="V145" i="1"/>
  <c r="Y145" i="1"/>
  <c r="Z145" i="1"/>
  <c r="AB145" i="1"/>
  <c r="AC145" i="1"/>
  <c r="AD145" i="1"/>
  <c r="AE145" i="1"/>
  <c r="AF145" i="1"/>
  <c r="AH179" i="1"/>
  <c r="AM179" i="1"/>
  <c r="AN179" i="1"/>
  <c r="K146" i="1"/>
  <c r="L146" i="1"/>
  <c r="M146" i="1"/>
  <c r="N146" i="1" s="1"/>
  <c r="V146" i="1"/>
  <c r="Y146" i="1"/>
  <c r="Z146" i="1"/>
  <c r="AB146" i="1"/>
  <c r="AC146" i="1"/>
  <c r="AD146" i="1"/>
  <c r="T146" i="1" s="1"/>
  <c r="AE146" i="1"/>
  <c r="AF146" i="1"/>
  <c r="AH180" i="1"/>
  <c r="AM180" i="1"/>
  <c r="AN180" i="1"/>
  <c r="K147" i="1"/>
  <c r="L147" i="1"/>
  <c r="M147" i="1"/>
  <c r="N147" i="1" s="1"/>
  <c r="V147" i="1"/>
  <c r="Y147" i="1"/>
  <c r="Z147" i="1"/>
  <c r="AB147" i="1"/>
  <c r="AC147" i="1"/>
  <c r="AD147" i="1"/>
  <c r="AE147" i="1"/>
  <c r="AF147" i="1"/>
  <c r="AH181" i="1"/>
  <c r="AM181" i="1"/>
  <c r="AN181" i="1"/>
  <c r="K148" i="1"/>
  <c r="L148" i="1"/>
  <c r="M148" i="1"/>
  <c r="N148" i="1" s="1"/>
  <c r="V148" i="1"/>
  <c r="Y148" i="1"/>
  <c r="Z148" i="1"/>
  <c r="AB148" i="1"/>
  <c r="AC148" i="1"/>
  <c r="AD148" i="1"/>
  <c r="T148" i="1" s="1"/>
  <c r="AE148" i="1"/>
  <c r="AF148" i="1"/>
  <c r="AH182" i="1"/>
  <c r="AM182" i="1"/>
  <c r="AN182" i="1"/>
  <c r="K149" i="1"/>
  <c r="L149" i="1"/>
  <c r="M149" i="1"/>
  <c r="N149" i="1" s="1"/>
  <c r="V149" i="1"/>
  <c r="Y149" i="1"/>
  <c r="Z149" i="1"/>
  <c r="AB149" i="1"/>
  <c r="AC149" i="1"/>
  <c r="AD149" i="1"/>
  <c r="AE149" i="1"/>
  <c r="AF149" i="1"/>
  <c r="AH183" i="1"/>
  <c r="AM183" i="1"/>
  <c r="AN183" i="1"/>
  <c r="K150" i="1"/>
  <c r="L150" i="1"/>
  <c r="M150" i="1"/>
  <c r="N150" i="1" s="1"/>
  <c r="V150" i="1"/>
  <c r="Y150" i="1"/>
  <c r="Z150" i="1"/>
  <c r="AB150" i="1"/>
  <c r="AC150" i="1"/>
  <c r="AD150" i="1"/>
  <c r="T150" i="1" s="1"/>
  <c r="AE150" i="1"/>
  <c r="R20" i="3" s="1"/>
  <c r="AF150" i="1"/>
  <c r="AH184" i="1"/>
  <c r="AM184" i="1"/>
  <c r="AN184" i="1"/>
  <c r="K151" i="1"/>
  <c r="L151" i="1"/>
  <c r="M151" i="1"/>
  <c r="N151" i="1" s="1"/>
  <c r="V151" i="1"/>
  <c r="S14" i="3" s="1"/>
  <c r="Y151" i="1"/>
  <c r="Z151" i="1"/>
  <c r="AB151" i="1"/>
  <c r="AC151" i="1"/>
  <c r="AD151" i="1"/>
  <c r="AE151" i="1"/>
  <c r="R14" i="3" s="1"/>
  <c r="AF151" i="1"/>
  <c r="AH185" i="1"/>
  <c r="AM185" i="1"/>
  <c r="AN185" i="1"/>
  <c r="K152" i="1"/>
  <c r="L152" i="1"/>
  <c r="M152" i="1"/>
  <c r="N152" i="1" s="1"/>
  <c r="V152" i="1"/>
  <c r="Y152" i="1"/>
  <c r="Z152" i="1"/>
  <c r="AB152" i="1"/>
  <c r="AC152" i="1"/>
  <c r="AD152" i="1"/>
  <c r="T152" i="1" s="1"/>
  <c r="AE152" i="1"/>
  <c r="AF152" i="1"/>
  <c r="AH186" i="1"/>
  <c r="AM186" i="1"/>
  <c r="AN186" i="1"/>
  <c r="K153" i="1"/>
  <c r="L153" i="1"/>
  <c r="M153" i="1"/>
  <c r="N153" i="1" s="1"/>
  <c r="V153" i="1"/>
  <c r="Y153" i="1"/>
  <c r="Z153" i="1"/>
  <c r="AB153" i="1"/>
  <c r="AC153" i="1"/>
  <c r="AD153" i="1"/>
  <c r="T153" i="1" s="1"/>
  <c r="AE153" i="1"/>
  <c r="AF153" i="1"/>
  <c r="AH187" i="1"/>
  <c r="AM187" i="1"/>
  <c r="AN187" i="1"/>
  <c r="K154" i="1"/>
  <c r="L154" i="1"/>
  <c r="M154" i="1"/>
  <c r="N154" i="1" s="1"/>
  <c r="V154" i="1"/>
  <c r="Y154" i="1"/>
  <c r="Z154" i="1"/>
  <c r="AB154" i="1"/>
  <c r="AC154" i="1"/>
  <c r="AD154" i="1"/>
  <c r="T154" i="1" s="1"/>
  <c r="AE154" i="1"/>
  <c r="AF154" i="1"/>
  <c r="AH188" i="1"/>
  <c r="AM188" i="1"/>
  <c r="AN188" i="1"/>
  <c r="K155" i="1"/>
  <c r="L155" i="1"/>
  <c r="M155" i="1"/>
  <c r="N155" i="1" s="1"/>
  <c r="V155" i="1"/>
  <c r="S13" i="3" s="1"/>
  <c r="Y155" i="1"/>
  <c r="Z155" i="1"/>
  <c r="AB155" i="1"/>
  <c r="AC155" i="1"/>
  <c r="AD155" i="1"/>
  <c r="AE155" i="1"/>
  <c r="R13" i="3" s="1"/>
  <c r="AF155" i="1"/>
  <c r="AH189" i="1"/>
  <c r="AM189" i="1"/>
  <c r="AN189" i="1"/>
  <c r="K156" i="1"/>
  <c r="L156" i="1"/>
  <c r="M156" i="1"/>
  <c r="N156" i="1" s="1"/>
  <c r="V156" i="1"/>
  <c r="Y156" i="1"/>
  <c r="Z156" i="1"/>
  <c r="AB156" i="1"/>
  <c r="AC156" i="1"/>
  <c r="AD156" i="1"/>
  <c r="AE156" i="1"/>
  <c r="AF156" i="1"/>
  <c r="AH190" i="1"/>
  <c r="AM190" i="1"/>
  <c r="AN190" i="1"/>
  <c r="K157" i="1"/>
  <c r="L157" i="1"/>
  <c r="M157" i="1"/>
  <c r="N157" i="1" s="1"/>
  <c r="V157" i="1"/>
  <c r="Y157" i="1"/>
  <c r="Z157" i="1"/>
  <c r="AB157" i="1"/>
  <c r="AC157" i="1"/>
  <c r="AD157" i="1"/>
  <c r="AE157" i="1"/>
  <c r="AF157" i="1"/>
  <c r="AH191" i="1"/>
  <c r="AM191" i="1"/>
  <c r="AN191" i="1"/>
  <c r="K158" i="1"/>
  <c r="L158" i="1"/>
  <c r="M158" i="1"/>
  <c r="N158" i="1" s="1"/>
  <c r="V158" i="1"/>
  <c r="S26" i="3" s="1"/>
  <c r="Y158" i="1"/>
  <c r="Z158" i="1"/>
  <c r="AB158" i="1"/>
  <c r="AC158" i="1"/>
  <c r="AD158" i="1"/>
  <c r="T158" i="1" s="1"/>
  <c r="AE158" i="1"/>
  <c r="R26" i="3" s="1"/>
  <c r="AF158" i="1"/>
  <c r="AH192" i="1"/>
  <c r="AM192" i="1"/>
  <c r="AN192" i="1"/>
  <c r="K159" i="1"/>
  <c r="L159" i="1"/>
  <c r="M159" i="1"/>
  <c r="N159" i="1" s="1"/>
  <c r="V159" i="1"/>
  <c r="Y159" i="1"/>
  <c r="Z159" i="1"/>
  <c r="AB159" i="1"/>
  <c r="AC159" i="1"/>
  <c r="AD159" i="1"/>
  <c r="T159" i="1" s="1"/>
  <c r="AE159" i="1"/>
  <c r="AF159" i="1"/>
  <c r="AH193" i="1"/>
  <c r="AM193" i="1"/>
  <c r="AN193" i="1"/>
  <c r="K160" i="1"/>
  <c r="L160" i="1"/>
  <c r="M160" i="1"/>
  <c r="N160" i="1" s="1"/>
  <c r="V160" i="1"/>
  <c r="Y160" i="1"/>
  <c r="AA160" i="1" s="1"/>
  <c r="Z160" i="1"/>
  <c r="AB160" i="1"/>
  <c r="AC160" i="1"/>
  <c r="AD160" i="1"/>
  <c r="X160" i="1" s="1"/>
  <c r="AE160" i="1"/>
  <c r="AF160" i="1"/>
  <c r="AH194" i="1"/>
  <c r="AM194" i="1"/>
  <c r="AN194" i="1"/>
  <c r="AH195" i="1"/>
  <c r="AM195" i="1"/>
  <c r="AN195" i="1"/>
  <c r="K195" i="1"/>
  <c r="L195" i="1"/>
  <c r="M195" i="1"/>
  <c r="N195" i="1" s="1"/>
  <c r="V195" i="1"/>
  <c r="Y195" i="1"/>
  <c r="Z195" i="1"/>
  <c r="AA195" i="1" s="1"/>
  <c r="AB195" i="1"/>
  <c r="AC195" i="1"/>
  <c r="AD195" i="1"/>
  <c r="T195" i="1" s="1"/>
  <c r="AE195" i="1"/>
  <c r="AF195" i="1"/>
  <c r="AH196" i="1"/>
  <c r="AM196" i="1"/>
  <c r="AN196" i="1"/>
  <c r="K196" i="1"/>
  <c r="L196" i="1"/>
  <c r="M196" i="1"/>
  <c r="N196" i="1" s="1"/>
  <c r="V196" i="1"/>
  <c r="Y196" i="1"/>
  <c r="Z196" i="1"/>
  <c r="AB196" i="1"/>
  <c r="AC196" i="1"/>
  <c r="AD196" i="1"/>
  <c r="T196" i="1" s="1"/>
  <c r="AE196" i="1"/>
  <c r="AF196" i="1"/>
  <c r="AH197" i="1"/>
  <c r="AM197" i="1"/>
  <c r="AN197" i="1"/>
  <c r="K197" i="1"/>
  <c r="L197" i="1"/>
  <c r="M197" i="1"/>
  <c r="N197" i="1" s="1"/>
  <c r="V197" i="1"/>
  <c r="Y197" i="1"/>
  <c r="Z197" i="1"/>
  <c r="AB197" i="1"/>
  <c r="AC197" i="1"/>
  <c r="AD197" i="1"/>
  <c r="T197" i="1" s="1"/>
  <c r="AE197" i="1"/>
  <c r="AF197" i="1"/>
  <c r="AH198" i="1"/>
  <c r="AM198" i="1"/>
  <c r="AN198" i="1"/>
  <c r="K198" i="1"/>
  <c r="L198" i="1"/>
  <c r="M198" i="1"/>
  <c r="N198" i="1" s="1"/>
  <c r="V198" i="1"/>
  <c r="Y198" i="1"/>
  <c r="Z198" i="1"/>
  <c r="AB198" i="1"/>
  <c r="AC198" i="1"/>
  <c r="AD198" i="1"/>
  <c r="T198" i="1" s="1"/>
  <c r="AE198" i="1"/>
  <c r="AF198" i="1"/>
  <c r="AH199" i="1"/>
  <c r="AM199" i="1"/>
  <c r="AN199" i="1"/>
  <c r="K199" i="1"/>
  <c r="L199" i="1"/>
  <c r="M199" i="1"/>
  <c r="N199" i="1" s="1"/>
  <c r="V199" i="1"/>
  <c r="Y199" i="1"/>
  <c r="Z199" i="1"/>
  <c r="AB199" i="1"/>
  <c r="AC199" i="1"/>
  <c r="AD199" i="1"/>
  <c r="X199" i="1" s="1"/>
  <c r="AE199" i="1"/>
  <c r="AF199" i="1"/>
  <c r="AH200" i="1"/>
  <c r="AM200" i="1"/>
  <c r="AN200" i="1"/>
  <c r="K200" i="1"/>
  <c r="L200" i="1"/>
  <c r="M200" i="1"/>
  <c r="N200" i="1" s="1"/>
  <c r="V200" i="1"/>
  <c r="Y200" i="1"/>
  <c r="Z200" i="1"/>
  <c r="AB200" i="1"/>
  <c r="AC200" i="1"/>
  <c r="AD200" i="1"/>
  <c r="T200" i="1" s="1"/>
  <c r="AE200" i="1"/>
  <c r="AF200" i="1"/>
  <c r="AH201" i="1"/>
  <c r="AM201" i="1"/>
  <c r="AN201" i="1"/>
  <c r="K201" i="1"/>
  <c r="L201" i="1"/>
  <c r="M201" i="1"/>
  <c r="N201" i="1" s="1"/>
  <c r="V201" i="1"/>
  <c r="Y201" i="1"/>
  <c r="Z201" i="1"/>
  <c r="AB201" i="1"/>
  <c r="AC201" i="1"/>
  <c r="AD201" i="1"/>
  <c r="T201" i="1" s="1"/>
  <c r="AE201" i="1"/>
  <c r="AF201" i="1"/>
  <c r="AH202" i="1"/>
  <c r="AM202" i="1"/>
  <c r="AN202" i="1"/>
  <c r="K202" i="1"/>
  <c r="L202" i="1"/>
  <c r="M202" i="1"/>
  <c r="N202" i="1" s="1"/>
  <c r="V202" i="1"/>
  <c r="Y202" i="1"/>
  <c r="Z202" i="1"/>
  <c r="AA202" i="1" s="1"/>
  <c r="AB202" i="1"/>
  <c r="AC202" i="1"/>
  <c r="AD202" i="1"/>
  <c r="T202" i="1" s="1"/>
  <c r="AE202" i="1"/>
  <c r="AF202" i="1"/>
  <c r="AH203" i="1"/>
  <c r="AM203" i="1"/>
  <c r="AN203" i="1"/>
  <c r="K203" i="1"/>
  <c r="L203" i="1"/>
  <c r="M203" i="1"/>
  <c r="N203" i="1" s="1"/>
  <c r="V203" i="1"/>
  <c r="Y203" i="1"/>
  <c r="Z203" i="1"/>
  <c r="AB203" i="1"/>
  <c r="AC203" i="1"/>
  <c r="AD203" i="1"/>
  <c r="T203" i="1" s="1"/>
  <c r="AE203" i="1"/>
  <c r="AF203" i="1"/>
  <c r="AH204" i="1"/>
  <c r="AM204" i="1"/>
  <c r="AN204" i="1"/>
  <c r="K204" i="1"/>
  <c r="L204" i="1"/>
  <c r="M204" i="1"/>
  <c r="N204" i="1" s="1"/>
  <c r="V204" i="1"/>
  <c r="Y204" i="1"/>
  <c r="Z204" i="1"/>
  <c r="AB204" i="1"/>
  <c r="AC204" i="1"/>
  <c r="AD204" i="1"/>
  <c r="T204" i="1" s="1"/>
  <c r="AE204" i="1"/>
  <c r="AF204" i="1"/>
  <c r="AH205" i="1"/>
  <c r="AM205" i="1"/>
  <c r="AN205" i="1"/>
  <c r="K205" i="1"/>
  <c r="L205" i="1"/>
  <c r="M205" i="1"/>
  <c r="N205" i="1" s="1"/>
  <c r="V205" i="1"/>
  <c r="Y205" i="1"/>
  <c r="Z205" i="1"/>
  <c r="AB205" i="1"/>
  <c r="AC205" i="1"/>
  <c r="AD205" i="1"/>
  <c r="T205" i="1" s="1"/>
  <c r="AE205" i="1"/>
  <c r="AF205" i="1"/>
  <c r="AH206" i="1"/>
  <c r="AM206" i="1"/>
  <c r="AN206" i="1"/>
  <c r="K206" i="1"/>
  <c r="L206" i="1"/>
  <c r="M206" i="1"/>
  <c r="N206" i="1" s="1"/>
  <c r="V206" i="1"/>
  <c r="Y206" i="1"/>
  <c r="Z206" i="1"/>
  <c r="AB206" i="1"/>
  <c r="AC206" i="1"/>
  <c r="AD206" i="1"/>
  <c r="T206" i="1" s="1"/>
  <c r="AE206" i="1"/>
  <c r="AF206" i="1"/>
  <c r="AH207" i="1"/>
  <c r="AM207" i="1"/>
  <c r="AN207" i="1"/>
  <c r="K207" i="1"/>
  <c r="L207" i="1"/>
  <c r="M207" i="1"/>
  <c r="N207" i="1" s="1"/>
  <c r="V207" i="1"/>
  <c r="Y207" i="1"/>
  <c r="Z207" i="1"/>
  <c r="AB207" i="1"/>
  <c r="AC207" i="1"/>
  <c r="AD207" i="1"/>
  <c r="T207" i="1" s="1"/>
  <c r="AE207" i="1"/>
  <c r="AF207" i="1"/>
  <c r="AH208" i="1"/>
  <c r="AM208" i="1"/>
  <c r="AN208" i="1"/>
  <c r="K208" i="1"/>
  <c r="L208" i="1"/>
  <c r="M208" i="1"/>
  <c r="N208" i="1" s="1"/>
  <c r="V208" i="1"/>
  <c r="Y208" i="1"/>
  <c r="Z208" i="1"/>
  <c r="AB208" i="1"/>
  <c r="AC208" i="1"/>
  <c r="AD208" i="1"/>
  <c r="T208" i="1" s="1"/>
  <c r="AE208" i="1"/>
  <c r="AF208" i="1"/>
  <c r="AH209" i="1"/>
  <c r="AM209" i="1"/>
  <c r="AN209" i="1"/>
  <c r="K209" i="1"/>
  <c r="L209" i="1"/>
  <c r="M209" i="1"/>
  <c r="N209" i="1" s="1"/>
  <c r="V209" i="1"/>
  <c r="Y209" i="1"/>
  <c r="Z209" i="1"/>
  <c r="AB209" i="1"/>
  <c r="AC209" i="1"/>
  <c r="AD209" i="1"/>
  <c r="T209" i="1" s="1"/>
  <c r="AE209" i="1"/>
  <c r="AF209" i="1"/>
  <c r="AH210" i="1"/>
  <c r="AM210" i="1"/>
  <c r="AN210" i="1"/>
  <c r="K210" i="1"/>
  <c r="L210" i="1"/>
  <c r="M210" i="1"/>
  <c r="N210" i="1" s="1"/>
  <c r="V210" i="1"/>
  <c r="Y210" i="1"/>
  <c r="Z210" i="1"/>
  <c r="AB210" i="1"/>
  <c r="AC210" i="1"/>
  <c r="AD210" i="1"/>
  <c r="T210" i="1" s="1"/>
  <c r="AE210" i="1"/>
  <c r="AF210" i="1"/>
  <c r="AH211" i="1"/>
  <c r="AM211" i="1"/>
  <c r="AN211" i="1"/>
  <c r="K212" i="1"/>
  <c r="L212" i="1"/>
  <c r="M212" i="1"/>
  <c r="N212" i="1" s="1"/>
  <c r="V212" i="1"/>
  <c r="Y212" i="1"/>
  <c r="Z212" i="1"/>
  <c r="AB212" i="1"/>
  <c r="AC212" i="1"/>
  <c r="AD212" i="1"/>
  <c r="X212" i="1" s="1"/>
  <c r="AE212" i="1"/>
  <c r="AF212" i="1"/>
  <c r="AH212" i="1"/>
  <c r="AM212" i="1"/>
  <c r="AN212" i="1"/>
  <c r="K213" i="1"/>
  <c r="L213" i="1"/>
  <c r="M213" i="1"/>
  <c r="P213" i="1" s="1"/>
  <c r="V213" i="1"/>
  <c r="S45" i="3" s="1"/>
  <c r="Y213" i="1"/>
  <c r="Z213" i="1"/>
  <c r="AB213" i="1"/>
  <c r="AC213" i="1"/>
  <c r="AD213" i="1"/>
  <c r="T213" i="1" s="1"/>
  <c r="AE213" i="1"/>
  <c r="R45" i="3" s="1"/>
  <c r="AF213" i="1"/>
  <c r="AH213" i="1"/>
  <c r="AM213" i="1"/>
  <c r="AN213" i="1"/>
  <c r="K214" i="1"/>
  <c r="L214" i="1"/>
  <c r="M214" i="1"/>
  <c r="N214" i="1" s="1"/>
  <c r="V214" i="1"/>
  <c r="Y214" i="1"/>
  <c r="Z214" i="1"/>
  <c r="AB214" i="1"/>
  <c r="AC214" i="1"/>
  <c r="AD214" i="1"/>
  <c r="T214" i="1" s="1"/>
  <c r="AE214" i="1"/>
  <c r="AF214" i="1"/>
  <c r="AH214" i="1"/>
  <c r="AM214" i="1"/>
  <c r="AN214" i="1"/>
  <c r="K215" i="1"/>
  <c r="L215" i="1"/>
  <c r="M215" i="1"/>
  <c r="N215" i="1" s="1"/>
  <c r="V215" i="1"/>
  <c r="Y215" i="1"/>
  <c r="Z215" i="1"/>
  <c r="AB215" i="1"/>
  <c r="AC215" i="1"/>
  <c r="AD215" i="1"/>
  <c r="T215" i="1" s="1"/>
  <c r="AE215" i="1"/>
  <c r="AF215" i="1"/>
  <c r="AH215" i="1"/>
  <c r="AM215" i="1"/>
  <c r="AN215" i="1"/>
  <c r="K216" i="1"/>
  <c r="L216" i="1"/>
  <c r="M216" i="1"/>
  <c r="N216" i="1" s="1"/>
  <c r="V216" i="1"/>
  <c r="Y216" i="1"/>
  <c r="Z216" i="1"/>
  <c r="AB216" i="1"/>
  <c r="AC216" i="1"/>
  <c r="AD216" i="1"/>
  <c r="X216" i="1" s="1"/>
  <c r="AE216" i="1"/>
  <c r="AF216" i="1"/>
  <c r="AH216" i="1"/>
  <c r="AM216" i="1"/>
  <c r="AN216" i="1"/>
  <c r="K217" i="1"/>
  <c r="L217" i="1"/>
  <c r="M217" i="1"/>
  <c r="N217" i="1" s="1"/>
  <c r="V217" i="1"/>
  <c r="Y217" i="1"/>
  <c r="Z217" i="1"/>
  <c r="AB217" i="1"/>
  <c r="AC217" i="1"/>
  <c r="AD217" i="1"/>
  <c r="T217" i="1" s="1"/>
  <c r="AE217" i="1"/>
  <c r="AF217" i="1"/>
  <c r="AH217" i="1"/>
  <c r="AM217" i="1"/>
  <c r="AN217" i="1"/>
  <c r="K218" i="1"/>
  <c r="L218" i="1"/>
  <c r="M218" i="1"/>
  <c r="N218" i="1" s="1"/>
  <c r="V218" i="1"/>
  <c r="Y218" i="1"/>
  <c r="Z218" i="1"/>
  <c r="AB218" i="1"/>
  <c r="AC218" i="1"/>
  <c r="AD218" i="1"/>
  <c r="T218" i="1" s="1"/>
  <c r="AE218" i="1"/>
  <c r="AF218" i="1"/>
  <c r="AH218" i="1"/>
  <c r="AM218" i="1"/>
  <c r="AN218" i="1"/>
  <c r="M27" i="3"/>
  <c r="R27" i="3"/>
  <c r="U27" i="3"/>
  <c r="T27" i="3" s="1"/>
  <c r="V27" i="3"/>
  <c r="X27" i="3"/>
  <c r="M25" i="3"/>
  <c r="R25" i="3"/>
  <c r="S25" i="3"/>
  <c r="U25" i="3"/>
  <c r="V25" i="3"/>
  <c r="X25" i="3"/>
  <c r="AC25" i="3"/>
  <c r="M41" i="3"/>
  <c r="U41" i="3"/>
  <c r="AC41" i="3" s="1"/>
  <c r="V41" i="3"/>
  <c r="X41" i="3"/>
  <c r="M28" i="3"/>
  <c r="S28" i="3"/>
  <c r="U28" i="3"/>
  <c r="AC28" i="3" s="1"/>
  <c r="V28" i="3"/>
  <c r="X28" i="3"/>
  <c r="M29" i="3"/>
  <c r="S29" i="3"/>
  <c r="U29" i="3"/>
  <c r="T29" i="3" s="1"/>
  <c r="V29" i="3"/>
  <c r="X29" i="3"/>
  <c r="AC29" i="3"/>
  <c r="M11" i="3"/>
  <c r="R11" i="3"/>
  <c r="S11" i="3"/>
  <c r="U11" i="3"/>
  <c r="AD11" i="3" s="1"/>
  <c r="V11" i="3"/>
  <c r="X11" i="3"/>
  <c r="M43" i="3"/>
  <c r="S43" i="3"/>
  <c r="U43" i="3"/>
  <c r="AC43" i="3" s="1"/>
  <c r="V43" i="3"/>
  <c r="X43" i="3"/>
  <c r="M10" i="3"/>
  <c r="R10" i="3"/>
  <c r="S10" i="3"/>
  <c r="T10" i="3"/>
  <c r="U10" i="3"/>
  <c r="AC10" i="3" s="1"/>
  <c r="V10" i="3"/>
  <c r="X10" i="3"/>
  <c r="M15" i="3"/>
  <c r="R15" i="3"/>
  <c r="S15" i="3"/>
  <c r="U15" i="3"/>
  <c r="T15" i="3" s="1"/>
  <c r="V15" i="3"/>
  <c r="X15" i="3"/>
  <c r="M21" i="3"/>
  <c r="R21" i="3"/>
  <c r="U21" i="3"/>
  <c r="V21" i="3"/>
  <c r="X21" i="3"/>
  <c r="AC21" i="3"/>
  <c r="M22" i="3"/>
  <c r="R22" i="3"/>
  <c r="U22" i="3"/>
  <c r="AC22" i="3" s="1"/>
  <c r="V22" i="3"/>
  <c r="X22" i="3"/>
  <c r="M12" i="3"/>
  <c r="R12" i="3"/>
  <c r="S12" i="3"/>
  <c r="U12" i="3"/>
  <c r="AC12" i="3" s="1"/>
  <c r="V12" i="3"/>
  <c r="X12" i="3"/>
  <c r="M42" i="3"/>
  <c r="U42" i="3"/>
  <c r="T42" i="3" s="1"/>
  <c r="V42" i="3"/>
  <c r="X42" i="3"/>
  <c r="M8" i="3"/>
  <c r="R8" i="3"/>
  <c r="U8" i="3"/>
  <c r="AD21" i="3" s="1"/>
  <c r="V8" i="3"/>
  <c r="X8" i="3"/>
  <c r="M30" i="3"/>
  <c r="R30" i="3"/>
  <c r="S30" i="3"/>
  <c r="U30" i="3"/>
  <c r="AC30" i="3" s="1"/>
  <c r="V30" i="3"/>
  <c r="X30" i="3"/>
  <c r="M31" i="3"/>
  <c r="U31" i="3"/>
  <c r="AC31" i="3" s="1"/>
  <c r="V31" i="3"/>
  <c r="AE31" i="3" s="1"/>
  <c r="X31" i="3"/>
  <c r="M18" i="3"/>
  <c r="S18" i="3"/>
  <c r="U18" i="3"/>
  <c r="T18" i="3" s="1"/>
  <c r="V18" i="3"/>
  <c r="X18" i="3"/>
  <c r="M34" i="3"/>
  <c r="S34" i="3"/>
  <c r="U34" i="3"/>
  <c r="AD25" i="3" s="1"/>
  <c r="V34" i="3"/>
  <c r="X34" i="3"/>
  <c r="M32" i="3"/>
  <c r="R32" i="3"/>
  <c r="U32" i="3"/>
  <c r="AC32" i="3" s="1"/>
  <c r="V32" i="3"/>
  <c r="X32" i="3"/>
  <c r="M16" i="3"/>
  <c r="R16" i="3"/>
  <c r="U16" i="3"/>
  <c r="AC16" i="3" s="1"/>
  <c r="V16" i="3"/>
  <c r="X16" i="3"/>
  <c r="AD27" i="3"/>
  <c r="M35" i="3"/>
  <c r="T35" i="3"/>
  <c r="U35" i="3"/>
  <c r="V35" i="3"/>
  <c r="X35" i="3"/>
  <c r="AC35" i="3"/>
  <c r="M33" i="3"/>
  <c r="U33" i="3"/>
  <c r="AD29" i="3" s="1"/>
  <c r="V33" i="3"/>
  <c r="X33" i="3"/>
  <c r="M7" i="3"/>
  <c r="U7" i="3"/>
  <c r="AC7" i="3" s="1"/>
  <c r="V7" i="3"/>
  <c r="X7" i="3"/>
  <c r="M36" i="3"/>
  <c r="U36" i="3"/>
  <c r="AC36" i="3" s="1"/>
  <c r="V36" i="3"/>
  <c r="X36" i="3"/>
  <c r="M37" i="3"/>
  <c r="U37" i="3"/>
  <c r="T37" i="3" s="1"/>
  <c r="V37" i="3"/>
  <c r="X37" i="3"/>
  <c r="M9" i="3"/>
  <c r="U9" i="3"/>
  <c r="AD33" i="3" s="1"/>
  <c r="V9" i="3"/>
  <c r="X9" i="3"/>
  <c r="M44" i="3"/>
  <c r="S44" i="3"/>
  <c r="U44" i="3"/>
  <c r="AC44" i="3" s="1"/>
  <c r="V44" i="3"/>
  <c r="X44" i="3"/>
  <c r="M45" i="3"/>
  <c r="U45" i="3"/>
  <c r="AC45" i="3" s="1"/>
  <c r="V45" i="3"/>
  <c r="AE35" i="3" s="1"/>
  <c r="X45" i="3"/>
  <c r="AD35" i="3"/>
  <c r="M19" i="3"/>
  <c r="R19" i="3"/>
  <c r="S19" i="3"/>
  <c r="U19" i="3"/>
  <c r="AD19" i="3" s="1"/>
  <c r="V19" i="3"/>
  <c r="X19" i="3"/>
  <c r="M38" i="3"/>
  <c r="R38" i="3"/>
  <c r="S38" i="3"/>
  <c r="U38" i="3"/>
  <c r="V38" i="3"/>
  <c r="X38" i="3"/>
  <c r="M39" i="3"/>
  <c r="R39" i="3"/>
  <c r="U39" i="3"/>
  <c r="AC39" i="3" s="1"/>
  <c r="V39" i="3"/>
  <c r="AE39" i="3" s="1"/>
  <c r="X39" i="3"/>
  <c r="M17" i="3"/>
  <c r="S17" i="3"/>
  <c r="U17" i="3"/>
  <c r="AC17" i="3" s="1"/>
  <c r="V17" i="3"/>
  <c r="X17" i="3"/>
  <c r="M40" i="3"/>
  <c r="U40" i="3"/>
  <c r="T40" i="3" s="1"/>
  <c r="V40" i="3"/>
  <c r="X40" i="3"/>
  <c r="M14" i="3"/>
  <c r="U14" i="3"/>
  <c r="AD41" i="3" s="1"/>
  <c r="V14" i="3"/>
  <c r="X14" i="3"/>
  <c r="M20" i="3"/>
  <c r="S20" i="3"/>
  <c r="U20" i="3"/>
  <c r="AC20" i="3" s="1"/>
  <c r="V20" i="3"/>
  <c r="X20" i="3"/>
  <c r="M13" i="3"/>
  <c r="U13" i="3"/>
  <c r="AC13" i="3" s="1"/>
  <c r="V13" i="3"/>
  <c r="AE43" i="3" s="1"/>
  <c r="X13" i="3"/>
  <c r="M26" i="3"/>
  <c r="T26" i="3"/>
  <c r="U26" i="3"/>
  <c r="V26" i="3"/>
  <c r="X26" i="3"/>
  <c r="AC26" i="3"/>
  <c r="M24" i="3"/>
  <c r="R24" i="3"/>
  <c r="S24" i="3"/>
  <c r="U24" i="3"/>
  <c r="AD24" i="3" s="1"/>
  <c r="V24" i="3"/>
  <c r="X24" i="3"/>
  <c r="W25" i="3"/>
  <c r="W34" i="3"/>
  <c r="W14" i="3"/>
  <c r="W22" i="3"/>
  <c r="W44" i="3"/>
  <c r="W17" i="3"/>
  <c r="W12" i="3"/>
  <c r="W13" i="3"/>
  <c r="W42" i="3"/>
  <c r="W19" i="3"/>
  <c r="W21" i="3"/>
  <c r="W9" i="3"/>
  <c r="W41" i="3"/>
  <c r="W32" i="3"/>
  <c r="W20" i="3"/>
  <c r="W28" i="3"/>
  <c r="W36" i="3"/>
  <c r="W29" i="3"/>
  <c r="W35" i="3"/>
  <c r="W11" i="3"/>
  <c r="W33" i="3"/>
  <c r="W24" i="3"/>
  <c r="W30" i="3"/>
  <c r="W39" i="3"/>
  <c r="W40" i="3"/>
  <c r="W31" i="3"/>
  <c r="W27" i="3"/>
  <c r="W18" i="3"/>
  <c r="W26" i="3"/>
  <c r="W8" i="3"/>
  <c r="W43" i="3"/>
  <c r="W7" i="3"/>
  <c r="W10" i="3"/>
  <c r="W15" i="3"/>
  <c r="W38" i="3"/>
  <c r="W16" i="3"/>
  <c r="W45" i="3"/>
  <c r="W37" i="3"/>
  <c r="AG48" i="1"/>
  <c r="AG30" i="1"/>
  <c r="AG58" i="1"/>
  <c r="AG60" i="1"/>
  <c r="AG162" i="1"/>
  <c r="AG90" i="1"/>
  <c r="AG181" i="1"/>
  <c r="AG146" i="1"/>
  <c r="AG137" i="1"/>
  <c r="AG132" i="1"/>
  <c r="AG127" i="1"/>
  <c r="AG210" i="1"/>
  <c r="AG213" i="1"/>
  <c r="AG82" i="1"/>
  <c r="AG179" i="1"/>
  <c r="AG129" i="1"/>
  <c r="AG199" i="1"/>
  <c r="AG54" i="1"/>
  <c r="AG169" i="1"/>
  <c r="AG133" i="1"/>
  <c r="AG205" i="1"/>
  <c r="AG27" i="1"/>
  <c r="AG50" i="1"/>
  <c r="AG78" i="1"/>
  <c r="AG80" i="1"/>
  <c r="AG96" i="1"/>
  <c r="AG175" i="1"/>
  <c r="AG103" i="1"/>
  <c r="AG191" i="1"/>
  <c r="AG187" i="1"/>
  <c r="AG152" i="1"/>
  <c r="AG147" i="1"/>
  <c r="AG215" i="1"/>
  <c r="AG217" i="1"/>
  <c r="AG17" i="1"/>
  <c r="AG84" i="1"/>
  <c r="AG97" i="1"/>
  <c r="AG28" i="1"/>
  <c r="AG42" i="1"/>
  <c r="AG87" i="1"/>
  <c r="AG128" i="1"/>
  <c r="AG15" i="1"/>
  <c r="AG55" i="1"/>
  <c r="AG189" i="1"/>
  <c r="AG124" i="1"/>
  <c r="AG201" i="1"/>
  <c r="AG53" i="1"/>
  <c r="AG168" i="1"/>
  <c r="AG149" i="1"/>
  <c r="AG156" i="1"/>
  <c r="AG144" i="1"/>
  <c r="AG23" i="1"/>
  <c r="AG46" i="1"/>
  <c r="AG74" i="1"/>
  <c r="AG76" i="1"/>
  <c r="AG177" i="1"/>
  <c r="AG99" i="1"/>
  <c r="AG188" i="1"/>
  <c r="AG153" i="1"/>
  <c r="AG148" i="1"/>
  <c r="AG143" i="1"/>
  <c r="AG31" i="1"/>
  <c r="AG68" i="1"/>
  <c r="AG108" i="1"/>
  <c r="AG69" i="1"/>
  <c r="AG194" i="1"/>
  <c r="AG43" i="1"/>
  <c r="AG61" i="1"/>
  <c r="AG161" i="1"/>
  <c r="AG118" i="1"/>
  <c r="AG211" i="1"/>
  <c r="AG195" i="1"/>
  <c r="AG24" i="1"/>
  <c r="AG164" i="1"/>
  <c r="AG44" i="1"/>
  <c r="AG163" i="1"/>
  <c r="AG38" i="1"/>
  <c r="AG138" i="1"/>
  <c r="AG204" i="1"/>
  <c r="AG56" i="1"/>
  <c r="AG112" i="1"/>
  <c r="AG139" i="1"/>
  <c r="AG32" i="1"/>
  <c r="AG14" i="1"/>
  <c r="AG41" i="1"/>
  <c r="AG171" i="1"/>
  <c r="AG160" i="1"/>
  <c r="AG174" i="1"/>
  <c r="AG202" i="1"/>
  <c r="AG182" i="1"/>
  <c r="AG20" i="1"/>
  <c r="AG29" i="1"/>
  <c r="AG67" i="1"/>
  <c r="AG89" i="1"/>
  <c r="AG109" i="1"/>
  <c r="AG100" i="1"/>
  <c r="AG197" i="1"/>
  <c r="AG66" i="1"/>
  <c r="AG140" i="1"/>
  <c r="AG21" i="1"/>
  <c r="AG123" i="1"/>
  <c r="AG170" i="1"/>
  <c r="AG104" i="1"/>
  <c r="AG178" i="1"/>
  <c r="AG159" i="1"/>
  <c r="AG16" i="1"/>
  <c r="AG39" i="1"/>
  <c r="AG25" i="1"/>
  <c r="AG57" i="1"/>
  <c r="AG63" i="1"/>
  <c r="AG91" i="1"/>
  <c r="AG85" i="1"/>
  <c r="AG114" i="1"/>
  <c r="AG105" i="1"/>
  <c r="AG101" i="1"/>
  <c r="AG193" i="1"/>
  <c r="AG158" i="1"/>
  <c r="AG209" i="1"/>
  <c r="AG22" i="1"/>
  <c r="AG88" i="1"/>
  <c r="AG122" i="1"/>
  <c r="AG186" i="1"/>
  <c r="AG218" i="1"/>
  <c r="AG59" i="1"/>
  <c r="AG192" i="1"/>
  <c r="AG190" i="1"/>
  <c r="AG36" i="1"/>
  <c r="AG18" i="1"/>
  <c r="AG45" i="1"/>
  <c r="AG77" i="1"/>
  <c r="AG83" i="1"/>
  <c r="AG176" i="1"/>
  <c r="AG95" i="1"/>
  <c r="AG134" i="1"/>
  <c r="AG125" i="1"/>
  <c r="AG120" i="1"/>
  <c r="AG115" i="1"/>
  <c r="AG212" i="1"/>
  <c r="AG214" i="1"/>
  <c r="AG40" i="1"/>
  <c r="AG81" i="1"/>
  <c r="AG106" i="1"/>
  <c r="AG151" i="1"/>
  <c r="AG19" i="1"/>
  <c r="AG70" i="1"/>
  <c r="AG126" i="1"/>
  <c r="AG157" i="1"/>
  <c r="AG49" i="1"/>
  <c r="AG180" i="1"/>
  <c r="AG113" i="1"/>
  <c r="AG135" i="1"/>
  <c r="AG26" i="1"/>
  <c r="AG75" i="1"/>
  <c r="AG110" i="1"/>
  <c r="AG107" i="1"/>
  <c r="AG86" i="1"/>
  <c r="AG206" i="1"/>
  <c r="AG172" i="1"/>
  <c r="AG116" i="1"/>
  <c r="AG33" i="1"/>
  <c r="AG51" i="1"/>
  <c r="AG52" i="1"/>
  <c r="AG166" i="1"/>
  <c r="AG141" i="1"/>
  <c r="AG200" i="1"/>
  <c r="AG154" i="1"/>
  <c r="AG208" i="1"/>
  <c r="AG216" i="1"/>
  <c r="AG155" i="1"/>
  <c r="AG167" i="1"/>
  <c r="AG165" i="1"/>
  <c r="AG92" i="1"/>
  <c r="AG94" i="1"/>
  <c r="AG47" i="1"/>
  <c r="AG65" i="1"/>
  <c r="AG102" i="1"/>
  <c r="AG130" i="1"/>
  <c r="AG142" i="1"/>
  <c r="AG185" i="1"/>
  <c r="AG72" i="1"/>
  <c r="AG79" i="1"/>
  <c r="AG196" i="1"/>
  <c r="AG203" i="1"/>
  <c r="AG150" i="1"/>
  <c r="AG117" i="1"/>
  <c r="AG184" i="1"/>
  <c r="AG111" i="1"/>
  <c r="AG34" i="1"/>
  <c r="AG136" i="1"/>
  <c r="AG35" i="1"/>
  <c r="AG37" i="1"/>
  <c r="AG73" i="1"/>
  <c r="AG98" i="1"/>
  <c r="AG62" i="1"/>
  <c r="AG71" i="1"/>
  <c r="AG173" i="1"/>
  <c r="AG183" i="1"/>
  <c r="AG207" i="1"/>
  <c r="AG131" i="1"/>
  <c r="AG93" i="1"/>
  <c r="AG121" i="1"/>
  <c r="AG119" i="1"/>
  <c r="AG64" i="1"/>
  <c r="AG198" i="1"/>
  <c r="AG145" i="1"/>
  <c r="AA158" i="1" l="1"/>
  <c r="AA156" i="1"/>
  <c r="AA168" i="1"/>
  <c r="AA166" i="1"/>
  <c r="AA164" i="1"/>
  <c r="AA90" i="1"/>
  <c r="P18" i="1"/>
  <c r="AA209" i="1"/>
  <c r="AA159" i="1"/>
  <c r="AA83" i="1"/>
  <c r="X21" i="1"/>
  <c r="AA20" i="1"/>
  <c r="S37" i="3"/>
  <c r="X209" i="1"/>
  <c r="AA207" i="1"/>
  <c r="AA205" i="1"/>
  <c r="AA203" i="1"/>
  <c r="AA198" i="1"/>
  <c r="AA155" i="1"/>
  <c r="X101" i="1"/>
  <c r="X194" i="1"/>
  <c r="AA192" i="1"/>
  <c r="AA187" i="1"/>
  <c r="T183" i="1"/>
  <c r="AA179" i="1"/>
  <c r="AA75" i="1"/>
  <c r="X72" i="1"/>
  <c r="X53" i="1"/>
  <c r="AA45" i="1"/>
  <c r="AA31" i="1"/>
  <c r="X17" i="1"/>
  <c r="X165" i="1"/>
  <c r="X161" i="1"/>
  <c r="X136" i="1"/>
  <c r="X172" i="1"/>
  <c r="P69" i="1"/>
  <c r="X168" i="1"/>
  <c r="T216" i="1"/>
  <c r="T176" i="1"/>
  <c r="AA218" i="1"/>
  <c r="AA216" i="1"/>
  <c r="X215" i="1"/>
  <c r="AA206" i="1"/>
  <c r="X198" i="1"/>
  <c r="AA154" i="1"/>
  <c r="AA152" i="1"/>
  <c r="AA193" i="1"/>
  <c r="AA84" i="1"/>
  <c r="AA82" i="1"/>
  <c r="X80" i="1"/>
  <c r="AA58" i="1"/>
  <c r="AA48" i="1"/>
  <c r="AA17" i="1"/>
  <c r="AA14" i="1"/>
  <c r="X167" i="1"/>
  <c r="X163" i="1"/>
  <c r="X159" i="1"/>
  <c r="X166" i="1"/>
  <c r="X162" i="1"/>
  <c r="AC42" i="3"/>
  <c r="AC19" i="3"/>
  <c r="T19" i="3"/>
  <c r="AE28" i="3"/>
  <c r="AE27" i="3"/>
  <c r="T212" i="1"/>
  <c r="X129" i="1"/>
  <c r="AA173" i="1"/>
  <c r="W173" i="1" s="1"/>
  <c r="AA171" i="1"/>
  <c r="X169" i="1"/>
  <c r="AA162" i="1"/>
  <c r="X91" i="1"/>
  <c r="X87" i="1"/>
  <c r="X83" i="1"/>
  <c r="AA81" i="1"/>
  <c r="W81" i="1" s="1"/>
  <c r="AA78" i="1"/>
  <c r="AA67" i="1"/>
  <c r="X64" i="1"/>
  <c r="AA57" i="1"/>
  <c r="AA55" i="1"/>
  <c r="X49" i="1"/>
  <c r="X45" i="1"/>
  <c r="X41" i="1"/>
  <c r="AA30" i="1"/>
  <c r="AA28" i="1"/>
  <c r="AA26" i="1"/>
  <c r="AA18" i="1"/>
  <c r="AC11" i="3"/>
  <c r="R29" i="3"/>
  <c r="AD32" i="3"/>
  <c r="AA214" i="1"/>
  <c r="W214" i="1" s="1"/>
  <c r="X149" i="1"/>
  <c r="AD43" i="3"/>
  <c r="R44" i="3"/>
  <c r="R37" i="3"/>
  <c r="AD28" i="3"/>
  <c r="T12" i="3"/>
  <c r="T28" i="3"/>
  <c r="AC27" i="3"/>
  <c r="X214" i="1"/>
  <c r="AA212" i="1"/>
  <c r="X157" i="1"/>
  <c r="AA150" i="1"/>
  <c r="W150" i="1" s="1"/>
  <c r="AA148" i="1"/>
  <c r="X140" i="1"/>
  <c r="AA138" i="1"/>
  <c r="AA136" i="1"/>
  <c r="AA132" i="1"/>
  <c r="AA128" i="1"/>
  <c r="AA109" i="1"/>
  <c r="AA103" i="1"/>
  <c r="W103" i="1" s="1"/>
  <c r="X102" i="1"/>
  <c r="AA97" i="1"/>
  <c r="X171" i="1"/>
  <c r="AA170" i="1"/>
  <c r="W170" i="1" s="1"/>
  <c r="X88" i="1"/>
  <c r="AA86" i="1"/>
  <c r="AA65" i="1"/>
  <c r="AA63" i="1"/>
  <c r="W63" i="1" s="1"/>
  <c r="T53" i="1"/>
  <c r="AA40" i="1"/>
  <c r="AA38" i="1"/>
  <c r="AA36" i="1"/>
  <c r="AD15" i="3"/>
  <c r="X207" i="1"/>
  <c r="AA145" i="1"/>
  <c r="AA188" i="1"/>
  <c r="W188" i="1" s="1"/>
  <c r="X180" i="1"/>
  <c r="AA66" i="1"/>
  <c r="X63" i="1"/>
  <c r="X56" i="1"/>
  <c r="AA54" i="1"/>
  <c r="AA39" i="1"/>
  <c r="AA34" i="1"/>
  <c r="AA32" i="1"/>
  <c r="W32" i="1" s="1"/>
  <c r="AA24" i="1"/>
  <c r="AA16" i="1"/>
  <c r="S21" i="3"/>
  <c r="AA70" i="1"/>
  <c r="AA69" i="1"/>
  <c r="AA201" i="1"/>
  <c r="X145" i="1"/>
  <c r="X120" i="1"/>
  <c r="X211" i="1"/>
  <c r="X205" i="1"/>
  <c r="X203" i="1"/>
  <c r="AA197" i="1"/>
  <c r="X218" i="1"/>
  <c r="X210" i="1"/>
  <c r="X206" i="1"/>
  <c r="X202" i="1"/>
  <c r="AA196" i="1"/>
  <c r="X156" i="1"/>
  <c r="AA149" i="1"/>
  <c r="W149" i="1" s="1"/>
  <c r="T145" i="1"/>
  <c r="AA144" i="1"/>
  <c r="W144" i="1" s="1"/>
  <c r="X137" i="1"/>
  <c r="AA131" i="1"/>
  <c r="W131" i="1" s="1"/>
  <c r="AA127" i="1"/>
  <c r="AA120" i="1"/>
  <c r="W120" i="1" s="1"/>
  <c r="AA119" i="1"/>
  <c r="AA112" i="1"/>
  <c r="W112" i="1" s="1"/>
  <c r="T112" i="1"/>
  <c r="AA111" i="1"/>
  <c r="AA211" i="1"/>
  <c r="AA194" i="1"/>
  <c r="W194" i="1" s="1"/>
  <c r="T191" i="1"/>
  <c r="X188" i="1"/>
  <c r="AA186" i="1"/>
  <c r="T172" i="1"/>
  <c r="U172" i="1" s="1"/>
  <c r="S172" i="1" s="1"/>
  <c r="T169" i="1"/>
  <c r="X75" i="1"/>
  <c r="X67" i="1"/>
  <c r="X59" i="1"/>
  <c r="X76" i="1"/>
  <c r="AA76" i="1"/>
  <c r="W76" i="1" s="1"/>
  <c r="X68" i="1"/>
  <c r="AA68" i="1"/>
  <c r="W68" i="1" s="1"/>
  <c r="X60" i="1"/>
  <c r="AA60" i="1"/>
  <c r="W60" i="1" s="1"/>
  <c r="T49" i="1"/>
  <c r="AA46" i="1"/>
  <c r="W46" i="1" s="1"/>
  <c r="AA44" i="1"/>
  <c r="AA43" i="1"/>
  <c r="T41" i="1"/>
  <c r="AA37" i="1"/>
  <c r="W37" i="1" s="1"/>
  <c r="X32" i="1"/>
  <c r="X24" i="1"/>
  <c r="X23" i="1"/>
  <c r="X20" i="1"/>
  <c r="X19" i="1"/>
  <c r="X16" i="1"/>
  <c r="X15" i="1"/>
  <c r="X158" i="1"/>
  <c r="X97" i="1"/>
  <c r="X179" i="1"/>
  <c r="AA175" i="1"/>
  <c r="X90" i="1"/>
  <c r="X55" i="1"/>
  <c r="T157" i="1"/>
  <c r="U157" i="1" s="1"/>
  <c r="S157" i="1" s="1"/>
  <c r="T149" i="1"/>
  <c r="AA141" i="1"/>
  <c r="W141" i="1" s="1"/>
  <c r="AA135" i="1"/>
  <c r="X132" i="1"/>
  <c r="X128" i="1"/>
  <c r="AA104" i="1"/>
  <c r="W104" i="1" s="1"/>
  <c r="AA98" i="1"/>
  <c r="AA190" i="1"/>
  <c r="X187" i="1"/>
  <c r="AA182" i="1"/>
  <c r="W182" i="1" s="1"/>
  <c r="AA96" i="1"/>
  <c r="AA177" i="1"/>
  <c r="W177" i="1" s="1"/>
  <c r="AA94" i="1"/>
  <c r="AA92" i="1"/>
  <c r="W92" i="1" s="1"/>
  <c r="AA88" i="1"/>
  <c r="AA79" i="1"/>
  <c r="W79" i="1" s="1"/>
  <c r="AA72" i="1"/>
  <c r="AA64" i="1"/>
  <c r="AA56" i="1"/>
  <c r="AA52" i="1"/>
  <c r="AA47" i="1"/>
  <c r="X44" i="1"/>
  <c r="AA33" i="1"/>
  <c r="AA23" i="1"/>
  <c r="W23" i="1" s="1"/>
  <c r="AA19" i="1"/>
  <c r="AA15" i="1"/>
  <c r="W15" i="1" s="1"/>
  <c r="X152" i="1"/>
  <c r="AA147" i="1"/>
  <c r="AA137" i="1"/>
  <c r="T137" i="1"/>
  <c r="U137" i="1" s="1"/>
  <c r="S137" i="1" s="1"/>
  <c r="AA134" i="1"/>
  <c r="X133" i="1"/>
  <c r="AA129" i="1"/>
  <c r="T129" i="1"/>
  <c r="U129" i="1" s="1"/>
  <c r="S129" i="1" s="1"/>
  <c r="AA126" i="1"/>
  <c r="X125" i="1"/>
  <c r="T117" i="1"/>
  <c r="X117" i="1"/>
  <c r="T109" i="1"/>
  <c r="X109" i="1"/>
  <c r="X201" i="1"/>
  <c r="AA199" i="1"/>
  <c r="W199" i="1" s="1"/>
  <c r="T199" i="1"/>
  <c r="X197" i="1"/>
  <c r="T160" i="1"/>
  <c r="AA157" i="1"/>
  <c r="W157" i="1" s="1"/>
  <c r="T156" i="1"/>
  <c r="U156" i="1" s="1"/>
  <c r="S156" i="1" s="1"/>
  <c r="X153" i="1"/>
  <c r="X148" i="1"/>
  <c r="AA143" i="1"/>
  <c r="T136" i="1"/>
  <c r="U136" i="1" s="1"/>
  <c r="S136" i="1" s="1"/>
  <c r="T128" i="1"/>
  <c r="AA215" i="1"/>
  <c r="AA213" i="1"/>
  <c r="AA210" i="1"/>
  <c r="W210" i="1" s="1"/>
  <c r="AA208" i="1"/>
  <c r="X144" i="1"/>
  <c r="AA133" i="1"/>
  <c r="W133" i="1" s="1"/>
  <c r="AA130" i="1"/>
  <c r="AA125" i="1"/>
  <c r="X121" i="1"/>
  <c r="T121" i="1"/>
  <c r="U121" i="1" s="1"/>
  <c r="S121" i="1" s="1"/>
  <c r="X113" i="1"/>
  <c r="T113" i="1"/>
  <c r="U113" i="1" s="1"/>
  <c r="S113" i="1" s="1"/>
  <c r="AA217" i="1"/>
  <c r="AA204" i="1"/>
  <c r="W204" i="1" s="1"/>
  <c r="AA200" i="1"/>
  <c r="AA153" i="1"/>
  <c r="W153" i="1" s="1"/>
  <c r="AA151" i="1"/>
  <c r="AA146" i="1"/>
  <c r="W146" i="1" s="1"/>
  <c r="AA139" i="1"/>
  <c r="T194" i="1"/>
  <c r="T83" i="1"/>
  <c r="T36" i="1"/>
  <c r="U36" i="1" s="1"/>
  <c r="S36" i="1" s="1"/>
  <c r="T32" i="1"/>
  <c r="T28" i="1"/>
  <c r="U28" i="1" s="1"/>
  <c r="S28" i="1" s="1"/>
  <c r="AA121" i="1"/>
  <c r="AA118" i="1"/>
  <c r="W118" i="1" s="1"/>
  <c r="AA113" i="1"/>
  <c r="AA110" i="1"/>
  <c r="W110" i="1" s="1"/>
  <c r="AA105" i="1"/>
  <c r="T105" i="1"/>
  <c r="U105" i="1" s="1"/>
  <c r="S105" i="1" s="1"/>
  <c r="AA102" i="1"/>
  <c r="T101" i="1"/>
  <c r="AA99" i="1"/>
  <c r="X98" i="1"/>
  <c r="T188" i="1"/>
  <c r="AA185" i="1"/>
  <c r="X184" i="1"/>
  <c r="X182" i="1"/>
  <c r="AA180" i="1"/>
  <c r="T179" i="1"/>
  <c r="AA178" i="1"/>
  <c r="X175" i="1"/>
  <c r="AA172" i="1"/>
  <c r="T171" i="1"/>
  <c r="U171" i="1" s="1"/>
  <c r="S171" i="1" s="1"/>
  <c r="AA95" i="1"/>
  <c r="AA165" i="1"/>
  <c r="T164" i="1"/>
  <c r="U164" i="1" s="1"/>
  <c r="S164" i="1" s="1"/>
  <c r="AA163" i="1"/>
  <c r="X94" i="1"/>
  <c r="AA91" i="1"/>
  <c r="T90" i="1"/>
  <c r="AA89" i="1"/>
  <c r="AA87" i="1"/>
  <c r="W87" i="1" s="1"/>
  <c r="T86" i="1"/>
  <c r="AA85" i="1"/>
  <c r="X84" i="1"/>
  <c r="X79" i="1"/>
  <c r="T76" i="1"/>
  <c r="T72" i="1"/>
  <c r="T68" i="1"/>
  <c r="T64" i="1"/>
  <c r="U64" i="1" s="1"/>
  <c r="S64" i="1" s="1"/>
  <c r="T60" i="1"/>
  <c r="T56" i="1"/>
  <c r="X52" i="1"/>
  <c r="X48" i="1"/>
  <c r="T45" i="1"/>
  <c r="AA42" i="1"/>
  <c r="AA41" i="1"/>
  <c r="X37" i="1"/>
  <c r="X35" i="1"/>
  <c r="X33" i="1"/>
  <c r="X31" i="1"/>
  <c r="X29" i="1"/>
  <c r="T24" i="1"/>
  <c r="AA21" i="1"/>
  <c r="T20" i="1"/>
  <c r="T16" i="1"/>
  <c r="U16" i="1" s="1"/>
  <c r="S16" i="1" s="1"/>
  <c r="AA122" i="1"/>
  <c r="AA117" i="1"/>
  <c r="W117" i="1" s="1"/>
  <c r="AA114" i="1"/>
  <c r="AA106" i="1"/>
  <c r="W106" i="1" s="1"/>
  <c r="AA191" i="1"/>
  <c r="AA189" i="1"/>
  <c r="W189" i="1" s="1"/>
  <c r="AA184" i="1"/>
  <c r="AA183" i="1"/>
  <c r="W183" i="1" s="1"/>
  <c r="AA181" i="1"/>
  <c r="AA176" i="1"/>
  <c r="AA174" i="1"/>
  <c r="AA169" i="1"/>
  <c r="W169" i="1" s="1"/>
  <c r="AA167" i="1"/>
  <c r="AA161" i="1"/>
  <c r="AA93" i="1"/>
  <c r="AA80" i="1"/>
  <c r="W80" i="1" s="1"/>
  <c r="AA77" i="1"/>
  <c r="AA53" i="1"/>
  <c r="AA50" i="1"/>
  <c r="AA49" i="1"/>
  <c r="W49" i="1" s="1"/>
  <c r="X40" i="1"/>
  <c r="AA29" i="1"/>
  <c r="AI217" i="1"/>
  <c r="U217" i="1"/>
  <c r="S217" i="1" s="1"/>
  <c r="AI213" i="1"/>
  <c r="U213" i="1"/>
  <c r="S213" i="1" s="1"/>
  <c r="AI209" i="1"/>
  <c r="U208" i="1"/>
  <c r="S208" i="1" s="1"/>
  <c r="AI205" i="1"/>
  <c r="U204" i="1"/>
  <c r="S204" i="1" s="1"/>
  <c r="AI201" i="1"/>
  <c r="U200" i="1"/>
  <c r="S200" i="1" s="1"/>
  <c r="AI197" i="1"/>
  <c r="U196" i="1"/>
  <c r="S196" i="1" s="1"/>
  <c r="AI193" i="1"/>
  <c r="U159" i="1"/>
  <c r="S159" i="1" s="1"/>
  <c r="AI218" i="1"/>
  <c r="U218" i="1"/>
  <c r="S218" i="1" s="1"/>
  <c r="AI214" i="1"/>
  <c r="U214" i="1"/>
  <c r="S214" i="1" s="1"/>
  <c r="AI210" i="1"/>
  <c r="U209" i="1"/>
  <c r="S209" i="1" s="1"/>
  <c r="AI206" i="1"/>
  <c r="U205" i="1"/>
  <c r="S205" i="1" s="1"/>
  <c r="AI202" i="1"/>
  <c r="U201" i="1"/>
  <c r="S201" i="1" s="1"/>
  <c r="AI198" i="1"/>
  <c r="U197" i="1"/>
  <c r="S197" i="1" s="1"/>
  <c r="AI194" i="1"/>
  <c r="U160" i="1"/>
  <c r="S160" i="1" s="1"/>
  <c r="AI190" i="1"/>
  <c r="AI188" i="1"/>
  <c r="U154" i="1"/>
  <c r="S154" i="1" s="1"/>
  <c r="U215" i="1"/>
  <c r="S215" i="1" s="1"/>
  <c r="AI215" i="1"/>
  <c r="U210" i="1"/>
  <c r="S210" i="1" s="1"/>
  <c r="AI211" i="1"/>
  <c r="U206" i="1"/>
  <c r="S206" i="1" s="1"/>
  <c r="AI207" i="1"/>
  <c r="U202" i="1"/>
  <c r="S202" i="1" s="1"/>
  <c r="AI203" i="1"/>
  <c r="U198" i="1"/>
  <c r="S198" i="1" s="1"/>
  <c r="AI199" i="1"/>
  <c r="AI195" i="1"/>
  <c r="AI191" i="1"/>
  <c r="U216" i="1"/>
  <c r="S216" i="1" s="1"/>
  <c r="AI216" i="1"/>
  <c r="U212" i="1"/>
  <c r="S212" i="1" s="1"/>
  <c r="AI212" i="1"/>
  <c r="U207" i="1"/>
  <c r="S207" i="1" s="1"/>
  <c r="AI208" i="1"/>
  <c r="U203" i="1"/>
  <c r="S203" i="1" s="1"/>
  <c r="AI204" i="1"/>
  <c r="U199" i="1"/>
  <c r="S199" i="1" s="1"/>
  <c r="AI200" i="1"/>
  <c r="U195" i="1"/>
  <c r="S195" i="1" s="1"/>
  <c r="AI196" i="1"/>
  <c r="U158" i="1"/>
  <c r="S158" i="1" s="1"/>
  <c r="AI192" i="1"/>
  <c r="W155" i="1"/>
  <c r="AI189" i="1"/>
  <c r="AI185" i="1"/>
  <c r="AI181" i="1"/>
  <c r="AI177" i="1"/>
  <c r="AI173" i="1"/>
  <c r="U139" i="1"/>
  <c r="S139" i="1" s="1"/>
  <c r="AI169" i="1"/>
  <c r="U135" i="1"/>
  <c r="S135" i="1" s="1"/>
  <c r="AI165" i="1"/>
  <c r="U131" i="1"/>
  <c r="S131" i="1" s="1"/>
  <c r="AI161" i="1"/>
  <c r="U127" i="1"/>
  <c r="S127" i="1" s="1"/>
  <c r="AI158" i="1"/>
  <c r="U123" i="1"/>
  <c r="S123" i="1" s="1"/>
  <c r="AI154" i="1"/>
  <c r="U119" i="1"/>
  <c r="S119" i="1" s="1"/>
  <c r="AI150" i="1"/>
  <c r="U115" i="1"/>
  <c r="S115" i="1" s="1"/>
  <c r="AI146" i="1"/>
  <c r="U111" i="1"/>
  <c r="S111" i="1" s="1"/>
  <c r="AI142" i="1"/>
  <c r="U107" i="1"/>
  <c r="S107" i="1" s="1"/>
  <c r="AI138" i="1"/>
  <c r="U104" i="1"/>
  <c r="S104" i="1" s="1"/>
  <c r="AI134" i="1"/>
  <c r="U100" i="1"/>
  <c r="S100" i="1" s="1"/>
  <c r="AI130" i="1"/>
  <c r="U193" i="1"/>
  <c r="S193" i="1" s="1"/>
  <c r="AI126" i="1"/>
  <c r="U190" i="1"/>
  <c r="S190" i="1" s="1"/>
  <c r="AI122" i="1"/>
  <c r="U186" i="1"/>
  <c r="S186" i="1" s="1"/>
  <c r="U152" i="1"/>
  <c r="S152" i="1" s="1"/>
  <c r="AI186" i="1"/>
  <c r="AI182" i="1"/>
  <c r="U148" i="1"/>
  <c r="S148" i="1" s="1"/>
  <c r="AI178" i="1"/>
  <c r="U144" i="1"/>
  <c r="S144" i="1" s="1"/>
  <c r="AI174" i="1"/>
  <c r="U140" i="1"/>
  <c r="S140" i="1" s="1"/>
  <c r="AI170" i="1"/>
  <c r="AI166" i="1"/>
  <c r="U132" i="1"/>
  <c r="S132" i="1" s="1"/>
  <c r="AI162" i="1"/>
  <c r="U128" i="1"/>
  <c r="S128" i="1" s="1"/>
  <c r="AI159" i="1"/>
  <c r="U124" i="1"/>
  <c r="S124" i="1" s="1"/>
  <c r="AI155" i="1"/>
  <c r="U120" i="1"/>
  <c r="S120" i="1" s="1"/>
  <c r="AI151" i="1"/>
  <c r="U116" i="1"/>
  <c r="S116" i="1" s="1"/>
  <c r="AI147" i="1"/>
  <c r="U112" i="1"/>
  <c r="S112" i="1" s="1"/>
  <c r="AI143" i="1"/>
  <c r="U108" i="1"/>
  <c r="S108" i="1" s="1"/>
  <c r="AI139" i="1"/>
  <c r="U211" i="1"/>
  <c r="S211" i="1" s="1"/>
  <c r="AI135" i="1"/>
  <c r="U101" i="1"/>
  <c r="S101" i="1" s="1"/>
  <c r="AI131" i="1"/>
  <c r="U194" i="1"/>
  <c r="S194" i="1" s="1"/>
  <c r="AI127" i="1"/>
  <c r="U97" i="1"/>
  <c r="S97" i="1" s="1"/>
  <c r="AI123" i="1"/>
  <c r="U187" i="1"/>
  <c r="S187" i="1" s="1"/>
  <c r="U153" i="1"/>
  <c r="S153" i="1" s="1"/>
  <c r="AI187" i="1"/>
  <c r="U149" i="1"/>
  <c r="S149" i="1" s="1"/>
  <c r="AI183" i="1"/>
  <c r="U145" i="1"/>
  <c r="S145" i="1"/>
  <c r="AI179" i="1"/>
  <c r="U141" i="1"/>
  <c r="S141" i="1" s="1"/>
  <c r="AI175" i="1"/>
  <c r="AI171" i="1"/>
  <c r="U133" i="1"/>
  <c r="S133" i="1" s="1"/>
  <c r="AI167" i="1"/>
  <c r="AI163" i="1"/>
  <c r="U125" i="1"/>
  <c r="S125" i="1" s="1"/>
  <c r="AI160" i="1"/>
  <c r="AI156" i="1"/>
  <c r="U117" i="1"/>
  <c r="S117" i="1" s="1"/>
  <c r="AI152" i="1"/>
  <c r="AI148" i="1"/>
  <c r="U109" i="1"/>
  <c r="S109" i="1" s="1"/>
  <c r="AI144" i="1"/>
  <c r="AI140" i="1"/>
  <c r="U102" i="1"/>
  <c r="S102" i="1" s="1"/>
  <c r="AI136" i="1"/>
  <c r="U98" i="1"/>
  <c r="S98" i="1" s="1"/>
  <c r="AI132" i="1"/>
  <c r="U191" i="1"/>
  <c r="S191" i="1" s="1"/>
  <c r="AI128" i="1"/>
  <c r="U188" i="1"/>
  <c r="S188" i="1" s="1"/>
  <c r="AI124" i="1"/>
  <c r="U184" i="1"/>
  <c r="S184" i="1" s="1"/>
  <c r="AI120" i="1"/>
  <c r="U183" i="1"/>
  <c r="S183" i="1" s="1"/>
  <c r="AI119" i="1"/>
  <c r="U150" i="1"/>
  <c r="S150" i="1" s="1"/>
  <c r="AI184" i="1"/>
  <c r="U146" i="1"/>
  <c r="S146" i="1" s="1"/>
  <c r="AI180" i="1"/>
  <c r="U142" i="1"/>
  <c r="S142" i="1" s="1"/>
  <c r="AI176" i="1"/>
  <c r="U138" i="1"/>
  <c r="S138" i="1" s="1"/>
  <c r="AI172" i="1"/>
  <c r="U134" i="1"/>
  <c r="S134" i="1" s="1"/>
  <c r="AI168" i="1"/>
  <c r="U130" i="1"/>
  <c r="S130" i="1" s="1"/>
  <c r="AI164" i="1"/>
  <c r="U126" i="1"/>
  <c r="S126" i="1" s="1"/>
  <c r="U122" i="1"/>
  <c r="S122" i="1" s="1"/>
  <c r="AI157" i="1"/>
  <c r="U118" i="1"/>
  <c r="S118" i="1" s="1"/>
  <c r="AI153" i="1"/>
  <c r="U114" i="1"/>
  <c r="S114" i="1" s="1"/>
  <c r="AI149" i="1"/>
  <c r="U110" i="1"/>
  <c r="S110" i="1" s="1"/>
  <c r="AI145" i="1"/>
  <c r="U106" i="1"/>
  <c r="S106" i="1" s="1"/>
  <c r="AI141" i="1"/>
  <c r="U103" i="1"/>
  <c r="S103" i="1" s="1"/>
  <c r="AI137" i="1"/>
  <c r="U99" i="1"/>
  <c r="S99" i="1" s="1"/>
  <c r="AI133" i="1"/>
  <c r="U192" i="1"/>
  <c r="S192" i="1" s="1"/>
  <c r="AI129" i="1"/>
  <c r="U189" i="1"/>
  <c r="S189" i="1" s="1"/>
  <c r="AI125" i="1"/>
  <c r="U185" i="1"/>
  <c r="S185" i="1" s="1"/>
  <c r="AI121" i="1"/>
  <c r="AI117" i="1"/>
  <c r="U181" i="1"/>
  <c r="S181" i="1" s="1"/>
  <c r="AI113" i="1"/>
  <c r="U178" i="1"/>
  <c r="S178" i="1" s="1"/>
  <c r="AI109" i="1"/>
  <c r="U174" i="1"/>
  <c r="S174" i="1" s="1"/>
  <c r="AI105" i="1"/>
  <c r="U95" i="1"/>
  <c r="S95" i="1" s="1"/>
  <c r="AI101" i="1"/>
  <c r="U167" i="1"/>
  <c r="S167" i="1" s="1"/>
  <c r="AI97" i="1"/>
  <c r="U163" i="1"/>
  <c r="S163" i="1" s="1"/>
  <c r="AI93" i="1"/>
  <c r="U93" i="1"/>
  <c r="S93" i="1" s="1"/>
  <c r="AI89" i="1"/>
  <c r="U89" i="1"/>
  <c r="S89" i="1" s="1"/>
  <c r="AI85" i="1"/>
  <c r="U85" i="1"/>
  <c r="S85" i="1" s="1"/>
  <c r="U182" i="1"/>
  <c r="S182" i="1" s="1"/>
  <c r="AI118" i="1"/>
  <c r="AI114" i="1"/>
  <c r="U179" i="1"/>
  <c r="S179" i="1" s="1"/>
  <c r="AI110" i="1"/>
  <c r="U175" i="1"/>
  <c r="S175" i="1" s="1"/>
  <c r="AI106" i="1"/>
  <c r="AI102" i="1"/>
  <c r="U168" i="1"/>
  <c r="S168" i="1" s="1"/>
  <c r="AI98" i="1"/>
  <c r="AI94" i="1"/>
  <c r="U94" i="1"/>
  <c r="S94" i="1" s="1"/>
  <c r="AI90" i="1"/>
  <c r="U90" i="1"/>
  <c r="S90" i="1" s="1"/>
  <c r="AI86" i="1"/>
  <c r="U86" i="1"/>
  <c r="S86" i="1" s="1"/>
  <c r="U180" i="1"/>
  <c r="S180" i="1" s="1"/>
  <c r="AI115" i="1"/>
  <c r="U176" i="1"/>
  <c r="S176" i="1" s="1"/>
  <c r="AI111" i="1"/>
  <c r="AI107" i="1"/>
  <c r="U169" i="1"/>
  <c r="S169" i="1" s="1"/>
  <c r="AI103" i="1"/>
  <c r="U165" i="1"/>
  <c r="S165" i="1" s="1"/>
  <c r="AI99" i="1"/>
  <c r="U161" i="1"/>
  <c r="S161" i="1" s="1"/>
  <c r="AI95" i="1"/>
  <c r="U91" i="1"/>
  <c r="S91" i="1" s="1"/>
  <c r="AI91" i="1"/>
  <c r="U87" i="1"/>
  <c r="S87" i="1" s="1"/>
  <c r="AI87" i="1"/>
  <c r="U84" i="1"/>
  <c r="S84" i="1" s="1"/>
  <c r="AI84" i="1"/>
  <c r="U96" i="1"/>
  <c r="S96" i="1" s="1"/>
  <c r="AI116" i="1"/>
  <c r="U177" i="1"/>
  <c r="S177" i="1"/>
  <c r="AI112" i="1"/>
  <c r="U173" i="1"/>
  <c r="S173" i="1" s="1"/>
  <c r="AI108" i="1"/>
  <c r="U170" i="1"/>
  <c r="S170" i="1" s="1"/>
  <c r="AI104" i="1"/>
  <c r="U166" i="1"/>
  <c r="S166" i="1" s="1"/>
  <c r="AI100" i="1"/>
  <c r="U162" i="1"/>
  <c r="S162" i="1" s="1"/>
  <c r="AI96" i="1"/>
  <c r="U92" i="1"/>
  <c r="S92" i="1" s="1"/>
  <c r="AI92" i="1"/>
  <c r="U88" i="1"/>
  <c r="S88" i="1" s="1"/>
  <c r="AI88" i="1"/>
  <c r="U83" i="1"/>
  <c r="S83" i="1" s="1"/>
  <c r="AI83" i="1"/>
  <c r="AI79" i="1"/>
  <c r="U79" i="1"/>
  <c r="S79" i="1" s="1"/>
  <c r="AI75" i="1"/>
  <c r="U75" i="1"/>
  <c r="S75" i="1" s="1"/>
  <c r="AI71" i="1"/>
  <c r="U71" i="1"/>
  <c r="S71" i="1" s="1"/>
  <c r="AI67" i="1"/>
  <c r="U67" i="1"/>
  <c r="S67" i="1" s="1"/>
  <c r="AI63" i="1"/>
  <c r="U63" i="1"/>
  <c r="S63" i="1" s="1"/>
  <c r="AI59" i="1"/>
  <c r="U59" i="1"/>
  <c r="S59" i="1" s="1"/>
  <c r="AI55" i="1"/>
  <c r="U55" i="1"/>
  <c r="S55" i="1" s="1"/>
  <c r="AI80" i="1"/>
  <c r="U80" i="1"/>
  <c r="S80" i="1" s="1"/>
  <c r="AI76" i="1"/>
  <c r="U76" i="1"/>
  <c r="S76" i="1" s="1"/>
  <c r="AI72" i="1"/>
  <c r="U72" i="1"/>
  <c r="S72" i="1" s="1"/>
  <c r="AI68" i="1"/>
  <c r="U68" i="1"/>
  <c r="S68" i="1" s="1"/>
  <c r="AI64" i="1"/>
  <c r="AI60" i="1"/>
  <c r="U60" i="1"/>
  <c r="S60" i="1" s="1"/>
  <c r="AI56" i="1"/>
  <c r="U56" i="1"/>
  <c r="S56" i="1" s="1"/>
  <c r="U81" i="1"/>
  <c r="S81" i="1"/>
  <c r="AI81" i="1"/>
  <c r="U77" i="1"/>
  <c r="S77" i="1" s="1"/>
  <c r="AI77" i="1"/>
  <c r="U73" i="1"/>
  <c r="S73" i="1" s="1"/>
  <c r="AI73" i="1"/>
  <c r="U69" i="1"/>
  <c r="AI69" i="1"/>
  <c r="U65" i="1"/>
  <c r="S65" i="1" s="1"/>
  <c r="AI65" i="1"/>
  <c r="U61" i="1"/>
  <c r="S61" i="1" s="1"/>
  <c r="AI61" i="1"/>
  <c r="U57" i="1"/>
  <c r="S57" i="1" s="1"/>
  <c r="AI57" i="1"/>
  <c r="U53" i="1"/>
  <c r="S53" i="1" s="1"/>
  <c r="AI53" i="1"/>
  <c r="U82" i="1"/>
  <c r="S82" i="1" s="1"/>
  <c r="AI82" i="1"/>
  <c r="U78" i="1"/>
  <c r="S78" i="1" s="1"/>
  <c r="AI78" i="1"/>
  <c r="U74" i="1"/>
  <c r="S74" i="1" s="1"/>
  <c r="AI74" i="1"/>
  <c r="U70" i="1"/>
  <c r="AI70" i="1"/>
  <c r="U66" i="1"/>
  <c r="S66" i="1" s="1"/>
  <c r="AI66" i="1"/>
  <c r="U62" i="1"/>
  <c r="S62" i="1" s="1"/>
  <c r="AI62" i="1"/>
  <c r="U58" i="1"/>
  <c r="S58" i="1" s="1"/>
  <c r="AI58" i="1"/>
  <c r="U54" i="1"/>
  <c r="S54" i="1" s="1"/>
  <c r="AI54" i="1"/>
  <c r="AI49" i="1"/>
  <c r="U49" i="1"/>
  <c r="S49" i="1" s="1"/>
  <c r="AI45" i="1"/>
  <c r="U45" i="1"/>
  <c r="S45" i="1" s="1"/>
  <c r="AI41" i="1"/>
  <c r="U41" i="1"/>
  <c r="S41" i="1" s="1"/>
  <c r="AI37" i="1"/>
  <c r="U37" i="1"/>
  <c r="S37" i="1" s="1"/>
  <c r="AI33" i="1"/>
  <c r="U33" i="1"/>
  <c r="S33" i="1" s="1"/>
  <c r="AI29" i="1"/>
  <c r="U29" i="1"/>
  <c r="S29" i="1" s="1"/>
  <c r="AI25" i="1"/>
  <c r="U25" i="1"/>
  <c r="S25" i="1" s="1"/>
  <c r="AI21" i="1"/>
  <c r="U21" i="1"/>
  <c r="S21" i="1" s="1"/>
  <c r="AI17" i="1"/>
  <c r="U17" i="1"/>
  <c r="S17" i="1" s="1"/>
  <c r="AI50" i="1"/>
  <c r="AI46" i="1"/>
  <c r="U46" i="1"/>
  <c r="S46" i="1" s="1"/>
  <c r="AI42" i="1"/>
  <c r="U42" i="1"/>
  <c r="S42" i="1" s="1"/>
  <c r="AI38" i="1"/>
  <c r="U38" i="1"/>
  <c r="S38" i="1" s="1"/>
  <c r="AI34" i="1"/>
  <c r="AI30" i="1"/>
  <c r="AI26" i="1"/>
  <c r="U26" i="1"/>
  <c r="S26" i="1" s="1"/>
  <c r="AI22" i="1"/>
  <c r="U22" i="1"/>
  <c r="S22" i="1" s="1"/>
  <c r="AI18" i="1"/>
  <c r="U18" i="1"/>
  <c r="AI14" i="1"/>
  <c r="U14" i="1"/>
  <c r="S14" i="1" s="1"/>
  <c r="U51" i="1"/>
  <c r="S51" i="1" s="1"/>
  <c r="AI51" i="1"/>
  <c r="U47" i="1"/>
  <c r="S47" i="1" s="1"/>
  <c r="AI47" i="1"/>
  <c r="U43" i="1"/>
  <c r="S43" i="1" s="1"/>
  <c r="AI43" i="1"/>
  <c r="U39" i="1"/>
  <c r="S39" i="1" s="1"/>
  <c r="AI39" i="1"/>
  <c r="U35" i="1"/>
  <c r="S35" i="1" s="1"/>
  <c r="AI35" i="1"/>
  <c r="U31" i="1"/>
  <c r="S31" i="1" s="1"/>
  <c r="AI31" i="1"/>
  <c r="U27" i="1"/>
  <c r="S27" i="1" s="1"/>
  <c r="AI27" i="1"/>
  <c r="U23" i="1"/>
  <c r="S23" i="1" s="1"/>
  <c r="AI23" i="1"/>
  <c r="U19" i="1"/>
  <c r="AI19" i="1"/>
  <c r="U15" i="1"/>
  <c r="S15" i="1" s="1"/>
  <c r="AI15" i="1"/>
  <c r="U52" i="1"/>
  <c r="S52" i="1" s="1"/>
  <c r="AI52" i="1"/>
  <c r="U48" i="1"/>
  <c r="S48" i="1" s="1"/>
  <c r="AI48" i="1"/>
  <c r="U44" i="1"/>
  <c r="S44" i="1" s="1"/>
  <c r="AI44" i="1"/>
  <c r="U40" i="1"/>
  <c r="S40" i="1" s="1"/>
  <c r="AI40" i="1"/>
  <c r="AI36" i="1"/>
  <c r="U32" i="1"/>
  <c r="S32" i="1" s="1"/>
  <c r="AI32" i="1"/>
  <c r="AI28" i="1"/>
  <c r="U24" i="1"/>
  <c r="S24" i="1" s="1"/>
  <c r="AI24" i="1"/>
  <c r="U20" i="1"/>
  <c r="S20" i="1" s="1"/>
  <c r="AI20" i="1"/>
  <c r="AI16" i="1"/>
  <c r="W217" i="1"/>
  <c r="W200" i="1"/>
  <c r="W196" i="1"/>
  <c r="W152" i="1"/>
  <c r="W160" i="1"/>
  <c r="W158" i="1"/>
  <c r="W156" i="1"/>
  <c r="W216" i="1"/>
  <c r="W212" i="1"/>
  <c r="W209" i="1"/>
  <c r="W207" i="1"/>
  <c r="W206" i="1"/>
  <c r="W203" i="1"/>
  <c r="W202" i="1"/>
  <c r="W198" i="1"/>
  <c r="W159" i="1"/>
  <c r="W218" i="1"/>
  <c r="W215" i="1"/>
  <c r="W213" i="1"/>
  <c r="W208" i="1"/>
  <c r="W205" i="1"/>
  <c r="W201" i="1"/>
  <c r="W197" i="1"/>
  <c r="W195" i="1"/>
  <c r="X195" i="1"/>
  <c r="W151" i="1"/>
  <c r="W139" i="1"/>
  <c r="W123" i="1"/>
  <c r="W115" i="1"/>
  <c r="W109" i="1"/>
  <c r="W107" i="1"/>
  <c r="W101" i="1"/>
  <c r="W98" i="1"/>
  <c r="W193" i="1"/>
  <c r="W192" i="1"/>
  <c r="X217" i="1"/>
  <c r="X213" i="1"/>
  <c r="X208" i="1"/>
  <c r="X204" i="1"/>
  <c r="X200" i="1"/>
  <c r="X196" i="1"/>
  <c r="T155" i="1"/>
  <c r="U155" i="1" s="1"/>
  <c r="S155" i="1" s="1"/>
  <c r="X155" i="1"/>
  <c r="W148" i="1"/>
  <c r="W147" i="1"/>
  <c r="W142" i="1"/>
  <c r="W137" i="1"/>
  <c r="W136" i="1"/>
  <c r="W134" i="1"/>
  <c r="W129" i="1"/>
  <c r="W128" i="1"/>
  <c r="W126" i="1"/>
  <c r="W121" i="1"/>
  <c r="W113" i="1"/>
  <c r="W105" i="1"/>
  <c r="W211" i="1"/>
  <c r="W102" i="1"/>
  <c r="W100" i="1"/>
  <c r="W99" i="1"/>
  <c r="W187" i="1"/>
  <c r="W185" i="1"/>
  <c r="W145" i="1"/>
  <c r="W143" i="1"/>
  <c r="W135" i="1"/>
  <c r="W127" i="1"/>
  <c r="W119" i="1"/>
  <c r="W111" i="1"/>
  <c r="W97" i="1"/>
  <c r="W186" i="1"/>
  <c r="W154" i="1"/>
  <c r="W140" i="1"/>
  <c r="W138" i="1"/>
  <c r="W132" i="1"/>
  <c r="W130" i="1"/>
  <c r="W125" i="1"/>
  <c r="W124" i="1"/>
  <c r="W122" i="1"/>
  <c r="W116" i="1"/>
  <c r="W114" i="1"/>
  <c r="W108" i="1"/>
  <c r="W191" i="1"/>
  <c r="W190" i="1"/>
  <c r="X154" i="1"/>
  <c r="X150" i="1"/>
  <c r="X146" i="1"/>
  <c r="X142" i="1"/>
  <c r="X138" i="1"/>
  <c r="X134" i="1"/>
  <c r="X130" i="1"/>
  <c r="X126" i="1"/>
  <c r="X122" i="1"/>
  <c r="X118" i="1"/>
  <c r="X114" i="1"/>
  <c r="X110" i="1"/>
  <c r="X106" i="1"/>
  <c r="X103" i="1"/>
  <c r="X99" i="1"/>
  <c r="X192" i="1"/>
  <c r="X189" i="1"/>
  <c r="X185" i="1"/>
  <c r="W184" i="1"/>
  <c r="W179" i="1"/>
  <c r="W171" i="1"/>
  <c r="W164" i="1"/>
  <c r="W162" i="1"/>
  <c r="W90" i="1"/>
  <c r="W88" i="1"/>
  <c r="W86" i="1"/>
  <c r="X151" i="1"/>
  <c r="T151" i="1"/>
  <c r="U151" i="1" s="1"/>
  <c r="S151" i="1" s="1"/>
  <c r="X147" i="1"/>
  <c r="T147" i="1"/>
  <c r="U147" i="1" s="1"/>
  <c r="S147" i="1" s="1"/>
  <c r="X143" i="1"/>
  <c r="T143" i="1"/>
  <c r="U143" i="1" s="1"/>
  <c r="S143" i="1" s="1"/>
  <c r="X139" i="1"/>
  <c r="X135" i="1"/>
  <c r="X131" i="1"/>
  <c r="X127" i="1"/>
  <c r="X123" i="1"/>
  <c r="X119" i="1"/>
  <c r="X115" i="1"/>
  <c r="X111" i="1"/>
  <c r="X107" i="1"/>
  <c r="X104" i="1"/>
  <c r="X100" i="1"/>
  <c r="X193" i="1"/>
  <c r="X190" i="1"/>
  <c r="X186" i="1"/>
  <c r="W180" i="1"/>
  <c r="W178" i="1"/>
  <c r="W172" i="1"/>
  <c r="W95" i="1"/>
  <c r="W165" i="1"/>
  <c r="W163" i="1"/>
  <c r="W91" i="1"/>
  <c r="W89" i="1"/>
  <c r="W85" i="1"/>
  <c r="W96" i="1"/>
  <c r="W175" i="1"/>
  <c r="W168" i="1"/>
  <c r="W166" i="1"/>
  <c r="W94" i="1"/>
  <c r="W181" i="1"/>
  <c r="W176" i="1"/>
  <c r="W174" i="1"/>
  <c r="W167" i="1"/>
  <c r="W161" i="1"/>
  <c r="W93" i="1"/>
  <c r="X96" i="1"/>
  <c r="X177" i="1"/>
  <c r="X173" i="1"/>
  <c r="X170" i="1"/>
  <c r="X92" i="1"/>
  <c r="W82" i="1"/>
  <c r="X181" i="1"/>
  <c r="X178" i="1"/>
  <c r="X174" i="1"/>
  <c r="X95" i="1"/>
  <c r="X93" i="1"/>
  <c r="X89" i="1"/>
  <c r="X85" i="1"/>
  <c r="W84" i="1"/>
  <c r="W75" i="1"/>
  <c r="W71" i="1"/>
  <c r="W67" i="1"/>
  <c r="W59" i="1"/>
  <c r="W55" i="1"/>
  <c r="W83" i="1"/>
  <c r="W74" i="1"/>
  <c r="W73" i="1"/>
  <c r="W72" i="1"/>
  <c r="W70" i="1"/>
  <c r="W69" i="1"/>
  <c r="W66" i="1"/>
  <c r="W65" i="1"/>
  <c r="W64" i="1"/>
  <c r="W62" i="1"/>
  <c r="W61" i="1"/>
  <c r="W58" i="1"/>
  <c r="W57" i="1"/>
  <c r="W56" i="1"/>
  <c r="W54" i="1"/>
  <c r="W78" i="1"/>
  <c r="W77" i="1"/>
  <c r="W53" i="1"/>
  <c r="W51" i="1"/>
  <c r="X82" i="1"/>
  <c r="X78" i="1"/>
  <c r="X74" i="1"/>
  <c r="X70" i="1"/>
  <c r="X66" i="1"/>
  <c r="X62" i="1"/>
  <c r="X58" i="1"/>
  <c r="X54" i="1"/>
  <c r="T50" i="1"/>
  <c r="U50" i="1" s="1"/>
  <c r="S50" i="1" s="1"/>
  <c r="X50" i="1"/>
  <c r="W40" i="1"/>
  <c r="W38" i="1"/>
  <c r="W35" i="1"/>
  <c r="W34" i="1"/>
  <c r="W33" i="1"/>
  <c r="W31" i="1"/>
  <c r="W30" i="1"/>
  <c r="W27" i="1"/>
  <c r="W25" i="1"/>
  <c r="W24" i="1"/>
  <c r="W20" i="1"/>
  <c r="W17" i="1"/>
  <c r="W16" i="1"/>
  <c r="W44" i="1"/>
  <c r="W42" i="1"/>
  <c r="W41" i="1"/>
  <c r="W39" i="1"/>
  <c r="W21" i="1"/>
  <c r="W19" i="1"/>
  <c r="W48" i="1"/>
  <c r="W45" i="1"/>
  <c r="W43" i="1"/>
  <c r="W26" i="1"/>
  <c r="W22" i="1"/>
  <c r="W18" i="1"/>
  <c r="W14" i="1"/>
  <c r="X81" i="1"/>
  <c r="X77" i="1"/>
  <c r="X73" i="1"/>
  <c r="X69" i="1"/>
  <c r="X65" i="1"/>
  <c r="X61" i="1"/>
  <c r="X57" i="1"/>
  <c r="W52" i="1"/>
  <c r="W50" i="1"/>
  <c r="W47" i="1"/>
  <c r="W36" i="1"/>
  <c r="W29" i="1"/>
  <c r="W28" i="1"/>
  <c r="X46" i="1"/>
  <c r="X42" i="1"/>
  <c r="X38" i="1"/>
  <c r="X34" i="1"/>
  <c r="T34" i="1"/>
  <c r="U34" i="1" s="1"/>
  <c r="S34" i="1" s="1"/>
  <c r="X30" i="1"/>
  <c r="T30" i="1"/>
  <c r="U30" i="1" s="1"/>
  <c r="S30" i="1" s="1"/>
  <c r="X26" i="1"/>
  <c r="X22" i="1"/>
  <c r="X18" i="1"/>
  <c r="X51" i="1"/>
  <c r="X47" i="1"/>
  <c r="X43" i="1"/>
  <c r="X39" i="1"/>
  <c r="X27" i="1"/>
  <c r="T13" i="3"/>
  <c r="AC14" i="3"/>
  <c r="AD40" i="3"/>
  <c r="T45" i="3"/>
  <c r="AC9" i="3"/>
  <c r="T16" i="3"/>
  <c r="AC34" i="3"/>
  <c r="AE19" i="3"/>
  <c r="AD17" i="3"/>
  <c r="AD13" i="3"/>
  <c r="AD45" i="3"/>
  <c r="AE44" i="3"/>
  <c r="AD37" i="3"/>
  <c r="AE36" i="3"/>
  <c r="AE20" i="3"/>
  <c r="AD16" i="3"/>
  <c r="AD12" i="3"/>
  <c r="AD44" i="3"/>
  <c r="AD36" i="3"/>
  <c r="AD20" i="3"/>
  <c r="AE11" i="3"/>
  <c r="AD9" i="3"/>
  <c r="AE15" i="3"/>
  <c r="AD8" i="3"/>
  <c r="AE40" i="3"/>
  <c r="AD39" i="3"/>
  <c r="T17" i="3"/>
  <c r="AC38" i="3"/>
  <c r="AC37" i="3"/>
  <c r="AE24" i="3"/>
  <c r="T31" i="3"/>
  <c r="AC8" i="3"/>
  <c r="AC15" i="3"/>
  <c r="AC24" i="3"/>
  <c r="AC40" i="3"/>
  <c r="AE32" i="3"/>
  <c r="AD31" i="3"/>
  <c r="T36" i="3"/>
  <c r="AC33" i="3"/>
  <c r="AC18" i="3"/>
  <c r="Y26" i="3"/>
  <c r="Y19" i="3"/>
  <c r="Y37" i="3"/>
  <c r="Y35" i="3"/>
  <c r="Y18" i="3"/>
  <c r="Y42" i="3"/>
  <c r="Y15" i="3"/>
  <c r="Y29" i="3"/>
  <c r="Y27" i="3"/>
  <c r="Y13" i="3"/>
  <c r="Y45" i="3"/>
  <c r="Y36" i="3"/>
  <c r="Y31" i="3"/>
  <c r="Y12" i="3"/>
  <c r="Y10" i="3"/>
  <c r="Y28" i="3"/>
  <c r="Y40" i="3"/>
  <c r="Y17" i="3"/>
  <c r="Y16" i="3"/>
  <c r="Y20" i="3"/>
  <c r="Y39" i="3"/>
  <c r="Y44" i="3"/>
  <c r="Y7" i="3"/>
  <c r="Y32" i="3"/>
  <c r="Y30" i="3"/>
  <c r="Y22" i="3"/>
  <c r="Y43" i="3"/>
  <c r="Y41" i="3"/>
  <c r="Y24" i="3"/>
  <c r="Y14" i="3"/>
  <c r="Y38" i="3"/>
  <c r="Y9" i="3"/>
  <c r="Y33" i="3"/>
  <c r="Y34" i="3"/>
  <c r="Y8" i="3"/>
  <c r="Y21" i="3"/>
  <c r="Y11" i="3"/>
  <c r="Y25" i="3"/>
  <c r="AE38" i="3"/>
  <c r="T39" i="3"/>
  <c r="AE26" i="3"/>
  <c r="T32" i="3"/>
  <c r="AE18" i="3"/>
  <c r="T22" i="3"/>
  <c r="AE14" i="3"/>
  <c r="T43" i="3"/>
  <c r="AE10" i="3"/>
  <c r="T41" i="3"/>
  <c r="AE34" i="3"/>
  <c r="T44" i="3"/>
  <c r="AE30" i="3"/>
  <c r="T7" i="3"/>
  <c r="AE22" i="3"/>
  <c r="T30" i="3"/>
  <c r="AE45" i="3"/>
  <c r="T24" i="3"/>
  <c r="AD42" i="3"/>
  <c r="AE41" i="3"/>
  <c r="T14" i="3"/>
  <c r="AD38" i="3"/>
  <c r="AE37" i="3"/>
  <c r="T38" i="3"/>
  <c r="AD34" i="3"/>
  <c r="AE33" i="3"/>
  <c r="T9" i="3"/>
  <c r="AD30" i="3"/>
  <c r="AE29" i="3"/>
  <c r="T33" i="3"/>
  <c r="AD26" i="3"/>
  <c r="AE25" i="3"/>
  <c r="T34" i="3"/>
  <c r="AD22" i="3"/>
  <c r="AE21" i="3"/>
  <c r="T8" i="3"/>
  <c r="AD18" i="3"/>
  <c r="AE17" i="3"/>
  <c r="T21" i="3"/>
  <c r="AD14" i="3"/>
  <c r="AE13" i="3"/>
  <c r="T11" i="3"/>
  <c r="AD10" i="3"/>
  <c r="AE9" i="3"/>
  <c r="T25" i="3"/>
  <c r="AE42" i="3"/>
  <c r="T20" i="3"/>
  <c r="AE16" i="3"/>
  <c r="AE12" i="3"/>
  <c r="AE8" i="3"/>
  <c r="M23" i="3"/>
  <c r="R23" i="3"/>
  <c r="S23" i="3"/>
  <c r="U23" i="3"/>
  <c r="AD23" i="3" s="1"/>
  <c r="V23" i="3"/>
  <c r="X23" i="3"/>
  <c r="W23" i="3"/>
  <c r="S18" i="1" l="1"/>
  <c r="S69" i="1"/>
  <c r="T23" i="3"/>
  <c r="AE23" i="3"/>
  <c r="Y23" i="3"/>
  <c r="AC23" i="3"/>
  <c r="K13" i="1" l="1"/>
  <c r="L13" i="1"/>
  <c r="M13" i="1"/>
  <c r="N13" i="1" s="1"/>
  <c r="V13" i="1"/>
  <c r="Y13" i="1"/>
  <c r="Z13" i="1"/>
  <c r="AB13" i="1"/>
  <c r="AC13" i="1"/>
  <c r="AD13" i="1"/>
  <c r="X14" i="1" s="1"/>
  <c r="AE13" i="1"/>
  <c r="AF13" i="1"/>
  <c r="AM13" i="1"/>
  <c r="AN13" i="1"/>
  <c r="AA13" i="1" l="1"/>
  <c r="AG13" i="1"/>
  <c r="T13" i="1" l="1"/>
  <c r="U13" i="1" s="1"/>
  <c r="S13" i="1" s="1"/>
  <c r="X13" i="1"/>
  <c r="AI13" i="1"/>
  <c r="W13" i="1"/>
  <c r="O2" i="3" l="1"/>
  <c r="M28" i="5" l="1"/>
  <c r="M23" i="5" l="1"/>
  <c r="AD7" i="3" l="1"/>
  <c r="AE7" i="3" l="1"/>
  <c r="B93" i="9" l="1"/>
  <c r="B94" i="9"/>
  <c r="B95" i="9"/>
  <c r="B96" i="9"/>
  <c r="B97" i="9"/>
  <c r="B98" i="9"/>
  <c r="B99" i="9"/>
  <c r="B100" i="9"/>
  <c r="B101" i="9"/>
  <c r="B102" i="9"/>
  <c r="B103" i="9"/>
  <c r="B104" i="9"/>
  <c r="B105" i="9"/>
  <c r="B106" i="9"/>
  <c r="B107" i="9"/>
  <c r="B108" i="9"/>
  <c r="B109" i="9"/>
  <c r="B110" i="9"/>
  <c r="B111" i="9"/>
  <c r="B112" i="9"/>
  <c r="B113" i="9"/>
  <c r="B114" i="9"/>
  <c r="B115" i="9"/>
  <c r="B116" i="9"/>
  <c r="B117" i="9"/>
  <c r="B118" i="9"/>
  <c r="B119" i="9"/>
  <c r="B120" i="9"/>
  <c r="B121" i="9"/>
  <c r="B122" i="9"/>
  <c r="B123" i="9"/>
  <c r="B124" i="9"/>
  <c r="B125" i="9"/>
  <c r="B126" i="9"/>
  <c r="B127" i="9"/>
  <c r="B128" i="9"/>
  <c r="B129" i="9"/>
  <c r="B130" i="9"/>
  <c r="C106" i="9" l="1"/>
  <c r="C128" i="9"/>
  <c r="C120" i="9"/>
  <c r="C96" i="9"/>
  <c r="C114" i="9"/>
  <c r="C122" i="9"/>
  <c r="C118" i="9"/>
  <c r="C98" i="9"/>
  <c r="C94" i="9"/>
  <c r="C125" i="9"/>
  <c r="C102" i="9"/>
  <c r="C130" i="9"/>
  <c r="C112" i="9"/>
  <c r="C104" i="9"/>
  <c r="C109" i="9"/>
  <c r="C117" i="9"/>
  <c r="C101" i="9"/>
  <c r="C99" i="9"/>
  <c r="C100" i="9"/>
  <c r="C115" i="9"/>
  <c r="C116" i="9"/>
  <c r="C123" i="9"/>
  <c r="C124" i="9"/>
  <c r="C107" i="9"/>
  <c r="C108" i="9"/>
  <c r="C126" i="9"/>
  <c r="C110" i="9"/>
  <c r="C127" i="9"/>
  <c r="C119" i="9"/>
  <c r="C111" i="9"/>
  <c r="C103" i="9"/>
  <c r="C129" i="9"/>
  <c r="C121" i="9"/>
  <c r="C113" i="9"/>
  <c r="C105" i="9"/>
  <c r="C97" i="9"/>
  <c r="C95" i="9"/>
  <c r="B87" i="9" l="1"/>
  <c r="B88" i="9"/>
  <c r="B89" i="9"/>
  <c r="B90" i="9"/>
  <c r="B91" i="9"/>
  <c r="B92" i="9"/>
  <c r="C88" i="9" l="1"/>
  <c r="C92" i="9"/>
  <c r="C93" i="9"/>
  <c r="C90" i="9"/>
  <c r="C89" i="9"/>
  <c r="C91" i="9"/>
  <c r="B63" i="9" l="1"/>
  <c r="B64" i="9"/>
  <c r="B65" i="9"/>
  <c r="B66" i="9"/>
  <c r="B67" i="9"/>
  <c r="B68" i="9"/>
  <c r="B69" i="9"/>
  <c r="B70" i="9"/>
  <c r="B71" i="9"/>
  <c r="B72" i="9"/>
  <c r="B73" i="9"/>
  <c r="B74" i="9"/>
  <c r="B75" i="9"/>
  <c r="B76" i="9"/>
  <c r="B77" i="9"/>
  <c r="B78" i="9"/>
  <c r="B79" i="9"/>
  <c r="B80" i="9"/>
  <c r="B81" i="9"/>
  <c r="B82" i="9"/>
  <c r="B83" i="9"/>
  <c r="B84" i="9"/>
  <c r="B85" i="9"/>
  <c r="B86" i="9"/>
  <c r="C86" i="9" l="1"/>
  <c r="C87" i="9"/>
  <c r="C78" i="9"/>
  <c r="C68" i="9"/>
  <c r="C64" i="9"/>
  <c r="C77" i="9"/>
  <c r="C84" i="9"/>
  <c r="C80" i="9"/>
  <c r="C76" i="9"/>
  <c r="C67" i="9"/>
  <c r="C83" i="9"/>
  <c r="C72" i="9"/>
  <c r="C69" i="9"/>
  <c r="C85" i="9"/>
  <c r="C75" i="9"/>
  <c r="C79" i="9"/>
  <c r="C71" i="9"/>
  <c r="C82" i="9"/>
  <c r="C81" i="9"/>
  <c r="C74" i="9"/>
  <c r="C73" i="9"/>
  <c r="C66" i="9"/>
  <c r="C65" i="9"/>
  <c r="C70" i="9"/>
  <c r="B55" i="9" l="1"/>
  <c r="B56" i="9"/>
  <c r="B57" i="9"/>
  <c r="B58" i="9"/>
  <c r="B59" i="9"/>
  <c r="B60" i="9"/>
  <c r="B61" i="9"/>
  <c r="B62" i="9"/>
  <c r="C63" i="9" s="1"/>
  <c r="C61" i="9" l="1"/>
  <c r="C57" i="9"/>
  <c r="C59" i="9"/>
  <c r="C62" i="9"/>
  <c r="C60" i="9"/>
  <c r="C58" i="9"/>
  <c r="C56" i="9"/>
  <c r="B50" i="9" l="1"/>
  <c r="B51" i="9"/>
  <c r="B52" i="9"/>
  <c r="B53" i="9"/>
  <c r="B54" i="9"/>
  <c r="C52" i="9" l="1"/>
  <c r="C54" i="9"/>
  <c r="C55" i="9"/>
  <c r="C53" i="9"/>
  <c r="C51" i="9"/>
  <c r="B33" i="9" l="1"/>
  <c r="B34" i="9"/>
  <c r="B35" i="9"/>
  <c r="B36" i="9"/>
  <c r="B37" i="9"/>
  <c r="B38" i="9"/>
  <c r="B39" i="9"/>
  <c r="B40" i="9"/>
  <c r="B41" i="9"/>
  <c r="B42" i="9"/>
  <c r="B43" i="9"/>
  <c r="B44" i="9"/>
  <c r="B45" i="9"/>
  <c r="B46" i="9"/>
  <c r="B47" i="9"/>
  <c r="B48" i="9"/>
  <c r="B49" i="9"/>
  <c r="C50" i="9" s="1"/>
  <c r="B3" i="6" l="1"/>
  <c r="C46" i="9"/>
  <c r="C38" i="9"/>
  <c r="C45" i="9"/>
  <c r="C35" i="9"/>
  <c r="C36" i="9"/>
  <c r="C43" i="9"/>
  <c r="C37" i="9"/>
  <c r="C48" i="9"/>
  <c r="C44" i="9"/>
  <c r="C40" i="9"/>
  <c r="C47" i="9"/>
  <c r="C39" i="9"/>
  <c r="C49" i="9"/>
  <c r="C42" i="9"/>
  <c r="C41" i="9"/>
  <c r="C34" i="9"/>
  <c r="G3" i="6" l="1"/>
  <c r="I3" i="6"/>
  <c r="J3" i="6"/>
  <c r="F3" i="6"/>
  <c r="B4" i="6"/>
  <c r="B31" i="9"/>
  <c r="B32" i="9"/>
  <c r="C33" i="9" s="1"/>
  <c r="F4" i="6" l="1"/>
  <c r="G4" i="6"/>
  <c r="I4" i="6"/>
  <c r="J4" i="6"/>
  <c r="B5" i="6"/>
  <c r="C32" i="9"/>
  <c r="G5" i="6" l="1"/>
  <c r="I5" i="6"/>
  <c r="F5" i="6"/>
  <c r="H5" i="6"/>
  <c r="J5" i="6"/>
  <c r="B6" i="6"/>
  <c r="G3" i="4"/>
  <c r="G4" i="4"/>
  <c r="G5" i="4"/>
  <c r="G6" i="4"/>
  <c r="G7" i="4"/>
  <c r="G8" i="4"/>
  <c r="G9" i="4"/>
  <c r="G10" i="4"/>
  <c r="G11" i="4"/>
  <c r="G12" i="4"/>
  <c r="G13" i="4"/>
  <c r="G14" i="4"/>
  <c r="G15" i="4"/>
  <c r="G16" i="4"/>
  <c r="G17" i="4"/>
  <c r="G18" i="4"/>
  <c r="G19" i="4"/>
  <c r="G20" i="4"/>
  <c r="G21" i="4"/>
  <c r="G22" i="4"/>
  <c r="G23" i="4"/>
  <c r="G24" i="4"/>
  <c r="G25" i="4"/>
  <c r="G26" i="4"/>
  <c r="G27" i="4"/>
  <c r="G28" i="4"/>
  <c r="N27" i="3" s="1"/>
  <c r="G29" i="4"/>
  <c r="G30" i="4"/>
  <c r="G31" i="4"/>
  <c r="N25" i="3" s="1"/>
  <c r="G32" i="4"/>
  <c r="G33" i="4"/>
  <c r="G34" i="4"/>
  <c r="G35" i="4"/>
  <c r="G36" i="4"/>
  <c r="G37" i="4"/>
  <c r="G38" i="4"/>
  <c r="G39" i="4"/>
  <c r="G40" i="4"/>
  <c r="G41" i="4"/>
  <c r="N41" i="3" s="1"/>
  <c r="G42" i="4"/>
  <c r="G43" i="4"/>
  <c r="G44" i="4"/>
  <c r="G45" i="4"/>
  <c r="G46" i="4"/>
  <c r="G47" i="4"/>
  <c r="G48" i="4"/>
  <c r="G49" i="4"/>
  <c r="G50" i="4"/>
  <c r="G51" i="4"/>
  <c r="G52" i="4"/>
  <c r="G53" i="4"/>
  <c r="G54" i="4"/>
  <c r="G55" i="4"/>
  <c r="G56" i="4"/>
  <c r="N11" i="3" s="1"/>
  <c r="G57" i="4"/>
  <c r="G58" i="4"/>
  <c r="G59" i="4"/>
  <c r="N10" i="3" s="1"/>
  <c r="G60" i="4"/>
  <c r="N43" i="3" s="1"/>
  <c r="G61" i="4"/>
  <c r="G62" i="4"/>
  <c r="G63" i="4"/>
  <c r="G64" i="4"/>
  <c r="G65" i="4"/>
  <c r="G66" i="4"/>
  <c r="G67" i="4"/>
  <c r="G68" i="4"/>
  <c r="G69" i="4"/>
  <c r="G70" i="4"/>
  <c r="G71" i="4"/>
  <c r="G72" i="4"/>
  <c r="G73" i="4"/>
  <c r="G74" i="4"/>
  <c r="G75" i="4"/>
  <c r="G76" i="4"/>
  <c r="G77" i="4"/>
  <c r="G78" i="4"/>
  <c r="G79" i="4"/>
  <c r="G80" i="4"/>
  <c r="G81" i="4"/>
  <c r="G82" i="4"/>
  <c r="G83" i="4"/>
  <c r="G84" i="4"/>
  <c r="G85" i="4"/>
  <c r="G86" i="4"/>
  <c r="G87" i="4"/>
  <c r="G88" i="4"/>
  <c r="N15" i="3" s="1"/>
  <c r="G89" i="4"/>
  <c r="G90" i="4"/>
  <c r="G91" i="4"/>
  <c r="G92" i="4"/>
  <c r="G93" i="4"/>
  <c r="G94" i="4"/>
  <c r="G95" i="4"/>
  <c r="G96" i="4"/>
  <c r="N12" i="3" s="1"/>
  <c r="G97" i="4"/>
  <c r="G98" i="4"/>
  <c r="G99" i="4"/>
  <c r="G100" i="4"/>
  <c r="G101" i="4"/>
  <c r="G102" i="4"/>
  <c r="G103" i="4"/>
  <c r="G104" i="4"/>
  <c r="G105" i="4"/>
  <c r="G106" i="4"/>
  <c r="G107" i="4"/>
  <c r="N42" i="3" s="1"/>
  <c r="G108" i="4"/>
  <c r="N31" i="3" s="1"/>
  <c r="G109" i="4"/>
  <c r="G110" i="4"/>
  <c r="N18" i="3" s="1"/>
  <c r="G111" i="4"/>
  <c r="G112" i="4"/>
  <c r="G113" i="4"/>
  <c r="N34" i="3" s="1"/>
  <c r="G114" i="4"/>
  <c r="G115" i="4"/>
  <c r="G116" i="4"/>
  <c r="G117" i="4"/>
  <c r="G118" i="4"/>
  <c r="G119" i="4"/>
  <c r="G120" i="4"/>
  <c r="G121" i="4"/>
  <c r="G122" i="4"/>
  <c r="G123" i="4"/>
  <c r="G124" i="4"/>
  <c r="G125" i="4"/>
  <c r="N32" i="3" s="1"/>
  <c r="G126" i="4"/>
  <c r="G127" i="4"/>
  <c r="G128" i="4"/>
  <c r="N16" i="3" s="1"/>
  <c r="G129" i="4"/>
  <c r="G130" i="4"/>
  <c r="G131" i="4"/>
  <c r="G132" i="4"/>
  <c r="N35" i="3" s="1"/>
  <c r="G133" i="4"/>
  <c r="G134" i="4"/>
  <c r="G135" i="4"/>
  <c r="G136" i="4"/>
  <c r="G137" i="4"/>
  <c r="G138" i="4"/>
  <c r="N33" i="3" s="1"/>
  <c r="G139" i="4"/>
  <c r="G140" i="4"/>
  <c r="G141" i="4"/>
  <c r="G142" i="4"/>
  <c r="G143" i="4"/>
  <c r="G144" i="4"/>
  <c r="G145" i="4"/>
  <c r="N36" i="3" s="1"/>
  <c r="G146" i="4"/>
  <c r="G147" i="4"/>
  <c r="G148" i="4"/>
  <c r="G149" i="4"/>
  <c r="G150" i="4"/>
  <c r="G151" i="4"/>
  <c r="G152" i="4"/>
  <c r="G153" i="4"/>
  <c r="N9" i="3" s="1"/>
  <c r="G154" i="4"/>
  <c r="G155" i="4"/>
  <c r="G156" i="4"/>
  <c r="G157" i="4"/>
  <c r="G158" i="4"/>
  <c r="G159" i="4"/>
  <c r="G160" i="4"/>
  <c r="G161" i="4"/>
  <c r="G162" i="4"/>
  <c r="G163" i="4"/>
  <c r="G164" i="4"/>
  <c r="G165" i="4"/>
  <c r="G166" i="4"/>
  <c r="G167" i="4"/>
  <c r="G168" i="4"/>
  <c r="G169" i="4"/>
  <c r="N39" i="3" s="1"/>
  <c r="G170" i="4"/>
  <c r="G171" i="4"/>
  <c r="G172" i="4"/>
  <c r="G173" i="4"/>
  <c r="G174" i="4"/>
  <c r="G175" i="4"/>
  <c r="G176" i="4"/>
  <c r="G177" i="4"/>
  <c r="G178" i="4"/>
  <c r="G179" i="4"/>
  <c r="G180" i="4"/>
  <c r="N17" i="3" s="1"/>
  <c r="G181" i="4"/>
  <c r="G182" i="4"/>
  <c r="G183" i="4"/>
  <c r="G184" i="4"/>
  <c r="G185" i="4"/>
  <c r="N40" i="3" s="1"/>
  <c r="G186" i="4"/>
  <c r="G187" i="4"/>
  <c r="G188" i="4"/>
  <c r="G189" i="4"/>
  <c r="G190" i="4"/>
  <c r="N23" i="3" s="1"/>
  <c r="G191" i="4"/>
  <c r="G192" i="4"/>
  <c r="G193" i="4"/>
  <c r="G194" i="4"/>
  <c r="G195" i="4"/>
  <c r="G196" i="4"/>
  <c r="G197" i="4"/>
  <c r="G198" i="4"/>
  <c r="G199" i="4"/>
  <c r="G200" i="4"/>
  <c r="G201" i="4"/>
  <c r="G202" i="4"/>
  <c r="G203" i="4"/>
  <c r="N14" i="3" s="1"/>
  <c r="G204" i="4"/>
  <c r="N20" i="3" s="1"/>
  <c r="G205" i="4"/>
  <c r="G206" i="4"/>
  <c r="N13" i="3" s="1"/>
  <c r="G207" i="4"/>
  <c r="G208" i="4"/>
  <c r="G209" i="4"/>
  <c r="G210" i="4"/>
  <c r="G211" i="4"/>
  <c r="G212" i="4"/>
  <c r="G213" i="4"/>
  <c r="N26" i="3" s="1"/>
  <c r="G214" i="4"/>
  <c r="G215" i="4"/>
  <c r="N24" i="3" s="1"/>
  <c r="G216" i="4"/>
  <c r="G217" i="4"/>
  <c r="G218" i="4"/>
  <c r="G219" i="4"/>
  <c r="G220" i="4"/>
  <c r="G221" i="4"/>
  <c r="G222" i="4"/>
  <c r="G223" i="4"/>
  <c r="G224" i="4"/>
  <c r="G225" i="4"/>
  <c r="G226" i="4"/>
  <c r="G227" i="4"/>
  <c r="G228" i="4"/>
  <c r="G229" i="4"/>
  <c r="G230" i="4"/>
  <c r="G231" i="4"/>
  <c r="G232" i="4"/>
  <c r="G233" i="4"/>
  <c r="G234" i="4"/>
  <c r="G235" i="4"/>
  <c r="G236" i="4"/>
  <c r="G237" i="4"/>
  <c r="G238" i="4"/>
  <c r="G239" i="4"/>
  <c r="G240" i="4"/>
  <c r="G241" i="4"/>
  <c r="G242" i="4"/>
  <c r="G243" i="4"/>
  <c r="G244" i="4"/>
  <c r="G245" i="4"/>
  <c r="G246" i="4"/>
  <c r="G247" i="4"/>
  <c r="G248" i="4"/>
  <c r="G249" i="4"/>
  <c r="G250" i="4"/>
  <c r="G251" i="4"/>
  <c r="G252" i="4"/>
  <c r="G253" i="4"/>
  <c r="G254" i="4"/>
  <c r="G255" i="4"/>
  <c r="G256" i="4"/>
  <c r="G257" i="4"/>
  <c r="G258" i="4"/>
  <c r="G2" i="4"/>
  <c r="N37" i="3" l="1"/>
  <c r="N7" i="3"/>
  <c r="N19" i="3"/>
  <c r="N38" i="3"/>
  <c r="N45" i="3"/>
  <c r="N44" i="3"/>
  <c r="N28" i="3"/>
  <c r="N29" i="3"/>
  <c r="N21" i="3"/>
  <c r="N22" i="3"/>
  <c r="N8" i="3"/>
  <c r="N30" i="3"/>
  <c r="H4" i="6"/>
  <c r="H3" i="6"/>
  <c r="F6" i="6"/>
  <c r="I6" i="6"/>
  <c r="G6" i="6"/>
  <c r="H6" i="6"/>
  <c r="J6" i="6"/>
  <c r="B7" i="6"/>
  <c r="G7" i="6" l="1"/>
  <c r="I7" i="6"/>
  <c r="J7" i="6"/>
  <c r="F7" i="6"/>
  <c r="H7" i="6"/>
  <c r="B8" i="6"/>
  <c r="B2" i="9"/>
  <c r="B3" i="9"/>
  <c r="B4" i="9"/>
  <c r="B5" i="9"/>
  <c r="B6" i="9"/>
  <c r="B7" i="9"/>
  <c r="B8" i="9"/>
  <c r="B9" i="9"/>
  <c r="B10" i="9"/>
  <c r="B11" i="9"/>
  <c r="B12" i="9"/>
  <c r="B13" i="9"/>
  <c r="B14" i="9"/>
  <c r="B15" i="9"/>
  <c r="B16" i="9"/>
  <c r="B17" i="9"/>
  <c r="B18" i="9"/>
  <c r="B19" i="9"/>
  <c r="B20" i="9"/>
  <c r="B21" i="9"/>
  <c r="B22" i="9"/>
  <c r="B23" i="9"/>
  <c r="B24" i="9"/>
  <c r="B25" i="9"/>
  <c r="B26" i="9"/>
  <c r="B27" i="9"/>
  <c r="B28" i="9"/>
  <c r="B29" i="9"/>
  <c r="B30" i="9"/>
  <c r="C31" i="9" s="1"/>
  <c r="F8" i="6" l="1"/>
  <c r="G8" i="6"/>
  <c r="I8" i="6"/>
  <c r="J8" i="6"/>
  <c r="H8" i="6"/>
  <c r="B9" i="6"/>
  <c r="C26" i="9"/>
  <c r="B1" i="9"/>
  <c r="C1" i="9" s="1"/>
  <c r="C4" i="9"/>
  <c r="C7" i="9"/>
  <c r="C24" i="9"/>
  <c r="C10" i="9"/>
  <c r="C15" i="9"/>
  <c r="C30" i="9"/>
  <c r="C16" i="9"/>
  <c r="C29" i="9"/>
  <c r="C12" i="9"/>
  <c r="C13" i="9"/>
  <c r="G9" i="6" l="1"/>
  <c r="H9" i="6"/>
  <c r="J9" i="6"/>
  <c r="I9" i="6"/>
  <c r="F9" i="6"/>
  <c r="B10" i="6"/>
  <c r="C25" i="9"/>
  <c r="C19" i="9"/>
  <c r="C22" i="9"/>
  <c r="C17" i="9"/>
  <c r="C18" i="9"/>
  <c r="C20" i="9"/>
  <c r="C8" i="9"/>
  <c r="C9" i="9"/>
  <c r="C5" i="9"/>
  <c r="C6" i="9"/>
  <c r="C27" i="9"/>
  <c r="C14" i="9"/>
  <c r="C28" i="9"/>
  <c r="C11" i="9"/>
  <c r="C2" i="9"/>
  <c r="C3" i="9"/>
  <c r="C21" i="9"/>
  <c r="C23" i="9"/>
  <c r="B11" i="6" l="1"/>
  <c r="F10" i="6"/>
  <c r="G10" i="6"/>
  <c r="I10" i="6"/>
  <c r="H10" i="6"/>
  <c r="J10" i="6"/>
  <c r="M30" i="5"/>
  <c r="M29" i="5"/>
  <c r="M27" i="5"/>
  <c r="G11" i="6" l="1"/>
  <c r="I11" i="6"/>
  <c r="J11" i="6"/>
  <c r="H11" i="6"/>
  <c r="F11" i="6"/>
  <c r="B12" i="6"/>
  <c r="M26" i="5"/>
  <c r="AH13" i="1" l="1"/>
  <c r="B13" i="6"/>
  <c r="F12" i="6"/>
  <c r="G12" i="6"/>
  <c r="H12" i="6"/>
  <c r="J12" i="6"/>
  <c r="I12" i="6"/>
  <c r="J7" i="1"/>
  <c r="G13" i="6" l="1"/>
  <c r="F13" i="6"/>
  <c r="H13" i="6"/>
  <c r="J13" i="6"/>
  <c r="I13" i="6"/>
  <c r="B14" i="6"/>
  <c r="X6" i="1"/>
  <c r="W6" i="1"/>
  <c r="V6" i="1"/>
  <c r="S6" i="1"/>
  <c r="R2" i="1"/>
  <c r="I2" i="1"/>
  <c r="O6" i="1"/>
  <c r="N6" i="1"/>
  <c r="M6" i="1"/>
  <c r="J6" i="1"/>
  <c r="B15" i="6" l="1"/>
  <c r="I14" i="6"/>
  <c r="G14" i="6"/>
  <c r="H14" i="6"/>
  <c r="J14" i="6"/>
  <c r="F14" i="6"/>
  <c r="P3" i="5"/>
  <c r="G15" i="6" l="1"/>
  <c r="I15" i="6"/>
  <c r="J15" i="6"/>
  <c r="F15" i="6"/>
  <c r="H15" i="6"/>
  <c r="B16" i="6"/>
  <c r="M18" i="5"/>
  <c r="B17" i="6" l="1"/>
  <c r="F16" i="6"/>
  <c r="G16" i="6"/>
  <c r="I16" i="6"/>
  <c r="J16" i="6"/>
  <c r="H16" i="6"/>
  <c r="G282" i="4"/>
  <c r="G283" i="4"/>
  <c r="G284" i="4"/>
  <c r="G285" i="4"/>
  <c r="G286" i="4"/>
  <c r="G287" i="4"/>
  <c r="G288" i="4"/>
  <c r="G289" i="4"/>
  <c r="G290" i="4"/>
  <c r="G291" i="4"/>
  <c r="G292" i="4"/>
  <c r="G293" i="4"/>
  <c r="G294" i="4"/>
  <c r="G295" i="4"/>
  <c r="G296" i="4"/>
  <c r="G297" i="4"/>
  <c r="G298" i="4"/>
  <c r="G299" i="4"/>
  <c r="G300" i="4"/>
  <c r="G301" i="4"/>
  <c r="G302" i="4"/>
  <c r="G303" i="4"/>
  <c r="G304" i="4"/>
  <c r="G305" i="4"/>
  <c r="G306" i="4"/>
  <c r="G307" i="4"/>
  <c r="G308" i="4"/>
  <c r="G309" i="4"/>
  <c r="G310" i="4"/>
  <c r="G311" i="4"/>
  <c r="F312" i="4"/>
  <c r="G312" i="4" s="1"/>
  <c r="F313" i="4"/>
  <c r="G313" i="4" s="1"/>
  <c r="F314" i="4"/>
  <c r="G314" i="4" s="1"/>
  <c r="F315" i="4"/>
  <c r="G315" i="4" s="1"/>
  <c r="F316" i="4"/>
  <c r="G316" i="4" s="1"/>
  <c r="F317" i="4"/>
  <c r="G317" i="4" s="1"/>
  <c r="F318" i="4"/>
  <c r="G318" i="4" s="1"/>
  <c r="F319" i="4"/>
  <c r="G319" i="4" s="1"/>
  <c r="F320" i="4"/>
  <c r="G320" i="4" s="1"/>
  <c r="F321" i="4"/>
  <c r="G321" i="4" s="1"/>
  <c r="F322" i="4"/>
  <c r="G322" i="4" s="1"/>
  <c r="F323" i="4"/>
  <c r="G323" i="4" s="1"/>
  <c r="F324" i="4"/>
  <c r="G324" i="4" s="1"/>
  <c r="F325" i="4"/>
  <c r="G325" i="4" s="1"/>
  <c r="F326" i="4"/>
  <c r="G326" i="4" s="1"/>
  <c r="F327" i="4"/>
  <c r="G327" i="4" s="1"/>
  <c r="F328" i="4"/>
  <c r="G328" i="4" s="1"/>
  <c r="F329" i="4"/>
  <c r="G329" i="4" s="1"/>
  <c r="F330" i="4"/>
  <c r="G330" i="4" s="1"/>
  <c r="F331" i="4"/>
  <c r="G331" i="4" s="1"/>
  <c r="F332" i="4"/>
  <c r="G332" i="4" s="1"/>
  <c r="F333" i="4"/>
  <c r="G333" i="4" s="1"/>
  <c r="F334" i="4"/>
  <c r="G334" i="4" s="1"/>
  <c r="F335" i="4"/>
  <c r="G335" i="4" s="1"/>
  <c r="F336" i="4"/>
  <c r="G336" i="4" s="1"/>
  <c r="F337" i="4"/>
  <c r="G337" i="4" s="1"/>
  <c r="F338" i="4"/>
  <c r="G338" i="4" s="1"/>
  <c r="F339" i="4"/>
  <c r="G339" i="4" s="1"/>
  <c r="F340" i="4"/>
  <c r="G340" i="4" s="1"/>
  <c r="F341" i="4"/>
  <c r="G341" i="4" s="1"/>
  <c r="F342" i="4"/>
  <c r="G342" i="4" s="1"/>
  <c r="F343" i="4"/>
  <c r="G343" i="4" s="1"/>
  <c r="F344" i="4"/>
  <c r="G344" i="4" s="1"/>
  <c r="F345" i="4"/>
  <c r="G345" i="4" s="1"/>
  <c r="F346" i="4"/>
  <c r="G346" i="4" s="1"/>
  <c r="F347" i="4"/>
  <c r="G347" i="4" s="1"/>
  <c r="F348" i="4"/>
  <c r="G348" i="4" s="1"/>
  <c r="F349" i="4"/>
  <c r="G349" i="4" s="1"/>
  <c r="F350" i="4"/>
  <c r="G350" i="4" s="1"/>
  <c r="F351" i="4"/>
  <c r="G351" i="4" s="1"/>
  <c r="F352" i="4"/>
  <c r="G352" i="4" s="1"/>
  <c r="F353" i="4"/>
  <c r="G353" i="4" s="1"/>
  <c r="F354" i="4"/>
  <c r="G354" i="4" s="1"/>
  <c r="F355" i="4"/>
  <c r="G355" i="4" s="1"/>
  <c r="F356" i="4"/>
  <c r="G356" i="4" s="1"/>
  <c r="F357" i="4"/>
  <c r="G357" i="4" s="1"/>
  <c r="F358" i="4"/>
  <c r="G358" i="4" s="1"/>
  <c r="F359" i="4"/>
  <c r="G359" i="4" s="1"/>
  <c r="F360" i="4"/>
  <c r="G360" i="4" s="1"/>
  <c r="F361" i="4"/>
  <c r="G361" i="4" s="1"/>
  <c r="F362" i="4"/>
  <c r="G362" i="4" s="1"/>
  <c r="F363" i="4"/>
  <c r="G363" i="4" s="1"/>
  <c r="F364" i="4"/>
  <c r="G364" i="4" s="1"/>
  <c r="F365" i="4"/>
  <c r="G365" i="4" s="1"/>
  <c r="F366" i="4"/>
  <c r="G366" i="4" s="1"/>
  <c r="F367" i="4"/>
  <c r="G367" i="4" s="1"/>
  <c r="F368" i="4"/>
  <c r="G368" i="4" s="1"/>
  <c r="F369" i="4"/>
  <c r="G369" i="4" s="1"/>
  <c r="F370" i="4"/>
  <c r="G370" i="4" s="1"/>
  <c r="F371" i="4"/>
  <c r="G371" i="4" s="1"/>
  <c r="F372" i="4"/>
  <c r="G372" i="4" s="1"/>
  <c r="F373" i="4"/>
  <c r="G373" i="4" s="1"/>
  <c r="F374" i="4"/>
  <c r="G374" i="4" s="1"/>
  <c r="F375" i="4"/>
  <c r="G375" i="4" s="1"/>
  <c r="F376" i="4"/>
  <c r="G376" i="4" s="1"/>
  <c r="F377" i="4"/>
  <c r="G377" i="4" s="1"/>
  <c r="F378" i="4"/>
  <c r="G378" i="4" s="1"/>
  <c r="F379" i="4"/>
  <c r="G379" i="4" s="1"/>
  <c r="F380" i="4"/>
  <c r="G380" i="4" s="1"/>
  <c r="F381" i="4"/>
  <c r="G381" i="4" s="1"/>
  <c r="F382" i="4"/>
  <c r="G382" i="4" s="1"/>
  <c r="F383" i="4"/>
  <c r="G383" i="4" s="1"/>
  <c r="F384" i="4"/>
  <c r="G384" i="4" s="1"/>
  <c r="F385" i="4"/>
  <c r="G385" i="4" s="1"/>
  <c r="F386" i="4"/>
  <c r="G386" i="4" s="1"/>
  <c r="F387" i="4"/>
  <c r="G387" i="4" s="1"/>
  <c r="F388" i="4"/>
  <c r="G388" i="4" s="1"/>
  <c r="F389" i="4"/>
  <c r="G389" i="4" s="1"/>
  <c r="F390" i="4"/>
  <c r="G390" i="4" s="1"/>
  <c r="F391" i="4"/>
  <c r="G391" i="4" s="1"/>
  <c r="F392" i="4"/>
  <c r="G392" i="4" s="1"/>
  <c r="F393" i="4"/>
  <c r="G393" i="4" s="1"/>
  <c r="F394" i="4"/>
  <c r="G394" i="4" s="1"/>
  <c r="F395" i="4"/>
  <c r="G395" i="4" s="1"/>
  <c r="F396" i="4"/>
  <c r="G396" i="4" s="1"/>
  <c r="F397" i="4"/>
  <c r="G397" i="4" s="1"/>
  <c r="F398" i="4"/>
  <c r="G398" i="4" s="1"/>
  <c r="F399" i="4"/>
  <c r="G399" i="4" s="1"/>
  <c r="F400" i="4"/>
  <c r="G400" i="4" s="1"/>
  <c r="F401" i="4"/>
  <c r="G401" i="4" s="1"/>
  <c r="F402" i="4"/>
  <c r="G402" i="4" s="1"/>
  <c r="F403" i="4"/>
  <c r="G403" i="4" s="1"/>
  <c r="F404" i="4"/>
  <c r="G404" i="4" s="1"/>
  <c r="F405" i="4"/>
  <c r="G405" i="4" s="1"/>
  <c r="F406" i="4"/>
  <c r="G406" i="4" s="1"/>
  <c r="F407" i="4"/>
  <c r="G407" i="4" s="1"/>
  <c r="F408" i="4"/>
  <c r="G408" i="4" s="1"/>
  <c r="F409" i="4"/>
  <c r="G409" i="4" s="1"/>
  <c r="F410" i="4"/>
  <c r="G410" i="4" s="1"/>
  <c r="F411" i="4"/>
  <c r="G411" i="4" s="1"/>
  <c r="F412" i="4"/>
  <c r="G412" i="4" s="1"/>
  <c r="F413" i="4"/>
  <c r="G413" i="4" s="1"/>
  <c r="F414" i="4"/>
  <c r="G414" i="4" s="1"/>
  <c r="F415" i="4"/>
  <c r="G415" i="4" s="1"/>
  <c r="F416" i="4"/>
  <c r="G416" i="4" s="1"/>
  <c r="F417" i="4"/>
  <c r="G417" i="4" s="1"/>
  <c r="F418" i="4"/>
  <c r="G418" i="4" s="1"/>
  <c r="F419" i="4"/>
  <c r="G419" i="4" s="1"/>
  <c r="F420" i="4"/>
  <c r="G420" i="4" s="1"/>
  <c r="F421" i="4"/>
  <c r="G421" i="4" s="1"/>
  <c r="F422" i="4"/>
  <c r="G422" i="4" s="1"/>
  <c r="F423" i="4"/>
  <c r="G423" i="4" s="1"/>
  <c r="F424" i="4"/>
  <c r="G424" i="4" s="1"/>
  <c r="F425" i="4"/>
  <c r="G425" i="4" s="1"/>
  <c r="F426" i="4"/>
  <c r="G426" i="4" s="1"/>
  <c r="F427" i="4"/>
  <c r="G427" i="4" s="1"/>
  <c r="F428" i="4"/>
  <c r="G428" i="4" s="1"/>
  <c r="F429" i="4"/>
  <c r="G429" i="4" s="1"/>
  <c r="F430" i="4"/>
  <c r="G430" i="4" s="1"/>
  <c r="F431" i="4"/>
  <c r="G431" i="4" s="1"/>
  <c r="F432" i="4"/>
  <c r="G432" i="4" s="1"/>
  <c r="F433" i="4"/>
  <c r="G433" i="4" s="1"/>
  <c r="F434" i="4"/>
  <c r="G434" i="4" s="1"/>
  <c r="F435" i="4"/>
  <c r="G435" i="4" s="1"/>
  <c r="F436" i="4"/>
  <c r="G436" i="4" s="1"/>
  <c r="F437" i="4"/>
  <c r="G437" i="4" s="1"/>
  <c r="F438" i="4"/>
  <c r="G438" i="4" s="1"/>
  <c r="F439" i="4"/>
  <c r="G439" i="4" s="1"/>
  <c r="F440" i="4"/>
  <c r="G440" i="4" s="1"/>
  <c r="F441" i="4"/>
  <c r="G441" i="4" s="1"/>
  <c r="F442" i="4"/>
  <c r="G442" i="4" s="1"/>
  <c r="F443" i="4"/>
  <c r="G443" i="4" s="1"/>
  <c r="F444" i="4"/>
  <c r="G444" i="4" s="1"/>
  <c r="F445" i="4"/>
  <c r="G445" i="4" s="1"/>
  <c r="F446" i="4"/>
  <c r="G446" i="4" s="1"/>
  <c r="F447" i="4"/>
  <c r="G447" i="4" s="1"/>
  <c r="F448" i="4"/>
  <c r="G448" i="4" s="1"/>
  <c r="F449" i="4"/>
  <c r="G449" i="4" s="1"/>
  <c r="F450" i="4"/>
  <c r="G450" i="4" s="1"/>
  <c r="F451" i="4"/>
  <c r="G451" i="4" s="1"/>
  <c r="F452" i="4"/>
  <c r="G452" i="4" s="1"/>
  <c r="F453" i="4"/>
  <c r="G453" i="4" s="1"/>
  <c r="F454" i="4"/>
  <c r="G454" i="4" s="1"/>
  <c r="F455" i="4"/>
  <c r="G455" i="4" s="1"/>
  <c r="F456" i="4"/>
  <c r="G456" i="4" s="1"/>
  <c r="F457" i="4"/>
  <c r="G457" i="4" s="1"/>
  <c r="F458" i="4"/>
  <c r="G458" i="4" s="1"/>
  <c r="F459" i="4"/>
  <c r="G459" i="4" s="1"/>
  <c r="F460" i="4"/>
  <c r="G460" i="4" s="1"/>
  <c r="F461" i="4"/>
  <c r="G461" i="4" s="1"/>
  <c r="F462" i="4"/>
  <c r="G462" i="4" s="1"/>
  <c r="F463" i="4"/>
  <c r="G463" i="4" s="1"/>
  <c r="F464" i="4"/>
  <c r="G464" i="4" s="1"/>
  <c r="F465" i="4"/>
  <c r="G465" i="4" s="1"/>
  <c r="F466" i="4"/>
  <c r="G466" i="4" s="1"/>
  <c r="F467" i="4"/>
  <c r="G467" i="4" s="1"/>
  <c r="F468" i="4"/>
  <c r="G468" i="4" s="1"/>
  <c r="F469" i="4"/>
  <c r="G469" i="4" s="1"/>
  <c r="F470" i="4"/>
  <c r="G470" i="4" s="1"/>
  <c r="F471" i="4"/>
  <c r="G471" i="4" s="1"/>
  <c r="F472" i="4"/>
  <c r="G472" i="4" s="1"/>
  <c r="F473" i="4"/>
  <c r="G473" i="4" s="1"/>
  <c r="F474" i="4"/>
  <c r="G474" i="4" s="1"/>
  <c r="F475" i="4"/>
  <c r="G475" i="4" s="1"/>
  <c r="F476" i="4"/>
  <c r="G476" i="4" s="1"/>
  <c r="F477" i="4"/>
  <c r="G477" i="4" s="1"/>
  <c r="F478" i="4"/>
  <c r="G478" i="4" s="1"/>
  <c r="F479" i="4"/>
  <c r="G479" i="4" s="1"/>
  <c r="F480" i="4"/>
  <c r="G480" i="4" s="1"/>
  <c r="F481" i="4"/>
  <c r="G481" i="4" s="1"/>
  <c r="F482" i="4"/>
  <c r="G482" i="4" s="1"/>
  <c r="F483" i="4"/>
  <c r="G483" i="4" s="1"/>
  <c r="F484" i="4"/>
  <c r="G484" i="4" s="1"/>
  <c r="F485" i="4"/>
  <c r="G485" i="4" s="1"/>
  <c r="F486" i="4"/>
  <c r="G486" i="4" s="1"/>
  <c r="F487" i="4"/>
  <c r="G487" i="4" s="1"/>
  <c r="F488" i="4"/>
  <c r="G488" i="4" s="1"/>
  <c r="F489" i="4"/>
  <c r="G489" i="4" s="1"/>
  <c r="F490" i="4"/>
  <c r="G490" i="4" s="1"/>
  <c r="F491" i="4"/>
  <c r="G491" i="4" s="1"/>
  <c r="F492" i="4"/>
  <c r="G492" i="4" s="1"/>
  <c r="F493" i="4"/>
  <c r="G493" i="4" s="1"/>
  <c r="F494" i="4"/>
  <c r="G494" i="4" s="1"/>
  <c r="F495" i="4"/>
  <c r="G495" i="4" s="1"/>
  <c r="F496" i="4"/>
  <c r="G496" i="4" s="1"/>
  <c r="F497" i="4"/>
  <c r="G497" i="4" s="1"/>
  <c r="F498" i="4"/>
  <c r="G498" i="4" s="1"/>
  <c r="F499" i="4"/>
  <c r="G499" i="4" s="1"/>
  <c r="F500" i="4"/>
  <c r="G500" i="4" s="1"/>
  <c r="F501" i="4"/>
  <c r="G501" i="4" s="1"/>
  <c r="F502" i="4"/>
  <c r="G502" i="4" s="1"/>
  <c r="F503" i="4"/>
  <c r="G503" i="4" s="1"/>
  <c r="F504" i="4"/>
  <c r="G504" i="4" s="1"/>
  <c r="F505" i="4"/>
  <c r="G505" i="4" s="1"/>
  <c r="F506" i="4"/>
  <c r="G506" i="4" s="1"/>
  <c r="F507" i="4"/>
  <c r="G507" i="4" s="1"/>
  <c r="F508" i="4"/>
  <c r="G508" i="4" s="1"/>
  <c r="F509" i="4"/>
  <c r="G509" i="4" s="1"/>
  <c r="F510" i="4"/>
  <c r="G510" i="4" s="1"/>
  <c r="F511" i="4"/>
  <c r="G511" i="4" s="1"/>
  <c r="F512" i="4"/>
  <c r="G512" i="4" s="1"/>
  <c r="F513" i="4"/>
  <c r="G513" i="4" s="1"/>
  <c r="F514" i="4"/>
  <c r="G514" i="4" s="1"/>
  <c r="F515" i="4"/>
  <c r="G515" i="4" s="1"/>
  <c r="F516" i="4"/>
  <c r="G516" i="4" s="1"/>
  <c r="F517" i="4"/>
  <c r="G517" i="4" s="1"/>
  <c r="F518" i="4"/>
  <c r="G518" i="4" s="1"/>
  <c r="F519" i="4"/>
  <c r="G519" i="4" s="1"/>
  <c r="F520" i="4"/>
  <c r="G520" i="4" s="1"/>
  <c r="F521" i="4"/>
  <c r="G521" i="4" s="1"/>
  <c r="F522" i="4"/>
  <c r="G522" i="4" s="1"/>
  <c r="F523" i="4"/>
  <c r="G523" i="4" s="1"/>
  <c r="F524" i="4"/>
  <c r="G524" i="4" s="1"/>
  <c r="F525" i="4"/>
  <c r="G525" i="4" s="1"/>
  <c r="F526" i="4"/>
  <c r="G526" i="4" s="1"/>
  <c r="F527" i="4"/>
  <c r="G527" i="4" s="1"/>
  <c r="F528" i="4"/>
  <c r="G528" i="4" s="1"/>
  <c r="F529" i="4"/>
  <c r="G529" i="4" s="1"/>
  <c r="F530" i="4"/>
  <c r="G530" i="4" s="1"/>
  <c r="F531" i="4"/>
  <c r="G531" i="4" s="1"/>
  <c r="F532" i="4"/>
  <c r="G532" i="4" s="1"/>
  <c r="F533" i="4"/>
  <c r="G533" i="4" s="1"/>
  <c r="F534" i="4"/>
  <c r="G534" i="4" s="1"/>
  <c r="F535" i="4"/>
  <c r="G535" i="4" s="1"/>
  <c r="F536" i="4"/>
  <c r="G536" i="4" s="1"/>
  <c r="F537" i="4"/>
  <c r="G537" i="4" s="1"/>
  <c r="F538" i="4"/>
  <c r="G538" i="4" s="1"/>
  <c r="F539" i="4"/>
  <c r="G539" i="4" s="1"/>
  <c r="F540" i="4"/>
  <c r="G540" i="4" s="1"/>
  <c r="F541" i="4"/>
  <c r="G541" i="4" s="1"/>
  <c r="F542" i="4"/>
  <c r="G542" i="4" s="1"/>
  <c r="F543" i="4"/>
  <c r="G543" i="4" s="1"/>
  <c r="G17" i="6" l="1"/>
  <c r="I17" i="6"/>
  <c r="J17" i="6"/>
  <c r="F17" i="6"/>
  <c r="H17" i="6"/>
  <c r="B18" i="6"/>
  <c r="V5" i="1"/>
  <c r="V8" i="1" s="1"/>
  <c r="G266" i="4"/>
  <c r="G267" i="4"/>
  <c r="G268" i="4"/>
  <c r="G269" i="4"/>
  <c r="G270" i="4"/>
  <c r="G271" i="4"/>
  <c r="G272" i="4"/>
  <c r="G273" i="4"/>
  <c r="G274" i="4"/>
  <c r="G275" i="4"/>
  <c r="G276" i="4"/>
  <c r="G277" i="4"/>
  <c r="G278" i="4"/>
  <c r="G279" i="4"/>
  <c r="G280" i="4"/>
  <c r="G281" i="4"/>
  <c r="B19" i="6" l="1"/>
  <c r="F18" i="6"/>
  <c r="G18" i="6"/>
  <c r="I18" i="6"/>
  <c r="H18" i="6"/>
  <c r="J18" i="6"/>
  <c r="G259" i="4"/>
  <c r="G260" i="4"/>
  <c r="G261" i="4"/>
  <c r="G262" i="4"/>
  <c r="G263" i="4"/>
  <c r="G264" i="4"/>
  <c r="G265" i="4"/>
  <c r="B20" i="6" l="1"/>
  <c r="G19" i="6"/>
  <c r="I19" i="6"/>
  <c r="H19" i="6"/>
  <c r="J19" i="6"/>
  <c r="F19" i="6"/>
  <c r="M14" i="5"/>
  <c r="M13" i="5"/>
  <c r="M12" i="5"/>
  <c r="M11" i="5"/>
  <c r="M10" i="5"/>
  <c r="M9" i="5"/>
  <c r="M8" i="5"/>
  <c r="M7" i="5"/>
  <c r="M6" i="5"/>
  <c r="M5" i="5"/>
  <c r="M4" i="5"/>
  <c r="M3" i="5"/>
  <c r="F20" i="6" l="1"/>
  <c r="G20" i="6"/>
  <c r="I20" i="6"/>
  <c r="J20" i="6"/>
  <c r="H20" i="6"/>
  <c r="B21" i="6"/>
  <c r="O3" i="3"/>
  <c r="H21" i="6" l="1"/>
  <c r="I21" i="6"/>
  <c r="F21" i="6"/>
  <c r="G21" i="6"/>
  <c r="J21" i="6"/>
  <c r="B22" i="6"/>
  <c r="S7" i="1"/>
  <c r="S5" i="1"/>
  <c r="J5" i="1"/>
  <c r="M5" i="1"/>
  <c r="M8" i="1" s="1"/>
  <c r="W5" i="1" a="1"/>
  <c r="W5" i="1" s="1"/>
  <c r="W8" i="1" s="1"/>
  <c r="N5" i="1" a="1"/>
  <c r="N5" i="1" s="1"/>
  <c r="N8" i="1" s="1"/>
  <c r="X5" i="1" a="1"/>
  <c r="X5" i="1" s="1"/>
  <c r="X8" i="1" s="1"/>
  <c r="O5" i="1" a="1"/>
  <c r="O5" i="1" s="1"/>
  <c r="O8" i="1" s="1"/>
  <c r="B23" i="6" l="1"/>
  <c r="F23" i="6" s="1"/>
  <c r="F22" i="6"/>
  <c r="G22" i="6"/>
  <c r="I22" i="6"/>
  <c r="H22" i="6"/>
  <c r="J22" i="6"/>
  <c r="J8" i="1"/>
  <c r="J4" i="1"/>
  <c r="S8" i="1"/>
  <c r="S4" i="1"/>
  <c r="J23" i="6" l="1"/>
  <c r="I23" i="6"/>
  <c r="G23" i="6"/>
  <c r="H23" i="6"/>
  <c r="B24" i="6"/>
  <c r="S9" i="1"/>
  <c r="J9" i="1"/>
  <c r="B25" i="6" l="1"/>
  <c r="H24" i="6"/>
  <c r="J24" i="6"/>
  <c r="F24" i="6"/>
  <c r="G24" i="6"/>
  <c r="I24" i="6"/>
  <c r="S11" i="1"/>
  <c r="A11" i="1"/>
  <c r="B26" i="6" l="1"/>
  <c r="F25" i="6"/>
  <c r="I25" i="6"/>
  <c r="J25" i="6"/>
  <c r="G25" i="6"/>
  <c r="H25" i="6"/>
  <c r="B1" i="6"/>
  <c r="A5" i="3"/>
  <c r="B27" i="6" l="1"/>
  <c r="G26" i="6"/>
  <c r="H26" i="6"/>
  <c r="F26" i="6"/>
  <c r="I26" i="6"/>
  <c r="J26" i="6"/>
  <c r="G27" i="6" l="1"/>
  <c r="H27" i="6"/>
  <c r="I27" i="6"/>
  <c r="J27" i="6"/>
  <c r="F27" i="6"/>
  <c r="B28" i="6"/>
  <c r="H28" i="6" l="1"/>
  <c r="F28" i="6"/>
  <c r="G28" i="6"/>
  <c r="I28" i="6"/>
  <c r="J28" i="6"/>
  <c r="B29" i="6"/>
  <c r="B30" i="6" l="1"/>
  <c r="G29" i="6"/>
  <c r="H29" i="6"/>
  <c r="I29" i="6"/>
  <c r="J29" i="6"/>
  <c r="F29" i="6"/>
  <c r="B31" i="6" l="1"/>
  <c r="I30" i="6"/>
  <c r="G30" i="6"/>
  <c r="F30" i="6"/>
  <c r="H30" i="6"/>
  <c r="J30" i="6"/>
  <c r="G31" i="6" l="1"/>
  <c r="F31" i="6"/>
  <c r="H31" i="6"/>
  <c r="I31" i="6"/>
  <c r="J31" i="6"/>
  <c r="B32" i="6"/>
  <c r="H32" i="6" l="1"/>
  <c r="J32" i="6"/>
  <c r="F32" i="6"/>
  <c r="G32" i="6"/>
  <c r="I32" i="6"/>
  <c r="B33" i="6"/>
  <c r="B34" i="6" l="1"/>
  <c r="F33" i="6"/>
  <c r="G33" i="6"/>
  <c r="I33" i="6"/>
  <c r="H33" i="6"/>
  <c r="J33" i="6"/>
  <c r="F34" i="6" l="1"/>
  <c r="G34" i="6"/>
  <c r="J34" i="6"/>
  <c r="H34" i="6"/>
  <c r="I34" i="6"/>
  <c r="B35" i="6"/>
  <c r="G35" i="6" l="1"/>
  <c r="J35" i="6"/>
  <c r="F35" i="6"/>
  <c r="H35" i="6"/>
  <c r="I35" i="6"/>
  <c r="B36" i="6"/>
  <c r="B37" i="6" l="1"/>
  <c r="F36" i="6"/>
  <c r="G36" i="6"/>
  <c r="H36" i="6"/>
  <c r="I36" i="6"/>
  <c r="J36" i="6"/>
  <c r="B38" i="6" l="1"/>
  <c r="J37" i="6"/>
  <c r="F37" i="6"/>
  <c r="I37" i="6"/>
  <c r="G37" i="6"/>
  <c r="H37" i="6"/>
  <c r="B39" i="6" l="1"/>
  <c r="G38" i="6"/>
  <c r="H38" i="6"/>
  <c r="F38" i="6"/>
  <c r="I38" i="6"/>
  <c r="J38" i="6"/>
  <c r="G39" i="6" l="1"/>
  <c r="I39" i="6"/>
  <c r="J39" i="6"/>
  <c r="F39" i="6"/>
  <c r="H39" i="6"/>
  <c r="B40" i="6"/>
  <c r="B41" i="6" l="1"/>
  <c r="J40" i="6"/>
  <c r="F40" i="6"/>
  <c r="H40" i="6"/>
  <c r="G40" i="6"/>
  <c r="I40" i="6"/>
  <c r="B42" i="6" l="1"/>
  <c r="H41" i="6"/>
  <c r="F41" i="6"/>
  <c r="I41" i="6"/>
  <c r="J41" i="6"/>
  <c r="G41" i="6"/>
  <c r="B44" i="6" l="1"/>
  <c r="B43" i="6"/>
  <c r="G42" i="6"/>
  <c r="H42" i="6"/>
  <c r="F42" i="6"/>
  <c r="I42" i="6"/>
  <c r="J42" i="6"/>
  <c r="G43" i="6" l="1"/>
  <c r="H43" i="6"/>
  <c r="I43" i="6"/>
  <c r="J43" i="6"/>
  <c r="F43" i="6"/>
  <c r="H44" i="6"/>
  <c r="J44" i="6"/>
  <c r="G44" i="6"/>
  <c r="I44" i="6"/>
  <c r="F44" i="6"/>
</calcChain>
</file>

<file path=xl/connections.xml><?xml version="1.0" encoding="utf-8"?>
<connections xmlns="http://schemas.openxmlformats.org/spreadsheetml/2006/main">
  <connection id="1" name="Denver Train Runs 04122016" type="6" refreshedVersion="5" deleted="1" background="1" saveData="1">
    <textPr codePage="437" sourceFile="C:\Users\rwhitlock\Desktop\Denver Train Runs 04122016.txt">
      <textFields count="10">
        <textField/>
        <textField/>
        <textField/>
        <textField/>
        <textField/>
        <textField/>
        <textField/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<sst xmlns="http://schemas.openxmlformats.org/spreadsheetml/2006/main" count="2811" uniqueCount="1040">
  <si>
    <t>Train ID</t>
  </si>
  <si>
    <t>Departure/Init Location</t>
  </si>
  <si>
    <t>Initialization Date/Time (US/Mountain)</t>
  </si>
  <si>
    <t>Departure Date/Time (US/Mountain)</t>
  </si>
  <si>
    <t>Delay (minutes)</t>
  </si>
  <si>
    <t>Arrival Location</t>
  </si>
  <si>
    <t>Arrival Date/Time (US/Mountain)</t>
  </si>
  <si>
    <t>2083 Enforcements (count)</t>
  </si>
  <si>
    <t>Trip Length</t>
  </si>
  <si>
    <t>Cut out runs</t>
  </si>
  <si>
    <t>PTC Runs</t>
  </si>
  <si>
    <t>Average</t>
  </si>
  <si>
    <t>Min</t>
  </si>
  <si>
    <t>Max</t>
  </si>
  <si>
    <t>Total</t>
  </si>
  <si>
    <t>NA</t>
  </si>
  <si>
    <t>Total Completed PTC runs</t>
  </si>
  <si>
    <t>Single Init runs</t>
  </si>
  <si>
    <t>Cut out</t>
  </si>
  <si>
    <t>Total Completed PTC runs (%)</t>
  </si>
  <si>
    <t>Trip Start MP</t>
  </si>
  <si>
    <t>Trip End MP</t>
  </si>
  <si>
    <t>Trip Distance</t>
  </si>
  <si>
    <t>Concerning?</t>
  </si>
  <si>
    <t>Comments</t>
  </si>
  <si>
    <t>Operating Date</t>
  </si>
  <si>
    <t>Onboard Software Version</t>
  </si>
  <si>
    <t>System Enforcement Y/N</t>
  </si>
  <si>
    <t xml:space="preserve">Data.Enforcement Direction of Travel </t>
  </si>
  <si>
    <t xml:space="preserve">Data.Target Start Milepost </t>
  </si>
  <si>
    <t xml:space="preserve">Data.Target Type </t>
  </si>
  <si>
    <t xml:space="preserve">Data.Enforcement Start Milepost </t>
  </si>
  <si>
    <t xml:space="preserve">Data.Enforcement Train Speed </t>
  </si>
  <si>
    <t xml:space="preserve">Data.Target Speed </t>
  </si>
  <si>
    <t xml:space="preserve">Data.Target Description </t>
  </si>
  <si>
    <t xml:space="preserve">Data.Warning/Enforcement Type </t>
  </si>
  <si>
    <t xml:space="preserve">Data.Train ID </t>
  </si>
  <si>
    <t xml:space="preserve">Source </t>
  </si>
  <si>
    <t xml:space="preserve">Time </t>
  </si>
  <si>
    <t>Enforcement MP</t>
  </si>
  <si>
    <t>Enforcement Desc</t>
  </si>
  <si>
    <t>w/o multiple inits</t>
  </si>
  <si>
    <t>w/ multiple inits</t>
  </si>
  <si>
    <t>Multi Init runs</t>
  </si>
  <si>
    <t>Loco ID</t>
  </si>
  <si>
    <t>Kibana Link</t>
  </si>
  <si>
    <t>Status</t>
  </si>
  <si>
    <t>Operator Name</t>
  </si>
  <si>
    <t>Difference between last trip</t>
  </si>
  <si>
    <t>Predictive Enforcement (2)</t>
  </si>
  <si>
    <t>Increasing Mileposts (1)</t>
  </si>
  <si>
    <t>Decreasing Mileposts (2)</t>
  </si>
  <si>
    <t>sunday - thu - 144/day</t>
  </si>
  <si>
    <t>fri-sat - 146/day</t>
  </si>
  <si>
    <t>Married Pair</t>
  </si>
  <si>
    <t>Kibana URL</t>
  </si>
  <si>
    <t>Possible Explanation</t>
  </si>
  <si>
    <t>Recorded Operator</t>
  </si>
  <si>
    <t>Trip ID</t>
  </si>
  <si>
    <t># Of Times Offered</t>
  </si>
  <si>
    <t>Loco</t>
  </si>
  <si>
    <t>Recorded Loco</t>
  </si>
  <si>
    <t>Recorded time</t>
  </si>
  <si>
    <t>Xing Completion Percentage</t>
  </si>
  <si>
    <t>IsEven</t>
  </si>
  <si>
    <t>Xing#</t>
  </si>
  <si>
    <t>BEGINMILEPOST</t>
  </si>
  <si>
    <t>ENDMILEPOST</t>
  </si>
  <si>
    <t>York and Josephine Street</t>
  </si>
  <si>
    <t>CLAYTON ST</t>
  </si>
  <si>
    <t>STEELE ST</t>
  </si>
  <si>
    <t>Dahlia Street</t>
  </si>
  <si>
    <t>Holly Street</t>
  </si>
  <si>
    <t>Monaco Parkway</t>
  </si>
  <si>
    <t>SB Quebec Parkway</t>
  </si>
  <si>
    <t>NB Quebec Parkway</t>
  </si>
  <si>
    <t>Ulster Street</t>
  </si>
  <si>
    <t>Havana Street</t>
  </si>
  <si>
    <t>Sable Boulevard</t>
  </si>
  <si>
    <t>Chambers Road</t>
  </si>
  <si>
    <t>Possible System Enforcement</t>
  </si>
  <si>
    <t>Training enforcement</t>
  </si>
  <si>
    <t>Trip Number Sortable</t>
  </si>
  <si>
    <t>LocoID</t>
  </si>
  <si>
    <t>UTC Time</t>
  </si>
  <si>
    <t>AstroGrep Path</t>
  </si>
  <si>
    <t>Search Path</t>
  </si>
  <si>
    <t>Search RegExp</t>
  </si>
  <si>
    <t>AstroGrepCall</t>
  </si>
  <si>
    <t>AWS CP</t>
  </si>
  <si>
    <t>S3 Bucket</t>
  </si>
  <si>
    <t>s3://rtdc.mdm.uploadarchive</t>
  </si>
  <si>
    <t>WalkAndUnGZ</t>
  </si>
  <si>
    <t>C:\Users\stu\Documents\GitHub\mrs-test-scripts\Headless Mode &amp; Sideloading\WalkAndUnGZ.bat</t>
  </si>
  <si>
    <t>AstroGrep</t>
  </si>
  <si>
    <t>UTC Offset</t>
  </si>
  <si>
    <t>Reactive Enforcement (3)</t>
  </si>
  <si>
    <t>EC Threshold for Pink Highlight (Slow Run) (mins)</t>
  </si>
  <si>
    <t>NWGL Threshold for Pink Highlight (Slow run) (mins)</t>
  </si>
  <si>
    <t>EC Crossings</t>
  </si>
  <si>
    <t>NW Crossings</t>
  </si>
  <si>
    <t>BNSF FUEL YARD</t>
  </si>
  <si>
    <t>Kibana link</t>
  </si>
  <si>
    <t>EC</t>
  </si>
  <si>
    <t>NW</t>
  </si>
  <si>
    <t>EC/NW/GL</t>
  </si>
  <si>
    <t>RefineRTDCRunTimes</t>
  </si>
  <si>
    <t>RefineTime</t>
  </si>
  <si>
    <t>"%USERPROFILE%\Documents\GitHub\eaglep3\Utilities\RefineRTDCRunTimes.py"</t>
  </si>
  <si>
    <t>%USERPROFILE%\Documents\GitHub\mrs-test-scripts\Headless Mode &amp; Sideloading\WalkAndUnGZ.bat</t>
  </si>
  <si>
    <t>"%USERPROFILE%\AppData\Local\Temp\OnboardLogs"</t>
  </si>
  <si>
    <t xml:space="preserve">baselines for EC: </t>
  </si>
  <si>
    <t>baselines for NWES:</t>
  </si>
  <si>
    <t>Redmine API Key</t>
  </si>
  <si>
    <t>Redmine URL</t>
  </si>
  <si>
    <t>d6333d4a04012a730768444271f8ca06482dae87</t>
  </si>
  <si>
    <t>https://secure.xorail.net/redmine/issues.json</t>
  </si>
  <si>
    <t>Impact</t>
  </si>
  <si>
    <t>Operational Impact</t>
  </si>
  <si>
    <t>Denver Segment Assigned</t>
  </si>
  <si>
    <t>Enforcement</t>
  </si>
  <si>
    <t>Yes</t>
  </si>
  <si>
    <t>General</t>
  </si>
  <si>
    <t>Failed State</t>
  </si>
  <si>
    <t>No</t>
  </si>
  <si>
    <t>Signal</t>
  </si>
  <si>
    <t>Unexpected Cut-Out or Disengaged</t>
  </si>
  <si>
    <t>Crossings</t>
  </si>
  <si>
    <t>Initialization Problem</t>
  </si>
  <si>
    <t>STMS</t>
  </si>
  <si>
    <t>Immediate Train Stop</t>
  </si>
  <si>
    <t>Comms</t>
  </si>
  <si>
    <t>Others</t>
  </si>
  <si>
    <t>Wi-MAX</t>
  </si>
  <si>
    <t>Loco - Comms</t>
  </si>
  <si>
    <t>Subdiv</t>
  </si>
  <si>
    <t>RTDC Issue</t>
  </si>
  <si>
    <t>TBD</t>
  </si>
  <si>
    <t>Training</t>
  </si>
  <si>
    <t>Redmine Status</t>
  </si>
  <si>
    <t>Redmine Priority</t>
  </si>
  <si>
    <t>Redmine Assignee</t>
  </si>
  <si>
    <t>Redmine Operational Impact</t>
  </si>
  <si>
    <t>Redmine cURL</t>
  </si>
  <si>
    <t>Redmine add'l desc</t>
  </si>
  <si>
    <t>Seg't</t>
  </si>
  <si>
    <t>Output Refined Run Times to File?</t>
  </si>
  <si>
    <t>RefinedRTDCRunTimesOutputFile</t>
  </si>
  <si>
    <t>Trip Number</t>
  </si>
  <si>
    <t>Data.Current Information Milepost</t>
  </si>
  <si>
    <t>Stopped Distance Short of Target (ft)</t>
  </si>
  <si>
    <t>ozone</t>
  </si>
  <si>
    <t>temperature</t>
  </si>
  <si>
    <t>icon</t>
  </si>
  <si>
    <t>dewPoint</t>
  </si>
  <si>
    <t>humidity</t>
  </si>
  <si>
    <t>visibility</t>
  </si>
  <si>
    <t>summary</t>
  </si>
  <si>
    <t>apparentTemperature</t>
  </si>
  <si>
    <t>pressure</t>
  </si>
  <si>
    <t>windSpeed</t>
  </si>
  <si>
    <t>cloudCover</t>
  </si>
  <si>
    <t>time</t>
  </si>
  <si>
    <t>windBearing</t>
  </si>
  <si>
    <t>precipIntensity</t>
  </si>
  <si>
    <t>precipProbability</t>
  </si>
  <si>
    <t>human_readable_time</t>
  </si>
  <si>
    <t>Loco - PTC</t>
  </si>
  <si>
    <t>Power</t>
  </si>
  <si>
    <t>CLI Grep</t>
  </si>
  <si>
    <t>Time (US/Mountain)</t>
  </si>
  <si>
    <t>Source</t>
  </si>
  <si>
    <t>Employee Identifier</t>
  </si>
  <si>
    <t>Employee Last Name</t>
  </si>
  <si>
    <t>s3://rtdc.mdm.uploadarchive.raw</t>
  </si>
  <si>
    <t>Powered by darksky [darksky.net]</t>
  </si>
  <si>
    <t>Enforcements Text</t>
  </si>
  <si>
    <t>Runs-Refined Text</t>
  </si>
  <si>
    <t>Trips Text</t>
  </si>
  <si>
    <t>Weather Text</t>
  </si>
  <si>
    <t>N</t>
  </si>
  <si>
    <t>TRACK WARRANT AUTHORITY</t>
  </si>
  <si>
    <t>Form based authority (4)</t>
  </si>
  <si>
    <t>Summary for DUS 2016-10-12: Partly cloudy until night.</t>
  </si>
  <si>
    <t>AWS CP Commands</t>
  </si>
  <si>
    <t>Human Factors</t>
  </si>
  <si>
    <t>CLI Grep2 (for slice disagreement)</t>
  </si>
  <si>
    <t>GRADE CROSSING</t>
  </si>
  <si>
    <t>Bulletin (2)</t>
  </si>
  <si>
    <t>JAMES</t>
  </si>
  <si>
    <t>Last + First</t>
  </si>
  <si>
    <t>Employee First Name</t>
  </si>
  <si>
    <t>MICHAEL</t>
  </si>
  <si>
    <t>204:152</t>
  </si>
  <si>
    <t>204:158</t>
  </si>
  <si>
    <t>AWS CP Parallel</t>
  </si>
  <si>
    <t>DownloadS3Logs</t>
  </si>
  <si>
    <t>%USERPROFILE%\Documents\GitHub\eaglep3\Utilities\DownloadLogsFromS3.py</t>
  </si>
  <si>
    <t>204:457</t>
  </si>
  <si>
    <t>204:460</t>
  </si>
  <si>
    <t>PERMANENT SPEED RESTRICTION</t>
  </si>
  <si>
    <t>Speed (6)</t>
  </si>
  <si>
    <t>DE.1.0.9.0</t>
  </si>
  <si>
    <t>SYS :2017/03/01 11:03:17.741:ENFORCEMENT:Predictive Enforcement Action:  Target Number: 00001003  Target Speed:   0.0  Current Speed:   5.7</t>
  </si>
  <si>
    <t>SYS :2017/03/01 11:03:17.810:ENFORCEMENT:Predictive Enforcement Action:  Target Number: 00001003  Target Speed:   0.0  Current Speed:   5.7</t>
  </si>
  <si>
    <t>SYS :2017/03/01 11:03:18.030:ENFORCEMENT:Predictive Enforcement Action:  Target Number: 00001003  Target Speed:   0.0  Current Speed:   5.7</t>
  </si>
  <si>
    <t>SYS :2017/03/01 11:24:06.574:ENFORCEMENT:Predictive Enforcement Action:  Target Number: 00001002  Target Speed:   0.0  Current Speed:   3.8</t>
  </si>
  <si>
    <t>SYS :2017/03/01 12:17:19.475:ENFORCEMENT:Predictive Enforcement Action:  Target Number: 0001002E  Target Speed:  30.0  Current Speed:  41.6</t>
  </si>
  <si>
    <t>SYS :2017/03/01 12:17:19.924:ENFORCEMENT:Predictive Enforcement Action:  Target Number: 0001002E  Target Speed:  30.0  Current Speed:  41.6</t>
  </si>
  <si>
    <t>SYS :2017/03/01 12:17:20.397:ENFORCEMENT:Predictive Enforcement Action:  Target Number: 0001002E  Target Speed:  30.0  Current Speed:  41.6</t>
  </si>
  <si>
    <t>SYS :2017/03/01 12:32:44.588:ENFORCEMENT:Reactive Enforcement Action:  Target Number: 0001002B  Target Speed:  20.0  Current Speed:  25.1</t>
  </si>
  <si>
    <t>SYS :2017/03/01 12:32:44.912:ENFORCEMENT:Reactive Enforcement Action:  Target Number: 0001002B  Target Speed:  20.0  Current Speed:  25.1</t>
  </si>
  <si>
    <t>SYS :2017/03/01 12:32:45.103:ENFORCEMENT:Reactive Enforcement Action:  Target Number: 0001002C  Target Speed:  20.0  Current Speed:  25.1</t>
  </si>
  <si>
    <t>SYS :2017/03/01 12:52:12.025:ENFORCEMENT:Predictive Enforcement Action:  Target Number: 00001005  Target Speed:   0.0  Current Speed:   4.0</t>
  </si>
  <si>
    <t>SYS :2017/03/01 12:52:12.733:ENFORCEMENT:Predictive Enforcement Action:  Target Number: 00001005  Target Speed:   0.0  Current Speed:   3.9</t>
  </si>
  <si>
    <t>SYS :2017/03/01 12:52:12.806:ENFORCEMENT:Predictive Enforcement Action:  Target Number: 00001005  Target Speed:   0.0  Current Speed:   3.9</t>
  </si>
  <si>
    <t>SYS :2017/03/01 13:10:35.575:ENFORCEMENT:Predictive Enforcement Action:  Target Number: 00001004  Target Speed:   0.0  Current Speed:   7.4</t>
  </si>
  <si>
    <t>SYS :2017/03/01 13:10:35.884:ENFORCEMENT:Predictive Enforcement Action:  Target Number: 00001004  Target Speed:   0.0  Current Speed:   7.4</t>
  </si>
  <si>
    <t>SYS :2017/03/01 13:10:36.086:ENFORCEMENT:Predictive Enforcement Action:  Target Number: 00001004  Target Speed:   0.0  Current Speed:   7.3</t>
  </si>
  <si>
    <t>SYS :2017/03/01 13:20:52.810:ENFORCEMENT:Predictive Enforcement Action:  Target Number: 000060A5  Target Speed:   0.0  Current Speed:  33.7</t>
  </si>
  <si>
    <t>SYS :2017/03/01 13:20:52.980:ENFORCEMENT:Predictive Enforcement Action:  Target Number: 0000609D  Target Speed:   0.0  Current Speed:  34.4</t>
  </si>
  <si>
    <t>SYS :2017/03/01 13:58:52.710:ENFORCEMENT:Predictive Enforcement Action:  Target Number: 00017264  Target Speed:   0.0  Current Speed:  13.5</t>
  </si>
  <si>
    <t>SYS :2017/03/01 13:58:53.276:ENFORCEMENT:Reactive Enforcement Action:  Target Number: 00017264  Target Speed:   0.0  Current Speed:  12.9</t>
  </si>
  <si>
    <t>SYS :2017/03/01 13:58:53.627:ENFORCEMENT:Reactive Enforcement Action:  Target Number: 00017264  Target Speed:   0.0  Current Speed:  12.9</t>
  </si>
  <si>
    <t>SYS :2017/03/01 14:00:31.007:ENFORCEMENT:Predictive Enforcement Action:  Target Number: 0001701A  Target Speed:   0.0  Current Speed:  17.2</t>
  </si>
  <si>
    <t>SYS :2017/03/01 14:00:31.373:ENFORCEMENT:Predictive Enforcement Action:  Target Number: 0001701A  Target Speed:   0.0  Current Speed:  17.2</t>
  </si>
  <si>
    <t>SYS :2017/03/01 14:00:31.869:ENFORCEMENT:Predictive Enforcement Action:  Target Number: 0001701A  Target Speed:   0.0  Current Speed:  17.1</t>
  </si>
  <si>
    <t>SYS :2017/03/01 14:08:42.962:ENFORCEMENT:Reactive Enforcement Action:  Target Number: 0001700B  Target Speed:   0.0  Current Speed:  12.1</t>
  </si>
  <si>
    <t>SYS :2017/03/01 14:08:43.936:ENFORCEMENT:Reactive Enforcement Action:  Target Number: 0001700B  Target Speed:   0.0  Current Speed:  11.1</t>
  </si>
  <si>
    <t>SYS :2017/03/01 14:08:44.822:ENFORCEMENT:Reactive Enforcement Action:  Target Number: 0001700B  Target Speed:   0.0  Current Speed:  10.9</t>
  </si>
  <si>
    <t>SYS :2017/03/01 14:40:19.043:ENFORCEMENT:Predictive Enforcement Action:  Target Number: 0001702D  Target Speed:  15.0  Current Speed:  23.5</t>
  </si>
  <si>
    <t>SYS :2017/03/01 14:40:20.484:ENFORCEMENT:Predictive Enforcement Action:  Target Number: 0001702D  Target Speed:  15.0  Current Speed:  22.9</t>
  </si>
  <si>
    <t>SYS :2017/03/01 14:42:29.040:ENFORCEMENT:Predictive Enforcement Action:  Target Number: 0001022B  Target Speed:  15.0  Current Speed:  21.3</t>
  </si>
  <si>
    <t>SYS :2017/03/01 14:42:30.164:ENFORCEMENT:Predictive Enforcement Action:  Target Number: 0001022B  Target Speed:  15.0  Current Speed:  21.7</t>
  </si>
  <si>
    <t>SYS :2017/03/01 14:42:30.410:ENFORCEMENT:Predictive Enforcement Action:  Target Number: 0001022B  Target Speed:  15.0  Current Speed:  21.7</t>
  </si>
  <si>
    <t>SYS :2017/03/01 15:16:01.045:ENFORCEMENT:Reactive Enforcement Action:  Target Number: 0001715B  Target Speed:  19.0  Current Speed:  24.3</t>
  </si>
  <si>
    <t>SYS :2017/03/01 15:16:01.400:ENFORCEMENT:Reactive Enforcement Action:  Target Number: 0001715C  Target Speed:  19.0  Current Speed:  24.3</t>
  </si>
  <si>
    <t>SYS :2017/03/01 15:17:18.045:ENFORCEMENT:Predictive Enforcement Action:  Target Number: 0001023A  Target Speed:  30.0  Current Speed:  37.2</t>
  </si>
  <si>
    <t>SYS :2017/03/01 15:17:18.415:ENFORCEMENT:Predictive Enforcement Action:  Target Number: 0001023A  Target Speed:  30.0  Current Speed:  37.2</t>
  </si>
  <si>
    <t>SYS :2017/03/01 15:17:19.155:ENFORCEMENT:Predictive Enforcement Action:  Target Number: 0001023A  Target Speed:  30.0  Current Speed:  37.2</t>
  </si>
  <si>
    <t>SYS :2017/03/01 16:13:17.582:ENFORCEMENT:Predictive Enforcement Action:  Target Number: 00017057  Target Speed:   0.0  Current Speed:  31.1</t>
  </si>
  <si>
    <t>SYS :2017/03/01 16:13:17.910:ENFORCEMENT:Predictive Enforcement Action:  Target Number: 00017057  Target Speed:   0.0  Current Speed:  31.1</t>
  </si>
  <si>
    <t>SYS :2017/03/01 16:33:53.680:ENFORCEMENT:Predictive Enforcement Action:  Target Number: 0000100C  Target Speed:   0.0  Current Speed:   3.5</t>
  </si>
  <si>
    <t>SYS :2017/03/01 16:33:53.828:ENFORCEMENT:Predictive Enforcement Action:  Target Number: 0000100C  Target Speed:   0.0  Current Speed:   3.5</t>
  </si>
  <si>
    <t>SYS :2017/03/01 16:33:53.912:ENFORCEMENT:Predictive Enforcement Action:  Target Number: 0000100C  Target Speed:   0.0  Current Speed:   3.5</t>
  </si>
  <si>
    <t>SYS :2017/03/01 17:25:14.718:ENFORCEMENT:Predictive Enforcement Action:  Target Number: 000100F3  Target Speed:  30.0  Current Speed:  47.7</t>
  </si>
  <si>
    <t>SYS :2017/03/01 17:25:14.865:ENFORCEMENT:Predictive Enforcement Action:  Target Number: 000100FB  Target Speed:  30.0  Current Speed:  48.6</t>
  </si>
  <si>
    <t>SYS :2017/03/01 17:25:14.945:ENFORCEMENT:Predictive Enforcement Action:  Target Number: 000100F3  Target Speed:  30.0  Current Speed:  48.6</t>
  </si>
  <si>
    <t>SYS :2017/03/01 17:51:17.905:ENFORCEMENT:Predictive Enforcement Action:  Target Number: 00017062  Target Speed:   0.0  Current Speed:  18.7</t>
  </si>
  <si>
    <t>SYS :2017/03/01 17:51:18.582:ENFORCEMENT:Predictive Enforcement Action:  Target Number: 00017062  Target Speed:   0.0  Current Speed:  17.9</t>
  </si>
  <si>
    <t>SYS :2017/03/01 17:53:38.687:ENFORCEMENT:Predictive Enforcement Action:  Target Number: 00017064  Target Speed:  28.0  Current Speed:  33.4</t>
  </si>
  <si>
    <t>SYS :2017/03/01 17:53:38.949:ENFORCEMENT:Predictive Enforcement Action:  Target Number: 00017064  Target Speed:  28.0  Current Speed:  33.4</t>
  </si>
  <si>
    <t>SYS :2017/03/01 17:54:21.586:ENFORCEMENT:Predictive Enforcement Action:  Target Number: 00017064  Target Speed:   7.0  Current Speed:  13.1</t>
  </si>
  <si>
    <t>SYS :2017/03/01 17:54:21.919:ENFORCEMENT:Predictive Enforcement Action:  Target Number: 00017064  Target Speed:   7.0  Current Speed:  13.1</t>
  </si>
  <si>
    <t>SYS :2017/03/01 17:55:16.336:ENFORCEMENT:Predictive Enforcement Action:  Target Number: 00001012  Target Speed:   0.0  Current Speed:   4.1</t>
  </si>
  <si>
    <t>SYS :2017/03/01 17:55:16.384:ENFORCEMENT:Predictive Enforcement Action:  Target Number: 00001012  Target Speed:   0.0  Current Speed:   4.1</t>
  </si>
  <si>
    <t>SYS :2017/03/01 17:55:16.839:ENFORCEMENT:Predictive Enforcement Action:  Target Number: 00001012  Target Speed:   0.0  Current Speed:   4.0</t>
  </si>
  <si>
    <t>SYS :2017/03/01 18:13:47.810:ENFORCEMENT:Predictive Enforcement Action:  Target Number: 000170DB  Target Speed:  39.0  Current Speed:  45.0</t>
  </si>
  <si>
    <t>SYS :2017/03/01 18:13:48.426:ENFORCEMENT:Predictive Enforcement Action:  Target Number: 000170DB  Target Speed:  39.0  Current Speed:  44.9</t>
  </si>
  <si>
    <t>SYS :2017/03/01 18:34:18.681:ENFORCEMENT:Predictive Enforcement Action:  Target Number: 00001012  Target Speed:   0.0  Current Speed:   5.4</t>
  </si>
  <si>
    <t>SYS :2017/03/01 18:34:18.834:ENFORCEMENT:Predictive Enforcement Action:  Target Number: 00001012  Target Speed:   0.0  Current Speed:   5.4</t>
  </si>
  <si>
    <t>SYS :2017/03/01 18:34:18.908:ENFORCEMENT:Predictive Enforcement Action:  Target Number: 00001012  Target Speed:   0.0  Current Speed:   5.4</t>
  </si>
  <si>
    <t>SYS :2017/03/01 20:06:08.810:ENFORCEMENT:Predictive Enforcement Action:  Target Number: 000170FA  Target Speed:  42.0  Current Speed:  47.0</t>
  </si>
  <si>
    <t>SYS :2017/03/01 20:06:09.082:ENFORCEMENT:Predictive Enforcement Action:  Target Number: 000170F6  Target Speed:  42.0  Current Speed:  47.0</t>
  </si>
  <si>
    <t>SYS :2017/03/01 20:06:09.424:ENFORCEMENT:Predictive Enforcement Action:  Target Number: 000170FA  Target Speed:  42.0  Current Speed:  47.0</t>
  </si>
  <si>
    <t>SYS :2017/03/01 20:29:46.035:ENFORCEMENT:Predictive Enforcement Action:  Target Number: 000171A3  Target Speed:   0.0  Current Speed:  16.3</t>
  </si>
  <si>
    <t>SYS :2017/03/01 20:29:46.150:ENFORCEMENT:Predictive Enforcement Action:  Target Number: 000171A4  Target Speed:   0.0  Current Speed:  16.3</t>
  </si>
  <si>
    <t>SYS :2017/03/01 20:29:46.410:ENFORCEMENT:Predictive Enforcement Action:  Target Number: 000171A4  Target Speed:   0.0  Current Speed:  16.3</t>
  </si>
  <si>
    <t>SYS :2017/03/01 20:32:47.271:ENFORCEMENT:Predictive Enforcement Action:  Target Number: 0001001E  Target Speed:  60.0  Current Speed:  67.7</t>
  </si>
  <si>
    <t>SYS :2017/03/01 20:32:47.465:ENFORCEMENT:Predictive Enforcement Action:  Target Number: 0001001D  Target Speed:  60.0  Current Speed:  67.7</t>
  </si>
  <si>
    <t>SYS :2017/03/01 20:32:47.590:ENFORCEMENT:Predictive Enforcement Action:  Target Number: 0001001E  Target Speed:  60.0  Current Speed:  67.9</t>
  </si>
  <si>
    <t>SYS :2017/03/01 21:35:07.687:ENFORCEMENT:Predictive Enforcement Action:  Target Number: 0000101A  Target Speed:   0.0  Current Speed:   4.8</t>
  </si>
  <si>
    <t>SYS :2017/03/01 22:09:49.455:ENFORCEMENT:Reactive Enforcement Action:  Target Number: 00017088  Target Speed:  36.0  Current Speed:  41.3</t>
  </si>
  <si>
    <t>SYS :2017/03/01 22:09:49.531:ENFORCEMENT:Reactive Enforcement Action:  Target Number: 0001708C  Target Speed:  36.0  Current Speed:  41.3</t>
  </si>
  <si>
    <t>SYS :2017/03/01 22:09:49.600:ENFORCEMENT:Reactive Enforcement Action:  Target Number: 0001708C  Target Speed:  36.0  Current Speed:  41.3</t>
  </si>
  <si>
    <t>SYS :2017/03/01 22:19:03.040:ENFORCEMENT:Predictive Enforcement Action:  Target Number: 00017092  Target Speed:   0.0  Current Speed:  41.5</t>
  </si>
  <si>
    <t>SYS :2017/03/01 22:19:03.803:ENFORCEMENT:Predictive Enforcement Action:  Target Number: 00017028  Target Speed:   0.0  Current Speed:  39.4</t>
  </si>
  <si>
    <t>SYS :2017/03/01 22:19:04.887:ENFORCEMENT:Predictive Enforcement Action:  Target Number: 00017092  Target Speed:   0.0  Current Speed:  36.8</t>
  </si>
  <si>
    <t>SYS :2017/03/01 22:37:58.313:ENFORCEMENT:Predictive Enforcement Action:  Target Number: 0000101D  Target Speed:   0.0  Current Speed:   2.5</t>
  </si>
  <si>
    <t>SYS :2017/03/01 22:37:58.800:ENFORCEMENT:Predictive Enforcement Action:  Target Number: 0000101D  Target Speed:   0.0  Current Speed:   2.4</t>
  </si>
  <si>
    <t>SYS :2017/03/01 22:37:58.968:ENFORCEMENT:Predictive Enforcement Action:  Target Number: 0000101D  Target Speed:   0.0  Current Speed:   2.5</t>
  </si>
  <si>
    <t>SYS :2017/03/01 22:51:54.858:ENFORCEMENT:Predictive Enforcement Action:  Target Number: 0000100E  Target Speed:   0.0  Current Speed:   5.7</t>
  </si>
  <si>
    <t>SYS :2017/03/01 22:53:19.418:ENFORCEMENT:Predictive Enforcement Action:  Target Number: 00017092  Target Speed:   0.0  Current Speed:  20.6</t>
  </si>
  <si>
    <t>SYS :2017/03/01 22:53:19.708:ENFORCEMENT:Predictive Enforcement Action:  Target Number: 0001709E  Target Speed:   0.0  Current Speed:  20.0</t>
  </si>
  <si>
    <t>SYS :2017/03/01 23:26:03.802:ENFORCEMENT:Predictive Enforcement Action:  Target Number: 0000101F  Target Speed:   0.0  Current Speed:   3.5</t>
  </si>
  <si>
    <t>SYS :2017/03/01 23:26:03.967:ENFORCEMENT:Predictive Enforcement Action:  Target Number: 0000101F  Target Speed:   0.0  Current Speed:   3.5</t>
  </si>
  <si>
    <t>SYS :2017/03/01 23:26:04.314:ENFORCEMENT:Predictive Enforcement Action:  Target Number: 0000101F  Target Speed:   0.0  Current Speed:   3.4</t>
  </si>
  <si>
    <t>SYS :2017/03/01 23:34:24.829:ENFORCEMENT:Predictive Enforcement Action:  Target Number: 0000101F  Target Speed:   0.0  Current Speed:   5.8</t>
  </si>
  <si>
    <t>SYS :2017/03/01 23:34:24.908:ENFORCEMENT:Predictive Enforcement Action:  Target Number: 0000101F  Target Speed:   0.0  Current Speed:   5.8</t>
  </si>
  <si>
    <t>SYS :2017/03/01 23:52:09.789:ENFORCEMENT:Predictive Enforcement Action:  Target Number: 00001029  Target Speed:   0.0  Current Speed:   5.5</t>
  </si>
  <si>
    <t>SYS :2017/03/01 23:52:10.049:ENFORCEMENT:Predictive Enforcement Action:  Target Number: 00001026  Target Speed:   0.0  Current Speed:   5.5</t>
  </si>
  <si>
    <t>SYS :2017/03/02 00:26:52.318:ENFORCEMENT:Predictive Enforcement Action:  Target Number: 00001021  Target Speed:   0.0  Current Speed:   2.4</t>
  </si>
  <si>
    <t>SYS :2017/03/02 00:26:52.805:ENFORCEMENT:Predictive Enforcement Action:  Target Number: 00001021  Target Speed:   0.0  Current Speed:   2.4</t>
  </si>
  <si>
    <t>SYS :2017/03/02 00:26:52.971:ENFORCEMENT:Predictive Enforcement Action:  Target Number: 00001021  Target Speed:   0.0  Current Speed:   2.4</t>
  </si>
  <si>
    <t>SYS :2017/03/02 00:52:34.904:ENFORCEMENT:Predictive Enforcement Action:  Target Number: 00001012  Target Speed:   0.0  Current Speed:   4.3</t>
  </si>
  <si>
    <t>SYS :2017/03/02 00:52:36.808:ENFORCEMENT:Predictive Enforcement Action:  Target Number: 00001012  Target Speed:   0.0  Current Speed:   4.8</t>
  </si>
  <si>
    <t>SYS :2017/03/02 00:52:36.956:ENFORCEMENT:Predictive Enforcement Action:  Target Number: 00001012  Target Speed:   0.0  Current Speed:   4.8</t>
  </si>
  <si>
    <t>SYS :2017/03/02 01:13:02.814:ENFORCEMENT:Reactive Enforcement Action:  Target Number: 00006138  Target Speed:   0.0  Current Speed:  16.3</t>
  </si>
  <si>
    <t>SYS :2017/03/02 01:13:03.323:ENFORCEMENT:Reactive Enforcement Action:  Target Number: 00006157  Target Speed:   0.0  Current Speed:  16.3</t>
  </si>
  <si>
    <t>SYS :2017/03/02 01:13:03.347:ENFORCEMENT:Reactive Enforcement Action:  Target Number: 000040C6  Target Speed:   0.0  Current Speed:  16.3</t>
  </si>
  <si>
    <t>SYS :2017/03/02 01:13:03.980:ENFORCEMENT:Reactive Enforcement Action:  Target Number: 00006133  Target Speed:   0.0  Current Speed:  16.3</t>
  </si>
  <si>
    <t>SYS :2017/03/02 01:13:37.804:ENFORCEMENT:Reactive Enforcement Action:  Target Number: 00006138  Target Speed:   0.0  Current Speed:   0.2</t>
  </si>
  <si>
    <t>SYS :2017/03/02 01:13:38.315:ENFORCEMENT:Reactive Enforcement Action:  Target Number: 00006157  Target Speed:   0.0  Current Speed:   0.2</t>
  </si>
  <si>
    <t>SYS :2017/03/02 01:13:38.969:ENFORCEMENT:Reactive Enforcement Action:  Target Number: 00006133  Target Speed:   0.0  Current Speed:   0.2</t>
  </si>
  <si>
    <t>SYS :2017/03/02 01:14:07.802:ENFORCEMENT:Reactive Enforcement Action:  Target Number: 00006138  Target Speed:   0.0  Current Speed:   0.5</t>
  </si>
  <si>
    <t>SYS :2017/03/02 01:14:08.317:ENFORCEMENT:Reactive Enforcement Action:  Target Number: 00006157  Target Speed:   0.0  Current Speed:   0.5</t>
  </si>
  <si>
    <t>SYS :2017/03/02 01:14:08.969:ENFORCEMENT:Reactive Enforcement Action:  Target Number: 00006133  Target Speed:   0.0  Current Speed:   0.5</t>
  </si>
  <si>
    <t>SYS :2017/03/02 01:31:00.809:ENFORCEMENT:Predictive Enforcement Action:  Target Number: 00001025  Target Speed:   0.0  Current Speed:   2.7</t>
  </si>
  <si>
    <t>SYS :2017/03/02 01:31:01.318:ENFORCEMENT:Predictive Enforcement Action:  Target Number: 00001024  Target Speed:   0.0  Current Speed:   2.7</t>
  </si>
  <si>
    <t>SYS :2017/03/02 01:31:01.972:ENFORCEMENT:Predictive Enforcement Action:  Target Number: 00001025  Target Speed:   0.0  Current Speed:   2.7</t>
  </si>
  <si>
    <t>SYS :2017/03/02 01:39:27.534:ENFORCEMENT:Predictive Enforcement Action:  Target Number: 000170BA  Target Speed:   0.0  Current Speed:  18.6</t>
  </si>
  <si>
    <t>SYS :2017/03/02 01:39:27.595:ENFORCEMENT:Predictive Enforcement Action:  Target Number: 000170BA  Target Speed:   0.0  Current Speed:  19.5</t>
  </si>
  <si>
    <t>SYS :2017/03/02 01:39:28.452:ENFORCEMENT:Predictive Enforcement Action:  Target Number: 000170B6  Target Speed:   0.0  Current Speed:  18.6</t>
  </si>
  <si>
    <t>SYS :2017/03/02 02:43:47.743:ENFORCEMENT:Predictive Enforcement Action:  Target Number: 000100C2  Target Speed:  30.0  Current Speed:  40.0</t>
  </si>
  <si>
    <t>SYS :2017/03/02 02:43:47.814:ENFORCEMENT:Predictive Enforcement Action:  Target Number: 000100C2  Target Speed:  30.0  Current Speed:  40.0</t>
  </si>
  <si>
    <t>SYS :2017/03/02 02:43:48.041:ENFORCEMENT:Predictive Enforcement Action:  Target Number: 000100C2  Target Speed:  30.0  Current Speed:  40.0</t>
  </si>
  <si>
    <t>SYS :2017/03/02 02:52:28.590:ENFORCEMENT:Predictive Enforcement Action:  Target Number: 000170D5  Target Speed:   0.0  Current Speed:  58.4</t>
  </si>
  <si>
    <t>SYS :2017/03/02 02:52:28.905:ENFORCEMENT:Predictive Enforcement Action:  Target Number: 000170D5  Target Speed:   0.0  Current Speed:  58.4</t>
  </si>
  <si>
    <t>SYS :2017/03/02 03:40:42.468:ENFORCEMENT:Reactive Enforcement Action:  Target Number: 000170CC  Target Speed:  35.0  Current Speed:  40.2</t>
  </si>
  <si>
    <t>SYS :2017/03/02 03:40:42.542:ENFORCEMENT:Reactive Enforcement Action:  Target Number: 000170D0  Target Speed:  35.0  Current Speed:  40.2</t>
  </si>
  <si>
    <t>SYS :2017/03/02 03:45:24.882:ENFORCEMENT:Predictive Enforcement Action:  Target Number: 000170C9  Target Speed:   0.0  Current Speed:  45.4</t>
  </si>
  <si>
    <t>SYS :2017/03/02 03:45:25.384:ENFORCEMENT:Predictive Enforcement Action:  Target Number: 000170C9  Target Speed:   0.0  Current Speed:  45.4</t>
  </si>
  <si>
    <t>SYS :2017/03/02 04:14:22.074:ENFORCEMENT:Predictive Enforcement Action:  Target Number: 0001707A  Target Speed:  41.0  Current Speed:  46.5</t>
  </si>
  <si>
    <t>SYS :2017/03/02 04:14:22.756:ENFORCEMENT:Predictive Enforcement Action:  Target Number: 0001707A  Target Speed:  41.0  Current Speed:  46.5</t>
  </si>
  <si>
    <t>SYS :2017/03/02 04:14:22.850:ENFORCEMENT:Predictive Enforcement Action:  Target Number: 0001707A  Target Speed:  41.0  Current Speed:  46.5</t>
  </si>
  <si>
    <t>SYS :2017/03/02 04:30:58.031:ENFORCEMENT:Predictive Enforcement Action:  Target Number: 000100EA  Target Speed:  30.0  Current Speed:  42.7</t>
  </si>
  <si>
    <t>SYS :2017/03/02 04:35:10.680:ENFORCEMENT:Predictive Enforcement Action:  Target Number: 00001029  Target Speed:   0.0  Current Speed:   5.3</t>
  </si>
  <si>
    <t>SYS :2017/03/02 05:25:05.864:ENFORCEMENT:Predictive Enforcement Action:  Target Number: 00006304  Target Speed:   0.0  Current Speed:  54.4</t>
  </si>
  <si>
    <t>SYS :2017/03/02 05:25:06.247:ENFORCEMENT:Predictive Enforcement Action:  Target Number: 00006305  Target Speed:   0.0  Current Speed:  54.4</t>
  </si>
  <si>
    <t>SYS :2017/03/02 05:25:08.927:ENFORCEMENT:Predictive Enforcement Action:  Target Number: 000062FD  Target Speed:   0.0  Current Speed:  53.3</t>
  </si>
  <si>
    <t>SYS :2017/03/02 06:06:40.258:ENFORCEMENT:Predictive Enforcement Action:  Target Number: 00017014  Target Speed:   0.0  Current Speed:  18.5</t>
  </si>
  <si>
    <t>SYS :2017/03/02 06:06:40.298:ENFORCEMENT:Predictive Enforcement Action:  Target Number: 00017316  Target Speed:   0.0  Current Speed:  18.5</t>
  </si>
  <si>
    <t>SYS :2017/03/02 06:06:40.629:ENFORCEMENT:Predictive Enforcement Action:  Target Number: 00017316  Target Speed:   0.0  Current Speed:  18.5</t>
  </si>
  <si>
    <t>:.+((SYSTEM_STATE.+slice.+state.+changed )|(ment ac)|(multiple cpu faults)|(system.+state.+changed )|(\[timeout)|(PRM\|1\|D)|(kpr)|(kdp)|(\|lc)|(penalty))</t>
  </si>
  <si>
    <t>XING ID Vlookups</t>
  </si>
  <si>
    <t>EC0270XH YORK AND JOSEPHINE STREET</t>
  </si>
  <si>
    <t>EC0477XH HOLLY STREET</t>
  </si>
  <si>
    <t>EC0426XH DAHLIA STREET</t>
  </si>
  <si>
    <t>EC1035XH SABLE BOULEVARD</t>
  </si>
  <si>
    <t>rtdc.l.rtdc.4028:itc</t>
  </si>
  <si>
    <t>rtdc.l.rtdc.4027:itc</t>
  </si>
  <si>
    <t>rtdc.l.rtdc.4022:itc</t>
  </si>
  <si>
    <t>SMITH</t>
  </si>
  <si>
    <t>204:449</t>
  </si>
  <si>
    <t>WCR Redmine cURL</t>
  </si>
  <si>
    <t>27f4683f8c668ceb395ce0223286e38dfe180cf8</t>
  </si>
  <si>
    <t>https://ptcsupport.wabtec.com/issues.json</t>
  </si>
  <si>
    <t>204:446</t>
  </si>
  <si>
    <t>204:150</t>
  </si>
  <si>
    <t>204:149</t>
  </si>
  <si>
    <t>204:143</t>
  </si>
  <si>
    <t>204:466</t>
  </si>
  <si>
    <t>204:451</t>
  </si>
  <si>
    <t>300:23346</t>
  </si>
  <si>
    <t>204:453</t>
  </si>
  <si>
    <t>204:447</t>
  </si>
  <si>
    <t>204:139</t>
  </si>
  <si>
    <t>rtdc.l.rtdc.4042:itc</t>
  </si>
  <si>
    <t>204:141</t>
  </si>
  <si>
    <t>204:147</t>
  </si>
  <si>
    <t>:.+((SYSTEM_STATE.+slice.+state.+changed )|(ment ac)|(multiple cpu faults)|(system.+state.+changed )|(\[timeout)|(PRM\|1\|D)|(kpr)|(kdp)|(train st.+moving)|(\|lc)|(penalty))</t>
  </si>
  <si>
    <t>SIGNAL</t>
  </si>
  <si>
    <t>Signal based authority (5)</t>
  </si>
  <si>
    <t>rtdc.l.rtdc.4033:itc</t>
  </si>
  <si>
    <t>rtdc.l.rtdc.4034:itc</t>
  </si>
  <si>
    <t>rtdc.l.rtdc.4021:itc</t>
  </si>
  <si>
    <t>THOMAS</t>
  </si>
  <si>
    <t>NEWELL</t>
  </si>
  <si>
    <t>rtdc.l.rtdc.4013:itc</t>
  </si>
  <si>
    <t>rtdc.l.rtdc.4039:itc</t>
  </si>
  <si>
    <t>66-08</t>
  </si>
  <si>
    <t>72-08</t>
  </si>
  <si>
    <t>rtdc.l.rtdc.4040:itc</t>
  </si>
  <si>
    <t>244-08</t>
  </si>
  <si>
    <t>rtdc.l.rtdc.4014:itc</t>
  </si>
  <si>
    <t>LAMAR</t>
  </si>
  <si>
    <t>NEKESHA</t>
  </si>
  <si>
    <t>CHANDLER</t>
  </si>
  <si>
    <t>KELVIN</t>
  </si>
  <si>
    <t>GUZMAN</t>
  </si>
  <si>
    <t>DANNY</t>
  </si>
  <si>
    <t>BIRENBAUM</t>
  </si>
  <si>
    <t>WILLIAMS</t>
  </si>
  <si>
    <t>DONTE</t>
  </si>
  <si>
    <t>ZEWDU</t>
  </si>
  <si>
    <t>DEREJE</t>
  </si>
  <si>
    <t>315-08</t>
  </si>
  <si>
    <t>242-08</t>
  </si>
  <si>
    <t>309-08</t>
  </si>
  <si>
    <t>311-08</t>
  </si>
  <si>
    <t>313-08</t>
  </si>
  <si>
    <t>204:462</t>
  </si>
  <si>
    <t>SULLIVAN</t>
  </si>
  <si>
    <t>BRANDON</t>
  </si>
  <si>
    <t>204:154</t>
  </si>
  <si>
    <t>rtdc.l.rtdc.4049:itc</t>
  </si>
  <si>
    <t>rtdc.l.rtdc.4050:itc</t>
  </si>
  <si>
    <t>rtdc.l.rtdc.4008:itc</t>
  </si>
  <si>
    <t>rtdc.l.rtdc.4054:itc</t>
  </si>
  <si>
    <t>rtdc.l.rtdc.4059:itc</t>
  </si>
  <si>
    <t>59-16</t>
  </si>
  <si>
    <t>66-16</t>
  </si>
  <si>
    <t>rtdc.l.rtdc.4060:itc</t>
  </si>
  <si>
    <t>60-16</t>
  </si>
  <si>
    <t>309-16</t>
  </si>
  <si>
    <t>244-16</t>
  </si>
  <si>
    <t>311-16</t>
  </si>
  <si>
    <t>313-16</t>
  </si>
  <si>
    <t>Y</t>
  </si>
  <si>
    <t>ROBINSON</t>
  </si>
  <si>
    <t>KADDIBA</t>
  </si>
  <si>
    <t>DAVIS</t>
  </si>
  <si>
    <t>DUNCAN</t>
  </si>
  <si>
    <t>SHEILA</t>
  </si>
  <si>
    <t>MAGEE</t>
  </si>
  <si>
    <t>KENYA</t>
  </si>
  <si>
    <t>204:145</t>
  </si>
  <si>
    <t>rtdc.l.rtdc.4043:itc</t>
  </si>
  <si>
    <t>rtdc.l.rtdc.4019:itc</t>
  </si>
  <si>
    <t>80-23</t>
  </si>
  <si>
    <t>rtdc.l.rtdc.4020:itc</t>
  </si>
  <si>
    <t>rtdc.l.rtdc.4044:itc</t>
  </si>
  <si>
    <t>FORTUNATO</t>
  </si>
  <si>
    <t>FRANK</t>
  </si>
  <si>
    <t>81-23</t>
  </si>
  <si>
    <t>240-23</t>
  </si>
  <si>
    <t>243-23</t>
  </si>
  <si>
    <t>307-23</t>
  </si>
  <si>
    <t>242-23</t>
  </si>
  <si>
    <t>309-23</t>
  </si>
  <si>
    <t>244-23</t>
  </si>
  <si>
    <t>311-23</t>
  </si>
  <si>
    <t>313-23</t>
  </si>
  <si>
    <t>M - F = 49 trips</t>
  </si>
  <si>
    <t>Sat - Sun = 35 Trips</t>
  </si>
  <si>
    <t>204:467</t>
  </si>
  <si>
    <t>204:156</t>
  </si>
  <si>
    <t>rtdc.l.rtdc.4001:itc</t>
  </si>
  <si>
    <t>rtdc.l.rtdc.4002:itc</t>
  </si>
  <si>
    <t>rtdc.l.rtdc.4046:itc</t>
  </si>
  <si>
    <t>rtdc.l.rtdc.4045:itc</t>
  </si>
  <si>
    <t>204:232971</t>
  </si>
  <si>
    <t>HAITHCOX</t>
  </si>
  <si>
    <t>204:442</t>
  </si>
  <si>
    <t>clear-night</t>
  </si>
  <si>
    <t>Clear</t>
  </si>
  <si>
    <t>clear-day</t>
  </si>
  <si>
    <t>204:138</t>
  </si>
  <si>
    <t>rtdc.l.rtdc.4032:itc</t>
  </si>
  <si>
    <t>313-13</t>
  </si>
  <si>
    <t>204:438</t>
  </si>
  <si>
    <t>STAMBAUGH</t>
  </si>
  <si>
    <t>uvIndex</t>
  </si>
  <si>
    <t>windGust</t>
  </si>
  <si>
    <t>204:455</t>
  </si>
  <si>
    <t>204:464</t>
  </si>
  <si>
    <t>Sortable Run Number</t>
  </si>
  <si>
    <t>Thresholds for Concerning Run-lengths</t>
  </si>
  <si>
    <t>GL</t>
  </si>
  <si>
    <t>Shuttle/Test</t>
  </si>
  <si>
    <t>Trip Number Lower Threshold</t>
  </si>
  <si>
    <t>Trip Number Upper Threshold</t>
  </si>
  <si>
    <t>Other</t>
  </si>
  <si>
    <t>EC or NWGL</t>
  </si>
  <si>
    <t>204:232986</t>
  </si>
  <si>
    <t>204:161</t>
  </si>
  <si>
    <t>204:232977</t>
  </si>
  <si>
    <t>204:233004</t>
  </si>
  <si>
    <t>rtdc.l.rtdc.4018:itc</t>
  </si>
  <si>
    <t>204:232978</t>
  </si>
  <si>
    <t>204:458</t>
  </si>
  <si>
    <t>204:233000</t>
  </si>
  <si>
    <t>rtdc.l.rtdc.4010:itc</t>
  </si>
  <si>
    <t>204:233308</t>
  </si>
  <si>
    <t>rtdc.l.rtdc.4017:itc</t>
  </si>
  <si>
    <t>rtdc.l.rtdc.4009:itc</t>
  </si>
  <si>
    <t>204:233312</t>
  </si>
  <si>
    <t>204:444</t>
  </si>
  <si>
    <t>204:232984</t>
  </si>
  <si>
    <t>204:440</t>
  </si>
  <si>
    <t>300:58634</t>
  </si>
  <si>
    <t>300:58948</t>
  </si>
  <si>
    <t>Early arrival</t>
  </si>
  <si>
    <t>rtdc.l.rtdc.4007:itc</t>
  </si>
  <si>
    <t>204:233015</t>
  </si>
  <si>
    <t>204:163</t>
  </si>
  <si>
    <t>204:233301</t>
  </si>
  <si>
    <t>204:233329</t>
  </si>
  <si>
    <t>204:233289</t>
  </si>
  <si>
    <t>204:232973</t>
  </si>
  <si>
    <t>204:437</t>
  </si>
  <si>
    <t>204:475</t>
  </si>
  <si>
    <t>Wi-MAX data drop</t>
  </si>
  <si>
    <t>rtdc.l.rtdc.4031:itc</t>
  </si>
  <si>
    <t>rtdc.l.rtdc.4057:itc</t>
  </si>
  <si>
    <t>MAELZER</t>
  </si>
  <si>
    <t>KURT</t>
  </si>
  <si>
    <t>BRUDER</t>
  </si>
  <si>
    <t>RICHARD</t>
  </si>
  <si>
    <t>204:232989</t>
  </si>
  <si>
    <t>204:233293</t>
  </si>
  <si>
    <t>300:58943</t>
  </si>
  <si>
    <t>300:58638</t>
  </si>
  <si>
    <t>Onboard in-route failure</t>
  </si>
  <si>
    <t>BONDS</t>
  </si>
  <si>
    <t>REYNALDO</t>
  </si>
  <si>
    <t>HELVIE</t>
  </si>
  <si>
    <t>ADAM</t>
  </si>
  <si>
    <t>204:136</t>
  </si>
  <si>
    <t>204:233291</t>
  </si>
  <si>
    <t>204:233310</t>
  </si>
  <si>
    <t>204:233319</t>
  </si>
  <si>
    <t>204:232980</t>
  </si>
  <si>
    <t>204:233307</t>
  </si>
  <si>
    <t>204:233282</t>
  </si>
  <si>
    <t>204:689</t>
  </si>
  <si>
    <t>204:965</t>
  </si>
  <si>
    <t>300:58950</t>
  </si>
  <si>
    <t>rtdc.l.rtdc.4011:itc</t>
  </si>
  <si>
    <t>242-27</t>
  </si>
  <si>
    <t>rtdc.l.rtdc.4012:itc</t>
  </si>
  <si>
    <t>YANG</t>
  </si>
  <si>
    <t>JAN</t>
  </si>
  <si>
    <t>STEWART</t>
  </si>
  <si>
    <t>235-27</t>
  </si>
  <si>
    <t>232-27</t>
  </si>
  <si>
    <t>908-27</t>
  </si>
  <si>
    <t>237-27</t>
  </si>
  <si>
    <t>234-27</t>
  </si>
  <si>
    <t>239-27</t>
  </si>
  <si>
    <t>236-27</t>
  </si>
  <si>
    <t>241-27</t>
  </si>
  <si>
    <t>238-27</t>
  </si>
  <si>
    <t>243-27</t>
  </si>
  <si>
    <t>240-27</t>
  </si>
  <si>
    <t>307-27</t>
  </si>
  <si>
    <t>309-27</t>
  </si>
  <si>
    <t>244-27</t>
  </si>
  <si>
    <t>311-27</t>
  </si>
  <si>
    <t>313-27</t>
  </si>
  <si>
    <t>300-28</t>
  </si>
  <si>
    <t>204:232992</t>
  </si>
  <si>
    <t>204:233297</t>
  </si>
  <si>
    <t>204:232976</t>
  </si>
  <si>
    <t>204:435</t>
  </si>
  <si>
    <t>204:233318</t>
  </si>
  <si>
    <t>204:233323</t>
  </si>
  <si>
    <t>204:232998</t>
  </si>
  <si>
    <t>204:233314</t>
  </si>
  <si>
    <t>204:233006</t>
  </si>
  <si>
    <t>204:233325</t>
  </si>
  <si>
    <t>204:233320</t>
  </si>
  <si>
    <t>204:233304</t>
  </si>
  <si>
    <t>300:23304</t>
  </si>
  <si>
    <t>204:990</t>
  </si>
  <si>
    <t>300:23308</t>
  </si>
  <si>
    <t>204:685</t>
  </si>
  <si>
    <t>204:678</t>
  </si>
  <si>
    <t>204:976</t>
  </si>
  <si>
    <t>204:691</t>
  </si>
  <si>
    <t>204:967</t>
  </si>
  <si>
    <t>300:58954</t>
  </si>
  <si>
    <t>rtdc.l.rtdc.4061:itc</t>
  </si>
  <si>
    <t>rtdc.l.rtdc.4062:itc</t>
  </si>
  <si>
    <t>226-28</t>
  </si>
  <si>
    <t>244-28</t>
  </si>
  <si>
    <t>WENDY</t>
  </si>
  <si>
    <t>GEBRETEKLE</t>
  </si>
  <si>
    <t>DAGNEW</t>
  </si>
  <si>
    <t>DELGADO</t>
  </si>
  <si>
    <t>DIANAH</t>
  </si>
  <si>
    <t>HOLCOMB</t>
  </si>
  <si>
    <t>KAMDEN</t>
  </si>
  <si>
    <t>BERLING</t>
  </si>
  <si>
    <t>GARY</t>
  </si>
  <si>
    <t>rtdc.l.rtdc.4056:itc</t>
  </si>
  <si>
    <t>JACKSON</t>
  </si>
  <si>
    <t>WILLIAM</t>
  </si>
  <si>
    <t>228-28</t>
  </si>
  <si>
    <t>844-28</t>
  </si>
  <si>
    <t>230-28</t>
  </si>
  <si>
    <t>233-28</t>
  </si>
  <si>
    <t>232-28</t>
  </si>
  <si>
    <t>847-28</t>
  </si>
  <si>
    <t>235-28</t>
  </si>
  <si>
    <t>908-28</t>
  </si>
  <si>
    <t>237-28</t>
  </si>
  <si>
    <t>234-28</t>
  </si>
  <si>
    <t>239-28</t>
  </si>
  <si>
    <t>236-28</t>
  </si>
  <si>
    <t>238-28</t>
  </si>
  <si>
    <t>241-28</t>
  </si>
  <si>
    <t>240-28</t>
  </si>
  <si>
    <t>243-28</t>
  </si>
  <si>
    <t>307-28</t>
  </si>
  <si>
    <t>242-28</t>
  </si>
  <si>
    <t>309-28</t>
  </si>
  <si>
    <t>311-28</t>
  </si>
  <si>
    <t>313-28</t>
  </si>
  <si>
    <t>204:232972</t>
  </si>
  <si>
    <t>204:233011</t>
  </si>
  <si>
    <t>204:233321</t>
  </si>
  <si>
    <t>204:232993</t>
  </si>
  <si>
    <t>204:232967</t>
  </si>
  <si>
    <t>204:233295</t>
  </si>
  <si>
    <t>204:233261</t>
  </si>
  <si>
    <t>204:233306</t>
  </si>
  <si>
    <t>204:232994</t>
  </si>
  <si>
    <t>204:167</t>
  </si>
  <si>
    <t>204:233303</t>
  </si>
  <si>
    <t>204:232983</t>
  </si>
  <si>
    <t>204:478</t>
  </si>
  <si>
    <t>204:232990</t>
  </si>
  <si>
    <t>204:233332</t>
  </si>
  <si>
    <t>204:160</t>
  </si>
  <si>
    <t>204:127</t>
  </si>
  <si>
    <t>204:233353</t>
  </si>
  <si>
    <t>204:233059</t>
  </si>
  <si>
    <t>204:233391</t>
  </si>
  <si>
    <t>204:165</t>
  </si>
  <si>
    <t>204:471</t>
  </si>
  <si>
    <t>300:23285</t>
  </si>
  <si>
    <t>300:58630</t>
  </si>
  <si>
    <t>300:58922</t>
  </si>
  <si>
    <t>300:58651</t>
  </si>
  <si>
    <t>204:703</t>
  </si>
  <si>
    <t>204:1156</t>
  </si>
  <si>
    <t>204:668</t>
  </si>
  <si>
    <t>204:983</t>
  </si>
  <si>
    <t>204:692</t>
  </si>
  <si>
    <t>204:675</t>
  </si>
  <si>
    <t>204:696</t>
  </si>
  <si>
    <t>300:58628</t>
  </si>
  <si>
    <t>204:964</t>
  </si>
  <si>
    <t>105-01</t>
  </si>
  <si>
    <t>106-01</t>
  </si>
  <si>
    <t>SWITCH UNKNOWN</t>
  </si>
  <si>
    <t>Track device (7)</t>
  </si>
  <si>
    <t>110-01</t>
  </si>
  <si>
    <t>rtdc.l.rtdc.4006:itc</t>
  </si>
  <si>
    <t>1801-01</t>
  </si>
  <si>
    <t>rtdc.l.rtdc.4055:itc</t>
  </si>
  <si>
    <t>114-01</t>
  </si>
  <si>
    <t>133-01</t>
  </si>
  <si>
    <t>1805-01</t>
  </si>
  <si>
    <t>130-01</t>
  </si>
  <si>
    <t>rtdc.l.rtdc.4030:itc</t>
  </si>
  <si>
    <t>159-01</t>
  </si>
  <si>
    <t>156-01</t>
  </si>
  <si>
    <t>rtdc.l.rtdc.4029:itc</t>
  </si>
  <si>
    <t>160-01</t>
  </si>
  <si>
    <t>rtdc.l.rtdc.4005:itc</t>
  </si>
  <si>
    <t>1814-01</t>
  </si>
  <si>
    <t>164-01</t>
  </si>
  <si>
    <t>166-01</t>
  </si>
  <si>
    <t>173-01</t>
  </si>
  <si>
    <t>177-01</t>
  </si>
  <si>
    <t>178-01</t>
  </si>
  <si>
    <t>182-01</t>
  </si>
  <si>
    <t>191-01</t>
  </si>
  <si>
    <t>190-01</t>
  </si>
  <si>
    <t>203-01</t>
  </si>
  <si>
    <t>201-01</t>
  </si>
  <si>
    <t>200-01</t>
  </si>
  <si>
    <t>51-01</t>
  </si>
  <si>
    <t>215-01</t>
  </si>
  <si>
    <t>217-01</t>
  </si>
  <si>
    <t>220-01</t>
  </si>
  <si>
    <t>225-01</t>
  </si>
  <si>
    <t>237-01</t>
  </si>
  <si>
    <t>236-01</t>
  </si>
  <si>
    <t>241-01</t>
  </si>
  <si>
    <t>244-01</t>
  </si>
  <si>
    <t>246-01</t>
  </si>
  <si>
    <t>rtdc.l.rtdc.4041:itc</t>
  </si>
  <si>
    <t>242-30</t>
  </si>
  <si>
    <t>PERKINS</t>
  </si>
  <si>
    <t>DARREN</t>
  </si>
  <si>
    <t>rtdc.l.rtdc.4026:itc</t>
  </si>
  <si>
    <t>245-30</t>
  </si>
  <si>
    <t>82-30</t>
  </si>
  <si>
    <t>307-30</t>
  </si>
  <si>
    <t>244-30</t>
  </si>
  <si>
    <t>309-30</t>
  </si>
  <si>
    <t>rtdc.l.rtdc.4025:itc</t>
  </si>
  <si>
    <t>246-30</t>
  </si>
  <si>
    <t>83-30</t>
  </si>
  <si>
    <t>311-30</t>
  </si>
  <si>
    <t>313-30</t>
  </si>
  <si>
    <t>55-01</t>
  </si>
  <si>
    <t>GRASTON</t>
  </si>
  <si>
    <t>MATHEU</t>
  </si>
  <si>
    <t>300-01</t>
  </si>
  <si>
    <t>101-01</t>
  </si>
  <si>
    <t>302-01</t>
  </si>
  <si>
    <t>BEAM</t>
  </si>
  <si>
    <t>ROSS</t>
  </si>
  <si>
    <t>103-01</t>
  </si>
  <si>
    <t>304-01</t>
  </si>
  <si>
    <t>102-01</t>
  </si>
  <si>
    <t>306-01</t>
  </si>
  <si>
    <t>104-01</t>
  </si>
  <si>
    <t>107-01</t>
  </si>
  <si>
    <t>308-01</t>
  </si>
  <si>
    <t>LALONDE</t>
  </si>
  <si>
    <t>GREGORY</t>
  </si>
  <si>
    <t>109-01</t>
  </si>
  <si>
    <t>310-01</t>
  </si>
  <si>
    <t>DAVIDSON</t>
  </si>
  <si>
    <t>DAVID</t>
  </si>
  <si>
    <t>111-01</t>
  </si>
  <si>
    <t>108-01</t>
  </si>
  <si>
    <t>113-01</t>
  </si>
  <si>
    <t>312-01</t>
  </si>
  <si>
    <t>1901-01</t>
  </si>
  <si>
    <t>ROCHA</t>
  </si>
  <si>
    <t>YAOTL</t>
  </si>
  <si>
    <t>115-01</t>
  </si>
  <si>
    <t>117-01</t>
  </si>
  <si>
    <t>1800-01</t>
  </si>
  <si>
    <t>112-01</t>
  </si>
  <si>
    <t>119-01</t>
  </si>
  <si>
    <t>121-01</t>
  </si>
  <si>
    <t>116-01</t>
  </si>
  <si>
    <t>118-01</t>
  </si>
  <si>
    <t>123-01</t>
  </si>
  <si>
    <t>1802-01</t>
  </si>
  <si>
    <t>125-01</t>
  </si>
  <si>
    <t>120-01</t>
  </si>
  <si>
    <t>122-01</t>
  </si>
  <si>
    <t>127-01</t>
  </si>
  <si>
    <t>124-01</t>
  </si>
  <si>
    <t>129-01</t>
  </si>
  <si>
    <t>1803-01</t>
  </si>
  <si>
    <t>131-01</t>
  </si>
  <si>
    <t>126-01</t>
  </si>
  <si>
    <t>1804-01</t>
  </si>
  <si>
    <t>128-01</t>
  </si>
  <si>
    <t>135-01</t>
  </si>
  <si>
    <t>137-01</t>
  </si>
  <si>
    <t>132-01</t>
  </si>
  <si>
    <t>139-01</t>
  </si>
  <si>
    <t>1806-01</t>
  </si>
  <si>
    <t>136-01</t>
  </si>
  <si>
    <t>134-01</t>
  </si>
  <si>
    <t>141-01</t>
  </si>
  <si>
    <t>143-01</t>
  </si>
  <si>
    <t>1807-01</t>
  </si>
  <si>
    <t>138-01</t>
  </si>
  <si>
    <t>145-01</t>
  </si>
  <si>
    <t>140-01</t>
  </si>
  <si>
    <t>147-01</t>
  </si>
  <si>
    <t>142-01</t>
  </si>
  <si>
    <t>1808-01</t>
  </si>
  <si>
    <t>149-01</t>
  </si>
  <si>
    <t>144-01</t>
  </si>
  <si>
    <t>151-01</t>
  </si>
  <si>
    <t>146-01</t>
  </si>
  <si>
    <t>1809-01</t>
  </si>
  <si>
    <t>153-01</t>
  </si>
  <si>
    <t>155-01</t>
  </si>
  <si>
    <t>150-01</t>
  </si>
  <si>
    <t>148-01</t>
  </si>
  <si>
    <t>1810-01</t>
  </si>
  <si>
    <t>157-01</t>
  </si>
  <si>
    <t>152-01</t>
  </si>
  <si>
    <t>154-01</t>
  </si>
  <si>
    <t>161-01</t>
  </si>
  <si>
    <t>LOPES</t>
  </si>
  <si>
    <t>KIMBERLY</t>
  </si>
  <si>
    <t>1811-01</t>
  </si>
  <si>
    <t>BROWN</t>
  </si>
  <si>
    <t>JACOB</t>
  </si>
  <si>
    <t>163-01</t>
  </si>
  <si>
    <t>BRANDNER</t>
  </si>
  <si>
    <t>MELINDA</t>
  </si>
  <si>
    <t>158-01</t>
  </si>
  <si>
    <t>165-01</t>
  </si>
  <si>
    <t>1812-01</t>
  </si>
  <si>
    <t>167-01</t>
  </si>
  <si>
    <t>162-01</t>
  </si>
  <si>
    <t>169-01</t>
  </si>
  <si>
    <t>1813-01</t>
  </si>
  <si>
    <t>50-01</t>
  </si>
  <si>
    <t>171-01</t>
  </si>
  <si>
    <t>168-01</t>
  </si>
  <si>
    <t>175-01</t>
  </si>
  <si>
    <t>170-01</t>
  </si>
  <si>
    <t>1815-01</t>
  </si>
  <si>
    <t>172-01</t>
  </si>
  <si>
    <t>179-01</t>
  </si>
  <si>
    <t>1816-01</t>
  </si>
  <si>
    <t>181-01</t>
  </si>
  <si>
    <t>174-01</t>
  </si>
  <si>
    <t>176-01</t>
  </si>
  <si>
    <t>183-01</t>
  </si>
  <si>
    <t>1817-01</t>
  </si>
  <si>
    <t>SAFIEF</t>
  </si>
  <si>
    <t>AEIMEN</t>
  </si>
  <si>
    <t>185-01</t>
  </si>
  <si>
    <t>180-01</t>
  </si>
  <si>
    <t>187-01</t>
  </si>
  <si>
    <t>1818-01</t>
  </si>
  <si>
    <t>189-01</t>
  </si>
  <si>
    <t>184-01</t>
  </si>
  <si>
    <t>1819-01</t>
  </si>
  <si>
    <t>193-01</t>
  </si>
  <si>
    <t>186-01</t>
  </si>
  <si>
    <t>188-01</t>
  </si>
  <si>
    <t>195-01</t>
  </si>
  <si>
    <t>1820-01</t>
  </si>
  <si>
    <t>197-01</t>
  </si>
  <si>
    <t>192-01</t>
  </si>
  <si>
    <t>199-01</t>
  </si>
  <si>
    <t>1821-01</t>
  </si>
  <si>
    <t>194-01</t>
  </si>
  <si>
    <t>196-01</t>
  </si>
  <si>
    <t>198-01</t>
  </si>
  <si>
    <t>1822-01</t>
  </si>
  <si>
    <t>205-01</t>
  </si>
  <si>
    <t>207-01</t>
  </si>
  <si>
    <t>1823-01</t>
  </si>
  <si>
    <t>209-01</t>
  </si>
  <si>
    <t>202-01</t>
  </si>
  <si>
    <t>204-01</t>
  </si>
  <si>
    <t>211-01</t>
  </si>
  <si>
    <t>1824-01</t>
  </si>
  <si>
    <t>206-01</t>
  </si>
  <si>
    <t>213-01</t>
  </si>
  <si>
    <t>rtdc.l.rtdc.4015:itc</t>
  </si>
  <si>
    <t>70-01</t>
  </si>
  <si>
    <t>208-01</t>
  </si>
  <si>
    <t>210-01</t>
  </si>
  <si>
    <t>1825-01</t>
  </si>
  <si>
    <t>212-01</t>
  </si>
  <si>
    <t>219-01</t>
  </si>
  <si>
    <t>214-01</t>
  </si>
  <si>
    <t>1826-01</t>
  </si>
  <si>
    <t>301-01</t>
  </si>
  <si>
    <t>221-01</t>
  </si>
  <si>
    <t>216-01</t>
  </si>
  <si>
    <t>218-01</t>
  </si>
  <si>
    <t>303-01</t>
  </si>
  <si>
    <t>1827-01</t>
  </si>
  <si>
    <t>223-01</t>
  </si>
  <si>
    <t>1828-01</t>
  </si>
  <si>
    <t>305-01</t>
  </si>
  <si>
    <t>222-01</t>
  </si>
  <si>
    <t>1829-01</t>
  </si>
  <si>
    <t>227-01</t>
  </si>
  <si>
    <t>224-01</t>
  </si>
  <si>
    <t>1830-01</t>
  </si>
  <si>
    <t>226-01</t>
  </si>
  <si>
    <t>229-01</t>
  </si>
  <si>
    <t>1831-01</t>
  </si>
  <si>
    <t>228-01</t>
  </si>
  <si>
    <t>231-01</t>
  </si>
  <si>
    <t>1832-01</t>
  </si>
  <si>
    <t>233-01</t>
  </si>
  <si>
    <t>230-01</t>
  </si>
  <si>
    <t>1833-01</t>
  </si>
  <si>
    <t>232-01</t>
  </si>
  <si>
    <t>235-01</t>
  </si>
  <si>
    <t>1902-01</t>
  </si>
  <si>
    <t>234-01</t>
  </si>
  <si>
    <t>239-01</t>
  </si>
  <si>
    <t>238-01</t>
  </si>
  <si>
    <t>243-01</t>
  </si>
  <si>
    <t>240-01</t>
  </si>
  <si>
    <t>242-01</t>
  </si>
  <si>
    <t>245-01</t>
  </si>
  <si>
    <t>307-01</t>
  </si>
  <si>
    <t>309-01</t>
  </si>
  <si>
    <t>311-01</t>
  </si>
  <si>
    <t>313-01</t>
  </si>
  <si>
    <t>rtdc.l.rtdc.4051:itc</t>
  </si>
  <si>
    <t>55-02</t>
  </si>
  <si>
    <t>MAYBERRY</t>
  </si>
  <si>
    <t>BILL</t>
  </si>
  <si>
    <t>204:233298</t>
  </si>
  <si>
    <t>204:151489</t>
  </si>
  <si>
    <t>204:155890</t>
  </si>
  <si>
    <t>204:86353</t>
  </si>
  <si>
    <t>204:233349</t>
  </si>
  <si>
    <t>204:233064</t>
  </si>
  <si>
    <t>204:233023</t>
  </si>
  <si>
    <t>204:233347</t>
  </si>
  <si>
    <t>204:233043</t>
  </si>
  <si>
    <t>204:251</t>
  </si>
  <si>
    <t>204:233345</t>
  </si>
  <si>
    <t>204:233003</t>
  </si>
  <si>
    <t>204:233360</t>
  </si>
  <si>
    <t>204:233042</t>
  </si>
  <si>
    <t>204:233344</t>
  </si>
  <si>
    <t>204:546</t>
  </si>
  <si>
    <t>204:431</t>
  </si>
  <si>
    <t>204:416</t>
  </si>
  <si>
    <t>204:433</t>
  </si>
  <si>
    <t>204:233393</t>
  </si>
  <si>
    <t>204:233066</t>
  </si>
  <si>
    <t>204:172</t>
  </si>
  <si>
    <t>204:233334</t>
  </si>
  <si>
    <t>204:233038</t>
  </si>
  <si>
    <t>204:232991</t>
  </si>
  <si>
    <t>204:233270</t>
  </si>
  <si>
    <t>204:233340</t>
  </si>
  <si>
    <t>204:232975</t>
  </si>
  <si>
    <t>204:233021</t>
  </si>
  <si>
    <t>204:233076</t>
  </si>
  <si>
    <t>204:233351</t>
  </si>
  <si>
    <t>204:233036</t>
  </si>
  <si>
    <t>204:233299</t>
  </si>
  <si>
    <t>204:233315</t>
  </si>
  <si>
    <t>204:18772</t>
  </si>
  <si>
    <t>204:21441</t>
  </si>
  <si>
    <t>204:233288</t>
  </si>
  <si>
    <t>204:232965</t>
  </si>
  <si>
    <t>204:231007</t>
  </si>
  <si>
    <t>204:130</t>
  </si>
  <si>
    <t>204:491</t>
  </si>
  <si>
    <t>204:192</t>
  </si>
  <si>
    <t>204:181</t>
  </si>
  <si>
    <t>204:233389</t>
  </si>
  <si>
    <t>204:134</t>
  </si>
  <si>
    <t>204:19152</t>
  </si>
  <si>
    <t>204:477</t>
  </si>
  <si>
    <t>204:233302</t>
  </si>
  <si>
    <t>204:950</t>
  </si>
  <si>
    <t>300:58075</t>
  </si>
  <si>
    <t>204:631</t>
  </si>
  <si>
    <t>204:943</t>
  </si>
  <si>
    <t>204:941</t>
  </si>
  <si>
    <t>300:58963</t>
  </si>
  <si>
    <t>300:58641</t>
  </si>
  <si>
    <t>204:650</t>
  </si>
  <si>
    <t>204:944</t>
  </si>
  <si>
    <t>300:58976</t>
  </si>
  <si>
    <t>300:58664</t>
  </si>
  <si>
    <t>204:656</t>
  </si>
  <si>
    <t>204:934</t>
  </si>
  <si>
    <t>300:58990</t>
  </si>
  <si>
    <t>300:58670</t>
  </si>
  <si>
    <t>204:960</t>
  </si>
  <si>
    <t>204:720</t>
  </si>
  <si>
    <t>204:1002</t>
  </si>
  <si>
    <t>300:58931</t>
  </si>
  <si>
    <t>300:58615</t>
  </si>
  <si>
    <t>204:740</t>
  </si>
  <si>
    <t>204:1030</t>
  </si>
  <si>
    <t>204:736</t>
  </si>
  <si>
    <t>204:1020</t>
  </si>
  <si>
    <t>300:58912</t>
  </si>
  <si>
    <t>300:58602</t>
  </si>
  <si>
    <t>300:58914</t>
  </si>
  <si>
    <t>204:110</t>
  </si>
  <si>
    <t>300:58590</t>
  </si>
  <si>
    <t>300:58910</t>
  </si>
  <si>
    <t>300:58598</t>
  </si>
  <si>
    <t>204:677</t>
  </si>
  <si>
    <t>300:58918</t>
  </si>
  <si>
    <t>300:58596</t>
  </si>
  <si>
    <t>204:962</t>
  </si>
  <si>
    <t>300:58920</t>
  </si>
  <si>
    <t>204:643</t>
  </si>
  <si>
    <t>300:58600</t>
  </si>
  <si>
    <t>300:58908</t>
  </si>
  <si>
    <t>300:58594</t>
  </si>
  <si>
    <t>300:58937</t>
  </si>
  <si>
    <t>204:426</t>
  </si>
  <si>
    <t>204:233008</t>
  </si>
  <si>
    <t>204:232988</t>
  </si>
  <si>
    <t>300:30144</t>
  </si>
  <si>
    <t>204:427</t>
  </si>
  <si>
    <t>204:495</t>
  </si>
  <si>
    <t>204:233080</t>
  </si>
  <si>
    <t>204:187</t>
  </si>
  <si>
    <t>204:233263</t>
  </si>
  <si>
    <t>204:233253</t>
  </si>
  <si>
    <t>204:232934</t>
  </si>
  <si>
    <t>204:233316</t>
  </si>
  <si>
    <t>204:232985</t>
  </si>
  <si>
    <t>204:233342</t>
  </si>
  <si>
    <t>204:233019</t>
  </si>
  <si>
    <t>204:233311</t>
  </si>
  <si>
    <t>204:233317</t>
  </si>
  <si>
    <t>204:132</t>
  </si>
  <si>
    <t>204:413</t>
  </si>
  <si>
    <t>204:233002</t>
  </si>
  <si>
    <t>204:233255</t>
  </si>
  <si>
    <t>204:480</t>
  </si>
  <si>
    <t>204:233017</t>
  </si>
  <si>
    <t>204:119</t>
  </si>
  <si>
    <t>204:232969</t>
  </si>
  <si>
    <t>204:484</t>
  </si>
  <si>
    <t>300:22448</t>
  </si>
  <si>
    <t>300:23301</t>
  </si>
  <si>
    <t>300:20312</t>
  </si>
  <si>
    <t>300:23089</t>
  </si>
  <si>
    <t>300:23747</t>
  </si>
  <si>
    <t>300:23425</t>
  </si>
  <si>
    <t>300:23316</t>
  </si>
  <si>
    <t>300:23341</t>
  </si>
  <si>
    <t>300:23299</t>
  </si>
  <si>
    <t>300:23295</t>
  </si>
  <si>
    <t>300:23457</t>
  </si>
  <si>
    <t>204:502</t>
  </si>
  <si>
    <t>204:1223</t>
  </si>
  <si>
    <t>300:24233</t>
  </si>
  <si>
    <t>204:1541</t>
  </si>
  <si>
    <t>204:1790</t>
  </si>
  <si>
    <t>300:22552</t>
  </si>
  <si>
    <t>204:908</t>
  </si>
  <si>
    <t>300:23495</t>
  </si>
  <si>
    <t>204:1218</t>
  </si>
  <si>
    <t>300:22292</t>
  </si>
  <si>
    <t>300:23197</t>
  </si>
  <si>
    <t>204:1060</t>
  </si>
  <si>
    <t>204:674</t>
  </si>
  <si>
    <t>start /low /b %USERPROFILE%\Documents\GitHub\eaglep3\Utilities\DownloadLogsFromS3.py --loco 4028 --day 2017-07-01</t>
  </si>
  <si>
    <t>start /low /b %USERPROFILE%\Documents\GitHub\eaglep3\Utilities\DownloadLogsFromS3.py --loco 4027 --day 2017-07-01</t>
  </si>
  <si>
    <t>start /low /b %USERPROFILE%\Documents\GitHub\eaglep3\Utilities\DownloadLogsFromS3.py --loco 4055 --day 2017-07-01</t>
  </si>
  <si>
    <t>start /low /b %USERPROFILE%\Documents\GitHub\eaglep3\Utilities\DownloadLogsFromS3.py --loco 4014 --day 2017-07-01</t>
  </si>
  <si>
    <t>start /low /b %USERPROFILE%\Documents\GitHub\eaglep3\Utilities\DownloadLogsFromS3.py --loco 4013 --day 2017-07-01</t>
  </si>
  <si>
    <t>start /low /b %USERPROFILE%\Documents\GitHub\eaglep3\Utilities\DownloadLogsFromS3.py --loco 4017 --day 2017-07-01</t>
  </si>
  <si>
    <t>start /low /b %USERPROFILE%\Documents\GitHub\eaglep3\Utilities\DownloadLogsFromS3.py --loco 4029 --day 2017-07-01</t>
  </si>
  <si>
    <t>start /low /b %USERPROFILE%\Documents\GitHub\eaglep3\Utilities\DownloadLogsFromS3.py --loco 4028 --day 2017-07-02</t>
  </si>
  <si>
    <t>start /low /b %USERPROFILE%\Documents\GitHub\eaglep3\Utilities\DownloadLogsFromS3.py --loco 4008 --day 2017-07-02</t>
  </si>
  <si>
    <t>start /low /b %USERPROFILE%\Documents\GitHub\eaglep3\Utilities\DownloadLogsFromS3.py --loco 4030 --day 2017-07-01</t>
  </si>
  <si>
    <t>start /low /b %USERPROFILE%\Documents\GitHub\eaglep3\Utilities\DownloadLogsFromS3.py --loco 4007 --day 2017-07-01</t>
  </si>
  <si>
    <t>start /low /b %USERPROFILE%\Documents\GitHub\eaglep3\Utilities\DownloadLogsFromS3.py --loco 4013 --day 2017-07-02</t>
  </si>
  <si>
    <t>start /low /b %USERPROFILE%\Documents\GitHub\eaglep3\Utilities\DownloadLogsFromS3.py --loco 4030 --day 2017-07-02</t>
  </si>
  <si>
    <t>start /low /b %USERPROFILE%\Documents\GitHub\eaglep3\Utilities\DownloadLogsFromS3.py --loco 4007 --day 2017-07-02</t>
  </si>
  <si>
    <t>start /low /b %USERPROFILE%\Documents\GitHub\eaglep3\Utilities\DownloadLogsFromS3.py --loco 4061 --day 2017-07-01</t>
  </si>
  <si>
    <t>start /low /b %USERPROFILE%\Documents\GitHub\eaglep3\Utilities\DownloadLogsFromS3.py --loco 4006 --day 2017-07-01</t>
  </si>
  <si>
    <t>start /low /b %USERPROFILE%\Documents\GitHub\eaglep3\Utilities\DownloadLogsFromS3.py --loco 4005 --day 2017-07-01</t>
  </si>
  <si>
    <t>Premature downgrade at EC1497RH 143-1T 1N</t>
  </si>
  <si>
    <t>04:41:03 - signal dropped from 270 to 0 while train was 100 ft away, do logs show anything unusual?</t>
  </si>
  <si>
    <t>Minor onboard in-route failure caused comm outage</t>
  </si>
  <si>
    <t>Overspeed</t>
  </si>
  <si>
    <t>Main 3 departure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</si>
</sst>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7">
    <numFmt numFmtId="164" formatCode="h:mm:ss;@"/>
    <numFmt numFmtId="165" formatCode="0.0%"/>
    <numFmt numFmtId="166" formatCode="yyyy\-mm\-dd"/>
    <numFmt numFmtId="167" formatCode="yyyy\-mm\-dd\ hh:mm:ss"/>
    <numFmt numFmtId="168" formatCode="m/d/yy\ h:mm;@"/>
    <numFmt numFmtId="169" formatCode="[$-F400]h:mm:ss\ AM/PM"/>
    <numFmt numFmtId="170" formatCode="0.000"/>
  </numFmts>
  <fonts count="20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1"/>
      <color theme="0" tint="-0.14999847407452621"/>
      <name val="Calibri"/>
      <family val="2"/>
      <scheme val="minor"/>
    </font>
    <font>
      <sz val="11"/>
      <color theme="0" tint="-0.34998626667073579"/>
      <name val="Calibri"/>
      <family val="2"/>
      <scheme val="minor"/>
    </font>
    <font>
      <sz val="10"/>
      <color indexed="8"/>
      <name val="Arial"/>
      <family val="2"/>
    </font>
    <font>
      <sz val="11"/>
      <color indexed="8"/>
      <name val="Calibri"/>
      <family val="2"/>
    </font>
    <font>
      <sz val="11"/>
      <color theme="0" tint="-0.499984740745262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theme="1"/>
      <name val="Consolas"/>
      <family val="3"/>
    </font>
    <font>
      <b/>
      <sz val="9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9"/>
      <color theme="0" tint="-0.499984740745262"/>
      <name val="Calibri"/>
      <family val="2"/>
      <scheme val="minor"/>
    </font>
    <font>
      <sz val="9"/>
      <color theme="0" tint="-0.499984740745262"/>
      <name val="Calibri"/>
      <family val="2"/>
      <scheme val="minor"/>
    </font>
    <font>
      <sz val="11"/>
      <color rgb="FF00B050"/>
      <name val="Calibri"/>
      <family val="2"/>
      <scheme val="minor"/>
    </font>
    <font>
      <sz val="11"/>
      <color rgb="FFFF0000"/>
      <name val="Calibri"/>
      <family val="2"/>
      <scheme val="minor"/>
    </font>
    <font>
      <sz val="9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22"/>
        <bgColor indexed="0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E4C9FF"/>
        <bgColor indexed="64"/>
      </patternFill>
    </fill>
    <fill>
      <patternFill patternType="solid">
        <fgColor theme="5" tint="0.79998168889431442"/>
        <bgColor indexed="64"/>
      </patternFill>
    </fill>
  </fills>
  <borders count="18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rgb="FFECF0F1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">
    <xf numFmtId="169" fontId="0" fillId="0" borderId="0"/>
    <xf numFmtId="169" fontId="7" fillId="0" borderId="0"/>
    <xf numFmtId="9" fontId="10" fillId="0" borderId="0" applyFont="0" applyFill="0" applyBorder="0" applyAlignment="0" applyProtection="0"/>
    <xf numFmtId="169" fontId="10" fillId="0" borderId="0"/>
  </cellStyleXfs>
  <cellXfs count="218">
    <xf numFmtId="169" fontId="0" fillId="0" borderId="0" xfId="0"/>
    <xf numFmtId="169" fontId="0" fillId="0" borderId="0" xfId="0" applyFill="1"/>
    <xf numFmtId="1" fontId="0" fillId="0" borderId="0" xfId="0" applyNumberFormat="1"/>
    <xf numFmtId="1" fontId="0" fillId="0" borderId="2" xfId="0" applyNumberFormat="1" applyBorder="1" applyAlignment="1">
      <alignment horizontal="center" vertical="center"/>
    </xf>
    <xf numFmtId="169" fontId="0" fillId="0" borderId="0" xfId="0" applyBorder="1" applyAlignment="1">
      <alignment horizontal="center" vertical="center" wrapText="1"/>
    </xf>
    <xf numFmtId="169" fontId="0" fillId="0" borderId="4" xfId="0" applyBorder="1" applyAlignment="1">
      <alignment horizontal="center" vertical="center" wrapText="1"/>
    </xf>
    <xf numFmtId="164" fontId="0" fillId="0" borderId="5" xfId="0" applyNumberFormat="1" applyFill="1" applyBorder="1" applyAlignment="1">
      <alignment horizontal="left"/>
    </xf>
    <xf numFmtId="1" fontId="0" fillId="0" borderId="5" xfId="0" applyNumberFormat="1" applyFill="1" applyBorder="1" applyAlignment="1">
      <alignment horizontal="left"/>
    </xf>
    <xf numFmtId="167" fontId="0" fillId="0" borderId="0" xfId="0" applyNumberFormat="1"/>
    <xf numFmtId="169" fontId="0" fillId="0" borderId="5" xfId="0" applyFill="1" applyBorder="1" applyAlignment="1"/>
    <xf numFmtId="169" fontId="0" fillId="0" borderId="0" xfId="0" applyAlignment="1">
      <alignment horizontal="center" vertical="center"/>
    </xf>
    <xf numFmtId="169" fontId="3" fillId="0" borderId="6" xfId="0" applyFont="1" applyBorder="1" applyAlignment="1">
      <alignment horizontal="center" wrapText="1"/>
    </xf>
    <xf numFmtId="166" fontId="4" fillId="0" borderId="7" xfId="0" applyNumberFormat="1" applyFont="1" applyBorder="1" applyAlignment="1">
      <alignment horizontal="center" vertical="center" wrapText="1"/>
    </xf>
    <xf numFmtId="167" fontId="0" fillId="0" borderId="5" xfId="0" applyNumberFormat="1" applyFill="1" applyBorder="1" applyAlignment="1">
      <alignment horizontal="left"/>
    </xf>
    <xf numFmtId="169" fontId="1" fillId="0" borderId="5" xfId="0" applyFont="1" applyFill="1" applyBorder="1" applyAlignment="1">
      <alignment horizontal="left" vertical="center" wrapText="1"/>
    </xf>
    <xf numFmtId="169" fontId="1" fillId="0" borderId="5" xfId="0" applyFont="1" applyBorder="1" applyAlignment="1">
      <alignment horizontal="left" vertical="center" wrapText="1"/>
    </xf>
    <xf numFmtId="167" fontId="1" fillId="0" borderId="5" xfId="0" applyNumberFormat="1" applyFont="1" applyBorder="1" applyAlignment="1">
      <alignment horizontal="left" vertical="center" wrapText="1"/>
    </xf>
    <xf numFmtId="20" fontId="1" fillId="0" borderId="5" xfId="0" applyNumberFormat="1" applyFont="1" applyFill="1" applyBorder="1" applyAlignment="1">
      <alignment horizontal="left" vertical="center" wrapText="1"/>
    </xf>
    <xf numFmtId="1" fontId="1" fillId="0" borderId="5" xfId="0" applyNumberFormat="1" applyFont="1" applyBorder="1" applyAlignment="1">
      <alignment horizontal="left" vertical="center" wrapText="1"/>
    </xf>
    <xf numFmtId="169" fontId="1" fillId="0" borderId="5" xfId="0" applyFont="1" applyBorder="1" applyAlignment="1">
      <alignment horizontal="center" vertical="center" wrapText="1"/>
    </xf>
    <xf numFmtId="169" fontId="0" fillId="0" borderId="0" xfId="0"/>
    <xf numFmtId="169" fontId="0" fillId="0" borderId="5" xfId="0" applyFill="1" applyBorder="1" applyAlignment="1">
      <alignment horizontal="left"/>
    </xf>
    <xf numFmtId="1" fontId="0" fillId="0" borderId="5" xfId="0" applyNumberFormat="1" applyFill="1" applyBorder="1"/>
    <xf numFmtId="169" fontId="0" fillId="0" borderId="0" xfId="0" applyBorder="1"/>
    <xf numFmtId="167" fontId="0" fillId="0" borderId="8" xfId="0" applyNumberFormat="1" applyBorder="1"/>
    <xf numFmtId="17" fontId="0" fillId="0" borderId="0" xfId="0" applyNumberFormat="1"/>
    <xf numFmtId="167" fontId="0" fillId="0" borderId="0" xfId="0" applyNumberFormat="1" applyBorder="1"/>
    <xf numFmtId="169" fontId="0" fillId="0" borderId="0" xfId="0" applyAlignment="1">
      <alignment horizontal="left"/>
    </xf>
    <xf numFmtId="169" fontId="0" fillId="0" borderId="0" xfId="0" applyFill="1" applyBorder="1"/>
    <xf numFmtId="168" fontId="0" fillId="0" borderId="5" xfId="0" applyNumberFormat="1" applyFill="1" applyBorder="1" applyAlignment="1">
      <alignment horizontal="left"/>
    </xf>
    <xf numFmtId="169" fontId="0" fillId="0" borderId="5" xfId="0" applyBorder="1"/>
    <xf numFmtId="167" fontId="0" fillId="0" borderId="5" xfId="0" applyNumberFormat="1" applyBorder="1"/>
    <xf numFmtId="22" fontId="0" fillId="0" borderId="5" xfId="0" applyNumberFormat="1" applyFill="1" applyBorder="1" applyAlignment="1">
      <alignment horizontal="left"/>
    </xf>
    <xf numFmtId="167" fontId="0" fillId="0" borderId="0" xfId="0" applyNumberFormat="1" applyAlignment="1">
      <alignment horizontal="left"/>
    </xf>
    <xf numFmtId="169" fontId="0" fillId="0" borderId="0" xfId="0" applyFill="1" applyAlignment="1">
      <alignment horizontal="left"/>
    </xf>
    <xf numFmtId="20" fontId="0" fillId="0" borderId="0" xfId="0" applyNumberFormat="1" applyFill="1" applyAlignment="1">
      <alignment horizontal="left" wrapText="1"/>
    </xf>
    <xf numFmtId="1" fontId="0" fillId="0" borderId="0" xfId="0" applyNumberFormat="1" applyAlignment="1">
      <alignment horizontal="left"/>
    </xf>
    <xf numFmtId="169" fontId="0" fillId="0" borderId="3" xfId="0" applyFill="1" applyBorder="1" applyAlignment="1">
      <alignment horizontal="left" vertical="center"/>
    </xf>
    <xf numFmtId="1" fontId="0" fillId="0" borderId="3" xfId="0" applyNumberFormat="1" applyBorder="1" applyAlignment="1">
      <alignment horizontal="left" vertical="center"/>
    </xf>
    <xf numFmtId="169" fontId="0" fillId="0" borderId="4" xfId="0" applyBorder="1" applyAlignment="1">
      <alignment horizontal="left" vertical="center"/>
    </xf>
    <xf numFmtId="1" fontId="0" fillId="0" borderId="3" xfId="0" applyNumberFormat="1" applyFill="1" applyBorder="1" applyAlignment="1">
      <alignment horizontal="left" vertical="center"/>
    </xf>
    <xf numFmtId="165" fontId="0" fillId="0" borderId="0" xfId="0" applyNumberFormat="1" applyAlignment="1">
      <alignment horizontal="left"/>
    </xf>
    <xf numFmtId="1" fontId="0" fillId="0" borderId="5" xfId="0" applyNumberFormat="1" applyBorder="1"/>
    <xf numFmtId="169" fontId="0" fillId="0" borderId="0" xfId="0" applyNumberFormat="1"/>
    <xf numFmtId="169" fontId="0" fillId="0" borderId="0" xfId="0" applyNumberFormat="1" applyAlignment="1">
      <alignment horizontal="center" vertical="center"/>
    </xf>
    <xf numFmtId="169" fontId="0" fillId="0" borderId="5" xfId="0" applyFill="1" applyBorder="1"/>
    <xf numFmtId="169" fontId="9" fillId="0" borderId="0" xfId="0" applyFont="1" applyBorder="1" applyAlignment="1">
      <alignment horizontal="center" vertical="center" wrapText="1"/>
    </xf>
    <xf numFmtId="169" fontId="9" fillId="0" borderId="0" xfId="0" applyFont="1" applyFill="1"/>
    <xf numFmtId="1" fontId="0" fillId="0" borderId="4" xfId="0" applyNumberFormat="1" applyBorder="1" applyAlignment="1">
      <alignment horizontal="left" vertical="center"/>
    </xf>
    <xf numFmtId="170" fontId="5" fillId="0" borderId="0" xfId="0" applyNumberFormat="1" applyFont="1" applyAlignment="1">
      <alignment horizontal="left"/>
    </xf>
    <xf numFmtId="170" fontId="9" fillId="0" borderId="0" xfId="0" applyNumberFormat="1" applyFont="1" applyBorder="1" applyAlignment="1">
      <alignment horizontal="left" vertical="center" wrapText="1"/>
    </xf>
    <xf numFmtId="170" fontId="9" fillId="0" borderId="0" xfId="0" applyNumberFormat="1" applyFont="1" applyFill="1" applyBorder="1" applyAlignment="1">
      <alignment horizontal="left"/>
    </xf>
    <xf numFmtId="1" fontId="5" fillId="0" borderId="0" xfId="0" applyNumberFormat="1" applyFont="1" applyAlignment="1">
      <alignment horizontal="left"/>
    </xf>
    <xf numFmtId="1" fontId="9" fillId="0" borderId="0" xfId="0" applyNumberFormat="1" applyFont="1" applyBorder="1" applyAlignment="1">
      <alignment horizontal="left" vertical="center" wrapText="1"/>
    </xf>
    <xf numFmtId="1" fontId="9" fillId="0" borderId="0" xfId="0" applyNumberFormat="1" applyFont="1" applyFill="1" applyBorder="1" applyAlignment="1">
      <alignment horizontal="left"/>
    </xf>
    <xf numFmtId="169" fontId="0" fillId="0" borderId="0" xfId="0" applyNumberFormat="1"/>
    <xf numFmtId="2" fontId="0" fillId="0" borderId="0" xfId="0" applyNumberFormat="1"/>
    <xf numFmtId="166" fontId="0" fillId="0" borderId="1" xfId="0" applyNumberFormat="1" applyBorder="1" applyAlignment="1"/>
    <xf numFmtId="166" fontId="0" fillId="0" borderId="2" xfId="0" applyNumberFormat="1" applyBorder="1" applyAlignment="1"/>
    <xf numFmtId="166" fontId="0" fillId="0" borderId="4" xfId="0" applyNumberFormat="1" applyBorder="1" applyAlignment="1">
      <alignment horizontal="left"/>
    </xf>
    <xf numFmtId="169" fontId="1" fillId="0" borderId="1" xfId="0" applyFont="1" applyBorder="1" applyAlignment="1"/>
    <xf numFmtId="169" fontId="1" fillId="0" borderId="4" xfId="0" applyFont="1" applyBorder="1" applyAlignment="1"/>
    <xf numFmtId="169" fontId="1" fillId="0" borderId="2" xfId="0" applyFont="1" applyBorder="1" applyAlignment="1"/>
    <xf numFmtId="20" fontId="0" fillId="0" borderId="1" xfId="0" applyNumberFormat="1" applyBorder="1" applyAlignment="1">
      <alignment vertical="center"/>
    </xf>
    <xf numFmtId="20" fontId="0" fillId="0" borderId="2" xfId="0" applyNumberFormat="1" applyBorder="1" applyAlignment="1">
      <alignment vertical="center"/>
    </xf>
    <xf numFmtId="20" fontId="0" fillId="0" borderId="2" xfId="0" applyNumberFormat="1" applyBorder="1" applyAlignment="1">
      <alignment horizontal="left" vertical="center"/>
    </xf>
    <xf numFmtId="167" fontId="0" fillId="0" borderId="3" xfId="0" applyNumberFormat="1" applyBorder="1" applyAlignment="1">
      <alignment horizontal="left" vertical="center"/>
    </xf>
    <xf numFmtId="167" fontId="0" fillId="2" borderId="3" xfId="0" applyNumberFormat="1" applyFill="1" applyBorder="1" applyAlignment="1">
      <alignment horizontal="left" vertical="center"/>
    </xf>
    <xf numFmtId="167" fontId="0" fillId="3" borderId="3" xfId="0" applyNumberFormat="1" applyFill="1" applyBorder="1" applyAlignment="1">
      <alignment horizontal="left" vertical="center"/>
    </xf>
    <xf numFmtId="20" fontId="0" fillId="0" borderId="0" xfId="0" applyNumberFormat="1" applyFill="1" applyAlignment="1">
      <alignment horizontal="left"/>
    </xf>
    <xf numFmtId="1" fontId="0" fillId="0" borderId="0" xfId="0" applyNumberFormat="1" applyAlignment="1"/>
    <xf numFmtId="169" fontId="1" fillId="0" borderId="17" xfId="0" applyFont="1" applyBorder="1" applyAlignment="1">
      <alignment horizontal="left" vertical="center" wrapText="1"/>
    </xf>
    <xf numFmtId="169" fontId="0" fillId="5" borderId="0" xfId="0" applyFill="1"/>
    <xf numFmtId="169" fontId="9" fillId="5" borderId="0" xfId="0" applyFont="1" applyFill="1" applyBorder="1" applyAlignment="1">
      <alignment horizontal="center" vertical="center" wrapText="1"/>
    </xf>
    <xf numFmtId="169" fontId="9" fillId="5" borderId="0" xfId="0" applyFont="1" applyFill="1"/>
    <xf numFmtId="169" fontId="0" fillId="6" borderId="0" xfId="0" applyFill="1"/>
    <xf numFmtId="169" fontId="9" fillId="6" borderId="0" xfId="0" applyFont="1" applyFill="1" applyBorder="1" applyAlignment="1">
      <alignment horizontal="center" vertical="center" wrapText="1"/>
    </xf>
    <xf numFmtId="169" fontId="9" fillId="6" borderId="0" xfId="0" applyFont="1" applyFill="1"/>
    <xf numFmtId="169" fontId="9" fillId="7" borderId="0" xfId="0" applyFont="1" applyFill="1"/>
    <xf numFmtId="169" fontId="9" fillId="7" borderId="0" xfId="0" applyFont="1" applyFill="1" applyBorder="1" applyAlignment="1">
      <alignment horizontal="center" vertical="center" wrapText="1"/>
    </xf>
    <xf numFmtId="169" fontId="0" fillId="6" borderId="0" xfId="0" applyFill="1" applyAlignment="1">
      <alignment horizontal="center" vertical="center"/>
    </xf>
    <xf numFmtId="169" fontId="9" fillId="6" borderId="5" xfId="0" applyFont="1" applyFill="1" applyBorder="1"/>
    <xf numFmtId="169" fontId="6" fillId="8" borderId="0" xfId="0" applyFont="1" applyFill="1"/>
    <xf numFmtId="169" fontId="6" fillId="8" borderId="0" xfId="0" applyFont="1" applyFill="1" applyAlignment="1">
      <alignment horizontal="center" vertical="center"/>
    </xf>
    <xf numFmtId="169" fontId="9" fillId="8" borderId="5" xfId="0" applyFont="1" applyFill="1" applyBorder="1" applyAlignment="1"/>
    <xf numFmtId="169" fontId="0" fillId="5" borderId="0" xfId="0" applyFill="1" applyAlignment="1">
      <alignment horizontal="center" vertical="center"/>
    </xf>
    <xf numFmtId="169" fontId="9" fillId="5" borderId="5" xfId="0" applyFont="1" applyFill="1" applyBorder="1"/>
    <xf numFmtId="169" fontId="1" fillId="0" borderId="0" xfId="0" applyNumberFormat="1" applyFont="1" applyBorder="1" applyAlignment="1">
      <alignment horizontal="center" wrapText="1"/>
    </xf>
    <xf numFmtId="169" fontId="0" fillId="0" borderId="0" xfId="0" applyNumberFormat="1" applyAlignment="1">
      <alignment horizontal="center"/>
    </xf>
    <xf numFmtId="169" fontId="0" fillId="0" borderId="17" xfId="0" applyFill="1" applyBorder="1" applyAlignment="1">
      <alignment horizontal="left"/>
    </xf>
    <xf numFmtId="1" fontId="1" fillId="0" borderId="0" xfId="0" applyNumberFormat="1" applyFont="1" applyBorder="1"/>
    <xf numFmtId="169" fontId="0" fillId="9" borderId="0" xfId="0" applyFill="1"/>
    <xf numFmtId="169" fontId="1" fillId="0" borderId="0" xfId="3" applyFont="1"/>
    <xf numFmtId="169" fontId="10" fillId="0" borderId="0" xfId="3"/>
    <xf numFmtId="169" fontId="0" fillId="0" borderId="0" xfId="3" applyFont="1"/>
    <xf numFmtId="169" fontId="9" fillId="9" borderId="0" xfId="0" applyFont="1" applyFill="1" applyBorder="1" applyAlignment="1">
      <alignment horizontal="center" vertical="center" wrapText="1"/>
    </xf>
    <xf numFmtId="169" fontId="9" fillId="9" borderId="0" xfId="0" applyFont="1" applyFill="1"/>
    <xf numFmtId="167" fontId="13" fillId="0" borderId="5" xfId="0" applyNumberFormat="1" applyFont="1" applyFill="1" applyBorder="1" applyAlignment="1">
      <alignment horizontal="center" vertical="center" wrapText="1"/>
    </xf>
    <xf numFmtId="169" fontId="13" fillId="0" borderId="5" xfId="0" applyFont="1" applyFill="1" applyBorder="1" applyAlignment="1">
      <alignment horizontal="center" vertical="center" wrapText="1"/>
    </xf>
    <xf numFmtId="1" fontId="13" fillId="0" borderId="5" xfId="0" applyNumberFormat="1" applyFont="1" applyFill="1" applyBorder="1" applyAlignment="1">
      <alignment horizontal="center" vertical="center" wrapText="1"/>
    </xf>
    <xf numFmtId="169" fontId="14" fillId="0" borderId="5" xfId="0" applyFont="1" applyFill="1" applyBorder="1"/>
    <xf numFmtId="169" fontId="15" fillId="6" borderId="5" xfId="0" applyFont="1" applyFill="1" applyBorder="1" applyAlignment="1">
      <alignment horizontal="center" vertical="center" wrapText="1"/>
    </xf>
    <xf numFmtId="169" fontId="15" fillId="8" borderId="5" xfId="0" applyFont="1" applyFill="1" applyBorder="1" applyAlignment="1">
      <alignment horizontal="center" vertical="center" wrapText="1"/>
    </xf>
    <xf numFmtId="169" fontId="15" fillId="5" borderId="5" xfId="0" applyFont="1" applyFill="1" applyBorder="1"/>
    <xf numFmtId="169" fontId="13" fillId="0" borderId="5" xfId="0" applyNumberFormat="1" applyFont="1" applyFill="1" applyBorder="1" applyAlignment="1">
      <alignment horizontal="center" vertical="center" wrapText="1"/>
    </xf>
    <xf numFmtId="169" fontId="16" fillId="9" borderId="0" xfId="0" applyFont="1" applyFill="1" applyBorder="1" applyAlignment="1">
      <alignment horizontal="center" vertical="center" wrapText="1"/>
    </xf>
    <xf numFmtId="169" fontId="16" fillId="0" borderId="0" xfId="0" applyFont="1" applyBorder="1" applyAlignment="1">
      <alignment horizontal="center" vertical="center" wrapText="1"/>
    </xf>
    <xf numFmtId="169" fontId="14" fillId="0" borderId="0" xfId="0" applyFont="1" applyFill="1"/>
    <xf numFmtId="1" fontId="0" fillId="2" borderId="12" xfId="0" applyNumberFormat="1" applyFill="1" applyBorder="1" applyAlignment="1">
      <alignment vertical="center"/>
    </xf>
    <xf numFmtId="1" fontId="0" fillId="0" borderId="15" xfId="0" applyNumberFormat="1" applyBorder="1" applyAlignment="1">
      <alignment vertical="center"/>
    </xf>
    <xf numFmtId="169" fontId="0" fillId="0" borderId="0" xfId="0" applyNumberFormat="1" applyAlignment="1"/>
    <xf numFmtId="169" fontId="1" fillId="0" borderId="0" xfId="0" applyNumberFormat="1" applyFont="1" applyAlignment="1"/>
    <xf numFmtId="169" fontId="0" fillId="0" borderId="0" xfId="0" applyNumberFormat="1" applyAlignment="1">
      <alignment horizontal="left"/>
    </xf>
    <xf numFmtId="169" fontId="0" fillId="0" borderId="0" xfId="0" applyNumberFormat="1"/>
    <xf numFmtId="169" fontId="13" fillId="0" borderId="5" xfId="0" applyNumberFormat="1" applyFont="1" applyFill="1" applyBorder="1" applyAlignment="1">
      <alignment horizontal="center" vertical="center" wrapText="1"/>
    </xf>
    <xf numFmtId="169" fontId="17" fillId="6" borderId="0" xfId="0" applyFont="1" applyFill="1"/>
    <xf numFmtId="169" fontId="18" fillId="0" borderId="0" xfId="0" applyFont="1" applyFill="1"/>
    <xf numFmtId="169" fontId="18" fillId="0" borderId="0" xfId="0" applyFont="1" applyFill="1" applyAlignment="1">
      <alignment horizontal="center" vertical="center"/>
    </xf>
    <xf numFmtId="169" fontId="19" fillId="0" borderId="0" xfId="0" applyFont="1" applyFill="1"/>
    <xf numFmtId="2" fontId="1" fillId="0" borderId="5" xfId="0" applyNumberFormat="1" applyFont="1" applyFill="1" applyBorder="1" applyAlignment="1">
      <alignment horizontal="center" wrapText="1"/>
    </xf>
    <xf numFmtId="2" fontId="1" fillId="0" borderId="5" xfId="0" applyNumberFormat="1" applyFont="1" applyBorder="1" applyAlignment="1">
      <alignment horizontal="center" vertical="center" wrapText="1"/>
    </xf>
    <xf numFmtId="2" fontId="1" fillId="0" borderId="5" xfId="0" applyNumberFormat="1" applyFont="1" applyFill="1" applyBorder="1" applyAlignment="1">
      <alignment horizontal="center" vertical="center"/>
    </xf>
    <xf numFmtId="2" fontId="1" fillId="0" borderId="5" xfId="0" applyNumberFormat="1" applyFont="1" applyBorder="1"/>
    <xf numFmtId="9" fontId="0" fillId="0" borderId="0" xfId="2" applyNumberFormat="1" applyFont="1" applyAlignment="1">
      <alignment horizontal="left"/>
    </xf>
    <xf numFmtId="169" fontId="0" fillId="2" borderId="11" xfId="0" applyNumberFormat="1" applyFill="1" applyBorder="1" applyAlignment="1">
      <alignment vertical="center"/>
    </xf>
    <xf numFmtId="169" fontId="0" fillId="2" borderId="12" xfId="0" applyNumberFormat="1" applyFill="1" applyBorder="1" applyAlignment="1">
      <alignment horizontal="left" vertical="center"/>
    </xf>
    <xf numFmtId="169" fontId="0" fillId="0" borderId="14" xfId="0" applyNumberFormat="1" applyBorder="1" applyAlignment="1">
      <alignment vertical="center"/>
    </xf>
    <xf numFmtId="169" fontId="0" fillId="0" borderId="15" xfId="0" applyNumberFormat="1" applyBorder="1" applyAlignment="1">
      <alignment horizontal="left" vertical="center"/>
    </xf>
    <xf numFmtId="169" fontId="0" fillId="0" borderId="0" xfId="0" applyNumberFormat="1" applyAlignment="1">
      <alignment horizontal="center" vertical="center"/>
    </xf>
    <xf numFmtId="169" fontId="13" fillId="0" borderId="5" xfId="0" applyNumberFormat="1" applyFont="1" applyFill="1" applyBorder="1" applyAlignment="1">
      <alignment horizontal="left" vertical="center" wrapText="1"/>
    </xf>
    <xf numFmtId="167" fontId="0" fillId="0" borderId="0" xfId="0" applyNumberFormat="1" applyAlignment="1"/>
    <xf numFmtId="2" fontId="0" fillId="0" borderId="5" xfId="0" applyNumberFormat="1" applyBorder="1"/>
    <xf numFmtId="1" fontId="0" fillId="0" borderId="17" xfId="0" applyNumberFormat="1" applyBorder="1"/>
    <xf numFmtId="169" fontId="0" fillId="0" borderId="17" xfId="0" applyFill="1" applyBorder="1" applyAlignment="1">
      <alignment horizontal="left" vertical="center"/>
    </xf>
    <xf numFmtId="169" fontId="0" fillId="0" borderId="5" xfId="0" applyFill="1" applyBorder="1" applyAlignment="1">
      <alignment vertical="center"/>
    </xf>
    <xf numFmtId="169" fontId="0" fillId="0" borderId="5" xfId="0" applyNumberFormat="1" applyBorder="1" applyAlignment="1">
      <alignment horizontal="center"/>
    </xf>
    <xf numFmtId="167" fontId="1" fillId="0" borderId="0" xfId="0" applyNumberFormat="1" applyFont="1"/>
    <xf numFmtId="2" fontId="1" fillId="0" borderId="0" xfId="0" applyNumberFormat="1" applyFont="1"/>
    <xf numFmtId="169" fontId="0" fillId="0" borderId="0" xfId="0" applyNumberFormat="1"/>
    <xf numFmtId="169" fontId="0" fillId="0" borderId="0" xfId="0" applyNumberFormat="1" applyAlignment="1">
      <alignment horizontal="left"/>
    </xf>
    <xf numFmtId="169" fontId="0" fillId="0" borderId="0" xfId="0" applyNumberFormat="1"/>
    <xf numFmtId="169" fontId="0" fillId="0" borderId="0" xfId="0" applyNumberFormat="1" applyAlignment="1"/>
    <xf numFmtId="169" fontId="6" fillId="0" borderId="0" xfId="0" applyFont="1"/>
    <xf numFmtId="169" fontId="6" fillId="0" borderId="0" xfId="0" applyFont="1" applyBorder="1" applyAlignment="1">
      <alignment horizontal="center" vertical="center" wrapText="1"/>
    </xf>
    <xf numFmtId="169" fontId="6" fillId="0" borderId="0" xfId="0" applyFont="1" applyAlignment="1">
      <alignment horizontal="center" vertical="center"/>
    </xf>
    <xf numFmtId="169" fontId="6" fillId="0" borderId="0" xfId="0" applyFont="1" applyFill="1"/>
    <xf numFmtId="169" fontId="8" fillId="4" borderId="9" xfId="1" applyNumberFormat="1" applyFont="1" applyFill="1" applyBorder="1" applyAlignment="1">
      <alignment horizontal="center"/>
    </xf>
    <xf numFmtId="169" fontId="8" fillId="4" borderId="0" xfId="1" applyNumberFormat="1" applyFont="1" applyFill="1" applyBorder="1" applyAlignment="1">
      <alignment horizontal="center"/>
    </xf>
    <xf numFmtId="169" fontId="8" fillId="0" borderId="10" xfId="1" applyNumberFormat="1" applyFont="1" applyFill="1" applyBorder="1" applyAlignment="1">
      <alignment wrapText="1"/>
    </xf>
    <xf numFmtId="169" fontId="8" fillId="0" borderId="10" xfId="1" applyNumberFormat="1" applyFont="1" applyFill="1" applyBorder="1" applyAlignment="1">
      <alignment horizontal="right" wrapText="1"/>
    </xf>
    <xf numFmtId="169" fontId="0" fillId="0" borderId="0" xfId="0" applyNumberFormat="1" applyFill="1" applyBorder="1"/>
    <xf numFmtId="169" fontId="9" fillId="0" borderId="0" xfId="0" applyFont="1"/>
    <xf numFmtId="169" fontId="1" fillId="0" borderId="0" xfId="0" applyNumberFormat="1" applyFont="1" applyBorder="1" applyAlignment="1">
      <alignment horizontal="left" wrapText="1"/>
    </xf>
    <xf numFmtId="169" fontId="0" fillId="0" borderId="5" xfId="0" applyNumberFormat="1" applyBorder="1" applyAlignment="1">
      <alignment horizontal="left"/>
    </xf>
    <xf numFmtId="169" fontId="0" fillId="0" borderId="0" xfId="0" applyNumberFormat="1"/>
    <xf numFmtId="169" fontId="0" fillId="0" borderId="5" xfId="0" applyNumberFormat="1" applyBorder="1"/>
    <xf numFmtId="169" fontId="1" fillId="0" borderId="5" xfId="0" applyNumberFormat="1" applyFont="1" applyBorder="1"/>
    <xf numFmtId="169" fontId="0" fillId="0" borderId="0" xfId="0" applyAlignment="1"/>
    <xf numFmtId="169" fontId="16" fillId="0" borderId="0" xfId="0" applyFont="1" applyBorder="1" applyAlignment="1">
      <alignment horizontal="center" vertical="center"/>
    </xf>
    <xf numFmtId="169" fontId="9" fillId="0" borderId="0" xfId="0" applyFont="1" applyFill="1" applyAlignment="1"/>
    <xf numFmtId="169" fontId="12" fillId="0" borderId="0" xfId="0" applyNumberFormat="1" applyFont="1"/>
    <xf numFmtId="169" fontId="0" fillId="0" borderId="0" xfId="3" applyNumberFormat="1" applyFont="1"/>
    <xf numFmtId="169" fontId="10" fillId="0" borderId="0" xfId="3" applyNumberFormat="1"/>
    <xf numFmtId="169" fontId="0" fillId="0" borderId="0" xfId="0" applyNumberFormat="1" applyAlignment="1">
      <alignment horizontal="left"/>
    </xf>
    <xf numFmtId="169" fontId="0" fillId="0" borderId="0" xfId="0" applyNumberFormat="1"/>
    <xf numFmtId="169" fontId="0" fillId="0" borderId="1" xfId="0" applyNumberFormat="1" applyBorder="1" applyAlignment="1">
      <alignment vertical="center"/>
    </xf>
    <xf numFmtId="169" fontId="0" fillId="0" borderId="3" xfId="0" applyNumberFormat="1" applyBorder="1" applyAlignment="1">
      <alignment horizontal="left" vertical="center"/>
    </xf>
    <xf numFmtId="169" fontId="0" fillId="2" borderId="3" xfId="0" applyNumberFormat="1" applyFill="1" applyBorder="1" applyAlignment="1">
      <alignment horizontal="left" vertical="center"/>
    </xf>
    <xf numFmtId="169" fontId="0" fillId="3" borderId="3" xfId="0" applyNumberFormat="1" applyFill="1" applyBorder="1" applyAlignment="1">
      <alignment horizontal="left" vertical="center"/>
    </xf>
    <xf numFmtId="169" fontId="1" fillId="0" borderId="5" xfId="0" applyNumberFormat="1" applyFont="1" applyBorder="1" applyAlignment="1">
      <alignment horizontal="center" vertical="center" wrapText="1"/>
    </xf>
    <xf numFmtId="169" fontId="0" fillId="0" borderId="5" xfId="0" applyNumberFormat="1" applyFill="1" applyBorder="1"/>
    <xf numFmtId="0" fontId="1" fillId="0" borderId="0" xfId="0" applyNumberFormat="1" applyFont="1"/>
    <xf numFmtId="0" fontId="0" fillId="0" borderId="0" xfId="0" applyNumberFormat="1"/>
    <xf numFmtId="0" fontId="0" fillId="0" borderId="0" xfId="2" applyNumberFormat="1" applyFont="1" applyAlignment="1">
      <alignment horizontal="left"/>
    </xf>
    <xf numFmtId="0" fontId="0" fillId="0" borderId="0" xfId="0" applyNumberFormat="1" applyAlignment="1">
      <alignment horizontal="left"/>
    </xf>
    <xf numFmtId="0" fontId="0" fillId="0" borderId="0" xfId="0" applyNumberFormat="1" applyFill="1" applyAlignment="1">
      <alignment horizontal="left" wrapText="1"/>
    </xf>
    <xf numFmtId="0" fontId="0" fillId="0" borderId="2" xfId="2" applyNumberFormat="1" applyFont="1" applyBorder="1" applyAlignment="1"/>
    <xf numFmtId="0" fontId="0" fillId="0" borderId="4" xfId="0" applyNumberFormat="1" applyBorder="1" applyAlignment="1">
      <alignment horizontal="left"/>
    </xf>
    <xf numFmtId="0" fontId="1" fillId="0" borderId="1" xfId="0" applyNumberFormat="1" applyFont="1" applyFill="1" applyBorder="1" applyAlignment="1"/>
    <xf numFmtId="0" fontId="1" fillId="0" borderId="4" xfId="0" applyNumberFormat="1" applyFont="1" applyBorder="1" applyAlignment="1"/>
    <xf numFmtId="0" fontId="1" fillId="0" borderId="2" xfId="0" applyNumberFormat="1" applyFont="1" applyBorder="1" applyAlignment="1"/>
    <xf numFmtId="0" fontId="0" fillId="0" borderId="2" xfId="2" applyNumberFormat="1" applyFont="1" applyBorder="1" applyAlignment="1">
      <alignment vertical="center"/>
    </xf>
    <xf numFmtId="0" fontId="0" fillId="0" borderId="2" xfId="0" applyNumberFormat="1" applyBorder="1" applyAlignment="1">
      <alignment horizontal="left" vertical="center"/>
    </xf>
    <xf numFmtId="0" fontId="0" fillId="0" borderId="3" xfId="0" applyNumberFormat="1" applyFill="1" applyBorder="1" applyAlignment="1">
      <alignment horizontal="left" vertical="center"/>
    </xf>
    <xf numFmtId="0" fontId="0" fillId="0" borderId="3" xfId="0" applyNumberFormat="1" applyBorder="1" applyAlignment="1">
      <alignment horizontal="left" vertical="center"/>
    </xf>
    <xf numFmtId="0" fontId="0" fillId="0" borderId="2" xfId="0" applyNumberFormat="1" applyBorder="1" applyAlignment="1">
      <alignment horizontal="center" vertical="center"/>
    </xf>
    <xf numFmtId="0" fontId="0" fillId="0" borderId="4" xfId="2" applyNumberFormat="1" applyFont="1" applyBorder="1" applyAlignment="1">
      <alignment horizontal="left" vertical="center"/>
    </xf>
    <xf numFmtId="0" fontId="0" fillId="0" borderId="4" xfId="0" applyNumberFormat="1" applyBorder="1" applyAlignment="1">
      <alignment horizontal="left" vertical="center"/>
    </xf>
    <xf numFmtId="0" fontId="0" fillId="0" borderId="0" xfId="0" applyNumberFormat="1" applyFill="1" applyAlignment="1">
      <alignment horizontal="left"/>
    </xf>
    <xf numFmtId="0" fontId="0" fillId="0" borderId="0" xfId="0" applyNumberFormat="1" applyAlignment="1"/>
    <xf numFmtId="0" fontId="5" fillId="0" borderId="0" xfId="0" applyNumberFormat="1" applyFont="1" applyFill="1"/>
    <xf numFmtId="0" fontId="5" fillId="0" borderId="0" xfId="0" applyNumberFormat="1" applyFont="1"/>
    <xf numFmtId="0" fontId="0" fillId="0" borderId="5" xfId="0" applyNumberFormat="1" applyBorder="1" applyAlignment="1">
      <alignment horizontal="center" vertical="center" wrapText="1"/>
    </xf>
    <xf numFmtId="0" fontId="9" fillId="8" borderId="0" xfId="0" applyNumberFormat="1" applyFont="1" applyFill="1" applyBorder="1" applyAlignment="1">
      <alignment horizontal="center" vertical="center" wrapText="1"/>
    </xf>
    <xf numFmtId="0" fontId="9" fillId="0" borderId="0" xfId="0" applyNumberFormat="1" applyFont="1" applyBorder="1" applyAlignment="1">
      <alignment horizontal="center" vertical="center" wrapText="1"/>
    </xf>
    <xf numFmtId="0" fontId="0" fillId="0" borderId="5" xfId="0" applyNumberFormat="1" applyFill="1" applyBorder="1"/>
    <xf numFmtId="0" fontId="9" fillId="8" borderId="0" xfId="0" applyNumberFormat="1" applyFont="1" applyFill="1" applyBorder="1"/>
    <xf numFmtId="0" fontId="9" fillId="0" borderId="0" xfId="0" applyNumberFormat="1" applyFont="1" applyFill="1" applyBorder="1"/>
    <xf numFmtId="0" fontId="5" fillId="8" borderId="0" xfId="0" applyNumberFormat="1" applyFont="1" applyFill="1"/>
    <xf numFmtId="0" fontId="0" fillId="0" borderId="0" xfId="0" applyNumberFormat="1" applyBorder="1"/>
    <xf numFmtId="0" fontId="0" fillId="2" borderId="13" xfId="0" applyNumberFormat="1" applyFill="1" applyBorder="1" applyAlignment="1"/>
    <xf numFmtId="0" fontId="0" fillId="0" borderId="16" xfId="0" applyNumberFormat="1" applyBorder="1" applyAlignment="1"/>
    <xf numFmtId="0" fontId="13" fillId="0" borderId="5" xfId="0" applyNumberFormat="1" applyFont="1" applyFill="1" applyBorder="1" applyAlignment="1">
      <alignment horizontal="center" vertical="center" wrapText="1"/>
    </xf>
    <xf numFmtId="0" fontId="0" fillId="0" borderId="5" xfId="0" applyNumberFormat="1" applyFill="1" applyBorder="1" applyAlignment="1"/>
    <xf numFmtId="0" fontId="0" fillId="0" borderId="0" xfId="0" applyNumberFormat="1" applyBorder="1" applyAlignment="1">
      <alignment horizontal="center" vertical="center" wrapText="1"/>
    </xf>
    <xf numFmtId="1" fontId="9" fillId="0" borderId="0" xfId="0" applyNumberFormat="1" applyFont="1" applyBorder="1" applyAlignment="1">
      <alignment horizontal="center" vertical="center" wrapText="1"/>
    </xf>
    <xf numFmtId="1" fontId="9" fillId="0" borderId="0" xfId="0" applyNumberFormat="1" applyFont="1" applyFill="1"/>
    <xf numFmtId="1" fontId="0" fillId="0" borderId="0" xfId="0" applyNumberFormat="1" applyAlignment="1">
      <alignment horizontal="center" vertical="center"/>
    </xf>
    <xf numFmtId="1" fontId="14" fillId="0" borderId="5" xfId="0" applyNumberFormat="1" applyFont="1" applyFill="1" applyBorder="1"/>
    <xf numFmtId="0" fontId="0" fillId="0" borderId="0" xfId="0" applyNumberFormat="1" applyFill="1"/>
    <xf numFmtId="0" fontId="0" fillId="0" borderId="0" xfId="2" applyNumberFormat="1" applyFont="1"/>
    <xf numFmtId="9" fontId="0" fillId="0" borderId="0" xfId="2" applyFont="1"/>
    <xf numFmtId="9" fontId="1" fillId="0" borderId="5" xfId="2" applyFont="1" applyBorder="1" applyAlignment="1">
      <alignment horizontal="center" vertical="center" wrapText="1"/>
    </xf>
    <xf numFmtId="9" fontId="0" fillId="0" borderId="5" xfId="2" applyFont="1" applyFill="1" applyBorder="1"/>
    <xf numFmtId="9" fontId="0" fillId="0" borderId="0" xfId="2" applyFont="1" applyAlignment="1">
      <alignment horizontal="left"/>
    </xf>
    <xf numFmtId="2" fontId="0" fillId="0" borderId="5" xfId="0" applyNumberFormat="1" applyFill="1" applyBorder="1"/>
    <xf numFmtId="169" fontId="2" fillId="0" borderId="0" xfId="0" applyFont="1" applyBorder="1" applyAlignment="1">
      <alignment horizontal="center" vertical="center"/>
    </xf>
    <xf numFmtId="169" fontId="1" fillId="0" borderId="0" xfId="0" applyFont="1" applyBorder="1" applyAlignment="1">
      <alignment horizontal="center"/>
    </xf>
  </cellXfs>
  <cellStyles count="4">
    <cellStyle name="Normal" xfId="0" builtinId="0"/>
    <cellStyle name="Normal 2" xfId="3"/>
    <cellStyle name="Normal_XINGS" xfId="1"/>
    <cellStyle name="Percent" xfId="2" builtinId="5"/>
  </cellStyles>
  <dxfs count="11">
    <dxf>
      <font>
        <color rgb="FF9C0006"/>
      </font>
      <fill>
        <patternFill>
          <bgColor rgb="FFFFC7CE"/>
        </patternFill>
      </fill>
    </dxf>
    <dxf>
      <fill>
        <patternFill>
          <bgColor rgb="FFFFFF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rgb="FFFF00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E4C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onnections" Target="connection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externalLink" Target="externalLinks/externalLink2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1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552450</xdr:colOff>
          <xdr:row>2</xdr:row>
          <xdr:rowOff>38100</xdr:rowOff>
        </xdr:from>
        <xdr:to>
          <xdr:col>26</xdr:col>
          <xdr:colOff>466725</xdr:colOff>
          <xdr:row>4</xdr:row>
          <xdr:rowOff>190500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Apply Formatting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352425</xdr:colOff>
          <xdr:row>1</xdr:row>
          <xdr:rowOff>28575</xdr:rowOff>
        </xdr:from>
        <xdr:to>
          <xdr:col>15</xdr:col>
          <xdr:colOff>1152525</xdr:colOff>
          <xdr:row>3</xdr:row>
          <xdr:rowOff>66675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Apply Formatting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295275</xdr:colOff>
          <xdr:row>5</xdr:row>
          <xdr:rowOff>47625</xdr:rowOff>
        </xdr:from>
        <xdr:to>
          <xdr:col>0</xdr:col>
          <xdr:colOff>1628775</xdr:colOff>
          <xdr:row>8</xdr:row>
          <xdr:rowOff>66675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5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Email Report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304800</xdr:colOff>
          <xdr:row>9</xdr:row>
          <xdr:rowOff>85725</xdr:rowOff>
        </xdr:from>
        <xdr:to>
          <xdr:col>0</xdr:col>
          <xdr:colOff>1552575</xdr:colOff>
          <xdr:row>12</xdr:row>
          <xdr:rowOff>38100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5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Import Raw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295275</xdr:colOff>
          <xdr:row>12</xdr:row>
          <xdr:rowOff>142875</xdr:rowOff>
        </xdr:from>
        <xdr:to>
          <xdr:col>0</xdr:col>
          <xdr:colOff>1543050</xdr:colOff>
          <xdr:row>15</xdr:row>
          <xdr:rowOff>95250</xdr:rowOff>
        </xdr:to>
        <xdr:sp macro="" textlink="">
          <xdr:nvSpPr>
            <xdr:cNvPr id="6147" name="Button 3" hidden="1">
              <a:extLst>
                <a:ext uri="{63B3BB69-23CF-44E3-9099-C40C66FF867C}">
                  <a14:compatExt spid="_x0000_s6147"/>
                </a:ext>
                <a:ext uri="{FF2B5EF4-FFF2-40B4-BE49-F238E27FC236}">
                  <a16:creationId xmlns:a16="http://schemas.microsoft.com/office/drawing/2014/main" id="{00000000-0008-0000-0500-00000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Update Date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stu\Documents\GitHub\eaglep3\Utilities\Daily%20Observations.xlsb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microsoft.com/office/2006/relationships/xlExternalLinkPath/xlStartup" Target="PERSONAL.XLSB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river"/>
      <sheetName val="List Values"/>
      <sheetName val="Constants"/>
    </sheetNames>
    <sheetDataSet>
      <sheetData sheetId="0"/>
      <sheetData sheetId="1"/>
      <sheetData sheetId="2">
        <row r="4">
          <cell r="B4" t="str">
            <v>d6333d4a04012a730768444271f8ca06482dae87</v>
          </cell>
        </row>
        <row r="5">
          <cell r="B5" t="str">
            <v>https://secure.xorail.net/redmine/issues.json</v>
          </cell>
        </row>
      </sheetData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</sheetNames>
    <definedNames>
      <definedName name="DailyMorningStuff_Enforcements"/>
      <definedName name="DailyMorningStuff_Runs"/>
      <definedName name="ImportRawText"/>
      <definedName name="Mail_workbook_Outlook"/>
      <definedName name="SetTodaysDate"/>
    </definedNames>
    <sheetDataSet>
      <sheetData sheetId="0"/>
    </sheetDataSet>
  </externalBook>
</externalLink>
</file>

<file path=xl/queryTables/queryTable1.xml><?xml version="1.0" encoding="utf-8"?>
<queryTable xmlns="http://schemas.openxmlformats.org/spreadsheetml/2006/main" name="Denver Train Runs 04122016" connectionId="1" autoFormatId="16" applyNumberFormats="0" applyBorderFormats="0" applyFontFormats="0" applyPatternFormats="0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queryTable" Target="../queryTables/queryTable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5.xml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pageSetUpPr fitToPage="1"/>
  </sheetPr>
  <dimension ref="A1:CM275"/>
  <sheetViews>
    <sheetView tabSelected="1" zoomScaleNormal="100" workbookViewId="0"/>
  </sheetViews>
  <sheetFormatPr defaultRowHeight="15" x14ac:dyDescent="0.25"/>
  <cols>
    <col min="1" max="1" width="8" style="34" customWidth="1"/>
    <col min="2" max="2" width="6.140625" style="36" customWidth="1"/>
    <col min="3" max="3" width="13.5703125" style="27" hidden="1" customWidth="1"/>
    <col min="4" max="4" width="16.140625" style="27" hidden="1" customWidth="1"/>
    <col min="5" max="5" width="19.5703125" style="33" hidden="1" customWidth="1"/>
    <col min="6" max="6" width="18.28515625" style="33" customWidth="1"/>
    <col min="7" max="7" width="4.85546875" style="36" hidden="1" customWidth="1"/>
    <col min="8" max="8" width="22.140625" style="33" hidden="1" customWidth="1"/>
    <col min="9" max="9" width="18.5703125" style="33" customWidth="1"/>
    <col min="10" max="10" width="7.28515625" style="36" customWidth="1"/>
    <col min="11" max="11" width="10.42578125" style="27" customWidth="1"/>
    <col min="12" max="12" width="16.28515625" style="27" customWidth="1"/>
    <col min="13" max="13" width="7.42578125" style="35" customWidth="1"/>
    <col min="14" max="14" width="3" style="36" customWidth="1"/>
    <col min="15" max="16" width="3" style="2" customWidth="1"/>
    <col min="17" max="17" width="3.7109375" hidden="1" customWidth="1"/>
    <col min="18" max="18" width="28.42578125" style="164" customWidth="1"/>
    <col min="19" max="19" width="6" style="210" customWidth="1"/>
    <col min="20" max="20" width="3.85546875" style="172" customWidth="1"/>
    <col min="21" max="21" width="5" style="172" customWidth="1"/>
    <col min="22" max="22" width="5.7109375" style="198" customWidth="1"/>
    <col min="23" max="23" width="3.85546875" style="191" customWidth="1"/>
    <col min="24" max="24" width="6.5703125" style="191" customWidth="1"/>
    <col min="25" max="25" width="11.5703125" style="191" bestFit="1" customWidth="1"/>
    <col min="26" max="26" width="7.28515625" style="191" customWidth="1"/>
    <col min="27" max="27" width="9.140625" style="191"/>
    <col min="28" max="28" width="10.7109375" style="52" hidden="1" customWidth="1"/>
    <col min="29" max="29" width="9.42578125" style="49" hidden="1" customWidth="1"/>
    <col min="30" max="30" width="7.85546875" style="2" customWidth="1"/>
    <col min="31" max="31" width="4.5703125" style="75" customWidth="1"/>
    <col min="32" max="32" width="6.28515625" style="72" customWidth="1"/>
    <col min="33" max="33" width="3.7109375" style="172" customWidth="1"/>
    <col min="34" max="34" width="5" style="78" customWidth="1"/>
    <col min="35" max="35" width="5.7109375" style="91" customWidth="1"/>
    <col min="36" max="36" width="9.85546875" customWidth="1"/>
    <col min="37" max="37" width="5" customWidth="1"/>
    <col min="38" max="38" width="4.140625" customWidth="1"/>
    <col min="39" max="39" width="9.140625" style="142"/>
    <col min="41" max="41" width="9.140625" style="172"/>
  </cols>
  <sheetData>
    <row r="1" spans="1:91" s="20" customFormat="1" ht="15.75" thickBot="1" x14ac:dyDescent="0.3">
      <c r="A1" s="34"/>
      <c r="B1" s="36"/>
      <c r="C1" s="27"/>
      <c r="D1" s="27"/>
      <c r="E1" s="33"/>
      <c r="F1" s="33"/>
      <c r="G1" s="36"/>
      <c r="H1" s="33"/>
      <c r="I1" s="33" t="s">
        <v>103</v>
      </c>
      <c r="J1" s="36"/>
      <c r="K1" s="27"/>
      <c r="L1" s="27"/>
      <c r="M1" s="35"/>
      <c r="N1" s="36"/>
      <c r="O1" s="2"/>
      <c r="P1" s="2"/>
      <c r="R1" s="163" t="s">
        <v>104</v>
      </c>
      <c r="S1" s="173"/>
      <c r="T1" s="174"/>
      <c r="U1" s="174"/>
      <c r="V1" s="175"/>
      <c r="W1" s="174"/>
      <c r="X1" s="172"/>
      <c r="Y1" s="191"/>
      <c r="Z1" s="191"/>
      <c r="AA1" s="191"/>
      <c r="AB1" s="52"/>
      <c r="AC1" s="49"/>
      <c r="AD1" s="2"/>
      <c r="AE1" s="1"/>
      <c r="AF1" s="1"/>
      <c r="AG1" s="209"/>
      <c r="AH1" s="47"/>
      <c r="AI1" s="1"/>
      <c r="AM1" s="142"/>
      <c r="AO1" s="172"/>
    </row>
    <row r="2" spans="1:91" s="20" customFormat="1" ht="15.75" thickBot="1" x14ac:dyDescent="0.3">
      <c r="A2" s="34"/>
      <c r="B2" s="36"/>
      <c r="C2" s="27"/>
      <c r="D2" s="27"/>
      <c r="E2" s="33"/>
      <c r="F2" s="33"/>
      <c r="G2" s="36"/>
      <c r="H2" s="33"/>
      <c r="I2" s="57">
        <f>Variables!$A$2</f>
        <v>42917</v>
      </c>
      <c r="J2" s="58"/>
      <c r="K2" s="59"/>
      <c r="L2" s="59"/>
      <c r="M2" s="60" t="s">
        <v>8</v>
      </c>
      <c r="N2" s="61"/>
      <c r="O2" s="62"/>
      <c r="P2" s="2"/>
      <c r="R2" s="57">
        <f>Variables!$A$2</f>
        <v>42917</v>
      </c>
      <c r="S2" s="176"/>
      <c r="T2" s="177"/>
      <c r="U2" s="177"/>
      <c r="V2" s="178" t="s">
        <v>8</v>
      </c>
      <c r="W2" s="179"/>
      <c r="X2" s="180"/>
      <c r="Y2" s="191"/>
      <c r="Z2" s="191"/>
      <c r="AA2" s="191"/>
      <c r="AB2" s="52"/>
      <c r="AC2" s="49"/>
      <c r="AD2" s="2"/>
      <c r="AE2" s="1"/>
      <c r="AF2" s="1"/>
      <c r="AG2" s="209"/>
      <c r="AH2" s="47"/>
      <c r="AI2" s="1"/>
      <c r="AM2" s="142"/>
      <c r="AO2" s="172"/>
    </row>
    <row r="3" spans="1:91" s="20" customFormat="1" ht="15.75" thickBot="1" x14ac:dyDescent="0.3">
      <c r="A3" s="34"/>
      <c r="B3" s="36"/>
      <c r="C3" s="27"/>
      <c r="D3" s="27"/>
      <c r="E3" s="33"/>
      <c r="F3" s="33"/>
      <c r="G3" s="36"/>
      <c r="H3" s="33"/>
      <c r="I3" s="63" t="s">
        <v>10</v>
      </c>
      <c r="J3" s="64"/>
      <c r="K3" s="65"/>
      <c r="L3" s="65"/>
      <c r="M3" s="37" t="s">
        <v>11</v>
      </c>
      <c r="N3" s="38" t="s">
        <v>12</v>
      </c>
      <c r="O3" s="3" t="s">
        <v>13</v>
      </c>
      <c r="P3" s="2"/>
      <c r="R3" s="165" t="s">
        <v>10</v>
      </c>
      <c r="S3" s="181"/>
      <c r="T3" s="182"/>
      <c r="U3" s="182"/>
      <c r="V3" s="183" t="s">
        <v>11</v>
      </c>
      <c r="W3" s="184" t="s">
        <v>12</v>
      </c>
      <c r="X3" s="185" t="s">
        <v>13</v>
      </c>
      <c r="Y3" s="191"/>
      <c r="Z3" s="191"/>
      <c r="AA3" s="191"/>
      <c r="AB3" s="52"/>
      <c r="AC3" s="49"/>
      <c r="AD3" s="2"/>
      <c r="AE3" s="1"/>
      <c r="AF3" s="1"/>
      <c r="AG3" s="209"/>
      <c r="AH3" s="47"/>
      <c r="AI3" s="1"/>
      <c r="AM3" s="142"/>
      <c r="AO3" s="172"/>
    </row>
    <row r="4" spans="1:91" s="20" customFormat="1" ht="15.75" thickBot="1" x14ac:dyDescent="0.3">
      <c r="A4" s="34"/>
      <c r="B4" s="36"/>
      <c r="C4" s="27"/>
      <c r="D4" s="27"/>
      <c r="E4" s="33"/>
      <c r="F4" s="163"/>
      <c r="G4" s="36"/>
      <c r="H4" s="33"/>
      <c r="I4" s="66" t="s">
        <v>14</v>
      </c>
      <c r="J4" s="48">
        <f>SUM(J5:J7)</f>
        <v>146</v>
      </c>
      <c r="K4" s="39"/>
      <c r="L4" s="39"/>
      <c r="M4" s="40" t="s">
        <v>15</v>
      </c>
      <c r="N4" s="38" t="s">
        <v>15</v>
      </c>
      <c r="O4" s="3" t="s">
        <v>15</v>
      </c>
      <c r="P4" s="2"/>
      <c r="R4" s="166" t="s">
        <v>14</v>
      </c>
      <c r="S4" s="186">
        <f>SUM(S5:S7)</f>
        <v>34</v>
      </c>
      <c r="T4" s="187"/>
      <c r="U4" s="187"/>
      <c r="V4" s="183" t="s">
        <v>15</v>
      </c>
      <c r="W4" s="184" t="s">
        <v>15</v>
      </c>
      <c r="X4" s="185" t="s">
        <v>15</v>
      </c>
      <c r="Y4" s="191"/>
      <c r="Z4" s="191"/>
      <c r="AA4" s="191"/>
      <c r="AB4" s="52"/>
      <c r="AC4" s="49"/>
      <c r="AD4" s="2"/>
      <c r="AE4" s="1"/>
      <c r="AF4" s="1"/>
      <c r="AG4" s="209"/>
      <c r="AH4" s="47"/>
      <c r="AI4" s="1"/>
      <c r="AM4" s="142"/>
      <c r="AO4" s="172"/>
    </row>
    <row r="5" spans="1:91" s="20" customFormat="1" ht="15.75" thickBot="1" x14ac:dyDescent="0.3">
      <c r="A5" s="34"/>
      <c r="B5" s="36"/>
      <c r="C5" s="27"/>
      <c r="D5" s="27"/>
      <c r="E5" s="33"/>
      <c r="F5" s="33"/>
      <c r="G5" s="36"/>
      <c r="H5" s="33"/>
      <c r="I5" s="66" t="s">
        <v>17</v>
      </c>
      <c r="J5" s="48">
        <f>COUNTIFS($N$13:$N$9319,"&gt;0",$AG$13:$AG$9319,I1)</f>
        <v>142</v>
      </c>
      <c r="K5" s="39"/>
      <c r="L5" s="39"/>
      <c r="M5" s="40">
        <f>AVERAGEIFS($N$13:$N$9319,$AG$13:$AG$9319,I1)</f>
        <v>37.33321596297737</v>
      </c>
      <c r="N5" s="38">
        <f t="array" ref="N5">MIN(IF($AG$13:$AG$9319=I1,IF(ISNUMBER($N$13:$N$9319),IF($N$13:$N$9319&gt;0,$N$13:$N$9319))))</f>
        <v>34.050000007264316</v>
      </c>
      <c r="O5" s="3">
        <f t="array" ref="O5">MAX(IF($AG$13:$AG$9319=I1,IF(ISNUMBER($N$13:$N$9319),IF($N$13:$N$9319&gt;0,$N$13:$N$9319))))</f>
        <v>44.566666670143604</v>
      </c>
      <c r="P5" s="2"/>
      <c r="R5" s="166" t="s">
        <v>17</v>
      </c>
      <c r="S5" s="186">
        <f>COUNTIFS($N$13:$N$9319,"&gt;0",$AG$13:$AG$9319,R1)</f>
        <v>34</v>
      </c>
      <c r="T5" s="187"/>
      <c r="U5" s="187"/>
      <c r="V5" s="183">
        <f>AVERAGEIFS($N$13:$N$9319,$AG$13:$AG$9319,R1)</f>
        <v>14.628921569605795</v>
      </c>
      <c r="W5" s="184">
        <f t="array" ref="W5">MIN(IF($AG$13:$AG$9319=R1,IF(ISNUMBER($N$13:$N$9319),IF($N$13:$N$9319&gt;0,$N$13:$N$9319))))</f>
        <v>13.450000000884756</v>
      </c>
      <c r="X5" s="185">
        <f t="array" ref="X5">MAX(IF($AG$13:$AG$9319=R1,IF(ISNUMBER($N$13:$N$9319),IF($N$13:$N$9319&gt;0,$N$13:$N$9319))))</f>
        <v>17.133333336096257</v>
      </c>
      <c r="Y5" s="191"/>
      <c r="Z5" s="191"/>
      <c r="AA5" s="191"/>
      <c r="AB5" s="52"/>
      <c r="AC5" s="49"/>
      <c r="AD5" s="2"/>
      <c r="AE5" s="1"/>
      <c r="AF5" s="1"/>
      <c r="AG5" s="209"/>
      <c r="AH5" s="47"/>
      <c r="AI5" s="1"/>
      <c r="AM5" s="142"/>
      <c r="AO5" s="172"/>
    </row>
    <row r="6" spans="1:91" s="20" customFormat="1" ht="15.75" thickBot="1" x14ac:dyDescent="0.3">
      <c r="A6" s="34"/>
      <c r="B6" s="36"/>
      <c r="C6" s="27"/>
      <c r="D6" s="27"/>
      <c r="E6" s="33"/>
      <c r="F6" s="33"/>
      <c r="G6" s="36"/>
      <c r="H6" s="33"/>
      <c r="I6" s="67" t="s">
        <v>43</v>
      </c>
      <c r="J6" s="48">
        <f>COUNT($O$13:$O$118)</f>
        <v>0</v>
      </c>
      <c r="K6" s="39"/>
      <c r="L6" s="39"/>
      <c r="M6" s="40">
        <f>IFERROR(AVERAGE($O$13:$O$118),0)</f>
        <v>0</v>
      </c>
      <c r="N6" s="38">
        <f>MIN($O$13:$O$118)</f>
        <v>0</v>
      </c>
      <c r="O6" s="3">
        <f>MAX($O$13:$O$118)</f>
        <v>0</v>
      </c>
      <c r="P6" s="2"/>
      <c r="R6" s="167" t="s">
        <v>43</v>
      </c>
      <c r="S6" s="186">
        <f>COUNT($O$13:$O$118)</f>
        <v>0</v>
      </c>
      <c r="T6" s="187"/>
      <c r="U6" s="187"/>
      <c r="V6" s="183">
        <f>IFERROR(AVERAGE($O$13:$O$118),0)</f>
        <v>0</v>
      </c>
      <c r="W6" s="184">
        <f>MIN($O$13:$O$118)</f>
        <v>0</v>
      </c>
      <c r="X6" s="185">
        <f>MAX($O$13:$O$118)</f>
        <v>0</v>
      </c>
      <c r="Y6" s="191"/>
      <c r="Z6" s="191"/>
      <c r="AA6" s="191"/>
      <c r="AB6" s="52"/>
      <c r="AC6" s="49"/>
      <c r="AD6" s="2"/>
      <c r="AE6" s="1"/>
      <c r="AF6" s="1"/>
      <c r="AG6" s="209"/>
      <c r="AH6" s="47"/>
      <c r="AI6" s="1"/>
      <c r="AM6" s="142"/>
      <c r="AO6" s="172"/>
    </row>
    <row r="7" spans="1:91" s="20" customFormat="1" ht="15.75" thickBot="1" x14ac:dyDescent="0.3">
      <c r="A7" s="34"/>
      <c r="B7" s="36"/>
      <c r="C7" s="27"/>
      <c r="D7" s="27"/>
      <c r="E7" s="33"/>
      <c r="F7" s="33"/>
      <c r="G7" s="36"/>
      <c r="H7" s="33"/>
      <c r="I7" s="68" t="s">
        <v>9</v>
      </c>
      <c r="J7" s="48">
        <f>COUNTIFS($P$13:$P$9319,"&gt;0",$AG$13:$AG$9319,I1)</f>
        <v>4</v>
      </c>
      <c r="K7" s="39"/>
      <c r="L7" s="39"/>
      <c r="M7" s="38" t="s">
        <v>15</v>
      </c>
      <c r="N7" s="38" t="s">
        <v>15</v>
      </c>
      <c r="O7" s="3" t="s">
        <v>15</v>
      </c>
      <c r="P7" s="2"/>
      <c r="R7" s="168" t="s">
        <v>9</v>
      </c>
      <c r="S7" s="186">
        <f>COUNTIFS($P$13:$P$9319,"&gt;0",$AG$13:$AG$9319,R1)</f>
        <v>0</v>
      </c>
      <c r="T7" s="187"/>
      <c r="U7" s="187"/>
      <c r="V7" s="183" t="s">
        <v>15</v>
      </c>
      <c r="W7" s="184" t="s">
        <v>15</v>
      </c>
      <c r="X7" s="185" t="s">
        <v>15</v>
      </c>
      <c r="Y7" s="191"/>
      <c r="Z7" s="191"/>
      <c r="AA7" s="191"/>
      <c r="AB7" s="52"/>
      <c r="AC7" s="49"/>
      <c r="AD7" s="2"/>
      <c r="AE7" s="1"/>
      <c r="AF7" s="1"/>
      <c r="AG7" s="209"/>
      <c r="AH7" s="47"/>
      <c r="AI7" s="1"/>
      <c r="AM7" s="142"/>
      <c r="AO7" s="172"/>
    </row>
    <row r="8" spans="1:91" s="20" customFormat="1" ht="15.75" thickBot="1" x14ac:dyDescent="0.3">
      <c r="A8" s="34"/>
      <c r="B8" s="36"/>
      <c r="C8" s="27"/>
      <c r="D8" s="27"/>
      <c r="E8" s="33"/>
      <c r="F8" s="33"/>
      <c r="G8" s="36"/>
      <c r="H8" s="33"/>
      <c r="I8" s="66" t="s">
        <v>16</v>
      </c>
      <c r="J8" s="48">
        <f>J5</f>
        <v>142</v>
      </c>
      <c r="K8" s="39"/>
      <c r="L8" s="39"/>
      <c r="M8" s="40">
        <f>M5</f>
        <v>37.33321596297737</v>
      </c>
      <c r="N8" s="38">
        <f>N5</f>
        <v>34.050000007264316</v>
      </c>
      <c r="O8" s="3">
        <f>O5</f>
        <v>44.566666670143604</v>
      </c>
      <c r="P8" s="2"/>
      <c r="R8" s="166" t="s">
        <v>16</v>
      </c>
      <c r="S8" s="186">
        <f>S5</f>
        <v>34</v>
      </c>
      <c r="T8" s="187"/>
      <c r="U8" s="187"/>
      <c r="V8" s="183">
        <f>V5</f>
        <v>14.628921569605795</v>
      </c>
      <c r="W8" s="184">
        <f>W5</f>
        <v>13.450000000884756</v>
      </c>
      <c r="X8" s="185">
        <f>X5</f>
        <v>17.133333336096257</v>
      </c>
      <c r="Y8" s="191"/>
      <c r="Z8" s="191"/>
      <c r="AA8" s="191"/>
      <c r="AB8" s="52"/>
      <c r="AC8" s="49"/>
      <c r="AD8" s="2"/>
      <c r="AE8" s="1"/>
      <c r="AF8" s="1"/>
      <c r="AG8" s="209"/>
      <c r="AH8" s="47"/>
      <c r="AI8" s="1"/>
      <c r="AM8" s="142"/>
      <c r="AO8" s="172"/>
    </row>
    <row r="9" spans="1:91" s="20" customFormat="1" ht="15.75" thickBot="1" x14ac:dyDescent="0.3">
      <c r="A9" s="34"/>
      <c r="B9" s="36"/>
      <c r="C9" s="27"/>
      <c r="D9" s="27"/>
      <c r="E9" s="33"/>
      <c r="F9" s="33"/>
      <c r="G9" s="36"/>
      <c r="H9" s="33"/>
      <c r="I9" s="66" t="s">
        <v>19</v>
      </c>
      <c r="J9" s="123">
        <f>J8/J4</f>
        <v>0.9726027397260274</v>
      </c>
      <c r="K9" s="41"/>
      <c r="L9" s="41"/>
      <c r="M9" s="69"/>
      <c r="N9" s="36"/>
      <c r="O9" s="70"/>
      <c r="P9" s="2"/>
      <c r="R9" s="166" t="s">
        <v>19</v>
      </c>
      <c r="S9" s="214">
        <f>S8/S4</f>
        <v>1</v>
      </c>
      <c r="T9" s="174"/>
      <c r="U9" s="174"/>
      <c r="V9" s="188"/>
      <c r="W9" s="174"/>
      <c r="X9" s="189"/>
      <c r="Y9" s="191"/>
      <c r="Z9" s="191"/>
      <c r="AA9" s="191"/>
      <c r="AB9" s="52"/>
      <c r="AC9" s="49"/>
      <c r="AD9" s="2"/>
      <c r="AE9" s="1"/>
      <c r="AF9" s="1"/>
      <c r="AG9" s="209"/>
      <c r="AH9" s="47"/>
      <c r="AI9" s="1"/>
      <c r="AM9" s="142"/>
      <c r="AO9" s="172"/>
    </row>
    <row r="10" spans="1:91" s="20" customFormat="1" x14ac:dyDescent="0.25">
      <c r="A10" s="34"/>
      <c r="B10" s="36"/>
      <c r="C10" s="27"/>
      <c r="D10" s="27"/>
      <c r="E10" s="33"/>
      <c r="F10" s="33"/>
      <c r="G10" s="36"/>
      <c r="H10" s="33"/>
      <c r="I10" s="33"/>
      <c r="J10" s="36"/>
      <c r="K10" s="27"/>
      <c r="L10" s="27"/>
      <c r="M10" s="35"/>
      <c r="N10" s="36"/>
      <c r="O10" s="2"/>
      <c r="P10" s="2"/>
      <c r="R10" s="164"/>
      <c r="S10" s="210"/>
      <c r="T10" s="172"/>
      <c r="U10" s="172"/>
      <c r="V10" s="190"/>
      <c r="W10" s="191"/>
      <c r="X10" s="191"/>
      <c r="Y10" s="191"/>
      <c r="Z10" s="191"/>
      <c r="AA10" s="191"/>
      <c r="AB10" s="52"/>
      <c r="AC10" s="49"/>
      <c r="AD10" s="2"/>
      <c r="AE10" s="1"/>
      <c r="AF10" s="1"/>
      <c r="AG10" s="209"/>
      <c r="AH10" s="47"/>
      <c r="AI10" s="1"/>
      <c r="AM10" s="142"/>
      <c r="AO10" s="172"/>
    </row>
    <row r="11" spans="1:91" ht="16.5" thickBot="1" x14ac:dyDescent="0.3">
      <c r="A11" s="216" t="str">
        <f>"Eagle P3 System Performance - "&amp;TEXT(Variables!A2,"yyyy-mm-dd")</f>
        <v>Eagle P3 System Performance - 2017-07-01</v>
      </c>
      <c r="B11" s="216"/>
      <c r="C11" s="216"/>
      <c r="D11" s="216"/>
      <c r="E11" s="216"/>
      <c r="F11" s="216"/>
      <c r="G11" s="216"/>
      <c r="H11" s="216"/>
      <c r="I11" s="216"/>
      <c r="J11" s="216"/>
      <c r="K11" s="216"/>
      <c r="L11" s="216"/>
      <c r="M11" s="216"/>
      <c r="N11" s="216"/>
      <c r="O11" s="216"/>
      <c r="P11" s="216"/>
      <c r="S11" s="211">
        <f>AVERAGE(S13:S93)</f>
        <v>0.9978902953586497</v>
      </c>
      <c r="V11" s="190"/>
      <c r="AE11" s="1"/>
      <c r="AF11" s="1"/>
      <c r="AG11" s="209"/>
      <c r="AH11" s="47"/>
      <c r="AI11" s="1"/>
    </row>
    <row r="12" spans="1:91" s="5" customFormat="1" ht="69" customHeight="1" thickBot="1" x14ac:dyDescent="0.3">
      <c r="A12" s="14" t="s">
        <v>0</v>
      </c>
      <c r="B12" s="18" t="s">
        <v>44</v>
      </c>
      <c r="C12" s="15" t="s">
        <v>26</v>
      </c>
      <c r="D12" s="15" t="s">
        <v>1</v>
      </c>
      <c r="E12" s="16" t="s">
        <v>2</v>
      </c>
      <c r="F12" s="16" t="s">
        <v>3</v>
      </c>
      <c r="G12" s="18" t="s">
        <v>4</v>
      </c>
      <c r="H12" s="16" t="s">
        <v>5</v>
      </c>
      <c r="I12" s="16" t="s">
        <v>6</v>
      </c>
      <c r="J12" s="18" t="s">
        <v>7</v>
      </c>
      <c r="K12" s="71" t="s">
        <v>54</v>
      </c>
      <c r="L12" s="15" t="s">
        <v>47</v>
      </c>
      <c r="M12" s="17" t="s">
        <v>8</v>
      </c>
      <c r="N12" s="15" t="s">
        <v>41</v>
      </c>
      <c r="O12" s="18" t="s">
        <v>42</v>
      </c>
      <c r="P12" s="18" t="s">
        <v>18</v>
      </c>
      <c r="Q12" s="19" t="s">
        <v>46</v>
      </c>
      <c r="R12" s="169" t="s">
        <v>24</v>
      </c>
      <c r="S12" s="212" t="s">
        <v>63</v>
      </c>
      <c r="T12" s="192" t="s">
        <v>64</v>
      </c>
      <c r="U12" s="192" t="s">
        <v>65</v>
      </c>
      <c r="V12" s="193" t="s">
        <v>45</v>
      </c>
      <c r="W12" s="194" t="s">
        <v>23</v>
      </c>
      <c r="X12" s="194" t="s">
        <v>48</v>
      </c>
      <c r="Y12" s="194" t="s">
        <v>20</v>
      </c>
      <c r="Z12" s="194" t="s">
        <v>21</v>
      </c>
      <c r="AA12" s="194" t="s">
        <v>22</v>
      </c>
      <c r="AB12" s="53" t="s">
        <v>39</v>
      </c>
      <c r="AC12" s="50" t="s">
        <v>40</v>
      </c>
      <c r="AD12" s="205" t="s">
        <v>82</v>
      </c>
      <c r="AE12" s="76" t="s">
        <v>89</v>
      </c>
      <c r="AF12" s="73" t="s">
        <v>94</v>
      </c>
      <c r="AG12" s="204" t="s">
        <v>105</v>
      </c>
      <c r="AH12" s="79" t="s">
        <v>107</v>
      </c>
      <c r="AI12" s="95" t="s">
        <v>143</v>
      </c>
      <c r="AJ12" s="46" t="s">
        <v>144</v>
      </c>
      <c r="AK12" s="46" t="s">
        <v>117</v>
      </c>
      <c r="AL12" s="46" t="s">
        <v>145</v>
      </c>
      <c r="AM12" s="143" t="s">
        <v>195</v>
      </c>
      <c r="AN12" s="46" t="s">
        <v>344</v>
      </c>
      <c r="AO12" s="204"/>
      <c r="AP12" s="4"/>
      <c r="AQ12" s="4"/>
      <c r="AR12" s="4"/>
      <c r="AS12" s="4"/>
      <c r="AT12" s="4"/>
      <c r="AU12" s="4"/>
      <c r="AV12" s="4"/>
      <c r="AW12" s="4"/>
      <c r="AX12" s="4"/>
      <c r="AY12" s="4"/>
      <c r="AZ12" s="4"/>
      <c r="BA12" s="4"/>
      <c r="BB12" s="4"/>
      <c r="BC12" s="4"/>
      <c r="BD12" s="4"/>
      <c r="BE12" s="4"/>
      <c r="BF12" s="4"/>
      <c r="BG12" s="4"/>
      <c r="BH12" s="4"/>
      <c r="BI12" s="4"/>
      <c r="BJ12" s="4"/>
      <c r="BK12" s="4"/>
      <c r="BL12" s="4"/>
      <c r="BM12" s="4"/>
      <c r="BN12" s="4"/>
      <c r="BO12" s="4"/>
      <c r="BP12" s="4"/>
      <c r="BQ12" s="4"/>
      <c r="BR12" s="4"/>
      <c r="BS12" s="4"/>
      <c r="BT12" s="4"/>
      <c r="BU12" s="4"/>
      <c r="BV12" s="4"/>
      <c r="BW12" s="4"/>
      <c r="BX12" s="4"/>
      <c r="BY12" s="4"/>
      <c r="BZ12" s="4"/>
      <c r="CA12" s="4"/>
      <c r="CB12" s="4"/>
      <c r="CC12" s="4"/>
      <c r="CD12" s="4"/>
      <c r="CE12" s="4"/>
      <c r="CF12" s="4"/>
      <c r="CG12" s="4"/>
      <c r="CH12" s="4"/>
      <c r="CI12" s="4"/>
      <c r="CJ12" s="4"/>
      <c r="CK12" s="4"/>
      <c r="CL12" s="4"/>
      <c r="CM12" s="4"/>
    </row>
    <row r="13" spans="1:91" s="1" customFormat="1" x14ac:dyDescent="0.25">
      <c r="A13" s="32" t="s">
        <v>693</v>
      </c>
      <c r="B13" s="7">
        <v>4008</v>
      </c>
      <c r="C13" s="21" t="s">
        <v>202</v>
      </c>
      <c r="D13" s="21" t="s">
        <v>347</v>
      </c>
      <c r="E13" s="13">
        <v>42917.130196759259</v>
      </c>
      <c r="F13" s="13">
        <v>42917.135995370372</v>
      </c>
      <c r="G13" s="7">
        <v>1</v>
      </c>
      <c r="H13" s="21" t="s">
        <v>551</v>
      </c>
      <c r="I13" s="13">
        <v>42917.160520833335</v>
      </c>
      <c r="J13" s="7">
        <v>0</v>
      </c>
      <c r="K13" s="89" t="str">
        <f t="shared" ref="K13:K76" si="0">IF(ISEVEN(B13),(B13-1)&amp;"/"&amp;B13,B13&amp;"/"&amp;(B13+1))</f>
        <v>4007/4008</v>
      </c>
      <c r="L13" s="21" t="str">
        <f>VLOOKUP(A13,'Trips&amp;Operators'!$C$1:$G$99999,5,FALSE)</f>
        <v>MAELZER KURT</v>
      </c>
      <c r="M13" s="6">
        <f t="shared" ref="M13:M76" si="1">I13-F13</f>
        <v>2.4525462962628808E-2</v>
      </c>
      <c r="N13" s="7">
        <f>24*60*SUM($M13:$M13)</f>
        <v>35.316666666185483</v>
      </c>
      <c r="O13" s="7"/>
      <c r="P13" s="7"/>
      <c r="Q13" s="22"/>
      <c r="R13" s="170"/>
      <c r="S13" s="213">
        <f>SUM(U13:U13)/IF(AG13="EC",12,1)</f>
        <v>1</v>
      </c>
      <c r="T13" s="195" t="str">
        <f t="shared" ref="T13:T76" si="2">IF(ISEVEN(LEFT(AD13,4)),"Southbound","NorthBound")</f>
        <v>NorthBound</v>
      </c>
      <c r="U13" s="195">
        <f>IF(AG13="EC",COUNTIFS(Variables!$M$2:$M$19,IF(T13="NorthBound","&gt;=","&lt;=")&amp;Y13,Variables!$M$2:$M$19,IF(T13="NorthBound","&lt;=","&gt;=")&amp;Z13),COUNTIFS(Variables!$P$2:$P$19,IF(T13="NorthBound","&gt;=","&lt;=")&amp;Y13,Variables!$P$2:$P$19,IF(T13="NorthBound","&lt;=","&gt;=")&amp;Z13))</f>
        <v>12</v>
      </c>
      <c r="V13" s="196" t="str">
        <f t="shared" ref="V13:V76" si="3">"https://d0f6bd738d7f1b3e5a7ca70fe4ff75f0.us-east-1.aws.found.io/app/kibana#/discover/Steve-Slow-Train-Analysis-(2080s-and-2083s)?_g="&amp;"(refreshInterval:(display:Off,pause:!f,section:0,value:0),time:(from:'"&amp;TEXT(E13-1/24,"yyyy-MM-DDThh:mm:ss")&amp;utc_offset&amp;"00"&amp;"',mode:absolute,to:'"&amp;TEXT(I13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13&amp;"%22')),sort:!(Time.ISO8601,asc))"</f>
        <v>https://d0f6bd738d7f1b3e5a7ca70fe4ff75f0.us-east-1.aws.found.io/app/kibana#/discover/Steve-Slow-Train-Analysis-(2080s-and-2083s)?_g=(refreshInterval:(display:Off,pause:!f,section:0,value:0),time:(from:'2017-07-01T02:07:29-0600',mode:absolute,to:'2017-07-01T04:51:09-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13" s="197" t="str">
        <f>IF(AA13&lt;VLOOKUP(AG13,Variables!$AC$3:$AD$8,2,FALSE),"Y","N")</f>
        <v>N</v>
      </c>
      <c r="X13" s="197" t="e">
        <f t="shared" ref="X13:X44" si="4">VALUE(LEFT(AD13,4))-VALUE(LEFT(AD12,4))</f>
        <v>#VALUE!</v>
      </c>
      <c r="Y13" s="197">
        <f t="shared" ref="Y13:Y76" si="5">RIGHT(D13,LEN(D13)-4)/10000</f>
        <v>4.4600000000000001E-2</v>
      </c>
      <c r="Z13" s="197">
        <f t="shared" ref="Z13:Z76" si="6">RIGHT(H13,LEN(H13)-4)/10000</f>
        <v>23.332000000000001</v>
      </c>
      <c r="AA13" s="197">
        <f t="shared" ref="AA13:AA76" si="7">ABS(Z13-Y13)</f>
        <v>23.287400000000002</v>
      </c>
      <c r="AB13" s="54" t="e">
        <f>VLOOKUP(A13,Enforcements!$C$7:$K$13,8,0)</f>
        <v>#N/A</v>
      </c>
      <c r="AC13" s="51" t="e">
        <f>VLOOKUP(A13,Enforcements!$C$7:$E$13,3,0)</f>
        <v>#N/A</v>
      </c>
      <c r="AD13" s="206">
        <f t="shared" ref="AD13:AD76" si="8">VALUE(LEFT(A13,LEN(A13)-3))</f>
        <v>101</v>
      </c>
      <c r="AE13" s="77" t="str">
        <f t="shared" ref="AE13:AE76" si="9">"aws s3 cp "&amp;s3_bucket&amp;"/RTDC"&amp;B13&amp;"/ "&amp;search_path&amp;"\RTDC"&amp;B13&amp;"\"&amp;TEXT(F13,"YYYY-MM-DD")&amp;" --exclude ""*"" --recursive --include ""*"&amp;TEXT(F13,"YYYYMMDD")&amp;"*"" &amp; """&amp;walkandungz&amp;""" "&amp;search_path&amp;"\RTDC"&amp;B13&amp;"\"&amp;TEXT(F13,"YYYY-MM-DD")
&amp;" &amp; "&amp;"aws s3 cp "&amp;s3_bucket&amp;"/RTDC"&amp;B13&amp;"/ "&amp;search_path&amp;"\RTDC"&amp;B13&amp;"\"&amp;TEXT(F13+1,"YYYY-MM-DD")&amp;" --exclude ""*"" --recursive --include ""*"&amp;TEXT(F13+1,"YYYYMMDD")&amp;"*"" &amp; """&amp;walkandungz&amp;""" "&amp;search_path&amp;"\RTDC"&amp;B13&amp;"\"&amp;TEXT(F13+1,"YYYY-MM-DD")</f>
        <v>aws s3 cp s3://rtdc.mdm.uploadarchive.raw/RTDC4008/ "%USERPROFILE%\AppData\Local\Temp\OnboardLogs"\RTDC4008\2017-07-01 --exclude "*" --recursive --include "*20170701*" &amp; "%USERPROFILE%\Documents\GitHub\mrs-test-scripts\Headless Mode &amp; Sideloading\WalkAndUnGZ.bat" "%USERPROFILE%\AppData\Local\Temp\OnboardLogs"\RTDC4008\2017-07-01 &amp; aws s3 cp s3://rtdc.mdm.uploadarchive.raw/RTDC4008/ "%USERPROFILE%\AppData\Local\Temp\OnboardLogs"\RTDC4008\2017-07-02 --exclude "*" --recursive --include "*20170702*" &amp; "%USERPROFILE%\Documents\GitHub\mrs-test-scripts\Headless Mode &amp; Sideloading\WalkAndUnGZ.bat" "%USERPROFILE%\AppData\Local\Temp\OnboardLogs"\RTDC4008\2017-07-02</v>
      </c>
      <c r="AF13" s="74" t="str">
        <f t="shared" ref="AF13:AF76" si="10">astrogrep_path&amp;" /e /r /s /spath="&amp;search_path&amp;" /stypes=""app*"&amp;B13&amp;"*"&amp;TEXT(I13-utc_offset/24,"YYYYMMDD")&amp;"*"" /stext="" "&amp;TEXT(I13-utc_offset/24,"HH")&amp;search_regexp&amp;""""</f>
        <v>"C:\Program Files (x86)\AstroGrep\AstroGrep.exe" /e /r /s /spath="%USERPROFILE%\AppData\Local\Temp\OnboardLogs" /stypes="app*4008*20170701*" /stext=" 09:.+((SYSTEM_STATE.+slice.+state.+changed )|(ment ac)|(multiple cpu faults)|(system.+state.+changed )|(\[timeout)|(PRM\|1\|D)|(kpr)|(kdp)|(train st.+moving)|(\|lc)|(penalty))"</v>
      </c>
      <c r="AG13" s="209" t="str">
        <f t="shared" ref="AG13:AG76" si="11">DetSubdiv(A13)</f>
        <v>EC</v>
      </c>
      <c r="AH13" s="78" t="str">
        <f t="shared" ref="AH13" si="12">refinertdcruntimes&amp;" --tripid "&amp;A13&amp;" --locoid "&amp;B13&amp;" --swversion "&amp;C13&amp;" --startMP "&amp;D13&amp;" --initTime "&amp;TEXT(E13,"yyyy-mm-ddTHH:MM:SS")&amp;" --startdatetime "&amp;TEXT(F13,"yyyy-mm-ddTHH:MM:SS")&amp;" --delay "&amp;G13&amp;" --endMP "&amp;H13&amp;" --enddatetime "&amp;TEXT(I13,"yyyy-mm-ddTHH:MM:SS")&amp;" --enforcementcount "&amp;J13&amp;IF(outputrefinedruntimes," &gt;&gt;"&amp;RefinedRTDCRunTimesOutputFile,"")</f>
        <v>"%USERPROFILE%\Documents\GitHub\eaglep3\Utilities\RefineRTDCRunTimes.py" --tripid 101-01 --locoid 4008 --swversion DE.1.0.9.0 --startMP 204:446 --initTime 2017-07-01T03:07:29 --startdatetime 2017-07-01T03:15:50 --delay 1 --endMP 204:233320 --enddatetime 2017-07-01T03:51:09 --enforcementcount 0 &gt;&gt;C:\Users\stu\Documents\GitHub\eaglep3-reporting\EC\2017-07-01-refined-times.txt</v>
      </c>
      <c r="AI13" s="96" t="str">
        <f t="shared" ref="AI13" si="13">"echo {""issue"":{""subject"":"""&amp;R13&amp;""",""project_id"":79,""tracker_id"":40,""status_id"":"&amp;redmine_status&amp;",""priority_id"":"&amp;redmine_priority&amp;",""assigned_to_id"":"&amp;redmine_assignee&amp;",""start_date"":"""&amp;TEXT(I13,"YYYY-mm-dd")&amp;""",""description"":"""&amp;AJ13&amp;""",""custom_fields"":[{""id"":1,""name"":""Subdivision"",""value"":"""&amp;AG13&amp;"""},{""id"":4,""name"":""Milepost"",""value"":"""&amp;Z13&amp;"""},{""id"":17,""name"":""Train ID"",""value"":"""&amp;A13&amp;"""},{""id"":16,""name"":""Locomotive ID"",""value"":"""&amp;B13&amp;"""},{""id"":130,""name"":""Impact"",""value"":"""&amp;AK13&amp;"""},{""id"":150,""name"":""Time of Event (Mountain Time)"",""value"":"""&amp;TEXT(I13,"hh:mm:ss")&amp;"""},{""id"":151,""name"":""Denver Issue ID"",""value"":"""&amp;"""},{""id"":178,""name"":""Operational Impact"",""value"":"""&amp;redmine_op_impact&amp;"""},{""id"":179,""name"":""Denver Segment Assigned"",""value"":"""&amp;AL13&amp;"""}]}}"&amp;"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{"issue":{"subject":"","project_id":79,"tracker_id":40,"status_id":1,"priority_id":2,"assigned_to_id":23,"start_date":"2017-07-01","description":"","custom_fields":[{"id":1,"name":"Subdivision","value":"EC"},{"id":4,"name":"Milepost","value":"23.332"},{"id":17,"name":"Train ID","value":"101-01"},{"id":16,"name":"Locomotive ID","value":"4008"},{"id":130,"name":"Impact","value":""},{"id":150,"name":"Time of Event (Mountain Time)","value":"03:51:09"},{"id":151,"name":"Denver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" s="20"/>
      <c r="AK13" s="47"/>
      <c r="AL13" s="47"/>
      <c r="AM13" s="142" t="str">
        <f t="shared" ref="AM13" si="14">"start /low /b "&amp;dls3logs&amp;" --loco "&amp;B13&amp;" --day "&amp;TEXT(F13,"YYYY-MM-DD")</f>
        <v>start /low /b %USERPROFILE%\Documents\GitHub\eaglep3\Utilities\DownloadLogsFromS3.py --loco 4008 --day 2017-07-01</v>
      </c>
      <c r="AN13" s="151" t="str">
        <f t="shared" ref="AN13" si="15">"echo {""issue"":{""subject"":"""&amp;R13&amp;""",""project_id"":30,""tracker_id"":4,""status_id"":"&amp;redmine_status_wcr&amp;",""priority_id"":"&amp;redmine_priority_wcr&amp;",""assigned_to_id"":"&amp;redmine_assignee_wcr&amp;",""start_date"":"""&amp;TEXT(I13-utc_offset/24,"YYYY-mm-dd")&amp;""",""description"":"""&amp;AJ13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ID"",""value"":"""&amp;B13&amp;"""},{""id"":20,""name"":""RR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UTC"",""value"":"""&amp;TEXT(I13-utc_offset/24,"YYYY-MM-DD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{"issue":{"subject":"","project_id":30,"tracker_id":4,"status_id":1,"priority_id":1,"assigned_to_id":10,"start_date":"2017-07-01","description":"","custom_fields":[{"id":30,"name":"Category","value":"Issue"},{"id":3,"name":"Functional Component","value":"Onboard"},{"id":31,"name":"Version","value":"N/A"},{"id":8,"name":"Reporting RR","value":"WABTEC"},{"id":27,"name":"Locomotive ID","value":"4008"},{"id":20,"name":"RR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UTC","value":"2017-07-01 09:51:09"},{"id":29,"name":"Sharepoint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" s="172"/>
      <c r="AP13" s="20"/>
      <c r="AQ13" s="20"/>
      <c r="AR13" s="20"/>
      <c r="AS13" s="20"/>
      <c r="AT13" s="20"/>
      <c r="AU13" s="20"/>
      <c r="AV13" s="20"/>
      <c r="AW13" s="20"/>
      <c r="AX13" s="20"/>
      <c r="AY13" s="20"/>
      <c r="AZ13" s="20"/>
      <c r="BA13" s="20"/>
      <c r="BB13" s="20"/>
      <c r="BC13" s="20"/>
      <c r="BD13" s="20"/>
      <c r="BE13" s="20"/>
      <c r="BF13" s="20"/>
      <c r="BG13" s="20"/>
      <c r="BH13" s="20"/>
      <c r="BI13" s="20"/>
      <c r="BJ13" s="20"/>
      <c r="BK13" s="20"/>
      <c r="BL13" s="20"/>
      <c r="BM13" s="20"/>
      <c r="BN13" s="20"/>
      <c r="BO13" s="20"/>
      <c r="BP13" s="20"/>
      <c r="BQ13" s="20"/>
      <c r="BR13" s="20"/>
      <c r="BS13" s="20"/>
      <c r="BT13" s="20"/>
      <c r="BU13" s="20"/>
      <c r="BV13" s="20"/>
      <c r="BW13" s="20"/>
      <c r="BX13" s="20"/>
      <c r="BY13" s="20"/>
      <c r="BZ13" s="20"/>
      <c r="CA13" s="20"/>
      <c r="CB13" s="20"/>
      <c r="CC13" s="20"/>
      <c r="CD13" s="20"/>
      <c r="CE13" s="20"/>
      <c r="CF13" s="20"/>
      <c r="CG13" s="20"/>
      <c r="CH13" s="20"/>
      <c r="CI13" s="20"/>
      <c r="CJ13" s="20"/>
      <c r="CK13" s="20"/>
      <c r="CL13" s="20"/>
      <c r="CM13" s="20"/>
    </row>
    <row r="14" spans="1:91" s="1" customFormat="1" x14ac:dyDescent="0.25">
      <c r="A14" s="32" t="s">
        <v>699</v>
      </c>
      <c r="B14" s="7">
        <v>4007</v>
      </c>
      <c r="C14" s="21" t="s">
        <v>202</v>
      </c>
      <c r="D14" s="21" t="s">
        <v>478</v>
      </c>
      <c r="E14" s="13">
        <v>42917.165775462963</v>
      </c>
      <c r="F14" s="13">
        <v>42917.175173611111</v>
      </c>
      <c r="G14" s="7">
        <v>1</v>
      </c>
      <c r="H14" s="21" t="s">
        <v>447</v>
      </c>
      <c r="I14" s="13">
        <v>42917.201516203706</v>
      </c>
      <c r="J14" s="7">
        <v>0</v>
      </c>
      <c r="K14" s="89" t="str">
        <f t="shared" si="0"/>
        <v>4007/4008</v>
      </c>
      <c r="L14" s="21" t="str">
        <f>VLOOKUP(A14,'Trips&amp;Operators'!$C$1:$G$99999,5,FALSE)</f>
        <v>MAELZER KURT</v>
      </c>
      <c r="M14" s="6">
        <f t="shared" si="1"/>
        <v>2.6342592595028691E-2</v>
      </c>
      <c r="N14" s="7">
        <f>24*60*SUM($M14:$M14)</f>
        <v>37.933333336841315</v>
      </c>
      <c r="O14" s="7"/>
      <c r="P14" s="7"/>
      <c r="Q14" s="22"/>
      <c r="R14" s="170"/>
      <c r="S14" s="213">
        <f>SUM(U14:U14)/IF(AG14="EC",12,1)</f>
        <v>1</v>
      </c>
      <c r="T14" s="195" t="str">
        <f t="shared" si="2"/>
        <v>Southbound</v>
      </c>
      <c r="U14" s="195">
        <f>IF(AG14="EC",COUNTIFS(Variables!$M$2:$M$19,IF(T14="NorthBound","&gt;=","&lt;=")&amp;Y14,Variables!$M$2:$M$19,IF(T14="NorthBound","&lt;=","&gt;=")&amp;Z14),COUNTIFS(Variables!$P$2:$P$19,IF(T14="NorthBound","&gt;=","&lt;=")&amp;Y14,Variables!$P$2:$P$19,IF(T14="NorthBound","&lt;=","&gt;=")&amp;Z14))</f>
        <v>12</v>
      </c>
      <c r="V14" s="196" t="str">
        <f t="shared" si="3"/>
        <v>https://d0f6bd738d7f1b3e5a7ca70fe4ff75f0.us-east-1.aws.found.io/app/kibana#/discover/Steve-Slow-Train-Analysis-(2080s-and-2083s)?_g=(refreshInterval:(display:Off,pause:!f,section:0,value:0),time:(from:'2017-07-01T02:58:43-0600',mode:absolute,to:'2017-07-01T05:50:11-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14" s="197" t="str">
        <f>IF(AA14&lt;VLOOKUP(AG14,Variables!$AC$3:$AD$8,2,FALSE),"Y","N")</f>
        <v>N</v>
      </c>
      <c r="X14" s="197">
        <f t="shared" si="4"/>
        <v>1</v>
      </c>
      <c r="Y14" s="197">
        <f t="shared" si="5"/>
        <v>23.298400000000001</v>
      </c>
      <c r="Z14" s="197">
        <f t="shared" si="6"/>
        <v>1.38E-2</v>
      </c>
      <c r="AA14" s="197">
        <f t="shared" si="7"/>
        <v>23.284600000000001</v>
      </c>
      <c r="AB14" s="54" t="e">
        <f>VLOOKUP(A14,Enforcements!$C$7:$K$13,8,0)</f>
        <v>#N/A</v>
      </c>
      <c r="AC14" s="51" t="e">
        <f>VLOOKUP(A14,Enforcements!$C$7:$E$13,3,0)</f>
        <v>#N/A</v>
      </c>
      <c r="AD14" s="206">
        <f t="shared" si="8"/>
        <v>102</v>
      </c>
      <c r="AE14" s="77" t="str">
        <f t="shared" si="9"/>
        <v>aws s3 cp s3://rtdc.mdm.uploadarchive.raw/RTDC4007/ "%USERPROFILE%\AppData\Local\Temp\OnboardLogs"\RTDC4007\2017-07-01 --exclude "*" --recursive --include "*20170701*" &amp; "%USERPROFILE%\Documents\GitHub\mrs-test-scripts\Headless Mode &amp; Sideloading\WalkAndUnGZ.bat" "%USERPROFILE%\AppData\Local\Temp\OnboardLogs"\RTDC4007\2017-07-01 &amp; aws s3 cp s3://rtdc.mdm.uploadarchive.raw/RTDC4007/ "%USERPROFILE%\AppData\Local\Temp\OnboardLogs"\RTDC4007\2017-07-02 --exclude "*" --recursive --include "*20170702*" &amp; "%USERPROFILE%\Documents\GitHub\mrs-test-scripts\Headless Mode &amp; Sideloading\WalkAndUnGZ.bat" "%USERPROFILE%\AppData\Local\Temp\OnboardLogs"\RTDC4007\2017-07-02</v>
      </c>
      <c r="AF14" s="74" t="str">
        <f t="shared" si="10"/>
        <v>"C:\Program Files (x86)\AstroGrep\AstroGrep.exe" /e /r /s /spath="%USERPROFILE%\AppData\Local\Temp\OnboardLogs" /stypes="app*4007*20170701*" /stext=" 10:.+((SYSTEM_STATE.+slice.+state.+changed )|(ment ac)|(multiple cpu faults)|(system.+state.+changed )|(\[timeout)|(PRM\|1\|D)|(kpr)|(kdp)|(train st.+moving)|(\|lc)|(penalty))"</v>
      </c>
      <c r="AG14" s="209" t="str">
        <f t="shared" si="11"/>
        <v>EC</v>
      </c>
      <c r="AH14" s="78" t="str">
        <f t="shared" ref="AH14:AH77" si="16">refinertdcruntimes&amp;" --tripid "&amp;A14&amp;" --locoid "&amp;B14&amp;" --swversion "&amp;C14&amp;" --startMP "&amp;D14&amp;" --initTime "&amp;TEXT(E14,"yyyy-mm-ddTHH:MM:SS")&amp;" --startdatetime "&amp;TEXT(F14,"yyyy-mm-ddTHH:MM:SS")&amp;" --delay "&amp;G14&amp;" --endMP "&amp;H14&amp;" --enddatetime "&amp;TEXT(I14,"yyyy-mm-ddTHH:MM:SS")&amp;" --enforcementcount "&amp;J14&amp;IF(outputrefinedruntimes," &gt;&gt;"&amp;RefinedRTDCRunTimesOutputFile,"")</f>
        <v>"%USERPROFILE%\Documents\GitHub\eaglep3\Utilities\RefineRTDCRunTimes.py" --tripid 102-01 --locoid 4007 --swversion DE.1.0.9.0 --startMP 204:232984 --initTime 2017-07-01T03:58:43 --startdatetime 2017-07-01T04:12:15 --delay 1 --endMP 204:138 --enddatetime 2017-07-01T04:50:11 --enforcementcount 0 &gt;&gt;C:\Users\stu\Documents\GitHub\eaglep3-reporting\EC\2017-07-01-refined-times.txt</v>
      </c>
      <c r="AI14" s="96" t="str">
        <f t="shared" ref="AI14:AI77" si="17">"echo {""issue"":{""subject"":"""&amp;R14&amp;""",""project_id"":79,""tracker_id"":40,""status_id"":"&amp;redmine_status&amp;",""priority_id"":"&amp;redmine_priority&amp;",""assigned_to_id"":"&amp;redmine_assignee&amp;",""start_date"":"""&amp;TEXT(I14,"YYYY-mm-dd")&amp;""",""description"":"""&amp;AJ14&amp;""",""custom_fields"":[{""id"":1,""name"":""Subdivision"",""value"":"""&amp;AG14&amp;"""},{""id"":4,""name"":""Milepost"",""value"":"""&amp;Z14&amp;"""},{""id"":17,""name"":""Train ID"",""value"":"""&amp;A14&amp;"""},{""id"":16,""name"":""Locomotive ID"",""value"":"""&amp;B14&amp;"""},{""id"":130,""name"":""Impact"",""value"":"""&amp;AK14&amp;"""},{""id"":150,""name"":""Time of Event (Mountain Time)"",""value"":"""&amp;TEXT(I14,"hh:mm:ss")&amp;"""},{""id"":151,""name"":""Denver Issue ID"",""value"":"""&amp;"""},{""id"":178,""name"":""Operational Impact"",""value"":"""&amp;redmine_op_impact&amp;"""},{""id"":179,""name"":""Denver Segment Assigned"",""value"":"""&amp;AL14&amp;"""}]}}"&amp;"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{"issue":{"subject":"","project_id":79,"tracker_id":40,"status_id":1,"priority_id":2,"assigned_to_id":23,"start_date":"2017-07-01","description":"","custom_fields":[{"id":1,"name":"Subdivision","value":"EC"},{"id":4,"name":"Milepost","value":"0.0138"},{"id":17,"name":"Train ID","value":"102-01"},{"id":16,"name":"Locomotive ID","value":"4007"},{"id":130,"name":"Impact","value":""},{"id":150,"name":"Time of Event (Mountain Time)","value":"04:50:11"},{"id":151,"name":"Denver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" s="20"/>
      <c r="AK14" s="47"/>
      <c r="AL14" s="47"/>
      <c r="AM14" s="142" t="str">
        <f t="shared" ref="AM14:AM77" si="18">"start /low /b "&amp;dls3logs&amp;" --loco "&amp;B14&amp;" --day "&amp;TEXT(F14,"YYYY-MM-DD")</f>
        <v>start /low /b %USERPROFILE%\Documents\GitHub\eaglep3\Utilities\DownloadLogsFromS3.py --loco 4007 --day 2017-07-01</v>
      </c>
      <c r="AN14" s="151" t="str">
        <f t="shared" ref="AN14:AN77" si="19">"echo {""issue"":{""subject"":"""&amp;R14&amp;""",""project_id"":30,""tracker_id"":4,""status_id"":"&amp;redmine_status_wcr&amp;",""priority_id"":"&amp;redmine_priority_wcr&amp;",""assigned_to_id"":"&amp;redmine_assignee_wcr&amp;",""start_date"":"""&amp;TEXT(I14-utc_offset/24,"YYYY-mm-dd")&amp;""",""description"":"""&amp;AJ14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ID"",""value"":"""&amp;B14&amp;"""},{""id"":20,""name"":""RR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UTC"",""value"":"""&amp;TEXT(I14-utc_offset/24,"YYYY-MM-DD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{"issue":{"subject":"","project_id":30,"tracker_id":4,"status_id":1,"priority_id":1,"assigned_to_id":10,"start_date":"2017-07-01","description":"","custom_fields":[{"id":30,"name":"Category","value":"Issue"},{"id":3,"name":"Functional Component","value":"Onboard"},{"id":31,"name":"Version","value":"N/A"},{"id":8,"name":"Reporting RR","value":"WABTEC"},{"id":27,"name":"Locomotive ID","value":"4007"},{"id":20,"name":"RR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UTC","value":"2017-07-01 10:50:11"},{"id":29,"name":"Sharepoint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"/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/>
      <c r="BW14"/>
      <c r="BX14"/>
      <c r="BY14"/>
      <c r="BZ14"/>
      <c r="CA14"/>
      <c r="CB14"/>
      <c r="CC14"/>
      <c r="CD14"/>
      <c r="CE14"/>
      <c r="CF14"/>
      <c r="CG14"/>
      <c r="CH14"/>
      <c r="CI14"/>
      <c r="CJ14"/>
      <c r="CK14"/>
      <c r="CL14"/>
      <c r="CM14"/>
    </row>
    <row r="15" spans="1:91" s="1" customFormat="1" x14ac:dyDescent="0.25">
      <c r="A15" s="32" t="s">
        <v>697</v>
      </c>
      <c r="B15" s="7">
        <v>4018</v>
      </c>
      <c r="C15" s="21" t="s">
        <v>202</v>
      </c>
      <c r="D15" s="21" t="s">
        <v>355</v>
      </c>
      <c r="E15" s="13">
        <v>42917.152291666665</v>
      </c>
      <c r="F15" s="13">
        <v>42917.156782407408</v>
      </c>
      <c r="G15" s="7">
        <v>1</v>
      </c>
      <c r="H15" s="21" t="s">
        <v>879</v>
      </c>
      <c r="I15" s="13">
        <v>42917.181539351855</v>
      </c>
      <c r="J15" s="7">
        <v>0</v>
      </c>
      <c r="K15" s="89" t="str">
        <f t="shared" si="0"/>
        <v>4017/4018</v>
      </c>
      <c r="L15" s="21" t="str">
        <f>VLOOKUP(A15,'Trips&amp;Operators'!$C$1:$G$99999,5,FALSE)</f>
        <v>BEAM ROSS</v>
      </c>
      <c r="M15" s="6">
        <f t="shared" si="1"/>
        <v>2.4756944447290152E-2</v>
      </c>
      <c r="N15" s="7">
        <f>24*60*SUM($M15:$M15)</f>
        <v>35.650000004097819</v>
      </c>
      <c r="O15" s="7"/>
      <c r="P15" s="7"/>
      <c r="Q15" s="22"/>
      <c r="R15" s="170"/>
      <c r="S15" s="213">
        <f>SUM(U15:U15)/IF(AG15="EC",12,1)</f>
        <v>1</v>
      </c>
      <c r="T15" s="195" t="str">
        <f t="shared" si="2"/>
        <v>NorthBound</v>
      </c>
      <c r="U15" s="195">
        <f>IF(AG15="EC",COUNTIFS(Variables!$M$2:$M$19,IF(T15="NorthBound","&gt;=","&lt;=")&amp;Y15,Variables!$M$2:$M$19,IF(T15="NorthBound","&lt;=","&gt;=")&amp;Z15),COUNTIFS(Variables!$P$2:$P$19,IF(T15="NorthBound","&gt;=","&lt;=")&amp;Y15,Variables!$P$2:$P$19,IF(T15="NorthBound","&lt;=","&gt;=")&amp;Z15))</f>
        <v>12</v>
      </c>
      <c r="V15" s="196" t="str">
        <f t="shared" si="3"/>
        <v>https://d0f6bd738d7f1b3e5a7ca70fe4ff75f0.us-east-1.aws.found.io/app/kibana#/discover/Steve-Slow-Train-Analysis-(2080s-and-2083s)?_g=(refreshInterval:(display:Off,pause:!f,section:0,value:0),time:(from:'2017-07-01T02:39:18-0600',mode:absolute,to:'2017-07-01T05:21:25-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15" s="197" t="str">
        <f>IF(AA15&lt;VLOOKUP(AG15,Variables!$AC$3:$AD$8,2,FALSE),"Y","N")</f>
        <v>N</v>
      </c>
      <c r="X15" s="197">
        <f t="shared" si="4"/>
        <v>1</v>
      </c>
      <c r="Y15" s="197">
        <f t="shared" si="5"/>
        <v>4.4699999999999997E-2</v>
      </c>
      <c r="Z15" s="197">
        <f t="shared" si="6"/>
        <v>23.329799999999999</v>
      </c>
      <c r="AA15" s="197">
        <f t="shared" si="7"/>
        <v>23.2851</v>
      </c>
      <c r="AB15" s="54" t="e">
        <f>VLOOKUP(A15,Enforcements!$C$7:$K$13,8,0)</f>
        <v>#N/A</v>
      </c>
      <c r="AC15" s="51" t="e">
        <f>VLOOKUP(A15,Enforcements!$C$7:$E$13,3,0)</f>
        <v>#N/A</v>
      </c>
      <c r="AD15" s="206">
        <f t="shared" si="8"/>
        <v>103</v>
      </c>
      <c r="AE15" s="77" t="str">
        <f t="shared" si="9"/>
        <v>aws s3 cp s3://rtdc.mdm.uploadarchive.raw/RTDC4018/ "%USERPROFILE%\AppData\Local\Temp\OnboardLogs"\RTDC4018\2017-07-01 --exclude "*" --recursive --include "*20170701*" &amp; "%USERPROFILE%\Documents\GitHub\mrs-test-scripts\Headless Mode &amp; Sideloading\WalkAndUnGZ.bat" "%USERPROFILE%\AppData\Local\Temp\OnboardLogs"\RTDC4018\2017-07-01 &amp; aws s3 cp s3://rtdc.mdm.uploadarchive.raw/RTDC4018/ "%USERPROFILE%\AppData\Local\Temp\OnboardLogs"\RTDC4018\2017-07-02 --exclude "*" --recursive --include "*20170702*" &amp; "%USERPROFILE%\Documents\GitHub\mrs-test-scripts\Headless Mode &amp; Sideloading\WalkAndUnGZ.bat" "%USERPROFILE%\AppData\Local\Temp\OnboardLogs"\RTDC4018\2017-07-02</v>
      </c>
      <c r="AF15" s="74" t="str">
        <f t="shared" si="10"/>
        <v>"C:\Program Files (x86)\AstroGrep\AstroGrep.exe" /e /r /s /spath="%USERPROFILE%\AppData\Local\Temp\OnboardLogs" /stypes="app*4018*20170701*" /stext=" 10:.+((SYSTEM_STATE.+slice.+state.+changed )|(ment ac)|(multiple cpu faults)|(system.+state.+changed )|(\[timeout)|(PRM\|1\|D)|(kpr)|(kdp)|(train st.+moving)|(\|lc)|(penalty))"</v>
      </c>
      <c r="AG15" s="209" t="str">
        <f t="shared" si="11"/>
        <v>EC</v>
      </c>
      <c r="AH15" s="78" t="str">
        <f t="shared" si="16"/>
        <v>"%USERPROFILE%\Documents\GitHub\eaglep3\Utilities\RefineRTDCRunTimes.py" --tripid 103-01 --locoid 4018 --swversion DE.1.0.9.0 --startMP 204:447 --initTime 2017-07-01T03:39:18 --startdatetime 2017-07-01T03:45:46 --delay 1 --endMP 204:233298 --enddatetime 2017-07-01T04:21:25 --enforcementcount 0 &gt;&gt;C:\Users\stu\Documents\GitHub\eaglep3-reporting\EC\2017-07-01-refined-times.txt</v>
      </c>
      <c r="AI15" s="96" t="str">
        <f t="shared" si="17"/>
        <v>echo {"issue":{"subject":"","project_id":79,"tracker_id":40,"status_id":1,"priority_id":2,"assigned_to_id":23,"start_date":"2017-07-01","description":"","custom_fields":[{"id":1,"name":"Subdivision","value":"EC"},{"id":4,"name":"Milepost","value":"23.3298"},{"id":17,"name":"Train ID","value":"103-01"},{"id":16,"name":"Locomotive ID","value":"4018"},{"id":130,"name":"Impact","value":""},{"id":150,"name":"Time of Event (Mountain Time)","value":"04:21:25"},{"id":151,"name":"Denver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" s="20"/>
      <c r="AK15" s="47"/>
      <c r="AL15" s="47"/>
      <c r="AM15" s="142" t="str">
        <f t="shared" si="18"/>
        <v>start /low /b %USERPROFILE%\Documents\GitHub\eaglep3\Utilities\DownloadLogsFromS3.py --loco 4018 --day 2017-07-01</v>
      </c>
      <c r="AN15" s="151" t="str">
        <f t="shared" si="19"/>
        <v>echo {"issue":{"subject":"","project_id":30,"tracker_id":4,"status_id":1,"priority_id":1,"assigned_to_id":10,"start_date":"2017-07-01","description":"","custom_fields":[{"id":30,"name":"Category","value":"Issue"},{"id":3,"name":"Functional Component","value":"Onboard"},{"id":31,"name":"Version","value":"N/A"},{"id":8,"name":"Reporting RR","value":"WABTEC"},{"id":27,"name":"Locomotive ID","value":"4018"},{"id":20,"name":"RR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UTC","value":"2017-07-01 10:21:25"},{"id":29,"name":"Sharepoint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"/>
      <c r="AP15"/>
      <c r="AQ15"/>
      <c r="AR15"/>
      <c r="AS15"/>
      <c r="AT15"/>
      <c r="AU15"/>
      <c r="AV15"/>
      <c r="AW15"/>
      <c r="AX15"/>
      <c r="AY15"/>
      <c r="AZ15"/>
      <c r="BA15"/>
      <c r="BB15"/>
      <c r="BC15"/>
      <c r="BD15"/>
      <c r="BE15"/>
      <c r="BF15"/>
      <c r="BG15"/>
      <c r="BH15"/>
      <c r="BI15"/>
      <c r="BJ15"/>
      <c r="BK15"/>
      <c r="BL15"/>
      <c r="BM15"/>
      <c r="BN15"/>
      <c r="BO15"/>
      <c r="BP15"/>
      <c r="BQ15"/>
      <c r="BR15"/>
      <c r="BS15"/>
      <c r="BT15"/>
      <c r="BU15"/>
      <c r="BV15"/>
      <c r="BW15"/>
      <c r="BX15"/>
      <c r="BY15"/>
      <c r="BZ15"/>
      <c r="CA15"/>
      <c r="CB15"/>
      <c r="CC15"/>
      <c r="CD15"/>
      <c r="CE15"/>
      <c r="CF15"/>
      <c r="CG15"/>
      <c r="CH15"/>
      <c r="CI15"/>
      <c r="CJ15"/>
      <c r="CK15"/>
      <c r="CL15"/>
      <c r="CM15"/>
    </row>
    <row r="16" spans="1:91" s="1" customFormat="1" x14ac:dyDescent="0.25">
      <c r="A16" s="32" t="s">
        <v>701</v>
      </c>
      <c r="B16" s="7">
        <v>4017</v>
      </c>
      <c r="C16" s="21" t="s">
        <v>202</v>
      </c>
      <c r="D16" s="21" t="s">
        <v>466</v>
      </c>
      <c r="E16" s="13">
        <v>42917.183344907404</v>
      </c>
      <c r="F16" s="13">
        <v>42917.196030092593</v>
      </c>
      <c r="G16" s="7">
        <v>1</v>
      </c>
      <c r="H16" s="21" t="s">
        <v>194</v>
      </c>
      <c r="I16" s="13">
        <v>42917.222245370373</v>
      </c>
      <c r="J16" s="7">
        <v>0</v>
      </c>
      <c r="K16" s="89" t="str">
        <f t="shared" si="0"/>
        <v>4017/4018</v>
      </c>
      <c r="L16" s="21" t="str">
        <f>VLOOKUP(A16,'Trips&amp;Operators'!$C$1:$G$99999,5,FALSE)</f>
        <v>BEAM ROSS</v>
      </c>
      <c r="M16" s="6">
        <f t="shared" si="1"/>
        <v>2.6215277779556345E-2</v>
      </c>
      <c r="N16" s="7">
        <f>24*60*SUM($M16:$M16)</f>
        <v>37.750000002561137</v>
      </c>
      <c r="O16" s="7"/>
      <c r="P16" s="7"/>
      <c r="Q16" s="22"/>
      <c r="R16" s="170"/>
      <c r="S16" s="213">
        <f>SUM(U16:U16)/IF(AG16="EC",12,1)</f>
        <v>1</v>
      </c>
      <c r="T16" s="195" t="str">
        <f t="shared" si="2"/>
        <v>Southbound</v>
      </c>
      <c r="U16" s="195">
        <f>IF(AG16="EC",COUNTIFS(Variables!$M$2:$M$19,IF(T16="NorthBound","&gt;=","&lt;=")&amp;Y16,Variables!$M$2:$M$19,IF(T16="NorthBound","&lt;=","&gt;=")&amp;Z16),COUNTIFS(Variables!$P$2:$P$19,IF(T16="NorthBound","&gt;=","&lt;=")&amp;Y16,Variables!$P$2:$P$19,IF(T16="NorthBound","&lt;=","&gt;=")&amp;Z16))</f>
        <v>12</v>
      </c>
      <c r="V16" s="196" t="str">
        <f t="shared" si="3"/>
        <v>https://d0f6bd738d7f1b3e5a7ca70fe4ff75f0.us-east-1.aws.found.io/app/kibana#/discover/Steve-Slow-Train-Analysis-(2080s-and-2083s)?_g=(refreshInterval:(display:Off,pause:!f,section:0,value:0),time:(from:'2017-07-01T03:24:01-0600',mode:absolute,to:'2017-07-01T06:20:02-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16" s="197" t="str">
        <f>IF(AA16&lt;VLOOKUP(AG16,Variables!$AC$3:$AD$8,2,FALSE),"Y","N")</f>
        <v>N</v>
      </c>
      <c r="X16" s="197">
        <f t="shared" si="4"/>
        <v>1</v>
      </c>
      <c r="Y16" s="197">
        <f t="shared" si="5"/>
        <v>23.297699999999999</v>
      </c>
      <c r="Z16" s="197">
        <f t="shared" si="6"/>
        <v>1.5800000000000002E-2</v>
      </c>
      <c r="AA16" s="197">
        <f t="shared" si="7"/>
        <v>23.2819</v>
      </c>
      <c r="AB16" s="54" t="e">
        <f>VLOOKUP(A16,Enforcements!$C$7:$K$13,8,0)</f>
        <v>#N/A</v>
      </c>
      <c r="AC16" s="51" t="e">
        <f>VLOOKUP(A16,Enforcements!$C$7:$E$13,3,0)</f>
        <v>#N/A</v>
      </c>
      <c r="AD16" s="206">
        <f t="shared" si="8"/>
        <v>104</v>
      </c>
      <c r="AE16" s="77" t="str">
        <f t="shared" si="9"/>
        <v>aws s3 cp s3://rtdc.mdm.uploadarchive.raw/RTDC4017/ "%USERPROFILE%\AppData\Local\Temp\OnboardLogs"\RTDC4017\2017-07-01 --exclude "*" --recursive --include "*20170701*" &amp; "%USERPROFILE%\Documents\GitHub\mrs-test-scripts\Headless Mode &amp; Sideloading\WalkAndUnGZ.bat" "%USERPROFILE%\AppData\Local\Temp\OnboardLogs"\RTDC4017\2017-07-01 &amp; aws s3 cp s3://rtdc.mdm.uploadarchive.raw/RTDC4017/ "%USERPROFILE%\AppData\Local\Temp\OnboardLogs"\RTDC4017\2017-07-02 --exclude "*" --recursive --include "*20170702*" &amp; "%USERPROFILE%\Documents\GitHub\mrs-test-scripts\Headless Mode &amp; Sideloading\WalkAndUnGZ.bat" "%USERPROFILE%\AppData\Local\Temp\OnboardLogs"\RTDC4017\2017-07-02</v>
      </c>
      <c r="AF16" s="74" t="str">
        <f t="shared" si="10"/>
        <v>"C:\Program Files (x86)\AstroGrep\AstroGrep.exe" /e /r /s /spath="%USERPROFILE%\AppData\Local\Temp\OnboardLogs" /stypes="app*4017*20170701*" /stext=" 11:.+((SYSTEM_STATE.+slice.+state.+changed )|(ment ac)|(multiple cpu faults)|(system.+state.+changed )|(\[timeout)|(PRM\|1\|D)|(kpr)|(kdp)|(train st.+moving)|(\|lc)|(penalty))"</v>
      </c>
      <c r="AG16" s="209" t="str">
        <f t="shared" si="11"/>
        <v>EC</v>
      </c>
      <c r="AH16" s="78" t="str">
        <f t="shared" si="16"/>
        <v>"%USERPROFILE%\Documents\GitHub\eaglep3\Utilities\RefineRTDCRunTimes.py" --tripid 104-01 --locoid 4017 --swversion DE.1.0.9.0 --startMP 204:232977 --initTime 2017-07-01T04:24:01 --startdatetime 2017-07-01T04:42:17 --delay 1 --endMP 204:158 --enddatetime 2017-07-01T05:20:02 --enforcementcount 0 &gt;&gt;C:\Users\stu\Documents\GitHub\eaglep3-reporting\EC\2017-07-01-refined-times.txt</v>
      </c>
      <c r="AI16" s="96" t="str">
        <f t="shared" si="17"/>
        <v>echo {"issue":{"subject":"","project_id":79,"tracker_id":40,"status_id":1,"priority_id":2,"assigned_to_id":23,"start_date":"2017-07-01","description":"","custom_fields":[{"id":1,"name":"Subdivision","value":"EC"},{"id":4,"name":"Milepost","value":"0.0158"},{"id":17,"name":"Train ID","value":"104-01"},{"id":16,"name":"Locomotive ID","value":"4017"},{"id":130,"name":"Impact","value":""},{"id":150,"name":"Time of Event (Mountain Time)","value":"05:20:02"},{"id":151,"name":"Denver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" s="20"/>
      <c r="AK16" s="47"/>
      <c r="AL16" s="47"/>
      <c r="AM16" s="142" t="str">
        <f t="shared" si="18"/>
        <v>start /low /b %USERPROFILE%\Documents\GitHub\eaglep3\Utilities\DownloadLogsFromS3.py --loco 4017 --day 2017-07-01</v>
      </c>
      <c r="AN16" s="151" t="str">
        <f t="shared" si="19"/>
        <v>echo {"issue":{"subject":"","project_id":30,"tracker_id":4,"status_id":1,"priority_id":1,"assigned_to_id":10,"start_date":"2017-07-01","description":"","custom_fields":[{"id":30,"name":"Category","value":"Issue"},{"id":3,"name":"Functional Component","value":"Onboard"},{"id":31,"name":"Version","value":"N/A"},{"id":8,"name":"Reporting RR","value":"WABTEC"},{"id":27,"name":"Locomotive ID","value":"4017"},{"id":20,"name":"RR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UTC","value":"2017-07-01 11:20:02"},{"id":29,"name":"Sharepoint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"/>
      <c r="AP16"/>
      <c r="AQ16"/>
      <c r="AR16"/>
      <c r="AS16"/>
      <c r="AT16"/>
      <c r="AU16"/>
      <c r="AV16"/>
      <c r="AW16"/>
      <c r="AX16"/>
      <c r="AY16"/>
      <c r="AZ16"/>
      <c r="BA16"/>
      <c r="BB16"/>
      <c r="BC16"/>
      <c r="BD16"/>
      <c r="BE16"/>
      <c r="BF16"/>
      <c r="BG16"/>
      <c r="BH16"/>
      <c r="BI16"/>
      <c r="BJ16"/>
      <c r="BK16"/>
      <c r="BL16"/>
      <c r="BM16"/>
      <c r="BN16"/>
      <c r="BO16"/>
      <c r="BP16"/>
      <c r="BQ16"/>
      <c r="BR16"/>
      <c r="BS16"/>
      <c r="BT16"/>
      <c r="BU16"/>
      <c r="BV16"/>
      <c r="BW16"/>
      <c r="BX16"/>
      <c r="BY16"/>
      <c r="BZ16"/>
      <c r="CA16"/>
      <c r="CB16"/>
      <c r="CC16"/>
      <c r="CD16"/>
      <c r="CE16"/>
      <c r="CF16"/>
      <c r="CG16"/>
      <c r="CH16"/>
      <c r="CI16"/>
      <c r="CJ16"/>
      <c r="CK16"/>
      <c r="CL16"/>
      <c r="CM16"/>
    </row>
    <row r="17" spans="1:91" s="1" customFormat="1" x14ac:dyDescent="0.25">
      <c r="A17" s="32" t="s">
        <v>634</v>
      </c>
      <c r="B17" s="7">
        <v>4028</v>
      </c>
      <c r="C17" s="21" t="s">
        <v>202</v>
      </c>
      <c r="D17" s="21" t="s">
        <v>351</v>
      </c>
      <c r="E17" s="13">
        <v>42917.170289351852</v>
      </c>
      <c r="F17" s="13">
        <v>42917.177673611113</v>
      </c>
      <c r="G17" s="7">
        <v>1</v>
      </c>
      <c r="H17" s="21" t="s">
        <v>880</v>
      </c>
      <c r="I17" s="13">
        <v>42917.195428240739</v>
      </c>
      <c r="J17" s="7">
        <v>0</v>
      </c>
      <c r="K17" s="89" t="str">
        <f t="shared" si="0"/>
        <v>4027/4028</v>
      </c>
      <c r="L17" s="21" t="str">
        <f>VLOOKUP(A17,'Trips&amp;Operators'!$C$1:$G$99999,5,FALSE)</f>
        <v>DAVIS WENDY</v>
      </c>
      <c r="M17" s="6">
        <f t="shared" si="1"/>
        <v>1.7754629625414964E-2</v>
      </c>
      <c r="N17" s="7"/>
      <c r="O17" s="7"/>
      <c r="P17" s="7">
        <f>24*60*SUM($M17:$M17)</f>
        <v>25.566666660597548</v>
      </c>
      <c r="Q17" s="22"/>
      <c r="R17" s="170" t="s">
        <v>1035</v>
      </c>
      <c r="S17" s="213">
        <f>SUM(U17:U17)/IF(AG17="EC",12,1)</f>
        <v>1</v>
      </c>
      <c r="T17" s="195" t="str">
        <f t="shared" si="2"/>
        <v>NorthBound</v>
      </c>
      <c r="U17" s="195">
        <f>IF(AG17="EC",COUNTIFS(Variables!$M$2:$M$19,IF(T17="NorthBound","&gt;=","&lt;=")&amp;Y17,Variables!$M$2:$M$19,IF(T17="NorthBound","&lt;=","&gt;=")&amp;Z17),COUNTIFS(Variables!$P$2:$P$19,IF(T17="NorthBound","&gt;=","&lt;=")&amp;Y17,Variables!$P$2:$P$19,IF(T17="NorthBound","&lt;=","&gt;=")&amp;Z17))</f>
        <v>12</v>
      </c>
      <c r="V17" s="196" t="str">
        <f t="shared" si="3"/>
        <v>https://d0f6bd738d7f1b3e5a7ca70fe4ff75f0.us-east-1.aws.found.io/app/kibana#/discover/Steve-Slow-Train-Analysis-(2080s-and-2083s)?_g=(refreshInterval:(display:Off,pause:!f,section:0,value:0),time:(from:'2017-07-01T03:05:13-0600',mode:absolute,to:'2017-07-01T05:41:25-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17" s="197" t="str">
        <f>IF(AA17&lt;VLOOKUP(AG17,Variables!$AC$3:$AD$8,2,FALSE),"Y","N")</f>
        <v>Y</v>
      </c>
      <c r="X17" s="197">
        <f t="shared" si="4"/>
        <v>1</v>
      </c>
      <c r="Y17" s="197">
        <f t="shared" si="5"/>
        <v>4.6600000000000003E-2</v>
      </c>
      <c r="Z17" s="197">
        <f t="shared" si="6"/>
        <v>15.148899999999999</v>
      </c>
      <c r="AA17" s="197">
        <f t="shared" si="7"/>
        <v>15.1023</v>
      </c>
      <c r="AB17" s="54" t="e">
        <f>VLOOKUP(A17,Enforcements!$C$7:$K$13,8,0)</f>
        <v>#N/A</v>
      </c>
      <c r="AC17" s="51" t="e">
        <f>VLOOKUP(A17,Enforcements!$C$7:$E$13,3,0)</f>
        <v>#N/A</v>
      </c>
      <c r="AD17" s="206">
        <f t="shared" si="8"/>
        <v>105</v>
      </c>
      <c r="AE17" s="77" t="str">
        <f t="shared" si="9"/>
        <v>aws s3 cp s3://rtdc.mdm.uploadarchive.raw/RTDC4028/ "%USERPROFILE%\AppData\Local\Temp\OnboardLogs"\RTDC4028\2017-07-01 --exclude "*" --recursive --include "*20170701*" &amp; "%USERPROFILE%\Documents\GitHub\mrs-test-scripts\Headless Mode &amp; Sideloading\WalkAndUnGZ.bat" "%USERPROFILE%\AppData\Local\Temp\OnboardLogs"\RTDC4028\2017-07-01 &amp; aws s3 cp s3://rtdc.mdm.uploadarchive.raw/RTDC4028/ "%USERPROFILE%\AppData\Local\Temp\OnboardLogs"\RTDC4028\2017-07-02 --exclude "*" --recursive --include "*20170702*" &amp; "%USERPROFILE%\Documents\GitHub\mrs-test-scripts\Headless Mode &amp; Sideloading\WalkAndUnGZ.bat" "%USERPROFILE%\AppData\Local\Temp\OnboardLogs"\RTDC4028\2017-07-02</v>
      </c>
      <c r="AF17" s="74" t="str">
        <f t="shared" si="10"/>
        <v>"C:\Program Files (x86)\AstroGrep\AstroGrep.exe" /e /r /s /spath="%USERPROFILE%\AppData\Local\Temp\OnboardLogs" /stypes="app*4028*20170701*" /stext=" 10:.+((SYSTEM_STATE.+slice.+state.+changed )|(ment ac)|(multiple cpu faults)|(system.+state.+changed )|(\[timeout)|(PRM\|1\|D)|(kpr)|(kdp)|(train st.+moving)|(\|lc)|(penalty))"</v>
      </c>
      <c r="AG17" s="209" t="str">
        <f t="shared" si="11"/>
        <v>EC</v>
      </c>
      <c r="AH17" s="78" t="str">
        <f t="shared" si="16"/>
        <v>"%USERPROFILE%\Documents\GitHub\eaglep3\Utilities\RefineRTDCRunTimes.py" --tripid 105-01 --locoid 4028 --swversion DE.1.0.9.0 --startMP 204:466 --initTime 2017-07-01T04:05:13 --startdatetime 2017-07-01T04:15:51 --delay 1 --endMP 204:151489 --enddatetime 2017-07-01T04:41:25 --enforcementcount 0 &gt;&gt;C:\Users\stu\Documents\GitHub\eaglep3-reporting\EC\2017-07-01-refined-times.txt</v>
      </c>
      <c r="AI17" s="96" t="str">
        <f t="shared" si="17"/>
        <v>echo {"issue":{"subject":"Premature downgrade at EC1497RH 143-1T 1N","project_id":79,"tracker_id":40,"status_id":1,"priority_id":2,"assigned_to_id":23,"start_date":"2017-07-01","description":"","custom_fields":[{"id":1,"name":"Subdivision","value":"EC"},{"id":4,"name":"Milepost","value":"15.1489"},{"id":17,"name":"Train ID","value":"105-01"},{"id":16,"name":"Locomotive ID","value":"4028"},{"id":130,"name":"Impact","value":""},{"id":150,"name":"Time of Event (Mountain Time)","value":"04:41:25"},{"id":151,"name":"Denver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" s="20"/>
      <c r="AK17" s="47"/>
      <c r="AL17" s="47"/>
      <c r="AM17" s="142" t="str">
        <f t="shared" si="18"/>
        <v>start /low /b %USERPROFILE%\Documents\GitHub\eaglep3\Utilities\DownloadLogsFromS3.py --loco 4028 --day 2017-07-01</v>
      </c>
      <c r="AN17" s="151" t="str">
        <f t="shared" si="19"/>
        <v>echo {"issue":{"subject":"Premature downgrade at EC1497RH 143-1T 1N","project_id":30,"tracker_id":4,"status_id":1,"priority_id":1,"assigned_to_id":10,"start_date":"2017-07-01","description":"","custom_fields":[{"id":30,"name":"Category","value":"Issue"},{"id":3,"name":"Functional Component","value":"Onboard"},{"id":31,"name":"Version","value":"N/A"},{"id":8,"name":"Reporting RR","value":"WABTEC"},{"id":27,"name":"Locomotive ID","value":"4028"},{"id":20,"name":"RR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UTC","value":"2017-07-01 10:41:25"},{"id":29,"name":"Sharepoint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"/>
      <c r="AP17"/>
      <c r="AQ17"/>
      <c r="AR17"/>
      <c r="AS17"/>
      <c r="AT17"/>
      <c r="AU17"/>
      <c r="AV17"/>
      <c r="AW17"/>
      <c r="AX17"/>
      <c r="AY17"/>
      <c r="AZ17"/>
      <c r="BA17"/>
      <c r="BB17"/>
      <c r="BC17"/>
      <c r="BD17"/>
      <c r="BE17"/>
      <c r="BF17"/>
      <c r="BG17"/>
      <c r="BH17"/>
      <c r="BI17"/>
      <c r="BJ17"/>
      <c r="BK17"/>
      <c r="BL17"/>
      <c r="BM17"/>
      <c r="BN17"/>
      <c r="BO17"/>
      <c r="BP17"/>
      <c r="BQ17"/>
      <c r="BR17"/>
      <c r="BS17"/>
      <c r="BT17"/>
      <c r="BU17"/>
      <c r="BV17"/>
      <c r="BW17"/>
      <c r="BX17"/>
      <c r="BY17"/>
      <c r="BZ17"/>
      <c r="CA17"/>
      <c r="CB17"/>
      <c r="CC17"/>
      <c r="CD17"/>
      <c r="CE17"/>
      <c r="CF17"/>
      <c r="CG17"/>
      <c r="CH17"/>
      <c r="CI17"/>
      <c r="CJ17"/>
      <c r="CK17"/>
      <c r="CL17"/>
      <c r="CM17"/>
    </row>
    <row r="18" spans="1:91" s="1" customFormat="1" x14ac:dyDescent="0.25">
      <c r="A18" s="32" t="s">
        <v>635</v>
      </c>
      <c r="B18" s="7">
        <v>4027</v>
      </c>
      <c r="C18" s="21" t="s">
        <v>202</v>
      </c>
      <c r="D18" s="21" t="s">
        <v>612</v>
      </c>
      <c r="E18" s="13">
        <v>42917.213969907411</v>
      </c>
      <c r="F18" s="13">
        <v>42917.214618055557</v>
      </c>
      <c r="G18" s="7">
        <v>0</v>
      </c>
      <c r="H18" s="21" t="s">
        <v>881</v>
      </c>
      <c r="I18" s="13">
        <v>42917.224131944444</v>
      </c>
      <c r="J18" s="7">
        <v>1</v>
      </c>
      <c r="K18" s="89" t="str">
        <f t="shared" si="0"/>
        <v>4027/4028</v>
      </c>
      <c r="L18" s="21" t="str">
        <f>VLOOKUP(A18,'Trips&amp;Operators'!$C$1:$G$99999,5,FALSE)</f>
        <v>DAVIS WENDY</v>
      </c>
      <c r="M18" s="6">
        <f t="shared" si="1"/>
        <v>9.5138888864312321E-3</v>
      </c>
      <c r="N18" s="7"/>
      <c r="O18" s="7"/>
      <c r="P18" s="7">
        <f>24*60*SUM($M18:$M19)</f>
        <v>33.78333333064802</v>
      </c>
      <c r="Q18" s="22"/>
      <c r="R18" s="170" t="s">
        <v>492</v>
      </c>
      <c r="S18" s="213">
        <f>SUM(U18:U19)/IF(AG18="EC",12,1)</f>
        <v>0.83333333333333337</v>
      </c>
      <c r="T18" s="195" t="str">
        <f t="shared" si="2"/>
        <v>Southbound</v>
      </c>
      <c r="U18" s="195">
        <f>IF(AG18="EC",COUNTIFS(Variables!$M$2:$M$19,IF(T18="NorthBound","&gt;=","&lt;=")&amp;Y18,Variables!$M$2:$M$19,IF(T18="NorthBound","&lt;=","&gt;=")&amp;Z18),COUNTIFS(Variables!$P$2:$P$19,IF(T18="NorthBound","&gt;=","&lt;=")&amp;Y18,Variables!$P$2:$P$19,IF(T18="NorthBound","&lt;=","&gt;=")&amp;Z18))</f>
        <v>0</v>
      </c>
      <c r="V18" s="196" t="str">
        <f t="shared" si="3"/>
        <v>https://d0f6bd738d7f1b3e5a7ca70fe4ff75f0.us-east-1.aws.found.io/app/kibana#/discover/Steve-Slow-Train-Analysis-(2080s-and-2083s)?_g=(refreshInterval:(display:Off,pause:!f,section:0,value:0),time:(from:'2017-07-01T04:08:07-0600',mode:absolute,to:'2017-07-01T06:22:45-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18" s="197" t="str">
        <f>IF(AA18&lt;VLOOKUP(AG18,Variables!$AC$3:$AD$8,2,FALSE),"Y","N")</f>
        <v>Y</v>
      </c>
      <c r="X18" s="197">
        <f t="shared" si="4"/>
        <v>1</v>
      </c>
      <c r="Y18" s="197">
        <f t="shared" si="5"/>
        <v>23.298999999999999</v>
      </c>
      <c r="Z18" s="197">
        <f t="shared" si="6"/>
        <v>15.589</v>
      </c>
      <c r="AA18" s="197">
        <f t="shared" si="7"/>
        <v>7.7099999999999991</v>
      </c>
      <c r="AB18" s="54" t="e">
        <f>VLOOKUP(A18,Enforcements!$C$7:$K$13,8,0)</f>
        <v>#N/A</v>
      </c>
      <c r="AC18" s="51" t="e">
        <f>VLOOKUP(A18,Enforcements!$C$7:$E$13,3,0)</f>
        <v>#N/A</v>
      </c>
      <c r="AD18" s="206">
        <f t="shared" si="8"/>
        <v>106</v>
      </c>
      <c r="AE18" s="77" t="str">
        <f t="shared" si="9"/>
        <v>aws s3 cp s3://rtdc.mdm.uploadarchive.raw/RTDC4027/ "%USERPROFILE%\AppData\Local\Temp\OnboardLogs"\RTDC4027\2017-07-01 --exclude "*" --recursive --include "*20170701*" &amp; "%USERPROFILE%\Documents\GitHub\mrs-test-scripts\Headless Mode &amp; Sideloading\WalkAndUnGZ.bat" "%USERPROFILE%\AppData\Local\Temp\OnboardLogs"\RTDC4027\2017-07-01 &amp; aws s3 cp s3://rtdc.mdm.uploadarchive.raw/RTDC4027/ "%USERPROFILE%\AppData\Local\Temp\OnboardLogs"\RTDC4027\2017-07-02 --exclude "*" --recursive --include "*20170702*" &amp; "%USERPROFILE%\Documents\GitHub\mrs-test-scripts\Headless Mode &amp; Sideloading\WalkAndUnGZ.bat" "%USERPROFILE%\AppData\Local\Temp\OnboardLogs"\RTDC4027\2017-07-02</v>
      </c>
      <c r="AF18" s="74" t="str">
        <f t="shared" si="10"/>
        <v>"C:\Program Files (x86)\AstroGrep\AstroGrep.exe" /e /r /s /spath="%USERPROFILE%\AppData\Local\Temp\OnboardLogs" /stypes="app*4027*20170701*" /stext=" 11:.+((SYSTEM_STATE.+slice.+state.+changed )|(ment ac)|(multiple cpu faults)|(system.+state.+changed )|(\[timeout)|(PRM\|1\|D)|(kpr)|(kdp)|(train st.+moving)|(\|lc)|(penalty))"</v>
      </c>
      <c r="AG18" s="209" t="str">
        <f t="shared" si="11"/>
        <v>EC</v>
      </c>
      <c r="AH18" s="78" t="str">
        <f t="shared" si="16"/>
        <v>"%USERPROFILE%\Documents\GitHub\eaglep3\Utilities\RefineRTDCRunTimes.py" --tripid 106-01 --locoid 4027 --swversion DE.1.0.9.0 --startMP 204:232990 --initTime 2017-07-01T05:08:07 --startdatetime 2017-07-01T05:09:03 --delay 0 --endMP 204:155890 --enddatetime 2017-07-01T05:22:45 --enforcementcount 1 &gt;&gt;C:\Users\stu\Documents\GitHub\eaglep3-reporting\EC\2017-07-01-refined-times.txt</v>
      </c>
      <c r="AI18" s="96" t="str">
        <f t="shared" si="17"/>
        <v>echo {"issue":{"subject":"Wi-MAX data drop","project_id":79,"tracker_id":40,"status_id":1,"priority_id":2,"assigned_to_id":23,"start_date":"2017-07-01","description":"","custom_fields":[{"id":1,"name":"Subdivision","value":"EC"},{"id":4,"name":"Milepost","value":"15.589"},{"id":17,"name":"Train ID","value":"106-01"},{"id":16,"name":"Locomotive ID","value":"4027"},{"id":130,"name":"Impact","value":""},{"id":150,"name":"Time of Event (Mountain Time)","value":"05:22:45"},{"id":151,"name":"Denver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" s="20"/>
      <c r="AK18" s="47"/>
      <c r="AL18" s="47"/>
      <c r="AM18" s="142" t="str">
        <f t="shared" si="18"/>
        <v>start /low /b %USERPROFILE%\Documents\GitHub\eaglep3\Utilities\DownloadLogsFromS3.py --loco 4027 --day 2017-07-01</v>
      </c>
      <c r="AN18" s="151" t="str">
        <f t="shared" si="19"/>
        <v>echo {"issue":{"subject":"Wi-MAX data drop","project_id":30,"tracker_id":4,"status_id":1,"priority_id":1,"assigned_to_id":10,"start_date":"2017-07-01","description":"","custom_fields":[{"id":30,"name":"Category","value":"Issue"},{"id":3,"name":"Functional Component","value":"Onboard"},{"id":31,"name":"Version","value":"N/A"},{"id":8,"name":"Reporting RR","value":"WABTEC"},{"id":27,"name":"Locomotive ID","value":"4027"},{"id":20,"name":"RR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UTC","value":"2017-07-01 11:22:45"},{"id":29,"name":"Sharepoint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"/>
      <c r="AP18"/>
      <c r="AQ18"/>
      <c r="AR18"/>
      <c r="AS18"/>
      <c r="AT18"/>
      <c r="AU18"/>
      <c r="AV18"/>
      <c r="AW18"/>
      <c r="AX18"/>
      <c r="AY18"/>
      <c r="AZ18"/>
      <c r="BA18"/>
      <c r="BB18"/>
      <c r="BC18"/>
      <c r="BD18"/>
      <c r="BE18"/>
      <c r="BF18"/>
      <c r="BG18"/>
      <c r="BH18"/>
      <c r="BI18"/>
      <c r="BJ18"/>
      <c r="BK18"/>
      <c r="BL18"/>
      <c r="BM18"/>
      <c r="BN18"/>
      <c r="BO18"/>
      <c r="BP18"/>
      <c r="BQ18"/>
      <c r="BR18"/>
      <c r="BS18"/>
      <c r="BT18"/>
      <c r="BU18"/>
      <c r="BV18"/>
      <c r="BW18"/>
      <c r="BX18"/>
      <c r="BY18"/>
      <c r="BZ18"/>
      <c r="CA18"/>
      <c r="CB18"/>
      <c r="CC18"/>
      <c r="CD18"/>
      <c r="CE18"/>
      <c r="CF18"/>
      <c r="CG18"/>
      <c r="CH18"/>
      <c r="CI18"/>
      <c r="CJ18"/>
      <c r="CK18"/>
      <c r="CL18"/>
      <c r="CM18"/>
    </row>
    <row r="19" spans="1:91" s="1" customFormat="1" x14ac:dyDescent="0.25">
      <c r="A19" s="32" t="s">
        <v>635</v>
      </c>
      <c r="B19" s="7">
        <v>4027</v>
      </c>
      <c r="C19" s="21" t="s">
        <v>202</v>
      </c>
      <c r="D19" s="21" t="s">
        <v>882</v>
      </c>
      <c r="E19" s="13">
        <v>42917.231365740743</v>
      </c>
      <c r="F19" s="13">
        <v>42917.231932870367</v>
      </c>
      <c r="G19" s="7">
        <v>0</v>
      </c>
      <c r="H19" s="21" t="s">
        <v>358</v>
      </c>
      <c r="I19" s="13">
        <v>42917.245879629627</v>
      </c>
      <c r="J19" s="7">
        <v>0</v>
      </c>
      <c r="K19" s="89" t="str">
        <f t="shared" si="0"/>
        <v>4027/4028</v>
      </c>
      <c r="L19" s="21" t="str">
        <f>VLOOKUP(A19,'Trips&amp;Operators'!$C$1:$G$99999,5,FALSE)</f>
        <v>DAVIS WENDY</v>
      </c>
      <c r="M19" s="6">
        <f t="shared" si="1"/>
        <v>1.3946759259852115E-2</v>
      </c>
      <c r="N19" s="7"/>
      <c r="O19" s="7"/>
      <c r="P19" s="7"/>
      <c r="Q19" s="22"/>
      <c r="R19" s="170"/>
      <c r="S19" s="213"/>
      <c r="T19" s="195" t="str">
        <f t="shared" si="2"/>
        <v>Southbound</v>
      </c>
      <c r="U19" s="195">
        <f>IF(AG19="EC",COUNTIFS(Variables!$M$2:$M$19,IF(T19="NorthBound","&gt;=","&lt;=")&amp;Y19,Variables!$M$2:$M$19,IF(T19="NorthBound","&lt;=","&gt;=")&amp;Z19),COUNTIFS(Variables!$P$2:$P$19,IF(T19="NorthBound","&gt;=","&lt;=")&amp;Y19,Variables!$P$2:$P$19,IF(T19="NorthBound","&lt;=","&gt;=")&amp;Z19))</f>
        <v>10</v>
      </c>
      <c r="V19" s="196" t="str">
        <f t="shared" si="3"/>
        <v>https://d0f6bd738d7f1b3e5a7ca70fe4ff75f0.us-east-1.aws.found.io/app/kibana#/discover/Steve-Slow-Train-Analysis-(2080s-and-2083s)?_g=(refreshInterval:(display:Off,pause:!f,section:0,value:0),time:(from:'2017-07-01T04:33:10-0600',mode:absolute,to:'2017-07-01T06:54:04-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19" s="197" t="str">
        <f>IF(AA19&lt;VLOOKUP(AG19,Variables!$AC$3:$AD$8,2,FALSE),"Y","N")</f>
        <v>Y</v>
      </c>
      <c r="X19" s="197">
        <f t="shared" si="4"/>
        <v>0</v>
      </c>
      <c r="Y19" s="197">
        <f t="shared" si="5"/>
        <v>8.6353000000000009</v>
      </c>
      <c r="Z19" s="197">
        <f t="shared" si="6"/>
        <v>1.41E-2</v>
      </c>
      <c r="AA19" s="197">
        <f t="shared" si="7"/>
        <v>8.6212000000000018</v>
      </c>
      <c r="AB19" s="54" t="e">
        <f>VLOOKUP(A19,Enforcements!$C$7:$K$13,8,0)</f>
        <v>#N/A</v>
      </c>
      <c r="AC19" s="51" t="e">
        <f>VLOOKUP(A19,Enforcements!$C$7:$E$13,3,0)</f>
        <v>#N/A</v>
      </c>
      <c r="AD19" s="206">
        <f t="shared" si="8"/>
        <v>106</v>
      </c>
      <c r="AE19" s="77" t="str">
        <f t="shared" si="9"/>
        <v>aws s3 cp s3://rtdc.mdm.uploadarchive.raw/RTDC4027/ "%USERPROFILE%\AppData\Local\Temp\OnboardLogs"\RTDC4027\2017-07-01 --exclude "*" --recursive --include "*20170701*" &amp; "%USERPROFILE%\Documents\GitHub\mrs-test-scripts\Headless Mode &amp; Sideloading\WalkAndUnGZ.bat" "%USERPROFILE%\AppData\Local\Temp\OnboardLogs"\RTDC4027\2017-07-01 &amp; aws s3 cp s3://rtdc.mdm.uploadarchive.raw/RTDC4027/ "%USERPROFILE%\AppData\Local\Temp\OnboardLogs"\RTDC4027\2017-07-02 --exclude "*" --recursive --include "*20170702*" &amp; "%USERPROFILE%\Documents\GitHub\mrs-test-scripts\Headless Mode &amp; Sideloading\WalkAndUnGZ.bat" "%USERPROFILE%\AppData\Local\Temp\OnboardLogs"\RTDC4027\2017-07-02</v>
      </c>
      <c r="AF19" s="74" t="str">
        <f t="shared" si="10"/>
        <v>"C:\Program Files (x86)\AstroGrep\AstroGrep.exe" /e /r /s /spath="%USERPROFILE%\AppData\Local\Temp\OnboardLogs" /stypes="app*4027*20170701*" /stext=" 11:.+((SYSTEM_STATE.+slice.+state.+changed )|(ment ac)|(multiple cpu faults)|(system.+state.+changed )|(\[timeout)|(PRM\|1\|D)|(kpr)|(kdp)|(train st.+moving)|(\|lc)|(penalty))"</v>
      </c>
      <c r="AG19" s="209" t="str">
        <f t="shared" si="11"/>
        <v>EC</v>
      </c>
      <c r="AH19" s="78" t="str">
        <f t="shared" si="16"/>
        <v>"%USERPROFILE%\Documents\GitHub\eaglep3\Utilities\RefineRTDCRunTimes.py" --tripid 106-01 --locoid 4027 --swversion DE.1.0.9.0 --startMP 204:86353 --initTime 2017-07-01T05:33:10 --startdatetime 2017-07-01T05:33:59 --delay 0 --endMP 204:141 --enddatetime 2017-07-01T05:54:04 --enforcementcount 0 &gt;&gt;C:\Users\stu\Documents\GitHub\eaglep3-reporting\EC\2017-07-01-refined-times.txt</v>
      </c>
      <c r="AI19" s="96" t="str">
        <f t="shared" si="17"/>
        <v>echo {"issue":{"subject":"","project_id":79,"tracker_id":40,"status_id":1,"priority_id":2,"assigned_to_id":23,"start_date":"2017-07-01","description":"","custom_fields":[{"id":1,"name":"Subdivision","value":"EC"},{"id":4,"name":"Milepost","value":"0.0141"},{"id":17,"name":"Train ID","value":"106-01"},{"id":16,"name":"Locomotive ID","value":"4027"},{"id":130,"name":"Impact","value":""},{"id":150,"name":"Time of Event (Mountain Time)","value":"05:54:04"},{"id":151,"name":"Denver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" s="20"/>
      <c r="AK19" s="47"/>
      <c r="AL19" s="47"/>
      <c r="AM19" s="142" t="str">
        <f t="shared" si="18"/>
        <v>start /low /b %USERPROFILE%\Documents\GitHub\eaglep3\Utilities\DownloadLogsFromS3.py --loco 4027 --day 2017-07-01</v>
      </c>
      <c r="AN19" s="151" t="str">
        <f t="shared" si="19"/>
        <v>echo {"issue":{"subject":"","project_id":30,"tracker_id":4,"status_id":1,"priority_id":1,"assigned_to_id":10,"start_date":"2017-07-01","description":"","custom_fields":[{"id":30,"name":"Category","value":"Issue"},{"id":3,"name":"Functional Component","value":"Onboard"},{"id":31,"name":"Version","value":"N/A"},{"id":8,"name":"Reporting RR","value":"WABTEC"},{"id":27,"name":"Locomotive ID","value":"4027"},{"id":20,"name":"RR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UTC","value":"2017-07-01 11:54:04"},{"id":29,"name":"Sharepoint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"/>
      <c r="AP19"/>
      <c r="AQ19"/>
      <c r="AR19"/>
      <c r="AS19"/>
      <c r="AT19"/>
      <c r="AU19"/>
      <c r="AV19"/>
      <c r="AW19"/>
      <c r="AX19"/>
      <c r="AY19"/>
      <c r="AZ19"/>
      <c r="BA19"/>
      <c r="BB19"/>
      <c r="BC19"/>
      <c r="BD19"/>
      <c r="BE19"/>
      <c r="BF19"/>
      <c r="BG19"/>
      <c r="BH19"/>
      <c r="BI19"/>
      <c r="BJ19"/>
      <c r="BK19"/>
      <c r="BL19"/>
      <c r="BM19"/>
      <c r="BN19"/>
      <c r="BO19"/>
      <c r="BP19"/>
      <c r="BQ19"/>
      <c r="BR19"/>
      <c r="BS19"/>
      <c r="BT19"/>
      <c r="BU19"/>
      <c r="BV19"/>
      <c r="BW19"/>
      <c r="BX19"/>
      <c r="BY19"/>
      <c r="BZ19"/>
      <c r="CA19"/>
      <c r="CB19"/>
      <c r="CC19"/>
      <c r="CD19"/>
      <c r="CE19"/>
      <c r="CF19"/>
      <c r="CG19"/>
      <c r="CH19"/>
      <c r="CI19"/>
      <c r="CJ19"/>
      <c r="CK19"/>
      <c r="CL19"/>
      <c r="CM19"/>
    </row>
    <row r="20" spans="1:91" s="1" customFormat="1" x14ac:dyDescent="0.25">
      <c r="A20" s="32" t="s">
        <v>702</v>
      </c>
      <c r="B20" s="7">
        <v>4014</v>
      </c>
      <c r="C20" s="21" t="s">
        <v>202</v>
      </c>
      <c r="D20" s="21" t="s">
        <v>479</v>
      </c>
      <c r="E20" s="13">
        <v>42917.183263888888</v>
      </c>
      <c r="F20" s="13">
        <v>42917.187997685185</v>
      </c>
      <c r="G20" s="7">
        <v>1</v>
      </c>
      <c r="H20" s="21" t="s">
        <v>883</v>
      </c>
      <c r="I20" s="13">
        <v>42917.212627314817</v>
      </c>
      <c r="J20" s="7">
        <v>0</v>
      </c>
      <c r="K20" s="89" t="str">
        <f t="shared" si="0"/>
        <v>4013/4014</v>
      </c>
      <c r="L20" s="21" t="str">
        <f>VLOOKUP(A20,'Trips&amp;Operators'!$C$1:$G$99999,5,FALSE)</f>
        <v>GEBRETEKLE DAGNEW</v>
      </c>
      <c r="M20" s="6">
        <f t="shared" si="1"/>
        <v>2.4629629631817807E-2</v>
      </c>
      <c r="N20" s="7">
        <f t="shared" ref="N20:N51" si="20">24*60*SUM($M20:$M20)</f>
        <v>35.466666669817641</v>
      </c>
      <c r="O20" s="7"/>
      <c r="P20" s="7"/>
      <c r="Q20" s="22"/>
      <c r="R20" s="170"/>
      <c r="S20" s="213">
        <f t="shared" ref="S20:S51" si="21">SUM(U20:U20)/IF(AG20="EC",12,1)</f>
        <v>1</v>
      </c>
      <c r="T20" s="195" t="str">
        <f t="shared" si="2"/>
        <v>NorthBound</v>
      </c>
      <c r="U20" s="195">
        <f>IF(AG20="EC",COUNTIFS(Variables!$M$2:$M$19,IF(T20="NorthBound","&gt;=","&lt;=")&amp;Y20,Variables!$M$2:$M$19,IF(T20="NorthBound","&lt;=","&gt;=")&amp;Z20),COUNTIFS(Variables!$P$2:$P$19,IF(T20="NorthBound","&gt;=","&lt;=")&amp;Y20,Variables!$P$2:$P$19,IF(T20="NorthBound","&lt;=","&gt;=")&amp;Z20))</f>
        <v>12</v>
      </c>
      <c r="V20" s="196" t="str">
        <f t="shared" si="3"/>
        <v>https://d0f6bd738d7f1b3e5a7ca70fe4ff75f0.us-east-1.aws.found.io/app/kibana#/discover/Steve-Slow-Train-Analysis-(2080s-and-2083s)?_g=(refreshInterval:(display:Off,pause:!f,section:0,value:0),time:(from:'2017-07-01T03:23:54-0600',mode:absolute,to:'2017-07-01T06:06:11-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20" s="197" t="str">
        <f>IF(AA20&lt;VLOOKUP(AG20,Variables!$AC$3:$AD$8,2,FALSE),"Y","N")</f>
        <v>N</v>
      </c>
      <c r="X20" s="197">
        <f t="shared" si="4"/>
        <v>1</v>
      </c>
      <c r="Y20" s="197">
        <f t="shared" si="5"/>
        <v>4.3999999999999997E-2</v>
      </c>
      <c r="Z20" s="197">
        <f t="shared" si="6"/>
        <v>23.334900000000001</v>
      </c>
      <c r="AA20" s="197">
        <f t="shared" si="7"/>
        <v>23.290900000000001</v>
      </c>
      <c r="AB20" s="54" t="e">
        <f>VLOOKUP(A20,Enforcements!$C$7:$K$13,8,0)</f>
        <v>#N/A</v>
      </c>
      <c r="AC20" s="51" t="e">
        <f>VLOOKUP(A20,Enforcements!$C$7:$E$13,3,0)</f>
        <v>#N/A</v>
      </c>
      <c r="AD20" s="206">
        <f t="shared" si="8"/>
        <v>107</v>
      </c>
      <c r="AE20" s="77" t="str">
        <f t="shared" si="9"/>
        <v>aws s3 cp s3://rtdc.mdm.uploadarchive.raw/RTDC4014/ "%USERPROFILE%\AppData\Local\Temp\OnboardLogs"\RTDC4014\2017-07-01 --exclude "*" --recursive --include "*20170701*" &amp; "%USERPROFILE%\Documents\GitHub\mrs-test-scripts\Headless Mode &amp; Sideloading\WalkAndUnGZ.bat" "%USERPROFILE%\AppData\Local\Temp\OnboardLogs"\RTDC4014\2017-07-01 &amp; aws s3 cp s3://rtdc.mdm.uploadarchive.raw/RTDC4014/ "%USERPROFILE%\AppData\Local\Temp\OnboardLogs"\RTDC4014\2017-07-02 --exclude "*" --recursive --include "*20170702*" &amp; "%USERPROFILE%\Documents\GitHub\mrs-test-scripts\Headless Mode &amp; Sideloading\WalkAndUnGZ.bat" "%USERPROFILE%\AppData\Local\Temp\OnboardLogs"\RTDC4014\2017-07-02</v>
      </c>
      <c r="AF20" s="74" t="str">
        <f t="shared" si="10"/>
        <v>"C:\Program Files (x86)\AstroGrep\AstroGrep.exe" /e /r /s /spath="%USERPROFILE%\AppData\Local\Temp\OnboardLogs" /stypes="app*4014*20170701*" /stext=" 11:.+((SYSTEM_STATE.+slice.+state.+changed )|(ment ac)|(multiple cpu faults)|(system.+state.+changed )|(\[timeout)|(PRM\|1\|D)|(kpr)|(kdp)|(train st.+moving)|(\|lc)|(penalty))"</v>
      </c>
      <c r="AG20" s="209" t="str">
        <f t="shared" si="11"/>
        <v>EC</v>
      </c>
      <c r="AH20" s="78" t="str">
        <f t="shared" si="16"/>
        <v>"%USERPROFILE%\Documents\GitHub\eaglep3\Utilities\RefineRTDCRunTimes.py" --tripid 107-01 --locoid 4014 --swversion DE.1.0.9.0 --startMP 204:440 --initTime 2017-07-01T04:23:54 --startdatetime 2017-07-01T04:30:43 --delay 1 --endMP 204:233349 --enddatetime 2017-07-01T05:06:11 --enforcementcount 0 &gt;&gt;C:\Users\stu\Documents\GitHub\eaglep3-reporting\EC\2017-07-01-refined-times.txt</v>
      </c>
      <c r="AI20" s="96" t="str">
        <f t="shared" si="17"/>
        <v>echo {"issue":{"subject":"","project_id":79,"tracker_id":40,"status_id":1,"priority_id":2,"assigned_to_id":23,"start_date":"2017-07-01","description":"","custom_fields":[{"id":1,"name":"Subdivision","value":"EC"},{"id":4,"name":"Milepost","value":"23.3349"},{"id":17,"name":"Train ID","value":"107-01"},{"id":16,"name":"Locomotive ID","value":"4014"},{"id":130,"name":"Impact","value":""},{"id":150,"name":"Time of Event (Mountain Time)","value":"05:06:11"},{"id":151,"name":"Denver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" s="20"/>
      <c r="AK20" s="47"/>
      <c r="AL20" s="47"/>
      <c r="AM20" s="142" t="str">
        <f t="shared" si="18"/>
        <v>start /low /b %USERPROFILE%\Documents\GitHub\eaglep3\Utilities\DownloadLogsFromS3.py --loco 4014 --day 2017-07-01</v>
      </c>
      <c r="AN20" s="151" t="str">
        <f t="shared" si="19"/>
        <v>echo {"issue":{"subject":"","project_id":30,"tracker_id":4,"status_id":1,"priority_id":1,"assigned_to_id":10,"start_date":"2017-07-01","description":"","custom_fields":[{"id":30,"name":"Category","value":"Issue"},{"id":3,"name":"Functional Component","value":"Onboard"},{"id":31,"name":"Version","value":"N/A"},{"id":8,"name":"Reporting RR","value":"WABTEC"},{"id":27,"name":"Locomotive ID","value":"4014"},{"id":20,"name":"RR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UTC","value":"2017-07-01 11:06:11"},{"id":29,"name":"Sharepoint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"/>
      <c r="AP20"/>
      <c r="AQ20"/>
      <c r="AR20"/>
      <c r="AS20"/>
      <c r="AT20"/>
      <c r="AU20"/>
      <c r="AV20"/>
      <c r="AW20"/>
      <c r="AX20"/>
      <c r="AY20"/>
      <c r="AZ20"/>
      <c r="BA20"/>
      <c r="BB20"/>
      <c r="BC20"/>
      <c r="BD20"/>
      <c r="BE20"/>
      <c r="BF20"/>
      <c r="BG20"/>
      <c r="BH20"/>
      <c r="BI20"/>
      <c r="BJ20"/>
      <c r="BK20"/>
      <c r="BL20"/>
      <c r="BM20"/>
      <c r="BN20"/>
      <c r="BO20"/>
      <c r="BP20"/>
      <c r="BQ20"/>
      <c r="BR20"/>
      <c r="BS20"/>
      <c r="BT20"/>
      <c r="BU20"/>
      <c r="BV20"/>
      <c r="BW20"/>
      <c r="BX20"/>
      <c r="BY20"/>
      <c r="BZ20"/>
      <c r="CA20"/>
      <c r="CB20"/>
      <c r="CC20"/>
      <c r="CD20"/>
      <c r="CE20"/>
      <c r="CF20"/>
      <c r="CG20"/>
      <c r="CH20"/>
      <c r="CI20"/>
      <c r="CJ20"/>
      <c r="CK20"/>
      <c r="CL20"/>
      <c r="CM20"/>
    </row>
    <row r="21" spans="1:91" s="1" customFormat="1" x14ac:dyDescent="0.25">
      <c r="A21" s="32" t="s">
        <v>711</v>
      </c>
      <c r="B21" s="7">
        <v>4013</v>
      </c>
      <c r="C21" s="21" t="s">
        <v>202</v>
      </c>
      <c r="D21" s="21" t="s">
        <v>884</v>
      </c>
      <c r="E21" s="13">
        <v>42917.213865740741</v>
      </c>
      <c r="F21" s="13">
        <v>42917.227256944447</v>
      </c>
      <c r="G21" s="7">
        <v>0</v>
      </c>
      <c r="H21" s="21" t="s">
        <v>359</v>
      </c>
      <c r="I21" s="13">
        <v>42917.254710648151</v>
      </c>
      <c r="J21" s="7">
        <v>0</v>
      </c>
      <c r="K21" s="89" t="str">
        <f t="shared" si="0"/>
        <v>4013/4014</v>
      </c>
      <c r="L21" s="21" t="str">
        <f>VLOOKUP(A21,'Trips&amp;Operators'!$C$1:$G$99999,5,FALSE)</f>
        <v>GEBRETEKLE DAGNEW</v>
      </c>
      <c r="M21" s="6">
        <f t="shared" si="1"/>
        <v>2.7453703703940846E-2</v>
      </c>
      <c r="N21" s="7">
        <f t="shared" si="20"/>
        <v>39.533333333674818</v>
      </c>
      <c r="O21" s="7"/>
      <c r="P21" s="7"/>
      <c r="Q21" s="22"/>
      <c r="R21" s="170"/>
      <c r="S21" s="213">
        <f t="shared" si="21"/>
        <v>1</v>
      </c>
      <c r="T21" s="195" t="str">
        <f t="shared" si="2"/>
        <v>Southbound</v>
      </c>
      <c r="U21" s="195">
        <f>IF(AG21="EC",COUNTIFS(Variables!$M$2:$M$19,IF(T21="NorthBound","&gt;=","&lt;=")&amp;Y21,Variables!$M$2:$M$19,IF(T21="NorthBound","&lt;=","&gt;=")&amp;Z21),COUNTIFS(Variables!$P$2:$P$19,IF(T21="NorthBound","&gt;=","&lt;=")&amp;Y21,Variables!$P$2:$P$19,IF(T21="NorthBound","&lt;=","&gt;=")&amp;Z21))</f>
        <v>12</v>
      </c>
      <c r="V21" s="196" t="str">
        <f t="shared" si="3"/>
        <v>https://d0f6bd738d7f1b3e5a7ca70fe4ff75f0.us-east-1.aws.found.io/app/kibana#/discover/Steve-Slow-Train-Analysis-(2080s-and-2083s)?_g=(refreshInterval:(display:Off,pause:!f,section:0,value:0),time:(from:'2017-07-01T04:07:58-0600',mode:absolute,to:'2017-07-01T07:06:47-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21" s="197" t="str">
        <f>IF(AA21&lt;VLOOKUP(AG21,Variables!$AC$3:$AD$8,2,FALSE),"Y","N")</f>
        <v>N</v>
      </c>
      <c r="X21" s="197">
        <f t="shared" si="4"/>
        <v>1</v>
      </c>
      <c r="Y21" s="197">
        <f t="shared" si="5"/>
        <v>23.3064</v>
      </c>
      <c r="Z21" s="197">
        <f t="shared" si="6"/>
        <v>1.47E-2</v>
      </c>
      <c r="AA21" s="197">
        <f t="shared" si="7"/>
        <v>23.291699999999999</v>
      </c>
      <c r="AB21" s="54" t="e">
        <f>VLOOKUP(A21,Enforcements!$C$7:$K$13,8,0)</f>
        <v>#N/A</v>
      </c>
      <c r="AC21" s="51" t="e">
        <f>VLOOKUP(A21,Enforcements!$C$7:$E$13,3,0)</f>
        <v>#N/A</v>
      </c>
      <c r="AD21" s="206">
        <f t="shared" si="8"/>
        <v>108</v>
      </c>
      <c r="AE21" s="77" t="str">
        <f t="shared" si="9"/>
        <v>aws s3 cp s3://rtdc.mdm.uploadarchive.raw/RTDC4013/ "%USERPROFILE%\AppData\Local\Temp\OnboardLogs"\RTDC4013\2017-07-01 --exclude "*" --recursive --include "*20170701*" &amp; "%USERPROFILE%\Documents\GitHub\mrs-test-scripts\Headless Mode &amp; Sideloading\WalkAndUnGZ.bat" "%USERPROFILE%\AppData\Local\Temp\OnboardLogs"\RTDC4013\2017-07-01 &amp; aws s3 cp s3://rtdc.mdm.uploadarchive.raw/RTDC4013/ "%USERPROFILE%\AppData\Local\Temp\OnboardLogs"\RTDC4013\2017-07-02 --exclude "*" --recursive --include "*20170702*" &amp; "%USERPROFILE%\Documents\GitHub\mrs-test-scripts\Headless Mode &amp; Sideloading\WalkAndUnGZ.bat" "%USERPROFILE%\AppData\Local\Temp\OnboardLogs"\RTDC4013\2017-07-02</v>
      </c>
      <c r="AF21" s="74" t="str">
        <f t="shared" si="10"/>
        <v>"C:\Program Files (x86)\AstroGrep\AstroGrep.exe" /e /r /s /spath="%USERPROFILE%\AppData\Local\Temp\OnboardLogs" /stypes="app*4013*20170701*" /stext=" 12:.+((SYSTEM_STATE.+slice.+state.+changed )|(ment ac)|(multiple cpu faults)|(system.+state.+changed )|(\[timeout)|(PRM\|1\|D)|(kpr)|(kdp)|(train st.+moving)|(\|lc)|(penalty))"</v>
      </c>
      <c r="AG21" s="209" t="str">
        <f t="shared" si="11"/>
        <v>EC</v>
      </c>
      <c r="AH21" s="78" t="str">
        <f t="shared" si="16"/>
        <v>"%USERPROFILE%\Documents\GitHub\eaglep3\Utilities\RefineRTDCRunTimes.py" --tripid 108-01 --locoid 4013 --swversion DE.1.0.9.0 --startMP 204:233064 --initTime 2017-07-01T05:07:58 --startdatetime 2017-07-01T05:27:15 --delay 0 --endMP 204:147 --enddatetime 2017-07-01T06:06:47 --enforcementcount 0 &gt;&gt;C:\Users\stu\Documents\GitHub\eaglep3-reporting\EC\2017-07-01-refined-times.txt</v>
      </c>
      <c r="AI21" s="96" t="str">
        <f t="shared" si="17"/>
        <v>echo {"issue":{"subject":"","project_id":79,"tracker_id":40,"status_id":1,"priority_id":2,"assigned_to_id":23,"start_date":"2017-07-01","description":"","custom_fields":[{"id":1,"name":"Subdivision","value":"EC"},{"id":4,"name":"Milepost","value":"0.0147"},{"id":17,"name":"Train ID","value":"108-01"},{"id":16,"name":"Locomotive ID","value":"4013"},{"id":130,"name":"Impact","value":""},{"id":150,"name":"Time of Event (Mountain Time)","value":"06:06:47"},{"id":151,"name":"Denver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" s="20"/>
      <c r="AK21" s="47"/>
      <c r="AL21" s="47"/>
      <c r="AM21" s="142" t="str">
        <f t="shared" si="18"/>
        <v>start /low /b %USERPROFILE%\Documents\GitHub\eaglep3\Utilities\DownloadLogsFromS3.py --loco 4013 --day 2017-07-01</v>
      </c>
      <c r="AN21" s="151" t="str">
        <f t="shared" si="19"/>
        <v>echo {"issue":{"subject":"","project_id":30,"tracker_id":4,"status_id":1,"priority_id":1,"assigned_to_id":10,"start_date":"2017-07-01","description":"","custom_fields":[{"id":30,"name":"Category","value":"Issue"},{"id":3,"name":"Functional Component","value":"Onboard"},{"id":31,"name":"Version","value":"N/A"},{"id":8,"name":"Reporting RR","value":"WABTEC"},{"id":27,"name":"Locomotive ID","value":"4013"},{"id":20,"name":"RR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UTC","value":"2017-07-01 12:06:47"},{"id":29,"name":"Sharepoint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"/>
      <c r="AP21"/>
      <c r="AQ21"/>
      <c r="AR21"/>
      <c r="AS21"/>
      <c r="AT21"/>
      <c r="AU21"/>
      <c r="AV21"/>
      <c r="AW21"/>
      <c r="AX21"/>
      <c r="AY21"/>
      <c r="AZ21"/>
      <c r="BA21"/>
      <c r="BB21"/>
      <c r="BC21"/>
      <c r="BD21"/>
      <c r="BE21"/>
      <c r="BF21"/>
      <c r="BG21"/>
      <c r="BH21"/>
      <c r="BI21"/>
      <c r="BJ21"/>
      <c r="BK21"/>
      <c r="BL21"/>
      <c r="BM21"/>
      <c r="BN21"/>
      <c r="BO21"/>
      <c r="BP21"/>
      <c r="BQ21"/>
      <c r="BR21"/>
      <c r="BS21"/>
      <c r="BT21"/>
      <c r="BU21"/>
      <c r="BV21"/>
      <c r="BW21"/>
      <c r="BX21"/>
      <c r="BY21"/>
      <c r="BZ21"/>
      <c r="CA21"/>
      <c r="CB21"/>
      <c r="CC21"/>
      <c r="CD21"/>
      <c r="CE21"/>
      <c r="CF21"/>
      <c r="CG21"/>
      <c r="CH21"/>
      <c r="CI21"/>
      <c r="CJ21"/>
      <c r="CK21"/>
      <c r="CL21"/>
      <c r="CM21"/>
    </row>
    <row r="22" spans="1:91" s="1" customFormat="1" x14ac:dyDescent="0.25">
      <c r="A22" s="32" t="s">
        <v>706</v>
      </c>
      <c r="B22" s="7">
        <v>4062</v>
      </c>
      <c r="C22" s="21" t="s">
        <v>202</v>
      </c>
      <c r="D22" s="21" t="s">
        <v>391</v>
      </c>
      <c r="E22" s="13">
        <v>42917.193414351852</v>
      </c>
      <c r="F22" s="13">
        <v>42917.198425925926</v>
      </c>
      <c r="G22" s="7">
        <v>1</v>
      </c>
      <c r="H22" s="21" t="s">
        <v>613</v>
      </c>
      <c r="I22" s="13">
        <v>42917.22252314815</v>
      </c>
      <c r="J22" s="7">
        <v>0</v>
      </c>
      <c r="K22" s="89" t="str">
        <f t="shared" si="0"/>
        <v>4061/4062</v>
      </c>
      <c r="L22" s="21" t="str">
        <f>VLOOKUP(A22,'Trips&amp;Operators'!$C$1:$G$99999,5,FALSE)</f>
        <v>LALONDE GREGORY</v>
      </c>
      <c r="M22" s="6">
        <f t="shared" si="1"/>
        <v>2.4097222223645076E-2</v>
      </c>
      <c r="N22" s="7">
        <f t="shared" si="20"/>
        <v>34.70000000204891</v>
      </c>
      <c r="O22" s="7"/>
      <c r="P22" s="7"/>
      <c r="Q22" s="22"/>
      <c r="R22" s="170"/>
      <c r="S22" s="213">
        <f t="shared" si="21"/>
        <v>1</v>
      </c>
      <c r="T22" s="195" t="str">
        <f t="shared" si="2"/>
        <v>NorthBound</v>
      </c>
      <c r="U22" s="195">
        <f>IF(AG22="EC",COUNTIFS(Variables!$M$2:$M$19,IF(T22="NorthBound","&gt;=","&lt;=")&amp;Y22,Variables!$M$2:$M$19,IF(T22="NorthBound","&lt;=","&gt;=")&amp;Z22),COUNTIFS(Variables!$P$2:$P$19,IF(T22="NorthBound","&gt;=","&lt;=")&amp;Y22,Variables!$P$2:$P$19,IF(T22="NorthBound","&lt;=","&gt;=")&amp;Z22))</f>
        <v>12</v>
      </c>
      <c r="V22" s="196" t="str">
        <f t="shared" si="3"/>
        <v>https://d0f6bd738d7f1b3e5a7ca70fe4ff75f0.us-east-1.aws.found.io/app/kibana#/discover/Steve-Slow-Train-Analysis-(2080s-and-2083s)?_g=(refreshInterval:(display:Off,pause:!f,section:0,value:0),time:(from:'2017-07-01T03:38:31-0600',mode:absolute,to:'2017-07-01T06:20:26-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4062%22')),sort:!(Time.ISO8601,asc))</v>
      </c>
      <c r="W22" s="197" t="str">
        <f>IF(AA22&lt;VLOOKUP(AG22,Variables!$AC$3:$AD$8,2,FALSE),"Y","N")</f>
        <v>N</v>
      </c>
      <c r="X22" s="197">
        <f t="shared" si="4"/>
        <v>1</v>
      </c>
      <c r="Y22" s="197">
        <f t="shared" si="5"/>
        <v>4.6199999999999998E-2</v>
      </c>
      <c r="Z22" s="197">
        <f t="shared" si="6"/>
        <v>23.333200000000001</v>
      </c>
      <c r="AA22" s="197">
        <f t="shared" si="7"/>
        <v>23.287000000000003</v>
      </c>
      <c r="AB22" s="54" t="e">
        <f>VLOOKUP(A22,Enforcements!$C$7:$K$13,8,0)</f>
        <v>#N/A</v>
      </c>
      <c r="AC22" s="51" t="e">
        <f>VLOOKUP(A22,Enforcements!$C$7:$E$13,3,0)</f>
        <v>#N/A</v>
      </c>
      <c r="AD22" s="206">
        <f t="shared" si="8"/>
        <v>109</v>
      </c>
      <c r="AE22" s="77" t="str">
        <f t="shared" si="9"/>
        <v>aws s3 cp s3://rtdc.mdm.uploadarchive.raw/RTDC4062/ "%USERPROFILE%\AppData\Local\Temp\OnboardLogs"\RTDC4062\2017-07-01 --exclude "*" --recursive --include "*20170701*" &amp; "%USERPROFILE%\Documents\GitHub\mrs-test-scripts\Headless Mode &amp; Sideloading\WalkAndUnGZ.bat" "%USERPROFILE%\AppData\Local\Temp\OnboardLogs"\RTDC4062\2017-07-01 &amp; aws s3 cp s3://rtdc.mdm.uploadarchive.raw/RTDC4062/ "%USERPROFILE%\AppData\Local\Temp\OnboardLogs"\RTDC4062\2017-07-02 --exclude "*" --recursive --include "*20170702*" &amp; "%USERPROFILE%\Documents\GitHub\mrs-test-scripts\Headless Mode &amp; Sideloading\WalkAndUnGZ.bat" "%USERPROFILE%\AppData\Local\Temp\OnboardLogs"\RTDC4062\2017-07-02</v>
      </c>
      <c r="AF22" s="74" t="str">
        <f t="shared" si="10"/>
        <v>"C:\Program Files (x86)\AstroGrep\AstroGrep.exe" /e /r /s /spath="%USERPROFILE%\AppData\Local\Temp\OnboardLogs" /stypes="app*4062*20170701*" /stext=" 11:.+((SYSTEM_STATE.+slice.+state.+changed )|(ment ac)|(multiple cpu faults)|(system.+state.+changed )|(\[timeout)|(PRM\|1\|D)|(kpr)|(kdp)|(train st.+moving)|(\|lc)|(penalty))"</v>
      </c>
      <c r="AG22" s="209" t="str">
        <f t="shared" si="11"/>
        <v>EC</v>
      </c>
      <c r="AH22" s="78" t="str">
        <f t="shared" si="16"/>
        <v>"%USERPROFILE%\Documents\GitHub\eaglep3\Utilities\RefineRTDCRunTimes.py" --tripid 109-01 --locoid 4062 --swversion DE.1.0.9.0 --startMP 204:462 --initTime 2017-07-01T04:38:31 --startdatetime 2017-07-01T04:45:44 --delay 1 --endMP 204:233332 --enddatetime 2017-07-01T05:20:26 --enforcementcount 0 &gt;&gt;C:\Users\stu\Documents\GitHub\eaglep3-reporting\EC\2017-07-01-refined-times.txt</v>
      </c>
      <c r="AI22" s="96" t="str">
        <f t="shared" si="17"/>
        <v>echo {"issue":{"subject":"","project_id":79,"tracker_id":40,"status_id":1,"priority_id":2,"assigned_to_id":23,"start_date":"2017-07-01","description":"","custom_fields":[{"id":1,"name":"Subdivision","value":"EC"},{"id":4,"name":"Milepost","value":"23.3332"},{"id":17,"name":"Train ID","value":"109-01"},{"id":16,"name":"Locomotive ID","value":"4062"},{"id":130,"name":"Impact","value":""},{"id":150,"name":"Time of Event (Mountain Time)","value":"05:20:26"},{"id":151,"name":"Denver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" s="20"/>
      <c r="AK22" s="47"/>
      <c r="AL22" s="47"/>
      <c r="AM22" s="142" t="str">
        <f t="shared" si="18"/>
        <v>start /low /b %USERPROFILE%\Documents\GitHub\eaglep3\Utilities\DownloadLogsFromS3.py --loco 4062 --day 2017-07-01</v>
      </c>
      <c r="AN22" s="151" t="str">
        <f t="shared" si="19"/>
        <v>echo {"issue":{"subject":"","project_id":30,"tracker_id":4,"status_id":1,"priority_id":1,"assigned_to_id":10,"start_date":"2017-07-01","description":"","custom_fields":[{"id":30,"name":"Category","value":"Issue"},{"id":3,"name":"Functional Component","value":"Onboard"},{"id":31,"name":"Version","value":"N/A"},{"id":8,"name":"Reporting RR","value":"WABTEC"},{"id":27,"name":"Locomotive ID","value":"4062"},{"id":20,"name":"RR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UTC","value":"2017-07-01 11:20:26"},{"id":29,"name":"Sharepoint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"/>
      <c r="AP22"/>
      <c r="AQ22"/>
      <c r="AR22"/>
      <c r="AS22"/>
      <c r="AT22"/>
      <c r="AU22"/>
      <c r="AV22"/>
      <c r="AW22"/>
      <c r="AX22"/>
      <c r="AY22"/>
      <c r="AZ22"/>
      <c r="BA22"/>
      <c r="BB22"/>
      <c r="BC22"/>
      <c r="BD22"/>
      <c r="BE22"/>
      <c r="BF22"/>
      <c r="BG22"/>
      <c r="BH22"/>
      <c r="BI22"/>
      <c r="BJ22"/>
      <c r="BK22"/>
      <c r="BL22"/>
      <c r="BM22"/>
      <c r="BN22"/>
      <c r="BO22"/>
      <c r="BP22"/>
      <c r="BQ22"/>
      <c r="BR22"/>
      <c r="BS22"/>
      <c r="BT22"/>
      <c r="BU22"/>
      <c r="BV22"/>
      <c r="BW22"/>
      <c r="BX22"/>
      <c r="BY22"/>
      <c r="BZ22"/>
      <c r="CA22"/>
      <c r="CB22"/>
      <c r="CC22"/>
      <c r="CD22"/>
      <c r="CE22"/>
      <c r="CF22"/>
      <c r="CG22"/>
      <c r="CH22"/>
      <c r="CI22"/>
      <c r="CJ22"/>
      <c r="CK22"/>
      <c r="CL22"/>
      <c r="CM22"/>
    </row>
    <row r="23" spans="1:91" s="1" customFormat="1" x14ac:dyDescent="0.25">
      <c r="A23" s="32" t="s">
        <v>638</v>
      </c>
      <c r="B23" s="7">
        <v>4061</v>
      </c>
      <c r="C23" s="21" t="s">
        <v>202</v>
      </c>
      <c r="D23" s="21" t="s">
        <v>885</v>
      </c>
      <c r="E23" s="13">
        <v>42917.22415509259</v>
      </c>
      <c r="F23" s="13">
        <v>42917.237650462965</v>
      </c>
      <c r="G23" s="7">
        <v>1</v>
      </c>
      <c r="H23" s="21" t="s">
        <v>394</v>
      </c>
      <c r="I23" s="13">
        <v>42917.265868055554</v>
      </c>
      <c r="J23" s="7">
        <v>0</v>
      </c>
      <c r="K23" s="89" t="str">
        <f t="shared" si="0"/>
        <v>4061/4062</v>
      </c>
      <c r="L23" s="21" t="str">
        <f>VLOOKUP(A23,'Trips&amp;Operators'!$C$1:$G$99999,5,FALSE)</f>
        <v>LALONDE GREGORY</v>
      </c>
      <c r="M23" s="6">
        <f t="shared" si="1"/>
        <v>2.8217592589498963E-2</v>
      </c>
      <c r="N23" s="7">
        <f t="shared" si="20"/>
        <v>40.633333328878507</v>
      </c>
      <c r="O23" s="7"/>
      <c r="P23" s="7"/>
      <c r="Q23" s="22"/>
      <c r="R23" s="170"/>
      <c r="S23" s="213">
        <f t="shared" si="21"/>
        <v>1</v>
      </c>
      <c r="T23" s="195" t="str">
        <f t="shared" si="2"/>
        <v>Southbound</v>
      </c>
      <c r="U23" s="195">
        <f>IF(AG23="EC",COUNTIFS(Variables!$M$2:$M$19,IF(T23="NorthBound","&gt;=","&lt;=")&amp;Y23,Variables!$M$2:$M$19,IF(T23="NorthBound","&lt;=","&gt;=")&amp;Z23),COUNTIFS(Variables!$P$2:$P$19,IF(T23="NorthBound","&gt;=","&lt;=")&amp;Y23,Variables!$P$2:$P$19,IF(T23="NorthBound","&lt;=","&gt;=")&amp;Z23))</f>
        <v>12</v>
      </c>
      <c r="V23" s="196" t="str">
        <f t="shared" si="3"/>
        <v>https://d0f6bd738d7f1b3e5a7ca70fe4ff75f0.us-east-1.aws.found.io/app/kibana#/discover/Steve-Slow-Train-Analysis-(2080s-and-2083s)?_g=(refreshInterval:(display:Off,pause:!f,section:0,value:0),time:(from:'2017-07-01T04:22:47-0600',mode:absolute,to:'2017-07-01T07:22:51-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4061%22')),sort:!(Time.ISO8601,asc))</v>
      </c>
      <c r="W23" s="197" t="str">
        <f>IF(AA23&lt;VLOOKUP(AG23,Variables!$AC$3:$AD$8,2,FALSE),"Y","N")</f>
        <v>N</v>
      </c>
      <c r="X23" s="197">
        <f t="shared" si="4"/>
        <v>1</v>
      </c>
      <c r="Y23" s="197">
        <f t="shared" si="5"/>
        <v>23.302299999999999</v>
      </c>
      <c r="Z23" s="197">
        <f t="shared" si="6"/>
        <v>1.54E-2</v>
      </c>
      <c r="AA23" s="197">
        <f t="shared" si="7"/>
        <v>23.286899999999999</v>
      </c>
      <c r="AB23" s="54" t="e">
        <f>VLOOKUP(A23,Enforcements!$C$7:$K$13,8,0)</f>
        <v>#N/A</v>
      </c>
      <c r="AC23" s="51" t="e">
        <f>VLOOKUP(A23,Enforcements!$C$7:$E$13,3,0)</f>
        <v>#N/A</v>
      </c>
      <c r="AD23" s="206">
        <f t="shared" si="8"/>
        <v>110</v>
      </c>
      <c r="AE23" s="77" t="str">
        <f t="shared" si="9"/>
        <v>aws s3 cp s3://rtdc.mdm.uploadarchive.raw/RTDC4061/ "%USERPROFILE%\AppData\Local\Temp\OnboardLogs"\RTDC4061\2017-07-01 --exclude "*" --recursive --include "*20170701*" &amp; "%USERPROFILE%\Documents\GitHub\mrs-test-scripts\Headless Mode &amp; Sideloading\WalkAndUnGZ.bat" "%USERPROFILE%\AppData\Local\Temp\OnboardLogs"\RTDC4061\2017-07-01 &amp; aws s3 cp s3://rtdc.mdm.uploadarchive.raw/RTDC4061/ "%USERPROFILE%\AppData\Local\Temp\OnboardLogs"\RTDC4061\2017-07-02 --exclude "*" --recursive --include "*20170702*" &amp; "%USERPROFILE%\Documents\GitHub\mrs-test-scripts\Headless Mode &amp; Sideloading\WalkAndUnGZ.bat" "%USERPROFILE%\AppData\Local\Temp\OnboardLogs"\RTDC4061\2017-07-02</v>
      </c>
      <c r="AF23" s="74" t="str">
        <f t="shared" si="10"/>
        <v>"C:\Program Files (x86)\AstroGrep\AstroGrep.exe" /e /r /s /spath="%USERPROFILE%\AppData\Local\Temp\OnboardLogs" /stypes="app*4061*20170701*" /stext=" 12:.+((SYSTEM_STATE.+slice.+state.+changed )|(ment ac)|(multiple cpu faults)|(system.+state.+changed )|(\[timeout)|(PRM\|1\|D)|(kpr)|(kdp)|(train st.+moving)|(\|lc)|(penalty))"</v>
      </c>
      <c r="AG23" s="209" t="str">
        <f t="shared" si="11"/>
        <v>EC</v>
      </c>
      <c r="AH23" s="78" t="str">
        <f t="shared" si="16"/>
        <v>"%USERPROFILE%\Documents\GitHub\eaglep3\Utilities\RefineRTDCRunTimes.py" --tripid 110-01 --locoid 4061 --swversion DE.1.0.9.0 --startMP 204:233023 --initTime 2017-07-01T05:22:47 --startdatetime 2017-07-01T05:42:13 --delay 1 --endMP 204:154 --enddatetime 2017-07-01T06:22:51 --enforcementcount 0 &gt;&gt;C:\Users\stu\Documents\GitHub\eaglep3-reporting\EC\2017-07-01-refined-times.txt</v>
      </c>
      <c r="AI23" s="96" t="str">
        <f t="shared" si="17"/>
        <v>echo {"issue":{"subject":"","project_id":79,"tracker_id":40,"status_id":1,"priority_id":2,"assigned_to_id":23,"start_date":"2017-07-01","description":"","custom_fields":[{"id":1,"name":"Subdivision","value":"EC"},{"id":4,"name":"Milepost","value":"0.0154"},{"id":17,"name":"Train ID","value":"110-01"},{"id":16,"name":"Locomotive ID","value":"4061"},{"id":130,"name":"Impact","value":""},{"id":150,"name":"Time of Event (Mountain Time)","value":"06:22:51"},{"id":151,"name":"Denver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" s="20"/>
      <c r="AK23" s="47"/>
      <c r="AL23" s="47"/>
      <c r="AM23" s="142" t="str">
        <f t="shared" si="18"/>
        <v>start /low /b %USERPROFILE%\Documents\GitHub\eaglep3\Utilities\DownloadLogsFromS3.py --loco 4061 --day 2017-07-01</v>
      </c>
      <c r="AN23" s="151" t="str">
        <f t="shared" si="19"/>
        <v>echo {"issue":{"subject":"","project_id":30,"tracker_id":4,"status_id":1,"priority_id":1,"assigned_to_id":10,"start_date":"2017-07-01","description":"","custom_fields":[{"id":30,"name":"Category","value":"Issue"},{"id":3,"name":"Functional Component","value":"Onboard"},{"id":31,"name":"Version","value":"N/A"},{"id":8,"name":"Reporting RR","value":"WABTEC"},{"id":27,"name":"Locomotive ID","value":"4061"},{"id":20,"name":"RR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UTC","value":"2017-07-01 12:22:51"},{"id":29,"name":"Sharepoint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3"/>
      <c r="AP23"/>
      <c r="AQ23"/>
      <c r="AR23"/>
      <c r="AS23"/>
      <c r="AT23"/>
      <c r="AU23"/>
      <c r="AV23"/>
      <c r="AW23"/>
      <c r="AX23"/>
      <c r="AY23"/>
      <c r="AZ23"/>
      <c r="BA23"/>
      <c r="BB23"/>
      <c r="BC23"/>
      <c r="BD23"/>
      <c r="BE23"/>
      <c r="BF23"/>
      <c r="BG23"/>
      <c r="BH23"/>
      <c r="BI23"/>
      <c r="BJ23"/>
      <c r="BK23"/>
      <c r="BL23"/>
      <c r="BM23"/>
      <c r="BN23"/>
      <c r="BO23"/>
      <c r="BP23"/>
      <c r="BQ23"/>
      <c r="BR23"/>
      <c r="BS23"/>
      <c r="BT23"/>
      <c r="BU23"/>
      <c r="BV23"/>
      <c r="BW23"/>
      <c r="BX23"/>
      <c r="BY23"/>
      <c r="BZ23"/>
      <c r="CA23"/>
      <c r="CB23"/>
      <c r="CC23"/>
      <c r="CD23"/>
      <c r="CE23"/>
      <c r="CF23"/>
      <c r="CG23"/>
      <c r="CH23"/>
      <c r="CI23"/>
      <c r="CJ23"/>
      <c r="CK23"/>
      <c r="CL23"/>
      <c r="CM23"/>
    </row>
    <row r="24" spans="1:91" s="1" customFormat="1" x14ac:dyDescent="0.25">
      <c r="A24" s="32" t="s">
        <v>710</v>
      </c>
      <c r="B24" s="7">
        <v>4008</v>
      </c>
      <c r="C24" s="21" t="s">
        <v>202</v>
      </c>
      <c r="D24" s="21" t="s">
        <v>352</v>
      </c>
      <c r="E24" s="13">
        <v>42917.206018518518</v>
      </c>
      <c r="F24" s="13">
        <v>42917.208877314813</v>
      </c>
      <c r="G24" s="7">
        <v>1</v>
      </c>
      <c r="H24" s="21" t="s">
        <v>886</v>
      </c>
      <c r="I24" s="13">
        <v>42917.233912037038</v>
      </c>
      <c r="J24" s="7">
        <v>0</v>
      </c>
      <c r="K24" s="89" t="str">
        <f t="shared" si="0"/>
        <v>4007/4008</v>
      </c>
      <c r="L24" s="21" t="str">
        <f>VLOOKUP(A24,'Trips&amp;Operators'!$C$1:$G$99999,5,FALSE)</f>
        <v>MAELZER KURT</v>
      </c>
      <c r="M24" s="6">
        <f t="shared" si="1"/>
        <v>2.5034722224518191E-2</v>
      </c>
      <c r="N24" s="7">
        <f t="shared" si="20"/>
        <v>36.050000003306195</v>
      </c>
      <c r="O24" s="7"/>
      <c r="P24" s="7"/>
      <c r="Q24" s="22"/>
      <c r="R24" s="170"/>
      <c r="S24" s="213">
        <f t="shared" si="21"/>
        <v>1</v>
      </c>
      <c r="T24" s="195" t="str">
        <f t="shared" si="2"/>
        <v>NorthBound</v>
      </c>
      <c r="U24" s="195">
        <f>IF(AG24="EC",COUNTIFS(Variables!$M$2:$M$19,IF(T24="NorthBound","&gt;=","&lt;=")&amp;Y24,Variables!$M$2:$M$19,IF(T24="NorthBound","&lt;=","&gt;=")&amp;Z24),COUNTIFS(Variables!$P$2:$P$19,IF(T24="NorthBound","&gt;=","&lt;=")&amp;Y24,Variables!$P$2:$P$19,IF(T24="NorthBound","&lt;=","&gt;=")&amp;Z24))</f>
        <v>12</v>
      </c>
      <c r="V24" s="196" t="str">
        <f t="shared" si="3"/>
        <v>https://d0f6bd738d7f1b3e5a7ca70fe4ff75f0.us-east-1.aws.found.io/app/kibana#/discover/Steve-Slow-Train-Analysis-(2080s-and-2083s)?_g=(refreshInterval:(display:Off,pause:!f,section:0,value:0),time:(from:'2017-07-01T03:56:40-0600',mode:absolute,to:'2017-07-01T06:36:50-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24" s="197" t="str">
        <f>IF(AA24&lt;VLOOKUP(AG24,Variables!$AC$3:$AD$8,2,FALSE),"Y","N")</f>
        <v>N</v>
      </c>
      <c r="X24" s="197">
        <f t="shared" si="4"/>
        <v>1</v>
      </c>
      <c r="Y24" s="197">
        <f t="shared" si="5"/>
        <v>4.5100000000000001E-2</v>
      </c>
      <c r="Z24" s="197">
        <f t="shared" si="6"/>
        <v>23.334700000000002</v>
      </c>
      <c r="AA24" s="197">
        <f t="shared" si="7"/>
        <v>23.2896</v>
      </c>
      <c r="AB24" s="54" t="e">
        <f>VLOOKUP(A24,Enforcements!$C$7:$K$13,8,0)</f>
        <v>#N/A</v>
      </c>
      <c r="AC24" s="51" t="e">
        <f>VLOOKUP(A24,Enforcements!$C$7:$E$13,3,0)</f>
        <v>#N/A</v>
      </c>
      <c r="AD24" s="206">
        <f t="shared" si="8"/>
        <v>111</v>
      </c>
      <c r="AE24" s="77" t="str">
        <f t="shared" si="9"/>
        <v>aws s3 cp s3://rtdc.mdm.uploadarchive.raw/RTDC4008/ "%USERPROFILE%\AppData\Local\Temp\OnboardLogs"\RTDC4008\2017-07-01 --exclude "*" --recursive --include "*20170701*" &amp; "%USERPROFILE%\Documents\GitHub\mrs-test-scripts\Headless Mode &amp; Sideloading\WalkAndUnGZ.bat" "%USERPROFILE%\AppData\Local\Temp\OnboardLogs"\RTDC4008\2017-07-01 &amp; aws s3 cp s3://rtdc.mdm.uploadarchive.raw/RTDC4008/ "%USERPROFILE%\AppData\Local\Temp\OnboardLogs"\RTDC4008\2017-07-02 --exclude "*" --recursive --include "*20170702*" &amp; "%USERPROFILE%\Documents\GitHub\mrs-test-scripts\Headless Mode &amp; Sideloading\WalkAndUnGZ.bat" "%USERPROFILE%\AppData\Local\Temp\OnboardLogs"\RTDC4008\2017-07-02</v>
      </c>
      <c r="AF24" s="74" t="str">
        <f t="shared" si="10"/>
        <v>"C:\Program Files (x86)\AstroGrep\AstroGrep.exe" /e /r /s /spath="%USERPROFILE%\AppData\Local\Temp\OnboardLogs" /stypes="app*4008*20170701*" /stext=" 11:.+((SYSTEM_STATE.+slice.+state.+changed )|(ment ac)|(multiple cpu faults)|(system.+state.+changed )|(\[timeout)|(PRM\|1\|D)|(kpr)|(kdp)|(train st.+moving)|(\|lc)|(penalty))"</v>
      </c>
      <c r="AG24" s="209" t="str">
        <f t="shared" si="11"/>
        <v>EC</v>
      </c>
      <c r="AH24" s="78" t="str">
        <f t="shared" si="16"/>
        <v>"%USERPROFILE%\Documents\GitHub\eaglep3\Utilities\RefineRTDCRunTimes.py" --tripid 111-01 --locoid 4008 --swversion DE.1.0.9.0 --startMP 204:451 --initTime 2017-07-01T04:56:40 --startdatetime 2017-07-01T05:00:47 --delay 1 --endMP 204:233347 --enddatetime 2017-07-01T05:36:50 --enforcementcount 0 &gt;&gt;C:\Users\stu\Documents\GitHub\eaglep3-reporting\EC\2017-07-01-refined-times.txt</v>
      </c>
      <c r="AI24" s="96" t="str">
        <f t="shared" si="17"/>
        <v>echo {"issue":{"subject":"","project_id":79,"tracker_id":40,"status_id":1,"priority_id":2,"assigned_to_id":23,"start_date":"2017-07-01","description":"","custom_fields":[{"id":1,"name":"Subdivision","value":"EC"},{"id":4,"name":"Milepost","value":"23.3347"},{"id":17,"name":"Train ID","value":"111-01"},{"id":16,"name":"Locomotive ID","value":"4008"},{"id":130,"name":"Impact","value":""},{"id":150,"name":"Time of Event (Mountain Time)","value":"05:36:50"},{"id":151,"name":"Denver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4" s="20"/>
      <c r="AK24" s="47"/>
      <c r="AL24" s="47"/>
      <c r="AM24" s="142" t="str">
        <f t="shared" si="18"/>
        <v>start /low /b %USERPROFILE%\Documents\GitHub\eaglep3\Utilities\DownloadLogsFromS3.py --loco 4008 --day 2017-07-01</v>
      </c>
      <c r="AN24" s="151" t="str">
        <f t="shared" si="19"/>
        <v>echo {"issue":{"subject":"","project_id":30,"tracker_id":4,"status_id":1,"priority_id":1,"assigned_to_id":10,"start_date":"2017-07-01","description":"","custom_fields":[{"id":30,"name":"Category","value":"Issue"},{"id":3,"name":"Functional Component","value":"Onboard"},{"id":31,"name":"Version","value":"N/A"},{"id":8,"name":"Reporting RR","value":"WABTEC"},{"id":27,"name":"Locomotive ID","value":"4008"},{"id":20,"name":"RR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UTC","value":"2017-07-01 11:36:50"},{"id":29,"name":"Sharepoint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4"/>
      <c r="AP24"/>
      <c r="AQ24"/>
      <c r="AR24"/>
      <c r="AS24"/>
      <c r="AT24"/>
      <c r="AU24"/>
      <c r="AV24"/>
      <c r="AW24"/>
      <c r="AX24"/>
      <c r="AY24"/>
      <c r="AZ24"/>
      <c r="BA24"/>
      <c r="BB24"/>
      <c r="BC24"/>
      <c r="BD24"/>
      <c r="BE24"/>
      <c r="BF24"/>
      <c r="BG24"/>
      <c r="BH24"/>
      <c r="BI24"/>
      <c r="BJ24"/>
      <c r="BK24"/>
      <c r="BL24"/>
      <c r="BM24"/>
      <c r="BN24"/>
      <c r="BO24"/>
      <c r="BP24"/>
      <c r="BQ24"/>
      <c r="BR24"/>
      <c r="BS24"/>
      <c r="BT24"/>
      <c r="BU24"/>
      <c r="BV24"/>
      <c r="BW24"/>
      <c r="BX24"/>
      <c r="BY24"/>
      <c r="BZ24"/>
      <c r="CA24"/>
      <c r="CB24"/>
      <c r="CC24"/>
      <c r="CD24"/>
      <c r="CE24"/>
      <c r="CF24"/>
      <c r="CG24"/>
      <c r="CH24"/>
      <c r="CI24"/>
      <c r="CJ24"/>
      <c r="CK24"/>
      <c r="CL24"/>
      <c r="CM24"/>
    </row>
    <row r="25" spans="1:91" s="1" customFormat="1" x14ac:dyDescent="0.25">
      <c r="A25" s="32" t="s">
        <v>720</v>
      </c>
      <c r="B25" s="7">
        <v>4007</v>
      </c>
      <c r="C25" s="21" t="s">
        <v>202</v>
      </c>
      <c r="D25" s="21" t="s">
        <v>887</v>
      </c>
      <c r="E25" s="13">
        <v>42917.242615740739</v>
      </c>
      <c r="F25" s="13">
        <v>42917.248090277775</v>
      </c>
      <c r="G25" s="7">
        <v>0</v>
      </c>
      <c r="H25" s="21" t="s">
        <v>416</v>
      </c>
      <c r="I25" s="13">
        <v>42917.275289351855</v>
      </c>
      <c r="J25" s="7">
        <v>0</v>
      </c>
      <c r="K25" s="89" t="str">
        <f t="shared" si="0"/>
        <v>4007/4008</v>
      </c>
      <c r="L25" s="21" t="str">
        <f>VLOOKUP(A25,'Trips&amp;Operators'!$C$1:$G$99999,5,FALSE)</f>
        <v>MAELZER KURT</v>
      </c>
      <c r="M25" s="6">
        <f t="shared" si="1"/>
        <v>2.7199074080272112E-2</v>
      </c>
      <c r="N25" s="7">
        <f t="shared" si="20"/>
        <v>39.166666675591841</v>
      </c>
      <c r="O25" s="7"/>
      <c r="P25" s="7"/>
      <c r="Q25" s="22"/>
      <c r="R25" s="170"/>
      <c r="S25" s="213">
        <f t="shared" si="21"/>
        <v>1</v>
      </c>
      <c r="T25" s="195" t="str">
        <f t="shared" si="2"/>
        <v>Southbound</v>
      </c>
      <c r="U25" s="195">
        <f>IF(AG25="EC",COUNTIFS(Variables!$M$2:$M$19,IF(T25="NorthBound","&gt;=","&lt;=")&amp;Y25,Variables!$M$2:$M$19,IF(T25="NorthBound","&lt;=","&gt;=")&amp;Z25),COUNTIFS(Variables!$P$2:$P$19,IF(T25="NorthBound","&gt;=","&lt;=")&amp;Y25,Variables!$P$2:$P$19,IF(T25="NorthBound","&lt;=","&gt;=")&amp;Z25))</f>
        <v>12</v>
      </c>
      <c r="V25" s="196" t="str">
        <f t="shared" si="3"/>
        <v>https://d0f6bd738d7f1b3e5a7ca70fe4ff75f0.us-east-1.aws.found.io/app/kibana#/discover/Steve-Slow-Train-Analysis-(2080s-and-2083s)?_g=(refreshInterval:(display:Off,pause:!f,section:0,value:0),time:(from:'2017-07-01T04:49:22-0600',mode:absolute,to:'2017-07-01T07:36:25-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25" s="197" t="str">
        <f>IF(AA25&lt;VLOOKUP(AG25,Variables!$AC$3:$AD$8,2,FALSE),"Y","N")</f>
        <v>N</v>
      </c>
      <c r="X25" s="197">
        <f t="shared" si="4"/>
        <v>1</v>
      </c>
      <c r="Y25" s="197">
        <f t="shared" si="5"/>
        <v>23.304300000000001</v>
      </c>
      <c r="Z25" s="197">
        <f t="shared" si="6"/>
        <v>1.4500000000000001E-2</v>
      </c>
      <c r="AA25" s="197">
        <f t="shared" si="7"/>
        <v>23.2898</v>
      </c>
      <c r="AB25" s="54" t="e">
        <f>VLOOKUP(A25,Enforcements!$C$7:$K$13,8,0)</f>
        <v>#N/A</v>
      </c>
      <c r="AC25" s="51" t="e">
        <f>VLOOKUP(A25,Enforcements!$C$7:$E$13,3,0)</f>
        <v>#N/A</v>
      </c>
      <c r="AD25" s="206">
        <f t="shared" si="8"/>
        <v>112</v>
      </c>
      <c r="AE25" s="77" t="str">
        <f t="shared" si="9"/>
        <v>aws s3 cp s3://rtdc.mdm.uploadarchive.raw/RTDC4007/ "%USERPROFILE%\AppData\Local\Temp\OnboardLogs"\RTDC4007\2017-07-01 --exclude "*" --recursive --include "*20170701*" &amp; "%USERPROFILE%\Documents\GitHub\mrs-test-scripts\Headless Mode &amp; Sideloading\WalkAndUnGZ.bat" "%USERPROFILE%\AppData\Local\Temp\OnboardLogs"\RTDC4007\2017-07-01 &amp; aws s3 cp s3://rtdc.mdm.uploadarchive.raw/RTDC4007/ "%USERPROFILE%\AppData\Local\Temp\OnboardLogs"\RTDC4007\2017-07-02 --exclude "*" --recursive --include "*20170702*" &amp; "%USERPROFILE%\Documents\GitHub\mrs-test-scripts\Headless Mode &amp; Sideloading\WalkAndUnGZ.bat" "%USERPROFILE%\AppData\Local\Temp\OnboardLogs"\RTDC4007\2017-07-02</v>
      </c>
      <c r="AF25" s="74" t="str">
        <f t="shared" si="10"/>
        <v>"C:\Program Files (x86)\AstroGrep\AstroGrep.exe" /e /r /s /spath="%USERPROFILE%\AppData\Local\Temp\OnboardLogs" /stypes="app*4007*20170701*" /stext=" 12:.+((SYSTEM_STATE.+slice.+state.+changed )|(ment ac)|(multiple cpu faults)|(system.+state.+changed )|(\[timeout)|(PRM\|1\|D)|(kpr)|(kdp)|(train st.+moving)|(\|lc)|(penalty))"</v>
      </c>
      <c r="AG25" s="209" t="str">
        <f t="shared" si="11"/>
        <v>EC</v>
      </c>
      <c r="AH25" s="78" t="str">
        <f t="shared" si="16"/>
        <v>"%USERPROFILE%\Documents\GitHub\eaglep3\Utilities\RefineRTDCRunTimes.py" --tripid 112-01 --locoid 4007 --swversion DE.1.0.9.0 --startMP 204:233043 --initTime 2017-07-01T05:49:22 --startdatetime 2017-07-01T05:57:15 --delay 0 --endMP 204:145 --enddatetime 2017-07-01T06:36:25 --enforcementcount 0 &gt;&gt;C:\Users\stu\Documents\GitHub\eaglep3-reporting\EC\2017-07-01-refined-times.txt</v>
      </c>
      <c r="AI25" s="96" t="str">
        <f t="shared" si="17"/>
        <v>echo {"issue":{"subject":"","project_id":79,"tracker_id":40,"status_id":1,"priority_id":2,"assigned_to_id":23,"start_date":"2017-07-01","description":"","custom_fields":[{"id":1,"name":"Subdivision","value":"EC"},{"id":4,"name":"Milepost","value":"0.0145"},{"id":17,"name":"Train ID","value":"112-01"},{"id":16,"name":"Locomotive ID","value":"4007"},{"id":130,"name":"Impact","value":""},{"id":150,"name":"Time of Event (Mountain Time)","value":"06:36:25"},{"id":151,"name":"Denver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5" s="20"/>
      <c r="AK25" s="47"/>
      <c r="AL25" s="47"/>
      <c r="AM25" s="142" t="str">
        <f t="shared" si="18"/>
        <v>start /low /b %USERPROFILE%\Documents\GitHub\eaglep3\Utilities\DownloadLogsFromS3.py --loco 4007 --day 2017-07-01</v>
      </c>
      <c r="AN25" s="151" t="str">
        <f t="shared" si="19"/>
        <v>echo {"issue":{"subject":"","project_id":30,"tracker_id":4,"status_id":1,"priority_id":1,"assigned_to_id":10,"start_date":"2017-07-01","description":"","custom_fields":[{"id":30,"name":"Category","value":"Issue"},{"id":3,"name":"Functional Component","value":"Onboard"},{"id":31,"name":"Version","value":"N/A"},{"id":8,"name":"Reporting RR","value":"WABTEC"},{"id":27,"name":"Locomotive ID","value":"4007"},{"id":20,"name":"RR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UTC","value":"2017-07-01 12:36:25"},{"id":29,"name":"Sharepoint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5"/>
      <c r="AP25"/>
      <c r="AQ25"/>
      <c r="AR25"/>
      <c r="AS25"/>
      <c r="AT25"/>
      <c r="AU25"/>
      <c r="AV25"/>
      <c r="AW25"/>
      <c r="AX25"/>
      <c r="AY25"/>
      <c r="AZ25"/>
      <c r="BA25"/>
      <c r="BB25"/>
      <c r="BC25"/>
      <c r="BD25"/>
      <c r="BE25"/>
      <c r="BF25"/>
      <c r="BG25"/>
      <c r="BH25"/>
      <c r="BI25"/>
      <c r="BJ25"/>
      <c r="BK25"/>
      <c r="BL25"/>
      <c r="BM25"/>
      <c r="BN25"/>
      <c r="BO25"/>
      <c r="BP25"/>
      <c r="BQ25"/>
      <c r="BR25"/>
      <c r="BS25"/>
      <c r="BT25"/>
      <c r="BU25"/>
      <c r="BV25"/>
      <c r="BW25"/>
      <c r="BX25"/>
      <c r="BY25"/>
      <c r="BZ25"/>
      <c r="CA25"/>
      <c r="CB25"/>
      <c r="CC25"/>
      <c r="CD25"/>
      <c r="CE25"/>
      <c r="CF25"/>
      <c r="CG25"/>
      <c r="CH25"/>
      <c r="CI25"/>
      <c r="CJ25"/>
      <c r="CK25"/>
      <c r="CL25"/>
      <c r="CM25"/>
    </row>
    <row r="26" spans="1:91" s="1" customFormat="1" x14ac:dyDescent="0.25">
      <c r="A26" s="32" t="s">
        <v>712</v>
      </c>
      <c r="B26" s="7">
        <v>4056</v>
      </c>
      <c r="C26" s="21" t="s">
        <v>202</v>
      </c>
      <c r="D26" s="21" t="s">
        <v>477</v>
      </c>
      <c r="E26" s="13">
        <v>42917.213831018518</v>
      </c>
      <c r="F26" s="13">
        <v>42917.219328703701</v>
      </c>
      <c r="G26" s="7">
        <v>1</v>
      </c>
      <c r="H26" s="21" t="s">
        <v>551</v>
      </c>
      <c r="I26" s="13">
        <v>42917.244537037041</v>
      </c>
      <c r="J26" s="7">
        <v>0</v>
      </c>
      <c r="K26" s="89" t="str">
        <f t="shared" si="0"/>
        <v>4055/4056</v>
      </c>
      <c r="L26" s="21" t="str">
        <f>VLOOKUP(A26,'Trips&amp;Operators'!$C$1:$G$99999,5,FALSE)</f>
        <v>DAVIDSON DAVID</v>
      </c>
      <c r="M26" s="6">
        <f t="shared" si="1"/>
        <v>2.5208333339833189E-2</v>
      </c>
      <c r="N26" s="7">
        <f t="shared" si="20"/>
        <v>36.300000009359792</v>
      </c>
      <c r="O26" s="7"/>
      <c r="P26" s="7"/>
      <c r="Q26" s="22"/>
      <c r="R26" s="170"/>
      <c r="S26" s="213">
        <f t="shared" si="21"/>
        <v>1</v>
      </c>
      <c r="T26" s="195" t="str">
        <f t="shared" si="2"/>
        <v>NorthBound</v>
      </c>
      <c r="U26" s="195">
        <f>IF(AG26="EC",COUNTIFS(Variables!$M$2:$M$19,IF(T26="NorthBound","&gt;=","&lt;=")&amp;Y26,Variables!$M$2:$M$19,IF(T26="NorthBound","&lt;=","&gt;=")&amp;Z26),COUNTIFS(Variables!$P$2:$P$19,IF(T26="NorthBound","&gt;=","&lt;=")&amp;Y26,Variables!$P$2:$P$19,IF(T26="NorthBound","&lt;=","&gt;=")&amp;Z26))</f>
        <v>12</v>
      </c>
      <c r="V26" s="196" t="str">
        <f t="shared" si="3"/>
        <v>https://d0f6bd738d7f1b3e5a7ca70fe4ff75f0.us-east-1.aws.found.io/app/kibana#/discover/Steve-Slow-Train-Analysis-(2080s-and-2083s)?_g=(refreshInterval:(display:Off,pause:!f,section:0,value:0),time:(from:'2017-07-01T04:07:55-0600',mode:absolute,to:'2017-07-01T06:52:08-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4056%22')),sort:!(Time.ISO8601,asc))</v>
      </c>
      <c r="W26" s="197" t="str">
        <f>IF(AA26&lt;VLOOKUP(AG26,Variables!$AC$3:$AD$8,2,FALSE),"Y","N")</f>
        <v>N</v>
      </c>
      <c r="X26" s="197">
        <f t="shared" si="4"/>
        <v>1</v>
      </c>
      <c r="Y26" s="197">
        <f t="shared" si="5"/>
        <v>4.4400000000000002E-2</v>
      </c>
      <c r="Z26" s="197">
        <f t="shared" si="6"/>
        <v>23.332000000000001</v>
      </c>
      <c r="AA26" s="197">
        <f t="shared" si="7"/>
        <v>23.287600000000001</v>
      </c>
      <c r="AB26" s="54" t="e">
        <f>VLOOKUP(A26,Enforcements!$C$7:$K$13,8,0)</f>
        <v>#N/A</v>
      </c>
      <c r="AC26" s="51" t="e">
        <f>VLOOKUP(A26,Enforcements!$C$7:$E$13,3,0)</f>
        <v>#N/A</v>
      </c>
      <c r="AD26" s="206">
        <f t="shared" si="8"/>
        <v>113</v>
      </c>
      <c r="AE26" s="77" t="str">
        <f t="shared" si="9"/>
        <v>aws s3 cp s3://rtdc.mdm.uploadarchive.raw/RTDC4056/ "%USERPROFILE%\AppData\Local\Temp\OnboardLogs"\RTDC4056\2017-07-01 --exclude "*" --recursive --include "*20170701*" &amp; "%USERPROFILE%\Documents\GitHub\mrs-test-scripts\Headless Mode &amp; Sideloading\WalkAndUnGZ.bat" "%USERPROFILE%\AppData\Local\Temp\OnboardLogs"\RTDC4056\2017-07-01 &amp; aws s3 cp s3://rtdc.mdm.uploadarchive.raw/RTDC4056/ "%USERPROFILE%\AppData\Local\Temp\OnboardLogs"\RTDC4056\2017-07-02 --exclude "*" --recursive --include "*20170702*" &amp; "%USERPROFILE%\Documents\GitHub\mrs-test-scripts\Headless Mode &amp; Sideloading\WalkAndUnGZ.bat" "%USERPROFILE%\AppData\Local\Temp\OnboardLogs"\RTDC4056\2017-07-02</v>
      </c>
      <c r="AF26" s="74" t="str">
        <f t="shared" si="10"/>
        <v>"C:\Program Files (x86)\AstroGrep\AstroGrep.exe" /e /r /s /spath="%USERPROFILE%\AppData\Local\Temp\OnboardLogs" /stypes="app*4056*20170701*" /stext=" 11:.+((SYSTEM_STATE.+slice.+state.+changed )|(ment ac)|(multiple cpu faults)|(system.+state.+changed )|(\[timeout)|(PRM\|1\|D)|(kpr)|(kdp)|(train st.+moving)|(\|lc)|(penalty))"</v>
      </c>
      <c r="AG26" s="209" t="str">
        <f t="shared" si="11"/>
        <v>EC</v>
      </c>
      <c r="AH26" s="78" t="str">
        <f t="shared" si="16"/>
        <v>"%USERPROFILE%\Documents\GitHub\eaglep3\Utilities\RefineRTDCRunTimes.py" --tripid 113-01 --locoid 4056 --swversion DE.1.0.9.0 --startMP 204:444 --initTime 2017-07-01T05:07:55 --startdatetime 2017-07-01T05:15:50 --delay 1 --endMP 204:233320 --enddatetime 2017-07-01T05:52:08 --enforcementcount 0 &gt;&gt;C:\Users\stu\Documents\GitHub\eaglep3-reporting\EC\2017-07-01-refined-times.txt</v>
      </c>
      <c r="AI26" s="96" t="str">
        <f t="shared" si="17"/>
        <v>echo {"issue":{"subject":"","project_id":79,"tracker_id":40,"status_id":1,"priority_id":2,"assigned_to_id":23,"start_date":"2017-07-01","description":"","custom_fields":[{"id":1,"name":"Subdivision","value":"EC"},{"id":4,"name":"Milepost","value":"23.332"},{"id":17,"name":"Train ID","value":"113-01"},{"id":16,"name":"Locomotive ID","value":"4056"},{"id":130,"name":"Impact","value":""},{"id":150,"name":"Time of Event (Mountain Time)","value":"05:52:08"},{"id":151,"name":"Denver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6" s="20"/>
      <c r="AK26" s="47"/>
      <c r="AL26" s="47"/>
      <c r="AM26" s="142" t="str">
        <f t="shared" si="18"/>
        <v>start /low /b %USERPROFILE%\Documents\GitHub\eaglep3\Utilities\DownloadLogsFromS3.py --loco 4056 --day 2017-07-01</v>
      </c>
      <c r="AN26" s="151" t="str">
        <f t="shared" si="19"/>
        <v>echo {"issue":{"subject":"","project_id":30,"tracker_id":4,"status_id":1,"priority_id":1,"assigned_to_id":10,"start_date":"2017-07-01","description":"","custom_fields":[{"id":30,"name":"Category","value":"Issue"},{"id":3,"name":"Functional Component","value":"Onboard"},{"id":31,"name":"Version","value":"N/A"},{"id":8,"name":"Reporting RR","value":"WABTEC"},{"id":27,"name":"Locomotive ID","value":"4056"},{"id":20,"name":"RR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UTC","value":"2017-07-01 11:52:08"},{"id":29,"name":"Sharepoint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6"/>
      <c r="AP26"/>
      <c r="AQ26"/>
      <c r="AR26"/>
      <c r="AS26"/>
      <c r="AT26"/>
      <c r="AU26"/>
      <c r="AV26"/>
      <c r="AW26"/>
      <c r="AX26"/>
      <c r="AY26"/>
      <c r="AZ26"/>
      <c r="BA26"/>
      <c r="BB26"/>
      <c r="BC26"/>
      <c r="BD26"/>
      <c r="BE26"/>
      <c r="BF26"/>
      <c r="BG26"/>
      <c r="BH26"/>
      <c r="BI26"/>
      <c r="BJ26"/>
      <c r="BK26"/>
      <c r="BL26"/>
      <c r="BM26"/>
      <c r="BN26"/>
      <c r="BO26"/>
      <c r="BP26"/>
      <c r="BQ26"/>
      <c r="BR26"/>
      <c r="BS26"/>
      <c r="BT26"/>
      <c r="BU26"/>
      <c r="BV26"/>
      <c r="BW26"/>
      <c r="BX26"/>
      <c r="BY26"/>
      <c r="BZ26"/>
      <c r="CA26"/>
      <c r="CB26"/>
      <c r="CC26"/>
      <c r="CD26"/>
      <c r="CE26"/>
      <c r="CF26"/>
      <c r="CG26"/>
      <c r="CH26"/>
      <c r="CI26"/>
      <c r="CJ26"/>
      <c r="CK26"/>
      <c r="CL26"/>
      <c r="CM26"/>
    </row>
    <row r="27" spans="1:91" s="1" customFormat="1" x14ac:dyDescent="0.25">
      <c r="A27" s="32" t="s">
        <v>642</v>
      </c>
      <c r="B27" s="7">
        <v>4055</v>
      </c>
      <c r="C27" s="21" t="s">
        <v>202</v>
      </c>
      <c r="D27" s="21" t="s">
        <v>478</v>
      </c>
      <c r="E27" s="13">
        <v>42917.246631944443</v>
      </c>
      <c r="F27" s="13">
        <v>42917.258645833332</v>
      </c>
      <c r="G27" s="7">
        <v>1</v>
      </c>
      <c r="H27" s="21" t="s">
        <v>888</v>
      </c>
      <c r="I27" s="13">
        <v>42917.289594907408</v>
      </c>
      <c r="J27" s="7">
        <v>0</v>
      </c>
      <c r="K27" s="89" t="str">
        <f t="shared" si="0"/>
        <v>4055/4056</v>
      </c>
      <c r="L27" s="21" t="str">
        <f>VLOOKUP(A27,'Trips&amp;Operators'!$C$1:$G$99999,5,FALSE)</f>
        <v>DAVIDSON DAVID</v>
      </c>
      <c r="M27" s="6">
        <f t="shared" si="1"/>
        <v>3.0949074076488614E-2</v>
      </c>
      <c r="N27" s="7">
        <f t="shared" si="20"/>
        <v>44.566666670143604</v>
      </c>
      <c r="O27" s="7"/>
      <c r="P27" s="7"/>
      <c r="Q27" s="22"/>
      <c r="R27" s="170"/>
      <c r="S27" s="213">
        <f t="shared" si="21"/>
        <v>1</v>
      </c>
      <c r="T27" s="195" t="str">
        <f t="shared" si="2"/>
        <v>Southbound</v>
      </c>
      <c r="U27" s="195">
        <f>IF(AG27="EC",COUNTIFS(Variables!$M$2:$M$19,IF(T27="NorthBound","&gt;=","&lt;=")&amp;Y27,Variables!$M$2:$M$19,IF(T27="NorthBound","&lt;=","&gt;=")&amp;Z27),COUNTIFS(Variables!$P$2:$P$19,IF(T27="NorthBound","&gt;=","&lt;=")&amp;Y27,Variables!$P$2:$P$19,IF(T27="NorthBound","&lt;=","&gt;=")&amp;Z27))</f>
        <v>12</v>
      </c>
      <c r="V27" s="196" t="str">
        <f t="shared" si="3"/>
        <v>https://d0f6bd738d7f1b3e5a7ca70fe4ff75f0.us-east-1.aws.found.io/app/kibana#/discover/Steve-Slow-Train-Analysis-(2080s-and-2083s)?_g=(refreshInterval:(display:Off,pause:!f,section:0,value:0),time:(from:'2017-07-01T04:55:09-0600',mode:absolute,to:'2017-07-01T07:57:01-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4055%22')),sort:!(Time.ISO8601,asc))</v>
      </c>
      <c r="W27" s="197" t="str">
        <f>IF(AA27&lt;VLOOKUP(AG27,Variables!$AC$3:$AD$8,2,FALSE),"Y","N")</f>
        <v>N</v>
      </c>
      <c r="X27" s="197">
        <f t="shared" si="4"/>
        <v>1</v>
      </c>
      <c r="Y27" s="197">
        <f t="shared" si="5"/>
        <v>23.298400000000001</v>
      </c>
      <c r="Z27" s="197">
        <f t="shared" si="6"/>
        <v>2.5100000000000001E-2</v>
      </c>
      <c r="AA27" s="197">
        <f t="shared" si="7"/>
        <v>23.273300000000003</v>
      </c>
      <c r="AB27" s="54" t="e">
        <f>VLOOKUP(A27,Enforcements!$C$7:$K$13,8,0)</f>
        <v>#N/A</v>
      </c>
      <c r="AC27" s="51" t="e">
        <f>VLOOKUP(A27,Enforcements!$C$7:$E$13,3,0)</f>
        <v>#N/A</v>
      </c>
      <c r="AD27" s="206">
        <f t="shared" si="8"/>
        <v>114</v>
      </c>
      <c r="AE27" s="77" t="str">
        <f t="shared" si="9"/>
        <v>aws s3 cp s3://rtdc.mdm.uploadarchive.raw/RTDC4055/ "%USERPROFILE%\AppData\Local\Temp\OnboardLogs"\RTDC4055\2017-07-01 --exclude "*" --recursive --include "*20170701*" &amp; "%USERPROFILE%\Documents\GitHub\mrs-test-scripts\Headless Mode &amp; Sideloading\WalkAndUnGZ.bat" "%USERPROFILE%\AppData\Local\Temp\OnboardLogs"\RTDC4055\2017-07-01 &amp; aws s3 cp s3://rtdc.mdm.uploadarchive.raw/RTDC4055/ "%USERPROFILE%\AppData\Local\Temp\OnboardLogs"\RTDC4055\2017-07-02 --exclude "*" --recursive --include "*20170702*" &amp; "%USERPROFILE%\Documents\GitHub\mrs-test-scripts\Headless Mode &amp; Sideloading\WalkAndUnGZ.bat" "%USERPROFILE%\AppData\Local\Temp\OnboardLogs"\RTDC4055\2017-07-02</v>
      </c>
      <c r="AF27" s="74" t="str">
        <f t="shared" si="10"/>
        <v>"C:\Program Files (x86)\AstroGrep\AstroGrep.exe" /e /r /s /spath="%USERPROFILE%\AppData\Local\Temp\OnboardLogs" /stypes="app*4055*20170701*" /stext=" 12:.+((SYSTEM_STATE.+slice.+state.+changed )|(ment ac)|(multiple cpu faults)|(system.+state.+changed )|(\[timeout)|(PRM\|1\|D)|(kpr)|(kdp)|(train st.+moving)|(\|lc)|(penalty))"</v>
      </c>
      <c r="AG27" s="209" t="str">
        <f t="shared" si="11"/>
        <v>EC</v>
      </c>
      <c r="AH27" s="78" t="str">
        <f t="shared" si="16"/>
        <v>"%USERPROFILE%\Documents\GitHub\eaglep3\Utilities\RefineRTDCRunTimes.py" --tripid 114-01 --locoid 4055 --swversion DE.1.0.9.0 --startMP 204:232984 --initTime 2017-07-01T05:55:09 --startdatetime 2017-07-01T06:12:27 --delay 1 --endMP 204:251 --enddatetime 2017-07-01T06:57:01 --enforcementcount 0 &gt;&gt;C:\Users\stu\Documents\GitHub\eaglep3-reporting\EC\2017-07-01-refined-times.txt</v>
      </c>
      <c r="AI27" s="96" t="str">
        <f t="shared" si="17"/>
        <v>echo {"issue":{"subject":"","project_id":79,"tracker_id":40,"status_id":1,"priority_id":2,"assigned_to_id":23,"start_date":"2017-07-01","description":"","custom_fields":[{"id":1,"name":"Subdivision","value":"EC"},{"id":4,"name":"Milepost","value":"0.0251"},{"id":17,"name":"Train ID","value":"114-01"},{"id":16,"name":"Locomotive ID","value":"4055"},{"id":130,"name":"Impact","value":""},{"id":150,"name":"Time of Event (Mountain Time)","value":"06:57:01"},{"id":151,"name":"Denver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7" s="20"/>
      <c r="AK27" s="47"/>
      <c r="AL27" s="47"/>
      <c r="AM27" s="142" t="str">
        <f t="shared" si="18"/>
        <v>start /low /b %USERPROFILE%\Documents\GitHub\eaglep3\Utilities\DownloadLogsFromS3.py --loco 4055 --day 2017-07-01</v>
      </c>
      <c r="AN27" s="151" t="str">
        <f t="shared" si="19"/>
        <v>echo {"issue":{"subject":"","project_id":30,"tracker_id":4,"status_id":1,"priority_id":1,"assigned_to_id":10,"start_date":"2017-07-01","description":"","custom_fields":[{"id":30,"name":"Category","value":"Issue"},{"id":3,"name":"Functional Component","value":"Onboard"},{"id":31,"name":"Version","value":"N/A"},{"id":8,"name":"Reporting RR","value":"WABTEC"},{"id":27,"name":"Locomotive ID","value":"4055"},{"id":20,"name":"RR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UTC","value":"2017-07-01 12:57:01"},{"id":29,"name":"Sharepoint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7"/>
      <c r="AP27"/>
      <c r="AQ27"/>
      <c r="AR27"/>
      <c r="AS27"/>
      <c r="AT27"/>
      <c r="AU27"/>
      <c r="AV27"/>
      <c r="AW27"/>
      <c r="AX27"/>
      <c r="AY27"/>
      <c r="AZ27"/>
      <c r="BA27"/>
      <c r="BB27"/>
      <c r="BC27"/>
      <c r="BD27"/>
      <c r="BE27"/>
      <c r="BF27"/>
      <c r="BG27"/>
      <c r="BH27"/>
      <c r="BI27"/>
      <c r="BJ27"/>
      <c r="BK27"/>
      <c r="BL27"/>
      <c r="BM27"/>
      <c r="BN27"/>
      <c r="BO27"/>
      <c r="BP27"/>
      <c r="BQ27"/>
      <c r="BR27"/>
      <c r="BS27"/>
      <c r="BT27"/>
      <c r="BU27"/>
      <c r="BV27"/>
      <c r="BW27"/>
      <c r="BX27"/>
      <c r="BY27"/>
      <c r="BZ27"/>
      <c r="CA27"/>
      <c r="CB27"/>
      <c r="CC27"/>
      <c r="CD27"/>
      <c r="CE27"/>
      <c r="CF27"/>
      <c r="CG27"/>
      <c r="CH27"/>
      <c r="CI27"/>
      <c r="CJ27"/>
      <c r="CK27"/>
      <c r="CL27"/>
      <c r="CM27"/>
    </row>
    <row r="28" spans="1:91" s="1" customFormat="1" x14ac:dyDescent="0.25">
      <c r="A28" s="32" t="s">
        <v>717</v>
      </c>
      <c r="B28" s="7">
        <v>4018</v>
      </c>
      <c r="C28" s="21" t="s">
        <v>202</v>
      </c>
      <c r="D28" s="21" t="s">
        <v>391</v>
      </c>
      <c r="E28" s="13">
        <v>42917.226122685184</v>
      </c>
      <c r="F28" s="13">
        <v>42917.229791666665</v>
      </c>
      <c r="G28" s="7">
        <v>1</v>
      </c>
      <c r="H28" s="21" t="s">
        <v>542</v>
      </c>
      <c r="I28" s="13">
        <v>42917.255289351851</v>
      </c>
      <c r="J28" s="7">
        <v>0</v>
      </c>
      <c r="K28" s="89" t="str">
        <f t="shared" si="0"/>
        <v>4017/4018</v>
      </c>
      <c r="L28" s="21" t="str">
        <f>VLOOKUP(A28,'Trips&amp;Operators'!$C$1:$G$99999,5,FALSE)</f>
        <v>BEAM ROSS</v>
      </c>
      <c r="M28" s="6">
        <f t="shared" si="1"/>
        <v>2.5497685186564922E-2</v>
      </c>
      <c r="N28" s="7">
        <f t="shared" si="20"/>
        <v>36.716666668653488</v>
      </c>
      <c r="O28" s="7"/>
      <c r="P28" s="7"/>
      <c r="Q28" s="22"/>
      <c r="R28" s="170"/>
      <c r="S28" s="213">
        <f t="shared" si="21"/>
        <v>1</v>
      </c>
      <c r="T28" s="195" t="str">
        <f t="shared" si="2"/>
        <v>NorthBound</v>
      </c>
      <c r="U28" s="195">
        <f>IF(AG28="EC",COUNTIFS(Variables!$M$2:$M$19,IF(T28="NorthBound","&gt;=","&lt;=")&amp;Y28,Variables!$M$2:$M$19,IF(T28="NorthBound","&lt;=","&gt;=")&amp;Z28),COUNTIFS(Variables!$P$2:$P$19,IF(T28="NorthBound","&gt;=","&lt;=")&amp;Y28,Variables!$P$2:$P$19,IF(T28="NorthBound","&lt;=","&gt;=")&amp;Z28))</f>
        <v>12</v>
      </c>
      <c r="V28" s="196" t="str">
        <f t="shared" si="3"/>
        <v>https://d0f6bd738d7f1b3e5a7ca70fe4ff75f0.us-east-1.aws.found.io/app/kibana#/discover/Steve-Slow-Train-Analysis-(2080s-and-2083s)?_g=(refreshInterval:(display:Off,pause:!f,section:0,value:0),time:(from:'2017-07-01T04:25:37-0600',mode:absolute,to:'2017-07-01T07:07:37-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28" s="197" t="str">
        <f>IF(AA28&lt;VLOOKUP(AG28,Variables!$AC$3:$AD$8,2,FALSE),"Y","N")</f>
        <v>N</v>
      </c>
      <c r="X28" s="197">
        <f t="shared" si="4"/>
        <v>1</v>
      </c>
      <c r="Y28" s="197">
        <f t="shared" si="5"/>
        <v>4.6199999999999998E-2</v>
      </c>
      <c r="Z28" s="197">
        <f t="shared" si="6"/>
        <v>23.329699999999999</v>
      </c>
      <c r="AA28" s="197">
        <f t="shared" si="7"/>
        <v>23.2835</v>
      </c>
      <c r="AB28" s="54" t="e">
        <f>VLOOKUP(A28,Enforcements!$C$7:$K$13,8,0)</f>
        <v>#N/A</v>
      </c>
      <c r="AC28" s="51" t="e">
        <f>VLOOKUP(A28,Enforcements!$C$7:$E$13,3,0)</f>
        <v>#N/A</v>
      </c>
      <c r="AD28" s="206">
        <f t="shared" si="8"/>
        <v>115</v>
      </c>
      <c r="AE28" s="77" t="str">
        <f t="shared" si="9"/>
        <v>aws s3 cp s3://rtdc.mdm.uploadarchive.raw/RTDC4018/ "%USERPROFILE%\AppData\Local\Temp\OnboardLogs"\RTDC4018\2017-07-01 --exclude "*" --recursive --include "*20170701*" &amp; "%USERPROFILE%\Documents\GitHub\mrs-test-scripts\Headless Mode &amp; Sideloading\WalkAndUnGZ.bat" "%USERPROFILE%\AppData\Local\Temp\OnboardLogs"\RTDC4018\2017-07-01 &amp; aws s3 cp s3://rtdc.mdm.uploadarchive.raw/RTDC4018/ "%USERPROFILE%\AppData\Local\Temp\OnboardLogs"\RTDC4018\2017-07-02 --exclude "*" --recursive --include "*20170702*" &amp; "%USERPROFILE%\Documents\GitHub\mrs-test-scripts\Headless Mode &amp; Sideloading\WalkAndUnGZ.bat" "%USERPROFILE%\AppData\Local\Temp\OnboardLogs"\RTDC4018\2017-07-02</v>
      </c>
      <c r="AF28" s="74" t="str">
        <f t="shared" si="10"/>
        <v>"C:\Program Files (x86)\AstroGrep\AstroGrep.exe" /e /r /s /spath="%USERPROFILE%\AppData\Local\Temp\OnboardLogs" /stypes="app*4018*20170701*" /stext=" 12:.+((SYSTEM_STATE.+slice.+state.+changed )|(ment ac)|(multiple cpu faults)|(system.+state.+changed )|(\[timeout)|(PRM\|1\|D)|(kpr)|(kdp)|(train st.+moving)|(\|lc)|(penalty))"</v>
      </c>
      <c r="AG28" s="209" t="str">
        <f t="shared" si="11"/>
        <v>EC</v>
      </c>
      <c r="AH28" s="78" t="str">
        <f t="shared" si="16"/>
        <v>"%USERPROFILE%\Documents\GitHub\eaglep3\Utilities\RefineRTDCRunTimes.py" --tripid 115-01 --locoid 4018 --swversion DE.1.0.9.0 --startMP 204:462 --initTime 2017-07-01T05:25:37 --startdatetime 2017-07-01T05:30:54 --delay 1 --endMP 204:233297 --enddatetime 2017-07-01T06:07:37 --enforcementcount 0 &gt;&gt;C:\Users\stu\Documents\GitHub\eaglep3-reporting\EC\2017-07-01-refined-times.txt</v>
      </c>
      <c r="AI28" s="96" t="str">
        <f t="shared" si="17"/>
        <v>echo {"issue":{"subject":"","project_id":79,"tracker_id":40,"status_id":1,"priority_id":2,"assigned_to_id":23,"start_date":"2017-07-01","description":"","custom_fields":[{"id":1,"name":"Subdivision","value":"EC"},{"id":4,"name":"Milepost","value":"23.3297"},{"id":17,"name":"Train ID","value":"115-01"},{"id":16,"name":"Locomotive ID","value":"4018"},{"id":130,"name":"Impact","value":""},{"id":150,"name":"Time of Event (Mountain Time)","value":"06:07:37"},{"id":151,"name":"Denver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8" s="20"/>
      <c r="AK28" s="47"/>
      <c r="AL28" s="47"/>
      <c r="AM28" s="142" t="str">
        <f t="shared" si="18"/>
        <v>start /low /b %USERPROFILE%\Documents\GitHub\eaglep3\Utilities\DownloadLogsFromS3.py --loco 4018 --day 2017-07-01</v>
      </c>
      <c r="AN28" s="151" t="str">
        <f t="shared" si="19"/>
        <v>echo {"issue":{"subject":"","project_id":30,"tracker_id":4,"status_id":1,"priority_id":1,"assigned_to_id":10,"start_date":"2017-07-01","description":"","custom_fields":[{"id":30,"name":"Category","value":"Issue"},{"id":3,"name":"Functional Component","value":"Onboard"},{"id":31,"name":"Version","value":"N/A"},{"id":8,"name":"Reporting RR","value":"WABTEC"},{"id":27,"name":"Locomotive ID","value":"4018"},{"id":20,"name":"RR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UTC","value":"2017-07-01 12:07:37"},{"id":29,"name":"Sharepoint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8"/>
      <c r="AP28"/>
      <c r="AQ28"/>
      <c r="AR28"/>
      <c r="AS28"/>
      <c r="AT28"/>
      <c r="AU28"/>
      <c r="AV28"/>
      <c r="AW28"/>
      <c r="AX28"/>
      <c r="AY28"/>
      <c r="AZ28"/>
      <c r="BA28"/>
      <c r="BB28"/>
      <c r="BC28"/>
      <c r="BD28"/>
      <c r="BE28"/>
      <c r="BF28"/>
      <c r="BG28"/>
      <c r="BH28"/>
      <c r="BI28"/>
      <c r="BJ28"/>
      <c r="BK28"/>
      <c r="BL28"/>
      <c r="BM28"/>
      <c r="BN28"/>
      <c r="BO28"/>
      <c r="BP28"/>
      <c r="BQ28"/>
      <c r="BR28"/>
      <c r="BS28"/>
      <c r="BT28"/>
      <c r="BU28"/>
      <c r="BV28"/>
      <c r="BW28"/>
      <c r="BX28"/>
      <c r="BY28"/>
      <c r="BZ28"/>
      <c r="CA28"/>
      <c r="CB28"/>
      <c r="CC28"/>
      <c r="CD28"/>
      <c r="CE28"/>
      <c r="CF28"/>
      <c r="CG28"/>
      <c r="CH28"/>
      <c r="CI28"/>
      <c r="CJ28"/>
      <c r="CK28"/>
      <c r="CL28"/>
      <c r="CM28"/>
    </row>
    <row r="29" spans="1:91" s="1" customFormat="1" x14ac:dyDescent="0.25">
      <c r="A29" s="32" t="s">
        <v>723</v>
      </c>
      <c r="B29" s="7">
        <v>4017</v>
      </c>
      <c r="C29" s="21" t="s">
        <v>202</v>
      </c>
      <c r="D29" s="21" t="s">
        <v>607</v>
      </c>
      <c r="E29" s="13">
        <v>42917.266574074078</v>
      </c>
      <c r="F29" s="13">
        <v>42917.268946759257</v>
      </c>
      <c r="G29" s="7">
        <v>0</v>
      </c>
      <c r="H29" s="21" t="s">
        <v>485</v>
      </c>
      <c r="I29" s="13">
        <v>42917.296875</v>
      </c>
      <c r="J29" s="7">
        <v>0</v>
      </c>
      <c r="K29" s="89" t="str">
        <f t="shared" si="0"/>
        <v>4017/4018</v>
      </c>
      <c r="L29" s="21" t="str">
        <f>VLOOKUP(A29,'Trips&amp;Operators'!$C$1:$G$99999,5,FALSE)</f>
        <v>BEAM ROSS</v>
      </c>
      <c r="M29" s="6">
        <f t="shared" si="1"/>
        <v>2.792824074276723E-2</v>
      </c>
      <c r="N29" s="7">
        <f t="shared" si="20"/>
        <v>40.216666669584811</v>
      </c>
      <c r="O29" s="7"/>
      <c r="P29" s="7"/>
      <c r="Q29" s="22"/>
      <c r="R29" s="170"/>
      <c r="S29" s="213">
        <f t="shared" si="21"/>
        <v>1</v>
      </c>
      <c r="T29" s="195" t="str">
        <f t="shared" si="2"/>
        <v>Southbound</v>
      </c>
      <c r="U29" s="195">
        <f>IF(AG29="EC",COUNTIFS(Variables!$M$2:$M$19,IF(T29="NorthBound","&gt;=","&lt;=")&amp;Y29,Variables!$M$2:$M$19,IF(T29="NorthBound","&lt;=","&gt;=")&amp;Z29),COUNTIFS(Variables!$P$2:$P$19,IF(T29="NorthBound","&gt;=","&lt;=")&amp;Y29,Variables!$P$2:$P$19,IF(T29="NorthBound","&lt;=","&gt;=")&amp;Z29))</f>
        <v>12</v>
      </c>
      <c r="V29" s="196" t="str">
        <f t="shared" si="3"/>
        <v>https://d0f6bd738d7f1b3e5a7ca70fe4ff75f0.us-east-1.aws.found.io/app/kibana#/discover/Steve-Slow-Train-Analysis-(2080s-and-2083s)?_g=(refreshInterval:(display:Off,pause:!f,section:0,value:0),time:(from:'2017-07-01T05:23:52-0600',mode:absolute,to:'2017-07-01T08:07:30-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29" s="197" t="str">
        <f>IF(AA29&lt;VLOOKUP(AG29,Variables!$AC$3:$AD$8,2,FALSE),"Y","N")</f>
        <v>N</v>
      </c>
      <c r="X29" s="197">
        <f t="shared" si="4"/>
        <v>1</v>
      </c>
      <c r="Y29" s="197">
        <f t="shared" si="5"/>
        <v>23.299399999999999</v>
      </c>
      <c r="Z29" s="197">
        <f t="shared" si="6"/>
        <v>1.6299999999999999E-2</v>
      </c>
      <c r="AA29" s="197">
        <f t="shared" si="7"/>
        <v>23.283099999999997</v>
      </c>
      <c r="AB29" s="54" t="e">
        <f>VLOOKUP(A29,Enforcements!$C$7:$K$13,8,0)</f>
        <v>#N/A</v>
      </c>
      <c r="AC29" s="51" t="e">
        <f>VLOOKUP(A29,Enforcements!$C$7:$E$13,3,0)</f>
        <v>#N/A</v>
      </c>
      <c r="AD29" s="206">
        <f t="shared" si="8"/>
        <v>116</v>
      </c>
      <c r="AE29" s="77" t="str">
        <f t="shared" si="9"/>
        <v>aws s3 cp s3://rtdc.mdm.uploadarchive.raw/RTDC4017/ "%USERPROFILE%\AppData\Local\Temp\OnboardLogs"\RTDC4017\2017-07-01 --exclude "*" --recursive --include "*20170701*" &amp; "%USERPROFILE%\Documents\GitHub\mrs-test-scripts\Headless Mode &amp; Sideloading\WalkAndUnGZ.bat" "%USERPROFILE%\AppData\Local\Temp\OnboardLogs"\RTDC4017\2017-07-01 &amp; aws s3 cp s3://rtdc.mdm.uploadarchive.raw/RTDC4017/ "%USERPROFILE%\AppData\Local\Temp\OnboardLogs"\RTDC4017\2017-07-02 --exclude "*" --recursive --include "*20170702*" &amp; "%USERPROFILE%\Documents\GitHub\mrs-test-scripts\Headless Mode &amp; Sideloading\WalkAndUnGZ.bat" "%USERPROFILE%\AppData\Local\Temp\OnboardLogs"\RTDC4017\2017-07-02</v>
      </c>
      <c r="AF29" s="74" t="str">
        <f t="shared" si="10"/>
        <v>"C:\Program Files (x86)\AstroGrep\AstroGrep.exe" /e /r /s /spath="%USERPROFILE%\AppData\Local\Temp\OnboardLogs" /stypes="app*4017*20170701*" /stext=" 13:.+((SYSTEM_STATE.+slice.+state.+changed )|(ment ac)|(multiple cpu faults)|(system.+state.+changed )|(\[timeout)|(PRM\|1\|D)|(kpr)|(kdp)|(train st.+moving)|(\|lc)|(penalty))"</v>
      </c>
      <c r="AG29" s="209" t="str">
        <f t="shared" si="11"/>
        <v>EC</v>
      </c>
      <c r="AH29" s="78" t="str">
        <f t="shared" si="16"/>
        <v>"%USERPROFILE%\Documents\GitHub\eaglep3\Utilities\RefineRTDCRunTimes.py" --tripid 116-01 --locoid 4017 --swversion DE.1.0.9.0 --startMP 204:232994 --initTime 2017-07-01T06:23:52 --startdatetime 2017-07-01T06:27:17 --delay 0 --endMP 204:163 --enddatetime 2017-07-01T07:07:30 --enforcementcount 0 &gt;&gt;C:\Users\stu\Documents\GitHub\eaglep3-reporting\EC\2017-07-01-refined-times.txt</v>
      </c>
      <c r="AI29" s="96" t="str">
        <f t="shared" si="17"/>
        <v>echo {"issue":{"subject":"","project_id":79,"tracker_id":40,"status_id":1,"priority_id":2,"assigned_to_id":23,"start_date":"2017-07-01","description":"","custom_fields":[{"id":1,"name":"Subdivision","value":"EC"},{"id":4,"name":"Milepost","value":"0.0163"},{"id":17,"name":"Train ID","value":"116-01"},{"id":16,"name":"Locomotive ID","value":"4017"},{"id":130,"name":"Impact","value":""},{"id":150,"name":"Time of Event (Mountain Time)","value":"07:07:30"},{"id":151,"name":"Denver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9" s="20"/>
      <c r="AK29" s="47"/>
      <c r="AL29" s="47"/>
      <c r="AM29" s="142" t="str">
        <f t="shared" si="18"/>
        <v>start /low /b %USERPROFILE%\Documents\GitHub\eaglep3\Utilities\DownloadLogsFromS3.py --loco 4017 --day 2017-07-01</v>
      </c>
      <c r="AN29" s="151" t="str">
        <f t="shared" si="19"/>
        <v>echo {"issue":{"subject":"","project_id":30,"tracker_id":4,"status_id":1,"priority_id":1,"assigned_to_id":10,"start_date":"2017-07-01","description":"","custom_fields":[{"id":30,"name":"Category","value":"Issue"},{"id":3,"name":"Functional Component","value":"Onboard"},{"id":31,"name":"Version","value":"N/A"},{"id":8,"name":"Reporting RR","value":"WABTEC"},{"id":27,"name":"Locomotive ID","value":"4017"},{"id":20,"name":"RR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UTC","value":"2017-07-01 13:07:30"},{"id":29,"name":"Sharepoint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9"/>
      <c r="AP29"/>
      <c r="AQ29"/>
      <c r="AR29"/>
      <c r="AS29"/>
      <c r="AT29"/>
      <c r="AU29"/>
      <c r="AV29"/>
      <c r="AW29"/>
      <c r="AX29"/>
      <c r="AY29"/>
      <c r="AZ29"/>
      <c r="BA29"/>
      <c r="BB29"/>
      <c r="BC29"/>
      <c r="BD29"/>
      <c r="BE29"/>
      <c r="BF29"/>
      <c r="BG29"/>
      <c r="BH29"/>
      <c r="BI29"/>
      <c r="BJ29"/>
      <c r="BK29"/>
      <c r="BL29"/>
      <c r="BM29"/>
      <c r="BN29"/>
      <c r="BO29"/>
      <c r="BP29"/>
      <c r="BQ29"/>
      <c r="BR29"/>
      <c r="BS29"/>
      <c r="BT29"/>
      <c r="BU29"/>
      <c r="BV29"/>
      <c r="BW29"/>
      <c r="BX29"/>
      <c r="BY29"/>
      <c r="BZ29"/>
      <c r="CA29"/>
      <c r="CB29"/>
      <c r="CC29"/>
      <c r="CD29"/>
      <c r="CE29"/>
      <c r="CF29"/>
      <c r="CG29"/>
      <c r="CH29"/>
      <c r="CI29"/>
      <c r="CJ29"/>
      <c r="CK29"/>
      <c r="CL29"/>
      <c r="CM29"/>
    </row>
    <row r="30" spans="1:91" s="1" customFormat="1" x14ac:dyDescent="0.25">
      <c r="A30" s="32" t="s">
        <v>718</v>
      </c>
      <c r="B30" s="7">
        <v>4030</v>
      </c>
      <c r="C30" s="21" t="s">
        <v>202</v>
      </c>
      <c r="D30" s="21" t="s">
        <v>470</v>
      </c>
      <c r="E30" s="13">
        <v>42917.234560185185</v>
      </c>
      <c r="F30" s="13">
        <v>42917.240081018521</v>
      </c>
      <c r="G30" s="7">
        <v>1</v>
      </c>
      <c r="H30" s="21" t="s">
        <v>889</v>
      </c>
      <c r="I30" s="13">
        <v>42917.264988425923</v>
      </c>
      <c r="J30" s="7">
        <v>0</v>
      </c>
      <c r="K30" s="89" t="str">
        <f t="shared" si="0"/>
        <v>4029/4030</v>
      </c>
      <c r="L30" s="21" t="str">
        <f>VLOOKUP(A30,'Trips&amp;Operators'!$C$1:$G$99999,5,FALSE)</f>
        <v>GUZMAN DANNY</v>
      </c>
      <c r="M30" s="6">
        <f t="shared" si="1"/>
        <v>2.4907407401769888E-2</v>
      </c>
      <c r="N30" s="7">
        <f t="shared" si="20"/>
        <v>35.866666658548638</v>
      </c>
      <c r="O30" s="7"/>
      <c r="P30" s="7"/>
      <c r="Q30" s="22"/>
      <c r="R30" s="170"/>
      <c r="S30" s="213">
        <f t="shared" si="21"/>
        <v>1</v>
      </c>
      <c r="T30" s="195" t="str">
        <f t="shared" si="2"/>
        <v>NorthBound</v>
      </c>
      <c r="U30" s="195">
        <f>IF(AG30="EC",COUNTIFS(Variables!$M$2:$M$19,IF(T30="NorthBound","&gt;=","&lt;=")&amp;Y30,Variables!$M$2:$M$19,IF(T30="NorthBound","&lt;=","&gt;=")&amp;Z30),COUNTIFS(Variables!$P$2:$P$19,IF(T30="NorthBound","&gt;=","&lt;=")&amp;Y30,Variables!$P$2:$P$19,IF(T30="NorthBound","&lt;=","&gt;=")&amp;Z30))</f>
        <v>12</v>
      </c>
      <c r="V30" s="196" t="str">
        <f t="shared" si="3"/>
        <v>https://d0f6bd738d7f1b3e5a7ca70fe4ff75f0.us-east-1.aws.found.io/app/kibana#/discover/Steve-Slow-Train-Analysis-(2080s-and-2083s)?_g=(refreshInterval:(display:Off,pause:!f,section:0,value:0),time:(from:'2017-07-01T04:37:46-0600',mode:absolute,to:'2017-07-01T07:21:35-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30" s="197" t="str">
        <f>IF(AA30&lt;VLOOKUP(AG30,Variables!$AC$3:$AD$8,2,FALSE),"Y","N")</f>
        <v>N</v>
      </c>
      <c r="X30" s="197">
        <f t="shared" si="4"/>
        <v>1</v>
      </c>
      <c r="Y30" s="197">
        <f t="shared" si="5"/>
        <v>4.58E-2</v>
      </c>
      <c r="Z30" s="197">
        <f t="shared" si="6"/>
        <v>23.334499999999998</v>
      </c>
      <c r="AA30" s="197">
        <f t="shared" si="7"/>
        <v>23.288699999999999</v>
      </c>
      <c r="AB30" s="54" t="e">
        <f>VLOOKUP(A30,Enforcements!$C$7:$K$13,8,0)</f>
        <v>#N/A</v>
      </c>
      <c r="AC30" s="51" t="e">
        <f>VLOOKUP(A30,Enforcements!$C$7:$E$13,3,0)</f>
        <v>#N/A</v>
      </c>
      <c r="AD30" s="206">
        <f t="shared" si="8"/>
        <v>117</v>
      </c>
      <c r="AE30" s="77" t="str">
        <f t="shared" si="9"/>
        <v>aws s3 cp s3://rtdc.mdm.uploadarchive.raw/RTDC4030/ "%USERPROFILE%\AppData\Local\Temp\OnboardLogs"\RTDC4030\2017-07-01 --exclude "*" --recursive --include "*20170701*" &amp; "%USERPROFILE%\Documents\GitHub\mrs-test-scripts\Headless Mode &amp; Sideloading\WalkAndUnGZ.bat" "%USERPROFILE%\AppData\Local\Temp\OnboardLogs"\RTDC4030\2017-07-01 &amp; aws s3 cp s3://rtdc.mdm.uploadarchive.raw/RTDC4030/ "%USERPROFILE%\AppData\Local\Temp\OnboardLogs"\RTDC4030\2017-07-02 --exclude "*" --recursive --include "*20170702*" &amp; "%USERPROFILE%\Documents\GitHub\mrs-test-scripts\Headless Mode &amp; Sideloading\WalkAndUnGZ.bat" "%USERPROFILE%\AppData\Local\Temp\OnboardLogs"\RTDC4030\2017-07-02</v>
      </c>
      <c r="AF30" s="74" t="str">
        <f t="shared" si="10"/>
        <v>"C:\Program Files (x86)\AstroGrep\AstroGrep.exe" /e /r /s /spath="%USERPROFILE%\AppData\Local\Temp\OnboardLogs" /stypes="app*4030*20170701*" /stext=" 12:.+((SYSTEM_STATE.+slice.+state.+changed )|(ment ac)|(multiple cpu faults)|(system.+state.+changed )|(\[timeout)|(PRM\|1\|D)|(kpr)|(kdp)|(train st.+moving)|(\|lc)|(penalty))"</v>
      </c>
      <c r="AG30" s="209" t="str">
        <f t="shared" si="11"/>
        <v>EC</v>
      </c>
      <c r="AH30" s="78" t="str">
        <f t="shared" si="16"/>
        <v>"%USERPROFILE%\Documents\GitHub\eaglep3\Utilities\RefineRTDCRunTimes.py" --tripid 117-01 --locoid 4030 --swversion DE.1.0.9.0 --startMP 204:458 --initTime 2017-07-01T05:37:46 --startdatetime 2017-07-01T05:45:43 --delay 1 --endMP 204:233345 --enddatetime 2017-07-01T06:21:35 --enforcementcount 0 &gt;&gt;C:\Users\stu\Documents\GitHub\eaglep3-reporting\EC\2017-07-01-refined-times.txt</v>
      </c>
      <c r="AI30" s="96" t="str">
        <f t="shared" si="17"/>
        <v>echo {"issue":{"subject":"","project_id":79,"tracker_id":40,"status_id":1,"priority_id":2,"assigned_to_id":23,"start_date":"2017-07-01","description":"","custom_fields":[{"id":1,"name":"Subdivision","value":"EC"},{"id":4,"name":"Milepost","value":"23.3345"},{"id":17,"name":"Train ID","value":"117-01"},{"id":16,"name":"Locomotive ID","value":"4030"},{"id":130,"name":"Impact","value":""},{"id":150,"name":"Time of Event (Mountain Time)","value":"06:21:35"},{"id":151,"name":"Denver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0" s="20"/>
      <c r="AK30" s="47"/>
      <c r="AL30" s="47"/>
      <c r="AM30" s="142" t="str">
        <f t="shared" si="18"/>
        <v>start /low /b %USERPROFILE%\Documents\GitHub\eaglep3\Utilities\DownloadLogsFromS3.py --loco 4030 --day 2017-07-01</v>
      </c>
      <c r="AN30" s="151" t="str">
        <f t="shared" si="19"/>
        <v>echo {"issue":{"subject":"","project_id":30,"tracker_id":4,"status_id":1,"priority_id":1,"assigned_to_id":10,"start_date":"2017-07-01","description":"","custom_fields":[{"id":30,"name":"Category","value":"Issue"},{"id":3,"name":"Functional Component","value":"Onboard"},{"id":31,"name":"Version","value":"N/A"},{"id":8,"name":"Reporting RR","value":"WABTEC"},{"id":27,"name":"Locomotive ID","value":"4030"},{"id":20,"name":"RR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UTC","value":"2017-07-01 12:21:35"},{"id":29,"name":"Sharepoint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0"/>
      <c r="AP30"/>
      <c r="AQ30"/>
      <c r="AR30"/>
      <c r="AS30"/>
      <c r="AT30"/>
      <c r="AU30"/>
      <c r="AV30"/>
      <c r="AW30"/>
      <c r="AX30"/>
      <c r="AY30"/>
      <c r="AZ30"/>
      <c r="BA30"/>
      <c r="BB30"/>
      <c r="BC30"/>
      <c r="BD30"/>
      <c r="BE30"/>
      <c r="BF30"/>
      <c r="BG30"/>
      <c r="BH30"/>
      <c r="BI30"/>
      <c r="BJ30"/>
      <c r="BK30"/>
      <c r="BL30"/>
      <c r="BM30"/>
      <c r="BN30"/>
      <c r="BO30"/>
      <c r="BP30"/>
      <c r="BQ30"/>
      <c r="BR30"/>
      <c r="BS30"/>
      <c r="BT30"/>
      <c r="BU30"/>
      <c r="BV30"/>
      <c r="BW30"/>
      <c r="BX30"/>
      <c r="BY30"/>
      <c r="BZ30"/>
      <c r="CA30"/>
      <c r="CB30"/>
      <c r="CC30"/>
      <c r="CD30"/>
      <c r="CE30"/>
      <c r="CF30"/>
      <c r="CG30"/>
      <c r="CH30"/>
      <c r="CI30"/>
      <c r="CJ30"/>
      <c r="CK30"/>
      <c r="CL30"/>
      <c r="CM30"/>
    </row>
    <row r="31" spans="1:91" s="1" customFormat="1" x14ac:dyDescent="0.25">
      <c r="A31" s="32" t="s">
        <v>724</v>
      </c>
      <c r="B31" s="7">
        <v>4029</v>
      </c>
      <c r="C31" s="21" t="s">
        <v>202</v>
      </c>
      <c r="D31" s="21" t="s">
        <v>890</v>
      </c>
      <c r="E31" s="13">
        <v>42917.267488425925</v>
      </c>
      <c r="F31" s="13">
        <v>42917.279351851852</v>
      </c>
      <c r="G31" s="7">
        <v>1</v>
      </c>
      <c r="H31" s="21" t="s">
        <v>447</v>
      </c>
      <c r="I31" s="13">
        <v>42917.306446759256</v>
      </c>
      <c r="J31" s="7">
        <v>0</v>
      </c>
      <c r="K31" s="89" t="str">
        <f t="shared" si="0"/>
        <v>4029/4030</v>
      </c>
      <c r="L31" s="21" t="str">
        <f>VLOOKUP(A31,'Trips&amp;Operators'!$C$1:$G$99999,5,FALSE)</f>
        <v>GUZMAN DANNY</v>
      </c>
      <c r="M31" s="6">
        <f t="shared" si="1"/>
        <v>2.7094907403807156E-2</v>
      </c>
      <c r="N31" s="7">
        <f t="shared" si="20"/>
        <v>39.016666661482304</v>
      </c>
      <c r="O31" s="7"/>
      <c r="P31" s="7"/>
      <c r="Q31" s="22"/>
      <c r="R31" s="170"/>
      <c r="S31" s="213">
        <f t="shared" si="21"/>
        <v>1</v>
      </c>
      <c r="T31" s="195" t="str">
        <f t="shared" si="2"/>
        <v>Southbound</v>
      </c>
      <c r="U31" s="195">
        <f>IF(AG31="EC",COUNTIFS(Variables!$M$2:$M$19,IF(T31="NorthBound","&gt;=","&lt;=")&amp;Y31,Variables!$M$2:$M$19,IF(T31="NorthBound","&lt;=","&gt;=")&amp;Z31),COUNTIFS(Variables!$P$2:$P$19,IF(T31="NorthBound","&gt;=","&lt;=")&amp;Y31,Variables!$P$2:$P$19,IF(T31="NorthBound","&lt;=","&gt;=")&amp;Z31))</f>
        <v>12</v>
      </c>
      <c r="V31" s="196" t="str">
        <f t="shared" si="3"/>
        <v>https://d0f6bd738d7f1b3e5a7ca70fe4ff75f0.us-east-1.aws.found.io/app/kibana#/discover/Steve-Slow-Train-Analysis-(2080s-and-2083s)?_g=(refreshInterval:(display:Off,pause:!f,section:0,value:0),time:(from:'2017-07-01T05:25:11-0600',mode:absolute,to:'2017-07-01T08:21:17-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31" s="197" t="str">
        <f>IF(AA31&lt;VLOOKUP(AG31,Variables!$AC$3:$AD$8,2,FALSE),"Y","N")</f>
        <v>N</v>
      </c>
      <c r="X31" s="197">
        <f t="shared" si="4"/>
        <v>1</v>
      </c>
      <c r="Y31" s="197">
        <f t="shared" si="5"/>
        <v>23.3003</v>
      </c>
      <c r="Z31" s="197">
        <f t="shared" si="6"/>
        <v>1.38E-2</v>
      </c>
      <c r="AA31" s="197">
        <f t="shared" si="7"/>
        <v>23.2865</v>
      </c>
      <c r="AB31" s="54" t="e">
        <f>VLOOKUP(A31,Enforcements!$C$7:$K$13,8,0)</f>
        <v>#N/A</v>
      </c>
      <c r="AC31" s="51" t="e">
        <f>VLOOKUP(A31,Enforcements!$C$7:$E$13,3,0)</f>
        <v>#N/A</v>
      </c>
      <c r="AD31" s="206">
        <f t="shared" si="8"/>
        <v>118</v>
      </c>
      <c r="AE31" s="77" t="str">
        <f t="shared" si="9"/>
        <v>aws s3 cp s3://rtdc.mdm.uploadarchive.raw/RTDC4029/ "%USERPROFILE%\AppData\Local\Temp\OnboardLogs"\RTDC4029\2017-07-01 --exclude "*" --recursive --include "*20170701*" &amp; "%USERPROFILE%\Documents\GitHub\mrs-test-scripts\Headless Mode &amp; Sideloading\WalkAndUnGZ.bat" "%USERPROFILE%\AppData\Local\Temp\OnboardLogs"\RTDC4029\2017-07-01 &amp; aws s3 cp s3://rtdc.mdm.uploadarchive.raw/RTDC4029/ "%USERPROFILE%\AppData\Local\Temp\OnboardLogs"\RTDC4029\2017-07-02 --exclude "*" --recursive --include "*20170702*" &amp; "%USERPROFILE%\Documents\GitHub\mrs-test-scripts\Headless Mode &amp; Sideloading\WalkAndUnGZ.bat" "%USERPROFILE%\AppData\Local\Temp\OnboardLogs"\RTDC4029\2017-07-02</v>
      </c>
      <c r="AF31" s="74" t="str">
        <f t="shared" si="10"/>
        <v>"C:\Program Files (x86)\AstroGrep\AstroGrep.exe" /e /r /s /spath="%USERPROFILE%\AppData\Local\Temp\OnboardLogs" /stypes="app*4029*20170701*" /stext=" 13:.+((SYSTEM_STATE.+slice.+state.+changed )|(ment ac)|(multiple cpu faults)|(system.+state.+changed )|(\[timeout)|(PRM\|1\|D)|(kpr)|(kdp)|(train st.+moving)|(\|lc)|(penalty))"</v>
      </c>
      <c r="AG31" s="209" t="str">
        <f t="shared" si="11"/>
        <v>EC</v>
      </c>
      <c r="AH31" s="78" t="str">
        <f t="shared" si="16"/>
        <v>"%USERPROFILE%\Documents\GitHub\eaglep3\Utilities\RefineRTDCRunTimes.py" --tripid 118-01 --locoid 4029 --swversion DE.1.0.9.0 --startMP 204:233003 --initTime 2017-07-01T06:25:11 --startdatetime 2017-07-01T06:42:16 --delay 1 --endMP 204:138 --enddatetime 2017-07-01T07:21:17 --enforcementcount 0 &gt;&gt;C:\Users\stu\Documents\GitHub\eaglep3-reporting\EC\2017-07-01-refined-times.txt</v>
      </c>
      <c r="AI31" s="96" t="str">
        <f t="shared" si="17"/>
        <v>echo {"issue":{"subject":"","project_id":79,"tracker_id":40,"status_id":1,"priority_id":2,"assigned_to_id":23,"start_date":"2017-07-01","description":"","custom_fields":[{"id":1,"name":"Subdivision","value":"EC"},{"id":4,"name":"Milepost","value":"0.0138"},{"id":17,"name":"Train ID","value":"118-01"},{"id":16,"name":"Locomotive ID","value":"4029"},{"id":130,"name":"Impact","value":""},{"id":150,"name":"Time of Event (Mountain Time)","value":"07:21:17"},{"id":151,"name":"Denver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1" s="20"/>
      <c r="AK31" s="47"/>
      <c r="AL31" s="47"/>
      <c r="AM31" s="142" t="str">
        <f t="shared" si="18"/>
        <v>start /low /b %USERPROFILE%\Documents\GitHub\eaglep3\Utilities\DownloadLogsFromS3.py --loco 4029 --day 2017-07-01</v>
      </c>
      <c r="AN31" s="151" t="str">
        <f t="shared" si="19"/>
        <v>echo {"issue":{"subject":"","project_id":30,"tracker_id":4,"status_id":1,"priority_id":1,"assigned_to_id":10,"start_date":"2017-07-01","description":"","custom_fields":[{"id":30,"name":"Category","value":"Issue"},{"id":3,"name":"Functional Component","value":"Onboard"},{"id":31,"name":"Version","value":"N/A"},{"id":8,"name":"Reporting RR","value":"WABTEC"},{"id":27,"name":"Locomotive ID","value":"4029"},{"id":20,"name":"RR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UTC","value":"2017-07-01 13:21:17"},{"id":29,"name":"Sharepoint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1"/>
      <c r="AP31"/>
      <c r="AQ31"/>
      <c r="AR31"/>
      <c r="AS31"/>
      <c r="AT31"/>
      <c r="AU31"/>
      <c r="AV31"/>
      <c r="AW31"/>
      <c r="AX31"/>
      <c r="AY31"/>
      <c r="AZ31"/>
      <c r="BA31"/>
      <c r="BB31"/>
      <c r="BC31"/>
      <c r="BD31"/>
      <c r="BE31"/>
      <c r="BF31"/>
      <c r="BG31"/>
      <c r="BH31"/>
      <c r="BI31"/>
      <c r="BJ31"/>
      <c r="BK31"/>
      <c r="BL31"/>
      <c r="BM31"/>
      <c r="BN31"/>
      <c r="BO31"/>
      <c r="BP31"/>
      <c r="BQ31"/>
      <c r="BR31"/>
      <c r="BS31"/>
      <c r="BT31"/>
      <c r="BU31"/>
      <c r="BV31"/>
      <c r="BW31"/>
      <c r="BX31"/>
      <c r="BY31"/>
      <c r="BZ31"/>
      <c r="CA31"/>
      <c r="CB31"/>
      <c r="CC31"/>
      <c r="CD31"/>
      <c r="CE31"/>
      <c r="CF31"/>
      <c r="CG31"/>
      <c r="CH31"/>
      <c r="CI31"/>
      <c r="CJ31"/>
      <c r="CK31"/>
      <c r="CL31"/>
      <c r="CM31"/>
    </row>
    <row r="32" spans="1:91" s="1" customFormat="1" x14ac:dyDescent="0.25">
      <c r="A32" s="32" t="s">
        <v>721</v>
      </c>
      <c r="B32" s="7">
        <v>4028</v>
      </c>
      <c r="C32" s="21" t="s">
        <v>202</v>
      </c>
      <c r="D32" s="21" t="s">
        <v>354</v>
      </c>
      <c r="E32" s="13">
        <v>42917.246620370373</v>
      </c>
      <c r="F32" s="13">
        <v>42917.250567129631</v>
      </c>
      <c r="G32" s="7">
        <v>1</v>
      </c>
      <c r="H32" s="21" t="s">
        <v>546</v>
      </c>
      <c r="I32" s="13">
        <v>42917.278263888889</v>
      </c>
      <c r="J32" s="7">
        <v>0</v>
      </c>
      <c r="K32" s="89" t="str">
        <f t="shared" si="0"/>
        <v>4027/4028</v>
      </c>
      <c r="L32" s="21" t="str">
        <f>VLOOKUP(A32,'Trips&amp;Operators'!$C$1:$G$99999,5,FALSE)</f>
        <v>DAVIS WENDY</v>
      </c>
      <c r="M32" s="6">
        <f t="shared" si="1"/>
        <v>2.7696759258105885E-2</v>
      </c>
      <c r="N32" s="7">
        <f t="shared" si="20"/>
        <v>39.883333331672475</v>
      </c>
      <c r="O32" s="7"/>
      <c r="P32" s="7"/>
      <c r="Q32" s="22"/>
      <c r="R32" s="170"/>
      <c r="S32" s="213">
        <f t="shared" si="21"/>
        <v>1</v>
      </c>
      <c r="T32" s="195" t="str">
        <f t="shared" si="2"/>
        <v>NorthBound</v>
      </c>
      <c r="U32" s="195">
        <f>IF(AG32="EC",COUNTIFS(Variables!$M$2:$M$19,IF(T32="NorthBound","&gt;=","&lt;=")&amp;Y32,Variables!$M$2:$M$19,IF(T32="NorthBound","&lt;=","&gt;=")&amp;Z32),COUNTIFS(Variables!$P$2:$P$19,IF(T32="NorthBound","&gt;=","&lt;=")&amp;Y32,Variables!$P$2:$P$19,IF(T32="NorthBound","&lt;=","&gt;=")&amp;Z32))</f>
        <v>12</v>
      </c>
      <c r="V32" s="196" t="str">
        <f t="shared" si="3"/>
        <v>https://d0f6bd738d7f1b3e5a7ca70fe4ff75f0.us-east-1.aws.found.io/app/kibana#/discover/Steve-Slow-Train-Analysis-(2080s-and-2083s)?_g=(refreshInterval:(display:Off,pause:!f,section:0,value:0),time:(from:'2017-07-01T04:55:08-0600',mode:absolute,to:'2017-07-01T07:40:42-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32" s="197" t="str">
        <f>IF(AA32&lt;VLOOKUP(AG32,Variables!$AC$3:$AD$8,2,FALSE),"Y","N")</f>
        <v>N</v>
      </c>
      <c r="X32" s="197">
        <f t="shared" si="4"/>
        <v>1</v>
      </c>
      <c r="Y32" s="197">
        <f t="shared" si="5"/>
        <v>4.53E-2</v>
      </c>
      <c r="Z32" s="197">
        <f t="shared" si="6"/>
        <v>23.3323</v>
      </c>
      <c r="AA32" s="197">
        <f t="shared" si="7"/>
        <v>23.286999999999999</v>
      </c>
      <c r="AB32" s="54" t="e">
        <f>VLOOKUP(A32,Enforcements!$C$7:$K$13,8,0)</f>
        <v>#N/A</v>
      </c>
      <c r="AC32" s="51" t="e">
        <f>VLOOKUP(A32,Enforcements!$C$7:$E$13,3,0)</f>
        <v>#N/A</v>
      </c>
      <c r="AD32" s="206">
        <f t="shared" si="8"/>
        <v>119</v>
      </c>
      <c r="AE32" s="77" t="str">
        <f t="shared" si="9"/>
        <v>aws s3 cp s3://rtdc.mdm.uploadarchive.raw/RTDC4028/ "%USERPROFILE%\AppData\Local\Temp\OnboardLogs"\RTDC4028\2017-07-01 --exclude "*" --recursive --include "*20170701*" &amp; "%USERPROFILE%\Documents\GitHub\mrs-test-scripts\Headless Mode &amp; Sideloading\WalkAndUnGZ.bat" "%USERPROFILE%\AppData\Local\Temp\OnboardLogs"\RTDC4028\2017-07-01 &amp; aws s3 cp s3://rtdc.mdm.uploadarchive.raw/RTDC4028/ "%USERPROFILE%\AppData\Local\Temp\OnboardLogs"\RTDC4028\2017-07-02 --exclude "*" --recursive --include "*20170702*" &amp; "%USERPROFILE%\Documents\GitHub\mrs-test-scripts\Headless Mode &amp; Sideloading\WalkAndUnGZ.bat" "%USERPROFILE%\AppData\Local\Temp\OnboardLogs"\RTDC4028\2017-07-02</v>
      </c>
      <c r="AF32" s="74" t="str">
        <f t="shared" si="10"/>
        <v>"C:\Program Files (x86)\AstroGrep\AstroGrep.exe" /e /r /s /spath="%USERPROFILE%\AppData\Local\Temp\OnboardLogs" /stypes="app*4028*20170701*" /stext=" 12:.+((SYSTEM_STATE.+slice.+state.+changed )|(ment ac)|(multiple cpu faults)|(system.+state.+changed )|(\[timeout)|(PRM\|1\|D)|(kpr)|(kdp)|(train st.+moving)|(\|lc)|(penalty))"</v>
      </c>
      <c r="AG32" s="209" t="str">
        <f t="shared" si="11"/>
        <v>EC</v>
      </c>
      <c r="AH32" s="78" t="str">
        <f t="shared" si="16"/>
        <v>"%USERPROFILE%\Documents\GitHub\eaglep3\Utilities\RefineRTDCRunTimes.py" --tripid 119-01 --locoid 4028 --swversion DE.1.0.9.0 --startMP 204:453 --initTime 2017-07-01T05:55:08 --startdatetime 2017-07-01T06:00:49 --delay 1 --endMP 204:233323 --enddatetime 2017-07-01T06:40:42 --enforcementcount 0 &gt;&gt;C:\Users\stu\Documents\GitHub\eaglep3-reporting\EC\2017-07-01-refined-times.txt</v>
      </c>
      <c r="AI32" s="96" t="str">
        <f t="shared" si="17"/>
        <v>echo {"issue":{"subject":"","project_id":79,"tracker_id":40,"status_id":1,"priority_id":2,"assigned_to_id":23,"start_date":"2017-07-01","description":"","custom_fields":[{"id":1,"name":"Subdivision","value":"EC"},{"id":4,"name":"Milepost","value":"23.3323"},{"id":17,"name":"Train ID","value":"119-01"},{"id":16,"name":"Locomotive ID","value":"4028"},{"id":130,"name":"Impact","value":""},{"id":150,"name":"Time of Event (Mountain Time)","value":"06:40:42"},{"id":151,"name":"Denver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2" s="20"/>
      <c r="AK32" s="47"/>
      <c r="AL32" s="47"/>
      <c r="AM32" s="142" t="str">
        <f t="shared" si="18"/>
        <v>start /low /b %USERPROFILE%\Documents\GitHub\eaglep3\Utilities\DownloadLogsFromS3.py --loco 4028 --day 2017-07-01</v>
      </c>
      <c r="AN32" s="151" t="str">
        <f t="shared" si="19"/>
        <v>echo {"issue":{"subject":"","project_id":30,"tracker_id":4,"status_id":1,"priority_id":1,"assigned_to_id":10,"start_date":"2017-07-01","description":"","custom_fields":[{"id":30,"name":"Category","value":"Issue"},{"id":3,"name":"Functional Component","value":"Onboard"},{"id":31,"name":"Version","value":"N/A"},{"id":8,"name":"Reporting RR","value":"WABTEC"},{"id":27,"name":"Locomotive ID","value":"4028"},{"id":20,"name":"RR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UTC","value":"2017-07-01 12:40:42"},{"id":29,"name":"Sharepoint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2"/>
      <c r="AP32"/>
      <c r="AQ32"/>
      <c r="AR32"/>
      <c r="AS32"/>
      <c r="AT32"/>
      <c r="AU32"/>
      <c r="AV32"/>
      <c r="AW32"/>
      <c r="AX32"/>
      <c r="AY32"/>
      <c r="AZ32"/>
      <c r="BA32"/>
      <c r="BB32"/>
      <c r="BC32"/>
      <c r="BD32"/>
      <c r="BE32"/>
      <c r="BF32"/>
      <c r="BG32"/>
      <c r="BH32"/>
      <c r="BI32"/>
      <c r="BJ32"/>
      <c r="BK32"/>
      <c r="BL32"/>
      <c r="BM32"/>
      <c r="BN32"/>
      <c r="BO32"/>
      <c r="BP32"/>
      <c r="BQ32"/>
      <c r="BR32"/>
      <c r="BS32"/>
      <c r="BT32"/>
      <c r="BU32"/>
      <c r="BV32"/>
      <c r="BW32"/>
      <c r="BX32"/>
      <c r="BY32"/>
      <c r="BZ32"/>
      <c r="CA32"/>
      <c r="CB32"/>
      <c r="CC32"/>
      <c r="CD32"/>
      <c r="CE32"/>
      <c r="CF32"/>
      <c r="CG32"/>
      <c r="CH32"/>
      <c r="CI32"/>
      <c r="CJ32"/>
      <c r="CK32"/>
      <c r="CL32"/>
      <c r="CM32"/>
    </row>
    <row r="33" spans="1:91" s="1" customFormat="1" x14ac:dyDescent="0.25">
      <c r="A33" s="32" t="s">
        <v>728</v>
      </c>
      <c r="B33" s="7">
        <v>4027</v>
      </c>
      <c r="C33" s="21" t="s">
        <v>202</v>
      </c>
      <c r="D33" s="21" t="s">
        <v>600</v>
      </c>
      <c r="E33" s="13">
        <v>42917.287141203706</v>
      </c>
      <c r="F33" s="13">
        <v>42917.289733796293</v>
      </c>
      <c r="G33" s="7">
        <v>1</v>
      </c>
      <c r="H33" s="21" t="s">
        <v>348</v>
      </c>
      <c r="I33" s="13">
        <v>42917.316967592589</v>
      </c>
      <c r="J33" s="7">
        <v>0</v>
      </c>
      <c r="K33" s="89" t="str">
        <f t="shared" si="0"/>
        <v>4027/4028</v>
      </c>
      <c r="L33" s="21" t="str">
        <f>VLOOKUP(A33,'Trips&amp;Operators'!$C$1:$G$99999,5,FALSE)</f>
        <v>DAVIS WENDY</v>
      </c>
      <c r="M33" s="6">
        <f t="shared" si="1"/>
        <v>2.7233796296059154E-2</v>
      </c>
      <c r="N33" s="7">
        <f t="shared" si="20"/>
        <v>39.216666666325182</v>
      </c>
      <c r="O33" s="7"/>
      <c r="P33" s="7"/>
      <c r="Q33" s="22"/>
      <c r="R33" s="170"/>
      <c r="S33" s="213">
        <f t="shared" si="21"/>
        <v>1</v>
      </c>
      <c r="T33" s="195" t="str">
        <f t="shared" si="2"/>
        <v>Southbound</v>
      </c>
      <c r="U33" s="195">
        <f>IF(AG33="EC",COUNTIFS(Variables!$M$2:$M$19,IF(T33="NorthBound","&gt;=","&lt;=")&amp;Y33,Variables!$M$2:$M$19,IF(T33="NorthBound","&lt;=","&gt;=")&amp;Z33),COUNTIFS(Variables!$P$2:$P$19,IF(T33="NorthBound","&gt;=","&lt;=")&amp;Y33,Variables!$P$2:$P$19,IF(T33="NorthBound","&lt;=","&gt;=")&amp;Z33))</f>
        <v>12</v>
      </c>
      <c r="V33" s="196" t="str">
        <f t="shared" si="3"/>
        <v>https://d0f6bd738d7f1b3e5a7ca70fe4ff75f0.us-east-1.aws.found.io/app/kibana#/discover/Steve-Slow-Train-Analysis-(2080s-and-2083s)?_g=(refreshInterval:(display:Off,pause:!f,section:0,value:0),time:(from:'2017-07-01T05:53:29-0600',mode:absolute,to:'2017-07-01T08:36:26-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33" s="197" t="str">
        <f>IF(AA33&lt;VLOOKUP(AG33,Variables!$AC$3:$AD$8,2,FALSE),"Y","N")</f>
        <v>N</v>
      </c>
      <c r="X33" s="197">
        <f t="shared" si="4"/>
        <v>1</v>
      </c>
      <c r="Y33" s="197">
        <f t="shared" si="5"/>
        <v>23.301100000000002</v>
      </c>
      <c r="Z33" s="197">
        <f t="shared" si="6"/>
        <v>1.4999999999999999E-2</v>
      </c>
      <c r="AA33" s="197">
        <f t="shared" si="7"/>
        <v>23.286100000000001</v>
      </c>
      <c r="AB33" s="54" t="e">
        <f>VLOOKUP(A33,Enforcements!$C$7:$K$13,8,0)</f>
        <v>#N/A</v>
      </c>
      <c r="AC33" s="51" t="e">
        <f>VLOOKUP(A33,Enforcements!$C$7:$E$13,3,0)</f>
        <v>#N/A</v>
      </c>
      <c r="AD33" s="206">
        <f t="shared" si="8"/>
        <v>120</v>
      </c>
      <c r="AE33" s="77" t="str">
        <f t="shared" si="9"/>
        <v>aws s3 cp s3://rtdc.mdm.uploadarchive.raw/RTDC4027/ "%USERPROFILE%\AppData\Local\Temp\OnboardLogs"\RTDC4027\2017-07-01 --exclude "*" --recursive --include "*20170701*" &amp; "%USERPROFILE%\Documents\GitHub\mrs-test-scripts\Headless Mode &amp; Sideloading\WalkAndUnGZ.bat" "%USERPROFILE%\AppData\Local\Temp\OnboardLogs"\RTDC4027\2017-07-01 &amp; aws s3 cp s3://rtdc.mdm.uploadarchive.raw/RTDC4027/ "%USERPROFILE%\AppData\Local\Temp\OnboardLogs"\RTDC4027\2017-07-02 --exclude "*" --recursive --include "*20170702*" &amp; "%USERPROFILE%\Documents\GitHub\mrs-test-scripts\Headless Mode &amp; Sideloading\WalkAndUnGZ.bat" "%USERPROFILE%\AppData\Local\Temp\OnboardLogs"\RTDC4027\2017-07-02</v>
      </c>
      <c r="AF33" s="74" t="str">
        <f t="shared" si="10"/>
        <v>"C:\Program Files (x86)\AstroGrep\AstroGrep.exe" /e /r /s /spath="%USERPROFILE%\AppData\Local\Temp\OnboardLogs" /stypes="app*4027*20170701*" /stext=" 13:.+((SYSTEM_STATE.+slice.+state.+changed )|(ment ac)|(multiple cpu faults)|(system.+state.+changed )|(\[timeout)|(PRM\|1\|D)|(kpr)|(kdp)|(train st.+moving)|(\|lc)|(penalty))"</v>
      </c>
      <c r="AG33" s="209" t="str">
        <f t="shared" si="11"/>
        <v>EC</v>
      </c>
      <c r="AH33" s="78" t="str">
        <f t="shared" si="16"/>
        <v>"%USERPROFILE%\Documents\GitHub\eaglep3\Utilities\RefineRTDCRunTimes.py" --tripid 120-01 --locoid 4027 --swversion DE.1.0.9.0 --startMP 204:233011 --initTime 2017-07-01T06:53:29 --startdatetime 2017-07-01T06:57:13 --delay 1 --endMP 204:150 --enddatetime 2017-07-01T07:36:26 --enforcementcount 0 &gt;&gt;C:\Users\stu\Documents\GitHub\eaglep3-reporting\EC\2017-07-01-refined-times.txt</v>
      </c>
      <c r="AI33" s="96" t="str">
        <f t="shared" si="17"/>
        <v>echo {"issue":{"subject":"","project_id":79,"tracker_id":40,"status_id":1,"priority_id":2,"assigned_to_id":23,"start_date":"2017-07-01","description":"","custom_fields":[{"id":1,"name":"Subdivision","value":"EC"},{"id":4,"name":"Milepost","value":"0.015"},{"id":17,"name":"Train ID","value":"120-01"},{"id":16,"name":"Locomotive ID","value":"4027"},{"id":130,"name":"Impact","value":""},{"id":150,"name":"Time of Event (Mountain Time)","value":"07:36:26"},{"id":151,"name":"Denver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3" s="20"/>
      <c r="AK33" s="47"/>
      <c r="AL33" s="47"/>
      <c r="AM33" s="142" t="str">
        <f t="shared" si="18"/>
        <v>start /low /b %USERPROFILE%\Documents\GitHub\eaglep3\Utilities\DownloadLogsFromS3.py --loco 4027 --day 2017-07-01</v>
      </c>
      <c r="AN33" s="151" t="str">
        <f t="shared" si="19"/>
        <v>echo {"issue":{"subject":"","project_id":30,"tracker_id":4,"status_id":1,"priority_id":1,"assigned_to_id":10,"start_date":"2017-07-01","description":"","custom_fields":[{"id":30,"name":"Category","value":"Issue"},{"id":3,"name":"Functional Component","value":"Onboard"},{"id":31,"name":"Version","value":"N/A"},{"id":8,"name":"Reporting RR","value":"WABTEC"},{"id":27,"name":"Locomotive ID","value":"4027"},{"id":20,"name":"RR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UTC","value":"2017-07-01 13:36:26"},{"id":29,"name":"Sharepoint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3"/>
      <c r="AP33"/>
      <c r="AQ33"/>
      <c r="AR33"/>
      <c r="AS33"/>
      <c r="AT33"/>
      <c r="AU33"/>
      <c r="AV33"/>
      <c r="AW33"/>
      <c r="AX33"/>
      <c r="AY33"/>
      <c r="AZ33"/>
      <c r="BA33"/>
      <c r="BB33"/>
      <c r="BC33"/>
      <c r="BD33"/>
      <c r="BE33"/>
      <c r="BF33"/>
      <c r="BG33"/>
      <c r="BH33"/>
      <c r="BI33"/>
      <c r="BJ33"/>
      <c r="BK33"/>
      <c r="BL33"/>
      <c r="BM33"/>
      <c r="BN33"/>
      <c r="BO33"/>
      <c r="BP33"/>
      <c r="BQ33"/>
      <c r="BR33"/>
      <c r="BS33"/>
      <c r="BT33"/>
      <c r="BU33"/>
      <c r="BV33"/>
      <c r="BW33"/>
      <c r="BX33"/>
      <c r="BY33"/>
      <c r="BZ33"/>
      <c r="CA33"/>
      <c r="CB33"/>
      <c r="CC33"/>
      <c r="CD33"/>
      <c r="CE33"/>
      <c r="CF33"/>
      <c r="CG33"/>
      <c r="CH33"/>
      <c r="CI33"/>
      <c r="CJ33"/>
      <c r="CK33"/>
      <c r="CL33"/>
      <c r="CM33"/>
    </row>
    <row r="34" spans="1:91" s="1" customFormat="1" x14ac:dyDescent="0.25">
      <c r="A34" s="32" t="s">
        <v>722</v>
      </c>
      <c r="B34" s="7">
        <v>4014</v>
      </c>
      <c r="C34" s="21" t="s">
        <v>202</v>
      </c>
      <c r="D34" s="21" t="s">
        <v>355</v>
      </c>
      <c r="E34" s="13">
        <v>42917.256122685183</v>
      </c>
      <c r="F34" s="13">
        <v>42917.260925925926</v>
      </c>
      <c r="G34" s="7">
        <v>1</v>
      </c>
      <c r="H34" s="21" t="s">
        <v>891</v>
      </c>
      <c r="I34" s="13">
        <v>42917.287326388891</v>
      </c>
      <c r="J34" s="7">
        <v>0</v>
      </c>
      <c r="K34" s="89" t="str">
        <f t="shared" si="0"/>
        <v>4013/4014</v>
      </c>
      <c r="L34" s="21" t="str">
        <f>VLOOKUP(A34,'Trips&amp;Operators'!$C$1:$G$99999,5,FALSE)</f>
        <v>GEBRETEKLE DAGNEW</v>
      </c>
      <c r="M34" s="6">
        <f t="shared" si="1"/>
        <v>2.6400462964375038E-2</v>
      </c>
      <c r="N34" s="7">
        <f t="shared" si="20"/>
        <v>38.016666668700054</v>
      </c>
      <c r="O34" s="7"/>
      <c r="P34" s="7"/>
      <c r="Q34" s="22"/>
      <c r="R34" s="170"/>
      <c r="S34" s="213">
        <f t="shared" si="21"/>
        <v>1</v>
      </c>
      <c r="T34" s="195" t="str">
        <f t="shared" si="2"/>
        <v>NorthBound</v>
      </c>
      <c r="U34" s="195">
        <f>IF(AG34="EC",COUNTIFS(Variables!$M$2:$M$19,IF(T34="NorthBound","&gt;=","&lt;=")&amp;Y34,Variables!$M$2:$M$19,IF(T34="NorthBound","&lt;=","&gt;=")&amp;Z34),COUNTIFS(Variables!$P$2:$P$19,IF(T34="NorthBound","&gt;=","&lt;=")&amp;Y34,Variables!$P$2:$P$19,IF(T34="NorthBound","&lt;=","&gt;=")&amp;Z34))</f>
        <v>12</v>
      </c>
      <c r="V34" s="196" t="str">
        <f t="shared" si="3"/>
        <v>https://d0f6bd738d7f1b3e5a7ca70fe4ff75f0.us-east-1.aws.found.io/app/kibana#/discover/Steve-Slow-Train-Analysis-(2080s-and-2083s)?_g=(refreshInterval:(display:Off,pause:!f,section:0,value:0),time:(from:'2017-07-01T05:08:49-0600',mode:absolute,to:'2017-07-01T07:53:45-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34" s="197" t="str">
        <f>IF(AA34&lt;VLOOKUP(AG34,Variables!$AC$3:$AD$8,2,FALSE),"Y","N")</f>
        <v>N</v>
      </c>
      <c r="X34" s="197">
        <f t="shared" si="4"/>
        <v>1</v>
      </c>
      <c r="Y34" s="197">
        <f t="shared" si="5"/>
        <v>4.4699999999999997E-2</v>
      </c>
      <c r="Z34" s="197">
        <f t="shared" si="6"/>
        <v>23.335999999999999</v>
      </c>
      <c r="AA34" s="197">
        <f t="shared" si="7"/>
        <v>23.2913</v>
      </c>
      <c r="AB34" s="54" t="e">
        <f>VLOOKUP(A34,Enforcements!$C$7:$K$13,8,0)</f>
        <v>#N/A</v>
      </c>
      <c r="AC34" s="51" t="e">
        <f>VLOOKUP(A34,Enforcements!$C$7:$E$13,3,0)</f>
        <v>#N/A</v>
      </c>
      <c r="AD34" s="206">
        <f t="shared" si="8"/>
        <v>121</v>
      </c>
      <c r="AE34" s="77" t="str">
        <f t="shared" si="9"/>
        <v>aws s3 cp s3://rtdc.mdm.uploadarchive.raw/RTDC4014/ "%USERPROFILE%\AppData\Local\Temp\OnboardLogs"\RTDC4014\2017-07-01 --exclude "*" --recursive --include "*20170701*" &amp; "%USERPROFILE%\Documents\GitHub\mrs-test-scripts\Headless Mode &amp; Sideloading\WalkAndUnGZ.bat" "%USERPROFILE%\AppData\Local\Temp\OnboardLogs"\RTDC4014\2017-07-01 &amp; aws s3 cp s3://rtdc.mdm.uploadarchive.raw/RTDC4014/ "%USERPROFILE%\AppData\Local\Temp\OnboardLogs"\RTDC4014\2017-07-02 --exclude "*" --recursive --include "*20170702*" &amp; "%USERPROFILE%\Documents\GitHub\mrs-test-scripts\Headless Mode &amp; Sideloading\WalkAndUnGZ.bat" "%USERPROFILE%\AppData\Local\Temp\OnboardLogs"\RTDC4014\2017-07-02</v>
      </c>
      <c r="AF34" s="74" t="str">
        <f t="shared" si="10"/>
        <v>"C:\Program Files (x86)\AstroGrep\AstroGrep.exe" /e /r /s /spath="%USERPROFILE%\AppData\Local\Temp\OnboardLogs" /stypes="app*4014*20170701*" /stext=" 12:.+((SYSTEM_STATE.+slice.+state.+changed )|(ment ac)|(multiple cpu faults)|(system.+state.+changed )|(\[timeout)|(PRM\|1\|D)|(kpr)|(kdp)|(train st.+moving)|(\|lc)|(penalty))"</v>
      </c>
      <c r="AG34" s="209" t="str">
        <f t="shared" si="11"/>
        <v>EC</v>
      </c>
      <c r="AH34" s="78" t="str">
        <f t="shared" si="16"/>
        <v>"%USERPROFILE%\Documents\GitHub\eaglep3\Utilities\RefineRTDCRunTimes.py" --tripid 121-01 --locoid 4014 --swversion DE.1.0.9.0 --startMP 204:447 --initTime 2017-07-01T06:08:49 --startdatetime 2017-07-01T06:15:44 --delay 1 --endMP 204:233360 --enddatetime 2017-07-01T06:53:45 --enforcementcount 0 &gt;&gt;C:\Users\stu\Documents\GitHub\eaglep3-reporting\EC\2017-07-01-refined-times.txt</v>
      </c>
      <c r="AI34" s="96" t="str">
        <f t="shared" si="17"/>
        <v>echo {"issue":{"subject":"","project_id":79,"tracker_id":40,"status_id":1,"priority_id":2,"assigned_to_id":23,"start_date":"2017-07-01","description":"","custom_fields":[{"id":1,"name":"Subdivision","value":"EC"},{"id":4,"name":"Milepost","value":"23.336"},{"id":17,"name":"Train ID","value":"121-01"},{"id":16,"name":"Locomotive ID","value":"4014"},{"id":130,"name":"Impact","value":""},{"id":150,"name":"Time of Event (Mountain Time)","value":"06:53:45"},{"id":151,"name":"Denver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4" s="20"/>
      <c r="AK34" s="47"/>
      <c r="AL34" s="47"/>
      <c r="AM34" s="142" t="str">
        <f t="shared" si="18"/>
        <v>start /low /b %USERPROFILE%\Documents\GitHub\eaglep3\Utilities\DownloadLogsFromS3.py --loco 4014 --day 2017-07-01</v>
      </c>
      <c r="AN34" s="151" t="str">
        <f t="shared" si="19"/>
        <v>echo {"issue":{"subject":"","project_id":30,"tracker_id":4,"status_id":1,"priority_id":1,"assigned_to_id":10,"start_date":"2017-07-01","description":"","custom_fields":[{"id":30,"name":"Category","value":"Issue"},{"id":3,"name":"Functional Component","value":"Onboard"},{"id":31,"name":"Version","value":"N/A"},{"id":8,"name":"Reporting RR","value":"WABTEC"},{"id":27,"name":"Locomotive ID","value":"4014"},{"id":20,"name":"RR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UTC","value":"2017-07-01 12:53:45"},{"id":29,"name":"Sharepoint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4"/>
      <c r="AP34"/>
      <c r="AQ34"/>
      <c r="AR34"/>
      <c r="AS34"/>
      <c r="AT34"/>
      <c r="AU34"/>
      <c r="AV34"/>
      <c r="AW34"/>
      <c r="AX34"/>
      <c r="AY34"/>
      <c r="AZ34"/>
      <c r="BA34"/>
      <c r="BB34"/>
      <c r="BC34"/>
      <c r="BD34"/>
      <c r="BE34"/>
      <c r="BF34"/>
      <c r="BG34"/>
      <c r="BH34"/>
      <c r="BI34"/>
      <c r="BJ34"/>
      <c r="BK34"/>
      <c r="BL34"/>
      <c r="BM34"/>
      <c r="BN34"/>
      <c r="BO34"/>
      <c r="BP34"/>
      <c r="BQ34"/>
      <c r="BR34"/>
      <c r="BS34"/>
      <c r="BT34"/>
      <c r="BU34"/>
      <c r="BV34"/>
      <c r="BW34"/>
      <c r="BX34"/>
      <c r="BY34"/>
      <c r="BZ34"/>
      <c r="CA34"/>
      <c r="CB34"/>
      <c r="CC34"/>
      <c r="CD34"/>
      <c r="CE34"/>
      <c r="CF34"/>
      <c r="CG34"/>
      <c r="CH34"/>
      <c r="CI34"/>
      <c r="CJ34"/>
      <c r="CK34"/>
      <c r="CL34"/>
      <c r="CM34"/>
    </row>
    <row r="35" spans="1:91" s="1" customFormat="1" x14ac:dyDescent="0.25">
      <c r="A35" s="32" t="s">
        <v>729</v>
      </c>
      <c r="B35" s="7">
        <v>4013</v>
      </c>
      <c r="C35" s="21" t="s">
        <v>202</v>
      </c>
      <c r="D35" s="21" t="s">
        <v>892</v>
      </c>
      <c r="E35" s="13">
        <v>42917.289027777777</v>
      </c>
      <c r="F35" s="13">
        <v>42917.300185185188</v>
      </c>
      <c r="G35" s="7">
        <v>1</v>
      </c>
      <c r="H35" s="21" t="s">
        <v>416</v>
      </c>
      <c r="I35" s="13">
        <v>42917.326388888891</v>
      </c>
      <c r="J35" s="7">
        <v>0</v>
      </c>
      <c r="K35" s="89" t="str">
        <f t="shared" si="0"/>
        <v>4013/4014</v>
      </c>
      <c r="L35" s="21" t="str">
        <f>VLOOKUP(A35,'Trips&amp;Operators'!$C$1:$G$99999,5,FALSE)</f>
        <v>GEBRETEKLE DAGNEW</v>
      </c>
      <c r="M35" s="6">
        <f t="shared" si="1"/>
        <v>2.6203703702776693E-2</v>
      </c>
      <c r="N35" s="7">
        <f t="shared" si="20"/>
        <v>37.733333331998438</v>
      </c>
      <c r="O35" s="7"/>
      <c r="P35" s="7"/>
      <c r="Q35" s="22"/>
      <c r="R35" s="170"/>
      <c r="S35" s="213">
        <f t="shared" si="21"/>
        <v>1</v>
      </c>
      <c r="T35" s="195" t="str">
        <f t="shared" si="2"/>
        <v>Southbound</v>
      </c>
      <c r="U35" s="195">
        <f>IF(AG35="EC",COUNTIFS(Variables!$M$2:$M$19,IF(T35="NorthBound","&gt;=","&lt;=")&amp;Y35,Variables!$M$2:$M$19,IF(T35="NorthBound","&lt;=","&gt;=")&amp;Z35),COUNTIFS(Variables!$P$2:$P$19,IF(T35="NorthBound","&gt;=","&lt;=")&amp;Y35,Variables!$P$2:$P$19,IF(T35="NorthBound","&lt;=","&gt;=")&amp;Z35))</f>
        <v>12</v>
      </c>
      <c r="V35" s="196" t="str">
        <f t="shared" si="3"/>
        <v>https://d0f6bd738d7f1b3e5a7ca70fe4ff75f0.us-east-1.aws.found.io/app/kibana#/discover/Steve-Slow-Train-Analysis-(2080s-and-2083s)?_g=(refreshInterval:(display:Off,pause:!f,section:0,value:0),time:(from:'2017-07-01T05:56:12-0600',mode:absolute,to:'2017-07-01T08:50:00-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35" s="197" t="str">
        <f>IF(AA35&lt;VLOOKUP(AG35,Variables!$AC$3:$AD$8,2,FALSE),"Y","N")</f>
        <v>N</v>
      </c>
      <c r="X35" s="197">
        <f t="shared" si="4"/>
        <v>1</v>
      </c>
      <c r="Y35" s="197">
        <f t="shared" si="5"/>
        <v>23.304200000000002</v>
      </c>
      <c r="Z35" s="197">
        <f t="shared" si="6"/>
        <v>1.4500000000000001E-2</v>
      </c>
      <c r="AA35" s="197">
        <f t="shared" si="7"/>
        <v>23.2897</v>
      </c>
      <c r="AB35" s="54" t="e">
        <f>VLOOKUP(A35,Enforcements!$C$7:$K$13,8,0)</f>
        <v>#N/A</v>
      </c>
      <c r="AC35" s="51" t="e">
        <f>VLOOKUP(A35,Enforcements!$C$7:$E$13,3,0)</f>
        <v>#N/A</v>
      </c>
      <c r="AD35" s="206">
        <f t="shared" si="8"/>
        <v>122</v>
      </c>
      <c r="AE35" s="77" t="str">
        <f t="shared" si="9"/>
        <v>aws s3 cp s3://rtdc.mdm.uploadarchive.raw/RTDC4013/ "%USERPROFILE%\AppData\Local\Temp\OnboardLogs"\RTDC4013\2017-07-01 --exclude "*" --recursive --include "*20170701*" &amp; "%USERPROFILE%\Documents\GitHub\mrs-test-scripts\Headless Mode &amp; Sideloading\WalkAndUnGZ.bat" "%USERPROFILE%\AppData\Local\Temp\OnboardLogs"\RTDC4013\2017-07-01 &amp; aws s3 cp s3://rtdc.mdm.uploadarchive.raw/RTDC4013/ "%USERPROFILE%\AppData\Local\Temp\OnboardLogs"\RTDC4013\2017-07-02 --exclude "*" --recursive --include "*20170702*" &amp; "%USERPROFILE%\Documents\GitHub\mrs-test-scripts\Headless Mode &amp; Sideloading\WalkAndUnGZ.bat" "%USERPROFILE%\AppData\Local\Temp\OnboardLogs"\RTDC4013\2017-07-02</v>
      </c>
      <c r="AF35" s="74" t="str">
        <f t="shared" si="10"/>
        <v>"C:\Program Files (x86)\AstroGrep\AstroGrep.exe" /e /r /s /spath="%USERPROFILE%\AppData\Local\Temp\OnboardLogs" /stypes="app*4013*20170701*" /stext=" 13:.+((SYSTEM_STATE.+slice.+state.+changed )|(ment ac)|(multiple cpu faults)|(system.+state.+changed )|(\[timeout)|(PRM\|1\|D)|(kpr)|(kdp)|(train st.+moving)|(\|lc)|(penalty))"</v>
      </c>
      <c r="AG35" s="209" t="str">
        <f t="shared" si="11"/>
        <v>EC</v>
      </c>
      <c r="AH35" s="78" t="str">
        <f t="shared" si="16"/>
        <v>"%USERPROFILE%\Documents\GitHub\eaglep3\Utilities\RefineRTDCRunTimes.py" --tripid 122-01 --locoid 4013 --swversion DE.1.0.9.0 --startMP 204:233042 --initTime 2017-07-01T06:56:12 --startdatetime 2017-07-01T07:12:16 --delay 1 --endMP 204:145 --enddatetime 2017-07-01T07:50:00 --enforcementcount 0 &gt;&gt;C:\Users\stu\Documents\GitHub\eaglep3-reporting\EC\2017-07-01-refined-times.txt</v>
      </c>
      <c r="AI35" s="96" t="str">
        <f t="shared" si="17"/>
        <v>echo {"issue":{"subject":"","project_id":79,"tracker_id":40,"status_id":1,"priority_id":2,"assigned_to_id":23,"start_date":"2017-07-01","description":"","custom_fields":[{"id":1,"name":"Subdivision","value":"EC"},{"id":4,"name":"Milepost","value":"0.0145"},{"id":17,"name":"Train ID","value":"122-01"},{"id":16,"name":"Locomotive ID","value":"4013"},{"id":130,"name":"Impact","value":""},{"id":150,"name":"Time of Event (Mountain Time)","value":"07:50:00"},{"id":151,"name":"Denver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5" s="20"/>
      <c r="AK35" s="47"/>
      <c r="AL35" s="47"/>
      <c r="AM35" s="142" t="str">
        <f t="shared" si="18"/>
        <v>start /low /b %USERPROFILE%\Documents\GitHub\eaglep3\Utilities\DownloadLogsFromS3.py --loco 4013 --day 2017-07-01</v>
      </c>
      <c r="AN35" s="151" t="str">
        <f t="shared" si="19"/>
        <v>echo {"issue":{"subject":"","project_id":30,"tracker_id":4,"status_id":1,"priority_id":1,"assigned_to_id":10,"start_date":"2017-07-01","description":"","custom_fields":[{"id":30,"name":"Category","value":"Issue"},{"id":3,"name":"Functional Component","value":"Onboard"},{"id":31,"name":"Version","value":"N/A"},{"id":8,"name":"Reporting RR","value":"WABTEC"},{"id":27,"name":"Locomotive ID","value":"4013"},{"id":20,"name":"RR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UTC","value":"2017-07-01 13:50:00"},{"id":29,"name":"Sharepoint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5"/>
      <c r="AP35"/>
      <c r="AQ35"/>
      <c r="AR35"/>
      <c r="AS35"/>
      <c r="AT35"/>
      <c r="AU35"/>
      <c r="AV35"/>
      <c r="AW35"/>
      <c r="AX35"/>
      <c r="AY35"/>
      <c r="AZ35"/>
      <c r="BA35"/>
      <c r="BB35"/>
      <c r="BC35"/>
      <c r="BD35"/>
      <c r="BE35"/>
      <c r="BF35"/>
      <c r="BG35"/>
      <c r="BH35"/>
      <c r="BI35"/>
      <c r="BJ35"/>
      <c r="BK35"/>
      <c r="BL35"/>
      <c r="BM35"/>
      <c r="BN35"/>
      <c r="BO35"/>
      <c r="BP35"/>
      <c r="BQ35"/>
      <c r="BR35"/>
      <c r="BS35"/>
      <c r="BT35"/>
      <c r="BU35"/>
      <c r="BV35"/>
      <c r="BW35"/>
      <c r="BX35"/>
      <c r="BY35"/>
      <c r="BZ35"/>
      <c r="CA35"/>
      <c r="CB35"/>
      <c r="CC35"/>
      <c r="CD35"/>
      <c r="CE35"/>
      <c r="CF35"/>
      <c r="CG35"/>
      <c r="CH35"/>
      <c r="CI35"/>
      <c r="CJ35"/>
      <c r="CK35"/>
      <c r="CL35"/>
      <c r="CM35"/>
    </row>
    <row r="36" spans="1:91" s="1" customFormat="1" x14ac:dyDescent="0.25">
      <c r="A36" s="32" t="s">
        <v>725</v>
      </c>
      <c r="B36" s="7">
        <v>4062</v>
      </c>
      <c r="C36" s="21" t="s">
        <v>202</v>
      </c>
      <c r="D36" s="21" t="s">
        <v>620</v>
      </c>
      <c r="E36" s="13">
        <v>42917.267557870371</v>
      </c>
      <c r="F36" s="13">
        <v>42917.27140046296</v>
      </c>
      <c r="G36" s="7">
        <v>1</v>
      </c>
      <c r="H36" s="21" t="s">
        <v>893</v>
      </c>
      <c r="I36" s="13">
        <v>42917.295567129629</v>
      </c>
      <c r="J36" s="7">
        <v>0</v>
      </c>
      <c r="K36" s="89" t="str">
        <f t="shared" si="0"/>
        <v>4061/4062</v>
      </c>
      <c r="L36" s="21" t="str">
        <f>VLOOKUP(A36,'Trips&amp;Operators'!$C$1:$G$99999,5,FALSE)</f>
        <v>LALONDE GREGORY</v>
      </c>
      <c r="M36" s="6">
        <f t="shared" si="1"/>
        <v>2.4166666669771075E-2</v>
      </c>
      <c r="N36" s="7">
        <f t="shared" si="20"/>
        <v>34.800000004470348</v>
      </c>
      <c r="O36" s="7"/>
      <c r="P36" s="7"/>
      <c r="Q36" s="22"/>
      <c r="R36" s="170"/>
      <c r="S36" s="213">
        <f t="shared" si="21"/>
        <v>1</v>
      </c>
      <c r="T36" s="195" t="str">
        <f t="shared" si="2"/>
        <v>NorthBound</v>
      </c>
      <c r="U36" s="195">
        <f>IF(AG36="EC",COUNTIFS(Variables!$M$2:$M$19,IF(T36="NorthBound","&gt;=","&lt;=")&amp;Y36,Variables!$M$2:$M$19,IF(T36="NorthBound","&lt;=","&gt;=")&amp;Z36),COUNTIFS(Variables!$P$2:$P$19,IF(T36="NorthBound","&gt;=","&lt;=")&amp;Y36,Variables!$P$2:$P$19,IF(T36="NorthBound","&lt;=","&gt;=")&amp;Z36))</f>
        <v>12</v>
      </c>
      <c r="V36" s="196" t="str">
        <f t="shared" si="3"/>
        <v>https://d0f6bd738d7f1b3e5a7ca70fe4ff75f0.us-east-1.aws.found.io/app/kibana#/discover/Steve-Slow-Train-Analysis-(2080s-and-2083s)?_g=(refreshInterval:(display:Off,pause:!f,section:0,value:0),time:(from:'2017-07-01T05:25:17-0600',mode:absolute,to:'2017-07-01T08:05:37-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4062%22')),sort:!(Time.ISO8601,asc))</v>
      </c>
      <c r="W36" s="197" t="str">
        <f>IF(AA36&lt;VLOOKUP(AG36,Variables!$AC$3:$AD$8,2,FALSE),"Y","N")</f>
        <v>N</v>
      </c>
      <c r="X36" s="197">
        <f t="shared" si="4"/>
        <v>1</v>
      </c>
      <c r="Y36" s="197">
        <f t="shared" si="5"/>
        <v>4.7100000000000003E-2</v>
      </c>
      <c r="Z36" s="197">
        <f t="shared" si="6"/>
        <v>23.334399999999999</v>
      </c>
      <c r="AA36" s="197">
        <f t="shared" si="7"/>
        <v>23.287299999999998</v>
      </c>
      <c r="AB36" s="54" t="e">
        <f>VLOOKUP(A36,Enforcements!$C$7:$K$13,8,0)</f>
        <v>#N/A</v>
      </c>
      <c r="AC36" s="51" t="e">
        <f>VLOOKUP(A36,Enforcements!$C$7:$E$13,3,0)</f>
        <v>#N/A</v>
      </c>
      <c r="AD36" s="206">
        <f t="shared" si="8"/>
        <v>123</v>
      </c>
      <c r="AE36" s="77" t="str">
        <f t="shared" si="9"/>
        <v>aws s3 cp s3://rtdc.mdm.uploadarchive.raw/RTDC4062/ "%USERPROFILE%\AppData\Local\Temp\OnboardLogs"\RTDC4062\2017-07-01 --exclude "*" --recursive --include "*20170701*" &amp; "%USERPROFILE%\Documents\GitHub\mrs-test-scripts\Headless Mode &amp; Sideloading\WalkAndUnGZ.bat" "%USERPROFILE%\AppData\Local\Temp\OnboardLogs"\RTDC4062\2017-07-01 &amp; aws s3 cp s3://rtdc.mdm.uploadarchive.raw/RTDC4062/ "%USERPROFILE%\AppData\Local\Temp\OnboardLogs"\RTDC4062\2017-07-02 --exclude "*" --recursive --include "*20170702*" &amp; "%USERPROFILE%\Documents\GitHub\mrs-test-scripts\Headless Mode &amp; Sideloading\WalkAndUnGZ.bat" "%USERPROFILE%\AppData\Local\Temp\OnboardLogs"\RTDC4062\2017-07-02</v>
      </c>
      <c r="AF36" s="74" t="str">
        <f t="shared" si="10"/>
        <v>"C:\Program Files (x86)\AstroGrep\AstroGrep.exe" /e /r /s /spath="%USERPROFILE%\AppData\Local\Temp\OnboardLogs" /stypes="app*4062*20170701*" /stext=" 13:.+((SYSTEM_STATE.+slice.+state.+changed )|(ment ac)|(multiple cpu faults)|(system.+state.+changed )|(\[timeout)|(PRM\|1\|D)|(kpr)|(kdp)|(train st.+moving)|(\|lc)|(penalty))"</v>
      </c>
      <c r="AG36" s="209" t="str">
        <f t="shared" si="11"/>
        <v>EC</v>
      </c>
      <c r="AH36" s="78" t="str">
        <f t="shared" si="16"/>
        <v>"%USERPROFILE%\Documents\GitHub\eaglep3\Utilities\RefineRTDCRunTimes.py" --tripid 123-01 --locoid 4062 --swversion DE.1.0.9.0 --startMP 204:471 --initTime 2017-07-01T06:25:17 --startdatetime 2017-07-01T06:30:49 --delay 1 --endMP 204:233344 --enddatetime 2017-07-01T07:05:37 --enforcementcount 0 &gt;&gt;C:\Users\stu\Documents\GitHub\eaglep3-reporting\EC\2017-07-01-refined-times.txt</v>
      </c>
      <c r="AI36" s="96" t="str">
        <f t="shared" si="17"/>
        <v>echo {"issue":{"subject":"","project_id":79,"tracker_id":40,"status_id":1,"priority_id":2,"assigned_to_id":23,"start_date":"2017-07-01","description":"","custom_fields":[{"id":1,"name":"Subdivision","value":"EC"},{"id":4,"name":"Milepost","value":"23.3344"},{"id":17,"name":"Train ID","value":"123-01"},{"id":16,"name":"Locomotive ID","value":"4062"},{"id":130,"name":"Impact","value":""},{"id":150,"name":"Time of Event (Mountain Time)","value":"07:05:37"},{"id":151,"name":"Denver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6" s="20"/>
      <c r="AK36" s="47"/>
      <c r="AL36" s="47"/>
      <c r="AM36" s="142" t="str">
        <f t="shared" si="18"/>
        <v>start /low /b %USERPROFILE%\Documents\GitHub\eaglep3\Utilities\DownloadLogsFromS3.py --loco 4062 --day 2017-07-01</v>
      </c>
      <c r="AN36" s="151" t="str">
        <f t="shared" si="19"/>
        <v>echo {"issue":{"subject":"","project_id":30,"tracker_id":4,"status_id":1,"priority_id":1,"assigned_to_id":10,"start_date":"2017-07-01","description":"","custom_fields":[{"id":30,"name":"Category","value":"Issue"},{"id":3,"name":"Functional Component","value":"Onboard"},{"id":31,"name":"Version","value":"N/A"},{"id":8,"name":"Reporting RR","value":"WABTEC"},{"id":27,"name":"Locomotive ID","value":"4062"},{"id":20,"name":"RR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UTC","value":"2017-07-01 13:05:37"},{"id":29,"name":"Sharepoint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6"/>
      <c r="AP36"/>
      <c r="AQ36"/>
      <c r="AR36"/>
      <c r="AS36"/>
      <c r="AT36"/>
      <c r="AU36"/>
      <c r="AV36"/>
      <c r="AW36"/>
      <c r="AX36"/>
      <c r="AY36"/>
      <c r="AZ36"/>
      <c r="BA36"/>
      <c r="BB36"/>
      <c r="BC36"/>
      <c r="BD36"/>
      <c r="BE36"/>
      <c r="BF36"/>
      <c r="BG36"/>
      <c r="BH36"/>
      <c r="BI36"/>
      <c r="BJ36"/>
      <c r="BK36"/>
      <c r="BL36"/>
      <c r="BM36"/>
      <c r="BN36"/>
      <c r="BO36"/>
      <c r="BP36"/>
      <c r="BQ36"/>
      <c r="BR36"/>
      <c r="BS36"/>
      <c r="BT36"/>
      <c r="BU36"/>
      <c r="BV36"/>
      <c r="BW36"/>
      <c r="BX36"/>
      <c r="BY36"/>
      <c r="BZ36"/>
      <c r="CA36"/>
      <c r="CB36"/>
      <c r="CC36"/>
      <c r="CD36"/>
      <c r="CE36"/>
      <c r="CF36"/>
      <c r="CG36"/>
      <c r="CH36"/>
      <c r="CI36"/>
      <c r="CJ36"/>
      <c r="CK36"/>
      <c r="CL36"/>
      <c r="CM36"/>
    </row>
    <row r="37" spans="1:91" s="1" customFormat="1" x14ac:dyDescent="0.25">
      <c r="A37" s="32" t="s">
        <v>731</v>
      </c>
      <c r="B37" s="7">
        <v>4061</v>
      </c>
      <c r="C37" s="21" t="s">
        <v>202</v>
      </c>
      <c r="D37" s="21" t="s">
        <v>892</v>
      </c>
      <c r="E37" s="13">
        <v>42917.297534722224</v>
      </c>
      <c r="F37" s="13">
        <v>42917.310624999998</v>
      </c>
      <c r="G37" s="7">
        <v>0</v>
      </c>
      <c r="H37" s="21" t="s">
        <v>436</v>
      </c>
      <c r="I37" s="13">
        <v>42917.3362037037</v>
      </c>
      <c r="J37" s="7">
        <v>0</v>
      </c>
      <c r="K37" s="89" t="str">
        <f t="shared" si="0"/>
        <v>4061/4062</v>
      </c>
      <c r="L37" s="21" t="str">
        <f>VLOOKUP(A37,'Trips&amp;Operators'!$C$1:$G$99999,5,FALSE)</f>
        <v>LALONDE GREGORY</v>
      </c>
      <c r="M37" s="6">
        <f t="shared" si="1"/>
        <v>2.5578703702194616E-2</v>
      </c>
      <c r="N37" s="7">
        <f t="shared" si="20"/>
        <v>36.833333331160247</v>
      </c>
      <c r="O37" s="7"/>
      <c r="P37" s="7"/>
      <c r="Q37" s="22"/>
      <c r="R37" s="170"/>
      <c r="S37" s="213">
        <f t="shared" si="21"/>
        <v>1</v>
      </c>
      <c r="T37" s="195" t="str">
        <f t="shared" si="2"/>
        <v>Southbound</v>
      </c>
      <c r="U37" s="195">
        <f>IF(AG37="EC",COUNTIFS(Variables!$M$2:$M$19,IF(T37="NorthBound","&gt;=","&lt;=")&amp;Y37,Variables!$M$2:$M$19,IF(T37="NorthBound","&lt;=","&gt;=")&amp;Z37),COUNTIFS(Variables!$P$2:$P$19,IF(T37="NorthBound","&gt;=","&lt;=")&amp;Y37,Variables!$P$2:$P$19,IF(T37="NorthBound","&lt;=","&gt;=")&amp;Z37))</f>
        <v>12</v>
      </c>
      <c r="V37" s="196" t="str">
        <f t="shared" si="3"/>
        <v>https://d0f6bd738d7f1b3e5a7ca70fe4ff75f0.us-east-1.aws.found.io/app/kibana#/discover/Steve-Slow-Train-Analysis-(2080s-and-2083s)?_g=(refreshInterval:(display:Off,pause:!f,section:0,value:0),time:(from:'2017-07-01T06:08:27-0600',mode:absolute,to:'2017-07-01T09:04:08-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4061%22')),sort:!(Time.ISO8601,asc))</v>
      </c>
      <c r="W37" s="197" t="str">
        <f>IF(AA37&lt;VLOOKUP(AG37,Variables!$AC$3:$AD$8,2,FALSE),"Y","N")</f>
        <v>N</v>
      </c>
      <c r="X37" s="197">
        <f t="shared" si="4"/>
        <v>1</v>
      </c>
      <c r="Y37" s="197">
        <f t="shared" si="5"/>
        <v>23.304200000000002</v>
      </c>
      <c r="Z37" s="197">
        <f t="shared" si="6"/>
        <v>1.5599999999999999E-2</v>
      </c>
      <c r="AA37" s="197">
        <f t="shared" si="7"/>
        <v>23.288600000000002</v>
      </c>
      <c r="AB37" s="54" t="e">
        <f>VLOOKUP(A37,Enforcements!$C$7:$K$13,8,0)</f>
        <v>#N/A</v>
      </c>
      <c r="AC37" s="51" t="e">
        <f>VLOOKUP(A37,Enforcements!$C$7:$E$13,3,0)</f>
        <v>#N/A</v>
      </c>
      <c r="AD37" s="206">
        <f t="shared" si="8"/>
        <v>124</v>
      </c>
      <c r="AE37" s="77" t="str">
        <f t="shared" si="9"/>
        <v>aws s3 cp s3://rtdc.mdm.uploadarchive.raw/RTDC4061/ "%USERPROFILE%\AppData\Local\Temp\OnboardLogs"\RTDC4061\2017-07-01 --exclude "*" --recursive --include "*20170701*" &amp; "%USERPROFILE%\Documents\GitHub\mrs-test-scripts\Headless Mode &amp; Sideloading\WalkAndUnGZ.bat" "%USERPROFILE%\AppData\Local\Temp\OnboardLogs"\RTDC4061\2017-07-01 &amp; aws s3 cp s3://rtdc.mdm.uploadarchive.raw/RTDC4061/ "%USERPROFILE%\AppData\Local\Temp\OnboardLogs"\RTDC4061\2017-07-02 --exclude "*" --recursive --include "*20170702*" &amp; "%USERPROFILE%\Documents\GitHub\mrs-test-scripts\Headless Mode &amp; Sideloading\WalkAndUnGZ.bat" "%USERPROFILE%\AppData\Local\Temp\OnboardLogs"\RTDC4061\2017-07-02</v>
      </c>
      <c r="AF37" s="74" t="str">
        <f t="shared" si="10"/>
        <v>"C:\Program Files (x86)\AstroGrep\AstroGrep.exe" /e /r /s /spath="%USERPROFILE%\AppData\Local\Temp\OnboardLogs" /stypes="app*4061*20170701*" /stext=" 14:.+((SYSTEM_STATE.+slice.+state.+changed )|(ment ac)|(multiple cpu faults)|(system.+state.+changed )|(\[timeout)|(PRM\|1\|D)|(kpr)|(kdp)|(train st.+moving)|(\|lc)|(penalty))"</v>
      </c>
      <c r="AG37" s="209" t="str">
        <f t="shared" si="11"/>
        <v>EC</v>
      </c>
      <c r="AH37" s="78" t="str">
        <f t="shared" si="16"/>
        <v>"%USERPROFILE%\Documents\GitHub\eaglep3\Utilities\RefineRTDCRunTimes.py" --tripid 124-01 --locoid 4061 --swversion DE.1.0.9.0 --startMP 204:233042 --initTime 2017-07-01T07:08:27 --startdatetime 2017-07-01T07:27:18 --delay 0 --endMP 204:156 --enddatetime 2017-07-01T08:04:08 --enforcementcount 0 &gt;&gt;C:\Users\stu\Documents\GitHub\eaglep3-reporting\EC\2017-07-01-refined-times.txt</v>
      </c>
      <c r="AI37" s="96" t="str">
        <f t="shared" si="17"/>
        <v>echo {"issue":{"subject":"","project_id":79,"tracker_id":40,"status_id":1,"priority_id":2,"assigned_to_id":23,"start_date":"2017-07-01","description":"","custom_fields":[{"id":1,"name":"Subdivision","value":"EC"},{"id":4,"name":"Milepost","value":"0.0156"},{"id":17,"name":"Train ID","value":"124-01"},{"id":16,"name":"Locomotive ID","value":"4061"},{"id":130,"name":"Impact","value":""},{"id":150,"name":"Time of Event (Mountain Time)","value":"08:04:08"},{"id":151,"name":"Denver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7" s="20"/>
      <c r="AK37" s="47"/>
      <c r="AL37" s="47"/>
      <c r="AM37" s="142" t="str">
        <f t="shared" si="18"/>
        <v>start /low /b %USERPROFILE%\Documents\GitHub\eaglep3\Utilities\DownloadLogsFromS3.py --loco 4061 --day 2017-07-01</v>
      </c>
      <c r="AN37" s="151" t="str">
        <f t="shared" si="19"/>
        <v>echo {"issue":{"subject":"","project_id":30,"tracker_id":4,"status_id":1,"priority_id":1,"assigned_to_id":10,"start_date":"2017-07-01","description":"","custom_fields":[{"id":30,"name":"Category","value":"Issue"},{"id":3,"name":"Functional Component","value":"Onboard"},{"id":31,"name":"Version","value":"N/A"},{"id":8,"name":"Reporting RR","value":"WABTEC"},{"id":27,"name":"Locomotive ID","value":"4061"},{"id":20,"name":"RR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UTC","value":"2017-07-01 14:04:08"},{"id":29,"name":"Sharepoint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7"/>
      <c r="AP37"/>
      <c r="AQ37"/>
      <c r="AR37"/>
      <c r="AS37"/>
      <c r="AT37"/>
      <c r="AU37"/>
      <c r="AV37"/>
      <c r="AW37"/>
      <c r="AX37"/>
      <c r="AY37"/>
      <c r="AZ37"/>
      <c r="BA37"/>
      <c r="BB37"/>
      <c r="BC37"/>
      <c r="BD37"/>
      <c r="BE37"/>
      <c r="BF37"/>
      <c r="BG37"/>
      <c r="BH37"/>
      <c r="BI37"/>
      <c r="BJ37"/>
      <c r="BK37"/>
      <c r="BL37"/>
      <c r="BM37"/>
      <c r="BN37"/>
      <c r="BO37"/>
      <c r="BP37"/>
      <c r="BQ37"/>
      <c r="BR37"/>
      <c r="BS37"/>
      <c r="BT37"/>
      <c r="BU37"/>
      <c r="BV37"/>
      <c r="BW37"/>
      <c r="BX37"/>
      <c r="BY37"/>
      <c r="BZ37"/>
      <c r="CA37"/>
      <c r="CB37"/>
      <c r="CC37"/>
      <c r="CD37"/>
      <c r="CE37"/>
      <c r="CF37"/>
      <c r="CG37"/>
      <c r="CH37"/>
      <c r="CI37"/>
      <c r="CJ37"/>
      <c r="CK37"/>
      <c r="CL37"/>
      <c r="CM37"/>
    </row>
    <row r="38" spans="1:91" s="1" customFormat="1" x14ac:dyDescent="0.25">
      <c r="A38" s="32" t="s">
        <v>727</v>
      </c>
      <c r="B38" s="7">
        <v>4008</v>
      </c>
      <c r="C38" s="21" t="s">
        <v>202</v>
      </c>
      <c r="D38" s="21" t="s">
        <v>479</v>
      </c>
      <c r="E38" s="13">
        <v>42917.276932870373</v>
      </c>
      <c r="F38" s="13">
        <v>42917.281863425924</v>
      </c>
      <c r="G38" s="7">
        <v>1</v>
      </c>
      <c r="H38" s="21" t="s">
        <v>513</v>
      </c>
      <c r="I38" s="13">
        <v>42917.308275462965</v>
      </c>
      <c r="J38" s="7">
        <v>0</v>
      </c>
      <c r="K38" s="89" t="str">
        <f t="shared" si="0"/>
        <v>4007/4008</v>
      </c>
      <c r="L38" s="21" t="str">
        <f>VLOOKUP(A38,'Trips&amp;Operators'!$C$1:$G$99999,5,FALSE)</f>
        <v>MAELZER KURT</v>
      </c>
      <c r="M38" s="6">
        <f t="shared" si="1"/>
        <v>2.641203704115469E-2</v>
      </c>
      <c r="N38" s="7">
        <f t="shared" si="20"/>
        <v>38.033333339262754</v>
      </c>
      <c r="O38" s="7"/>
      <c r="P38" s="7"/>
      <c r="Q38" s="22"/>
      <c r="R38" s="170"/>
      <c r="S38" s="213">
        <f t="shared" si="21"/>
        <v>1</v>
      </c>
      <c r="T38" s="195" t="str">
        <f t="shared" si="2"/>
        <v>NorthBound</v>
      </c>
      <c r="U38" s="195">
        <f>IF(AG38="EC",COUNTIFS(Variables!$M$2:$M$19,IF(T38="NorthBound","&gt;=","&lt;=")&amp;Y38,Variables!$M$2:$M$19,IF(T38="NorthBound","&lt;=","&gt;=")&amp;Z38),COUNTIFS(Variables!$P$2:$P$19,IF(T38="NorthBound","&gt;=","&lt;=")&amp;Y38,Variables!$P$2:$P$19,IF(T38="NorthBound","&lt;=","&gt;=")&amp;Z38))</f>
        <v>12</v>
      </c>
      <c r="V38" s="196" t="str">
        <f t="shared" si="3"/>
        <v>https://d0f6bd738d7f1b3e5a7ca70fe4ff75f0.us-east-1.aws.found.io/app/kibana#/discover/Steve-Slow-Train-Analysis-(2080s-and-2083s)?_g=(refreshInterval:(display:Off,pause:!f,section:0,value:0),time:(from:'2017-07-01T05:38:47-0600',mode:absolute,to:'2017-07-01T08:23:55-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38" s="197" t="str">
        <f>IF(AA38&lt;VLOOKUP(AG38,Variables!$AC$3:$AD$8,2,FALSE),"Y","N")</f>
        <v>N</v>
      </c>
      <c r="X38" s="197">
        <f t="shared" si="4"/>
        <v>1</v>
      </c>
      <c r="Y38" s="197">
        <f t="shared" si="5"/>
        <v>4.3999999999999997E-2</v>
      </c>
      <c r="Z38" s="197">
        <f t="shared" si="6"/>
        <v>23.3307</v>
      </c>
      <c r="AA38" s="197">
        <f t="shared" si="7"/>
        <v>23.2867</v>
      </c>
      <c r="AB38" s="54" t="e">
        <f>VLOOKUP(A38,Enforcements!$C$7:$K$13,8,0)</f>
        <v>#N/A</v>
      </c>
      <c r="AC38" s="51" t="e">
        <f>VLOOKUP(A38,Enforcements!$C$7:$E$13,3,0)</f>
        <v>#N/A</v>
      </c>
      <c r="AD38" s="206">
        <f t="shared" si="8"/>
        <v>125</v>
      </c>
      <c r="AE38" s="77" t="str">
        <f t="shared" si="9"/>
        <v>aws s3 cp s3://rtdc.mdm.uploadarchive.raw/RTDC4008/ "%USERPROFILE%\AppData\Local\Temp\OnboardLogs"\RTDC4008\2017-07-01 --exclude "*" --recursive --include "*20170701*" &amp; "%USERPROFILE%\Documents\GitHub\mrs-test-scripts\Headless Mode &amp; Sideloading\WalkAndUnGZ.bat" "%USERPROFILE%\AppData\Local\Temp\OnboardLogs"\RTDC4008\2017-07-01 &amp; aws s3 cp s3://rtdc.mdm.uploadarchive.raw/RTDC4008/ "%USERPROFILE%\AppData\Local\Temp\OnboardLogs"\RTDC4008\2017-07-02 --exclude "*" --recursive --include "*20170702*" &amp; "%USERPROFILE%\Documents\GitHub\mrs-test-scripts\Headless Mode &amp; Sideloading\WalkAndUnGZ.bat" "%USERPROFILE%\AppData\Local\Temp\OnboardLogs"\RTDC4008\2017-07-02</v>
      </c>
      <c r="AF38" s="74" t="str">
        <f t="shared" si="10"/>
        <v>"C:\Program Files (x86)\AstroGrep\AstroGrep.exe" /e /r /s /spath="%USERPROFILE%\AppData\Local\Temp\OnboardLogs" /stypes="app*4008*20170701*" /stext=" 13:.+((SYSTEM_STATE.+slice.+state.+changed )|(ment ac)|(multiple cpu faults)|(system.+state.+changed )|(\[timeout)|(PRM\|1\|D)|(kpr)|(kdp)|(train st.+moving)|(\|lc)|(penalty))"</v>
      </c>
      <c r="AG38" s="209" t="str">
        <f t="shared" si="11"/>
        <v>EC</v>
      </c>
      <c r="AH38" s="78" t="str">
        <f t="shared" si="16"/>
        <v>"%USERPROFILE%\Documents\GitHub\eaglep3\Utilities\RefineRTDCRunTimes.py" --tripid 125-01 --locoid 4008 --swversion DE.1.0.9.0 --startMP 204:440 --initTime 2017-07-01T06:38:47 --startdatetime 2017-07-01T06:45:53 --delay 1 --endMP 204:233307 --enddatetime 2017-07-01T07:23:55 --enforcementcount 0 &gt;&gt;C:\Users\stu\Documents\GitHub\eaglep3-reporting\EC\2017-07-01-refined-times.txt</v>
      </c>
      <c r="AI38" s="96" t="str">
        <f t="shared" si="17"/>
        <v>echo {"issue":{"subject":"","project_id":79,"tracker_id":40,"status_id":1,"priority_id":2,"assigned_to_id":23,"start_date":"2017-07-01","description":"","custom_fields":[{"id":1,"name":"Subdivision","value":"EC"},{"id":4,"name":"Milepost","value":"23.3307"},{"id":17,"name":"Train ID","value":"125-01"},{"id":16,"name":"Locomotive ID","value":"4008"},{"id":130,"name":"Impact","value":""},{"id":150,"name":"Time of Event (Mountain Time)","value":"07:23:55"},{"id":151,"name":"Denver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8" s="20"/>
      <c r="AK38" s="47"/>
      <c r="AL38" s="47"/>
      <c r="AM38" s="142" t="str">
        <f t="shared" si="18"/>
        <v>start /low /b %USERPROFILE%\Documents\GitHub\eaglep3\Utilities\DownloadLogsFromS3.py --loco 4008 --day 2017-07-01</v>
      </c>
      <c r="AN38" s="151" t="str">
        <f t="shared" si="19"/>
        <v>echo {"issue":{"subject":"","project_id":30,"tracker_id":4,"status_id":1,"priority_id":1,"assigned_to_id":10,"start_date":"2017-07-01","description":"","custom_fields":[{"id":30,"name":"Category","value":"Issue"},{"id":3,"name":"Functional Component","value":"Onboard"},{"id":31,"name":"Version","value":"N/A"},{"id":8,"name":"Reporting RR","value":"WABTEC"},{"id":27,"name":"Locomotive ID","value":"4008"},{"id":20,"name":"RR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UTC","value":"2017-07-01 13:23:55"},{"id":29,"name":"Sharepoint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8"/>
      <c r="AP38"/>
      <c r="AQ38"/>
      <c r="AR38"/>
      <c r="AS38"/>
      <c r="AT38"/>
      <c r="AU38"/>
      <c r="AV38"/>
      <c r="AW38"/>
      <c r="AX38"/>
      <c r="AY38"/>
      <c r="AZ38"/>
      <c r="BA38"/>
      <c r="BB38"/>
      <c r="BC38"/>
      <c r="BD38"/>
      <c r="BE38"/>
      <c r="BF38"/>
      <c r="BG38"/>
      <c r="BH38"/>
      <c r="BI38"/>
      <c r="BJ38"/>
      <c r="BK38"/>
      <c r="BL38"/>
      <c r="BM38"/>
      <c r="BN38"/>
      <c r="BO38"/>
      <c r="BP38"/>
      <c r="BQ38"/>
      <c r="BR38"/>
      <c r="BS38"/>
      <c r="BT38"/>
      <c r="BU38"/>
      <c r="BV38"/>
      <c r="BW38"/>
      <c r="BX38"/>
      <c r="BY38"/>
      <c r="BZ38"/>
      <c r="CA38"/>
      <c r="CB38"/>
      <c r="CC38"/>
      <c r="CD38"/>
      <c r="CE38"/>
      <c r="CF38"/>
      <c r="CG38"/>
      <c r="CH38"/>
      <c r="CI38"/>
      <c r="CJ38"/>
      <c r="CK38"/>
      <c r="CL38"/>
      <c r="CM38"/>
    </row>
    <row r="39" spans="1:91" s="1" customFormat="1" x14ac:dyDescent="0.25">
      <c r="A39" s="32" t="s">
        <v>735</v>
      </c>
      <c r="B39" s="7">
        <v>4007</v>
      </c>
      <c r="C39" s="21" t="s">
        <v>202</v>
      </c>
      <c r="D39" s="21" t="s">
        <v>441</v>
      </c>
      <c r="E39" s="13">
        <v>42917.313032407408</v>
      </c>
      <c r="F39" s="13">
        <v>42917.321053240739</v>
      </c>
      <c r="G39" s="7">
        <v>0</v>
      </c>
      <c r="H39" s="21" t="s">
        <v>193</v>
      </c>
      <c r="I39" s="13">
        <v>42917.347245370373</v>
      </c>
      <c r="J39" s="7">
        <v>0</v>
      </c>
      <c r="K39" s="89" t="str">
        <f t="shared" si="0"/>
        <v>4007/4008</v>
      </c>
      <c r="L39" s="21" t="str">
        <f>VLOOKUP(A39,'Trips&amp;Operators'!$C$1:$G$99999,5,FALSE)</f>
        <v>MAELZER KURT</v>
      </c>
      <c r="M39" s="6">
        <f t="shared" si="1"/>
        <v>2.6192129633272998E-2</v>
      </c>
      <c r="N39" s="7">
        <f t="shared" si="20"/>
        <v>37.716666671913117</v>
      </c>
      <c r="O39" s="7"/>
      <c r="P39" s="7"/>
      <c r="Q39" s="22"/>
      <c r="R39" s="170"/>
      <c r="S39" s="213">
        <f t="shared" si="21"/>
        <v>1</v>
      </c>
      <c r="T39" s="195" t="str">
        <f t="shared" si="2"/>
        <v>Southbound</v>
      </c>
      <c r="U39" s="195">
        <f>IF(AG39="EC",COUNTIFS(Variables!$M$2:$M$19,IF(T39="NorthBound","&gt;=","&lt;=")&amp;Y39,Variables!$M$2:$M$19,IF(T39="NorthBound","&lt;=","&gt;=")&amp;Z39),COUNTIFS(Variables!$P$2:$P$19,IF(T39="NorthBound","&gt;=","&lt;=")&amp;Y39,Variables!$P$2:$P$19,IF(T39="NorthBound","&lt;=","&gt;=")&amp;Z39))</f>
        <v>12</v>
      </c>
      <c r="V39" s="196" t="str">
        <f t="shared" si="3"/>
        <v>https://d0f6bd738d7f1b3e5a7ca70fe4ff75f0.us-east-1.aws.found.io/app/kibana#/discover/Steve-Slow-Train-Analysis-(2080s-and-2083s)?_g=(refreshInterval:(display:Off,pause:!f,section:0,value:0),time:(from:'2017-07-01T06:30:46-0600',mode:absolute,to:'2017-07-01T09:20:02-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39" s="197" t="str">
        <f>IF(AA39&lt;VLOOKUP(AG39,Variables!$AC$3:$AD$8,2,FALSE),"Y","N")</f>
        <v>N</v>
      </c>
      <c r="X39" s="197">
        <f t="shared" si="4"/>
        <v>1</v>
      </c>
      <c r="Y39" s="197">
        <f t="shared" si="5"/>
        <v>23.2971</v>
      </c>
      <c r="Z39" s="197">
        <f t="shared" si="6"/>
        <v>1.52E-2</v>
      </c>
      <c r="AA39" s="197">
        <f t="shared" si="7"/>
        <v>23.2819</v>
      </c>
      <c r="AB39" s="54" t="e">
        <f>VLOOKUP(A39,Enforcements!$C$7:$K$13,8,0)</f>
        <v>#N/A</v>
      </c>
      <c r="AC39" s="51" t="e">
        <f>VLOOKUP(A39,Enforcements!$C$7:$E$13,3,0)</f>
        <v>#N/A</v>
      </c>
      <c r="AD39" s="206">
        <f t="shared" si="8"/>
        <v>126</v>
      </c>
      <c r="AE39" s="77" t="str">
        <f t="shared" si="9"/>
        <v>aws s3 cp s3://rtdc.mdm.uploadarchive.raw/RTDC4007/ "%USERPROFILE%\AppData\Local\Temp\OnboardLogs"\RTDC4007\2017-07-01 --exclude "*" --recursive --include "*20170701*" &amp; "%USERPROFILE%\Documents\GitHub\mrs-test-scripts\Headless Mode &amp; Sideloading\WalkAndUnGZ.bat" "%USERPROFILE%\AppData\Local\Temp\OnboardLogs"\RTDC4007\2017-07-01 &amp; aws s3 cp s3://rtdc.mdm.uploadarchive.raw/RTDC4007/ "%USERPROFILE%\AppData\Local\Temp\OnboardLogs"\RTDC4007\2017-07-02 --exclude "*" --recursive --include "*20170702*" &amp; "%USERPROFILE%\Documents\GitHub\mrs-test-scripts\Headless Mode &amp; Sideloading\WalkAndUnGZ.bat" "%USERPROFILE%\AppData\Local\Temp\OnboardLogs"\RTDC4007\2017-07-02</v>
      </c>
      <c r="AF39" s="74" t="str">
        <f t="shared" si="10"/>
        <v>"C:\Program Files (x86)\AstroGrep\AstroGrep.exe" /e /r /s /spath="%USERPROFILE%\AppData\Local\Temp\OnboardLogs" /stypes="app*4007*20170701*" /stext=" 14:.+((SYSTEM_STATE.+slice.+state.+changed )|(ment ac)|(multiple cpu faults)|(system.+state.+changed )|(\[timeout)|(PRM\|1\|D)|(kpr)|(kdp)|(train st.+moving)|(\|lc)|(penalty))"</v>
      </c>
      <c r="AG39" s="209" t="str">
        <f t="shared" si="11"/>
        <v>EC</v>
      </c>
      <c r="AH39" s="78" t="str">
        <f t="shared" si="16"/>
        <v>"%USERPROFILE%\Documents\GitHub\eaglep3\Utilities\RefineRTDCRunTimes.py" --tripid 126-01 --locoid 4007 --swversion DE.1.0.9.0 --startMP 204:232971 --initTime 2017-07-01T07:30:46 --startdatetime 2017-07-01T07:42:19 --delay 0 --endMP 204:152 --enddatetime 2017-07-01T08:20:02 --enforcementcount 0 &gt;&gt;C:\Users\stu\Documents\GitHub\eaglep3-reporting\EC\2017-07-01-refined-times.txt</v>
      </c>
      <c r="AI39" s="96" t="str">
        <f t="shared" si="17"/>
        <v>echo {"issue":{"subject":"","project_id":79,"tracker_id":40,"status_id":1,"priority_id":2,"assigned_to_id":23,"start_date":"2017-07-01","description":"","custom_fields":[{"id":1,"name":"Subdivision","value":"EC"},{"id":4,"name":"Milepost","value":"0.0152"},{"id":17,"name":"Train ID","value":"126-01"},{"id":16,"name":"Locomotive ID","value":"4007"},{"id":130,"name":"Impact","value":""},{"id":150,"name":"Time of Event (Mountain Time)","value":"08:20:02"},{"id":151,"name":"Denver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9" s="20"/>
      <c r="AK39" s="47"/>
      <c r="AL39" s="47"/>
      <c r="AM39" s="142" t="str">
        <f t="shared" si="18"/>
        <v>start /low /b %USERPROFILE%\Documents\GitHub\eaglep3\Utilities\DownloadLogsFromS3.py --loco 4007 --day 2017-07-01</v>
      </c>
      <c r="AN39" s="151" t="str">
        <f t="shared" si="19"/>
        <v>echo {"issue":{"subject":"","project_id":30,"tracker_id":4,"status_id":1,"priority_id":1,"assigned_to_id":10,"start_date":"2017-07-01","description":"","custom_fields":[{"id":30,"name":"Category","value":"Issue"},{"id":3,"name":"Functional Component","value":"Onboard"},{"id":31,"name":"Version","value":"N/A"},{"id":8,"name":"Reporting RR","value":"WABTEC"},{"id":27,"name":"Locomotive ID","value":"4007"},{"id":20,"name":"RR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UTC","value":"2017-07-01 14:20:02"},{"id":29,"name":"Sharepoint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9"/>
      <c r="AP39"/>
      <c r="AQ39"/>
      <c r="AR39"/>
      <c r="AS39"/>
      <c r="AT39"/>
      <c r="AU39"/>
      <c r="AV39"/>
      <c r="AW39"/>
      <c r="AX39"/>
      <c r="AY39"/>
      <c r="AZ39"/>
      <c r="BA39"/>
      <c r="BB39"/>
      <c r="BC39"/>
      <c r="BD39"/>
      <c r="BE39"/>
      <c r="BF39"/>
      <c r="BG39"/>
      <c r="BH39"/>
      <c r="BI39"/>
      <c r="BJ39"/>
      <c r="BK39"/>
      <c r="BL39"/>
      <c r="BM39"/>
      <c r="BN39"/>
      <c r="BO39"/>
      <c r="BP39"/>
      <c r="BQ39"/>
      <c r="BR39"/>
      <c r="BS39"/>
      <c r="BT39"/>
      <c r="BU39"/>
      <c r="BV39"/>
      <c r="BW39"/>
      <c r="BX39"/>
      <c r="BY39"/>
      <c r="BZ39"/>
      <c r="CA39"/>
      <c r="CB39"/>
      <c r="CC39"/>
      <c r="CD39"/>
      <c r="CE39"/>
      <c r="CF39"/>
      <c r="CG39"/>
      <c r="CH39"/>
      <c r="CI39"/>
      <c r="CJ39"/>
      <c r="CK39"/>
      <c r="CL39"/>
      <c r="CM39"/>
    </row>
    <row r="40" spans="1:91" s="1" customFormat="1" x14ac:dyDescent="0.25">
      <c r="A40" s="32" t="s">
        <v>730</v>
      </c>
      <c r="B40" s="7">
        <v>4056</v>
      </c>
      <c r="C40" s="21" t="s">
        <v>202</v>
      </c>
      <c r="D40" s="21" t="s">
        <v>894</v>
      </c>
      <c r="E40" s="13">
        <v>42917.291331018518</v>
      </c>
      <c r="F40" s="13">
        <v>42917.292962962965</v>
      </c>
      <c r="G40" s="7">
        <v>1</v>
      </c>
      <c r="H40" s="21" t="s">
        <v>511</v>
      </c>
      <c r="I40" s="13">
        <v>42917.317708333336</v>
      </c>
      <c r="J40" s="7">
        <v>0</v>
      </c>
      <c r="K40" s="89" t="str">
        <f t="shared" si="0"/>
        <v>4055/4056</v>
      </c>
      <c r="L40" s="21" t="str">
        <f>VLOOKUP(A40,'Trips&amp;Operators'!$C$1:$G$99999,5,FALSE)</f>
        <v>DAVIDSON DAVID</v>
      </c>
      <c r="M40" s="6">
        <f t="shared" si="1"/>
        <v>2.47453703705105E-2</v>
      </c>
      <c r="N40" s="7">
        <f t="shared" si="20"/>
        <v>35.63333333353512</v>
      </c>
      <c r="O40" s="7"/>
      <c r="P40" s="7"/>
      <c r="Q40" s="22"/>
      <c r="R40" s="170"/>
      <c r="S40" s="213">
        <f t="shared" si="21"/>
        <v>1</v>
      </c>
      <c r="T40" s="195" t="str">
        <f t="shared" si="2"/>
        <v>NorthBound</v>
      </c>
      <c r="U40" s="195">
        <f>IF(AG40="EC",COUNTIFS(Variables!$M$2:$M$19,IF(T40="NorthBound","&gt;=","&lt;=")&amp;Y40,Variables!$M$2:$M$19,IF(T40="NorthBound","&lt;=","&gt;=")&amp;Z40),COUNTIFS(Variables!$P$2:$P$19,IF(T40="NorthBound","&gt;=","&lt;=")&amp;Y40,Variables!$P$2:$P$19,IF(T40="NorthBound","&lt;=","&gt;=")&amp;Z40))</f>
        <v>12</v>
      </c>
      <c r="V40" s="196" t="str">
        <f t="shared" si="3"/>
        <v>https://d0f6bd738d7f1b3e5a7ca70fe4ff75f0.us-east-1.aws.found.io/app/kibana#/discover/Steve-Slow-Train-Analysis-(2080s-and-2083s)?_g=(refreshInterval:(display:Off,pause:!f,section:0,value:0),time:(from:'2017-07-01T05:59:31-0600',mode:absolute,to:'2017-07-01T08:37:30-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4056%22')),sort:!(Time.ISO8601,asc))</v>
      </c>
      <c r="W40" s="197" t="str">
        <f>IF(AA40&lt;VLOOKUP(AG40,Variables!$AC$3:$AD$8,2,FALSE),"Y","N")</f>
        <v>N</v>
      </c>
      <c r="X40" s="197">
        <f t="shared" si="4"/>
        <v>1</v>
      </c>
      <c r="Y40" s="197">
        <f t="shared" si="5"/>
        <v>5.4600000000000003E-2</v>
      </c>
      <c r="Z40" s="197">
        <f t="shared" si="6"/>
        <v>23.331900000000001</v>
      </c>
      <c r="AA40" s="197">
        <f t="shared" si="7"/>
        <v>23.2773</v>
      </c>
      <c r="AB40" s="54" t="e">
        <f>VLOOKUP(A40,Enforcements!$C$7:$K$13,8,0)</f>
        <v>#N/A</v>
      </c>
      <c r="AC40" s="51" t="e">
        <f>VLOOKUP(A40,Enforcements!$C$7:$E$13,3,0)</f>
        <v>#N/A</v>
      </c>
      <c r="AD40" s="206">
        <f t="shared" si="8"/>
        <v>127</v>
      </c>
      <c r="AE40" s="77" t="str">
        <f t="shared" si="9"/>
        <v>aws s3 cp s3://rtdc.mdm.uploadarchive.raw/RTDC4056/ "%USERPROFILE%\AppData\Local\Temp\OnboardLogs"\RTDC4056\2017-07-01 --exclude "*" --recursive --include "*20170701*" &amp; "%USERPROFILE%\Documents\GitHub\mrs-test-scripts\Headless Mode &amp; Sideloading\WalkAndUnGZ.bat" "%USERPROFILE%\AppData\Local\Temp\OnboardLogs"\RTDC4056\2017-07-01 &amp; aws s3 cp s3://rtdc.mdm.uploadarchive.raw/RTDC4056/ "%USERPROFILE%\AppData\Local\Temp\OnboardLogs"\RTDC4056\2017-07-02 --exclude "*" --recursive --include "*20170702*" &amp; "%USERPROFILE%\Documents\GitHub\mrs-test-scripts\Headless Mode &amp; Sideloading\WalkAndUnGZ.bat" "%USERPROFILE%\AppData\Local\Temp\OnboardLogs"\RTDC4056\2017-07-02</v>
      </c>
      <c r="AF40" s="74" t="str">
        <f t="shared" si="10"/>
        <v>"C:\Program Files (x86)\AstroGrep\AstroGrep.exe" /e /r /s /spath="%USERPROFILE%\AppData\Local\Temp\OnboardLogs" /stypes="app*4056*20170701*" /stext=" 13:.+((SYSTEM_STATE.+slice.+state.+changed )|(ment ac)|(multiple cpu faults)|(system.+state.+changed )|(\[timeout)|(PRM\|1\|D)|(kpr)|(kdp)|(train st.+moving)|(\|lc)|(penalty))"</v>
      </c>
      <c r="AG40" s="209" t="str">
        <f t="shared" si="11"/>
        <v>EC</v>
      </c>
      <c r="AH40" s="78" t="str">
        <f t="shared" si="16"/>
        <v>"%USERPROFILE%\Documents\GitHub\eaglep3\Utilities\RefineRTDCRunTimes.py" --tripid 127-01 --locoid 4056 --swversion DE.1.0.9.0 --startMP 204:546 --initTime 2017-07-01T06:59:31 --startdatetime 2017-07-01T07:01:52 --delay 1 --endMP 204:233319 --enddatetime 2017-07-01T07:37:30 --enforcementcount 0 &gt;&gt;C:\Users\stu\Documents\GitHub\eaglep3-reporting\EC\2017-07-01-refined-times.txt</v>
      </c>
      <c r="AI40" s="96" t="str">
        <f t="shared" si="17"/>
        <v>echo {"issue":{"subject":"","project_id":79,"tracker_id":40,"status_id":1,"priority_id":2,"assigned_to_id":23,"start_date":"2017-07-01","description":"","custom_fields":[{"id":1,"name":"Subdivision","value":"EC"},{"id":4,"name":"Milepost","value":"23.3319"},{"id":17,"name":"Train ID","value":"127-01"},{"id":16,"name":"Locomotive ID","value":"4056"},{"id":130,"name":"Impact","value":""},{"id":150,"name":"Time of Event (Mountain Time)","value":"07:37:30"},{"id":151,"name":"Denver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0" s="20"/>
      <c r="AK40" s="47"/>
      <c r="AL40" s="47"/>
      <c r="AM40" s="142" t="str">
        <f t="shared" si="18"/>
        <v>start /low /b %USERPROFILE%\Documents\GitHub\eaglep3\Utilities\DownloadLogsFromS3.py --loco 4056 --day 2017-07-01</v>
      </c>
      <c r="AN40" s="151" t="str">
        <f t="shared" si="19"/>
        <v>echo {"issue":{"subject":"","project_id":30,"tracker_id":4,"status_id":1,"priority_id":1,"assigned_to_id":10,"start_date":"2017-07-01","description":"","custom_fields":[{"id":30,"name":"Category","value":"Issue"},{"id":3,"name":"Functional Component","value":"Onboard"},{"id":31,"name":"Version","value":"N/A"},{"id":8,"name":"Reporting RR","value":"WABTEC"},{"id":27,"name":"Locomotive ID","value":"4056"},{"id":20,"name":"RR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UTC","value":"2017-07-01 13:37:30"},{"id":29,"name":"Sharepoint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0"/>
      <c r="AP40"/>
      <c r="AQ40"/>
      <c r="AR40"/>
      <c r="AS40"/>
      <c r="AT40"/>
      <c r="AU40"/>
      <c r="AV40"/>
      <c r="AW40"/>
      <c r="AX40"/>
      <c r="AY40"/>
      <c r="AZ40"/>
      <c r="BA40"/>
      <c r="BB40"/>
      <c r="BC40"/>
      <c r="BD40"/>
      <c r="BE40"/>
      <c r="BF40"/>
      <c r="BG40"/>
      <c r="BH40"/>
      <c r="BI40"/>
      <c r="BJ40"/>
      <c r="BK40"/>
      <c r="BL40"/>
      <c r="BM40"/>
      <c r="BN40"/>
      <c r="BO40"/>
      <c r="BP40"/>
      <c r="BQ40"/>
      <c r="BR40"/>
      <c r="BS40"/>
      <c r="BT40"/>
      <c r="BU40"/>
      <c r="BV40"/>
      <c r="BW40"/>
      <c r="BX40"/>
      <c r="BY40"/>
      <c r="BZ40"/>
      <c r="CA40"/>
      <c r="CB40"/>
      <c r="CC40"/>
      <c r="CD40"/>
      <c r="CE40"/>
      <c r="CF40"/>
      <c r="CG40"/>
      <c r="CH40"/>
      <c r="CI40"/>
      <c r="CJ40"/>
      <c r="CK40"/>
      <c r="CL40"/>
      <c r="CM40"/>
    </row>
    <row r="41" spans="1:91" s="1" customFormat="1" x14ac:dyDescent="0.25">
      <c r="A41" s="32" t="s">
        <v>737</v>
      </c>
      <c r="B41" s="7">
        <v>4055</v>
      </c>
      <c r="C41" s="21" t="s">
        <v>202</v>
      </c>
      <c r="D41" s="21" t="s">
        <v>610</v>
      </c>
      <c r="E41" s="13">
        <v>42917.321180555555</v>
      </c>
      <c r="F41" s="13">
        <v>42917.33148148148</v>
      </c>
      <c r="G41" s="7">
        <v>1</v>
      </c>
      <c r="H41" s="21" t="s">
        <v>465</v>
      </c>
      <c r="I41" s="13">
        <v>42917.358738425923</v>
      </c>
      <c r="J41" s="7">
        <v>0</v>
      </c>
      <c r="K41" s="89" t="str">
        <f t="shared" si="0"/>
        <v>4055/4056</v>
      </c>
      <c r="L41" s="21" t="str">
        <f>VLOOKUP(A41,'Trips&amp;Operators'!$C$1:$G$99999,5,FALSE)</f>
        <v>DAVIDSON DAVID</v>
      </c>
      <c r="M41" s="6">
        <f t="shared" si="1"/>
        <v>2.7256944442342501E-2</v>
      </c>
      <c r="N41" s="7">
        <f t="shared" si="20"/>
        <v>39.249999996973202</v>
      </c>
      <c r="O41" s="7"/>
      <c r="P41" s="7"/>
      <c r="Q41" s="22"/>
      <c r="R41" s="170"/>
      <c r="S41" s="213">
        <f t="shared" si="21"/>
        <v>1</v>
      </c>
      <c r="T41" s="195" t="str">
        <f t="shared" si="2"/>
        <v>Southbound</v>
      </c>
      <c r="U41" s="195">
        <f>IF(AG41="EC",COUNTIFS(Variables!$M$2:$M$19,IF(T41="NorthBound","&gt;=","&lt;=")&amp;Y41,Variables!$M$2:$M$19,IF(T41="NorthBound","&lt;=","&gt;=")&amp;Z41),COUNTIFS(Variables!$P$2:$P$19,IF(T41="NorthBound","&gt;=","&lt;=")&amp;Y41,Variables!$P$2:$P$19,IF(T41="NorthBound","&lt;=","&gt;=")&amp;Z41))</f>
        <v>12</v>
      </c>
      <c r="V41" s="196" t="str">
        <f t="shared" si="3"/>
        <v>https://d0f6bd738d7f1b3e5a7ca70fe4ff75f0.us-east-1.aws.found.io/app/kibana#/discover/Steve-Slow-Train-Analysis-(2080s-and-2083s)?_g=(refreshInterval:(display:Off,pause:!f,section:0,value:0),time:(from:'2017-07-01T06:42:30-0600',mode:absolute,to:'2017-07-01T09:36:35-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4055%22')),sort:!(Time.ISO8601,asc))</v>
      </c>
      <c r="W41" s="197" t="str">
        <f>IF(AA41&lt;VLOOKUP(AG41,Variables!$AC$3:$AD$8,2,FALSE),"Y","N")</f>
        <v>N</v>
      </c>
      <c r="X41" s="197">
        <f t="shared" si="4"/>
        <v>1</v>
      </c>
      <c r="Y41" s="197">
        <f t="shared" si="5"/>
        <v>23.298300000000001</v>
      </c>
      <c r="Z41" s="197">
        <f t="shared" si="6"/>
        <v>1.61E-2</v>
      </c>
      <c r="AA41" s="197">
        <f t="shared" si="7"/>
        <v>23.2822</v>
      </c>
      <c r="AB41" s="54" t="e">
        <f>VLOOKUP(A41,Enforcements!$C$7:$K$13,8,0)</f>
        <v>#N/A</v>
      </c>
      <c r="AC41" s="51" t="e">
        <f>VLOOKUP(A41,Enforcements!$C$7:$E$13,3,0)</f>
        <v>#N/A</v>
      </c>
      <c r="AD41" s="206">
        <f t="shared" si="8"/>
        <v>128</v>
      </c>
      <c r="AE41" s="77" t="str">
        <f t="shared" si="9"/>
        <v>aws s3 cp s3://rtdc.mdm.uploadarchive.raw/RTDC4055/ "%USERPROFILE%\AppData\Local\Temp\OnboardLogs"\RTDC4055\2017-07-01 --exclude "*" --recursive --include "*20170701*" &amp; "%USERPROFILE%\Documents\GitHub\mrs-test-scripts\Headless Mode &amp; Sideloading\WalkAndUnGZ.bat" "%USERPROFILE%\AppData\Local\Temp\OnboardLogs"\RTDC4055\2017-07-01 &amp; aws s3 cp s3://rtdc.mdm.uploadarchive.raw/RTDC4055/ "%USERPROFILE%\AppData\Local\Temp\OnboardLogs"\RTDC4055\2017-07-02 --exclude "*" --recursive --include "*20170702*" &amp; "%USERPROFILE%\Documents\GitHub\mrs-test-scripts\Headless Mode &amp; Sideloading\WalkAndUnGZ.bat" "%USERPROFILE%\AppData\Local\Temp\OnboardLogs"\RTDC4055\2017-07-02</v>
      </c>
      <c r="AF41" s="74" t="str">
        <f t="shared" si="10"/>
        <v>"C:\Program Files (x86)\AstroGrep\AstroGrep.exe" /e /r /s /spath="%USERPROFILE%\AppData\Local\Temp\OnboardLogs" /stypes="app*4055*20170701*" /stext=" 14:.+((SYSTEM_STATE.+slice.+state.+changed )|(ment ac)|(multiple cpu faults)|(system.+state.+changed )|(\[timeout)|(PRM\|1\|D)|(kpr)|(kdp)|(train st.+moving)|(\|lc)|(penalty))"</v>
      </c>
      <c r="AG41" s="209" t="str">
        <f t="shared" si="11"/>
        <v>EC</v>
      </c>
      <c r="AH41" s="78" t="str">
        <f t="shared" si="16"/>
        <v>"%USERPROFILE%\Documents\GitHub\eaglep3\Utilities\RefineRTDCRunTimes.py" --tripid 128-01 --locoid 4055 --swversion DE.1.0.9.0 --startMP 204:232983 --initTime 2017-07-01T07:42:30 --startdatetime 2017-07-01T07:57:20 --delay 1 --endMP 204:161 --enddatetime 2017-07-01T08:36:35 --enforcementcount 0 &gt;&gt;C:\Users\stu\Documents\GitHub\eaglep3-reporting\EC\2017-07-01-refined-times.txt</v>
      </c>
      <c r="AI41" s="96" t="str">
        <f t="shared" si="17"/>
        <v>echo {"issue":{"subject":"","project_id":79,"tracker_id":40,"status_id":1,"priority_id":2,"assigned_to_id":23,"start_date":"2017-07-01","description":"","custom_fields":[{"id":1,"name":"Subdivision","value":"EC"},{"id":4,"name":"Milepost","value":"0.0161"},{"id":17,"name":"Train ID","value":"128-01"},{"id":16,"name":"Locomotive ID","value":"4055"},{"id":130,"name":"Impact","value":""},{"id":150,"name":"Time of Event (Mountain Time)","value":"08:36:35"},{"id":151,"name":"Denver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1" s="20"/>
      <c r="AK41" s="47"/>
      <c r="AL41" s="47"/>
      <c r="AM41" s="142" t="str">
        <f t="shared" si="18"/>
        <v>start /low /b %USERPROFILE%\Documents\GitHub\eaglep3\Utilities\DownloadLogsFromS3.py --loco 4055 --day 2017-07-01</v>
      </c>
      <c r="AN41" s="151" t="str">
        <f t="shared" si="19"/>
        <v>echo {"issue":{"subject":"","project_id":30,"tracker_id":4,"status_id":1,"priority_id":1,"assigned_to_id":10,"start_date":"2017-07-01","description":"","custom_fields":[{"id":30,"name":"Category","value":"Issue"},{"id":3,"name":"Functional Component","value":"Onboard"},{"id":31,"name":"Version","value":"N/A"},{"id":8,"name":"Reporting RR","value":"WABTEC"},{"id":27,"name":"Locomotive ID","value":"4055"},{"id":20,"name":"RR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UTC","value":"2017-07-01 14:36:35"},{"id":29,"name":"Sharepoint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1"/>
      <c r="AP41"/>
      <c r="AQ41"/>
      <c r="AR41"/>
      <c r="AS41"/>
      <c r="AT41"/>
      <c r="AU41"/>
      <c r="AV41"/>
      <c r="AW41"/>
      <c r="AX41"/>
      <c r="AY41"/>
      <c r="AZ41"/>
      <c r="BA41"/>
      <c r="BB41"/>
      <c r="BC41"/>
      <c r="BD41"/>
      <c r="BE41"/>
      <c r="BF41"/>
      <c r="BG41"/>
      <c r="BH41"/>
      <c r="BI41"/>
      <c r="BJ41"/>
      <c r="BK41"/>
      <c r="BL41"/>
      <c r="BM41"/>
      <c r="BN41"/>
      <c r="BO41"/>
      <c r="BP41"/>
      <c r="BQ41"/>
      <c r="BR41"/>
      <c r="BS41"/>
      <c r="BT41"/>
      <c r="BU41"/>
      <c r="BV41"/>
      <c r="BW41"/>
      <c r="BX41"/>
      <c r="BY41"/>
      <c r="BZ41"/>
      <c r="CA41"/>
      <c r="CB41"/>
      <c r="CC41"/>
      <c r="CD41"/>
      <c r="CE41"/>
      <c r="CF41"/>
      <c r="CG41"/>
      <c r="CH41"/>
      <c r="CI41"/>
      <c r="CJ41"/>
      <c r="CK41"/>
      <c r="CL41"/>
      <c r="CM41"/>
    </row>
    <row r="42" spans="1:91" s="1" customFormat="1" x14ac:dyDescent="0.25">
      <c r="A42" s="32" t="s">
        <v>732</v>
      </c>
      <c r="B42" s="7">
        <v>4018</v>
      </c>
      <c r="C42" s="21" t="s">
        <v>202</v>
      </c>
      <c r="D42" s="21" t="s">
        <v>354</v>
      </c>
      <c r="E42" s="13">
        <v>42917.30064814815</v>
      </c>
      <c r="F42" s="13">
        <v>42917.30259259259</v>
      </c>
      <c r="G42" s="7">
        <v>1</v>
      </c>
      <c r="H42" s="21" t="s">
        <v>609</v>
      </c>
      <c r="I42" s="13">
        <v>42917.327604166669</v>
      </c>
      <c r="J42" s="7">
        <v>0</v>
      </c>
      <c r="K42" s="89" t="str">
        <f t="shared" si="0"/>
        <v>4017/4018</v>
      </c>
      <c r="L42" s="21" t="str">
        <f>VLOOKUP(A42,'Trips&amp;Operators'!$C$1:$G$99999,5,FALSE)</f>
        <v>BEAM ROSS</v>
      </c>
      <c r="M42" s="6">
        <f t="shared" si="1"/>
        <v>2.5011574078234844E-2</v>
      </c>
      <c r="N42" s="7">
        <f t="shared" si="20"/>
        <v>36.016666672658175</v>
      </c>
      <c r="O42" s="7"/>
      <c r="P42" s="7"/>
      <c r="Q42" s="22"/>
      <c r="R42" s="170"/>
      <c r="S42" s="213">
        <f t="shared" si="21"/>
        <v>1</v>
      </c>
      <c r="T42" s="195" t="str">
        <f t="shared" si="2"/>
        <v>NorthBound</v>
      </c>
      <c r="U42" s="195">
        <f>IF(AG42="EC",COUNTIFS(Variables!$M$2:$M$19,IF(T42="NorthBound","&gt;=","&lt;=")&amp;Y42,Variables!$M$2:$M$19,IF(T42="NorthBound","&lt;=","&gt;=")&amp;Z42),COUNTIFS(Variables!$P$2:$P$19,IF(T42="NorthBound","&gt;=","&lt;=")&amp;Y42,Variables!$P$2:$P$19,IF(T42="NorthBound","&lt;=","&gt;=")&amp;Z42))</f>
        <v>12</v>
      </c>
      <c r="V42" s="196" t="str">
        <f t="shared" si="3"/>
        <v>https://d0f6bd738d7f1b3e5a7ca70fe4ff75f0.us-east-1.aws.found.io/app/kibana#/discover/Steve-Slow-Train-Analysis-(2080s-and-2083s)?_g=(refreshInterval:(display:Off,pause:!f,section:0,value:0),time:(from:'2017-07-01T06:12:56-0600',mode:absolute,to:'2017-07-01T08:51:45-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42" s="197" t="str">
        <f>IF(AA42&lt;VLOOKUP(AG42,Variables!$AC$3:$AD$8,2,FALSE),"Y","N")</f>
        <v>N</v>
      </c>
      <c r="X42" s="197">
        <f t="shared" si="4"/>
        <v>1</v>
      </c>
      <c r="Y42" s="197">
        <f t="shared" si="5"/>
        <v>4.53E-2</v>
      </c>
      <c r="Z42" s="197">
        <f t="shared" si="6"/>
        <v>23.330300000000001</v>
      </c>
      <c r="AA42" s="197">
        <f t="shared" si="7"/>
        <v>23.285</v>
      </c>
      <c r="AB42" s="54" t="e">
        <f>VLOOKUP(A42,Enforcements!$C$7:$K$13,8,0)</f>
        <v>#N/A</v>
      </c>
      <c r="AC42" s="51" t="e">
        <f>VLOOKUP(A42,Enforcements!$C$7:$E$13,3,0)</f>
        <v>#N/A</v>
      </c>
      <c r="AD42" s="206">
        <f t="shared" si="8"/>
        <v>129</v>
      </c>
      <c r="AE42" s="77" t="str">
        <f t="shared" si="9"/>
        <v>aws s3 cp s3://rtdc.mdm.uploadarchive.raw/RTDC4018/ "%USERPROFILE%\AppData\Local\Temp\OnboardLogs"\RTDC4018\2017-07-01 --exclude "*" --recursive --include "*20170701*" &amp; "%USERPROFILE%\Documents\GitHub\mrs-test-scripts\Headless Mode &amp; Sideloading\WalkAndUnGZ.bat" "%USERPROFILE%\AppData\Local\Temp\OnboardLogs"\RTDC4018\2017-07-01 &amp; aws s3 cp s3://rtdc.mdm.uploadarchive.raw/RTDC4018/ "%USERPROFILE%\AppData\Local\Temp\OnboardLogs"\RTDC4018\2017-07-02 --exclude "*" --recursive --include "*20170702*" &amp; "%USERPROFILE%\Documents\GitHub\mrs-test-scripts\Headless Mode &amp; Sideloading\WalkAndUnGZ.bat" "%USERPROFILE%\AppData\Local\Temp\OnboardLogs"\RTDC4018\2017-07-02</v>
      </c>
      <c r="AF42" s="74" t="str">
        <f t="shared" si="10"/>
        <v>"C:\Program Files (x86)\AstroGrep\AstroGrep.exe" /e /r /s /spath="%USERPROFILE%\AppData\Local\Temp\OnboardLogs" /stypes="app*4018*20170701*" /stext=" 13:.+((SYSTEM_STATE.+slice.+state.+changed )|(ment ac)|(multiple cpu faults)|(system.+state.+changed )|(\[timeout)|(PRM\|1\|D)|(kpr)|(kdp)|(train st.+moving)|(\|lc)|(penalty))"</v>
      </c>
      <c r="AG42" s="209" t="str">
        <f t="shared" si="11"/>
        <v>EC</v>
      </c>
      <c r="AH42" s="78" t="str">
        <f t="shared" si="16"/>
        <v>"%USERPROFILE%\Documents\GitHub\eaglep3\Utilities\RefineRTDCRunTimes.py" --tripid 129-01 --locoid 4018 --swversion DE.1.0.9.0 --startMP 204:453 --initTime 2017-07-01T07:12:56 --startdatetime 2017-07-01T07:15:44 --delay 1 --endMP 204:233303 --enddatetime 2017-07-01T07:51:45 --enforcementcount 0 &gt;&gt;C:\Users\stu\Documents\GitHub\eaglep3-reporting\EC\2017-07-01-refined-times.txt</v>
      </c>
      <c r="AI42" s="96" t="str">
        <f t="shared" si="17"/>
        <v>echo {"issue":{"subject":"","project_id":79,"tracker_id":40,"status_id":1,"priority_id":2,"assigned_to_id":23,"start_date":"2017-07-01","description":"","custom_fields":[{"id":1,"name":"Subdivision","value":"EC"},{"id":4,"name":"Milepost","value":"23.3303"},{"id":17,"name":"Train ID","value":"129-01"},{"id":16,"name":"Locomotive ID","value":"4018"},{"id":130,"name":"Impact","value":""},{"id":150,"name":"Time of Event (Mountain Time)","value":"07:51:45"},{"id":151,"name":"Denver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2" s="20"/>
      <c r="AK42" s="47"/>
      <c r="AL42" s="47"/>
      <c r="AM42" s="142" t="str">
        <f t="shared" si="18"/>
        <v>start /low /b %USERPROFILE%\Documents\GitHub\eaglep3\Utilities\DownloadLogsFromS3.py --loco 4018 --day 2017-07-01</v>
      </c>
      <c r="AN42" s="151" t="str">
        <f t="shared" si="19"/>
        <v>echo {"issue":{"subject":"","project_id":30,"tracker_id":4,"status_id":1,"priority_id":1,"assigned_to_id":10,"start_date":"2017-07-01","description":"","custom_fields":[{"id":30,"name":"Category","value":"Issue"},{"id":3,"name":"Functional Component","value":"Onboard"},{"id":31,"name":"Version","value":"N/A"},{"id":8,"name":"Reporting RR","value":"WABTEC"},{"id":27,"name":"Locomotive ID","value":"4018"},{"id":20,"name":"RR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UTC","value":"2017-07-01 13:51:45"},{"id":29,"name":"Sharepoint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2"/>
      <c r="AP42"/>
      <c r="AQ42"/>
      <c r="AR42"/>
      <c r="AS42"/>
      <c r="AT42"/>
      <c r="AU42"/>
      <c r="AV42"/>
      <c r="AW42"/>
      <c r="AX42"/>
      <c r="AY42"/>
      <c r="AZ42"/>
      <c r="BA42"/>
      <c r="BB42"/>
      <c r="BC42"/>
      <c r="BD42"/>
      <c r="BE42"/>
      <c r="BF42"/>
      <c r="BG42"/>
      <c r="BH42"/>
      <c r="BI42"/>
      <c r="BJ42"/>
      <c r="BK42"/>
      <c r="BL42"/>
      <c r="BM42"/>
      <c r="BN42"/>
      <c r="BO42"/>
      <c r="BP42"/>
      <c r="BQ42"/>
      <c r="BR42"/>
      <c r="BS42"/>
      <c r="BT42"/>
      <c r="BU42"/>
      <c r="BV42"/>
      <c r="BW42"/>
      <c r="BX42"/>
      <c r="BY42"/>
      <c r="BZ42"/>
      <c r="CA42"/>
      <c r="CB42"/>
      <c r="CC42"/>
      <c r="CD42"/>
      <c r="CE42"/>
      <c r="CF42"/>
      <c r="CG42"/>
      <c r="CH42"/>
      <c r="CI42"/>
      <c r="CJ42"/>
      <c r="CK42"/>
      <c r="CL42"/>
      <c r="CM42"/>
    </row>
    <row r="43" spans="1:91" s="1" customFormat="1" x14ac:dyDescent="0.25">
      <c r="A43" s="32" t="s">
        <v>645</v>
      </c>
      <c r="B43" s="7">
        <v>4017</v>
      </c>
      <c r="C43" s="21" t="s">
        <v>202</v>
      </c>
      <c r="D43" s="21" t="s">
        <v>478</v>
      </c>
      <c r="E43" s="13">
        <v>42917.331400462965</v>
      </c>
      <c r="F43" s="13">
        <v>42917.342048611114</v>
      </c>
      <c r="G43" s="7">
        <v>1</v>
      </c>
      <c r="H43" s="21" t="s">
        <v>359</v>
      </c>
      <c r="I43" s="13">
        <v>42917.368483796294</v>
      </c>
      <c r="J43" s="7">
        <v>0</v>
      </c>
      <c r="K43" s="89" t="str">
        <f t="shared" si="0"/>
        <v>4017/4018</v>
      </c>
      <c r="L43" s="21" t="str">
        <f>VLOOKUP(A43,'Trips&amp;Operators'!$C$1:$G$99999,5,FALSE)</f>
        <v>BEAM ROSS</v>
      </c>
      <c r="M43" s="6">
        <f t="shared" si="1"/>
        <v>2.643518518016208E-2</v>
      </c>
      <c r="N43" s="7">
        <f t="shared" si="20"/>
        <v>38.066666659433395</v>
      </c>
      <c r="O43" s="7"/>
      <c r="P43" s="7"/>
      <c r="Q43" s="22"/>
      <c r="R43" s="170"/>
      <c r="S43" s="213">
        <f t="shared" si="21"/>
        <v>1</v>
      </c>
      <c r="T43" s="195" t="str">
        <f t="shared" si="2"/>
        <v>Southbound</v>
      </c>
      <c r="U43" s="195">
        <f>IF(AG43="EC",COUNTIFS(Variables!$M$2:$M$19,IF(T43="NorthBound","&gt;=","&lt;=")&amp;Y43,Variables!$M$2:$M$19,IF(T43="NorthBound","&lt;=","&gt;=")&amp;Z43),COUNTIFS(Variables!$P$2:$P$19,IF(T43="NorthBound","&gt;=","&lt;=")&amp;Y43,Variables!$P$2:$P$19,IF(T43="NorthBound","&lt;=","&gt;=")&amp;Z43))</f>
        <v>12</v>
      </c>
      <c r="V43" s="196" t="str">
        <f t="shared" si="3"/>
        <v>https://d0f6bd738d7f1b3e5a7ca70fe4ff75f0.us-east-1.aws.found.io/app/kibana#/discover/Steve-Slow-Train-Analysis-(2080s-and-2083s)?_g=(refreshInterval:(display:Off,pause:!f,section:0,value:0),time:(from:'2017-07-01T06:57:13-0600',mode:absolute,to:'2017-07-01T09:50:37-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43" s="197" t="str">
        <f>IF(AA43&lt;VLOOKUP(AG43,Variables!$AC$3:$AD$8,2,FALSE),"Y","N")</f>
        <v>N</v>
      </c>
      <c r="X43" s="197">
        <f t="shared" si="4"/>
        <v>1</v>
      </c>
      <c r="Y43" s="197">
        <f t="shared" si="5"/>
        <v>23.298400000000001</v>
      </c>
      <c r="Z43" s="197">
        <f t="shared" si="6"/>
        <v>1.47E-2</v>
      </c>
      <c r="AA43" s="197">
        <f t="shared" si="7"/>
        <v>23.2837</v>
      </c>
      <c r="AB43" s="54" t="str">
        <f>VLOOKUP(A43,Enforcements!$C$7:$K$13,8,0)</f>
        <v>Bulletin (2)</v>
      </c>
      <c r="AC43" s="51" t="str">
        <f>VLOOKUP(A43,Enforcements!$C$7:$E$13,3,0)</f>
        <v>GRADE CROSSING</v>
      </c>
      <c r="AD43" s="206">
        <f t="shared" si="8"/>
        <v>130</v>
      </c>
      <c r="AE43" s="77" t="str">
        <f t="shared" si="9"/>
        <v>aws s3 cp s3://rtdc.mdm.uploadarchive.raw/RTDC4017/ "%USERPROFILE%\AppData\Local\Temp\OnboardLogs"\RTDC4017\2017-07-01 --exclude "*" --recursive --include "*20170701*" &amp; "%USERPROFILE%\Documents\GitHub\mrs-test-scripts\Headless Mode &amp; Sideloading\WalkAndUnGZ.bat" "%USERPROFILE%\AppData\Local\Temp\OnboardLogs"\RTDC4017\2017-07-01 &amp; aws s3 cp s3://rtdc.mdm.uploadarchive.raw/RTDC4017/ "%USERPROFILE%\AppData\Local\Temp\OnboardLogs"\RTDC4017\2017-07-02 --exclude "*" --recursive --include "*20170702*" &amp; "%USERPROFILE%\Documents\GitHub\mrs-test-scripts\Headless Mode &amp; Sideloading\WalkAndUnGZ.bat" "%USERPROFILE%\AppData\Local\Temp\OnboardLogs"\RTDC4017\2017-07-02</v>
      </c>
      <c r="AF43" s="74" t="str">
        <f t="shared" si="10"/>
        <v>"C:\Program Files (x86)\AstroGrep\AstroGrep.exe" /e /r /s /spath="%USERPROFILE%\AppData\Local\Temp\OnboardLogs" /stypes="app*4017*20170701*" /stext=" 14:.+((SYSTEM_STATE.+slice.+state.+changed )|(ment ac)|(multiple cpu faults)|(system.+state.+changed )|(\[timeout)|(PRM\|1\|D)|(kpr)|(kdp)|(train st.+moving)|(\|lc)|(penalty))"</v>
      </c>
      <c r="AG43" s="209" t="str">
        <f t="shared" si="11"/>
        <v>EC</v>
      </c>
      <c r="AH43" s="78" t="str">
        <f t="shared" si="16"/>
        <v>"%USERPROFILE%\Documents\GitHub\eaglep3\Utilities\RefineRTDCRunTimes.py" --tripid 130-01 --locoid 4017 --swversion DE.1.0.9.0 --startMP 204:232984 --initTime 2017-07-01T07:57:13 --startdatetime 2017-07-01T08:12:33 --delay 1 --endMP 204:147 --enddatetime 2017-07-01T08:50:37 --enforcementcount 0 &gt;&gt;C:\Users\stu\Documents\GitHub\eaglep3-reporting\EC\2017-07-01-refined-times.txt</v>
      </c>
      <c r="AI43" s="96" t="str">
        <f t="shared" si="17"/>
        <v>echo {"issue":{"subject":"","project_id":79,"tracker_id":40,"status_id":1,"priority_id":2,"assigned_to_id":23,"start_date":"2017-07-01","description":"","custom_fields":[{"id":1,"name":"Subdivision","value":"EC"},{"id":4,"name":"Milepost","value":"0.0147"},{"id":17,"name":"Train ID","value":"130-01"},{"id":16,"name":"Locomotive ID","value":"4017"},{"id":130,"name":"Impact","value":""},{"id":150,"name":"Time of Event (Mountain Time)","value":"08:50:37"},{"id":151,"name":"Denver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3" s="20"/>
      <c r="AK43" s="47"/>
      <c r="AL43" s="47"/>
      <c r="AM43" s="142" t="str">
        <f t="shared" si="18"/>
        <v>start /low /b %USERPROFILE%\Documents\GitHub\eaglep3\Utilities\DownloadLogsFromS3.py --loco 4017 --day 2017-07-01</v>
      </c>
      <c r="AN43" s="151" t="str">
        <f t="shared" si="19"/>
        <v>echo {"issue":{"subject":"","project_id":30,"tracker_id":4,"status_id":1,"priority_id":1,"assigned_to_id":10,"start_date":"2017-07-01","description":"","custom_fields":[{"id":30,"name":"Category","value":"Issue"},{"id":3,"name":"Functional Component","value":"Onboard"},{"id":31,"name":"Version","value":"N/A"},{"id":8,"name":"Reporting RR","value":"WABTEC"},{"id":27,"name":"Locomotive ID","value":"4017"},{"id":20,"name":"RR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UTC","value":"2017-07-01 14:50:37"},{"id":29,"name":"Sharepoint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3"/>
      <c r="AP43"/>
      <c r="AQ43"/>
      <c r="AR43"/>
      <c r="AS43"/>
      <c r="AT43"/>
      <c r="AU43"/>
      <c r="AV43"/>
      <c r="AW43"/>
      <c r="AX43"/>
      <c r="AY43"/>
      <c r="AZ43"/>
      <c r="BA43"/>
      <c r="BB43"/>
      <c r="BC43"/>
      <c r="BD43"/>
      <c r="BE43"/>
      <c r="BF43"/>
      <c r="BG43"/>
      <c r="BH43"/>
      <c r="BI43"/>
      <c r="BJ43"/>
      <c r="BK43"/>
      <c r="BL43"/>
      <c r="BM43"/>
      <c r="BN43"/>
      <c r="BO43"/>
      <c r="BP43"/>
      <c r="BQ43"/>
      <c r="BR43"/>
      <c r="BS43"/>
      <c r="BT43"/>
      <c r="BU43"/>
      <c r="BV43"/>
      <c r="BW43"/>
      <c r="BX43"/>
      <c r="BY43"/>
      <c r="BZ43"/>
      <c r="CA43"/>
      <c r="CB43"/>
      <c r="CC43"/>
      <c r="CD43"/>
      <c r="CE43"/>
      <c r="CF43"/>
      <c r="CG43"/>
      <c r="CH43"/>
      <c r="CI43"/>
      <c r="CJ43"/>
      <c r="CK43"/>
      <c r="CL43"/>
      <c r="CM43"/>
    </row>
    <row r="44" spans="1:91" s="1" customFormat="1" x14ac:dyDescent="0.25">
      <c r="A44" s="32" t="s">
        <v>734</v>
      </c>
      <c r="B44" s="7">
        <v>4030</v>
      </c>
      <c r="C44" s="21" t="s">
        <v>202</v>
      </c>
      <c r="D44" s="21" t="s">
        <v>895</v>
      </c>
      <c r="E44" s="13">
        <v>42917.307754629626</v>
      </c>
      <c r="F44" s="13">
        <v>42917.312997685185</v>
      </c>
      <c r="G44" s="7">
        <v>1</v>
      </c>
      <c r="H44" s="21" t="s">
        <v>552</v>
      </c>
      <c r="I44" s="13">
        <v>42917.338171296295</v>
      </c>
      <c r="J44" s="7">
        <v>0</v>
      </c>
      <c r="K44" s="89" t="str">
        <f t="shared" si="0"/>
        <v>4029/4030</v>
      </c>
      <c r="L44" s="21" t="str">
        <f>VLOOKUP(A44,'Trips&amp;Operators'!$C$1:$G$99999,5,FALSE)</f>
        <v>GUZMAN DANNY</v>
      </c>
      <c r="M44" s="6">
        <f t="shared" si="1"/>
        <v>2.5173611109494232E-2</v>
      </c>
      <c r="N44" s="7">
        <f t="shared" si="20"/>
        <v>36.249999997671694</v>
      </c>
      <c r="O44" s="7"/>
      <c r="P44" s="7"/>
      <c r="Q44" s="22"/>
      <c r="R44" s="170"/>
      <c r="S44" s="213">
        <f t="shared" si="21"/>
        <v>1</v>
      </c>
      <c r="T44" s="195" t="str">
        <f t="shared" si="2"/>
        <v>NorthBound</v>
      </c>
      <c r="U44" s="195">
        <f>IF(AG44="EC",COUNTIFS(Variables!$M$2:$M$19,IF(T44="NorthBound","&gt;=","&lt;=")&amp;Y44,Variables!$M$2:$M$19,IF(T44="NorthBound","&lt;=","&gt;=")&amp;Z44),COUNTIFS(Variables!$P$2:$P$19,IF(T44="NorthBound","&gt;=","&lt;=")&amp;Y44,Variables!$P$2:$P$19,IF(T44="NorthBound","&lt;=","&gt;=")&amp;Z44))</f>
        <v>12</v>
      </c>
      <c r="V44" s="196" t="str">
        <f t="shared" si="3"/>
        <v>https://d0f6bd738d7f1b3e5a7ca70fe4ff75f0.us-east-1.aws.found.io/app/kibana#/discover/Steve-Slow-Train-Analysis-(2080s-and-2083s)?_g=(refreshInterval:(display:Off,pause:!f,section:0,value:0),time:(from:'2017-07-01T06:23:10-0600',mode:absolute,to:'2017-07-01T09:06:58-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44" s="197" t="str">
        <f>IF(AA44&lt;VLOOKUP(AG44,Variables!$AC$3:$AD$8,2,FALSE),"Y","N")</f>
        <v>N</v>
      </c>
      <c r="X44" s="197">
        <f t="shared" si="4"/>
        <v>1</v>
      </c>
      <c r="Y44" s="197">
        <f t="shared" si="5"/>
        <v>4.3099999999999999E-2</v>
      </c>
      <c r="Z44" s="197">
        <f t="shared" si="6"/>
        <v>23.330400000000001</v>
      </c>
      <c r="AA44" s="197">
        <f t="shared" si="7"/>
        <v>23.287300000000002</v>
      </c>
      <c r="AB44" s="54" t="e">
        <f>VLOOKUP(A44,Enforcements!$C$7:$K$13,8,0)</f>
        <v>#N/A</v>
      </c>
      <c r="AC44" s="51" t="e">
        <f>VLOOKUP(A44,Enforcements!$C$7:$E$13,3,0)</f>
        <v>#N/A</v>
      </c>
      <c r="AD44" s="206">
        <f t="shared" si="8"/>
        <v>131</v>
      </c>
      <c r="AE44" s="77" t="str">
        <f t="shared" si="9"/>
        <v>aws s3 cp s3://rtdc.mdm.uploadarchive.raw/RTDC4030/ "%USERPROFILE%\AppData\Local\Temp\OnboardLogs"\RTDC4030\2017-07-01 --exclude "*" --recursive --include "*20170701*" &amp; "%USERPROFILE%\Documents\GitHub\mrs-test-scripts\Headless Mode &amp; Sideloading\WalkAndUnGZ.bat" "%USERPROFILE%\AppData\Local\Temp\OnboardLogs"\RTDC4030\2017-07-01 &amp; aws s3 cp s3://rtdc.mdm.uploadarchive.raw/RTDC4030/ "%USERPROFILE%\AppData\Local\Temp\OnboardLogs"\RTDC4030\2017-07-02 --exclude "*" --recursive --include "*20170702*" &amp; "%USERPROFILE%\Documents\GitHub\mrs-test-scripts\Headless Mode &amp; Sideloading\WalkAndUnGZ.bat" "%USERPROFILE%\AppData\Local\Temp\OnboardLogs"\RTDC4030\2017-07-02</v>
      </c>
      <c r="AF44" s="74" t="str">
        <f t="shared" si="10"/>
        <v>"C:\Program Files (x86)\AstroGrep\AstroGrep.exe" /e /r /s /spath="%USERPROFILE%\AppData\Local\Temp\OnboardLogs" /stypes="app*4030*20170701*" /stext=" 14:.+((SYSTEM_STATE.+slice.+state.+changed )|(ment ac)|(multiple cpu faults)|(system.+state.+changed )|(\[timeout)|(PRM\|1\|D)|(kpr)|(kdp)|(train st.+moving)|(\|lc)|(penalty))"</v>
      </c>
      <c r="AG44" s="209" t="str">
        <f t="shared" si="11"/>
        <v>EC</v>
      </c>
      <c r="AH44" s="78" t="str">
        <f t="shared" si="16"/>
        <v>"%USERPROFILE%\Documents\GitHub\eaglep3\Utilities\RefineRTDCRunTimes.py" --tripid 131-01 --locoid 4030 --swversion DE.1.0.9.0 --startMP 204:431 --initTime 2017-07-01T07:23:10 --startdatetime 2017-07-01T07:30:43 --delay 1 --endMP 204:233304 --enddatetime 2017-07-01T08:06:58 --enforcementcount 0 &gt;&gt;C:\Users\stu\Documents\GitHub\eaglep3-reporting\EC\2017-07-01-refined-times.txt</v>
      </c>
      <c r="AI44" s="96" t="str">
        <f t="shared" si="17"/>
        <v>echo {"issue":{"subject":"","project_id":79,"tracker_id":40,"status_id":1,"priority_id":2,"assigned_to_id":23,"start_date":"2017-07-01","description":"","custom_fields":[{"id":1,"name":"Subdivision","value":"EC"},{"id":4,"name":"Milepost","value":"23.3304"},{"id":17,"name":"Train ID","value":"131-01"},{"id":16,"name":"Locomotive ID","value":"4030"},{"id":130,"name":"Impact","value":""},{"id":150,"name":"Time of Event (Mountain Time)","value":"08:06:58"},{"id":151,"name":"Denver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4" s="20"/>
      <c r="AK44" s="47"/>
      <c r="AL44" s="47"/>
      <c r="AM44" s="142" t="str">
        <f t="shared" si="18"/>
        <v>start /low /b %USERPROFILE%\Documents\GitHub\eaglep3\Utilities\DownloadLogsFromS3.py --loco 4030 --day 2017-07-01</v>
      </c>
      <c r="AN44" s="151" t="str">
        <f t="shared" si="19"/>
        <v>echo {"issue":{"subject":"","project_id":30,"tracker_id":4,"status_id":1,"priority_id":1,"assigned_to_id":10,"start_date":"2017-07-01","description":"","custom_fields":[{"id":30,"name":"Category","value":"Issue"},{"id":3,"name":"Functional Component","value":"Onboard"},{"id":31,"name":"Version","value":"N/A"},{"id":8,"name":"Reporting RR","value":"WABTEC"},{"id":27,"name":"Locomotive ID","value":"4030"},{"id":20,"name":"RR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UTC","value":"2017-07-01 14:06:58"},{"id":29,"name":"Sharepoint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4"/>
      <c r="AP44"/>
      <c r="AQ44"/>
      <c r="AR44"/>
      <c r="AS44"/>
      <c r="AT44"/>
      <c r="AU44"/>
      <c r="AV44"/>
      <c r="AW44"/>
      <c r="AX44"/>
      <c r="AY44"/>
      <c r="AZ44"/>
      <c r="BA44"/>
      <c r="BB44"/>
      <c r="BC44"/>
      <c r="BD44"/>
      <c r="BE44"/>
      <c r="BF44"/>
      <c r="BG44"/>
      <c r="BH44"/>
      <c r="BI44"/>
      <c r="BJ44"/>
      <c r="BK44"/>
      <c r="BL44"/>
      <c r="BM44"/>
      <c r="BN44"/>
      <c r="BO44"/>
      <c r="BP44"/>
      <c r="BQ44"/>
      <c r="BR44"/>
      <c r="BS44"/>
      <c r="BT44"/>
      <c r="BU44"/>
      <c r="BV44"/>
      <c r="BW44"/>
      <c r="BX44"/>
      <c r="BY44"/>
      <c r="BZ44"/>
      <c r="CA44"/>
      <c r="CB44"/>
      <c r="CC44"/>
      <c r="CD44"/>
      <c r="CE44"/>
      <c r="CF44"/>
      <c r="CG44"/>
      <c r="CH44"/>
      <c r="CI44"/>
      <c r="CJ44"/>
      <c r="CK44"/>
      <c r="CL44"/>
      <c r="CM44"/>
    </row>
    <row r="45" spans="1:91" s="1" customFormat="1" x14ac:dyDescent="0.25">
      <c r="A45" s="32" t="s">
        <v>740</v>
      </c>
      <c r="B45" s="7">
        <v>4029</v>
      </c>
      <c r="C45" s="21" t="s">
        <v>202</v>
      </c>
      <c r="D45" s="21" t="s">
        <v>610</v>
      </c>
      <c r="E45" s="13">
        <v>42917.340173611112</v>
      </c>
      <c r="F45" s="13">
        <v>42917.352256944447</v>
      </c>
      <c r="G45" s="7">
        <v>1</v>
      </c>
      <c r="H45" s="21" t="s">
        <v>358</v>
      </c>
      <c r="I45" s="13">
        <v>42917.379120370373</v>
      </c>
      <c r="J45" s="7">
        <v>0</v>
      </c>
      <c r="K45" s="89" t="str">
        <f t="shared" si="0"/>
        <v>4029/4030</v>
      </c>
      <c r="L45" s="21" t="str">
        <f>VLOOKUP(A45,'Trips&amp;Operators'!$C$1:$G$99999,5,FALSE)</f>
        <v>GUZMAN DANNY</v>
      </c>
      <c r="M45" s="6">
        <f t="shared" si="1"/>
        <v>2.6863425926421769E-2</v>
      </c>
      <c r="N45" s="7">
        <f t="shared" si="20"/>
        <v>38.683333334047347</v>
      </c>
      <c r="O45" s="7"/>
      <c r="P45" s="7"/>
      <c r="Q45" s="22"/>
      <c r="R45" s="170"/>
      <c r="S45" s="213">
        <f t="shared" si="21"/>
        <v>1</v>
      </c>
      <c r="T45" s="195" t="str">
        <f t="shared" si="2"/>
        <v>Southbound</v>
      </c>
      <c r="U45" s="195">
        <f>IF(AG45="EC",COUNTIFS(Variables!$M$2:$M$19,IF(T45="NorthBound","&gt;=","&lt;=")&amp;Y45,Variables!$M$2:$M$19,IF(T45="NorthBound","&lt;=","&gt;=")&amp;Z45),COUNTIFS(Variables!$P$2:$P$19,IF(T45="NorthBound","&gt;=","&lt;=")&amp;Y45,Variables!$P$2:$P$19,IF(T45="NorthBound","&lt;=","&gt;=")&amp;Z45))</f>
        <v>12</v>
      </c>
      <c r="V45" s="196" t="str">
        <f t="shared" si="3"/>
        <v>https://d0f6bd738d7f1b3e5a7ca70fe4ff75f0.us-east-1.aws.found.io/app/kibana#/discover/Steve-Slow-Train-Analysis-(2080s-and-2083s)?_g=(refreshInterval:(display:Off,pause:!f,section:0,value:0),time:(from:'2017-07-01T07:09:51-0600',mode:absolute,to:'2017-07-01T10:05:56-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45" s="197" t="str">
        <f>IF(AA45&lt;VLOOKUP(AG45,Variables!$AC$3:$AD$8,2,FALSE),"Y","N")</f>
        <v>N</v>
      </c>
      <c r="X45" s="197">
        <f t="shared" ref="X45:X76" si="22">VALUE(LEFT(AD45,4))-VALUE(LEFT(AD44,4))</f>
        <v>1</v>
      </c>
      <c r="Y45" s="197">
        <f t="shared" si="5"/>
        <v>23.298300000000001</v>
      </c>
      <c r="Z45" s="197">
        <f t="shared" si="6"/>
        <v>1.41E-2</v>
      </c>
      <c r="AA45" s="197">
        <f t="shared" si="7"/>
        <v>23.284200000000002</v>
      </c>
      <c r="AB45" s="54" t="e">
        <f>VLOOKUP(A45,Enforcements!$C$7:$K$13,8,0)</f>
        <v>#N/A</v>
      </c>
      <c r="AC45" s="51" t="e">
        <f>VLOOKUP(A45,Enforcements!$C$7:$E$13,3,0)</f>
        <v>#N/A</v>
      </c>
      <c r="AD45" s="206">
        <f t="shared" si="8"/>
        <v>132</v>
      </c>
      <c r="AE45" s="77" t="str">
        <f t="shared" si="9"/>
        <v>aws s3 cp s3://rtdc.mdm.uploadarchive.raw/RTDC4029/ "%USERPROFILE%\AppData\Local\Temp\OnboardLogs"\RTDC4029\2017-07-01 --exclude "*" --recursive --include "*20170701*" &amp; "%USERPROFILE%\Documents\GitHub\mrs-test-scripts\Headless Mode &amp; Sideloading\WalkAndUnGZ.bat" "%USERPROFILE%\AppData\Local\Temp\OnboardLogs"\RTDC4029\2017-07-01 &amp; aws s3 cp s3://rtdc.mdm.uploadarchive.raw/RTDC4029/ "%USERPROFILE%\AppData\Local\Temp\OnboardLogs"\RTDC4029\2017-07-02 --exclude "*" --recursive --include "*20170702*" &amp; "%USERPROFILE%\Documents\GitHub\mrs-test-scripts\Headless Mode &amp; Sideloading\WalkAndUnGZ.bat" "%USERPROFILE%\AppData\Local\Temp\OnboardLogs"\RTDC4029\2017-07-02</v>
      </c>
      <c r="AF45" s="74" t="str">
        <f t="shared" si="10"/>
        <v>"C:\Program Files (x86)\AstroGrep\AstroGrep.exe" /e /r /s /spath="%USERPROFILE%\AppData\Local\Temp\OnboardLogs" /stypes="app*4029*20170701*" /stext=" 15:.+((SYSTEM_STATE.+slice.+state.+changed )|(ment ac)|(multiple cpu faults)|(system.+state.+changed )|(\[timeout)|(PRM\|1\|D)|(kpr)|(kdp)|(train st.+moving)|(\|lc)|(penalty))"</v>
      </c>
      <c r="AG45" s="209" t="str">
        <f t="shared" si="11"/>
        <v>EC</v>
      </c>
      <c r="AH45" s="78" t="str">
        <f t="shared" si="16"/>
        <v>"%USERPROFILE%\Documents\GitHub\eaglep3\Utilities\RefineRTDCRunTimes.py" --tripid 132-01 --locoid 4029 --swversion DE.1.0.9.0 --startMP 204:232983 --initTime 2017-07-01T08:09:51 --startdatetime 2017-07-01T08:27:15 --delay 1 --endMP 204:141 --enddatetime 2017-07-01T09:05:56 --enforcementcount 0 &gt;&gt;C:\Users\stu\Documents\GitHub\eaglep3-reporting\EC\2017-07-01-refined-times.txt</v>
      </c>
      <c r="AI45" s="96" t="str">
        <f t="shared" si="17"/>
        <v>echo {"issue":{"subject":"","project_id":79,"tracker_id":40,"status_id":1,"priority_id":2,"assigned_to_id":23,"start_date":"2017-07-01","description":"","custom_fields":[{"id":1,"name":"Subdivision","value":"EC"},{"id":4,"name":"Milepost","value":"0.0141"},{"id":17,"name":"Train ID","value":"132-01"},{"id":16,"name":"Locomotive ID","value":"4029"},{"id":130,"name":"Impact","value":""},{"id":150,"name":"Time of Event (Mountain Time)","value":"09:05:56"},{"id":151,"name":"Denver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5" s="20"/>
      <c r="AK45" s="47"/>
      <c r="AL45" s="47"/>
      <c r="AM45" s="142" t="str">
        <f t="shared" si="18"/>
        <v>start /low /b %USERPROFILE%\Documents\GitHub\eaglep3\Utilities\DownloadLogsFromS3.py --loco 4029 --day 2017-07-01</v>
      </c>
      <c r="AN45" s="151" t="str">
        <f t="shared" si="19"/>
        <v>echo {"issue":{"subject":"","project_id":30,"tracker_id":4,"status_id":1,"priority_id":1,"assigned_to_id":10,"start_date":"2017-07-01","description":"","custom_fields":[{"id":30,"name":"Category","value":"Issue"},{"id":3,"name":"Functional Component","value":"Onboard"},{"id":31,"name":"Version","value":"N/A"},{"id":8,"name":"Reporting RR","value":"WABTEC"},{"id":27,"name":"Locomotive ID","value":"4029"},{"id":20,"name":"RR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UTC","value":"2017-07-01 15:05:56"},{"id":29,"name":"Sharepoint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5"/>
      <c r="AP45"/>
      <c r="AQ45"/>
      <c r="AR45"/>
      <c r="AS45"/>
      <c r="AT45"/>
      <c r="AU45"/>
      <c r="AV45"/>
      <c r="AW45"/>
      <c r="AX45"/>
      <c r="AY45"/>
      <c r="AZ45"/>
      <c r="BA45"/>
      <c r="BB45"/>
      <c r="BC45"/>
      <c r="BD45"/>
      <c r="BE45"/>
      <c r="BF45"/>
      <c r="BG45"/>
      <c r="BH45"/>
      <c r="BI45"/>
      <c r="BJ45"/>
      <c r="BK45"/>
      <c r="BL45"/>
      <c r="BM45"/>
      <c r="BN45"/>
      <c r="BO45"/>
      <c r="BP45"/>
      <c r="BQ45"/>
      <c r="BR45"/>
      <c r="BS45"/>
      <c r="BT45"/>
      <c r="BU45"/>
      <c r="BV45"/>
      <c r="BW45"/>
      <c r="BX45"/>
      <c r="BY45"/>
      <c r="BZ45"/>
      <c r="CA45"/>
      <c r="CB45"/>
      <c r="CC45"/>
      <c r="CD45"/>
      <c r="CE45"/>
      <c r="CF45"/>
      <c r="CG45"/>
      <c r="CH45"/>
      <c r="CI45"/>
      <c r="CJ45"/>
      <c r="CK45"/>
      <c r="CL45"/>
      <c r="CM45"/>
    </row>
    <row r="46" spans="1:91" s="1" customFormat="1" x14ac:dyDescent="0.25">
      <c r="A46" s="32" t="s">
        <v>643</v>
      </c>
      <c r="B46" s="7">
        <v>4028</v>
      </c>
      <c r="C46" s="21" t="s">
        <v>202</v>
      </c>
      <c r="D46" s="21" t="s">
        <v>896</v>
      </c>
      <c r="E46" s="13">
        <v>42917.318958333337</v>
      </c>
      <c r="F46" s="13">
        <v>42917.323553240742</v>
      </c>
      <c r="G46" s="7">
        <v>1</v>
      </c>
      <c r="H46" s="21" t="s">
        <v>545</v>
      </c>
      <c r="I46" s="13">
        <v>42917.350555555553</v>
      </c>
      <c r="J46" s="7">
        <v>0</v>
      </c>
      <c r="K46" s="89" t="str">
        <f t="shared" si="0"/>
        <v>4027/4028</v>
      </c>
      <c r="L46" s="21" t="str">
        <f>VLOOKUP(A46,'Trips&amp;Operators'!$C$1:$G$99999,5,FALSE)</f>
        <v>DAVIS WENDY</v>
      </c>
      <c r="M46" s="6">
        <f t="shared" si="1"/>
        <v>2.700231481139781E-2</v>
      </c>
      <c r="N46" s="7">
        <f t="shared" si="20"/>
        <v>38.883333328412846</v>
      </c>
      <c r="O46" s="7"/>
      <c r="P46" s="7"/>
      <c r="Q46" s="22"/>
      <c r="R46" s="170"/>
      <c r="S46" s="213">
        <f t="shared" si="21"/>
        <v>1</v>
      </c>
      <c r="T46" s="195" t="str">
        <f t="shared" si="2"/>
        <v>NorthBound</v>
      </c>
      <c r="U46" s="195">
        <f>IF(AG46="EC",COUNTIFS(Variables!$M$2:$M$19,IF(T46="NorthBound","&gt;=","&lt;=")&amp;Y46,Variables!$M$2:$M$19,IF(T46="NorthBound","&lt;=","&gt;=")&amp;Z46),COUNTIFS(Variables!$P$2:$P$19,IF(T46="NorthBound","&gt;=","&lt;=")&amp;Y46,Variables!$P$2:$P$19,IF(T46="NorthBound","&lt;=","&gt;=")&amp;Z46))</f>
        <v>12</v>
      </c>
      <c r="V46" s="196" t="str">
        <f t="shared" si="3"/>
        <v>https://d0f6bd738d7f1b3e5a7ca70fe4ff75f0.us-east-1.aws.found.io/app/kibana#/discover/Steve-Slow-Train-Analysis-(2080s-and-2083s)?_g=(refreshInterval:(display:Off,pause:!f,section:0,value:0),time:(from:'2017-07-01T06:39:18-0600',mode:absolute,to:'2017-07-01T09:24:48-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46" s="197" t="str">
        <f>IF(AA46&lt;VLOOKUP(AG46,Variables!$AC$3:$AD$8,2,FALSE),"Y","N")</f>
        <v>N</v>
      </c>
      <c r="X46" s="197">
        <f t="shared" si="22"/>
        <v>1</v>
      </c>
      <c r="Y46" s="197">
        <f t="shared" si="5"/>
        <v>4.1599999999999998E-2</v>
      </c>
      <c r="Z46" s="197">
        <f t="shared" si="6"/>
        <v>23.331800000000001</v>
      </c>
      <c r="AA46" s="197">
        <f t="shared" si="7"/>
        <v>23.290200000000002</v>
      </c>
      <c r="AB46" s="54" t="str">
        <f>VLOOKUP(A46,Enforcements!$C$7:$K$13,8,0)</f>
        <v>Bulletin (2)</v>
      </c>
      <c r="AC46" s="51" t="str">
        <f>VLOOKUP(A46,Enforcements!$C$7:$E$13,3,0)</f>
        <v>GRADE CROSSING</v>
      </c>
      <c r="AD46" s="206">
        <f t="shared" si="8"/>
        <v>133</v>
      </c>
      <c r="AE46" s="77" t="str">
        <f t="shared" si="9"/>
        <v>aws s3 cp s3://rtdc.mdm.uploadarchive.raw/RTDC4028/ "%USERPROFILE%\AppData\Local\Temp\OnboardLogs"\RTDC4028\2017-07-01 --exclude "*" --recursive --include "*20170701*" &amp; "%USERPROFILE%\Documents\GitHub\mrs-test-scripts\Headless Mode &amp; Sideloading\WalkAndUnGZ.bat" "%USERPROFILE%\AppData\Local\Temp\OnboardLogs"\RTDC4028\2017-07-01 &amp; aws s3 cp s3://rtdc.mdm.uploadarchive.raw/RTDC4028/ "%USERPROFILE%\AppData\Local\Temp\OnboardLogs"\RTDC4028\2017-07-02 --exclude "*" --recursive --include "*20170702*" &amp; "%USERPROFILE%\Documents\GitHub\mrs-test-scripts\Headless Mode &amp; Sideloading\WalkAndUnGZ.bat" "%USERPROFILE%\AppData\Local\Temp\OnboardLogs"\RTDC4028\2017-07-02</v>
      </c>
      <c r="AF46" s="74" t="str">
        <f t="shared" si="10"/>
        <v>"C:\Program Files (x86)\AstroGrep\AstroGrep.exe" /e /r /s /spath="%USERPROFILE%\AppData\Local\Temp\OnboardLogs" /stypes="app*4028*20170701*" /stext=" 14:.+((SYSTEM_STATE.+slice.+state.+changed )|(ment ac)|(multiple cpu faults)|(system.+state.+changed )|(\[timeout)|(PRM\|1\|D)|(kpr)|(kdp)|(train st.+moving)|(\|lc)|(penalty))"</v>
      </c>
      <c r="AG46" s="209" t="str">
        <f t="shared" si="11"/>
        <v>EC</v>
      </c>
      <c r="AH46" s="78" t="str">
        <f t="shared" si="16"/>
        <v>"%USERPROFILE%\Documents\GitHub\eaglep3\Utilities\RefineRTDCRunTimes.py" --tripid 133-01 --locoid 4028 --swversion DE.1.0.9.0 --startMP 204:416 --initTime 2017-07-01T07:39:18 --startdatetime 2017-07-01T07:45:55 --delay 1 --endMP 204:233318 --enddatetime 2017-07-01T08:24:48 --enforcementcount 0 &gt;&gt;C:\Users\stu\Documents\GitHub\eaglep3-reporting\EC\2017-07-01-refined-times.txt</v>
      </c>
      <c r="AI46" s="96" t="str">
        <f t="shared" si="17"/>
        <v>echo {"issue":{"subject":"","project_id":79,"tracker_id":40,"status_id":1,"priority_id":2,"assigned_to_id":23,"start_date":"2017-07-01","description":"","custom_fields":[{"id":1,"name":"Subdivision","value":"EC"},{"id":4,"name":"Milepost","value":"23.3318"},{"id":17,"name":"Train ID","value":"133-01"},{"id":16,"name":"Locomotive ID","value":"4028"},{"id":130,"name":"Impact","value":""},{"id":150,"name":"Time of Event (Mountain Time)","value":"08:24:48"},{"id":151,"name":"Denver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6" s="20"/>
      <c r="AK46" s="47"/>
      <c r="AL46" s="47"/>
      <c r="AM46" s="142" t="str">
        <f t="shared" si="18"/>
        <v>start /low /b %USERPROFILE%\Documents\GitHub\eaglep3\Utilities\DownloadLogsFromS3.py --loco 4028 --day 2017-07-01</v>
      </c>
      <c r="AN46" s="151" t="str">
        <f t="shared" si="19"/>
        <v>echo {"issue":{"subject":"","project_id":30,"tracker_id":4,"status_id":1,"priority_id":1,"assigned_to_id":10,"start_date":"2017-07-01","description":"","custom_fields":[{"id":30,"name":"Category","value":"Issue"},{"id":3,"name":"Functional Component","value":"Onboard"},{"id":31,"name":"Version","value":"N/A"},{"id":8,"name":"Reporting RR","value":"WABTEC"},{"id":27,"name":"Locomotive ID","value":"4028"},{"id":20,"name":"RR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UTC","value":"2017-07-01 14:24:48"},{"id":29,"name":"Sharepoint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6"/>
      <c r="AP46"/>
      <c r="AQ46"/>
      <c r="AR46"/>
      <c r="AS46"/>
      <c r="AT46"/>
      <c r="AU46"/>
      <c r="AV46"/>
      <c r="AW46"/>
      <c r="AX46"/>
      <c r="AY46"/>
      <c r="AZ46"/>
      <c r="BA46"/>
      <c r="BB46"/>
      <c r="BC46"/>
      <c r="BD46"/>
      <c r="BE46"/>
      <c r="BF46"/>
      <c r="BG46"/>
      <c r="BH46"/>
      <c r="BI46"/>
      <c r="BJ46"/>
      <c r="BK46"/>
      <c r="BL46"/>
      <c r="BM46"/>
      <c r="BN46"/>
      <c r="BO46"/>
      <c r="BP46"/>
      <c r="BQ46"/>
      <c r="BR46"/>
      <c r="BS46"/>
      <c r="BT46"/>
      <c r="BU46"/>
      <c r="BV46"/>
      <c r="BW46"/>
      <c r="BX46"/>
      <c r="BY46"/>
      <c r="BZ46"/>
      <c r="CA46"/>
      <c r="CB46"/>
      <c r="CC46"/>
      <c r="CD46"/>
      <c r="CE46"/>
      <c r="CF46"/>
      <c r="CG46"/>
      <c r="CH46"/>
      <c r="CI46"/>
      <c r="CJ46"/>
      <c r="CK46"/>
      <c r="CL46"/>
      <c r="CM46"/>
    </row>
    <row r="47" spans="1:91" s="1" customFormat="1" x14ac:dyDescent="0.25">
      <c r="A47" s="32" t="s">
        <v>744</v>
      </c>
      <c r="B47" s="7">
        <v>4027</v>
      </c>
      <c r="C47" s="21" t="s">
        <v>202</v>
      </c>
      <c r="D47" s="21" t="s">
        <v>469</v>
      </c>
      <c r="E47" s="13">
        <v>42917.359965277778</v>
      </c>
      <c r="F47" s="13">
        <v>42917.362685185188</v>
      </c>
      <c r="G47" s="7">
        <v>1</v>
      </c>
      <c r="H47" s="21" t="s">
        <v>359</v>
      </c>
      <c r="I47" s="13">
        <v>42917.389872685184</v>
      </c>
      <c r="J47" s="7">
        <v>0</v>
      </c>
      <c r="K47" s="89" t="str">
        <f t="shared" si="0"/>
        <v>4027/4028</v>
      </c>
      <c r="L47" s="21" t="str">
        <f>VLOOKUP(A47,'Trips&amp;Operators'!$C$1:$G$99999,5,FALSE)</f>
        <v>DAVIS WENDY</v>
      </c>
      <c r="M47" s="6">
        <f t="shared" si="1"/>
        <v>2.7187499996216502E-2</v>
      </c>
      <c r="N47" s="7">
        <f t="shared" si="20"/>
        <v>39.149999994551763</v>
      </c>
      <c r="O47" s="7"/>
      <c r="P47" s="7"/>
      <c r="Q47" s="22"/>
      <c r="R47" s="170"/>
      <c r="S47" s="213">
        <f t="shared" si="21"/>
        <v>1</v>
      </c>
      <c r="T47" s="195" t="str">
        <f t="shared" si="2"/>
        <v>Southbound</v>
      </c>
      <c r="U47" s="195">
        <f>IF(AG47="EC",COUNTIFS(Variables!$M$2:$M$19,IF(T47="NorthBound","&gt;=","&lt;=")&amp;Y47,Variables!$M$2:$M$19,IF(T47="NorthBound","&lt;=","&gt;=")&amp;Z47),COUNTIFS(Variables!$P$2:$P$19,IF(T47="NorthBound","&gt;=","&lt;=")&amp;Y47,Variables!$P$2:$P$19,IF(T47="NorthBound","&lt;=","&gt;=")&amp;Z47))</f>
        <v>12</v>
      </c>
      <c r="V47" s="196" t="str">
        <f t="shared" si="3"/>
        <v>https://d0f6bd738d7f1b3e5a7ca70fe4ff75f0.us-east-1.aws.found.io/app/kibana#/discover/Steve-Slow-Train-Analysis-(2080s-and-2083s)?_g=(refreshInterval:(display:Off,pause:!f,section:0,value:0),time:(from:'2017-07-01T07:38:21-0600',mode:absolute,to:'2017-07-01T10:21:25-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47" s="197" t="str">
        <f>IF(AA47&lt;VLOOKUP(AG47,Variables!$AC$3:$AD$8,2,FALSE),"Y","N")</f>
        <v>N</v>
      </c>
      <c r="X47" s="197">
        <f t="shared" si="22"/>
        <v>1</v>
      </c>
      <c r="Y47" s="197">
        <f t="shared" si="5"/>
        <v>23.297799999999999</v>
      </c>
      <c r="Z47" s="197">
        <f t="shared" si="6"/>
        <v>1.47E-2</v>
      </c>
      <c r="AA47" s="197">
        <f t="shared" si="7"/>
        <v>23.283099999999997</v>
      </c>
      <c r="AB47" s="54" t="e">
        <f>VLOOKUP(A47,Enforcements!$C$7:$K$13,8,0)</f>
        <v>#N/A</v>
      </c>
      <c r="AC47" s="51" t="e">
        <f>VLOOKUP(A47,Enforcements!$C$7:$E$13,3,0)</f>
        <v>#N/A</v>
      </c>
      <c r="AD47" s="206">
        <f t="shared" si="8"/>
        <v>134</v>
      </c>
      <c r="AE47" s="77" t="str">
        <f t="shared" si="9"/>
        <v>aws s3 cp s3://rtdc.mdm.uploadarchive.raw/RTDC4027/ "%USERPROFILE%\AppData\Local\Temp\OnboardLogs"\RTDC4027\2017-07-01 --exclude "*" --recursive --include "*20170701*" &amp; "%USERPROFILE%\Documents\GitHub\mrs-test-scripts\Headless Mode &amp; Sideloading\WalkAndUnGZ.bat" "%USERPROFILE%\AppData\Local\Temp\OnboardLogs"\RTDC4027\2017-07-01 &amp; aws s3 cp s3://rtdc.mdm.uploadarchive.raw/RTDC4027/ "%USERPROFILE%\AppData\Local\Temp\OnboardLogs"\RTDC4027\2017-07-02 --exclude "*" --recursive --include "*20170702*" &amp; "%USERPROFILE%\Documents\GitHub\mrs-test-scripts\Headless Mode &amp; Sideloading\WalkAndUnGZ.bat" "%USERPROFILE%\AppData\Local\Temp\OnboardLogs"\RTDC4027\2017-07-02</v>
      </c>
      <c r="AF47" s="74" t="str">
        <f t="shared" si="10"/>
        <v>"C:\Program Files (x86)\AstroGrep\AstroGrep.exe" /e /r /s /spath="%USERPROFILE%\AppData\Local\Temp\OnboardLogs" /stypes="app*4027*20170701*" /stext=" 15:.+((SYSTEM_STATE.+slice.+state.+changed )|(ment ac)|(multiple cpu faults)|(system.+state.+changed )|(\[timeout)|(PRM\|1\|D)|(kpr)|(kdp)|(train st.+moving)|(\|lc)|(penalty))"</v>
      </c>
      <c r="AG47" s="209" t="str">
        <f t="shared" si="11"/>
        <v>EC</v>
      </c>
      <c r="AH47" s="78" t="str">
        <f t="shared" si="16"/>
        <v>"%USERPROFILE%\Documents\GitHub\eaglep3\Utilities\RefineRTDCRunTimes.py" --tripid 134-01 --locoid 4027 --swversion DE.1.0.9.0 --startMP 204:232978 --initTime 2017-07-01T08:38:21 --startdatetime 2017-07-01T08:42:16 --delay 1 --endMP 204:147 --enddatetime 2017-07-01T09:21:25 --enforcementcount 0 &gt;&gt;C:\Users\stu\Documents\GitHub\eaglep3-reporting\EC\2017-07-01-refined-times.txt</v>
      </c>
      <c r="AI47" s="96" t="str">
        <f t="shared" si="17"/>
        <v>echo {"issue":{"subject":"","project_id":79,"tracker_id":40,"status_id":1,"priority_id":2,"assigned_to_id":23,"start_date":"2017-07-01","description":"","custom_fields":[{"id":1,"name":"Subdivision","value":"EC"},{"id":4,"name":"Milepost","value":"0.0147"},{"id":17,"name":"Train ID","value":"134-01"},{"id":16,"name":"Locomotive ID","value":"4027"},{"id":130,"name":"Impact","value":""},{"id":150,"name":"Time of Event (Mountain Time)","value":"09:21:25"},{"id":151,"name":"Denver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7" s="20"/>
      <c r="AK47" s="47"/>
      <c r="AL47" s="47"/>
      <c r="AM47" s="142" t="str">
        <f t="shared" si="18"/>
        <v>start /low /b %USERPROFILE%\Documents\GitHub\eaglep3\Utilities\DownloadLogsFromS3.py --loco 4027 --day 2017-07-01</v>
      </c>
      <c r="AN47" s="151" t="str">
        <f t="shared" si="19"/>
        <v>echo {"issue":{"subject":"","project_id":30,"tracker_id":4,"status_id":1,"priority_id":1,"assigned_to_id":10,"start_date":"2017-07-01","description":"","custom_fields":[{"id":30,"name":"Category","value":"Issue"},{"id":3,"name":"Functional Component","value":"Onboard"},{"id":31,"name":"Version","value":"N/A"},{"id":8,"name":"Reporting RR","value":"WABTEC"},{"id":27,"name":"Locomotive ID","value":"4027"},{"id":20,"name":"RR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UTC","value":"2017-07-01 15:21:25"},{"id":29,"name":"Sharepoint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7"/>
      <c r="AP47"/>
      <c r="AQ47"/>
      <c r="AR47"/>
      <c r="AS47"/>
      <c r="AT47"/>
      <c r="AU47"/>
      <c r="AV47"/>
      <c r="AW47"/>
      <c r="AX47"/>
      <c r="AY47"/>
      <c r="AZ47"/>
      <c r="BA47"/>
      <c r="BB47"/>
      <c r="BC47"/>
      <c r="BD47"/>
      <c r="BE47"/>
      <c r="BF47"/>
      <c r="BG47"/>
      <c r="BH47"/>
      <c r="BI47"/>
      <c r="BJ47"/>
      <c r="BK47"/>
      <c r="BL47"/>
      <c r="BM47"/>
      <c r="BN47"/>
      <c r="BO47"/>
      <c r="BP47"/>
      <c r="BQ47"/>
      <c r="BR47"/>
      <c r="BS47"/>
      <c r="BT47"/>
      <c r="BU47"/>
      <c r="BV47"/>
      <c r="BW47"/>
      <c r="BX47"/>
      <c r="BY47"/>
      <c r="BZ47"/>
      <c r="CA47"/>
      <c r="CB47"/>
      <c r="CC47"/>
      <c r="CD47"/>
      <c r="CE47"/>
      <c r="CF47"/>
      <c r="CG47"/>
      <c r="CH47"/>
      <c r="CI47"/>
      <c r="CJ47"/>
      <c r="CK47"/>
      <c r="CL47"/>
      <c r="CM47"/>
    </row>
    <row r="48" spans="1:91" s="1" customFormat="1" x14ac:dyDescent="0.25">
      <c r="A48" s="32" t="s">
        <v>738</v>
      </c>
      <c r="B48" s="7">
        <v>4014</v>
      </c>
      <c r="C48" s="21" t="s">
        <v>202</v>
      </c>
      <c r="D48" s="21" t="s">
        <v>897</v>
      </c>
      <c r="E48" s="13">
        <v>42917.328692129631</v>
      </c>
      <c r="F48" s="13">
        <v>42917.333854166667</v>
      </c>
      <c r="G48" s="7">
        <v>1</v>
      </c>
      <c r="H48" s="21" t="s">
        <v>898</v>
      </c>
      <c r="I48" s="13">
        <v>42917.358530092592</v>
      </c>
      <c r="J48" s="7">
        <v>0</v>
      </c>
      <c r="K48" s="89" t="str">
        <f t="shared" si="0"/>
        <v>4013/4014</v>
      </c>
      <c r="L48" s="21" t="str">
        <f>VLOOKUP(A48,'Trips&amp;Operators'!$C$1:$G$99999,5,FALSE)</f>
        <v>GEBRETEKLE DAGNEW</v>
      </c>
      <c r="M48" s="6">
        <f t="shared" si="1"/>
        <v>2.4675925924384501E-2</v>
      </c>
      <c r="N48" s="7">
        <f t="shared" si="20"/>
        <v>35.533333331113681</v>
      </c>
      <c r="O48" s="7"/>
      <c r="P48" s="7"/>
      <c r="Q48" s="22"/>
      <c r="R48" s="170"/>
      <c r="S48" s="213">
        <f t="shared" si="21"/>
        <v>1</v>
      </c>
      <c r="T48" s="195" t="str">
        <f t="shared" si="2"/>
        <v>NorthBound</v>
      </c>
      <c r="U48" s="195">
        <f>IF(AG48="EC",COUNTIFS(Variables!$M$2:$M$19,IF(T48="NorthBound","&gt;=","&lt;=")&amp;Y48,Variables!$M$2:$M$19,IF(T48="NorthBound","&lt;=","&gt;=")&amp;Z48),COUNTIFS(Variables!$P$2:$P$19,IF(T48="NorthBound","&gt;=","&lt;=")&amp;Y48,Variables!$P$2:$P$19,IF(T48="NorthBound","&lt;=","&gt;=")&amp;Z48))</f>
        <v>12</v>
      </c>
      <c r="V48" s="196" t="str">
        <f t="shared" si="3"/>
        <v>https://d0f6bd738d7f1b3e5a7ca70fe4ff75f0.us-east-1.aws.found.io/app/kibana#/discover/Steve-Slow-Train-Analysis-(2080s-and-2083s)?_g=(refreshInterval:(display:Off,pause:!f,section:0,value:0),time:(from:'2017-07-01T06:53:19-0600',mode:absolute,to:'2017-07-01T09:36:17-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48" s="197" t="str">
        <f>IF(AA48&lt;VLOOKUP(AG48,Variables!$AC$3:$AD$8,2,FALSE),"Y","N")</f>
        <v>N</v>
      </c>
      <c r="X48" s="197">
        <f t="shared" si="22"/>
        <v>1</v>
      </c>
      <c r="Y48" s="197">
        <f t="shared" si="5"/>
        <v>4.3299999999999998E-2</v>
      </c>
      <c r="Z48" s="197">
        <f t="shared" si="6"/>
        <v>23.339300000000001</v>
      </c>
      <c r="AA48" s="197">
        <f t="shared" si="7"/>
        <v>23.296000000000003</v>
      </c>
      <c r="AB48" s="54" t="e">
        <f>VLOOKUP(A48,Enforcements!$C$7:$K$13,8,0)</f>
        <v>#N/A</v>
      </c>
      <c r="AC48" s="51" t="e">
        <f>VLOOKUP(A48,Enforcements!$C$7:$E$13,3,0)</f>
        <v>#N/A</v>
      </c>
      <c r="AD48" s="206">
        <f t="shared" si="8"/>
        <v>135</v>
      </c>
      <c r="AE48" s="77" t="str">
        <f t="shared" si="9"/>
        <v>aws s3 cp s3://rtdc.mdm.uploadarchive.raw/RTDC4014/ "%USERPROFILE%\AppData\Local\Temp\OnboardLogs"\RTDC4014\2017-07-01 --exclude "*" --recursive --include "*20170701*" &amp; "%USERPROFILE%\Documents\GitHub\mrs-test-scripts\Headless Mode &amp; Sideloading\WalkAndUnGZ.bat" "%USERPROFILE%\AppData\Local\Temp\OnboardLogs"\RTDC4014\2017-07-01 &amp; aws s3 cp s3://rtdc.mdm.uploadarchive.raw/RTDC4014/ "%USERPROFILE%\AppData\Local\Temp\OnboardLogs"\RTDC4014\2017-07-02 --exclude "*" --recursive --include "*20170702*" &amp; "%USERPROFILE%\Documents\GitHub\mrs-test-scripts\Headless Mode &amp; Sideloading\WalkAndUnGZ.bat" "%USERPROFILE%\AppData\Local\Temp\OnboardLogs"\RTDC4014\2017-07-02</v>
      </c>
      <c r="AF48" s="74" t="str">
        <f t="shared" si="10"/>
        <v>"C:\Program Files (x86)\AstroGrep\AstroGrep.exe" /e /r /s /spath="%USERPROFILE%\AppData\Local\Temp\OnboardLogs" /stypes="app*4014*20170701*" /stext=" 14:.+((SYSTEM_STATE.+slice.+state.+changed )|(ment ac)|(multiple cpu faults)|(system.+state.+changed )|(\[timeout)|(PRM\|1\|D)|(kpr)|(kdp)|(train st.+moving)|(\|lc)|(penalty))"</v>
      </c>
      <c r="AG48" s="209" t="str">
        <f t="shared" si="11"/>
        <v>EC</v>
      </c>
      <c r="AH48" s="78" t="str">
        <f t="shared" si="16"/>
        <v>"%USERPROFILE%\Documents\GitHub\eaglep3\Utilities\RefineRTDCRunTimes.py" --tripid 135-01 --locoid 4014 --swversion DE.1.0.9.0 --startMP 204:433 --initTime 2017-07-01T07:53:19 --startdatetime 2017-07-01T08:00:45 --delay 1 --endMP 204:233393 --enddatetime 2017-07-01T08:36:17 --enforcementcount 0 &gt;&gt;C:\Users\stu\Documents\GitHub\eaglep3-reporting\EC\2017-07-01-refined-times.txt</v>
      </c>
      <c r="AI48" s="96" t="str">
        <f t="shared" si="17"/>
        <v>echo {"issue":{"subject":"","project_id":79,"tracker_id":40,"status_id":1,"priority_id":2,"assigned_to_id":23,"start_date":"2017-07-01","description":"","custom_fields":[{"id":1,"name":"Subdivision","value":"EC"},{"id":4,"name":"Milepost","value":"23.3393"},{"id":17,"name":"Train ID","value":"135-01"},{"id":16,"name":"Locomotive ID","value":"4014"},{"id":130,"name":"Impact","value":""},{"id":150,"name":"Time of Event (Mountain Time)","value":"08:36:17"},{"id":151,"name":"Denver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8" s="20"/>
      <c r="AK48" s="47"/>
      <c r="AL48" s="47"/>
      <c r="AM48" s="142" t="str">
        <f t="shared" si="18"/>
        <v>start /low /b %USERPROFILE%\Documents\GitHub\eaglep3\Utilities\DownloadLogsFromS3.py --loco 4014 --day 2017-07-01</v>
      </c>
      <c r="AN48" s="151" t="str">
        <f t="shared" si="19"/>
        <v>echo {"issue":{"subject":"","project_id":30,"tracker_id":4,"status_id":1,"priority_id":1,"assigned_to_id":10,"start_date":"2017-07-01","description":"","custom_fields":[{"id":30,"name":"Category","value":"Issue"},{"id":3,"name":"Functional Component","value":"Onboard"},{"id":31,"name":"Version","value":"N/A"},{"id":8,"name":"Reporting RR","value":"WABTEC"},{"id":27,"name":"Locomotive ID","value":"4014"},{"id":20,"name":"RR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UTC","value":"2017-07-01 14:36:17"},{"id":29,"name":"Sharepoint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8"/>
      <c r="AP48"/>
      <c r="AQ48"/>
      <c r="AR48"/>
      <c r="AS48"/>
      <c r="AT48"/>
      <c r="AU48"/>
      <c r="AV48"/>
      <c r="AW48"/>
      <c r="AX48"/>
      <c r="AY48"/>
      <c r="AZ48"/>
      <c r="BA48"/>
      <c r="BB48"/>
      <c r="BC48"/>
      <c r="BD48"/>
      <c r="BE48"/>
      <c r="BF48"/>
      <c r="BG48"/>
      <c r="BH48"/>
      <c r="BI48"/>
      <c r="BJ48"/>
      <c r="BK48"/>
      <c r="BL48"/>
      <c r="BM48"/>
      <c r="BN48"/>
      <c r="BO48"/>
      <c r="BP48"/>
      <c r="BQ48"/>
      <c r="BR48"/>
      <c r="BS48"/>
      <c r="BT48"/>
      <c r="BU48"/>
      <c r="BV48"/>
      <c r="BW48"/>
      <c r="BX48"/>
      <c r="BY48"/>
      <c r="BZ48"/>
      <c r="CA48"/>
      <c r="CB48"/>
      <c r="CC48"/>
      <c r="CD48"/>
      <c r="CE48"/>
      <c r="CF48"/>
      <c r="CG48"/>
      <c r="CH48"/>
      <c r="CI48"/>
      <c r="CJ48"/>
      <c r="CK48"/>
      <c r="CL48"/>
      <c r="CM48"/>
    </row>
    <row r="49" spans="1:91" s="1" customFormat="1" x14ac:dyDescent="0.25">
      <c r="A49" s="32" t="s">
        <v>743</v>
      </c>
      <c r="B49" s="7">
        <v>4013</v>
      </c>
      <c r="C49" s="21" t="s">
        <v>202</v>
      </c>
      <c r="D49" s="21" t="s">
        <v>899</v>
      </c>
      <c r="E49" s="13">
        <v>42917.359942129631</v>
      </c>
      <c r="F49" s="13">
        <v>42917.373124999998</v>
      </c>
      <c r="G49" s="7">
        <v>1</v>
      </c>
      <c r="H49" s="21" t="s">
        <v>900</v>
      </c>
      <c r="I49" s="13">
        <v>42917.399004629631</v>
      </c>
      <c r="J49" s="7">
        <v>0</v>
      </c>
      <c r="K49" s="89" t="str">
        <f t="shared" si="0"/>
        <v>4013/4014</v>
      </c>
      <c r="L49" s="21" t="str">
        <f>VLOOKUP(A49,'Trips&amp;Operators'!$C$1:$G$99999,5,FALSE)</f>
        <v>GEBRETEKLE DAGNEW</v>
      </c>
      <c r="M49" s="6">
        <f t="shared" si="1"/>
        <v>2.587962963298196E-2</v>
      </c>
      <c r="N49" s="7">
        <f t="shared" si="20"/>
        <v>37.266666671494022</v>
      </c>
      <c r="O49" s="7"/>
      <c r="P49" s="7"/>
      <c r="Q49" s="22"/>
      <c r="R49" s="170"/>
      <c r="S49" s="213">
        <f t="shared" si="21"/>
        <v>1</v>
      </c>
      <c r="T49" s="195" t="str">
        <f t="shared" si="2"/>
        <v>Southbound</v>
      </c>
      <c r="U49" s="195">
        <f>IF(AG49="EC",COUNTIFS(Variables!$M$2:$M$19,IF(T49="NorthBound","&gt;=","&lt;=")&amp;Y49,Variables!$M$2:$M$19,IF(T49="NorthBound","&lt;=","&gt;=")&amp;Z49),COUNTIFS(Variables!$P$2:$P$19,IF(T49="NorthBound","&gt;=","&lt;=")&amp;Y49,Variables!$P$2:$P$19,IF(T49="NorthBound","&lt;=","&gt;=")&amp;Z49))</f>
        <v>12</v>
      </c>
      <c r="V49" s="196" t="str">
        <f t="shared" si="3"/>
        <v>https://d0f6bd738d7f1b3e5a7ca70fe4ff75f0.us-east-1.aws.found.io/app/kibana#/discover/Steve-Slow-Train-Analysis-(2080s-and-2083s)?_g=(refreshInterval:(display:Off,pause:!f,section:0,value:0),time:(from:'2017-07-01T07:38:19-0600',mode:absolute,to:'2017-07-01T10:34:34-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49" s="197" t="str">
        <f>IF(AA49&lt;VLOOKUP(AG49,Variables!$AC$3:$AD$8,2,FALSE),"Y","N")</f>
        <v>N</v>
      </c>
      <c r="X49" s="197">
        <f t="shared" si="22"/>
        <v>1</v>
      </c>
      <c r="Y49" s="197">
        <f t="shared" si="5"/>
        <v>23.3066</v>
      </c>
      <c r="Z49" s="197">
        <f t="shared" si="6"/>
        <v>1.72E-2</v>
      </c>
      <c r="AA49" s="197">
        <f t="shared" si="7"/>
        <v>23.289400000000001</v>
      </c>
      <c r="AB49" s="54" t="e">
        <f>VLOOKUP(A49,Enforcements!$C$7:$K$13,8,0)</f>
        <v>#N/A</v>
      </c>
      <c r="AC49" s="51" t="e">
        <f>VLOOKUP(A49,Enforcements!$C$7:$E$13,3,0)</f>
        <v>#N/A</v>
      </c>
      <c r="AD49" s="206">
        <f t="shared" si="8"/>
        <v>136</v>
      </c>
      <c r="AE49" s="77" t="str">
        <f t="shared" si="9"/>
        <v>aws s3 cp s3://rtdc.mdm.uploadarchive.raw/RTDC4013/ "%USERPROFILE%\AppData\Local\Temp\OnboardLogs"\RTDC4013\2017-07-01 --exclude "*" --recursive --include "*20170701*" &amp; "%USERPROFILE%\Documents\GitHub\mrs-test-scripts\Headless Mode &amp; Sideloading\WalkAndUnGZ.bat" "%USERPROFILE%\AppData\Local\Temp\OnboardLogs"\RTDC4013\2017-07-01 &amp; aws s3 cp s3://rtdc.mdm.uploadarchive.raw/RTDC4013/ "%USERPROFILE%\AppData\Local\Temp\OnboardLogs"\RTDC4013\2017-07-02 --exclude "*" --recursive --include "*20170702*" &amp; "%USERPROFILE%\Documents\GitHub\mrs-test-scripts\Headless Mode &amp; Sideloading\WalkAndUnGZ.bat" "%USERPROFILE%\AppData\Local\Temp\OnboardLogs"\RTDC4013\2017-07-02</v>
      </c>
      <c r="AF49" s="74" t="str">
        <f t="shared" si="10"/>
        <v>"C:\Program Files (x86)\AstroGrep\AstroGrep.exe" /e /r /s /spath="%USERPROFILE%\AppData\Local\Temp\OnboardLogs" /stypes="app*4013*20170701*" /stext=" 15:.+((SYSTEM_STATE.+slice.+state.+changed )|(ment ac)|(multiple cpu faults)|(system.+state.+changed )|(\[timeout)|(PRM\|1\|D)|(kpr)|(kdp)|(train st.+moving)|(\|lc)|(penalty))"</v>
      </c>
      <c r="AG49" s="209" t="str">
        <f t="shared" si="11"/>
        <v>EC</v>
      </c>
      <c r="AH49" s="78" t="str">
        <f t="shared" si="16"/>
        <v>"%USERPROFILE%\Documents\GitHub\eaglep3\Utilities\RefineRTDCRunTimes.py" --tripid 136-01 --locoid 4013 --swversion DE.1.0.9.0 --startMP 204:233066 --initTime 2017-07-01T08:38:19 --startdatetime 2017-07-01T08:57:18 --delay 1 --endMP 204:172 --enddatetime 2017-07-01T09:34:34 --enforcementcount 0 &gt;&gt;C:\Users\stu\Documents\GitHub\eaglep3-reporting\EC\2017-07-01-refined-times.txt</v>
      </c>
      <c r="AI49" s="96" t="str">
        <f t="shared" si="17"/>
        <v>echo {"issue":{"subject":"","project_id":79,"tracker_id":40,"status_id":1,"priority_id":2,"assigned_to_id":23,"start_date":"2017-07-01","description":"","custom_fields":[{"id":1,"name":"Subdivision","value":"EC"},{"id":4,"name":"Milepost","value":"0.0172"},{"id":17,"name":"Train ID","value":"136-01"},{"id":16,"name":"Locomotive ID","value":"4013"},{"id":130,"name":"Impact","value":""},{"id":150,"name":"Time of Event (Mountain Time)","value":"09:34:34"},{"id":151,"name":"Denver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9" s="20"/>
      <c r="AK49" s="47"/>
      <c r="AL49" s="47"/>
      <c r="AM49" s="142" t="str">
        <f t="shared" si="18"/>
        <v>start /low /b %USERPROFILE%\Documents\GitHub\eaglep3\Utilities\DownloadLogsFromS3.py --loco 4013 --day 2017-07-01</v>
      </c>
      <c r="AN49" s="151" t="str">
        <f t="shared" si="19"/>
        <v>echo {"issue":{"subject":"","project_id":30,"tracker_id":4,"status_id":1,"priority_id":1,"assigned_to_id":10,"start_date":"2017-07-01","description":"","custom_fields":[{"id":30,"name":"Category","value":"Issue"},{"id":3,"name":"Functional Component","value":"Onboard"},{"id":31,"name":"Version","value":"N/A"},{"id":8,"name":"Reporting RR","value":"WABTEC"},{"id":27,"name":"Locomotive ID","value":"4013"},{"id":20,"name":"RR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UTC","value":"2017-07-01 15:34:34"},{"id":29,"name":"Sharepoint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9"/>
      <c r="AP49"/>
      <c r="AQ49"/>
      <c r="AR49"/>
      <c r="AS49"/>
      <c r="AT49"/>
      <c r="AU49"/>
      <c r="AV49"/>
      <c r="AW49"/>
      <c r="AX49"/>
      <c r="AY49"/>
      <c r="AZ49"/>
      <c r="BA49"/>
      <c r="BB49"/>
      <c r="BC49"/>
      <c r="BD49"/>
      <c r="BE49"/>
      <c r="BF49"/>
      <c r="BG49"/>
      <c r="BH49"/>
      <c r="BI49"/>
      <c r="BJ49"/>
      <c r="BK49"/>
      <c r="BL49"/>
      <c r="BM49"/>
      <c r="BN49"/>
      <c r="BO49"/>
      <c r="BP49"/>
      <c r="BQ49"/>
      <c r="BR49"/>
      <c r="BS49"/>
      <c r="BT49"/>
      <c r="BU49"/>
      <c r="BV49"/>
      <c r="BW49"/>
      <c r="BX49"/>
      <c r="BY49"/>
      <c r="BZ49"/>
      <c r="CA49"/>
      <c r="CB49"/>
      <c r="CC49"/>
      <c r="CD49"/>
      <c r="CE49"/>
      <c r="CF49"/>
      <c r="CG49"/>
      <c r="CH49"/>
      <c r="CI49"/>
      <c r="CJ49"/>
      <c r="CK49"/>
      <c r="CL49"/>
      <c r="CM49"/>
    </row>
    <row r="50" spans="1:91" s="1" customFormat="1" x14ac:dyDescent="0.25">
      <c r="A50" s="32" t="s">
        <v>739</v>
      </c>
      <c r="B50" s="7">
        <v>4062</v>
      </c>
      <c r="C50" s="21" t="s">
        <v>202</v>
      </c>
      <c r="D50" s="21" t="s">
        <v>347</v>
      </c>
      <c r="E50" s="13">
        <v>42917.339282407411</v>
      </c>
      <c r="F50" s="13">
        <v>42917.344386574077</v>
      </c>
      <c r="G50" s="7">
        <v>1</v>
      </c>
      <c r="H50" s="21" t="s">
        <v>901</v>
      </c>
      <c r="I50" s="13">
        <v>42917.368819444448</v>
      </c>
      <c r="J50" s="7">
        <v>0</v>
      </c>
      <c r="K50" s="89" t="str">
        <f t="shared" si="0"/>
        <v>4061/4062</v>
      </c>
      <c r="L50" s="21" t="str">
        <f>VLOOKUP(A50,'Trips&amp;Operators'!$C$1:$G$99999,5,FALSE)</f>
        <v>LALONDE GREGORY</v>
      </c>
      <c r="M50" s="6">
        <f t="shared" si="1"/>
        <v>2.4432870370219462E-2</v>
      </c>
      <c r="N50" s="7">
        <f t="shared" si="20"/>
        <v>35.183333333116025</v>
      </c>
      <c r="O50" s="7"/>
      <c r="P50" s="7"/>
      <c r="Q50" s="22"/>
      <c r="R50" s="170"/>
      <c r="S50" s="213">
        <f t="shared" si="21"/>
        <v>1</v>
      </c>
      <c r="T50" s="195" t="str">
        <f t="shared" si="2"/>
        <v>NorthBound</v>
      </c>
      <c r="U50" s="195">
        <f>IF(AG50="EC",COUNTIFS(Variables!$M$2:$M$19,IF(T50="NorthBound","&gt;=","&lt;=")&amp;Y50,Variables!$M$2:$M$19,IF(T50="NorthBound","&lt;=","&gt;=")&amp;Z50),COUNTIFS(Variables!$P$2:$P$19,IF(T50="NorthBound","&gt;=","&lt;=")&amp;Y50,Variables!$P$2:$P$19,IF(T50="NorthBound","&lt;=","&gt;=")&amp;Z50))</f>
        <v>12</v>
      </c>
      <c r="V50" s="196" t="str">
        <f t="shared" si="3"/>
        <v>https://d0f6bd738d7f1b3e5a7ca70fe4ff75f0.us-east-1.aws.found.io/app/kibana#/discover/Steve-Slow-Train-Analysis-(2080s-and-2083s)?_g=(refreshInterval:(display:Off,pause:!f,section:0,value:0),time:(from:'2017-07-01T07:08:34-0600',mode:absolute,to:'2017-07-01T09:51:06-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4062%22')),sort:!(Time.ISO8601,asc))</v>
      </c>
      <c r="W50" s="197" t="str">
        <f>IF(AA50&lt;VLOOKUP(AG50,Variables!$AC$3:$AD$8,2,FALSE),"Y","N")</f>
        <v>N</v>
      </c>
      <c r="X50" s="197">
        <f t="shared" si="22"/>
        <v>1</v>
      </c>
      <c r="Y50" s="197">
        <f t="shared" si="5"/>
        <v>4.4600000000000001E-2</v>
      </c>
      <c r="Z50" s="197">
        <f t="shared" si="6"/>
        <v>23.333400000000001</v>
      </c>
      <c r="AA50" s="197">
        <f t="shared" si="7"/>
        <v>23.288800000000002</v>
      </c>
      <c r="AB50" s="54" t="e">
        <f>VLOOKUP(A50,Enforcements!$C$7:$K$13,8,0)</f>
        <v>#N/A</v>
      </c>
      <c r="AC50" s="51" t="e">
        <f>VLOOKUP(A50,Enforcements!$C$7:$E$13,3,0)</f>
        <v>#N/A</v>
      </c>
      <c r="AD50" s="206">
        <f t="shared" si="8"/>
        <v>137</v>
      </c>
      <c r="AE50" s="77" t="str">
        <f t="shared" si="9"/>
        <v>aws s3 cp s3://rtdc.mdm.uploadarchive.raw/RTDC4062/ "%USERPROFILE%\AppData\Local\Temp\OnboardLogs"\RTDC4062\2017-07-01 --exclude "*" --recursive --include "*20170701*" &amp; "%USERPROFILE%\Documents\GitHub\mrs-test-scripts\Headless Mode &amp; Sideloading\WalkAndUnGZ.bat" "%USERPROFILE%\AppData\Local\Temp\OnboardLogs"\RTDC4062\2017-07-01 &amp; aws s3 cp s3://rtdc.mdm.uploadarchive.raw/RTDC4062/ "%USERPROFILE%\AppData\Local\Temp\OnboardLogs"\RTDC4062\2017-07-02 --exclude "*" --recursive --include "*20170702*" &amp; "%USERPROFILE%\Documents\GitHub\mrs-test-scripts\Headless Mode &amp; Sideloading\WalkAndUnGZ.bat" "%USERPROFILE%\AppData\Local\Temp\OnboardLogs"\RTDC4062\2017-07-02</v>
      </c>
      <c r="AF50" s="74" t="str">
        <f t="shared" si="10"/>
        <v>"C:\Program Files (x86)\AstroGrep\AstroGrep.exe" /e /r /s /spath="%USERPROFILE%\AppData\Local\Temp\OnboardLogs" /stypes="app*4062*20170701*" /stext=" 14:.+((SYSTEM_STATE.+slice.+state.+changed )|(ment ac)|(multiple cpu faults)|(system.+state.+changed )|(\[timeout)|(PRM\|1\|D)|(kpr)|(kdp)|(train st.+moving)|(\|lc)|(penalty))"</v>
      </c>
      <c r="AG50" s="209" t="str">
        <f t="shared" si="11"/>
        <v>EC</v>
      </c>
      <c r="AH50" s="78" t="str">
        <f t="shared" si="16"/>
        <v>"%USERPROFILE%\Documents\GitHub\eaglep3\Utilities\RefineRTDCRunTimes.py" --tripid 137-01 --locoid 4062 --swversion DE.1.0.9.0 --startMP 204:446 --initTime 2017-07-01T08:08:34 --startdatetime 2017-07-01T08:15:55 --delay 1 --endMP 204:233334 --enddatetime 2017-07-01T08:51:06 --enforcementcount 0 &gt;&gt;C:\Users\stu\Documents\GitHub\eaglep3-reporting\EC\2017-07-01-refined-times.txt</v>
      </c>
      <c r="AI50" s="96" t="str">
        <f t="shared" si="17"/>
        <v>echo {"issue":{"subject":"","project_id":79,"tracker_id":40,"status_id":1,"priority_id":2,"assigned_to_id":23,"start_date":"2017-07-01","description":"","custom_fields":[{"id":1,"name":"Subdivision","value":"EC"},{"id":4,"name":"Milepost","value":"23.3334"},{"id":17,"name":"Train ID","value":"137-01"},{"id":16,"name":"Locomotive ID","value":"4062"},{"id":130,"name":"Impact","value":""},{"id":150,"name":"Time of Event (Mountain Time)","value":"08:51:06"},{"id":151,"name":"Denver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0" s="20"/>
      <c r="AK50" s="47"/>
      <c r="AL50" s="47"/>
      <c r="AM50" s="142" t="str">
        <f t="shared" si="18"/>
        <v>start /low /b %USERPROFILE%\Documents\GitHub\eaglep3\Utilities\DownloadLogsFromS3.py --loco 4062 --day 2017-07-01</v>
      </c>
      <c r="AN50" s="151" t="str">
        <f t="shared" si="19"/>
        <v>echo {"issue":{"subject":"","project_id":30,"tracker_id":4,"status_id":1,"priority_id":1,"assigned_to_id":10,"start_date":"2017-07-01","description":"","custom_fields":[{"id":30,"name":"Category","value":"Issue"},{"id":3,"name":"Functional Component","value":"Onboard"},{"id":31,"name":"Version","value":"N/A"},{"id":8,"name":"Reporting RR","value":"WABTEC"},{"id":27,"name":"Locomotive ID","value":"4062"},{"id":20,"name":"RR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UTC","value":"2017-07-01 14:51:06"},{"id":29,"name":"Sharepoint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0"/>
      <c r="AP50"/>
      <c r="AQ50"/>
      <c r="AR50"/>
      <c r="AS50"/>
      <c r="AT50"/>
      <c r="AU50"/>
      <c r="AV50"/>
      <c r="AW50"/>
      <c r="AX50"/>
      <c r="AY50"/>
      <c r="AZ50"/>
      <c r="BA50"/>
      <c r="BB50"/>
      <c r="BC50"/>
      <c r="BD50"/>
      <c r="BE50"/>
      <c r="BF50"/>
      <c r="BG50"/>
      <c r="BH50"/>
      <c r="BI50"/>
      <c r="BJ50"/>
      <c r="BK50"/>
      <c r="BL50"/>
      <c r="BM50"/>
      <c r="BN50"/>
      <c r="BO50"/>
      <c r="BP50"/>
      <c r="BQ50"/>
      <c r="BR50"/>
      <c r="BS50"/>
      <c r="BT50"/>
      <c r="BU50"/>
      <c r="BV50"/>
      <c r="BW50"/>
      <c r="BX50"/>
      <c r="BY50"/>
      <c r="BZ50"/>
      <c r="CA50"/>
      <c r="CB50"/>
      <c r="CC50"/>
      <c r="CD50"/>
      <c r="CE50"/>
      <c r="CF50"/>
      <c r="CG50"/>
      <c r="CH50"/>
      <c r="CI50"/>
      <c r="CJ50"/>
      <c r="CK50"/>
      <c r="CL50"/>
      <c r="CM50"/>
    </row>
    <row r="51" spans="1:91" s="1" customFormat="1" x14ac:dyDescent="0.25">
      <c r="A51" s="32" t="s">
        <v>748</v>
      </c>
      <c r="B51" s="7">
        <v>4061</v>
      </c>
      <c r="C51" s="21" t="s">
        <v>202</v>
      </c>
      <c r="D51" s="21" t="s">
        <v>902</v>
      </c>
      <c r="E51" s="13">
        <v>42917.373414351852</v>
      </c>
      <c r="F51" s="13">
        <v>42917.383599537039</v>
      </c>
      <c r="G51" s="7">
        <v>1</v>
      </c>
      <c r="H51" s="21" t="s">
        <v>394</v>
      </c>
      <c r="I51" s="13">
        <v>42917.409050925926</v>
      </c>
      <c r="J51" s="7">
        <v>0</v>
      </c>
      <c r="K51" s="89" t="str">
        <f t="shared" si="0"/>
        <v>4061/4062</v>
      </c>
      <c r="L51" s="21" t="str">
        <f>VLOOKUP(A51,'Trips&amp;Operators'!$C$1:$G$99999,5,FALSE)</f>
        <v>LALONDE GREGORY</v>
      </c>
      <c r="M51" s="6">
        <f t="shared" si="1"/>
        <v>2.545138888672227E-2</v>
      </c>
      <c r="N51" s="7">
        <f t="shared" si="20"/>
        <v>36.649999996880069</v>
      </c>
      <c r="O51" s="7"/>
      <c r="P51" s="7"/>
      <c r="Q51" s="22"/>
      <c r="R51" s="170"/>
      <c r="S51" s="213">
        <f t="shared" si="21"/>
        <v>1</v>
      </c>
      <c r="T51" s="195" t="str">
        <f t="shared" si="2"/>
        <v>Southbound</v>
      </c>
      <c r="U51" s="195">
        <f>IF(AG51="EC",COUNTIFS(Variables!$M$2:$M$19,IF(T51="NorthBound","&gt;=","&lt;=")&amp;Y51,Variables!$M$2:$M$19,IF(T51="NorthBound","&lt;=","&gt;=")&amp;Z51),COUNTIFS(Variables!$P$2:$P$19,IF(T51="NorthBound","&gt;=","&lt;=")&amp;Y51,Variables!$P$2:$P$19,IF(T51="NorthBound","&lt;=","&gt;=")&amp;Z51))</f>
        <v>12</v>
      </c>
      <c r="V51" s="196" t="str">
        <f t="shared" si="3"/>
        <v>https://d0f6bd738d7f1b3e5a7ca70fe4ff75f0.us-east-1.aws.found.io/app/kibana#/discover/Steve-Slow-Train-Analysis-(2080s-and-2083s)?_g=(refreshInterval:(display:Off,pause:!f,section:0,value:0),time:(from:'2017-07-01T07:57:43-0600',mode:absolute,to:'2017-07-01T10:49:02-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4061%22')),sort:!(Time.ISO8601,asc))</v>
      </c>
      <c r="W51" s="197" t="str">
        <f>IF(AA51&lt;VLOOKUP(AG51,Variables!$AC$3:$AD$8,2,FALSE),"Y","N")</f>
        <v>N</v>
      </c>
      <c r="X51" s="197">
        <f t="shared" si="22"/>
        <v>1</v>
      </c>
      <c r="Y51" s="197">
        <f t="shared" si="5"/>
        <v>23.303799999999999</v>
      </c>
      <c r="Z51" s="197">
        <f t="shared" si="6"/>
        <v>1.54E-2</v>
      </c>
      <c r="AA51" s="197">
        <f t="shared" si="7"/>
        <v>23.288399999999999</v>
      </c>
      <c r="AB51" s="54" t="e">
        <f>VLOOKUP(A51,Enforcements!$C$7:$K$13,8,0)</f>
        <v>#N/A</v>
      </c>
      <c r="AC51" s="51" t="e">
        <f>VLOOKUP(A51,Enforcements!$C$7:$E$13,3,0)</f>
        <v>#N/A</v>
      </c>
      <c r="AD51" s="206">
        <f t="shared" si="8"/>
        <v>138</v>
      </c>
      <c r="AE51" s="77" t="str">
        <f t="shared" si="9"/>
        <v>aws s3 cp s3://rtdc.mdm.uploadarchive.raw/RTDC4061/ "%USERPROFILE%\AppData\Local\Temp\OnboardLogs"\RTDC4061\2017-07-01 --exclude "*" --recursive --include "*20170701*" &amp; "%USERPROFILE%\Documents\GitHub\mrs-test-scripts\Headless Mode &amp; Sideloading\WalkAndUnGZ.bat" "%USERPROFILE%\AppData\Local\Temp\OnboardLogs"\RTDC4061\2017-07-01 &amp; aws s3 cp s3://rtdc.mdm.uploadarchive.raw/RTDC4061/ "%USERPROFILE%\AppData\Local\Temp\OnboardLogs"\RTDC4061\2017-07-02 --exclude "*" --recursive --include "*20170702*" &amp; "%USERPROFILE%\Documents\GitHub\mrs-test-scripts\Headless Mode &amp; Sideloading\WalkAndUnGZ.bat" "%USERPROFILE%\AppData\Local\Temp\OnboardLogs"\RTDC4061\2017-07-02</v>
      </c>
      <c r="AF51" s="74" t="str">
        <f t="shared" si="10"/>
        <v>"C:\Program Files (x86)\AstroGrep\AstroGrep.exe" /e /r /s /spath="%USERPROFILE%\AppData\Local\Temp\OnboardLogs" /stypes="app*4061*20170701*" /stext=" 15:.+((SYSTEM_STATE.+slice.+state.+changed )|(ment ac)|(multiple cpu faults)|(system.+state.+changed )|(\[timeout)|(PRM\|1\|D)|(kpr)|(kdp)|(train st.+moving)|(\|lc)|(penalty))"</v>
      </c>
      <c r="AG51" s="209" t="str">
        <f t="shared" si="11"/>
        <v>EC</v>
      </c>
      <c r="AH51" s="78" t="str">
        <f t="shared" si="16"/>
        <v>"%USERPROFILE%\Documents\GitHub\eaglep3\Utilities\RefineRTDCRunTimes.py" --tripid 138-01 --locoid 4061 --swversion DE.1.0.9.0 --startMP 204:233038 --initTime 2017-07-01T08:57:43 --startdatetime 2017-07-01T09:12:23 --delay 1 --endMP 204:154 --enddatetime 2017-07-01T09:49:02 --enforcementcount 0 &gt;&gt;C:\Users\stu\Documents\GitHub\eaglep3-reporting\EC\2017-07-01-refined-times.txt</v>
      </c>
      <c r="AI51" s="96" t="str">
        <f t="shared" si="17"/>
        <v>echo {"issue":{"subject":"","project_id":79,"tracker_id":40,"status_id":1,"priority_id":2,"assigned_to_id":23,"start_date":"2017-07-01","description":"","custom_fields":[{"id":1,"name":"Subdivision","value":"EC"},{"id":4,"name":"Milepost","value":"0.0154"},{"id":17,"name":"Train ID","value":"138-01"},{"id":16,"name":"Locomotive ID","value":"4061"},{"id":130,"name":"Impact","value":""},{"id":150,"name":"Time of Event (Mountain Time)","value":"09:49:02"},{"id":151,"name":"Denver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1" s="20"/>
      <c r="AK51" s="47"/>
      <c r="AL51" s="47"/>
      <c r="AM51" s="142" t="str">
        <f t="shared" si="18"/>
        <v>start /low /b %USERPROFILE%\Documents\GitHub\eaglep3\Utilities\DownloadLogsFromS3.py --loco 4061 --day 2017-07-01</v>
      </c>
      <c r="AN51" s="151" t="str">
        <f t="shared" si="19"/>
        <v>echo {"issue":{"subject":"","project_id":30,"tracker_id":4,"status_id":1,"priority_id":1,"assigned_to_id":10,"start_date":"2017-07-01","description":"","custom_fields":[{"id":30,"name":"Category","value":"Issue"},{"id":3,"name":"Functional Component","value":"Onboard"},{"id":31,"name":"Version","value":"N/A"},{"id":8,"name":"Reporting RR","value":"WABTEC"},{"id":27,"name":"Locomotive ID","value":"4061"},{"id":20,"name":"RR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UTC","value":"2017-07-01 15:49:02"},{"id":29,"name":"Sharepoint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1"/>
      <c r="AP51"/>
      <c r="AQ51"/>
      <c r="AR51"/>
      <c r="AS51"/>
      <c r="AT51"/>
      <c r="AU51"/>
      <c r="AV51"/>
      <c r="AW51"/>
      <c r="AX51"/>
      <c r="AY51"/>
      <c r="AZ51"/>
      <c r="BA51"/>
      <c r="BB51"/>
      <c r="BC51"/>
      <c r="BD51"/>
      <c r="BE51"/>
      <c r="BF51"/>
      <c r="BG51"/>
      <c r="BH51"/>
      <c r="BI51"/>
      <c r="BJ51"/>
      <c r="BK51"/>
      <c r="BL51"/>
      <c r="BM51"/>
      <c r="BN51"/>
      <c r="BO51"/>
      <c r="BP51"/>
      <c r="BQ51"/>
      <c r="BR51"/>
      <c r="BS51"/>
      <c r="BT51"/>
      <c r="BU51"/>
      <c r="BV51"/>
      <c r="BW51"/>
      <c r="BX51"/>
      <c r="BY51"/>
      <c r="BZ51"/>
      <c r="CA51"/>
      <c r="CB51"/>
      <c r="CC51"/>
      <c r="CD51"/>
      <c r="CE51"/>
      <c r="CF51"/>
      <c r="CG51"/>
      <c r="CH51"/>
      <c r="CI51"/>
      <c r="CJ51"/>
      <c r="CK51"/>
      <c r="CL51"/>
      <c r="CM51"/>
    </row>
    <row r="52" spans="1:91" s="1" customFormat="1" x14ac:dyDescent="0.25">
      <c r="A52" s="32" t="s">
        <v>741</v>
      </c>
      <c r="B52" s="7">
        <v>4008</v>
      </c>
      <c r="C52" s="21" t="s">
        <v>202</v>
      </c>
      <c r="D52" s="21" t="s">
        <v>347</v>
      </c>
      <c r="E52" s="13">
        <v>42917.349386574075</v>
      </c>
      <c r="F52" s="13">
        <v>42917.355162037034</v>
      </c>
      <c r="G52" s="7">
        <v>1</v>
      </c>
      <c r="H52" s="21" t="s">
        <v>510</v>
      </c>
      <c r="I52" s="13">
        <v>42917.379884259259</v>
      </c>
      <c r="J52" s="7">
        <v>0</v>
      </c>
      <c r="K52" s="89" t="str">
        <f t="shared" si="0"/>
        <v>4007/4008</v>
      </c>
      <c r="L52" s="21" t="str">
        <f>VLOOKUP(A52,'Trips&amp;Operators'!$C$1:$G$99999,5,FALSE)</f>
        <v>MAELZER KURT</v>
      </c>
      <c r="M52" s="6">
        <f t="shared" si="1"/>
        <v>2.4722222224227153E-2</v>
      </c>
      <c r="N52" s="7">
        <f t="shared" ref="N52:N68" si="23">24*60*SUM($M52:$M52)</f>
        <v>35.6000000028871</v>
      </c>
      <c r="O52" s="7"/>
      <c r="P52" s="7"/>
      <c r="Q52" s="22"/>
      <c r="R52" s="170"/>
      <c r="S52" s="213">
        <f t="shared" ref="S52:S68" si="24">SUM(U52:U52)/IF(AG52="EC",12,1)</f>
        <v>1</v>
      </c>
      <c r="T52" s="195" t="str">
        <f t="shared" si="2"/>
        <v>NorthBound</v>
      </c>
      <c r="U52" s="195">
        <f>IF(AG52="EC",COUNTIFS(Variables!$M$2:$M$19,IF(T52="NorthBound","&gt;=","&lt;=")&amp;Y52,Variables!$M$2:$M$19,IF(T52="NorthBound","&lt;=","&gt;=")&amp;Z52),COUNTIFS(Variables!$P$2:$P$19,IF(T52="NorthBound","&gt;=","&lt;=")&amp;Y52,Variables!$P$2:$P$19,IF(T52="NorthBound","&lt;=","&gt;=")&amp;Z52))</f>
        <v>12</v>
      </c>
      <c r="V52" s="196" t="str">
        <f t="shared" si="3"/>
        <v>https://d0f6bd738d7f1b3e5a7ca70fe4ff75f0.us-east-1.aws.found.io/app/kibana#/discover/Steve-Slow-Train-Analysis-(2080s-and-2083s)?_g=(refreshInterval:(display:Off,pause:!f,section:0,value:0),time:(from:'2017-07-01T07:23:07-0600',mode:absolute,to:'2017-07-01T10:07:02-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52" s="197" t="str">
        <f>IF(AA52&lt;VLOOKUP(AG52,Variables!$AC$3:$AD$8,2,FALSE),"Y","N")</f>
        <v>N</v>
      </c>
      <c r="X52" s="197">
        <f t="shared" si="22"/>
        <v>1</v>
      </c>
      <c r="Y52" s="197">
        <f t="shared" si="5"/>
        <v>4.4600000000000001E-2</v>
      </c>
      <c r="Z52" s="197">
        <f t="shared" si="6"/>
        <v>23.331</v>
      </c>
      <c r="AA52" s="197">
        <f t="shared" si="7"/>
        <v>23.2864</v>
      </c>
      <c r="AB52" s="54" t="e">
        <f>VLOOKUP(A52,Enforcements!$C$7:$K$13,8,0)</f>
        <v>#N/A</v>
      </c>
      <c r="AC52" s="51" t="e">
        <f>VLOOKUP(A52,Enforcements!$C$7:$E$13,3,0)</f>
        <v>#N/A</v>
      </c>
      <c r="AD52" s="206">
        <f t="shared" si="8"/>
        <v>139</v>
      </c>
      <c r="AE52" s="77" t="str">
        <f t="shared" si="9"/>
        <v>aws s3 cp s3://rtdc.mdm.uploadarchive.raw/RTDC4008/ "%USERPROFILE%\AppData\Local\Temp\OnboardLogs"\RTDC4008\2017-07-01 --exclude "*" --recursive --include "*20170701*" &amp; "%USERPROFILE%\Documents\GitHub\mrs-test-scripts\Headless Mode &amp; Sideloading\WalkAndUnGZ.bat" "%USERPROFILE%\AppData\Local\Temp\OnboardLogs"\RTDC4008\2017-07-01 &amp; aws s3 cp s3://rtdc.mdm.uploadarchive.raw/RTDC4008/ "%USERPROFILE%\AppData\Local\Temp\OnboardLogs"\RTDC4008\2017-07-02 --exclude "*" --recursive --include "*20170702*" &amp; "%USERPROFILE%\Documents\GitHub\mrs-test-scripts\Headless Mode &amp; Sideloading\WalkAndUnGZ.bat" "%USERPROFILE%\AppData\Local\Temp\OnboardLogs"\RTDC4008\2017-07-02</v>
      </c>
      <c r="AF52" s="74" t="str">
        <f t="shared" si="10"/>
        <v>"C:\Program Files (x86)\AstroGrep\AstroGrep.exe" /e /r /s /spath="%USERPROFILE%\AppData\Local\Temp\OnboardLogs" /stypes="app*4008*20170701*" /stext=" 15:.+((SYSTEM_STATE.+slice.+state.+changed )|(ment ac)|(multiple cpu faults)|(system.+state.+changed )|(\[timeout)|(PRM\|1\|D)|(kpr)|(kdp)|(train st.+moving)|(\|lc)|(penalty))"</v>
      </c>
      <c r="AG52" s="209" t="str">
        <f t="shared" si="11"/>
        <v>EC</v>
      </c>
      <c r="AH52" s="78" t="str">
        <f t="shared" si="16"/>
        <v>"%USERPROFILE%\Documents\GitHub\eaglep3\Utilities\RefineRTDCRunTimes.py" --tripid 139-01 --locoid 4008 --swversion DE.1.0.9.0 --startMP 204:446 --initTime 2017-07-01T08:23:07 --startdatetime 2017-07-01T08:31:26 --delay 1 --endMP 204:233310 --enddatetime 2017-07-01T09:07:02 --enforcementcount 0 &gt;&gt;C:\Users\stu\Documents\GitHub\eaglep3-reporting\EC\2017-07-01-refined-times.txt</v>
      </c>
      <c r="AI52" s="96" t="str">
        <f t="shared" si="17"/>
        <v>echo {"issue":{"subject":"","project_id":79,"tracker_id":40,"status_id":1,"priority_id":2,"assigned_to_id":23,"start_date":"2017-07-01","description":"","custom_fields":[{"id":1,"name":"Subdivision","value":"EC"},{"id":4,"name":"Milepost","value":"23.331"},{"id":17,"name":"Train ID","value":"139-01"},{"id":16,"name":"Locomotive ID","value":"4008"},{"id":130,"name":"Impact","value":""},{"id":150,"name":"Time of Event (Mountain Time)","value":"09:07:02"},{"id":151,"name":"Denver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2" s="20"/>
      <c r="AK52" s="47"/>
      <c r="AL52" s="47"/>
      <c r="AM52" s="142" t="str">
        <f t="shared" si="18"/>
        <v>start /low /b %USERPROFILE%\Documents\GitHub\eaglep3\Utilities\DownloadLogsFromS3.py --loco 4008 --day 2017-07-01</v>
      </c>
      <c r="AN52" s="151" t="str">
        <f t="shared" si="19"/>
        <v>echo {"issue":{"subject":"","project_id":30,"tracker_id":4,"status_id":1,"priority_id":1,"assigned_to_id":10,"start_date":"2017-07-01","description":"","custom_fields":[{"id":30,"name":"Category","value":"Issue"},{"id":3,"name":"Functional Component","value":"Onboard"},{"id":31,"name":"Version","value":"N/A"},{"id":8,"name":"Reporting RR","value":"WABTEC"},{"id":27,"name":"Locomotive ID","value":"4008"},{"id":20,"name":"RR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UTC","value":"2017-07-01 15:07:02"},{"id":29,"name":"Sharepoint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2"/>
      <c r="AP52"/>
      <c r="AQ52"/>
      <c r="AR52"/>
      <c r="AS52"/>
      <c r="AT52"/>
      <c r="AU52"/>
      <c r="AV52"/>
      <c r="AW52"/>
      <c r="AX52"/>
      <c r="AY52"/>
      <c r="AZ52"/>
      <c r="BA52"/>
      <c r="BB52"/>
      <c r="BC52"/>
      <c r="BD52"/>
      <c r="BE52"/>
      <c r="BF52"/>
      <c r="BG52"/>
      <c r="BH52"/>
      <c r="BI52"/>
      <c r="BJ52"/>
      <c r="BK52"/>
      <c r="BL52"/>
      <c r="BM52"/>
      <c r="BN52"/>
      <c r="BO52"/>
      <c r="BP52"/>
      <c r="BQ52"/>
      <c r="BR52"/>
      <c r="BS52"/>
      <c r="BT52"/>
      <c r="BU52"/>
      <c r="BV52"/>
      <c r="BW52"/>
      <c r="BX52"/>
      <c r="BY52"/>
      <c r="BZ52"/>
      <c r="CA52"/>
      <c r="CB52"/>
      <c r="CC52"/>
      <c r="CD52"/>
      <c r="CE52"/>
      <c r="CF52"/>
      <c r="CG52"/>
      <c r="CH52"/>
      <c r="CI52"/>
      <c r="CJ52"/>
      <c r="CK52"/>
      <c r="CL52"/>
      <c r="CM52"/>
    </row>
    <row r="53" spans="1:91" s="1" customFormat="1" x14ac:dyDescent="0.25">
      <c r="A53" s="32" t="s">
        <v>750</v>
      </c>
      <c r="B53" s="7">
        <v>4007</v>
      </c>
      <c r="C53" s="21" t="s">
        <v>202</v>
      </c>
      <c r="D53" s="21" t="s">
        <v>903</v>
      </c>
      <c r="E53" s="13">
        <v>42917.385682870372</v>
      </c>
      <c r="F53" s="13">
        <v>42917.394004629627</v>
      </c>
      <c r="G53" s="7">
        <v>1</v>
      </c>
      <c r="H53" s="21" t="s">
        <v>356</v>
      </c>
      <c r="I53" s="13">
        <v>42917.420358796298</v>
      </c>
      <c r="J53" s="7">
        <v>0</v>
      </c>
      <c r="K53" s="89" t="str">
        <f t="shared" si="0"/>
        <v>4007/4008</v>
      </c>
      <c r="L53" s="21" t="str">
        <f>VLOOKUP(A53,'Trips&amp;Operators'!$C$1:$G$99999,5,FALSE)</f>
        <v>MAELZER KURT</v>
      </c>
      <c r="M53" s="6">
        <f t="shared" si="1"/>
        <v>2.6354166671808343E-2</v>
      </c>
      <c r="N53" s="7">
        <f t="shared" si="23"/>
        <v>37.950000007404014</v>
      </c>
      <c r="O53" s="7"/>
      <c r="P53" s="7"/>
      <c r="Q53" s="22"/>
      <c r="R53" s="170"/>
      <c r="S53" s="213">
        <f t="shared" si="24"/>
        <v>1</v>
      </c>
      <c r="T53" s="195" t="str">
        <f t="shared" si="2"/>
        <v>Southbound</v>
      </c>
      <c r="U53" s="195">
        <f>IF(AG53="EC",COUNTIFS(Variables!$M$2:$M$19,IF(T53="NorthBound","&gt;=","&lt;=")&amp;Y53,Variables!$M$2:$M$19,IF(T53="NorthBound","&lt;=","&gt;=")&amp;Z53),COUNTIFS(Variables!$P$2:$P$19,IF(T53="NorthBound","&gt;=","&lt;=")&amp;Y53,Variables!$P$2:$P$19,IF(T53="NorthBound","&lt;=","&gt;=")&amp;Z53))</f>
        <v>12</v>
      </c>
      <c r="V53" s="196" t="str">
        <f t="shared" si="3"/>
        <v>https://d0f6bd738d7f1b3e5a7ca70fe4ff75f0.us-east-1.aws.found.io/app/kibana#/discover/Steve-Slow-Train-Analysis-(2080s-and-2083s)?_g=(refreshInterval:(display:Off,pause:!f,section:0,value:0),time:(from:'2017-07-01T08:15:23-0600',mode:absolute,to:'2017-07-01T11:05:19-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53" s="197" t="str">
        <f>IF(AA53&lt;VLOOKUP(AG53,Variables!$AC$3:$AD$8,2,FALSE),"Y","N")</f>
        <v>N</v>
      </c>
      <c r="X53" s="197">
        <f t="shared" si="22"/>
        <v>1</v>
      </c>
      <c r="Y53" s="197">
        <f t="shared" si="5"/>
        <v>23.299099999999999</v>
      </c>
      <c r="Z53" s="197">
        <f t="shared" si="6"/>
        <v>1.3899999999999999E-2</v>
      </c>
      <c r="AA53" s="197">
        <f t="shared" si="7"/>
        <v>23.2852</v>
      </c>
      <c r="AB53" s="54" t="e">
        <f>VLOOKUP(A53,Enforcements!$C$7:$K$13,8,0)</f>
        <v>#N/A</v>
      </c>
      <c r="AC53" s="51" t="e">
        <f>VLOOKUP(A53,Enforcements!$C$7:$E$13,3,0)</f>
        <v>#N/A</v>
      </c>
      <c r="AD53" s="206">
        <f t="shared" si="8"/>
        <v>140</v>
      </c>
      <c r="AE53" s="77" t="str">
        <f t="shared" si="9"/>
        <v>aws s3 cp s3://rtdc.mdm.uploadarchive.raw/RTDC4007/ "%USERPROFILE%\AppData\Local\Temp\OnboardLogs"\RTDC4007\2017-07-01 --exclude "*" --recursive --include "*20170701*" &amp; "%USERPROFILE%\Documents\GitHub\mrs-test-scripts\Headless Mode &amp; Sideloading\WalkAndUnGZ.bat" "%USERPROFILE%\AppData\Local\Temp\OnboardLogs"\RTDC4007\2017-07-01 &amp; aws s3 cp s3://rtdc.mdm.uploadarchive.raw/RTDC4007/ "%USERPROFILE%\AppData\Local\Temp\OnboardLogs"\RTDC4007\2017-07-02 --exclude "*" --recursive --include "*20170702*" &amp; "%USERPROFILE%\Documents\GitHub\mrs-test-scripts\Headless Mode &amp; Sideloading\WalkAndUnGZ.bat" "%USERPROFILE%\AppData\Local\Temp\OnboardLogs"\RTDC4007\2017-07-02</v>
      </c>
      <c r="AF53" s="74" t="str">
        <f t="shared" si="10"/>
        <v>"C:\Program Files (x86)\AstroGrep\AstroGrep.exe" /e /r /s /spath="%USERPROFILE%\AppData\Local\Temp\OnboardLogs" /stypes="app*4007*20170701*" /stext=" 16:.+((SYSTEM_STATE.+slice.+state.+changed )|(ment ac)|(multiple cpu faults)|(system.+state.+changed )|(\[timeout)|(PRM\|1\|D)|(kpr)|(kdp)|(train st.+moving)|(\|lc)|(penalty))"</v>
      </c>
      <c r="AG53" s="209" t="str">
        <f t="shared" si="11"/>
        <v>EC</v>
      </c>
      <c r="AH53" s="78" t="str">
        <f t="shared" si="16"/>
        <v>"%USERPROFILE%\Documents\GitHub\eaglep3\Utilities\RefineRTDCRunTimes.py" --tripid 140-01 --locoid 4007 --swversion DE.1.0.9.0 --startMP 204:232991 --initTime 2017-07-01T09:15:23 --startdatetime 2017-07-01T09:27:22 --delay 1 --endMP 204:139 --enddatetime 2017-07-01T10:05:19 --enforcementcount 0 &gt;&gt;C:\Users\stu\Documents\GitHub\eaglep3-reporting\EC\2017-07-01-refined-times.txt</v>
      </c>
      <c r="AI53" s="96" t="str">
        <f t="shared" si="17"/>
        <v>echo {"issue":{"subject":"","project_id":79,"tracker_id":40,"status_id":1,"priority_id":2,"assigned_to_id":23,"start_date":"2017-07-01","description":"","custom_fields":[{"id":1,"name":"Subdivision","value":"EC"},{"id":4,"name":"Milepost","value":"0.0139"},{"id":17,"name":"Train ID","value":"140-01"},{"id":16,"name":"Locomotive ID","value":"4007"},{"id":130,"name":"Impact","value":""},{"id":150,"name":"Time of Event (Mountain Time)","value":"10:05:19"},{"id":151,"name":"Denver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3" s="20"/>
      <c r="AK53" s="47"/>
      <c r="AL53" s="47"/>
      <c r="AM53" s="142" t="str">
        <f t="shared" si="18"/>
        <v>start /low /b %USERPROFILE%\Documents\GitHub\eaglep3\Utilities\DownloadLogsFromS3.py --loco 4007 --day 2017-07-01</v>
      </c>
      <c r="AN53" s="151" t="str">
        <f t="shared" si="19"/>
        <v>echo {"issue":{"subject":"","project_id":30,"tracker_id":4,"status_id":1,"priority_id":1,"assigned_to_id":10,"start_date":"2017-07-01","description":"","custom_fields":[{"id":30,"name":"Category","value":"Issue"},{"id":3,"name":"Functional Component","value":"Onboard"},{"id":31,"name":"Version","value":"N/A"},{"id":8,"name":"Reporting RR","value":"WABTEC"},{"id":27,"name":"Locomotive ID","value":"4007"},{"id":20,"name":"RR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UTC","value":"2017-07-01 16:05:19"},{"id":29,"name":"Sharepoint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3"/>
      <c r="AP53"/>
      <c r="AQ53"/>
      <c r="AR53"/>
      <c r="AS53"/>
      <c r="AT53"/>
      <c r="AU53"/>
      <c r="AV53"/>
      <c r="AW53"/>
      <c r="AX53"/>
      <c r="AY53"/>
      <c r="AZ53"/>
      <c r="BA53"/>
      <c r="BB53"/>
      <c r="BC53"/>
      <c r="BD53"/>
      <c r="BE53"/>
      <c r="BF53"/>
      <c r="BG53"/>
      <c r="BH53"/>
      <c r="BI53"/>
      <c r="BJ53"/>
      <c r="BK53"/>
      <c r="BL53"/>
      <c r="BM53"/>
      <c r="BN53"/>
      <c r="BO53"/>
      <c r="BP53"/>
      <c r="BQ53"/>
      <c r="BR53"/>
      <c r="BS53"/>
      <c r="BT53"/>
      <c r="BU53"/>
      <c r="BV53"/>
      <c r="BW53"/>
      <c r="BX53"/>
      <c r="BY53"/>
      <c r="BZ53"/>
      <c r="CA53"/>
      <c r="CB53"/>
      <c r="CC53"/>
      <c r="CD53"/>
      <c r="CE53"/>
      <c r="CF53"/>
      <c r="CG53"/>
      <c r="CH53"/>
      <c r="CI53"/>
      <c r="CJ53"/>
      <c r="CK53"/>
      <c r="CL53"/>
      <c r="CM53"/>
    </row>
    <row r="54" spans="1:91" s="1" customFormat="1" x14ac:dyDescent="0.25">
      <c r="A54" s="32" t="s">
        <v>745</v>
      </c>
      <c r="B54" s="7">
        <v>4056</v>
      </c>
      <c r="C54" s="21" t="s">
        <v>202</v>
      </c>
      <c r="D54" s="21" t="s">
        <v>199</v>
      </c>
      <c r="E54" s="13">
        <v>42917.360011574077</v>
      </c>
      <c r="F54" s="13">
        <v>42917.365127314813</v>
      </c>
      <c r="G54" s="7">
        <v>1</v>
      </c>
      <c r="H54" s="21" t="s">
        <v>904</v>
      </c>
      <c r="I54" s="13">
        <v>42917.390439814815</v>
      </c>
      <c r="J54" s="7">
        <v>0</v>
      </c>
      <c r="K54" s="89" t="str">
        <f t="shared" si="0"/>
        <v>4055/4056</v>
      </c>
      <c r="L54" s="21" t="str">
        <f>VLOOKUP(A54,'Trips&amp;Operators'!$C$1:$G$99999,5,FALSE)</f>
        <v>DAVIDSON DAVID</v>
      </c>
      <c r="M54" s="6">
        <f t="shared" si="1"/>
        <v>2.531250000174623E-2</v>
      </c>
      <c r="N54" s="7">
        <f t="shared" si="23"/>
        <v>36.450000002514571</v>
      </c>
      <c r="O54" s="7"/>
      <c r="P54" s="7"/>
      <c r="Q54" s="22"/>
      <c r="R54" s="170"/>
      <c r="S54" s="213">
        <f t="shared" si="24"/>
        <v>1</v>
      </c>
      <c r="T54" s="195" t="str">
        <f t="shared" si="2"/>
        <v>NorthBound</v>
      </c>
      <c r="U54" s="195">
        <f>IF(AG54="EC",COUNTIFS(Variables!$M$2:$M$19,IF(T54="NorthBound","&gt;=","&lt;=")&amp;Y54,Variables!$M$2:$M$19,IF(T54="NorthBound","&lt;=","&gt;=")&amp;Z54),COUNTIFS(Variables!$P$2:$P$19,IF(T54="NorthBound","&gt;=","&lt;=")&amp;Y54,Variables!$P$2:$P$19,IF(T54="NorthBound","&lt;=","&gt;=")&amp;Z54))</f>
        <v>12</v>
      </c>
      <c r="V54" s="196" t="str">
        <f t="shared" si="3"/>
        <v>https://d0f6bd738d7f1b3e5a7ca70fe4ff75f0.us-east-1.aws.found.io/app/kibana#/discover/Steve-Slow-Train-Analysis-(2080s-and-2083s)?_g=(refreshInterval:(display:Off,pause:!f,section:0,value:0),time:(from:'2017-07-01T07:38:25-0600',mode:absolute,to:'2017-07-01T10:22:14-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4056%22')),sort:!(Time.ISO8601,asc))</v>
      </c>
      <c r="W54" s="197" t="str">
        <f>IF(AA54&lt;VLOOKUP(AG54,Variables!$AC$3:$AD$8,2,FALSE),"Y","N")</f>
        <v>N</v>
      </c>
      <c r="X54" s="197">
        <f t="shared" si="22"/>
        <v>1</v>
      </c>
      <c r="Y54" s="197">
        <f t="shared" si="5"/>
        <v>4.5999999999999999E-2</v>
      </c>
      <c r="Z54" s="197">
        <f t="shared" si="6"/>
        <v>23.327000000000002</v>
      </c>
      <c r="AA54" s="197">
        <f t="shared" si="7"/>
        <v>23.281000000000002</v>
      </c>
      <c r="AB54" s="54" t="e">
        <f>VLOOKUP(A54,Enforcements!$C$7:$K$13,8,0)</f>
        <v>#N/A</v>
      </c>
      <c r="AC54" s="51" t="e">
        <f>VLOOKUP(A54,Enforcements!$C$7:$E$13,3,0)</f>
        <v>#N/A</v>
      </c>
      <c r="AD54" s="206">
        <f t="shared" si="8"/>
        <v>141</v>
      </c>
      <c r="AE54" s="77" t="str">
        <f t="shared" si="9"/>
        <v>aws s3 cp s3://rtdc.mdm.uploadarchive.raw/RTDC4056/ "%USERPROFILE%\AppData\Local\Temp\OnboardLogs"\RTDC4056\2017-07-01 --exclude "*" --recursive --include "*20170701*" &amp; "%USERPROFILE%\Documents\GitHub\mrs-test-scripts\Headless Mode &amp; Sideloading\WalkAndUnGZ.bat" "%USERPROFILE%\AppData\Local\Temp\OnboardLogs"\RTDC4056\2017-07-01 &amp; aws s3 cp s3://rtdc.mdm.uploadarchive.raw/RTDC4056/ "%USERPROFILE%\AppData\Local\Temp\OnboardLogs"\RTDC4056\2017-07-02 --exclude "*" --recursive --include "*20170702*" &amp; "%USERPROFILE%\Documents\GitHub\mrs-test-scripts\Headless Mode &amp; Sideloading\WalkAndUnGZ.bat" "%USERPROFILE%\AppData\Local\Temp\OnboardLogs"\RTDC4056\2017-07-02</v>
      </c>
      <c r="AF54" s="74" t="str">
        <f t="shared" si="10"/>
        <v>"C:\Program Files (x86)\AstroGrep\AstroGrep.exe" /e /r /s /spath="%USERPROFILE%\AppData\Local\Temp\OnboardLogs" /stypes="app*4056*20170701*" /stext=" 15:.+((SYSTEM_STATE.+slice.+state.+changed )|(ment ac)|(multiple cpu faults)|(system.+state.+changed )|(\[timeout)|(PRM\|1\|D)|(kpr)|(kdp)|(train st.+moving)|(\|lc)|(penalty))"</v>
      </c>
      <c r="AG54" s="209" t="str">
        <f t="shared" si="11"/>
        <v>EC</v>
      </c>
      <c r="AH54" s="78" t="str">
        <f t="shared" si="16"/>
        <v>"%USERPROFILE%\Documents\GitHub\eaglep3\Utilities\RefineRTDCRunTimes.py" --tripid 141-01 --locoid 4056 --swversion DE.1.0.9.0 --startMP 204:460 --initTime 2017-07-01T08:38:25 --startdatetime 2017-07-01T08:45:47 --delay 1 --endMP 204:233270 --enddatetime 2017-07-01T09:22:14 --enforcementcount 0 &gt;&gt;C:\Users\stu\Documents\GitHub\eaglep3-reporting\EC\2017-07-01-refined-times.txt</v>
      </c>
      <c r="AI54" s="96" t="str">
        <f t="shared" si="17"/>
        <v>echo {"issue":{"subject":"","project_id":79,"tracker_id":40,"status_id":1,"priority_id":2,"assigned_to_id":23,"start_date":"2017-07-01","description":"","custom_fields":[{"id":1,"name":"Subdivision","value":"EC"},{"id":4,"name":"Milepost","value":"23.327"},{"id":17,"name":"Train ID","value":"141-01"},{"id":16,"name":"Locomotive ID","value":"4056"},{"id":130,"name":"Impact","value":""},{"id":150,"name":"Time of Event (Mountain Time)","value":"09:22:14"},{"id":151,"name":"Denver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4" s="20"/>
      <c r="AK54" s="47"/>
      <c r="AL54" s="47"/>
      <c r="AM54" s="142" t="str">
        <f t="shared" si="18"/>
        <v>start /low /b %USERPROFILE%\Documents\GitHub\eaglep3\Utilities\DownloadLogsFromS3.py --loco 4056 --day 2017-07-01</v>
      </c>
      <c r="AN54" s="151" t="str">
        <f t="shared" si="19"/>
        <v>echo {"issue":{"subject":"","project_id":30,"tracker_id":4,"status_id":1,"priority_id":1,"assigned_to_id":10,"start_date":"2017-07-01","description":"","custom_fields":[{"id":30,"name":"Category","value":"Issue"},{"id":3,"name":"Functional Component","value":"Onboard"},{"id":31,"name":"Version","value":"N/A"},{"id":8,"name":"Reporting RR","value":"WABTEC"},{"id":27,"name":"Locomotive ID","value":"4056"},{"id":20,"name":"RR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UTC","value":"2017-07-01 15:22:14"},{"id":29,"name":"Sharepoint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4"/>
      <c r="AP54"/>
      <c r="AQ54"/>
      <c r="AR54"/>
      <c r="AS54"/>
      <c r="AT54"/>
      <c r="AU54"/>
      <c r="AV54"/>
      <c r="AW54"/>
      <c r="AX54"/>
      <c r="AY54"/>
      <c r="AZ54"/>
      <c r="BA54"/>
      <c r="BB54"/>
      <c r="BC54"/>
      <c r="BD54"/>
      <c r="BE54"/>
      <c r="BF54"/>
      <c r="BG54"/>
      <c r="BH54"/>
      <c r="BI54"/>
      <c r="BJ54"/>
      <c r="BK54"/>
      <c r="BL54"/>
      <c r="BM54"/>
      <c r="BN54"/>
      <c r="BO54"/>
      <c r="BP54"/>
      <c r="BQ54"/>
      <c r="BR54"/>
      <c r="BS54"/>
      <c r="BT54"/>
      <c r="BU54"/>
      <c r="BV54"/>
      <c r="BW54"/>
      <c r="BX54"/>
      <c r="BY54"/>
      <c r="BZ54"/>
      <c r="CA54"/>
      <c r="CB54"/>
      <c r="CC54"/>
      <c r="CD54"/>
      <c r="CE54"/>
      <c r="CF54"/>
      <c r="CG54"/>
      <c r="CH54"/>
      <c r="CI54"/>
      <c r="CJ54"/>
      <c r="CK54"/>
      <c r="CL54"/>
      <c r="CM54"/>
    </row>
    <row r="55" spans="1:91" s="1" customFormat="1" x14ac:dyDescent="0.25">
      <c r="A55" s="32" t="s">
        <v>752</v>
      </c>
      <c r="B55" s="7">
        <v>4055</v>
      </c>
      <c r="C55" s="21" t="s">
        <v>202</v>
      </c>
      <c r="D55" s="21" t="s">
        <v>478</v>
      </c>
      <c r="E55" s="13">
        <v>42917.392337962963</v>
      </c>
      <c r="F55" s="13">
        <v>42917.404351851852</v>
      </c>
      <c r="G55" s="7">
        <v>1</v>
      </c>
      <c r="H55" s="21" t="s">
        <v>614</v>
      </c>
      <c r="I55" s="13">
        <v>42917.431354166663</v>
      </c>
      <c r="J55" s="7">
        <v>0</v>
      </c>
      <c r="K55" s="89" t="str">
        <f t="shared" si="0"/>
        <v>4055/4056</v>
      </c>
      <c r="L55" s="21" t="str">
        <f>VLOOKUP(A55,'Trips&amp;Operators'!$C$1:$G$99999,5,FALSE)</f>
        <v>DAVIDSON DAVID</v>
      </c>
      <c r="M55" s="6">
        <f t="shared" si="1"/>
        <v>2.700231481139781E-2</v>
      </c>
      <c r="N55" s="7">
        <f t="shared" si="23"/>
        <v>38.883333328412846</v>
      </c>
      <c r="O55" s="7"/>
      <c r="P55" s="7"/>
      <c r="Q55" s="22"/>
      <c r="R55" s="170"/>
      <c r="S55" s="213">
        <f t="shared" si="24"/>
        <v>1</v>
      </c>
      <c r="T55" s="195" t="str">
        <f t="shared" si="2"/>
        <v>Southbound</v>
      </c>
      <c r="U55" s="195">
        <f>IF(AG55="EC",COUNTIFS(Variables!$M$2:$M$19,IF(T55="NorthBound","&gt;=","&lt;=")&amp;Y55,Variables!$M$2:$M$19,IF(T55="NorthBound","&lt;=","&gt;=")&amp;Z55),COUNTIFS(Variables!$P$2:$P$19,IF(T55="NorthBound","&gt;=","&lt;=")&amp;Y55,Variables!$P$2:$P$19,IF(T55="NorthBound","&lt;=","&gt;=")&amp;Z55))</f>
        <v>12</v>
      </c>
      <c r="V55" s="196" t="str">
        <f t="shared" si="3"/>
        <v>https://d0f6bd738d7f1b3e5a7ca70fe4ff75f0.us-east-1.aws.found.io/app/kibana#/discover/Steve-Slow-Train-Analysis-(2080s-and-2083s)?_g=(refreshInterval:(display:Off,pause:!f,section:0,value:0),time:(from:'2017-07-01T08:24:58-0600',mode:absolute,to:'2017-07-01T11:21:09-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4055%22')),sort:!(Time.ISO8601,asc))</v>
      </c>
      <c r="W55" s="197" t="str">
        <f>IF(AA55&lt;VLOOKUP(AG55,Variables!$AC$3:$AD$8,2,FALSE),"Y","N")</f>
        <v>N</v>
      </c>
      <c r="X55" s="197">
        <f t="shared" si="22"/>
        <v>1</v>
      </c>
      <c r="Y55" s="197">
        <f t="shared" si="5"/>
        <v>23.298400000000001</v>
      </c>
      <c r="Z55" s="197">
        <f t="shared" si="6"/>
        <v>1.6E-2</v>
      </c>
      <c r="AA55" s="197">
        <f t="shared" si="7"/>
        <v>23.282400000000003</v>
      </c>
      <c r="AB55" s="54" t="e">
        <f>VLOOKUP(A55,Enforcements!$C$7:$K$13,8,0)</f>
        <v>#N/A</v>
      </c>
      <c r="AC55" s="51" t="e">
        <f>VLOOKUP(A55,Enforcements!$C$7:$E$13,3,0)</f>
        <v>#N/A</v>
      </c>
      <c r="AD55" s="206">
        <f t="shared" si="8"/>
        <v>142</v>
      </c>
      <c r="AE55" s="77" t="str">
        <f t="shared" si="9"/>
        <v>aws s3 cp s3://rtdc.mdm.uploadarchive.raw/RTDC4055/ "%USERPROFILE%\AppData\Local\Temp\OnboardLogs"\RTDC4055\2017-07-01 --exclude "*" --recursive --include "*20170701*" &amp; "%USERPROFILE%\Documents\GitHub\mrs-test-scripts\Headless Mode &amp; Sideloading\WalkAndUnGZ.bat" "%USERPROFILE%\AppData\Local\Temp\OnboardLogs"\RTDC4055\2017-07-01 &amp; aws s3 cp s3://rtdc.mdm.uploadarchive.raw/RTDC4055/ "%USERPROFILE%\AppData\Local\Temp\OnboardLogs"\RTDC4055\2017-07-02 --exclude "*" --recursive --include "*20170702*" &amp; "%USERPROFILE%\Documents\GitHub\mrs-test-scripts\Headless Mode &amp; Sideloading\WalkAndUnGZ.bat" "%USERPROFILE%\AppData\Local\Temp\OnboardLogs"\RTDC4055\2017-07-02</v>
      </c>
      <c r="AF55" s="74" t="str">
        <f t="shared" si="10"/>
        <v>"C:\Program Files (x86)\AstroGrep\AstroGrep.exe" /e /r /s /spath="%USERPROFILE%\AppData\Local\Temp\OnboardLogs" /stypes="app*4055*20170701*" /stext=" 16:.+((SYSTEM_STATE.+slice.+state.+changed )|(ment ac)|(multiple cpu faults)|(system.+state.+changed )|(\[timeout)|(PRM\|1\|D)|(kpr)|(kdp)|(train st.+moving)|(\|lc)|(penalty))"</v>
      </c>
      <c r="AG55" s="209" t="str">
        <f t="shared" si="11"/>
        <v>EC</v>
      </c>
      <c r="AH55" s="78" t="str">
        <f t="shared" si="16"/>
        <v>"%USERPROFILE%\Documents\GitHub\eaglep3\Utilities\RefineRTDCRunTimes.py" --tripid 142-01 --locoid 4055 --swversion DE.1.0.9.0 --startMP 204:232984 --initTime 2017-07-01T09:24:58 --startdatetime 2017-07-01T09:42:16 --delay 1 --endMP 204:160 --enddatetime 2017-07-01T10:21:09 --enforcementcount 0 &gt;&gt;C:\Users\stu\Documents\GitHub\eaglep3-reporting\EC\2017-07-01-refined-times.txt</v>
      </c>
      <c r="AI55" s="96" t="str">
        <f t="shared" si="17"/>
        <v>echo {"issue":{"subject":"","project_id":79,"tracker_id":40,"status_id":1,"priority_id":2,"assigned_to_id":23,"start_date":"2017-07-01","description":"","custom_fields":[{"id":1,"name":"Subdivision","value":"EC"},{"id":4,"name":"Milepost","value":"0.016"},{"id":17,"name":"Train ID","value":"142-01"},{"id":16,"name":"Locomotive ID","value":"4055"},{"id":130,"name":"Impact","value":""},{"id":150,"name":"Time of Event (Mountain Time)","value":"10:21:09"},{"id":151,"name":"Denver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5" s="20"/>
      <c r="AK55" s="47"/>
      <c r="AL55" s="47"/>
      <c r="AM55" s="142" t="str">
        <f t="shared" si="18"/>
        <v>start /low /b %USERPROFILE%\Documents\GitHub\eaglep3\Utilities\DownloadLogsFromS3.py --loco 4055 --day 2017-07-01</v>
      </c>
      <c r="AN55" s="151" t="str">
        <f t="shared" si="19"/>
        <v>echo {"issue":{"subject":"","project_id":30,"tracker_id":4,"status_id":1,"priority_id":1,"assigned_to_id":10,"start_date":"2017-07-01","description":"","custom_fields":[{"id":30,"name":"Category","value":"Issue"},{"id":3,"name":"Functional Component","value":"Onboard"},{"id":31,"name":"Version","value":"N/A"},{"id":8,"name":"Reporting RR","value":"WABTEC"},{"id":27,"name":"Locomotive ID","value":"4055"},{"id":20,"name":"RR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UTC","value":"2017-07-01 16:21:09"},{"id":29,"name":"Sharepoint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5"/>
      <c r="AP55"/>
      <c r="AQ55"/>
      <c r="AR55"/>
      <c r="AS55"/>
      <c r="AT55"/>
      <c r="AU55"/>
      <c r="AV55"/>
      <c r="AW55"/>
      <c r="AX55"/>
      <c r="AY55"/>
      <c r="AZ55"/>
      <c r="BA55"/>
      <c r="BB55"/>
      <c r="BC55"/>
      <c r="BD55"/>
      <c r="BE55"/>
      <c r="BF55"/>
      <c r="BG55"/>
      <c r="BH55"/>
      <c r="BI55"/>
      <c r="BJ55"/>
      <c r="BK55"/>
      <c r="BL55"/>
      <c r="BM55"/>
      <c r="BN55"/>
      <c r="BO55"/>
      <c r="BP55"/>
      <c r="BQ55"/>
      <c r="BR55"/>
      <c r="BS55"/>
      <c r="BT55"/>
      <c r="BU55"/>
      <c r="BV55"/>
      <c r="BW55"/>
      <c r="BX55"/>
      <c r="BY55"/>
      <c r="BZ55"/>
      <c r="CA55"/>
      <c r="CB55"/>
      <c r="CC55"/>
      <c r="CD55"/>
      <c r="CE55"/>
      <c r="CF55"/>
      <c r="CG55"/>
      <c r="CH55"/>
      <c r="CI55"/>
      <c r="CJ55"/>
      <c r="CK55"/>
      <c r="CL55"/>
      <c r="CM55"/>
    </row>
    <row r="56" spans="1:91" s="1" customFormat="1" x14ac:dyDescent="0.25">
      <c r="A56" s="32" t="s">
        <v>746</v>
      </c>
      <c r="B56" s="7">
        <v>4018</v>
      </c>
      <c r="C56" s="21" t="s">
        <v>202</v>
      </c>
      <c r="D56" s="21" t="s">
        <v>454</v>
      </c>
      <c r="E56" s="13">
        <v>42917.372511574074</v>
      </c>
      <c r="F56" s="13">
        <v>42917.375694444447</v>
      </c>
      <c r="G56" s="7">
        <v>1</v>
      </c>
      <c r="H56" s="21" t="s">
        <v>905</v>
      </c>
      <c r="I56" s="13">
        <v>42917.400208333333</v>
      </c>
      <c r="J56" s="7">
        <v>0</v>
      </c>
      <c r="K56" s="89" t="str">
        <f t="shared" si="0"/>
        <v>4017/4018</v>
      </c>
      <c r="L56" s="21" t="str">
        <f>VLOOKUP(A56,'Trips&amp;Operators'!$C$1:$G$99999,5,FALSE)</f>
        <v>BEAM ROSS</v>
      </c>
      <c r="M56" s="6">
        <f t="shared" si="1"/>
        <v>2.4513888885849155E-2</v>
      </c>
      <c r="N56" s="7">
        <f t="shared" si="23"/>
        <v>35.299999995622784</v>
      </c>
      <c r="O56" s="7"/>
      <c r="P56" s="7"/>
      <c r="Q56" s="22"/>
      <c r="R56" s="170"/>
      <c r="S56" s="213">
        <f t="shared" si="24"/>
        <v>1</v>
      </c>
      <c r="T56" s="195" t="str">
        <f t="shared" si="2"/>
        <v>NorthBound</v>
      </c>
      <c r="U56" s="195">
        <f>IF(AG56="EC",COUNTIFS(Variables!$M$2:$M$19,IF(T56="NorthBound","&gt;=","&lt;=")&amp;Y56,Variables!$M$2:$M$19,IF(T56="NorthBound","&lt;=","&gt;=")&amp;Z56),COUNTIFS(Variables!$P$2:$P$19,IF(T56="NorthBound","&gt;=","&lt;=")&amp;Y56,Variables!$P$2:$P$19,IF(T56="NorthBound","&lt;=","&gt;=")&amp;Z56))</f>
        <v>12</v>
      </c>
      <c r="V56" s="196" t="str">
        <f t="shared" si="3"/>
        <v>https://d0f6bd738d7f1b3e5a7ca70fe4ff75f0.us-east-1.aws.found.io/app/kibana#/discover/Steve-Slow-Train-Analysis-(2080s-and-2083s)?_g=(refreshInterval:(display:Off,pause:!f,section:0,value:0),time:(from:'2017-07-01T07:56:25-0600',mode:absolute,to:'2017-07-01T10:36:18-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56" s="197" t="str">
        <f>IF(AA56&lt;VLOOKUP(AG56,Variables!$AC$3:$AD$8,2,FALSE),"Y","N")</f>
        <v>N</v>
      </c>
      <c r="X56" s="197">
        <f t="shared" si="22"/>
        <v>1</v>
      </c>
      <c r="Y56" s="197">
        <f t="shared" si="5"/>
        <v>4.5499999999999999E-2</v>
      </c>
      <c r="Z56" s="197">
        <f t="shared" si="6"/>
        <v>23.334</v>
      </c>
      <c r="AA56" s="197">
        <f t="shared" si="7"/>
        <v>23.288499999999999</v>
      </c>
      <c r="AB56" s="54" t="e">
        <f>VLOOKUP(A56,Enforcements!$C$7:$K$13,8,0)</f>
        <v>#N/A</v>
      </c>
      <c r="AC56" s="51" t="e">
        <f>VLOOKUP(A56,Enforcements!$C$7:$E$13,3,0)</f>
        <v>#N/A</v>
      </c>
      <c r="AD56" s="206">
        <f t="shared" si="8"/>
        <v>143</v>
      </c>
      <c r="AE56" s="77" t="str">
        <f t="shared" si="9"/>
        <v>aws s3 cp s3://rtdc.mdm.uploadarchive.raw/RTDC4018/ "%USERPROFILE%\AppData\Local\Temp\OnboardLogs"\RTDC4018\2017-07-01 --exclude "*" --recursive --include "*20170701*" &amp; "%USERPROFILE%\Documents\GitHub\mrs-test-scripts\Headless Mode &amp; Sideloading\WalkAndUnGZ.bat" "%USERPROFILE%\AppData\Local\Temp\OnboardLogs"\RTDC4018\2017-07-01 &amp; aws s3 cp s3://rtdc.mdm.uploadarchive.raw/RTDC4018/ "%USERPROFILE%\AppData\Local\Temp\OnboardLogs"\RTDC4018\2017-07-02 --exclude "*" --recursive --include "*20170702*" &amp; "%USERPROFILE%\Documents\GitHub\mrs-test-scripts\Headless Mode &amp; Sideloading\WalkAndUnGZ.bat" "%USERPROFILE%\AppData\Local\Temp\OnboardLogs"\RTDC4018\2017-07-02</v>
      </c>
      <c r="AF56" s="74" t="str">
        <f t="shared" si="10"/>
        <v>"C:\Program Files (x86)\AstroGrep\AstroGrep.exe" /e /r /s /spath="%USERPROFILE%\AppData\Local\Temp\OnboardLogs" /stypes="app*4018*20170701*" /stext=" 15:.+((SYSTEM_STATE.+slice.+state.+changed )|(ment ac)|(multiple cpu faults)|(system.+state.+changed )|(\[timeout)|(PRM\|1\|D)|(kpr)|(kdp)|(train st.+moving)|(\|lc)|(penalty))"</v>
      </c>
      <c r="AG56" s="209" t="str">
        <f t="shared" si="11"/>
        <v>EC</v>
      </c>
      <c r="AH56" s="78" t="str">
        <f t="shared" si="16"/>
        <v>"%USERPROFILE%\Documents\GitHub\eaglep3\Utilities\RefineRTDCRunTimes.py" --tripid 143-01 --locoid 4018 --swversion DE.1.0.9.0 --startMP 204:455 --initTime 2017-07-01T08:56:25 --startdatetime 2017-07-01T09:01:00 --delay 1 --endMP 204:233340 --enddatetime 2017-07-01T09:36:18 --enforcementcount 0 &gt;&gt;C:\Users\stu\Documents\GitHub\eaglep3-reporting\EC\2017-07-01-refined-times.txt</v>
      </c>
      <c r="AI56" s="96" t="str">
        <f t="shared" si="17"/>
        <v>echo {"issue":{"subject":"","project_id":79,"tracker_id":40,"status_id":1,"priority_id":2,"assigned_to_id":23,"start_date":"2017-07-01","description":"","custom_fields":[{"id":1,"name":"Subdivision","value":"EC"},{"id":4,"name":"Milepost","value":"23.334"},{"id":17,"name":"Train ID","value":"143-01"},{"id":16,"name":"Locomotive ID","value":"4018"},{"id":130,"name":"Impact","value":""},{"id":150,"name":"Time of Event (Mountain Time)","value":"09:36:18"},{"id":151,"name":"Denver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6" s="20"/>
      <c r="AK56" s="47"/>
      <c r="AL56" s="47"/>
      <c r="AM56" s="142" t="str">
        <f t="shared" si="18"/>
        <v>start /low /b %USERPROFILE%\Documents\GitHub\eaglep3\Utilities\DownloadLogsFromS3.py --loco 4018 --day 2017-07-01</v>
      </c>
      <c r="AN56" s="151" t="str">
        <f t="shared" si="19"/>
        <v>echo {"issue":{"subject":"","project_id":30,"tracker_id":4,"status_id":1,"priority_id":1,"assigned_to_id":10,"start_date":"2017-07-01","description":"","custom_fields":[{"id":30,"name":"Category","value":"Issue"},{"id":3,"name":"Functional Component","value":"Onboard"},{"id":31,"name":"Version","value":"N/A"},{"id":8,"name":"Reporting RR","value":"WABTEC"},{"id":27,"name":"Locomotive ID","value":"4018"},{"id":20,"name":"RR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UTC","value":"2017-07-01 15:36:18"},{"id":29,"name":"Sharepoint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6"/>
      <c r="AP56"/>
      <c r="AQ56"/>
      <c r="AR56"/>
      <c r="AS56"/>
      <c r="AT56"/>
      <c r="AU56"/>
      <c r="AV56"/>
      <c r="AW56"/>
      <c r="AX56"/>
      <c r="AY56"/>
      <c r="AZ56"/>
      <c r="BA56"/>
      <c r="BB56"/>
      <c r="BC56"/>
      <c r="BD56"/>
      <c r="BE56"/>
      <c r="BF56"/>
      <c r="BG56"/>
      <c r="BH56"/>
      <c r="BI56"/>
      <c r="BJ56"/>
      <c r="BK56"/>
      <c r="BL56"/>
      <c r="BM56"/>
      <c r="BN56"/>
      <c r="BO56"/>
      <c r="BP56"/>
      <c r="BQ56"/>
      <c r="BR56"/>
      <c r="BS56"/>
      <c r="BT56"/>
      <c r="BU56"/>
      <c r="BV56"/>
      <c r="BW56"/>
      <c r="BX56"/>
      <c r="BY56"/>
      <c r="BZ56"/>
      <c r="CA56"/>
      <c r="CB56"/>
      <c r="CC56"/>
      <c r="CD56"/>
      <c r="CE56"/>
      <c r="CF56"/>
      <c r="CG56"/>
      <c r="CH56"/>
      <c r="CI56"/>
      <c r="CJ56"/>
      <c r="CK56"/>
      <c r="CL56"/>
      <c r="CM56"/>
    </row>
    <row r="57" spans="1:91" s="1" customFormat="1" x14ac:dyDescent="0.25">
      <c r="A57" s="32" t="s">
        <v>755</v>
      </c>
      <c r="B57" s="7">
        <v>4017</v>
      </c>
      <c r="C57" s="21" t="s">
        <v>202</v>
      </c>
      <c r="D57" s="21" t="s">
        <v>549</v>
      </c>
      <c r="E57" s="13">
        <v>42917.403553240743</v>
      </c>
      <c r="F57" s="13">
        <v>42917.414826388886</v>
      </c>
      <c r="G57" s="7">
        <v>1</v>
      </c>
      <c r="H57" s="21" t="s">
        <v>394</v>
      </c>
      <c r="I57" s="13">
        <v>42917.440868055557</v>
      </c>
      <c r="J57" s="7">
        <v>0</v>
      </c>
      <c r="K57" s="89" t="str">
        <f t="shared" si="0"/>
        <v>4017/4018</v>
      </c>
      <c r="L57" s="21" t="str">
        <f>VLOOKUP(A57,'Trips&amp;Operators'!$C$1:$G$99999,5,FALSE)</f>
        <v>BEAM ROSS</v>
      </c>
      <c r="M57" s="6">
        <f t="shared" si="1"/>
        <v>2.6041666671517305E-2</v>
      </c>
      <c r="N57" s="7">
        <f t="shared" si="23"/>
        <v>37.500000006984919</v>
      </c>
      <c r="O57" s="7"/>
      <c r="P57" s="7"/>
      <c r="Q57" s="22"/>
      <c r="R57" s="170"/>
      <c r="S57" s="213">
        <f t="shared" si="24"/>
        <v>1</v>
      </c>
      <c r="T57" s="195" t="str">
        <f t="shared" si="2"/>
        <v>Southbound</v>
      </c>
      <c r="U57" s="195">
        <f>IF(AG57="EC",COUNTIFS(Variables!$M$2:$M$19,IF(T57="NorthBound","&gt;=","&lt;=")&amp;Y57,Variables!$M$2:$M$19,IF(T57="NorthBound","&lt;=","&gt;=")&amp;Z57),COUNTIFS(Variables!$P$2:$P$19,IF(T57="NorthBound","&gt;=","&lt;=")&amp;Y57,Variables!$P$2:$P$19,IF(T57="NorthBound","&lt;=","&gt;=")&amp;Z57))</f>
        <v>12</v>
      </c>
      <c r="V57" s="196" t="str">
        <f t="shared" si="3"/>
        <v>https://d0f6bd738d7f1b3e5a7ca70fe4ff75f0.us-east-1.aws.found.io/app/kibana#/discover/Steve-Slow-Train-Analysis-(2080s-and-2083s)?_g=(refreshInterval:(display:Off,pause:!f,section:0,value:0),time:(from:'2017-07-01T08:41:07-0600',mode:absolute,to:'2017-07-01T11:34:51-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57" s="197" t="str">
        <f>IF(AA57&lt;VLOOKUP(AG57,Variables!$AC$3:$AD$8,2,FALSE),"Y","N")</f>
        <v>N</v>
      </c>
      <c r="X57" s="197">
        <f t="shared" si="22"/>
        <v>1</v>
      </c>
      <c r="Y57" s="197">
        <f t="shared" si="5"/>
        <v>23.300599999999999</v>
      </c>
      <c r="Z57" s="197">
        <f t="shared" si="6"/>
        <v>1.54E-2</v>
      </c>
      <c r="AA57" s="197">
        <f t="shared" si="7"/>
        <v>23.2852</v>
      </c>
      <c r="AB57" s="54" t="e">
        <f>VLOOKUP(A57,Enforcements!$C$7:$K$13,8,0)</f>
        <v>#N/A</v>
      </c>
      <c r="AC57" s="51" t="e">
        <f>VLOOKUP(A57,Enforcements!$C$7:$E$13,3,0)</f>
        <v>#N/A</v>
      </c>
      <c r="AD57" s="206">
        <f t="shared" si="8"/>
        <v>144</v>
      </c>
      <c r="AE57" s="77" t="str">
        <f t="shared" si="9"/>
        <v>aws s3 cp s3://rtdc.mdm.uploadarchive.raw/RTDC4017/ "%USERPROFILE%\AppData\Local\Temp\OnboardLogs"\RTDC4017\2017-07-01 --exclude "*" --recursive --include "*20170701*" &amp; "%USERPROFILE%\Documents\GitHub\mrs-test-scripts\Headless Mode &amp; Sideloading\WalkAndUnGZ.bat" "%USERPROFILE%\AppData\Local\Temp\OnboardLogs"\RTDC4017\2017-07-01 &amp; aws s3 cp s3://rtdc.mdm.uploadarchive.raw/RTDC4017/ "%USERPROFILE%\AppData\Local\Temp\OnboardLogs"\RTDC4017\2017-07-02 --exclude "*" --recursive --include "*20170702*" &amp; "%USERPROFILE%\Documents\GitHub\mrs-test-scripts\Headless Mode &amp; Sideloading\WalkAndUnGZ.bat" "%USERPROFILE%\AppData\Local\Temp\OnboardLogs"\RTDC4017\2017-07-02</v>
      </c>
      <c r="AF57" s="74" t="str">
        <f t="shared" si="10"/>
        <v>"C:\Program Files (x86)\AstroGrep\AstroGrep.exe" /e /r /s /spath="%USERPROFILE%\AppData\Local\Temp\OnboardLogs" /stypes="app*4017*20170701*" /stext=" 16:.+((SYSTEM_STATE.+slice.+state.+changed )|(ment ac)|(multiple cpu faults)|(system.+state.+changed )|(\[timeout)|(PRM\|1\|D)|(kpr)|(kdp)|(train st.+moving)|(\|lc)|(penalty))"</v>
      </c>
      <c r="AG57" s="209" t="str">
        <f t="shared" si="11"/>
        <v>EC</v>
      </c>
      <c r="AH57" s="78" t="str">
        <f t="shared" si="16"/>
        <v>"%USERPROFILE%\Documents\GitHub\eaglep3\Utilities\RefineRTDCRunTimes.py" --tripid 144-01 --locoid 4017 --swversion DE.1.0.9.0 --startMP 204:233006 --initTime 2017-07-01T09:41:07 --startdatetime 2017-07-01T09:57:21 --delay 1 --endMP 204:154 --enddatetime 2017-07-01T10:34:51 --enforcementcount 0 &gt;&gt;C:\Users\stu\Documents\GitHub\eaglep3-reporting\EC\2017-07-01-refined-times.txt</v>
      </c>
      <c r="AI57" s="96" t="str">
        <f t="shared" si="17"/>
        <v>echo {"issue":{"subject":"","project_id":79,"tracker_id":40,"status_id":1,"priority_id":2,"assigned_to_id":23,"start_date":"2017-07-01","description":"","custom_fields":[{"id":1,"name":"Subdivision","value":"EC"},{"id":4,"name":"Milepost","value":"0.0154"},{"id":17,"name":"Train ID","value":"144-01"},{"id":16,"name":"Locomotive ID","value":"4017"},{"id":130,"name":"Impact","value":""},{"id":150,"name":"Time of Event (Mountain Time)","value":"10:34:51"},{"id":151,"name":"Denver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7" s="20"/>
      <c r="AK57" s="47"/>
      <c r="AL57" s="47"/>
      <c r="AM57" s="142" t="str">
        <f t="shared" si="18"/>
        <v>start /low /b %USERPROFILE%\Documents\GitHub\eaglep3\Utilities\DownloadLogsFromS3.py --loco 4017 --day 2017-07-01</v>
      </c>
      <c r="AN57" s="151" t="str">
        <f t="shared" si="19"/>
        <v>echo {"issue":{"subject":"","project_id":30,"tracker_id":4,"status_id":1,"priority_id":1,"assigned_to_id":10,"start_date":"2017-07-01","description":"","custom_fields":[{"id":30,"name":"Category","value":"Issue"},{"id":3,"name":"Functional Component","value":"Onboard"},{"id":31,"name":"Version","value":"N/A"},{"id":8,"name":"Reporting RR","value":"WABTEC"},{"id":27,"name":"Locomotive ID","value":"4017"},{"id":20,"name":"RR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UTC","value":"2017-07-01 16:34:51"},{"id":29,"name":"Sharepoint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7"/>
      <c r="AP57"/>
      <c r="AQ57"/>
      <c r="AR57"/>
      <c r="AS57"/>
      <c r="AT57"/>
      <c r="AU57"/>
      <c r="AV57"/>
      <c r="AW57"/>
      <c r="AX57"/>
      <c r="AY57"/>
      <c r="AZ57"/>
      <c r="BA57"/>
      <c r="BB57"/>
      <c r="BC57"/>
      <c r="BD57"/>
      <c r="BE57"/>
      <c r="BF57"/>
      <c r="BG57"/>
      <c r="BH57"/>
      <c r="BI57"/>
      <c r="BJ57"/>
      <c r="BK57"/>
      <c r="BL57"/>
      <c r="BM57"/>
      <c r="BN57"/>
      <c r="BO57"/>
      <c r="BP57"/>
      <c r="BQ57"/>
      <c r="BR57"/>
      <c r="BS57"/>
      <c r="BT57"/>
      <c r="BU57"/>
      <c r="BV57"/>
      <c r="BW57"/>
      <c r="BX57"/>
      <c r="BY57"/>
      <c r="BZ57"/>
      <c r="CA57"/>
      <c r="CB57"/>
      <c r="CC57"/>
      <c r="CD57"/>
      <c r="CE57"/>
      <c r="CF57"/>
      <c r="CG57"/>
      <c r="CH57"/>
      <c r="CI57"/>
      <c r="CJ57"/>
      <c r="CK57"/>
      <c r="CL57"/>
      <c r="CM57"/>
    </row>
    <row r="58" spans="1:91" s="1" customFormat="1" x14ac:dyDescent="0.25">
      <c r="A58" s="32" t="s">
        <v>749</v>
      </c>
      <c r="B58" s="7">
        <v>4030</v>
      </c>
      <c r="C58" s="21" t="s">
        <v>202</v>
      </c>
      <c r="D58" s="21" t="s">
        <v>450</v>
      </c>
      <c r="E58" s="13">
        <v>42917.380671296298</v>
      </c>
      <c r="F58" s="13">
        <v>42917.385949074072</v>
      </c>
      <c r="G58" s="7">
        <v>1</v>
      </c>
      <c r="H58" s="21" t="s">
        <v>509</v>
      </c>
      <c r="I58" s="13">
        <v>42917.41128472222</v>
      </c>
      <c r="J58" s="7">
        <v>0</v>
      </c>
      <c r="K58" s="89" t="str">
        <f t="shared" si="0"/>
        <v>4029/4030</v>
      </c>
      <c r="L58" s="21" t="str">
        <f>VLOOKUP(A58,'Trips&amp;Operators'!$C$1:$G$99999,5,FALSE)</f>
        <v>GUZMAN DANNY</v>
      </c>
      <c r="M58" s="6">
        <f t="shared" si="1"/>
        <v>2.5335648148029577E-2</v>
      </c>
      <c r="N58" s="7">
        <f t="shared" si="23"/>
        <v>36.483333333162591</v>
      </c>
      <c r="O58" s="7"/>
      <c r="P58" s="7"/>
      <c r="Q58" s="22"/>
      <c r="R58" s="170"/>
      <c r="S58" s="213">
        <f t="shared" si="24"/>
        <v>1</v>
      </c>
      <c r="T58" s="195" t="str">
        <f t="shared" si="2"/>
        <v>NorthBound</v>
      </c>
      <c r="U58" s="195">
        <f>IF(AG58="EC",COUNTIFS(Variables!$M$2:$M$19,IF(T58="NorthBound","&gt;=","&lt;=")&amp;Y58,Variables!$M$2:$M$19,IF(T58="NorthBound","&lt;=","&gt;=")&amp;Z58),COUNTIFS(Variables!$P$2:$P$19,IF(T58="NorthBound","&gt;=","&lt;=")&amp;Y58,Variables!$P$2:$P$19,IF(T58="NorthBound","&lt;=","&gt;=")&amp;Z58))</f>
        <v>12</v>
      </c>
      <c r="V58" s="196" t="str">
        <f t="shared" si="3"/>
        <v>https://d0f6bd738d7f1b3e5a7ca70fe4ff75f0.us-east-1.aws.found.io/app/kibana#/discover/Steve-Slow-Train-Analysis-(2080s-and-2083s)?_g=(refreshInterval:(display:Off,pause:!f,section:0,value:0),time:(from:'2017-07-01T08:08:10-0600',mode:absolute,to:'2017-07-01T10:52:15-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58" s="197" t="str">
        <f>IF(AA58&lt;VLOOKUP(AG58,Variables!$AC$3:$AD$8,2,FALSE),"Y","N")</f>
        <v>N</v>
      </c>
      <c r="X58" s="197">
        <f t="shared" si="22"/>
        <v>1</v>
      </c>
      <c r="Y58" s="197">
        <f t="shared" si="5"/>
        <v>4.3799999999999999E-2</v>
      </c>
      <c r="Z58" s="197">
        <f t="shared" si="6"/>
        <v>23.3291</v>
      </c>
      <c r="AA58" s="197">
        <f t="shared" si="7"/>
        <v>23.285299999999999</v>
      </c>
      <c r="AB58" s="54" t="e">
        <f>VLOOKUP(A58,Enforcements!$C$7:$K$13,8,0)</f>
        <v>#N/A</v>
      </c>
      <c r="AC58" s="51" t="e">
        <f>VLOOKUP(A58,Enforcements!$C$7:$E$13,3,0)</f>
        <v>#N/A</v>
      </c>
      <c r="AD58" s="206">
        <f t="shared" si="8"/>
        <v>145</v>
      </c>
      <c r="AE58" s="77" t="str">
        <f t="shared" si="9"/>
        <v>aws s3 cp s3://rtdc.mdm.uploadarchive.raw/RTDC4030/ "%USERPROFILE%\AppData\Local\Temp\OnboardLogs"\RTDC4030\2017-07-01 --exclude "*" --recursive --include "*20170701*" &amp; "%USERPROFILE%\Documents\GitHub\mrs-test-scripts\Headless Mode &amp; Sideloading\WalkAndUnGZ.bat" "%USERPROFILE%\AppData\Local\Temp\OnboardLogs"\RTDC4030\2017-07-01 &amp; aws s3 cp s3://rtdc.mdm.uploadarchive.raw/RTDC4030/ "%USERPROFILE%\AppData\Local\Temp\OnboardLogs"\RTDC4030\2017-07-02 --exclude "*" --recursive --include "*20170702*" &amp; "%USERPROFILE%\Documents\GitHub\mrs-test-scripts\Headless Mode &amp; Sideloading\WalkAndUnGZ.bat" "%USERPROFILE%\AppData\Local\Temp\OnboardLogs"\RTDC4030\2017-07-02</v>
      </c>
      <c r="AF58" s="74" t="str">
        <f t="shared" si="10"/>
        <v>"C:\Program Files (x86)\AstroGrep\AstroGrep.exe" /e /r /s /spath="%USERPROFILE%\AppData\Local\Temp\OnboardLogs" /stypes="app*4030*20170701*" /stext=" 15:.+((SYSTEM_STATE.+slice.+state.+changed )|(ment ac)|(multiple cpu faults)|(system.+state.+changed )|(\[timeout)|(PRM\|1\|D)|(kpr)|(kdp)|(train st.+moving)|(\|lc)|(penalty))"</v>
      </c>
      <c r="AG58" s="209" t="str">
        <f t="shared" si="11"/>
        <v>EC</v>
      </c>
      <c r="AH58" s="78" t="str">
        <f t="shared" si="16"/>
        <v>"%USERPROFILE%\Documents\GitHub\eaglep3\Utilities\RefineRTDCRunTimes.py" --tripid 145-01 --locoid 4030 --swversion DE.1.0.9.0 --startMP 204:438 --initTime 2017-07-01T09:08:10 --startdatetime 2017-07-01T09:15:46 --delay 1 --endMP 204:233291 --enddatetime 2017-07-01T09:52:15 --enforcementcount 0 &gt;&gt;C:\Users\stu\Documents\GitHub\eaglep3-reporting\EC\2017-07-01-refined-times.txt</v>
      </c>
      <c r="AI58" s="96" t="str">
        <f t="shared" si="17"/>
        <v>echo {"issue":{"subject":"","project_id":79,"tracker_id":40,"status_id":1,"priority_id":2,"assigned_to_id":23,"start_date":"2017-07-01","description":"","custom_fields":[{"id":1,"name":"Subdivision","value":"EC"},{"id":4,"name":"Milepost","value":"23.3291"},{"id":17,"name":"Train ID","value":"145-01"},{"id":16,"name":"Locomotive ID","value":"4030"},{"id":130,"name":"Impact","value":""},{"id":150,"name":"Time of Event (Mountain Time)","value":"09:52:15"},{"id":151,"name":"Denver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8" s="20"/>
      <c r="AK58" s="47"/>
      <c r="AL58" s="47"/>
      <c r="AM58" s="142" t="str">
        <f t="shared" si="18"/>
        <v>start /low /b %USERPROFILE%\Documents\GitHub\eaglep3\Utilities\DownloadLogsFromS3.py --loco 4030 --day 2017-07-01</v>
      </c>
      <c r="AN58" s="151" t="str">
        <f t="shared" si="19"/>
        <v>echo {"issue":{"subject":"","project_id":30,"tracker_id":4,"status_id":1,"priority_id":1,"assigned_to_id":10,"start_date":"2017-07-01","description":"","custom_fields":[{"id":30,"name":"Category","value":"Issue"},{"id":3,"name":"Functional Component","value":"Onboard"},{"id":31,"name":"Version","value":"N/A"},{"id":8,"name":"Reporting RR","value":"WABTEC"},{"id":27,"name":"Locomotive ID","value":"4030"},{"id":20,"name":"RR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UTC","value":"2017-07-01 15:52:15"},{"id":29,"name":"Sharepoint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8"/>
      <c r="AP58"/>
      <c r="AQ58"/>
      <c r="AR58"/>
      <c r="AS58"/>
      <c r="AT58"/>
      <c r="AU58"/>
      <c r="AV58"/>
      <c r="AW58"/>
      <c r="AX58"/>
      <c r="AY58"/>
      <c r="AZ58"/>
      <c r="BA58"/>
      <c r="BB58"/>
      <c r="BC58"/>
      <c r="BD58"/>
      <c r="BE58"/>
      <c r="BF58"/>
      <c r="BG58"/>
      <c r="BH58"/>
      <c r="BI58"/>
      <c r="BJ58"/>
      <c r="BK58"/>
      <c r="BL58"/>
      <c r="BM58"/>
      <c r="BN58"/>
      <c r="BO58"/>
      <c r="BP58"/>
      <c r="BQ58"/>
      <c r="BR58"/>
      <c r="BS58"/>
      <c r="BT58"/>
      <c r="BU58"/>
      <c r="BV58"/>
      <c r="BW58"/>
      <c r="BX58"/>
      <c r="BY58"/>
      <c r="BZ58"/>
      <c r="CA58"/>
      <c r="CB58"/>
      <c r="CC58"/>
      <c r="CD58"/>
      <c r="CE58"/>
      <c r="CF58"/>
      <c r="CG58"/>
      <c r="CH58"/>
      <c r="CI58"/>
      <c r="CJ58"/>
      <c r="CK58"/>
      <c r="CL58"/>
      <c r="CM58"/>
    </row>
    <row r="59" spans="1:91" s="1" customFormat="1" x14ac:dyDescent="0.25">
      <c r="A59" s="32" t="s">
        <v>757</v>
      </c>
      <c r="B59" s="7">
        <v>4029</v>
      </c>
      <c r="C59" s="21" t="s">
        <v>202</v>
      </c>
      <c r="D59" s="21" t="s">
        <v>906</v>
      </c>
      <c r="E59" s="13">
        <v>42917.413043981483</v>
      </c>
      <c r="F59" s="13">
        <v>42917.425243055557</v>
      </c>
      <c r="G59" s="7">
        <v>1</v>
      </c>
      <c r="H59" s="21" t="s">
        <v>348</v>
      </c>
      <c r="I59" s="13">
        <v>42917.451863425929</v>
      </c>
      <c r="J59" s="7">
        <v>0</v>
      </c>
      <c r="K59" s="89" t="str">
        <f t="shared" si="0"/>
        <v>4029/4030</v>
      </c>
      <c r="L59" s="21" t="str">
        <f>VLOOKUP(A59,'Trips&amp;Operators'!$C$1:$G$99999,5,FALSE)</f>
        <v>GUZMAN DANNY</v>
      </c>
      <c r="M59" s="6">
        <f t="shared" si="1"/>
        <v>2.662037037225673E-2</v>
      </c>
      <c r="N59" s="7">
        <f t="shared" si="23"/>
        <v>38.333333336049691</v>
      </c>
      <c r="O59" s="7"/>
      <c r="P59" s="7"/>
      <c r="Q59" s="22"/>
      <c r="R59" s="170"/>
      <c r="S59" s="213">
        <f t="shared" si="24"/>
        <v>1</v>
      </c>
      <c r="T59" s="195" t="str">
        <f t="shared" si="2"/>
        <v>Southbound</v>
      </c>
      <c r="U59" s="195">
        <f>IF(AG59="EC",COUNTIFS(Variables!$M$2:$M$19,IF(T59="NorthBound","&gt;=","&lt;=")&amp;Y59,Variables!$M$2:$M$19,IF(T59="NorthBound","&lt;=","&gt;=")&amp;Z59),COUNTIFS(Variables!$P$2:$P$19,IF(T59="NorthBound","&gt;=","&lt;=")&amp;Y59,Variables!$P$2:$P$19,IF(T59="NorthBound","&lt;=","&gt;=")&amp;Z59))</f>
        <v>12</v>
      </c>
      <c r="V59" s="196" t="str">
        <f t="shared" si="3"/>
        <v>https://d0f6bd738d7f1b3e5a7ca70fe4ff75f0.us-east-1.aws.found.io/app/kibana#/discover/Steve-Slow-Train-Analysis-(2080s-and-2083s)?_g=(refreshInterval:(display:Off,pause:!f,section:0,value:0),time:(from:'2017-07-01T08:54:47-0600',mode:absolute,to:'2017-07-01T11:50:41-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59" s="197" t="str">
        <f>IF(AA59&lt;VLOOKUP(AG59,Variables!$AC$3:$AD$8,2,FALSE),"Y","N")</f>
        <v>N</v>
      </c>
      <c r="X59" s="197">
        <f t="shared" si="22"/>
        <v>1</v>
      </c>
      <c r="Y59" s="197">
        <f t="shared" si="5"/>
        <v>23.297499999999999</v>
      </c>
      <c r="Z59" s="197">
        <f t="shared" si="6"/>
        <v>1.4999999999999999E-2</v>
      </c>
      <c r="AA59" s="197">
        <f t="shared" si="7"/>
        <v>23.282499999999999</v>
      </c>
      <c r="AB59" s="54" t="e">
        <f>VLOOKUP(A59,Enforcements!$C$7:$K$13,8,0)</f>
        <v>#N/A</v>
      </c>
      <c r="AC59" s="51" t="e">
        <f>VLOOKUP(A59,Enforcements!$C$7:$E$13,3,0)</f>
        <v>#N/A</v>
      </c>
      <c r="AD59" s="206">
        <f t="shared" si="8"/>
        <v>146</v>
      </c>
      <c r="AE59" s="77" t="str">
        <f t="shared" si="9"/>
        <v>aws s3 cp s3://rtdc.mdm.uploadarchive.raw/RTDC4029/ "%USERPROFILE%\AppData\Local\Temp\OnboardLogs"\RTDC4029\2017-07-01 --exclude "*" --recursive --include "*20170701*" &amp; "%USERPROFILE%\Documents\GitHub\mrs-test-scripts\Headless Mode &amp; Sideloading\WalkAndUnGZ.bat" "%USERPROFILE%\AppData\Local\Temp\OnboardLogs"\RTDC4029\2017-07-01 &amp; aws s3 cp s3://rtdc.mdm.uploadarchive.raw/RTDC4029/ "%USERPROFILE%\AppData\Local\Temp\OnboardLogs"\RTDC4029\2017-07-02 --exclude "*" --recursive --include "*20170702*" &amp; "%USERPROFILE%\Documents\GitHub\mrs-test-scripts\Headless Mode &amp; Sideloading\WalkAndUnGZ.bat" "%USERPROFILE%\AppData\Local\Temp\OnboardLogs"\RTDC4029\2017-07-02</v>
      </c>
      <c r="AF59" s="74" t="str">
        <f t="shared" si="10"/>
        <v>"C:\Program Files (x86)\AstroGrep\AstroGrep.exe" /e /r /s /spath="%USERPROFILE%\AppData\Local\Temp\OnboardLogs" /stypes="app*4029*20170701*" /stext=" 16:.+((SYSTEM_STATE.+slice.+state.+changed )|(ment ac)|(multiple cpu faults)|(system.+state.+changed )|(\[timeout)|(PRM\|1\|D)|(kpr)|(kdp)|(train st.+moving)|(\|lc)|(penalty))"</v>
      </c>
      <c r="AG59" s="209" t="str">
        <f t="shared" si="11"/>
        <v>EC</v>
      </c>
      <c r="AH59" s="78" t="str">
        <f t="shared" si="16"/>
        <v>"%USERPROFILE%\Documents\GitHub\eaglep3\Utilities\RefineRTDCRunTimes.py" --tripid 146-01 --locoid 4029 --swversion DE.1.0.9.0 --startMP 204:232975 --initTime 2017-07-01T09:54:47 --startdatetime 2017-07-01T10:12:21 --delay 1 --endMP 204:150 --enddatetime 2017-07-01T10:50:41 --enforcementcount 0 &gt;&gt;C:\Users\stu\Documents\GitHub\eaglep3-reporting\EC\2017-07-01-refined-times.txt</v>
      </c>
      <c r="AI59" s="96" t="str">
        <f t="shared" si="17"/>
        <v>echo {"issue":{"subject":"","project_id":79,"tracker_id":40,"status_id":1,"priority_id":2,"assigned_to_id":23,"start_date":"2017-07-01","description":"","custom_fields":[{"id":1,"name":"Subdivision","value":"EC"},{"id":4,"name":"Milepost","value":"0.015"},{"id":17,"name":"Train ID","value":"146-01"},{"id":16,"name":"Locomotive ID","value":"4029"},{"id":130,"name":"Impact","value":""},{"id":150,"name":"Time of Event (Mountain Time)","value":"10:50:41"},{"id":151,"name":"Denver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9" s="20"/>
      <c r="AK59" s="47"/>
      <c r="AL59" s="47"/>
      <c r="AM59" s="142" t="str">
        <f t="shared" si="18"/>
        <v>start /low /b %USERPROFILE%\Documents\GitHub\eaglep3\Utilities\DownloadLogsFromS3.py --loco 4029 --day 2017-07-01</v>
      </c>
      <c r="AN59" s="151" t="str">
        <f t="shared" si="19"/>
        <v>echo {"issue":{"subject":"","project_id":30,"tracker_id":4,"status_id":1,"priority_id":1,"assigned_to_id":10,"start_date":"2017-07-01","description":"","custom_fields":[{"id":30,"name":"Category","value":"Issue"},{"id":3,"name":"Functional Component","value":"Onboard"},{"id":31,"name":"Version","value":"N/A"},{"id":8,"name":"Reporting RR","value":"WABTEC"},{"id":27,"name":"Locomotive ID","value":"4029"},{"id":20,"name":"RR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UTC","value":"2017-07-01 16:50:41"},{"id":29,"name":"Sharepoint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9"/>
      <c r="AP59"/>
      <c r="AQ59"/>
      <c r="AR59"/>
      <c r="AS59"/>
      <c r="AT59"/>
      <c r="AU59"/>
      <c r="AV59"/>
      <c r="AW59"/>
      <c r="AX59"/>
      <c r="AY59"/>
      <c r="AZ59"/>
      <c r="BA59"/>
      <c r="BB59"/>
      <c r="BC59"/>
      <c r="BD59"/>
      <c r="BE59"/>
      <c r="BF59"/>
      <c r="BG59"/>
      <c r="BH59"/>
      <c r="BI59"/>
      <c r="BJ59"/>
      <c r="BK59"/>
      <c r="BL59"/>
      <c r="BM59"/>
      <c r="BN59"/>
      <c r="BO59"/>
      <c r="BP59"/>
      <c r="BQ59"/>
      <c r="BR59"/>
      <c r="BS59"/>
      <c r="BT59"/>
      <c r="BU59"/>
      <c r="BV59"/>
      <c r="BW59"/>
      <c r="BX59"/>
      <c r="BY59"/>
      <c r="BZ59"/>
      <c r="CA59"/>
      <c r="CB59"/>
      <c r="CC59"/>
      <c r="CD59"/>
      <c r="CE59"/>
      <c r="CF59"/>
      <c r="CG59"/>
      <c r="CH59"/>
      <c r="CI59"/>
      <c r="CJ59"/>
      <c r="CK59"/>
      <c r="CL59"/>
      <c r="CM59"/>
    </row>
    <row r="60" spans="1:91" s="1" customFormat="1" x14ac:dyDescent="0.25">
      <c r="A60" s="32" t="s">
        <v>751</v>
      </c>
      <c r="B60" s="7">
        <v>4028</v>
      </c>
      <c r="C60" s="21" t="s">
        <v>202</v>
      </c>
      <c r="D60" s="21" t="s">
        <v>198</v>
      </c>
      <c r="E60" s="13">
        <v>42917.39203703704</v>
      </c>
      <c r="F60" s="13">
        <v>42917.396354166667</v>
      </c>
      <c r="G60" s="7">
        <v>1</v>
      </c>
      <c r="H60" s="21" t="s">
        <v>511</v>
      </c>
      <c r="I60" s="13">
        <v>42917.422384259262</v>
      </c>
      <c r="J60" s="7">
        <v>0</v>
      </c>
      <c r="K60" s="89" t="str">
        <f t="shared" si="0"/>
        <v>4027/4028</v>
      </c>
      <c r="L60" s="21" t="str">
        <f>VLOOKUP(A60,'Trips&amp;Operators'!$C$1:$G$99999,5,FALSE)</f>
        <v>DAVIS WENDY</v>
      </c>
      <c r="M60" s="6">
        <f t="shared" si="1"/>
        <v>2.6030092594737653E-2</v>
      </c>
      <c r="N60" s="7">
        <f t="shared" si="23"/>
        <v>37.48333333642222</v>
      </c>
      <c r="O60" s="7"/>
      <c r="P60" s="7"/>
      <c r="Q60" s="22"/>
      <c r="R60" s="170"/>
      <c r="S60" s="213">
        <f t="shared" si="24"/>
        <v>1</v>
      </c>
      <c r="T60" s="195" t="str">
        <f t="shared" si="2"/>
        <v>NorthBound</v>
      </c>
      <c r="U60" s="195">
        <f>IF(AG60="EC",COUNTIFS(Variables!$M$2:$M$19,IF(T60="NorthBound","&gt;=","&lt;=")&amp;Y60,Variables!$M$2:$M$19,IF(T60="NorthBound","&lt;=","&gt;=")&amp;Z60),COUNTIFS(Variables!$P$2:$P$19,IF(T60="NorthBound","&gt;=","&lt;=")&amp;Y60,Variables!$P$2:$P$19,IF(T60="NorthBound","&lt;=","&gt;=")&amp;Z60))</f>
        <v>12</v>
      </c>
      <c r="V60" s="196" t="str">
        <f t="shared" si="3"/>
        <v>https://d0f6bd738d7f1b3e5a7ca70fe4ff75f0.us-east-1.aws.found.io/app/kibana#/discover/Steve-Slow-Train-Analysis-(2080s-and-2083s)?_g=(refreshInterval:(display:Off,pause:!f,section:0,value:0),time:(from:'2017-07-01T08:24:32-0600',mode:absolute,to:'2017-07-01T11:08:14-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60" s="197" t="str">
        <f>IF(AA60&lt;VLOOKUP(AG60,Variables!$AC$3:$AD$8,2,FALSE),"Y","N")</f>
        <v>N</v>
      </c>
      <c r="X60" s="197">
        <f t="shared" si="22"/>
        <v>1</v>
      </c>
      <c r="Y60" s="197">
        <f t="shared" si="5"/>
        <v>4.5699999999999998E-2</v>
      </c>
      <c r="Z60" s="197">
        <f t="shared" si="6"/>
        <v>23.331900000000001</v>
      </c>
      <c r="AA60" s="197">
        <f t="shared" si="7"/>
        <v>23.286200000000001</v>
      </c>
      <c r="AB60" s="54" t="e">
        <f>VLOOKUP(A60,Enforcements!$C$7:$K$13,8,0)</f>
        <v>#N/A</v>
      </c>
      <c r="AC60" s="51" t="e">
        <f>VLOOKUP(A60,Enforcements!$C$7:$E$13,3,0)</f>
        <v>#N/A</v>
      </c>
      <c r="AD60" s="206">
        <f t="shared" si="8"/>
        <v>147</v>
      </c>
      <c r="AE60" s="77" t="str">
        <f t="shared" si="9"/>
        <v>aws s3 cp s3://rtdc.mdm.uploadarchive.raw/RTDC4028/ "%USERPROFILE%\AppData\Local\Temp\OnboardLogs"\RTDC4028\2017-07-01 --exclude "*" --recursive --include "*20170701*" &amp; "%USERPROFILE%\Documents\GitHub\mrs-test-scripts\Headless Mode &amp; Sideloading\WalkAndUnGZ.bat" "%USERPROFILE%\AppData\Local\Temp\OnboardLogs"\RTDC4028\2017-07-01 &amp; aws s3 cp s3://rtdc.mdm.uploadarchive.raw/RTDC4028/ "%USERPROFILE%\AppData\Local\Temp\OnboardLogs"\RTDC4028\2017-07-02 --exclude "*" --recursive --include "*20170702*" &amp; "%USERPROFILE%\Documents\GitHub\mrs-test-scripts\Headless Mode &amp; Sideloading\WalkAndUnGZ.bat" "%USERPROFILE%\AppData\Local\Temp\OnboardLogs"\RTDC4028\2017-07-02</v>
      </c>
      <c r="AF60" s="74" t="str">
        <f t="shared" si="10"/>
        <v>"C:\Program Files (x86)\AstroGrep\AstroGrep.exe" /e /r /s /spath="%USERPROFILE%\AppData\Local\Temp\OnboardLogs" /stypes="app*4028*20170701*" /stext=" 16:.+((SYSTEM_STATE.+slice.+state.+changed )|(ment ac)|(multiple cpu faults)|(system.+state.+changed )|(\[timeout)|(PRM\|1\|D)|(kpr)|(kdp)|(train st.+moving)|(\|lc)|(penalty))"</v>
      </c>
      <c r="AG60" s="209" t="str">
        <f t="shared" si="11"/>
        <v>EC</v>
      </c>
      <c r="AH60" s="78" t="str">
        <f t="shared" si="16"/>
        <v>"%USERPROFILE%\Documents\GitHub\eaglep3\Utilities\RefineRTDCRunTimes.py" --tripid 147-01 --locoid 4028 --swversion DE.1.0.9.0 --startMP 204:457 --initTime 2017-07-01T09:24:32 --startdatetime 2017-07-01T09:30:45 --delay 1 --endMP 204:233319 --enddatetime 2017-07-01T10:08:14 --enforcementcount 0 &gt;&gt;C:\Users\stu\Documents\GitHub\eaglep3-reporting\EC\2017-07-01-refined-times.txt</v>
      </c>
      <c r="AI60" s="96" t="str">
        <f t="shared" si="17"/>
        <v>echo {"issue":{"subject":"","project_id":79,"tracker_id":40,"status_id":1,"priority_id":2,"assigned_to_id":23,"start_date":"2017-07-01","description":"","custom_fields":[{"id":1,"name":"Subdivision","value":"EC"},{"id":4,"name":"Milepost","value":"23.3319"},{"id":17,"name":"Train ID","value":"147-01"},{"id":16,"name":"Locomotive ID","value":"4028"},{"id":130,"name":"Impact","value":""},{"id":150,"name":"Time of Event (Mountain Time)","value":"10:08:14"},{"id":151,"name":"Denver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0" s="20"/>
      <c r="AK60" s="47"/>
      <c r="AL60" s="47"/>
      <c r="AM60" s="142" t="str">
        <f t="shared" si="18"/>
        <v>start /low /b %USERPROFILE%\Documents\GitHub\eaglep3\Utilities\DownloadLogsFromS3.py --loco 4028 --day 2017-07-01</v>
      </c>
      <c r="AN60" s="151" t="str">
        <f t="shared" si="19"/>
        <v>echo {"issue":{"subject":"","project_id":30,"tracker_id":4,"status_id":1,"priority_id":1,"assigned_to_id":10,"start_date":"2017-07-01","description":"","custom_fields":[{"id":30,"name":"Category","value":"Issue"},{"id":3,"name":"Functional Component","value":"Onboard"},{"id":31,"name":"Version","value":"N/A"},{"id":8,"name":"Reporting RR","value":"WABTEC"},{"id":27,"name":"Locomotive ID","value":"4028"},{"id":20,"name":"RR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UTC","value":"2017-07-01 16:08:14"},{"id":29,"name":"Sharepoint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0"/>
      <c r="AP60"/>
      <c r="AQ60"/>
      <c r="AR60"/>
      <c r="AS60"/>
      <c r="AT60"/>
      <c r="AU60"/>
      <c r="AV60"/>
      <c r="AW60"/>
      <c r="AX60"/>
      <c r="AY60"/>
      <c r="AZ60"/>
      <c r="BA60"/>
      <c r="BB60"/>
      <c r="BC60"/>
      <c r="BD60"/>
      <c r="BE60"/>
      <c r="BF60"/>
      <c r="BG60"/>
      <c r="BH60"/>
      <c r="BI60"/>
      <c r="BJ60"/>
      <c r="BK60"/>
      <c r="BL60"/>
      <c r="BM60"/>
      <c r="BN60"/>
      <c r="BO60"/>
      <c r="BP60"/>
      <c r="BQ60"/>
      <c r="BR60"/>
      <c r="BS60"/>
      <c r="BT60"/>
      <c r="BU60"/>
      <c r="BV60"/>
      <c r="BW60"/>
      <c r="BX60"/>
      <c r="BY60"/>
      <c r="BZ60"/>
      <c r="CA60"/>
      <c r="CB60"/>
      <c r="CC60"/>
      <c r="CD60"/>
      <c r="CE60"/>
      <c r="CF60"/>
      <c r="CG60"/>
      <c r="CH60"/>
      <c r="CI60"/>
      <c r="CJ60"/>
      <c r="CK60"/>
      <c r="CL60"/>
      <c r="CM60"/>
    </row>
    <row r="61" spans="1:91" s="1" customFormat="1" x14ac:dyDescent="0.25">
      <c r="A61" s="32" t="s">
        <v>762</v>
      </c>
      <c r="B61" s="7">
        <v>4027</v>
      </c>
      <c r="C61" s="21" t="s">
        <v>202</v>
      </c>
      <c r="D61" s="21" t="s">
        <v>907</v>
      </c>
      <c r="E61" s="13">
        <v>42917.433865740742</v>
      </c>
      <c r="F61" s="13">
        <v>42917.435578703706</v>
      </c>
      <c r="G61" s="7">
        <v>0</v>
      </c>
      <c r="H61" s="21" t="s">
        <v>194</v>
      </c>
      <c r="I61" s="13">
        <v>42917.462430555555</v>
      </c>
      <c r="J61" s="7">
        <v>0</v>
      </c>
      <c r="K61" s="89" t="str">
        <f t="shared" si="0"/>
        <v>4027/4028</v>
      </c>
      <c r="L61" s="21" t="str">
        <f>VLOOKUP(A61,'Trips&amp;Operators'!$C$1:$G$99999,5,FALSE)</f>
        <v>DAVIS WENDY</v>
      </c>
      <c r="M61" s="6">
        <f t="shared" si="1"/>
        <v>2.6851851849642117E-2</v>
      </c>
      <c r="N61" s="7">
        <f t="shared" si="23"/>
        <v>38.666666663484648</v>
      </c>
      <c r="O61" s="7"/>
      <c r="P61" s="7"/>
      <c r="Q61" s="22"/>
      <c r="R61" s="170"/>
      <c r="S61" s="213">
        <f t="shared" si="24"/>
        <v>1</v>
      </c>
      <c r="T61" s="195" t="str">
        <f t="shared" si="2"/>
        <v>Southbound</v>
      </c>
      <c r="U61" s="195">
        <f>IF(AG61="EC",COUNTIFS(Variables!$M$2:$M$19,IF(T61="NorthBound","&gt;=","&lt;=")&amp;Y61,Variables!$M$2:$M$19,IF(T61="NorthBound","&lt;=","&gt;=")&amp;Z61),COUNTIFS(Variables!$P$2:$P$19,IF(T61="NorthBound","&gt;=","&lt;=")&amp;Y61,Variables!$P$2:$P$19,IF(T61="NorthBound","&lt;=","&gt;=")&amp;Z61))</f>
        <v>12</v>
      </c>
      <c r="V61" s="196" t="str">
        <f t="shared" si="3"/>
        <v>https://d0f6bd738d7f1b3e5a7ca70fe4ff75f0.us-east-1.aws.found.io/app/kibana#/discover/Steve-Slow-Train-Analysis-(2080s-and-2083s)?_g=(refreshInterval:(display:Off,pause:!f,section:0,value:0),time:(from:'2017-07-01T09:24:46-0600',mode:absolute,to:'2017-07-01T12:05:54-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61" s="197" t="str">
        <f>IF(AA61&lt;VLOOKUP(AG61,Variables!$AC$3:$AD$8,2,FALSE),"Y","N")</f>
        <v>N</v>
      </c>
      <c r="X61" s="197">
        <f t="shared" si="22"/>
        <v>1</v>
      </c>
      <c r="Y61" s="197">
        <f t="shared" si="5"/>
        <v>23.302099999999999</v>
      </c>
      <c r="Z61" s="197">
        <f t="shared" si="6"/>
        <v>1.5800000000000002E-2</v>
      </c>
      <c r="AA61" s="197">
        <f t="shared" si="7"/>
        <v>23.286300000000001</v>
      </c>
      <c r="AB61" s="54" t="e">
        <f>VLOOKUP(A61,Enforcements!$C$7:$K$13,8,0)</f>
        <v>#N/A</v>
      </c>
      <c r="AC61" s="51" t="e">
        <f>VLOOKUP(A61,Enforcements!$C$7:$E$13,3,0)</f>
        <v>#N/A</v>
      </c>
      <c r="AD61" s="206">
        <f t="shared" si="8"/>
        <v>148</v>
      </c>
      <c r="AE61" s="77" t="str">
        <f t="shared" si="9"/>
        <v>aws s3 cp s3://rtdc.mdm.uploadarchive.raw/RTDC4027/ "%USERPROFILE%\AppData\Local\Temp\OnboardLogs"\RTDC4027\2017-07-01 --exclude "*" --recursive --include "*20170701*" &amp; "%USERPROFILE%\Documents\GitHub\mrs-test-scripts\Headless Mode &amp; Sideloading\WalkAndUnGZ.bat" "%USERPROFILE%\AppData\Local\Temp\OnboardLogs"\RTDC4027\2017-07-01 &amp; aws s3 cp s3://rtdc.mdm.uploadarchive.raw/RTDC4027/ "%USERPROFILE%\AppData\Local\Temp\OnboardLogs"\RTDC4027\2017-07-02 --exclude "*" --recursive --include "*20170702*" &amp; "%USERPROFILE%\Documents\GitHub\mrs-test-scripts\Headless Mode &amp; Sideloading\WalkAndUnGZ.bat" "%USERPROFILE%\AppData\Local\Temp\OnboardLogs"\RTDC4027\2017-07-02</v>
      </c>
      <c r="AF61" s="74" t="str">
        <f t="shared" si="10"/>
        <v>"C:\Program Files (x86)\AstroGrep\AstroGrep.exe" /e /r /s /spath="%USERPROFILE%\AppData\Local\Temp\OnboardLogs" /stypes="app*4027*20170701*" /stext=" 17:.+((SYSTEM_STATE.+slice.+state.+changed )|(ment ac)|(multiple cpu faults)|(system.+state.+changed )|(\[timeout)|(PRM\|1\|D)|(kpr)|(kdp)|(train st.+moving)|(\|lc)|(penalty))"</v>
      </c>
      <c r="AG61" s="209" t="str">
        <f t="shared" si="11"/>
        <v>EC</v>
      </c>
      <c r="AH61" s="78" t="str">
        <f t="shared" si="16"/>
        <v>"%USERPROFILE%\Documents\GitHub\eaglep3\Utilities\RefineRTDCRunTimes.py" --tripid 148-01 --locoid 4027 --swversion DE.1.0.9.0 --startMP 204:233021 --initTime 2017-07-01T10:24:46 --startdatetime 2017-07-01T10:27:14 --delay 0 --endMP 204:158 --enddatetime 2017-07-01T11:05:54 --enforcementcount 0 &gt;&gt;C:\Users\stu\Documents\GitHub\eaglep3-reporting\EC\2017-07-01-refined-times.txt</v>
      </c>
      <c r="AI61" s="96" t="str">
        <f t="shared" si="17"/>
        <v>echo {"issue":{"subject":"","project_id":79,"tracker_id":40,"status_id":1,"priority_id":2,"assigned_to_id":23,"start_date":"2017-07-01","description":"","custom_fields":[{"id":1,"name":"Subdivision","value":"EC"},{"id":4,"name":"Milepost","value":"0.0158"},{"id":17,"name":"Train ID","value":"148-01"},{"id":16,"name":"Locomotive ID","value":"4027"},{"id":130,"name":"Impact","value":""},{"id":150,"name":"Time of Event (Mountain Time)","value":"11:05:54"},{"id":151,"name":"Denver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1" s="20"/>
      <c r="AK61" s="47"/>
      <c r="AL61" s="47"/>
      <c r="AM61" s="142" t="str">
        <f t="shared" si="18"/>
        <v>start /low /b %USERPROFILE%\Documents\GitHub\eaglep3\Utilities\DownloadLogsFromS3.py --loco 4027 --day 2017-07-01</v>
      </c>
      <c r="AN61" s="151" t="str">
        <f t="shared" si="19"/>
        <v>echo {"issue":{"subject":"","project_id":30,"tracker_id":4,"status_id":1,"priority_id":1,"assigned_to_id":10,"start_date":"2017-07-01","description":"","custom_fields":[{"id":30,"name":"Category","value":"Issue"},{"id":3,"name":"Functional Component","value":"Onboard"},{"id":31,"name":"Version","value":"N/A"},{"id":8,"name":"Reporting RR","value":"WABTEC"},{"id":27,"name":"Locomotive ID","value":"4027"},{"id":20,"name":"RR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UTC","value":"2017-07-01 17:05:54"},{"id":29,"name":"Sharepoint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1"/>
      <c r="AP61"/>
      <c r="AQ61"/>
      <c r="AR61"/>
      <c r="AS61"/>
      <c r="AT61"/>
      <c r="AU61"/>
      <c r="AV61"/>
      <c r="AW61"/>
      <c r="AX61"/>
      <c r="AY61"/>
      <c r="AZ61"/>
      <c r="BA61"/>
      <c r="BB61"/>
      <c r="BC61"/>
      <c r="BD61"/>
      <c r="BE61"/>
      <c r="BF61"/>
      <c r="BG61"/>
      <c r="BH61"/>
      <c r="BI61"/>
      <c r="BJ61"/>
      <c r="BK61"/>
      <c r="BL61"/>
      <c r="BM61"/>
      <c r="BN61"/>
      <c r="BO61"/>
      <c r="BP61"/>
      <c r="BQ61"/>
      <c r="BR61"/>
      <c r="BS61"/>
      <c r="BT61"/>
      <c r="BU61"/>
      <c r="BV61"/>
      <c r="BW61"/>
      <c r="BX61"/>
      <c r="BY61"/>
      <c r="BZ61"/>
      <c r="CA61"/>
      <c r="CB61"/>
      <c r="CC61"/>
      <c r="CD61"/>
      <c r="CE61"/>
      <c r="CF61"/>
      <c r="CG61"/>
      <c r="CH61"/>
      <c r="CI61"/>
      <c r="CJ61"/>
      <c r="CK61"/>
      <c r="CL61"/>
      <c r="CM61"/>
    </row>
    <row r="62" spans="1:91" s="1" customFormat="1" x14ac:dyDescent="0.25">
      <c r="A62" s="32" t="s">
        <v>754</v>
      </c>
      <c r="B62" s="7">
        <v>4014</v>
      </c>
      <c r="C62" s="21" t="s">
        <v>202</v>
      </c>
      <c r="D62" s="21" t="s">
        <v>470</v>
      </c>
      <c r="E62" s="13">
        <v>42917.401817129627</v>
      </c>
      <c r="F62" s="13">
        <v>42917.406747685185</v>
      </c>
      <c r="G62" s="7">
        <v>1</v>
      </c>
      <c r="H62" s="21" t="s">
        <v>616</v>
      </c>
      <c r="I62" s="13">
        <v>42917.431458333333</v>
      </c>
      <c r="J62" s="7">
        <v>0</v>
      </c>
      <c r="K62" s="89" t="str">
        <f t="shared" si="0"/>
        <v>4013/4014</v>
      </c>
      <c r="L62" s="21" t="str">
        <f>VLOOKUP(A62,'Trips&amp;Operators'!$C$1:$G$99999,5,FALSE)</f>
        <v>GEBRETEKLE DAGNEW</v>
      </c>
      <c r="M62" s="6">
        <f t="shared" si="1"/>
        <v>2.47106481474475E-2</v>
      </c>
      <c r="N62" s="7">
        <f t="shared" si="23"/>
        <v>35.583333332324401</v>
      </c>
      <c r="O62" s="7"/>
      <c r="P62" s="7"/>
      <c r="Q62" s="22"/>
      <c r="R62" s="170"/>
      <c r="S62" s="213">
        <f t="shared" si="24"/>
        <v>1</v>
      </c>
      <c r="T62" s="195" t="str">
        <f t="shared" si="2"/>
        <v>NorthBound</v>
      </c>
      <c r="U62" s="195">
        <f>IF(AG62="EC",COUNTIFS(Variables!$M$2:$M$19,IF(T62="NorthBound","&gt;=","&lt;=")&amp;Y62,Variables!$M$2:$M$19,IF(T62="NorthBound","&lt;=","&gt;=")&amp;Z62),COUNTIFS(Variables!$P$2:$P$19,IF(T62="NorthBound","&gt;=","&lt;=")&amp;Y62,Variables!$P$2:$P$19,IF(T62="NorthBound","&lt;=","&gt;=")&amp;Z62))</f>
        <v>12</v>
      </c>
      <c r="V62" s="196" t="str">
        <f t="shared" si="3"/>
        <v>https://d0f6bd738d7f1b3e5a7ca70fe4ff75f0.us-east-1.aws.found.io/app/kibana#/discover/Steve-Slow-Train-Analysis-(2080s-and-2083s)?_g=(refreshInterval:(display:Off,pause:!f,section:0,value:0),time:(from:'2017-07-01T08:38:37-0600',mode:absolute,to:'2017-07-01T11:21:18-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62" s="197" t="str">
        <f>IF(AA62&lt;VLOOKUP(AG62,Variables!$AC$3:$AD$8,2,FALSE),"Y","N")</f>
        <v>N</v>
      </c>
      <c r="X62" s="197">
        <f t="shared" si="22"/>
        <v>1</v>
      </c>
      <c r="Y62" s="197">
        <f t="shared" si="5"/>
        <v>4.58E-2</v>
      </c>
      <c r="Z62" s="197">
        <f t="shared" si="6"/>
        <v>23.3353</v>
      </c>
      <c r="AA62" s="197">
        <f t="shared" si="7"/>
        <v>23.2895</v>
      </c>
      <c r="AB62" s="54" t="e">
        <f>VLOOKUP(A62,Enforcements!$C$7:$K$13,8,0)</f>
        <v>#N/A</v>
      </c>
      <c r="AC62" s="51" t="e">
        <f>VLOOKUP(A62,Enforcements!$C$7:$E$13,3,0)</f>
        <v>#N/A</v>
      </c>
      <c r="AD62" s="206">
        <f t="shared" si="8"/>
        <v>149</v>
      </c>
      <c r="AE62" s="77" t="str">
        <f t="shared" si="9"/>
        <v>aws s3 cp s3://rtdc.mdm.uploadarchive.raw/RTDC4014/ "%USERPROFILE%\AppData\Local\Temp\OnboardLogs"\RTDC4014\2017-07-01 --exclude "*" --recursive --include "*20170701*" &amp; "%USERPROFILE%\Documents\GitHub\mrs-test-scripts\Headless Mode &amp; Sideloading\WalkAndUnGZ.bat" "%USERPROFILE%\AppData\Local\Temp\OnboardLogs"\RTDC4014\2017-07-01 &amp; aws s3 cp s3://rtdc.mdm.uploadarchive.raw/RTDC4014/ "%USERPROFILE%\AppData\Local\Temp\OnboardLogs"\RTDC4014\2017-07-02 --exclude "*" --recursive --include "*20170702*" &amp; "%USERPROFILE%\Documents\GitHub\mrs-test-scripts\Headless Mode &amp; Sideloading\WalkAndUnGZ.bat" "%USERPROFILE%\AppData\Local\Temp\OnboardLogs"\RTDC4014\2017-07-02</v>
      </c>
      <c r="AF62" s="74" t="str">
        <f t="shared" si="10"/>
        <v>"C:\Program Files (x86)\AstroGrep\AstroGrep.exe" /e /r /s /spath="%USERPROFILE%\AppData\Local\Temp\OnboardLogs" /stypes="app*4014*20170701*" /stext=" 16:.+((SYSTEM_STATE.+slice.+state.+changed )|(ment ac)|(multiple cpu faults)|(system.+state.+changed )|(\[timeout)|(PRM\|1\|D)|(kpr)|(kdp)|(train st.+moving)|(\|lc)|(penalty))"</v>
      </c>
      <c r="AG62" s="209" t="str">
        <f t="shared" si="11"/>
        <v>EC</v>
      </c>
      <c r="AH62" s="78" t="str">
        <f t="shared" si="16"/>
        <v>"%USERPROFILE%\Documents\GitHub\eaglep3\Utilities\RefineRTDCRunTimes.py" --tripid 149-01 --locoid 4014 --swversion DE.1.0.9.0 --startMP 204:458 --initTime 2017-07-01T09:38:37 --startdatetime 2017-07-01T09:45:43 --delay 1 --endMP 204:233353 --enddatetime 2017-07-01T10:21:18 --enforcementcount 0 &gt;&gt;C:\Users\stu\Documents\GitHub\eaglep3-reporting\EC\2017-07-01-refined-times.txt</v>
      </c>
      <c r="AI62" s="96" t="str">
        <f t="shared" si="17"/>
        <v>echo {"issue":{"subject":"","project_id":79,"tracker_id":40,"status_id":1,"priority_id":2,"assigned_to_id":23,"start_date":"2017-07-01","description":"","custom_fields":[{"id":1,"name":"Subdivision","value":"EC"},{"id":4,"name":"Milepost","value":"23.3353"},{"id":17,"name":"Train ID","value":"149-01"},{"id":16,"name":"Locomotive ID","value":"4014"},{"id":130,"name":"Impact","value":""},{"id":150,"name":"Time of Event (Mountain Time)","value":"10:21:18"},{"id":151,"name":"Denver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2" s="20"/>
      <c r="AK62" s="47"/>
      <c r="AL62" s="47"/>
      <c r="AM62" s="142" t="str">
        <f t="shared" si="18"/>
        <v>start /low /b %USERPROFILE%\Documents\GitHub\eaglep3\Utilities\DownloadLogsFromS3.py --loco 4014 --day 2017-07-01</v>
      </c>
      <c r="AN62" s="151" t="str">
        <f t="shared" si="19"/>
        <v>echo {"issue":{"subject":"","project_id":30,"tracker_id":4,"status_id":1,"priority_id":1,"assigned_to_id":10,"start_date":"2017-07-01","description":"","custom_fields":[{"id":30,"name":"Category","value":"Issue"},{"id":3,"name":"Functional Component","value":"Onboard"},{"id":31,"name":"Version","value":"N/A"},{"id":8,"name":"Reporting RR","value":"WABTEC"},{"id":27,"name":"Locomotive ID","value":"4014"},{"id":20,"name":"RR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UTC","value":"2017-07-01 16:21:18"},{"id":29,"name":"Sharepoint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2"/>
      <c r="AP62"/>
      <c r="AQ62"/>
      <c r="AR62"/>
      <c r="AS62"/>
      <c r="AT62"/>
      <c r="AU62"/>
      <c r="AV62"/>
      <c r="AW62"/>
      <c r="AX62"/>
      <c r="AY62"/>
      <c r="AZ62"/>
      <c r="BA62"/>
      <c r="BB62"/>
      <c r="BC62"/>
      <c r="BD62"/>
      <c r="BE62"/>
      <c r="BF62"/>
      <c r="BG62"/>
      <c r="BH62"/>
      <c r="BI62"/>
      <c r="BJ62"/>
      <c r="BK62"/>
      <c r="BL62"/>
      <c r="BM62"/>
      <c r="BN62"/>
      <c r="BO62"/>
      <c r="BP62"/>
      <c r="BQ62"/>
      <c r="BR62"/>
      <c r="BS62"/>
      <c r="BT62"/>
      <c r="BU62"/>
      <c r="BV62"/>
      <c r="BW62"/>
      <c r="BX62"/>
      <c r="BY62"/>
      <c r="BZ62"/>
      <c r="CA62"/>
      <c r="CB62"/>
      <c r="CC62"/>
      <c r="CD62"/>
      <c r="CE62"/>
      <c r="CF62"/>
      <c r="CG62"/>
      <c r="CH62"/>
      <c r="CI62"/>
      <c r="CJ62"/>
      <c r="CK62"/>
      <c r="CL62"/>
      <c r="CM62"/>
    </row>
    <row r="63" spans="1:91" s="1" customFormat="1" x14ac:dyDescent="0.25">
      <c r="A63" s="32" t="s">
        <v>761</v>
      </c>
      <c r="B63" s="7">
        <v>4013</v>
      </c>
      <c r="C63" s="21" t="s">
        <v>202</v>
      </c>
      <c r="D63" s="21" t="s">
        <v>908</v>
      </c>
      <c r="E63" s="13">
        <v>42917.432939814818</v>
      </c>
      <c r="F63" s="13">
        <v>42917.446076388886</v>
      </c>
      <c r="G63" s="7">
        <v>1</v>
      </c>
      <c r="H63" s="21" t="s">
        <v>436</v>
      </c>
      <c r="I63" s="13">
        <v>42917.472881944443</v>
      </c>
      <c r="J63" s="7">
        <v>0</v>
      </c>
      <c r="K63" s="89" t="str">
        <f t="shared" si="0"/>
        <v>4013/4014</v>
      </c>
      <c r="L63" s="21" t="str">
        <f>VLOOKUP(A63,'Trips&amp;Operators'!$C$1:$G$99999,5,FALSE)</f>
        <v>GEBRETEKLE DAGNEW</v>
      </c>
      <c r="M63" s="6">
        <f t="shared" si="1"/>
        <v>2.6805555557075422E-2</v>
      </c>
      <c r="N63" s="7">
        <f t="shared" si="23"/>
        <v>38.600000002188608</v>
      </c>
      <c r="O63" s="7"/>
      <c r="P63" s="7"/>
      <c r="Q63" s="22"/>
      <c r="R63" s="170"/>
      <c r="S63" s="213">
        <f t="shared" si="24"/>
        <v>1</v>
      </c>
      <c r="T63" s="195" t="str">
        <f t="shared" si="2"/>
        <v>Southbound</v>
      </c>
      <c r="U63" s="195">
        <f>IF(AG63="EC",COUNTIFS(Variables!$M$2:$M$19,IF(T63="NorthBound","&gt;=","&lt;=")&amp;Y63,Variables!$M$2:$M$19,IF(T63="NorthBound","&lt;=","&gt;=")&amp;Z63),COUNTIFS(Variables!$P$2:$P$19,IF(T63="NorthBound","&gt;=","&lt;=")&amp;Y63,Variables!$P$2:$P$19,IF(T63="NorthBound","&lt;=","&gt;=")&amp;Z63))</f>
        <v>12</v>
      </c>
      <c r="V63" s="196" t="str">
        <f t="shared" si="3"/>
        <v>https://d0f6bd738d7f1b3e5a7ca70fe4ff75f0.us-east-1.aws.found.io/app/kibana#/discover/Steve-Slow-Train-Analysis-(2080s-and-2083s)?_g=(refreshInterval:(display:Off,pause:!f,section:0,value:0),time:(from:'2017-07-01T09:23:26-0600',mode:absolute,to:'2017-07-01T12:20:57-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63" s="197" t="str">
        <f>IF(AA63&lt;VLOOKUP(AG63,Variables!$AC$3:$AD$8,2,FALSE),"Y","N")</f>
        <v>N</v>
      </c>
      <c r="X63" s="197">
        <f t="shared" si="22"/>
        <v>1</v>
      </c>
      <c r="Y63" s="197">
        <f t="shared" si="5"/>
        <v>23.307600000000001</v>
      </c>
      <c r="Z63" s="197">
        <f t="shared" si="6"/>
        <v>1.5599999999999999E-2</v>
      </c>
      <c r="AA63" s="197">
        <f t="shared" si="7"/>
        <v>23.292000000000002</v>
      </c>
      <c r="AB63" s="54" t="e">
        <f>VLOOKUP(A63,Enforcements!$C$7:$K$13,8,0)</f>
        <v>#N/A</v>
      </c>
      <c r="AC63" s="51" t="e">
        <f>VLOOKUP(A63,Enforcements!$C$7:$E$13,3,0)</f>
        <v>#N/A</v>
      </c>
      <c r="AD63" s="206">
        <f t="shared" si="8"/>
        <v>150</v>
      </c>
      <c r="AE63" s="77" t="str">
        <f t="shared" si="9"/>
        <v>aws s3 cp s3://rtdc.mdm.uploadarchive.raw/RTDC4013/ "%USERPROFILE%\AppData\Local\Temp\OnboardLogs"\RTDC4013\2017-07-01 --exclude "*" --recursive --include "*20170701*" &amp; "%USERPROFILE%\Documents\GitHub\mrs-test-scripts\Headless Mode &amp; Sideloading\WalkAndUnGZ.bat" "%USERPROFILE%\AppData\Local\Temp\OnboardLogs"\RTDC4013\2017-07-01 &amp; aws s3 cp s3://rtdc.mdm.uploadarchive.raw/RTDC4013/ "%USERPROFILE%\AppData\Local\Temp\OnboardLogs"\RTDC4013\2017-07-02 --exclude "*" --recursive --include "*20170702*" &amp; "%USERPROFILE%\Documents\GitHub\mrs-test-scripts\Headless Mode &amp; Sideloading\WalkAndUnGZ.bat" "%USERPROFILE%\AppData\Local\Temp\OnboardLogs"\RTDC4013\2017-07-02</v>
      </c>
      <c r="AF63" s="74" t="str">
        <f t="shared" si="10"/>
        <v>"C:\Program Files (x86)\AstroGrep\AstroGrep.exe" /e /r /s /spath="%USERPROFILE%\AppData\Local\Temp\OnboardLogs" /stypes="app*4013*20170701*" /stext=" 17:.+((SYSTEM_STATE.+slice.+state.+changed )|(ment ac)|(multiple cpu faults)|(system.+state.+changed )|(\[timeout)|(PRM\|1\|D)|(kpr)|(kdp)|(train st.+moving)|(\|lc)|(penalty))"</v>
      </c>
      <c r="AG63" s="209" t="str">
        <f t="shared" si="11"/>
        <v>EC</v>
      </c>
      <c r="AH63" s="78" t="str">
        <f t="shared" si="16"/>
        <v>"%USERPROFILE%\Documents\GitHub\eaglep3\Utilities\RefineRTDCRunTimes.py" --tripid 150-01 --locoid 4013 --swversion DE.1.0.9.0 --startMP 204:233076 --initTime 2017-07-01T10:23:26 --startdatetime 2017-07-01T10:42:21 --delay 1 --endMP 204:156 --enddatetime 2017-07-01T11:20:57 --enforcementcount 0 &gt;&gt;C:\Users\stu\Documents\GitHub\eaglep3-reporting\EC\2017-07-01-refined-times.txt</v>
      </c>
      <c r="AI63" s="96" t="str">
        <f t="shared" si="17"/>
        <v>echo {"issue":{"subject":"","project_id":79,"tracker_id":40,"status_id":1,"priority_id":2,"assigned_to_id":23,"start_date":"2017-07-01","description":"","custom_fields":[{"id":1,"name":"Subdivision","value":"EC"},{"id":4,"name":"Milepost","value":"0.0156"},{"id":17,"name":"Train ID","value":"150-01"},{"id":16,"name":"Locomotive ID","value":"4013"},{"id":130,"name":"Impact","value":""},{"id":150,"name":"Time of Event (Mountain Time)","value":"11:20:57"},{"id":151,"name":"Denver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3" s="20"/>
      <c r="AK63" s="47"/>
      <c r="AL63" s="47"/>
      <c r="AM63" s="142" t="str">
        <f t="shared" si="18"/>
        <v>start /low /b %USERPROFILE%\Documents\GitHub\eaglep3\Utilities\DownloadLogsFromS3.py --loco 4013 --day 2017-07-01</v>
      </c>
      <c r="AN63" s="151" t="str">
        <f t="shared" si="19"/>
        <v>echo {"issue":{"subject":"","project_id":30,"tracker_id":4,"status_id":1,"priority_id":1,"assigned_to_id":10,"start_date":"2017-07-01","description":"","custom_fields":[{"id":30,"name":"Category","value":"Issue"},{"id":3,"name":"Functional Component","value":"Onboard"},{"id":31,"name":"Version","value":"N/A"},{"id":8,"name":"Reporting RR","value":"WABTEC"},{"id":27,"name":"Locomotive ID","value":"4013"},{"id":20,"name":"RR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UTC","value":"2017-07-01 17:20:57"},{"id":29,"name":"Sharepoint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3"/>
      <c r="AP63"/>
      <c r="AQ63"/>
      <c r="AR63"/>
      <c r="AS63"/>
      <c r="AT63"/>
      <c r="AU63"/>
      <c r="AV63"/>
      <c r="AW63"/>
      <c r="AX63"/>
      <c r="AY63"/>
      <c r="AZ63"/>
      <c r="BA63"/>
      <c r="BB63"/>
      <c r="BC63"/>
      <c r="BD63"/>
      <c r="BE63"/>
      <c r="BF63"/>
      <c r="BG63"/>
      <c r="BH63"/>
      <c r="BI63"/>
      <c r="BJ63"/>
      <c r="BK63"/>
      <c r="BL63"/>
      <c r="BM63"/>
      <c r="BN63"/>
      <c r="BO63"/>
      <c r="BP63"/>
      <c r="BQ63"/>
      <c r="BR63"/>
      <c r="BS63"/>
      <c r="BT63"/>
      <c r="BU63"/>
      <c r="BV63"/>
      <c r="BW63"/>
      <c r="BX63"/>
      <c r="BY63"/>
      <c r="BZ63"/>
      <c r="CA63"/>
      <c r="CB63"/>
      <c r="CC63"/>
      <c r="CD63"/>
      <c r="CE63"/>
      <c r="CF63"/>
      <c r="CG63"/>
      <c r="CH63"/>
      <c r="CI63"/>
      <c r="CJ63"/>
      <c r="CK63"/>
      <c r="CL63"/>
      <c r="CM63"/>
    </row>
    <row r="64" spans="1:91" s="1" customFormat="1" x14ac:dyDescent="0.25">
      <c r="A64" s="32" t="s">
        <v>756</v>
      </c>
      <c r="B64" s="7">
        <v>4062</v>
      </c>
      <c r="C64" s="21" t="s">
        <v>202</v>
      </c>
      <c r="D64" s="21" t="s">
        <v>391</v>
      </c>
      <c r="E64" s="13">
        <v>42917.412523148145</v>
      </c>
      <c r="F64" s="13">
        <v>42917.417291666665</v>
      </c>
      <c r="G64" s="7">
        <v>1</v>
      </c>
      <c r="H64" s="21" t="s">
        <v>909</v>
      </c>
      <c r="I64" s="13">
        <v>42917.440937500003</v>
      </c>
      <c r="J64" s="7">
        <v>0</v>
      </c>
      <c r="K64" s="89" t="str">
        <f t="shared" si="0"/>
        <v>4061/4062</v>
      </c>
      <c r="L64" s="21" t="str">
        <f>VLOOKUP(A64,'Trips&amp;Operators'!$C$1:$G$99999,5,FALSE)</f>
        <v>LALONDE GREGORY</v>
      </c>
      <c r="M64" s="6">
        <f t="shared" si="1"/>
        <v>2.3645833338377997E-2</v>
      </c>
      <c r="N64" s="7">
        <f t="shared" si="23"/>
        <v>34.050000007264316</v>
      </c>
      <c r="O64" s="7"/>
      <c r="P64" s="7"/>
      <c r="Q64" s="22"/>
      <c r="R64" s="170"/>
      <c r="S64" s="213">
        <f t="shared" si="24"/>
        <v>1</v>
      </c>
      <c r="T64" s="195" t="str">
        <f t="shared" si="2"/>
        <v>NorthBound</v>
      </c>
      <c r="U64" s="195">
        <f>IF(AG64="EC",COUNTIFS(Variables!$M$2:$M$19,IF(T64="NorthBound","&gt;=","&lt;=")&amp;Y64,Variables!$M$2:$M$19,IF(T64="NorthBound","&lt;=","&gt;=")&amp;Z64),COUNTIFS(Variables!$P$2:$P$19,IF(T64="NorthBound","&gt;=","&lt;=")&amp;Y64,Variables!$P$2:$P$19,IF(T64="NorthBound","&lt;=","&gt;=")&amp;Z64))</f>
        <v>12</v>
      </c>
      <c r="V64" s="196" t="str">
        <f t="shared" si="3"/>
        <v>https://d0f6bd738d7f1b3e5a7ca70fe4ff75f0.us-east-1.aws.found.io/app/kibana#/discover/Steve-Slow-Train-Analysis-(2080s-and-2083s)?_g=(refreshInterval:(display:Off,pause:!f,section:0,value:0),time:(from:'2017-07-01T08:54:02-0600',mode:absolute,to:'2017-07-01T11:34:57-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4062%22')),sort:!(Time.ISO8601,asc))</v>
      </c>
      <c r="W64" s="197" t="str">
        <f>IF(AA64&lt;VLOOKUP(AG64,Variables!$AC$3:$AD$8,2,FALSE),"Y","N")</f>
        <v>N</v>
      </c>
      <c r="X64" s="197">
        <f t="shared" si="22"/>
        <v>1</v>
      </c>
      <c r="Y64" s="197">
        <f t="shared" si="5"/>
        <v>4.6199999999999998E-2</v>
      </c>
      <c r="Z64" s="197">
        <f t="shared" si="6"/>
        <v>23.335100000000001</v>
      </c>
      <c r="AA64" s="197">
        <f t="shared" si="7"/>
        <v>23.288900000000002</v>
      </c>
      <c r="AB64" s="54" t="e">
        <f>VLOOKUP(A64,Enforcements!$C$7:$K$13,8,0)</f>
        <v>#N/A</v>
      </c>
      <c r="AC64" s="51" t="e">
        <f>VLOOKUP(A64,Enforcements!$C$7:$E$13,3,0)</f>
        <v>#N/A</v>
      </c>
      <c r="AD64" s="206">
        <f t="shared" si="8"/>
        <v>151</v>
      </c>
      <c r="AE64" s="77" t="str">
        <f t="shared" si="9"/>
        <v>aws s3 cp s3://rtdc.mdm.uploadarchive.raw/RTDC4062/ "%USERPROFILE%\AppData\Local\Temp\OnboardLogs"\RTDC4062\2017-07-01 --exclude "*" --recursive --include "*20170701*" &amp; "%USERPROFILE%\Documents\GitHub\mrs-test-scripts\Headless Mode &amp; Sideloading\WalkAndUnGZ.bat" "%USERPROFILE%\AppData\Local\Temp\OnboardLogs"\RTDC4062\2017-07-01 &amp; aws s3 cp s3://rtdc.mdm.uploadarchive.raw/RTDC4062/ "%USERPROFILE%\AppData\Local\Temp\OnboardLogs"\RTDC4062\2017-07-02 --exclude "*" --recursive --include "*20170702*" &amp; "%USERPROFILE%\Documents\GitHub\mrs-test-scripts\Headless Mode &amp; Sideloading\WalkAndUnGZ.bat" "%USERPROFILE%\AppData\Local\Temp\OnboardLogs"\RTDC4062\2017-07-02</v>
      </c>
      <c r="AF64" s="74" t="str">
        <f t="shared" si="10"/>
        <v>"C:\Program Files (x86)\AstroGrep\AstroGrep.exe" /e /r /s /spath="%USERPROFILE%\AppData\Local\Temp\OnboardLogs" /stypes="app*4062*20170701*" /stext=" 16:.+((SYSTEM_STATE.+slice.+state.+changed )|(ment ac)|(multiple cpu faults)|(system.+state.+changed )|(\[timeout)|(PRM\|1\|D)|(kpr)|(kdp)|(train st.+moving)|(\|lc)|(penalty))"</v>
      </c>
      <c r="AG64" s="209" t="str">
        <f t="shared" si="11"/>
        <v>EC</v>
      </c>
      <c r="AH64" s="78" t="str">
        <f t="shared" si="16"/>
        <v>"%USERPROFILE%\Documents\GitHub\eaglep3\Utilities\RefineRTDCRunTimes.py" --tripid 151-01 --locoid 4062 --swversion DE.1.0.9.0 --startMP 204:462 --initTime 2017-07-01T09:54:02 --startdatetime 2017-07-01T10:00:54 --delay 1 --endMP 204:233351 --enddatetime 2017-07-01T10:34:57 --enforcementcount 0 &gt;&gt;C:\Users\stu\Documents\GitHub\eaglep3-reporting\EC\2017-07-01-refined-times.txt</v>
      </c>
      <c r="AI64" s="96" t="str">
        <f t="shared" si="17"/>
        <v>echo {"issue":{"subject":"","project_id":79,"tracker_id":40,"status_id":1,"priority_id":2,"assigned_to_id":23,"start_date":"2017-07-01","description":"","custom_fields":[{"id":1,"name":"Subdivision","value":"EC"},{"id":4,"name":"Milepost","value":"23.3351"},{"id":17,"name":"Train ID","value":"151-01"},{"id":16,"name":"Locomotive ID","value":"4062"},{"id":130,"name":"Impact","value":""},{"id":150,"name":"Time of Event (Mountain Time)","value":"10:34:57"},{"id":151,"name":"Denver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4" s="20"/>
      <c r="AK64" s="47"/>
      <c r="AL64" s="47"/>
      <c r="AM64" s="142" t="str">
        <f t="shared" si="18"/>
        <v>start /low /b %USERPROFILE%\Documents\GitHub\eaglep3\Utilities\DownloadLogsFromS3.py --loco 4062 --day 2017-07-01</v>
      </c>
      <c r="AN64" s="151" t="str">
        <f t="shared" si="19"/>
        <v>echo {"issue":{"subject":"","project_id":30,"tracker_id":4,"status_id":1,"priority_id":1,"assigned_to_id":10,"start_date":"2017-07-01","description":"","custom_fields":[{"id":30,"name":"Category","value":"Issue"},{"id":3,"name":"Functional Component","value":"Onboard"},{"id":31,"name":"Version","value":"N/A"},{"id":8,"name":"Reporting RR","value":"WABTEC"},{"id":27,"name":"Locomotive ID","value":"4062"},{"id":20,"name":"RR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UTC","value":"2017-07-01 16:34:57"},{"id":29,"name":"Sharepoint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4"/>
      <c r="AP64"/>
      <c r="AQ64"/>
      <c r="AR64"/>
      <c r="AS64"/>
      <c r="AT64"/>
      <c r="AU64"/>
      <c r="AV64"/>
      <c r="AW64"/>
      <c r="AX64"/>
      <c r="AY64"/>
      <c r="AZ64"/>
      <c r="BA64"/>
      <c r="BB64"/>
      <c r="BC64"/>
      <c r="BD64"/>
      <c r="BE64"/>
      <c r="BF64"/>
      <c r="BG64"/>
      <c r="BH64"/>
      <c r="BI64"/>
      <c r="BJ64"/>
      <c r="BK64"/>
      <c r="BL64"/>
      <c r="BM64"/>
      <c r="BN64"/>
      <c r="BO64"/>
      <c r="BP64"/>
      <c r="BQ64"/>
      <c r="BR64"/>
      <c r="BS64"/>
      <c r="BT64"/>
      <c r="BU64"/>
      <c r="BV64"/>
      <c r="BW64"/>
      <c r="BX64"/>
      <c r="BY64"/>
      <c r="BZ64"/>
      <c r="CA64"/>
      <c r="CB64"/>
      <c r="CC64"/>
      <c r="CD64"/>
      <c r="CE64"/>
      <c r="CF64"/>
      <c r="CG64"/>
      <c r="CH64"/>
      <c r="CI64"/>
      <c r="CJ64"/>
      <c r="CK64"/>
      <c r="CL64"/>
      <c r="CM64"/>
    </row>
    <row r="65" spans="1:91" s="1" customFormat="1" x14ac:dyDescent="0.25">
      <c r="A65" s="32" t="s">
        <v>765</v>
      </c>
      <c r="B65" s="7">
        <v>4061</v>
      </c>
      <c r="C65" s="21" t="s">
        <v>202</v>
      </c>
      <c r="D65" s="21" t="s">
        <v>910</v>
      </c>
      <c r="E65" s="13">
        <v>42917.445451388892</v>
      </c>
      <c r="F65" s="13">
        <v>42917.456400462965</v>
      </c>
      <c r="G65" s="7">
        <v>0</v>
      </c>
      <c r="H65" s="21" t="s">
        <v>359</v>
      </c>
      <c r="I65" s="13">
        <v>42917.481909722221</v>
      </c>
      <c r="J65" s="7">
        <v>0</v>
      </c>
      <c r="K65" s="89" t="str">
        <f t="shared" si="0"/>
        <v>4061/4062</v>
      </c>
      <c r="L65" s="21" t="str">
        <f>VLOOKUP(A65,'Trips&amp;Operators'!$C$1:$G$99999,5,FALSE)</f>
        <v>LALONDE GREGORY</v>
      </c>
      <c r="M65" s="6">
        <f t="shared" si="1"/>
        <v>2.5509259256068617E-2</v>
      </c>
      <c r="N65" s="7">
        <f t="shared" si="23"/>
        <v>36.733333328738809</v>
      </c>
      <c r="O65" s="7"/>
      <c r="P65" s="7"/>
      <c r="Q65" s="22"/>
      <c r="R65" s="170"/>
      <c r="S65" s="213">
        <f t="shared" si="24"/>
        <v>1</v>
      </c>
      <c r="T65" s="195" t="str">
        <f t="shared" si="2"/>
        <v>Southbound</v>
      </c>
      <c r="U65" s="195">
        <f>IF(AG65="EC",COUNTIFS(Variables!$M$2:$M$19,IF(T65="NorthBound","&gt;=","&lt;=")&amp;Y65,Variables!$M$2:$M$19,IF(T65="NorthBound","&lt;=","&gt;=")&amp;Z65),COUNTIFS(Variables!$P$2:$P$19,IF(T65="NorthBound","&gt;=","&lt;=")&amp;Y65,Variables!$P$2:$P$19,IF(T65="NorthBound","&lt;=","&gt;=")&amp;Z65))</f>
        <v>12</v>
      </c>
      <c r="V65" s="196" t="str">
        <f t="shared" si="3"/>
        <v>https://d0f6bd738d7f1b3e5a7ca70fe4ff75f0.us-east-1.aws.found.io/app/kibana#/discover/Steve-Slow-Train-Analysis-(2080s-and-2083s)?_g=(refreshInterval:(display:Off,pause:!f,section:0,value:0),time:(from:'2017-07-01T09:41:27-0600',mode:absolute,to:'2017-07-01T12:33:57-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4061%22')),sort:!(Time.ISO8601,asc))</v>
      </c>
      <c r="W65" s="197" t="str">
        <f>IF(AA65&lt;VLOOKUP(AG65,Variables!$AC$3:$AD$8,2,FALSE),"Y","N")</f>
        <v>N</v>
      </c>
      <c r="X65" s="197">
        <f t="shared" si="22"/>
        <v>1</v>
      </c>
      <c r="Y65" s="197">
        <f t="shared" si="5"/>
        <v>23.303599999999999</v>
      </c>
      <c r="Z65" s="197">
        <f t="shared" si="6"/>
        <v>1.47E-2</v>
      </c>
      <c r="AA65" s="197">
        <f t="shared" si="7"/>
        <v>23.288899999999998</v>
      </c>
      <c r="AB65" s="54" t="e">
        <f>VLOOKUP(A65,Enforcements!$C$7:$K$13,8,0)</f>
        <v>#N/A</v>
      </c>
      <c r="AC65" s="51" t="e">
        <f>VLOOKUP(A65,Enforcements!$C$7:$E$13,3,0)</f>
        <v>#N/A</v>
      </c>
      <c r="AD65" s="206">
        <f t="shared" si="8"/>
        <v>152</v>
      </c>
      <c r="AE65" s="77" t="str">
        <f t="shared" si="9"/>
        <v>aws s3 cp s3://rtdc.mdm.uploadarchive.raw/RTDC4061/ "%USERPROFILE%\AppData\Local\Temp\OnboardLogs"\RTDC4061\2017-07-01 --exclude "*" --recursive --include "*20170701*" &amp; "%USERPROFILE%\Documents\GitHub\mrs-test-scripts\Headless Mode &amp; Sideloading\WalkAndUnGZ.bat" "%USERPROFILE%\AppData\Local\Temp\OnboardLogs"\RTDC4061\2017-07-01 &amp; aws s3 cp s3://rtdc.mdm.uploadarchive.raw/RTDC4061/ "%USERPROFILE%\AppData\Local\Temp\OnboardLogs"\RTDC4061\2017-07-02 --exclude "*" --recursive --include "*20170702*" &amp; "%USERPROFILE%\Documents\GitHub\mrs-test-scripts\Headless Mode &amp; Sideloading\WalkAndUnGZ.bat" "%USERPROFILE%\AppData\Local\Temp\OnboardLogs"\RTDC4061\2017-07-02</v>
      </c>
      <c r="AF65" s="74" t="str">
        <f t="shared" si="10"/>
        <v>"C:\Program Files (x86)\AstroGrep\AstroGrep.exe" /e /r /s /spath="%USERPROFILE%\AppData\Local\Temp\OnboardLogs" /stypes="app*4061*20170701*" /stext=" 17:.+((SYSTEM_STATE.+slice.+state.+changed )|(ment ac)|(multiple cpu faults)|(system.+state.+changed )|(\[timeout)|(PRM\|1\|D)|(kpr)|(kdp)|(train st.+moving)|(\|lc)|(penalty))"</v>
      </c>
      <c r="AG65" s="209" t="str">
        <f t="shared" si="11"/>
        <v>EC</v>
      </c>
      <c r="AH65" s="78" t="str">
        <f t="shared" si="16"/>
        <v>"%USERPROFILE%\Documents\GitHub\eaglep3\Utilities\RefineRTDCRunTimes.py" --tripid 152-01 --locoid 4061 --swversion DE.1.0.9.0 --startMP 204:233036 --initTime 2017-07-01T10:41:27 --startdatetime 2017-07-01T10:57:13 --delay 0 --endMP 204:147 --enddatetime 2017-07-01T11:33:57 --enforcementcount 0 &gt;&gt;C:\Users\stu\Documents\GitHub\eaglep3-reporting\EC\2017-07-01-refined-times.txt</v>
      </c>
      <c r="AI65" s="96" t="str">
        <f t="shared" si="17"/>
        <v>echo {"issue":{"subject":"","project_id":79,"tracker_id":40,"status_id":1,"priority_id":2,"assigned_to_id":23,"start_date":"2017-07-01","description":"","custom_fields":[{"id":1,"name":"Subdivision","value":"EC"},{"id":4,"name":"Milepost","value":"0.0147"},{"id":17,"name":"Train ID","value":"152-01"},{"id":16,"name":"Locomotive ID","value":"4061"},{"id":130,"name":"Impact","value":""},{"id":150,"name":"Time of Event (Mountain Time)","value":"11:33:57"},{"id":151,"name":"Denver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5" s="20"/>
      <c r="AK65" s="47"/>
      <c r="AL65" s="47"/>
      <c r="AM65" s="142" t="str">
        <f t="shared" si="18"/>
        <v>start /low /b %USERPROFILE%\Documents\GitHub\eaglep3\Utilities\DownloadLogsFromS3.py --loco 4061 --day 2017-07-01</v>
      </c>
      <c r="AN65" s="151" t="str">
        <f t="shared" si="19"/>
        <v>echo {"issue":{"subject":"","project_id":30,"tracker_id":4,"status_id":1,"priority_id":1,"assigned_to_id":10,"start_date":"2017-07-01","description":"","custom_fields":[{"id":30,"name":"Category","value":"Issue"},{"id":3,"name":"Functional Component","value":"Onboard"},{"id":31,"name":"Version","value":"N/A"},{"id":8,"name":"Reporting RR","value":"WABTEC"},{"id":27,"name":"Locomotive ID","value":"4061"},{"id":20,"name":"RR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UTC","value":"2017-07-01 17:33:57"},{"id":29,"name":"Sharepoint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5"/>
      <c r="AP65"/>
      <c r="AQ65"/>
      <c r="AR65"/>
      <c r="AS65"/>
      <c r="AT65"/>
      <c r="AU65"/>
      <c r="AV65"/>
      <c r="AW65"/>
      <c r="AX65"/>
      <c r="AY65"/>
      <c r="AZ65"/>
      <c r="BA65"/>
      <c r="BB65"/>
      <c r="BC65"/>
      <c r="BD65"/>
      <c r="BE65"/>
      <c r="BF65"/>
      <c r="BG65"/>
      <c r="BH65"/>
      <c r="BI65"/>
      <c r="BJ65"/>
      <c r="BK65"/>
      <c r="BL65"/>
      <c r="BM65"/>
      <c r="BN65"/>
      <c r="BO65"/>
      <c r="BP65"/>
      <c r="BQ65"/>
      <c r="BR65"/>
      <c r="BS65"/>
      <c r="BT65"/>
      <c r="BU65"/>
      <c r="BV65"/>
      <c r="BW65"/>
      <c r="BX65"/>
      <c r="BY65"/>
      <c r="BZ65"/>
      <c r="CA65"/>
      <c r="CB65"/>
      <c r="CC65"/>
      <c r="CD65"/>
      <c r="CE65"/>
      <c r="CF65"/>
      <c r="CG65"/>
      <c r="CH65"/>
      <c r="CI65"/>
      <c r="CJ65"/>
      <c r="CK65"/>
      <c r="CL65"/>
      <c r="CM65"/>
    </row>
    <row r="66" spans="1:91" s="1" customFormat="1" x14ac:dyDescent="0.25">
      <c r="A66" s="32" t="s">
        <v>759</v>
      </c>
      <c r="B66" s="7">
        <v>4008</v>
      </c>
      <c r="C66" s="21" t="s">
        <v>202</v>
      </c>
      <c r="D66" s="21" t="s">
        <v>343</v>
      </c>
      <c r="E66" s="13">
        <v>42917.423530092594</v>
      </c>
      <c r="F66" s="13">
        <v>42917.42759259259</v>
      </c>
      <c r="G66" s="7">
        <v>1</v>
      </c>
      <c r="H66" s="21" t="s">
        <v>911</v>
      </c>
      <c r="I66" s="13">
        <v>42917.452291666668</v>
      </c>
      <c r="J66" s="7">
        <v>0</v>
      </c>
      <c r="K66" s="89" t="str">
        <f t="shared" si="0"/>
        <v>4007/4008</v>
      </c>
      <c r="L66" s="21" t="str">
        <f>VLOOKUP(A66,'Trips&amp;Operators'!$C$1:$G$99999,5,FALSE)</f>
        <v>NEWELL JAMES</v>
      </c>
      <c r="M66" s="6">
        <f t="shared" si="1"/>
        <v>2.4699074077943806E-2</v>
      </c>
      <c r="N66" s="7">
        <f t="shared" si="23"/>
        <v>35.56666667223908</v>
      </c>
      <c r="O66" s="7"/>
      <c r="P66" s="7"/>
      <c r="Q66" s="22"/>
      <c r="R66" s="170"/>
      <c r="S66" s="213">
        <f t="shared" si="24"/>
        <v>1</v>
      </c>
      <c r="T66" s="195" t="str">
        <f t="shared" si="2"/>
        <v>NorthBound</v>
      </c>
      <c r="U66" s="195">
        <f>IF(AG66="EC",COUNTIFS(Variables!$M$2:$M$19,IF(T66="NorthBound","&gt;=","&lt;=")&amp;Y66,Variables!$M$2:$M$19,IF(T66="NorthBound","&lt;=","&gt;=")&amp;Z66),COUNTIFS(Variables!$P$2:$P$19,IF(T66="NorthBound","&gt;=","&lt;=")&amp;Y66,Variables!$P$2:$P$19,IF(T66="NorthBound","&lt;=","&gt;=")&amp;Z66))</f>
        <v>12</v>
      </c>
      <c r="V66" s="196" t="str">
        <f t="shared" si="3"/>
        <v>https://d0f6bd738d7f1b3e5a7ca70fe4ff75f0.us-east-1.aws.found.io/app/kibana#/discover/Steve-Slow-Train-Analysis-(2080s-and-2083s)?_g=(refreshInterval:(display:Off,pause:!f,section:0,value:0),time:(from:'2017-07-01T09:09:53-0600',mode:absolute,to:'2017-07-01T11:51:18-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66" s="197" t="str">
        <f>IF(AA66&lt;VLOOKUP(AG66,Variables!$AC$3:$AD$8,2,FALSE),"Y","N")</f>
        <v>N</v>
      </c>
      <c r="X66" s="197">
        <f t="shared" si="22"/>
        <v>1</v>
      </c>
      <c r="Y66" s="197">
        <f t="shared" si="5"/>
        <v>4.4900000000000002E-2</v>
      </c>
      <c r="Z66" s="197">
        <f t="shared" si="6"/>
        <v>23.329899999999999</v>
      </c>
      <c r="AA66" s="197">
        <f t="shared" si="7"/>
        <v>23.285</v>
      </c>
      <c r="AB66" s="54" t="e">
        <f>VLOOKUP(A66,Enforcements!$C$7:$K$13,8,0)</f>
        <v>#N/A</v>
      </c>
      <c r="AC66" s="51" t="e">
        <f>VLOOKUP(A66,Enforcements!$C$7:$E$13,3,0)</f>
        <v>#N/A</v>
      </c>
      <c r="AD66" s="206">
        <f t="shared" si="8"/>
        <v>153</v>
      </c>
      <c r="AE66" s="77" t="str">
        <f t="shared" si="9"/>
        <v>aws s3 cp s3://rtdc.mdm.uploadarchive.raw/RTDC4008/ "%USERPROFILE%\AppData\Local\Temp\OnboardLogs"\RTDC4008\2017-07-01 --exclude "*" --recursive --include "*20170701*" &amp; "%USERPROFILE%\Documents\GitHub\mrs-test-scripts\Headless Mode &amp; Sideloading\WalkAndUnGZ.bat" "%USERPROFILE%\AppData\Local\Temp\OnboardLogs"\RTDC4008\2017-07-01 &amp; aws s3 cp s3://rtdc.mdm.uploadarchive.raw/RTDC4008/ "%USERPROFILE%\AppData\Local\Temp\OnboardLogs"\RTDC4008\2017-07-02 --exclude "*" --recursive --include "*20170702*" &amp; "%USERPROFILE%\Documents\GitHub\mrs-test-scripts\Headless Mode &amp; Sideloading\WalkAndUnGZ.bat" "%USERPROFILE%\AppData\Local\Temp\OnboardLogs"\RTDC4008\2017-07-02</v>
      </c>
      <c r="AF66" s="74" t="str">
        <f t="shared" si="10"/>
        <v>"C:\Program Files (x86)\AstroGrep\AstroGrep.exe" /e /r /s /spath="%USERPROFILE%\AppData\Local\Temp\OnboardLogs" /stypes="app*4008*20170701*" /stext=" 16:.+((SYSTEM_STATE.+slice.+state.+changed )|(ment ac)|(multiple cpu faults)|(system.+state.+changed )|(\[timeout)|(PRM\|1\|D)|(kpr)|(kdp)|(train st.+moving)|(\|lc)|(penalty))"</v>
      </c>
      <c r="AG66" s="209" t="str">
        <f t="shared" si="11"/>
        <v>EC</v>
      </c>
      <c r="AH66" s="78" t="str">
        <f t="shared" si="16"/>
        <v>"%USERPROFILE%\Documents\GitHub\eaglep3\Utilities\RefineRTDCRunTimes.py" --tripid 153-01 --locoid 4008 --swversion DE.1.0.9.0 --startMP 204:449 --initTime 2017-07-01T10:09:53 --startdatetime 2017-07-01T10:15:44 --delay 1 --endMP 204:233299 --enddatetime 2017-07-01T10:51:18 --enforcementcount 0 &gt;&gt;C:\Users\stu\Documents\GitHub\eaglep3-reporting\EC\2017-07-01-refined-times.txt</v>
      </c>
      <c r="AI66" s="96" t="str">
        <f t="shared" si="17"/>
        <v>echo {"issue":{"subject":"","project_id":79,"tracker_id":40,"status_id":1,"priority_id":2,"assigned_to_id":23,"start_date":"2017-07-01","description":"","custom_fields":[{"id":1,"name":"Subdivision","value":"EC"},{"id":4,"name":"Milepost","value":"23.3299"},{"id":17,"name":"Train ID","value":"153-01"},{"id":16,"name":"Locomotive ID","value":"4008"},{"id":130,"name":"Impact","value":""},{"id":150,"name":"Time of Event (Mountain Time)","value":"10:51:18"},{"id":151,"name":"Denver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6" s="20"/>
      <c r="AK66" s="47"/>
      <c r="AL66" s="47"/>
      <c r="AM66" s="142" t="str">
        <f t="shared" si="18"/>
        <v>start /low /b %USERPROFILE%\Documents\GitHub\eaglep3\Utilities\DownloadLogsFromS3.py --loco 4008 --day 2017-07-01</v>
      </c>
      <c r="AN66" s="151" t="str">
        <f t="shared" si="19"/>
        <v>echo {"issue":{"subject":"","project_id":30,"tracker_id":4,"status_id":1,"priority_id":1,"assigned_to_id":10,"start_date":"2017-07-01","description":"","custom_fields":[{"id":30,"name":"Category","value":"Issue"},{"id":3,"name":"Functional Component","value":"Onboard"},{"id":31,"name":"Version","value":"N/A"},{"id":8,"name":"Reporting RR","value":"WABTEC"},{"id":27,"name":"Locomotive ID","value":"4008"},{"id":20,"name":"RR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UTC","value":"2017-07-01 16:51:18"},{"id":29,"name":"Sharepoint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6"/>
      <c r="AP66"/>
      <c r="AQ66"/>
      <c r="AR66"/>
      <c r="AS66"/>
      <c r="AT66"/>
      <c r="AU66"/>
      <c r="AV66"/>
      <c r="AW66"/>
      <c r="AX66"/>
      <c r="AY66"/>
      <c r="AZ66"/>
      <c r="BA66"/>
      <c r="BB66"/>
      <c r="BC66"/>
      <c r="BD66"/>
      <c r="BE66"/>
      <c r="BF66"/>
      <c r="BG66"/>
      <c r="BH66"/>
      <c r="BI66"/>
      <c r="BJ66"/>
      <c r="BK66"/>
      <c r="BL66"/>
      <c r="BM66"/>
      <c r="BN66"/>
      <c r="BO66"/>
      <c r="BP66"/>
      <c r="BQ66"/>
      <c r="BR66"/>
      <c r="BS66"/>
      <c r="BT66"/>
      <c r="BU66"/>
      <c r="BV66"/>
      <c r="BW66"/>
      <c r="BX66"/>
      <c r="BY66"/>
      <c r="BZ66"/>
      <c r="CA66"/>
      <c r="CB66"/>
      <c r="CC66"/>
      <c r="CD66"/>
      <c r="CE66"/>
      <c r="CF66"/>
      <c r="CG66"/>
      <c r="CH66"/>
      <c r="CI66"/>
      <c r="CJ66"/>
      <c r="CK66"/>
      <c r="CL66"/>
      <c r="CM66"/>
    </row>
    <row r="67" spans="1:91" s="1" customFormat="1" x14ac:dyDescent="0.25">
      <c r="A67" s="32" t="s">
        <v>766</v>
      </c>
      <c r="B67" s="7">
        <v>4007</v>
      </c>
      <c r="C67" s="21" t="s">
        <v>202</v>
      </c>
      <c r="D67" s="21" t="s">
        <v>466</v>
      </c>
      <c r="E67" s="13">
        <v>42917.456608796296</v>
      </c>
      <c r="F67" s="13">
        <v>42917.466817129629</v>
      </c>
      <c r="G67" s="7">
        <v>1</v>
      </c>
      <c r="H67" s="21" t="s">
        <v>193</v>
      </c>
      <c r="I67" s="13">
        <v>42917.492268518516</v>
      </c>
      <c r="J67" s="7">
        <v>0</v>
      </c>
      <c r="K67" s="89" t="str">
        <f t="shared" si="0"/>
        <v>4007/4008</v>
      </c>
      <c r="L67" s="21" t="str">
        <f>VLOOKUP(A67,'Trips&amp;Operators'!$C$1:$G$99999,5,FALSE)</f>
        <v>NEWELL JAMES</v>
      </c>
      <c r="M67" s="6">
        <f t="shared" si="1"/>
        <v>2.545138888672227E-2</v>
      </c>
      <c r="N67" s="7">
        <f t="shared" si="23"/>
        <v>36.649999996880069</v>
      </c>
      <c r="O67" s="7"/>
      <c r="P67" s="7"/>
      <c r="Q67" s="22"/>
      <c r="R67" s="170"/>
      <c r="S67" s="213">
        <f t="shared" si="24"/>
        <v>1</v>
      </c>
      <c r="T67" s="195" t="str">
        <f t="shared" si="2"/>
        <v>Southbound</v>
      </c>
      <c r="U67" s="195">
        <f>IF(AG67="EC",COUNTIFS(Variables!$M$2:$M$19,IF(T67="NorthBound","&gt;=","&lt;=")&amp;Y67,Variables!$M$2:$M$19,IF(T67="NorthBound","&lt;=","&gt;=")&amp;Z67),COUNTIFS(Variables!$P$2:$P$19,IF(T67="NorthBound","&gt;=","&lt;=")&amp;Y67,Variables!$P$2:$P$19,IF(T67="NorthBound","&lt;=","&gt;=")&amp;Z67))</f>
        <v>12</v>
      </c>
      <c r="V67" s="196" t="str">
        <f t="shared" si="3"/>
        <v>https://d0f6bd738d7f1b3e5a7ca70fe4ff75f0.us-east-1.aws.found.io/app/kibana#/discover/Steve-Slow-Train-Analysis-(2080s-and-2083s)?_g=(refreshInterval:(display:Off,pause:!f,section:0,value:0),time:(from:'2017-07-01T09:57:31-0600',mode:absolute,to:'2017-07-01T12:48:52-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67" s="197" t="str">
        <f>IF(AA67&lt;VLOOKUP(AG67,Variables!$AC$3:$AD$8,2,FALSE),"Y","N")</f>
        <v>N</v>
      </c>
      <c r="X67" s="197">
        <f t="shared" si="22"/>
        <v>1</v>
      </c>
      <c r="Y67" s="197">
        <f t="shared" si="5"/>
        <v>23.297699999999999</v>
      </c>
      <c r="Z67" s="197">
        <f t="shared" si="6"/>
        <v>1.52E-2</v>
      </c>
      <c r="AA67" s="197">
        <f t="shared" si="7"/>
        <v>23.282499999999999</v>
      </c>
      <c r="AB67" s="54" t="e">
        <f>VLOOKUP(A67,Enforcements!$C$7:$K$13,8,0)</f>
        <v>#N/A</v>
      </c>
      <c r="AC67" s="51" t="e">
        <f>VLOOKUP(A67,Enforcements!$C$7:$E$13,3,0)</f>
        <v>#N/A</v>
      </c>
      <c r="AD67" s="206">
        <f t="shared" si="8"/>
        <v>154</v>
      </c>
      <c r="AE67" s="77" t="str">
        <f t="shared" si="9"/>
        <v>aws s3 cp s3://rtdc.mdm.uploadarchive.raw/RTDC4007/ "%USERPROFILE%\AppData\Local\Temp\OnboardLogs"\RTDC4007\2017-07-01 --exclude "*" --recursive --include "*20170701*" &amp; "%USERPROFILE%\Documents\GitHub\mrs-test-scripts\Headless Mode &amp; Sideloading\WalkAndUnGZ.bat" "%USERPROFILE%\AppData\Local\Temp\OnboardLogs"\RTDC4007\2017-07-01 &amp; aws s3 cp s3://rtdc.mdm.uploadarchive.raw/RTDC4007/ "%USERPROFILE%\AppData\Local\Temp\OnboardLogs"\RTDC4007\2017-07-02 --exclude "*" --recursive --include "*20170702*" &amp; "%USERPROFILE%\Documents\GitHub\mrs-test-scripts\Headless Mode &amp; Sideloading\WalkAndUnGZ.bat" "%USERPROFILE%\AppData\Local\Temp\OnboardLogs"\RTDC4007\2017-07-02</v>
      </c>
      <c r="AF67" s="74" t="str">
        <f t="shared" si="10"/>
        <v>"C:\Program Files (x86)\AstroGrep\AstroGrep.exe" /e /r /s /spath="%USERPROFILE%\AppData\Local\Temp\OnboardLogs" /stypes="app*4007*20170701*" /stext=" 17:.+((SYSTEM_STATE.+slice.+state.+changed )|(ment ac)|(multiple cpu faults)|(system.+state.+changed )|(\[timeout)|(PRM\|1\|D)|(kpr)|(kdp)|(train st.+moving)|(\|lc)|(penalty))"</v>
      </c>
      <c r="AG67" s="209" t="str">
        <f t="shared" si="11"/>
        <v>EC</v>
      </c>
      <c r="AH67" s="78" t="str">
        <f t="shared" si="16"/>
        <v>"%USERPROFILE%\Documents\GitHub\eaglep3\Utilities\RefineRTDCRunTimes.py" --tripid 154-01 --locoid 4007 --swversion DE.1.0.9.0 --startMP 204:232977 --initTime 2017-07-01T10:57:31 --startdatetime 2017-07-01T11:12:13 --delay 1 --endMP 204:152 --enddatetime 2017-07-01T11:48:52 --enforcementcount 0 &gt;&gt;C:\Users\stu\Documents\GitHub\eaglep3-reporting\EC\2017-07-01-refined-times.txt</v>
      </c>
      <c r="AI67" s="96" t="str">
        <f t="shared" si="17"/>
        <v>echo {"issue":{"subject":"","project_id":79,"tracker_id":40,"status_id":1,"priority_id":2,"assigned_to_id":23,"start_date":"2017-07-01","description":"","custom_fields":[{"id":1,"name":"Subdivision","value":"EC"},{"id":4,"name":"Milepost","value":"0.0152"},{"id":17,"name":"Train ID","value":"154-01"},{"id":16,"name":"Locomotive ID","value":"4007"},{"id":130,"name":"Impact","value":""},{"id":150,"name":"Time of Event (Mountain Time)","value":"11:48:52"},{"id":151,"name":"Denver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7" s="20"/>
      <c r="AK67" s="47"/>
      <c r="AL67" s="47"/>
      <c r="AM67" s="142" t="str">
        <f t="shared" si="18"/>
        <v>start /low /b %USERPROFILE%\Documents\GitHub\eaglep3\Utilities\DownloadLogsFromS3.py --loco 4007 --day 2017-07-01</v>
      </c>
      <c r="AN67" s="151" t="str">
        <f t="shared" si="19"/>
        <v>echo {"issue":{"subject":"","project_id":30,"tracker_id":4,"status_id":1,"priority_id":1,"assigned_to_id":10,"start_date":"2017-07-01","description":"","custom_fields":[{"id":30,"name":"Category","value":"Issue"},{"id":3,"name":"Functional Component","value":"Onboard"},{"id":31,"name":"Version","value":"N/A"},{"id":8,"name":"Reporting RR","value":"WABTEC"},{"id":27,"name":"Locomotive ID","value":"4007"},{"id":20,"name":"RR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UTC","value":"2017-07-01 17:48:52"},{"id":29,"name":"Sharepoint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7"/>
      <c r="AP67"/>
      <c r="AQ67"/>
      <c r="AR67"/>
      <c r="AS67"/>
      <c r="AT67"/>
      <c r="AU67"/>
      <c r="AV67"/>
      <c r="AW67"/>
      <c r="AX67"/>
      <c r="AY67"/>
      <c r="AZ67"/>
      <c r="BA67"/>
      <c r="BB67"/>
      <c r="BC67"/>
      <c r="BD67"/>
      <c r="BE67"/>
      <c r="BF67"/>
      <c r="BG67"/>
      <c r="BH67"/>
      <c r="BI67"/>
      <c r="BJ67"/>
      <c r="BK67"/>
      <c r="BL67"/>
      <c r="BM67"/>
      <c r="BN67"/>
      <c r="BO67"/>
      <c r="BP67"/>
      <c r="BQ67"/>
      <c r="BR67"/>
      <c r="BS67"/>
      <c r="BT67"/>
      <c r="BU67"/>
      <c r="BV67"/>
      <c r="BW67"/>
      <c r="BX67"/>
      <c r="BY67"/>
      <c r="BZ67"/>
      <c r="CA67"/>
      <c r="CB67"/>
      <c r="CC67"/>
      <c r="CD67"/>
      <c r="CE67"/>
      <c r="CF67"/>
      <c r="CG67"/>
      <c r="CH67"/>
      <c r="CI67"/>
      <c r="CJ67"/>
      <c r="CK67"/>
      <c r="CL67"/>
      <c r="CM67"/>
    </row>
    <row r="68" spans="1:91" s="1" customFormat="1" x14ac:dyDescent="0.25">
      <c r="A68" s="32" t="s">
        <v>760</v>
      </c>
      <c r="B68" s="7">
        <v>4056</v>
      </c>
      <c r="C68" s="21" t="s">
        <v>202</v>
      </c>
      <c r="D68" s="21" t="s">
        <v>391</v>
      </c>
      <c r="E68" s="13">
        <v>42917.432835648149</v>
      </c>
      <c r="F68" s="13">
        <v>42917.438043981485</v>
      </c>
      <c r="G68" s="7">
        <v>1</v>
      </c>
      <c r="H68" s="21" t="s">
        <v>912</v>
      </c>
      <c r="I68" s="13">
        <v>42917.463530092595</v>
      </c>
      <c r="J68" s="7">
        <v>0</v>
      </c>
      <c r="K68" s="89" t="str">
        <f t="shared" si="0"/>
        <v>4055/4056</v>
      </c>
      <c r="L68" s="21" t="str">
        <f>VLOOKUP(A68,'Trips&amp;Operators'!$C$1:$G$99999,5,FALSE)</f>
        <v>DAVIDSON DAVID</v>
      </c>
      <c r="M68" s="6">
        <f t="shared" si="1"/>
        <v>2.548611110978527E-2</v>
      </c>
      <c r="N68" s="7">
        <f t="shared" si="23"/>
        <v>36.699999998090789</v>
      </c>
      <c r="O68" s="7"/>
      <c r="P68" s="7"/>
      <c r="Q68" s="22"/>
      <c r="R68" s="170"/>
      <c r="S68" s="213">
        <f t="shared" si="24"/>
        <v>1</v>
      </c>
      <c r="T68" s="195" t="str">
        <f t="shared" si="2"/>
        <v>NorthBound</v>
      </c>
      <c r="U68" s="195">
        <f>IF(AG68="EC",COUNTIFS(Variables!$M$2:$M$19,IF(T68="NorthBound","&gt;=","&lt;=")&amp;Y68,Variables!$M$2:$M$19,IF(T68="NorthBound","&lt;=","&gt;=")&amp;Z68),COUNTIFS(Variables!$P$2:$P$19,IF(T68="NorthBound","&gt;=","&lt;=")&amp;Y68,Variables!$P$2:$P$19,IF(T68="NorthBound","&lt;=","&gt;=")&amp;Z68))</f>
        <v>12</v>
      </c>
      <c r="V68" s="196" t="str">
        <f t="shared" si="3"/>
        <v>https://d0f6bd738d7f1b3e5a7ca70fe4ff75f0.us-east-1.aws.found.io/app/kibana#/discover/Steve-Slow-Train-Analysis-(2080s-and-2083s)?_g=(refreshInterval:(display:Off,pause:!f,section:0,value:0),time:(from:'2017-07-01T09:23:17-0600',mode:absolute,to:'2017-07-01T12:07:29-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4056%22')),sort:!(Time.ISO8601,asc))</v>
      </c>
      <c r="W68" s="197" t="str">
        <f>IF(AA68&lt;VLOOKUP(AG68,Variables!$AC$3:$AD$8,2,FALSE),"Y","N")</f>
        <v>N</v>
      </c>
      <c r="X68" s="197">
        <f t="shared" si="22"/>
        <v>1</v>
      </c>
      <c r="Y68" s="197">
        <f t="shared" si="5"/>
        <v>4.6199999999999998E-2</v>
      </c>
      <c r="Z68" s="197">
        <f t="shared" si="6"/>
        <v>23.331499999999998</v>
      </c>
      <c r="AA68" s="197">
        <f t="shared" si="7"/>
        <v>23.285299999999999</v>
      </c>
      <c r="AB68" s="54" t="e">
        <f>VLOOKUP(A68,Enforcements!$C$7:$K$13,8,0)</f>
        <v>#N/A</v>
      </c>
      <c r="AC68" s="51" t="e">
        <f>VLOOKUP(A68,Enforcements!$C$7:$E$13,3,0)</f>
        <v>#N/A</v>
      </c>
      <c r="AD68" s="206">
        <f t="shared" si="8"/>
        <v>155</v>
      </c>
      <c r="AE68" s="77" t="str">
        <f t="shared" si="9"/>
        <v>aws s3 cp s3://rtdc.mdm.uploadarchive.raw/RTDC4056/ "%USERPROFILE%\AppData\Local\Temp\OnboardLogs"\RTDC4056\2017-07-01 --exclude "*" --recursive --include "*20170701*" &amp; "%USERPROFILE%\Documents\GitHub\mrs-test-scripts\Headless Mode &amp; Sideloading\WalkAndUnGZ.bat" "%USERPROFILE%\AppData\Local\Temp\OnboardLogs"\RTDC4056\2017-07-01 &amp; aws s3 cp s3://rtdc.mdm.uploadarchive.raw/RTDC4056/ "%USERPROFILE%\AppData\Local\Temp\OnboardLogs"\RTDC4056\2017-07-02 --exclude "*" --recursive --include "*20170702*" &amp; "%USERPROFILE%\Documents\GitHub\mrs-test-scripts\Headless Mode &amp; Sideloading\WalkAndUnGZ.bat" "%USERPROFILE%\AppData\Local\Temp\OnboardLogs"\RTDC4056\2017-07-02</v>
      </c>
      <c r="AF68" s="74" t="str">
        <f t="shared" si="10"/>
        <v>"C:\Program Files (x86)\AstroGrep\AstroGrep.exe" /e /r /s /spath="%USERPROFILE%\AppData\Local\Temp\OnboardLogs" /stypes="app*4056*20170701*" /stext=" 17:.+((SYSTEM_STATE.+slice.+state.+changed )|(ment ac)|(multiple cpu faults)|(system.+state.+changed )|(\[timeout)|(PRM\|1\|D)|(kpr)|(kdp)|(train st.+moving)|(\|lc)|(penalty))"</v>
      </c>
      <c r="AG68" s="209" t="str">
        <f t="shared" si="11"/>
        <v>EC</v>
      </c>
      <c r="AH68" s="78" t="str">
        <f t="shared" si="16"/>
        <v>"%USERPROFILE%\Documents\GitHub\eaglep3\Utilities\RefineRTDCRunTimes.py" --tripid 155-01 --locoid 4056 --swversion DE.1.0.9.0 --startMP 204:462 --initTime 2017-07-01T10:23:17 --startdatetime 2017-07-01T10:30:47 --delay 1 --endMP 204:233315 --enddatetime 2017-07-01T11:07:29 --enforcementcount 0 &gt;&gt;C:\Users\stu\Documents\GitHub\eaglep3-reporting\EC\2017-07-01-refined-times.txt</v>
      </c>
      <c r="AI68" s="96" t="str">
        <f t="shared" si="17"/>
        <v>echo {"issue":{"subject":"","project_id":79,"tracker_id":40,"status_id":1,"priority_id":2,"assigned_to_id":23,"start_date":"2017-07-01","description":"","custom_fields":[{"id":1,"name":"Subdivision","value":"EC"},{"id":4,"name":"Milepost","value":"23.3315"},{"id":17,"name":"Train ID","value":"155-01"},{"id":16,"name":"Locomotive ID","value":"4056"},{"id":130,"name":"Impact","value":""},{"id":150,"name":"Time of Event (Mountain Time)","value":"11:07:29"},{"id":151,"name":"Denver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8" s="20"/>
      <c r="AK68" s="47"/>
      <c r="AL68" s="47"/>
      <c r="AM68" s="142" t="str">
        <f t="shared" si="18"/>
        <v>start /low /b %USERPROFILE%\Documents\GitHub\eaglep3\Utilities\DownloadLogsFromS3.py --loco 4056 --day 2017-07-01</v>
      </c>
      <c r="AN68" s="151" t="str">
        <f t="shared" si="19"/>
        <v>echo {"issue":{"subject":"","project_id":30,"tracker_id":4,"status_id":1,"priority_id":1,"assigned_to_id":10,"start_date":"2017-07-01","description":"","custom_fields":[{"id":30,"name":"Category","value":"Issue"},{"id":3,"name":"Functional Component","value":"Onboard"},{"id":31,"name":"Version","value":"N/A"},{"id":8,"name":"Reporting RR","value":"WABTEC"},{"id":27,"name":"Locomotive ID","value":"4056"},{"id":20,"name":"RR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UTC","value":"2017-07-01 17:07:29"},{"id":29,"name":"Sharepoint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8"/>
      <c r="AP68"/>
      <c r="AQ68"/>
      <c r="AR68"/>
      <c r="AS68"/>
      <c r="AT68"/>
      <c r="AU68"/>
      <c r="AV68"/>
      <c r="AW68"/>
      <c r="AX68"/>
      <c r="AY68"/>
      <c r="AZ68"/>
      <c r="BA68"/>
      <c r="BB68"/>
      <c r="BC68"/>
      <c r="BD68"/>
      <c r="BE68"/>
      <c r="BF68"/>
      <c r="BG68"/>
      <c r="BH68"/>
      <c r="BI68"/>
      <c r="BJ68"/>
      <c r="BK68"/>
      <c r="BL68"/>
      <c r="BM68"/>
      <c r="BN68"/>
      <c r="BO68"/>
      <c r="BP68"/>
      <c r="BQ68"/>
      <c r="BR68"/>
      <c r="BS68"/>
      <c r="BT68"/>
      <c r="BU68"/>
      <c r="BV68"/>
      <c r="BW68"/>
      <c r="BX68"/>
      <c r="BY68"/>
      <c r="BZ68"/>
      <c r="CA68"/>
      <c r="CB68"/>
      <c r="CC68"/>
      <c r="CD68"/>
      <c r="CE68"/>
      <c r="CF68"/>
      <c r="CG68"/>
      <c r="CH68"/>
      <c r="CI68"/>
      <c r="CJ68"/>
      <c r="CK68"/>
      <c r="CL68"/>
      <c r="CM68"/>
    </row>
    <row r="69" spans="1:91" s="1" customFormat="1" x14ac:dyDescent="0.25">
      <c r="A69" s="32" t="s">
        <v>648</v>
      </c>
      <c r="B69" s="7">
        <v>4055</v>
      </c>
      <c r="C69" s="21" t="s">
        <v>202</v>
      </c>
      <c r="D69" s="21" t="s">
        <v>913</v>
      </c>
      <c r="E69" s="13">
        <v>42917.501747685186</v>
      </c>
      <c r="F69" s="13">
        <v>42917.502488425926</v>
      </c>
      <c r="G69" s="7">
        <v>1</v>
      </c>
      <c r="H69" s="21" t="s">
        <v>193</v>
      </c>
      <c r="I69" s="13">
        <v>42917.507256944446</v>
      </c>
      <c r="J69" s="7">
        <v>1</v>
      </c>
      <c r="K69" s="89" t="str">
        <f t="shared" si="0"/>
        <v>4055/4056</v>
      </c>
      <c r="L69" s="21" t="str">
        <f>VLOOKUP(A69,'Trips&amp;Operators'!$C$1:$G$99999,5,FALSE)</f>
        <v>DAVIDSON DAVID</v>
      </c>
      <c r="M69" s="6">
        <f t="shared" si="1"/>
        <v>4.7685185199952684E-3</v>
      </c>
      <c r="N69" s="7"/>
      <c r="O69" s="7"/>
      <c r="P69" s="7">
        <f>24*60*SUM($M69:$M70)</f>
        <v>55.816666670143604</v>
      </c>
      <c r="Q69" s="22"/>
      <c r="R69" s="170" t="s">
        <v>1037</v>
      </c>
      <c r="S69" s="213">
        <f>SUM(U69:U70)/IF(AG69="EC",12,1)</f>
        <v>1</v>
      </c>
      <c r="T69" s="195" t="str">
        <f t="shared" si="2"/>
        <v>Southbound</v>
      </c>
      <c r="U69" s="195">
        <f>IF(AG69="EC",COUNTIFS(Variables!$M$2:$M$19,IF(T69="NorthBound","&gt;=","&lt;=")&amp;Y69,Variables!$M$2:$M$19,IF(T69="NorthBound","&lt;=","&gt;=")&amp;Z69),COUNTIFS(Variables!$P$2:$P$19,IF(T69="NorthBound","&gt;=","&lt;=")&amp;Y69,Variables!$P$2:$P$19,IF(T69="NorthBound","&lt;=","&gt;=")&amp;Z69))</f>
        <v>0</v>
      </c>
      <c r="V69" s="196" t="str">
        <f t="shared" si="3"/>
        <v>https://d0f6bd738d7f1b3e5a7ca70fe4ff75f0.us-east-1.aws.found.io/app/kibana#/discover/Steve-Slow-Train-Analysis-(2080s-and-2083s)?_g=(refreshInterval:(display:Off,pause:!f,section:0,value:0),time:(from:'2017-07-01T11:02:31-0600',mode:absolute,to:'2017-07-01T13:10:27-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4055%22')),sort:!(Time.ISO8601,asc))</v>
      </c>
      <c r="W69" s="197" t="str">
        <f>IF(AA69&lt;VLOOKUP(AG69,Variables!$AC$3:$AD$8,2,FALSE),"Y","N")</f>
        <v>Y</v>
      </c>
      <c r="X69" s="197">
        <f t="shared" si="22"/>
        <v>1</v>
      </c>
      <c r="Y69" s="197">
        <f t="shared" si="5"/>
        <v>1.8772</v>
      </c>
      <c r="Z69" s="197">
        <f t="shared" si="6"/>
        <v>1.52E-2</v>
      </c>
      <c r="AA69" s="197">
        <f t="shared" si="7"/>
        <v>1.8619999999999999</v>
      </c>
      <c r="AB69" s="54" t="e">
        <f>VLOOKUP(A69,Enforcements!$C$7:$K$13,8,0)</f>
        <v>#N/A</v>
      </c>
      <c r="AC69" s="51" t="e">
        <f>VLOOKUP(A69,Enforcements!$C$7:$E$13,3,0)</f>
        <v>#N/A</v>
      </c>
      <c r="AD69" s="206">
        <f t="shared" si="8"/>
        <v>156</v>
      </c>
      <c r="AE69" s="77" t="str">
        <f t="shared" si="9"/>
        <v>aws s3 cp s3://rtdc.mdm.uploadarchive.raw/RTDC4055/ "%USERPROFILE%\AppData\Local\Temp\OnboardLogs"\RTDC4055\2017-07-01 --exclude "*" --recursive --include "*20170701*" &amp; "%USERPROFILE%\Documents\GitHub\mrs-test-scripts\Headless Mode &amp; Sideloading\WalkAndUnGZ.bat" "%USERPROFILE%\AppData\Local\Temp\OnboardLogs"\RTDC4055\2017-07-01 &amp; aws s3 cp s3://rtdc.mdm.uploadarchive.raw/RTDC4055/ "%USERPROFILE%\AppData\Local\Temp\OnboardLogs"\RTDC4055\2017-07-02 --exclude "*" --recursive --include "*20170702*" &amp; "%USERPROFILE%\Documents\GitHub\mrs-test-scripts\Headless Mode &amp; Sideloading\WalkAndUnGZ.bat" "%USERPROFILE%\AppData\Local\Temp\OnboardLogs"\RTDC4055\2017-07-02</v>
      </c>
      <c r="AF69" s="74" t="str">
        <f t="shared" si="10"/>
        <v>"C:\Program Files (x86)\AstroGrep\AstroGrep.exe" /e /r /s /spath="%USERPROFILE%\AppData\Local\Temp\OnboardLogs" /stypes="app*4055*20170701*" /stext=" 18:.+((SYSTEM_STATE.+slice.+state.+changed )|(ment ac)|(multiple cpu faults)|(system.+state.+changed )|(\[timeout)|(PRM\|1\|D)|(kpr)|(kdp)|(train st.+moving)|(\|lc)|(penalty))"</v>
      </c>
      <c r="AG69" s="209" t="str">
        <f t="shared" si="11"/>
        <v>EC</v>
      </c>
      <c r="AH69" s="78" t="str">
        <f t="shared" si="16"/>
        <v>"%USERPROFILE%\Documents\GitHub\eaglep3\Utilities\RefineRTDCRunTimes.py" --tripid 156-01 --locoid 4055 --swversion DE.1.0.9.0 --startMP 204:18772 --initTime 2017-07-01T12:02:31 --startdatetime 2017-07-01T12:03:35 --delay 1 --endMP 204:152 --enddatetime 2017-07-01T12:10:27 --enforcementcount 1 &gt;&gt;C:\Users\stu\Documents\GitHub\eaglep3-reporting\EC\2017-07-01-refined-times.txt</v>
      </c>
      <c r="AI69" s="96" t="str">
        <f t="shared" si="17"/>
        <v>echo {"issue":{"subject":"Minor onboard in-route failure caused comm outage","project_id":79,"tracker_id":40,"status_id":1,"priority_id":2,"assigned_to_id":23,"start_date":"2017-07-01","description":"","custom_fields":[{"id":1,"name":"Subdivision","value":"EC"},{"id":4,"name":"Milepost","value":"0.0152"},{"id":17,"name":"Train ID","value":"156-01"},{"id":16,"name":"Locomotive ID","value":"4055"},{"id":130,"name":"Impact","value":""},{"id":150,"name":"Time of Event (Mountain Time)","value":"12:10:27"},{"id":151,"name":"Denver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9" s="20"/>
      <c r="AK69" s="47"/>
      <c r="AL69" s="47"/>
      <c r="AM69" s="142" t="str">
        <f t="shared" si="18"/>
        <v>start /low /b %USERPROFILE%\Documents\GitHub\eaglep3\Utilities\DownloadLogsFromS3.py --loco 4055 --day 2017-07-01</v>
      </c>
      <c r="AN69" s="151" t="str">
        <f t="shared" si="19"/>
        <v>echo {"issue":{"subject":"Minor onboard in-route failure caused comm outage","project_id":30,"tracker_id":4,"status_id":1,"priority_id":1,"assigned_to_id":10,"start_date":"2017-07-01","description":"","custom_fields":[{"id":30,"name":"Category","value":"Issue"},{"id":3,"name":"Functional Component","value":"Onboard"},{"id":31,"name":"Version","value":"N/A"},{"id":8,"name":"Reporting RR","value":"WABTEC"},{"id":27,"name":"Locomotive ID","value":"4055"},{"id":20,"name":"RR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UTC","value":"2017-07-01 18:10:27"},{"id":29,"name":"Sharepoint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9"/>
      <c r="AP69"/>
      <c r="AQ69"/>
      <c r="AR69"/>
      <c r="AS69"/>
      <c r="AT69"/>
      <c r="AU69"/>
      <c r="AV69"/>
      <c r="AW69"/>
      <c r="AX69"/>
      <c r="AY69"/>
      <c r="AZ69"/>
      <c r="BA69"/>
      <c r="BB69"/>
      <c r="BC69"/>
      <c r="BD69"/>
      <c r="BE69"/>
      <c r="BF69"/>
      <c r="BG69"/>
      <c r="BH69"/>
      <c r="BI69"/>
      <c r="BJ69"/>
      <c r="BK69"/>
      <c r="BL69"/>
      <c r="BM69"/>
      <c r="BN69"/>
      <c r="BO69"/>
      <c r="BP69"/>
      <c r="BQ69"/>
      <c r="BR69"/>
      <c r="BS69"/>
      <c r="BT69"/>
      <c r="BU69"/>
      <c r="BV69"/>
      <c r="BW69"/>
      <c r="BX69"/>
      <c r="BY69"/>
      <c r="BZ69"/>
      <c r="CA69"/>
      <c r="CB69"/>
      <c r="CC69"/>
      <c r="CD69"/>
      <c r="CE69"/>
      <c r="CF69"/>
      <c r="CG69"/>
      <c r="CH69"/>
      <c r="CI69"/>
      <c r="CJ69"/>
      <c r="CK69"/>
      <c r="CL69"/>
      <c r="CM69"/>
    </row>
    <row r="70" spans="1:91" s="1" customFormat="1" x14ac:dyDescent="0.25">
      <c r="A70" s="32" t="s">
        <v>648</v>
      </c>
      <c r="B70" s="7">
        <v>4055</v>
      </c>
      <c r="C70" s="21" t="s">
        <v>202</v>
      </c>
      <c r="D70" s="21" t="s">
        <v>602</v>
      </c>
      <c r="E70" s="13">
        <v>42917.465127314812</v>
      </c>
      <c r="F70" s="13">
        <v>42917.466006944444</v>
      </c>
      <c r="G70" s="7">
        <v>1</v>
      </c>
      <c r="H70" s="21" t="s">
        <v>914</v>
      </c>
      <c r="I70" s="13">
        <v>42917.5</v>
      </c>
      <c r="J70" s="7"/>
      <c r="K70" s="89" t="str">
        <f t="shared" si="0"/>
        <v>4055/4056</v>
      </c>
      <c r="L70" s="21" t="str">
        <f>VLOOKUP(A70,'Trips&amp;Operators'!$C$1:$G$99999,5,FALSE)</f>
        <v>DAVIDSON DAVID</v>
      </c>
      <c r="M70" s="6">
        <f t="shared" si="1"/>
        <v>3.3993055556493346E-2</v>
      </c>
      <c r="N70" s="7"/>
      <c r="O70" s="7"/>
      <c r="P70" s="7"/>
      <c r="Q70" s="22"/>
      <c r="R70" s="170"/>
      <c r="S70" s="213"/>
      <c r="T70" s="195" t="str">
        <f t="shared" si="2"/>
        <v>Southbound</v>
      </c>
      <c r="U70" s="195">
        <f>IF(AG70="EC",COUNTIFS(Variables!$M$2:$M$19,IF(T70="NorthBound","&gt;=","&lt;=")&amp;Y70,Variables!$M$2:$M$19,IF(T70="NorthBound","&lt;=","&gt;=")&amp;Z70),COUNTIFS(Variables!$P$2:$P$19,IF(T70="NorthBound","&gt;=","&lt;=")&amp;Y70,Variables!$P$2:$P$19,IF(T70="NorthBound","&lt;=","&gt;=")&amp;Z70))</f>
        <v>12</v>
      </c>
      <c r="V70" s="196" t="str">
        <f t="shared" si="3"/>
        <v>https://d0f6bd738d7f1b3e5a7ca70fe4ff75f0.us-east-1.aws.found.io/app/kibana#/discover/Steve-Slow-Train-Analysis-(2080s-and-2083s)?_g=(refreshInterval:(display:Off,pause:!f,section:0,value:0),time:(from:'2017-07-01T10:09:47-0600',mode:absolute,to:'2017-07-01T13:00:00-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4055%22')),sort:!(Time.ISO8601,asc))</v>
      </c>
      <c r="W70" s="197" t="str">
        <f>IF(AA70&lt;VLOOKUP(AG70,Variables!$AC$3:$AD$8,2,FALSE),"Y","N")</f>
        <v>Y</v>
      </c>
      <c r="X70" s="197">
        <f t="shared" si="22"/>
        <v>0</v>
      </c>
      <c r="Y70" s="197">
        <f t="shared" si="5"/>
        <v>23.299299999999999</v>
      </c>
      <c r="Z70" s="197">
        <f t="shared" si="6"/>
        <v>2.1440999999999999</v>
      </c>
      <c r="AA70" s="197">
        <f t="shared" si="7"/>
        <v>21.155200000000001</v>
      </c>
      <c r="AB70" s="54" t="e">
        <f>VLOOKUP(A70,Enforcements!$C$7:$K$13,8,0)</f>
        <v>#N/A</v>
      </c>
      <c r="AC70" s="51" t="e">
        <f>VLOOKUP(A70,Enforcements!$C$7:$E$13,3,0)</f>
        <v>#N/A</v>
      </c>
      <c r="AD70" s="206">
        <f t="shared" si="8"/>
        <v>156</v>
      </c>
      <c r="AE70" s="77" t="str">
        <f t="shared" si="9"/>
        <v>aws s3 cp s3://rtdc.mdm.uploadarchive.raw/RTDC4055/ "%USERPROFILE%\AppData\Local\Temp\OnboardLogs"\RTDC4055\2017-07-01 --exclude "*" --recursive --include "*20170701*" &amp; "%USERPROFILE%\Documents\GitHub\mrs-test-scripts\Headless Mode &amp; Sideloading\WalkAndUnGZ.bat" "%USERPROFILE%\AppData\Local\Temp\OnboardLogs"\RTDC4055\2017-07-01 &amp; aws s3 cp s3://rtdc.mdm.uploadarchive.raw/RTDC4055/ "%USERPROFILE%\AppData\Local\Temp\OnboardLogs"\RTDC4055\2017-07-02 --exclude "*" --recursive --include "*20170702*" &amp; "%USERPROFILE%\Documents\GitHub\mrs-test-scripts\Headless Mode &amp; Sideloading\WalkAndUnGZ.bat" "%USERPROFILE%\AppData\Local\Temp\OnboardLogs"\RTDC4055\2017-07-02</v>
      </c>
      <c r="AF70" s="74" t="str">
        <f t="shared" si="10"/>
        <v>"C:\Program Files (x86)\AstroGrep\AstroGrep.exe" /e /r /s /spath="%USERPROFILE%\AppData\Local\Temp\OnboardLogs" /stypes="app*4055*20170701*" /stext=" 18:.+((SYSTEM_STATE.+slice.+state.+changed )|(ment ac)|(multiple cpu faults)|(system.+state.+changed )|(\[timeout)|(PRM\|1\|D)|(kpr)|(kdp)|(train st.+moving)|(\|lc)|(penalty))"</v>
      </c>
      <c r="AG70" s="209" t="str">
        <f t="shared" si="11"/>
        <v>EC</v>
      </c>
      <c r="AH70" s="78" t="str">
        <f t="shared" si="16"/>
        <v>"%USERPROFILE%\Documents\GitHub\eaglep3\Utilities\RefineRTDCRunTimes.py" --tripid 156-01 --locoid 4055 --swversion DE.1.0.9.0 --startMP 204:232993 --initTime 2017-07-01T11:09:47 --startdatetime 2017-07-01T11:11:03 --delay 1 --endMP 204:21441 --enddatetime 2017-07-01T12:00:00 --enforcementcount  &gt;&gt;C:\Users\stu\Documents\GitHub\eaglep3-reporting\EC\2017-07-01-refined-times.txt</v>
      </c>
      <c r="AI70" s="96" t="str">
        <f t="shared" si="17"/>
        <v>echo {"issue":{"subject":"","project_id":79,"tracker_id":40,"status_id":1,"priority_id":2,"assigned_to_id":23,"start_date":"2017-07-01","description":"","custom_fields":[{"id":1,"name":"Subdivision","value":"EC"},{"id":4,"name":"Milepost","value":"2.1441"},{"id":17,"name":"Train ID","value":"156-01"},{"id":16,"name":"Locomotive ID","value":"4055"},{"id":130,"name":"Impact","value":""},{"id":150,"name":"Time of Event (Mountain Time)","value":"12:00:00"},{"id":151,"name":"Denver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0" s="20"/>
      <c r="AK70" s="47"/>
      <c r="AL70" s="47"/>
      <c r="AM70" s="142" t="str">
        <f t="shared" si="18"/>
        <v>start /low /b %USERPROFILE%\Documents\GitHub\eaglep3\Utilities\DownloadLogsFromS3.py --loco 4055 --day 2017-07-01</v>
      </c>
      <c r="AN70" s="151" t="str">
        <f t="shared" si="19"/>
        <v>echo {"issue":{"subject":"","project_id":30,"tracker_id":4,"status_id":1,"priority_id":1,"assigned_to_id":10,"start_date":"2017-07-01","description":"","custom_fields":[{"id":30,"name":"Category","value":"Issue"},{"id":3,"name":"Functional Component","value":"Onboard"},{"id":31,"name":"Version","value":"N/A"},{"id":8,"name":"Reporting RR","value":"WABTEC"},{"id":27,"name":"Locomotive ID","value":"4055"},{"id":20,"name":"RR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UTC","value":"2017-07-01 18:00:00"},{"id":29,"name":"Sharepoint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0"/>
      <c r="AP70"/>
      <c r="AQ70"/>
      <c r="AR70"/>
      <c r="AS70"/>
      <c r="AT70"/>
      <c r="AU70"/>
      <c r="AV70"/>
      <c r="AW70"/>
      <c r="AX70"/>
      <c r="AY70"/>
      <c r="AZ70"/>
      <c r="BA70"/>
      <c r="BB70"/>
      <c r="BC70"/>
      <c r="BD70"/>
      <c r="BE70"/>
      <c r="BF70"/>
      <c r="BG70"/>
      <c r="BH70"/>
      <c r="BI70"/>
      <c r="BJ70"/>
      <c r="BK70"/>
      <c r="BL70"/>
      <c r="BM70"/>
      <c r="BN70"/>
      <c r="BO70"/>
      <c r="BP70"/>
      <c r="BQ70"/>
      <c r="BR70"/>
      <c r="BS70"/>
      <c r="BT70"/>
      <c r="BU70"/>
      <c r="BV70"/>
      <c r="BW70"/>
      <c r="BX70"/>
      <c r="BY70"/>
      <c r="BZ70"/>
      <c r="CA70"/>
      <c r="CB70"/>
      <c r="CC70"/>
      <c r="CD70"/>
      <c r="CE70"/>
      <c r="CF70"/>
      <c r="CG70"/>
      <c r="CH70"/>
      <c r="CI70"/>
      <c r="CJ70"/>
      <c r="CK70"/>
      <c r="CL70"/>
      <c r="CM70"/>
    </row>
    <row r="71" spans="1:91" s="1" customFormat="1" x14ac:dyDescent="0.25">
      <c r="A71" s="32" t="s">
        <v>764</v>
      </c>
      <c r="B71" s="7">
        <v>4018</v>
      </c>
      <c r="C71" s="21" t="s">
        <v>202</v>
      </c>
      <c r="D71" s="21" t="s">
        <v>343</v>
      </c>
      <c r="E71" s="13">
        <v>42917.442708333336</v>
      </c>
      <c r="F71" s="13">
        <v>42917.448425925926</v>
      </c>
      <c r="G71" s="7">
        <v>1</v>
      </c>
      <c r="H71" s="21" t="s">
        <v>915</v>
      </c>
      <c r="I71" s="13">
        <v>42917.473599537036</v>
      </c>
      <c r="J71" s="7">
        <v>0</v>
      </c>
      <c r="K71" s="89" t="str">
        <f t="shared" si="0"/>
        <v>4017/4018</v>
      </c>
      <c r="L71" s="21" t="str">
        <f>VLOOKUP(A71,'Trips&amp;Operators'!$C$1:$G$99999,5,FALSE)</f>
        <v>STEWART MICHAEL</v>
      </c>
      <c r="M71" s="6">
        <f t="shared" si="1"/>
        <v>2.5173611109494232E-2</v>
      </c>
      <c r="N71" s="7">
        <f t="shared" ref="N71:N90" si="25">24*60*SUM($M71:$M71)</f>
        <v>36.249999997671694</v>
      </c>
      <c r="O71" s="7"/>
      <c r="P71" s="7"/>
      <c r="Q71" s="22"/>
      <c r="R71" s="170"/>
      <c r="S71" s="213">
        <f t="shared" ref="S71:S102" si="26">SUM(U71:U71)/IF(AG71="EC",12,1)</f>
        <v>1</v>
      </c>
      <c r="T71" s="195" t="str">
        <f t="shared" si="2"/>
        <v>NorthBound</v>
      </c>
      <c r="U71" s="195">
        <f>IF(AG71="EC",COUNTIFS(Variables!$M$2:$M$19,IF(T71="NorthBound","&gt;=","&lt;=")&amp;Y71,Variables!$M$2:$M$19,IF(T71="NorthBound","&lt;=","&gt;=")&amp;Z71),COUNTIFS(Variables!$P$2:$P$19,IF(T71="NorthBound","&gt;=","&lt;=")&amp;Y71,Variables!$P$2:$P$19,IF(T71="NorthBound","&lt;=","&gt;=")&amp;Z71))</f>
        <v>12</v>
      </c>
      <c r="V71" s="196" t="str">
        <f t="shared" si="3"/>
        <v>https://d0f6bd738d7f1b3e5a7ca70fe4ff75f0.us-east-1.aws.found.io/app/kibana#/discover/Steve-Slow-Train-Analysis-(2080s-and-2083s)?_g=(refreshInterval:(display:Off,pause:!f,section:0,value:0),time:(from:'2017-07-01T09:37:30-0600',mode:absolute,to:'2017-07-01T12:21:59-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71" s="197" t="str">
        <f>IF(AA71&lt;VLOOKUP(AG71,Variables!$AC$3:$AD$8,2,FALSE),"Y","N")</f>
        <v>N</v>
      </c>
      <c r="X71" s="197">
        <f t="shared" si="22"/>
        <v>1</v>
      </c>
      <c r="Y71" s="197">
        <f t="shared" si="5"/>
        <v>4.4900000000000002E-2</v>
      </c>
      <c r="Z71" s="197">
        <f t="shared" si="6"/>
        <v>23.328800000000001</v>
      </c>
      <c r="AA71" s="197">
        <f t="shared" si="7"/>
        <v>23.283900000000003</v>
      </c>
      <c r="AB71" s="54" t="e">
        <f>VLOOKUP(A71,Enforcements!$C$7:$K$13,8,0)</f>
        <v>#N/A</v>
      </c>
      <c r="AC71" s="51" t="e">
        <f>VLOOKUP(A71,Enforcements!$C$7:$E$13,3,0)</f>
        <v>#N/A</v>
      </c>
      <c r="AD71" s="206">
        <f t="shared" si="8"/>
        <v>157</v>
      </c>
      <c r="AE71" s="77" t="str">
        <f t="shared" si="9"/>
        <v>aws s3 cp s3://rtdc.mdm.uploadarchive.raw/RTDC4018/ "%USERPROFILE%\AppData\Local\Temp\OnboardLogs"\RTDC4018\2017-07-01 --exclude "*" --recursive --include "*20170701*" &amp; "%USERPROFILE%\Documents\GitHub\mrs-test-scripts\Headless Mode &amp; Sideloading\WalkAndUnGZ.bat" "%USERPROFILE%\AppData\Local\Temp\OnboardLogs"\RTDC4018\2017-07-01 &amp; aws s3 cp s3://rtdc.mdm.uploadarchive.raw/RTDC4018/ "%USERPROFILE%\AppData\Local\Temp\OnboardLogs"\RTDC4018\2017-07-02 --exclude "*" --recursive --include "*20170702*" &amp; "%USERPROFILE%\Documents\GitHub\mrs-test-scripts\Headless Mode &amp; Sideloading\WalkAndUnGZ.bat" "%USERPROFILE%\AppData\Local\Temp\OnboardLogs"\RTDC4018\2017-07-02</v>
      </c>
      <c r="AF71" s="74" t="str">
        <f t="shared" si="10"/>
        <v>"C:\Program Files (x86)\AstroGrep\AstroGrep.exe" /e /r /s /spath="%USERPROFILE%\AppData\Local\Temp\OnboardLogs" /stypes="app*4018*20170701*" /stext=" 17:.+((SYSTEM_STATE.+slice.+state.+changed )|(ment ac)|(multiple cpu faults)|(system.+state.+changed )|(\[timeout)|(PRM\|1\|D)|(kpr)|(kdp)|(train st.+moving)|(\|lc)|(penalty))"</v>
      </c>
      <c r="AG71" s="209" t="str">
        <f t="shared" si="11"/>
        <v>EC</v>
      </c>
      <c r="AH71" s="78" t="str">
        <f t="shared" si="16"/>
        <v>"%USERPROFILE%\Documents\GitHub\eaglep3\Utilities\RefineRTDCRunTimes.py" --tripid 157-01 --locoid 4018 --swversion DE.1.0.9.0 --startMP 204:449 --initTime 2017-07-01T10:37:30 --startdatetime 2017-07-01T10:45:44 --delay 1 --endMP 204:233288 --enddatetime 2017-07-01T11:21:59 --enforcementcount 0 &gt;&gt;C:\Users\stu\Documents\GitHub\eaglep3-reporting\EC\2017-07-01-refined-times.txt</v>
      </c>
      <c r="AI71" s="96" t="str">
        <f t="shared" si="17"/>
        <v>echo {"issue":{"subject":"","project_id":79,"tracker_id":40,"status_id":1,"priority_id":2,"assigned_to_id":23,"start_date":"2017-07-01","description":"","custom_fields":[{"id":1,"name":"Subdivision","value":"EC"},{"id":4,"name":"Milepost","value":"23.3288"},{"id":17,"name":"Train ID","value":"157-01"},{"id":16,"name":"Locomotive ID","value":"4018"},{"id":130,"name":"Impact","value":""},{"id":150,"name":"Time of Event (Mountain Time)","value":"11:21:59"},{"id":151,"name":"Denver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1" s="20"/>
      <c r="AK71" s="47"/>
      <c r="AL71" s="47"/>
      <c r="AM71" s="142" t="str">
        <f t="shared" si="18"/>
        <v>start /low /b %USERPROFILE%\Documents\GitHub\eaglep3\Utilities\DownloadLogsFromS3.py --loco 4018 --day 2017-07-01</v>
      </c>
      <c r="AN71" s="151" t="str">
        <f t="shared" si="19"/>
        <v>echo {"issue":{"subject":"","project_id":30,"tracker_id":4,"status_id":1,"priority_id":1,"assigned_to_id":10,"start_date":"2017-07-01","description":"","custom_fields":[{"id":30,"name":"Category","value":"Issue"},{"id":3,"name":"Functional Component","value":"Onboard"},{"id":31,"name":"Version","value":"N/A"},{"id":8,"name":"Reporting RR","value":"WABTEC"},{"id":27,"name":"Locomotive ID","value":"4018"},{"id":20,"name":"RR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UTC","value":"2017-07-01 17:21:59"},{"id":29,"name":"Sharepoint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1"/>
      <c r="AP71"/>
      <c r="AQ71"/>
      <c r="AR71"/>
      <c r="AS71"/>
      <c r="AT71"/>
      <c r="AU71"/>
      <c r="AV71"/>
      <c r="AW71"/>
      <c r="AX71"/>
      <c r="AY71"/>
      <c r="AZ71"/>
      <c r="BA71"/>
      <c r="BB71"/>
      <c r="BC71"/>
      <c r="BD71"/>
      <c r="BE71"/>
      <c r="BF71"/>
      <c r="BG71"/>
      <c r="BH71"/>
      <c r="BI71"/>
      <c r="BJ71"/>
      <c r="BK71"/>
      <c r="BL71"/>
      <c r="BM71"/>
      <c r="BN71"/>
      <c r="BO71"/>
      <c r="BP71"/>
      <c r="BQ71"/>
      <c r="BR71"/>
      <c r="BS71"/>
      <c r="BT71"/>
      <c r="BU71"/>
      <c r="BV71"/>
      <c r="BW71"/>
      <c r="BX71"/>
      <c r="BY71"/>
      <c r="BZ71"/>
      <c r="CA71"/>
      <c r="CB71"/>
      <c r="CC71"/>
      <c r="CD71"/>
      <c r="CE71"/>
      <c r="CF71"/>
      <c r="CG71"/>
      <c r="CH71"/>
      <c r="CI71"/>
      <c r="CJ71"/>
      <c r="CK71"/>
      <c r="CL71"/>
      <c r="CM71"/>
    </row>
    <row r="72" spans="1:91" s="1" customFormat="1" x14ac:dyDescent="0.25">
      <c r="A72" s="32" t="s">
        <v>776</v>
      </c>
      <c r="B72" s="7">
        <v>4017</v>
      </c>
      <c r="C72" s="21" t="s">
        <v>202</v>
      </c>
      <c r="D72" s="21" t="s">
        <v>916</v>
      </c>
      <c r="E72" s="13">
        <v>42917.485497685186</v>
      </c>
      <c r="F72" s="13">
        <v>42917.487824074073</v>
      </c>
      <c r="G72" s="7">
        <v>1</v>
      </c>
      <c r="H72" s="21" t="s">
        <v>436</v>
      </c>
      <c r="I72" s="13">
        <v>42917.514398148145</v>
      </c>
      <c r="J72" s="7">
        <v>0</v>
      </c>
      <c r="K72" s="89" t="str">
        <f t="shared" si="0"/>
        <v>4017/4018</v>
      </c>
      <c r="L72" s="21" t="str">
        <f>VLOOKUP(A72,'Trips&amp;Operators'!$C$1:$G$99999,5,FALSE)</f>
        <v>STEWART MICHAEL</v>
      </c>
      <c r="M72" s="6">
        <f t="shared" si="1"/>
        <v>2.6574074072414078E-2</v>
      </c>
      <c r="N72" s="7">
        <f t="shared" si="25"/>
        <v>38.266666664276272</v>
      </c>
      <c r="O72" s="7"/>
      <c r="P72" s="7"/>
      <c r="Q72" s="22"/>
      <c r="R72" s="170"/>
      <c r="S72" s="213">
        <f t="shared" si="26"/>
        <v>1</v>
      </c>
      <c r="T72" s="195" t="str">
        <f t="shared" si="2"/>
        <v>Southbound</v>
      </c>
      <c r="U72" s="195">
        <f>IF(AG72="EC",COUNTIFS(Variables!$M$2:$M$19,IF(T72="NorthBound","&gt;=","&lt;=")&amp;Y72,Variables!$M$2:$M$19,IF(T72="NorthBound","&lt;=","&gt;=")&amp;Z72),COUNTIFS(Variables!$P$2:$P$19,IF(T72="NorthBound","&gt;=","&lt;=")&amp;Y72,Variables!$P$2:$P$19,IF(T72="NorthBound","&lt;=","&gt;=")&amp;Z72))</f>
        <v>12</v>
      </c>
      <c r="V72" s="196" t="str">
        <f t="shared" si="3"/>
        <v>https://d0f6bd738d7f1b3e5a7ca70fe4ff75f0.us-east-1.aws.found.io/app/kibana#/discover/Steve-Slow-Train-Analysis-(2080s-and-2083s)?_g=(refreshInterval:(display:Off,pause:!f,section:0,value:0),time:(from:'2017-07-01T10:39:07-0600',mode:absolute,to:'2017-07-01T13:20:44-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72" s="197" t="str">
        <f>IF(AA72&lt;VLOOKUP(AG72,Variables!$AC$3:$AD$8,2,FALSE),"Y","N")</f>
        <v>N</v>
      </c>
      <c r="X72" s="197">
        <f t="shared" si="22"/>
        <v>1</v>
      </c>
      <c r="Y72" s="197">
        <f t="shared" si="5"/>
        <v>23.296500000000002</v>
      </c>
      <c r="Z72" s="197">
        <f t="shared" si="6"/>
        <v>1.5599999999999999E-2</v>
      </c>
      <c r="AA72" s="197">
        <f t="shared" si="7"/>
        <v>23.280900000000003</v>
      </c>
      <c r="AB72" s="54" t="e">
        <f>VLOOKUP(A72,Enforcements!$C$7:$K$13,8,0)</f>
        <v>#N/A</v>
      </c>
      <c r="AC72" s="51" t="e">
        <f>VLOOKUP(A72,Enforcements!$C$7:$E$13,3,0)</f>
        <v>#N/A</v>
      </c>
      <c r="AD72" s="206">
        <f t="shared" si="8"/>
        <v>158</v>
      </c>
      <c r="AE72" s="77" t="str">
        <f t="shared" si="9"/>
        <v>aws s3 cp s3://rtdc.mdm.uploadarchive.raw/RTDC4017/ "%USERPROFILE%\AppData\Local\Temp\OnboardLogs"\RTDC4017\2017-07-01 --exclude "*" --recursive --include "*20170701*" &amp; "%USERPROFILE%\Documents\GitHub\mrs-test-scripts\Headless Mode &amp; Sideloading\WalkAndUnGZ.bat" "%USERPROFILE%\AppData\Local\Temp\OnboardLogs"\RTDC4017\2017-07-01 &amp; aws s3 cp s3://rtdc.mdm.uploadarchive.raw/RTDC4017/ "%USERPROFILE%\AppData\Local\Temp\OnboardLogs"\RTDC4017\2017-07-02 --exclude "*" --recursive --include "*20170702*" &amp; "%USERPROFILE%\Documents\GitHub\mrs-test-scripts\Headless Mode &amp; Sideloading\WalkAndUnGZ.bat" "%USERPROFILE%\AppData\Local\Temp\OnboardLogs"\RTDC4017\2017-07-02</v>
      </c>
      <c r="AF72" s="74" t="str">
        <f t="shared" si="10"/>
        <v>"C:\Program Files (x86)\AstroGrep\AstroGrep.exe" /e /r /s /spath="%USERPROFILE%\AppData\Local\Temp\OnboardLogs" /stypes="app*4017*20170701*" /stext=" 18:.+((SYSTEM_STATE.+slice.+state.+changed )|(ment ac)|(multiple cpu faults)|(system.+state.+changed )|(\[timeout)|(PRM\|1\|D)|(kpr)|(kdp)|(train st.+moving)|(\|lc)|(penalty))"</v>
      </c>
      <c r="AG72" s="209" t="str">
        <f t="shared" si="11"/>
        <v>EC</v>
      </c>
      <c r="AH72" s="78" t="str">
        <f t="shared" si="16"/>
        <v>"%USERPROFILE%\Documents\GitHub\eaglep3\Utilities\RefineRTDCRunTimes.py" --tripid 158-01 --locoid 4017 --swversion DE.1.0.9.0 --startMP 204:232965 --initTime 2017-07-01T11:39:07 --startdatetime 2017-07-01T11:42:28 --delay 1 --endMP 204:156 --enddatetime 2017-07-01T12:20:44 --enforcementcount 0 &gt;&gt;C:\Users\stu\Documents\GitHub\eaglep3-reporting\EC\2017-07-01-refined-times.txt</v>
      </c>
      <c r="AI72" s="96" t="str">
        <f t="shared" si="17"/>
        <v>echo {"issue":{"subject":"","project_id":79,"tracker_id":40,"status_id":1,"priority_id":2,"assigned_to_id":23,"start_date":"2017-07-01","description":"","custom_fields":[{"id":1,"name":"Subdivision","value":"EC"},{"id":4,"name":"Milepost","value":"0.0156"},{"id":17,"name":"Train ID","value":"158-01"},{"id":16,"name":"Locomotive ID","value":"4017"},{"id":130,"name":"Impact","value":""},{"id":150,"name":"Time of Event (Mountain Time)","value":"12:20:44"},{"id":151,"name":"Denver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2" s="20"/>
      <c r="AK72" s="47"/>
      <c r="AL72" s="47"/>
      <c r="AM72" s="142" t="str">
        <f t="shared" si="18"/>
        <v>start /low /b %USERPROFILE%\Documents\GitHub\eaglep3\Utilities\DownloadLogsFromS3.py --loco 4017 --day 2017-07-01</v>
      </c>
      <c r="AN72" s="151" t="str">
        <f t="shared" si="19"/>
        <v>echo {"issue":{"subject":"","project_id":30,"tracker_id":4,"status_id":1,"priority_id":1,"assigned_to_id":10,"start_date":"2017-07-01","description":"","custom_fields":[{"id":30,"name":"Category","value":"Issue"},{"id":3,"name":"Functional Component","value":"Onboard"},{"id":31,"name":"Version","value":"N/A"},{"id":8,"name":"Reporting RR","value":"WABTEC"},{"id":27,"name":"Locomotive ID","value":"4017"},{"id":20,"name":"RR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UTC","value":"2017-07-01 18:20:44"},{"id":29,"name":"Sharepoint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2"/>
      <c r="AP72"/>
      <c r="AQ72"/>
      <c r="AR72"/>
      <c r="AS72"/>
      <c r="AT72"/>
      <c r="AU72"/>
      <c r="AV72"/>
      <c r="AW72"/>
      <c r="AX72"/>
      <c r="AY72"/>
      <c r="AZ72"/>
      <c r="BA72"/>
      <c r="BB72"/>
      <c r="BC72"/>
      <c r="BD72"/>
      <c r="BE72"/>
      <c r="BF72"/>
      <c r="BG72"/>
      <c r="BH72"/>
      <c r="BI72"/>
      <c r="BJ72"/>
      <c r="BK72"/>
      <c r="BL72"/>
      <c r="BM72"/>
      <c r="BN72"/>
      <c r="BO72"/>
      <c r="BP72"/>
      <c r="BQ72"/>
      <c r="BR72"/>
      <c r="BS72"/>
      <c r="BT72"/>
      <c r="BU72"/>
      <c r="BV72"/>
      <c r="BW72"/>
      <c r="BX72"/>
      <c r="BY72"/>
      <c r="BZ72"/>
      <c r="CA72"/>
      <c r="CB72"/>
      <c r="CC72"/>
      <c r="CD72"/>
      <c r="CE72"/>
      <c r="CF72"/>
      <c r="CG72"/>
      <c r="CH72"/>
      <c r="CI72"/>
      <c r="CJ72"/>
      <c r="CK72"/>
      <c r="CL72"/>
      <c r="CM72"/>
    </row>
    <row r="73" spans="1:91" s="1" customFormat="1" x14ac:dyDescent="0.25">
      <c r="A73" s="32" t="s">
        <v>647</v>
      </c>
      <c r="B73" s="7">
        <v>4030</v>
      </c>
      <c r="C73" s="21" t="s">
        <v>202</v>
      </c>
      <c r="D73" s="21" t="s">
        <v>455</v>
      </c>
      <c r="E73" s="13">
        <v>42917.453425925924</v>
      </c>
      <c r="F73" s="13">
        <v>42917.45884259259</v>
      </c>
      <c r="G73" s="7">
        <v>1</v>
      </c>
      <c r="H73" s="21" t="s">
        <v>604</v>
      </c>
      <c r="I73" s="13">
        <v>42917.484305555554</v>
      </c>
      <c r="J73" s="7">
        <v>0</v>
      </c>
      <c r="K73" s="89" t="str">
        <f t="shared" si="0"/>
        <v>4029/4030</v>
      </c>
      <c r="L73" s="21" t="str">
        <f>VLOOKUP(A73,'Trips&amp;Operators'!$C$1:$G$99999,5,FALSE)</f>
        <v>GUZMAN DANNY</v>
      </c>
      <c r="M73" s="6">
        <f t="shared" si="1"/>
        <v>2.5462962963501923E-2</v>
      </c>
      <c r="N73" s="7">
        <f t="shared" si="25"/>
        <v>36.666666667442769</v>
      </c>
      <c r="O73" s="7"/>
      <c r="P73" s="7"/>
      <c r="Q73" s="22"/>
      <c r="R73" s="170"/>
      <c r="S73" s="213">
        <f t="shared" si="26"/>
        <v>1</v>
      </c>
      <c r="T73" s="195" t="str">
        <f t="shared" si="2"/>
        <v>NorthBound</v>
      </c>
      <c r="U73" s="195">
        <f>IF(AG73="EC",COUNTIFS(Variables!$M$2:$M$19,IF(T73="NorthBound","&gt;=","&lt;=")&amp;Y73,Variables!$M$2:$M$19,IF(T73="NorthBound","&lt;=","&gt;=")&amp;Z73),COUNTIFS(Variables!$P$2:$P$19,IF(T73="NorthBound","&gt;=","&lt;=")&amp;Y73,Variables!$P$2:$P$19,IF(T73="NorthBound","&lt;=","&gt;=")&amp;Z73))</f>
        <v>12</v>
      </c>
      <c r="V73" s="196" t="str">
        <f t="shared" si="3"/>
        <v>https://d0f6bd738d7f1b3e5a7ca70fe4ff75f0.us-east-1.aws.found.io/app/kibana#/discover/Steve-Slow-Train-Analysis-(2080s-and-2083s)?_g=(refreshInterval:(display:Off,pause:!f,section:0,value:0),time:(from:'2017-07-01T09:52:56-0600',mode:absolute,to:'2017-07-01T12:37:24-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73" s="197" t="str">
        <f>IF(AA73&lt;VLOOKUP(AG73,Variables!$AC$3:$AD$8,2,FALSE),"Y","N")</f>
        <v>N</v>
      </c>
      <c r="X73" s="197">
        <f t="shared" si="22"/>
        <v>1</v>
      </c>
      <c r="Y73" s="197">
        <f t="shared" si="5"/>
        <v>4.6399999999999997E-2</v>
      </c>
      <c r="Z73" s="197">
        <f t="shared" si="6"/>
        <v>23.329499999999999</v>
      </c>
      <c r="AA73" s="197">
        <f t="shared" si="7"/>
        <v>23.283100000000001</v>
      </c>
      <c r="AB73" s="54" t="e">
        <f>VLOOKUP(A73,Enforcements!$C$7:$K$13,8,0)</f>
        <v>#N/A</v>
      </c>
      <c r="AC73" s="51" t="e">
        <f>VLOOKUP(A73,Enforcements!$C$7:$E$13,3,0)</f>
        <v>#N/A</v>
      </c>
      <c r="AD73" s="206">
        <f t="shared" si="8"/>
        <v>159</v>
      </c>
      <c r="AE73" s="77" t="str">
        <f t="shared" si="9"/>
        <v>aws s3 cp s3://rtdc.mdm.uploadarchive.raw/RTDC4030/ "%USERPROFILE%\AppData\Local\Temp\OnboardLogs"\RTDC4030\2017-07-01 --exclude "*" --recursive --include "*20170701*" &amp; "%USERPROFILE%\Documents\GitHub\mrs-test-scripts\Headless Mode &amp; Sideloading\WalkAndUnGZ.bat" "%USERPROFILE%\AppData\Local\Temp\OnboardLogs"\RTDC4030\2017-07-01 &amp; aws s3 cp s3://rtdc.mdm.uploadarchive.raw/RTDC4030/ "%USERPROFILE%\AppData\Local\Temp\OnboardLogs"\RTDC4030\2017-07-02 --exclude "*" --recursive --include "*20170702*" &amp; "%USERPROFILE%\Documents\GitHub\mrs-test-scripts\Headless Mode &amp; Sideloading\WalkAndUnGZ.bat" "%USERPROFILE%\AppData\Local\Temp\OnboardLogs"\RTDC4030\2017-07-02</v>
      </c>
      <c r="AF73" s="74" t="str">
        <f t="shared" si="10"/>
        <v>"C:\Program Files (x86)\AstroGrep\AstroGrep.exe" /e /r /s /spath="%USERPROFILE%\AppData\Local\Temp\OnboardLogs" /stypes="app*4030*20170701*" /stext=" 17:.+((SYSTEM_STATE.+slice.+state.+changed )|(ment ac)|(multiple cpu faults)|(system.+state.+changed )|(\[timeout)|(PRM\|1\|D)|(kpr)|(kdp)|(train st.+moving)|(\|lc)|(penalty))"</v>
      </c>
      <c r="AG73" s="209" t="str">
        <f t="shared" si="11"/>
        <v>EC</v>
      </c>
      <c r="AH73" s="78" t="str">
        <f t="shared" si="16"/>
        <v>"%USERPROFILE%\Documents\GitHub\eaglep3\Utilities\RefineRTDCRunTimes.py" --tripid 159-01 --locoid 4030 --swversion DE.1.0.9.0 --startMP 204:464 --initTime 2017-07-01T10:52:56 --startdatetime 2017-07-01T11:00:44 --delay 1 --endMP 204:233295 --enddatetime 2017-07-01T11:37:24 --enforcementcount 0 &gt;&gt;C:\Users\stu\Documents\GitHub\eaglep3-reporting\EC\2017-07-01-refined-times.txt</v>
      </c>
      <c r="AI73" s="96" t="str">
        <f t="shared" si="17"/>
        <v>echo {"issue":{"subject":"","project_id":79,"tracker_id":40,"status_id":1,"priority_id":2,"assigned_to_id":23,"start_date":"2017-07-01","description":"","custom_fields":[{"id":1,"name":"Subdivision","value":"EC"},{"id":4,"name":"Milepost","value":"23.3295"},{"id":17,"name":"Train ID","value":"159-01"},{"id":16,"name":"Locomotive ID","value":"4030"},{"id":130,"name":"Impact","value":""},{"id":150,"name":"Time of Event (Mountain Time)","value":"11:37:24"},{"id":151,"name":"Denver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3" s="20"/>
      <c r="AK73" s="47"/>
      <c r="AL73" s="47"/>
      <c r="AM73" s="142" t="str">
        <f t="shared" si="18"/>
        <v>start /low /b %USERPROFILE%\Documents\GitHub\eaglep3\Utilities\DownloadLogsFromS3.py --loco 4030 --day 2017-07-01</v>
      </c>
      <c r="AN73" s="151" t="str">
        <f t="shared" si="19"/>
        <v>echo {"issue":{"subject":"","project_id":30,"tracker_id":4,"status_id":1,"priority_id":1,"assigned_to_id":10,"start_date":"2017-07-01","description":"","custom_fields":[{"id":30,"name":"Category","value":"Issue"},{"id":3,"name":"Functional Component","value":"Onboard"},{"id":31,"name":"Version","value":"N/A"},{"id":8,"name":"Reporting RR","value":"WABTEC"},{"id":27,"name":"Locomotive ID","value":"4030"},{"id":20,"name":"RR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UTC","value":"2017-07-01 17:37:24"},{"id":29,"name":"Sharepoint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3"/>
      <c r="AP73"/>
      <c r="AQ73"/>
      <c r="AR73"/>
      <c r="AS73"/>
      <c r="AT73"/>
      <c r="AU73"/>
      <c r="AV73"/>
      <c r="AW73"/>
      <c r="AX73"/>
      <c r="AY73"/>
      <c r="AZ73"/>
      <c r="BA73"/>
      <c r="BB73"/>
      <c r="BC73"/>
      <c r="BD73"/>
      <c r="BE73"/>
      <c r="BF73"/>
      <c r="BG73"/>
      <c r="BH73"/>
      <c r="BI73"/>
      <c r="BJ73"/>
      <c r="BK73"/>
      <c r="BL73"/>
      <c r="BM73"/>
      <c r="BN73"/>
      <c r="BO73"/>
      <c r="BP73"/>
      <c r="BQ73"/>
      <c r="BR73"/>
      <c r="BS73"/>
      <c r="BT73"/>
      <c r="BU73"/>
      <c r="BV73"/>
      <c r="BW73"/>
      <c r="BX73"/>
      <c r="BY73"/>
      <c r="BZ73"/>
      <c r="CA73"/>
      <c r="CB73"/>
      <c r="CC73"/>
      <c r="CD73"/>
      <c r="CE73"/>
      <c r="CF73"/>
      <c r="CG73"/>
      <c r="CH73"/>
      <c r="CI73"/>
      <c r="CJ73"/>
      <c r="CK73"/>
      <c r="CL73"/>
      <c r="CM73"/>
    </row>
    <row r="74" spans="1:91" s="1" customFormat="1" x14ac:dyDescent="0.25">
      <c r="A74" s="32" t="s">
        <v>650</v>
      </c>
      <c r="B74" s="7">
        <v>4029</v>
      </c>
      <c r="C74" s="21" t="s">
        <v>202</v>
      </c>
      <c r="D74" s="21" t="s">
        <v>499</v>
      </c>
      <c r="E74" s="13">
        <v>42917.486377314817</v>
      </c>
      <c r="F74" s="13">
        <v>42917.498090277775</v>
      </c>
      <c r="G74" s="7">
        <v>1</v>
      </c>
      <c r="H74" s="21" t="s">
        <v>193</v>
      </c>
      <c r="I74" s="13">
        <v>42917.525694444441</v>
      </c>
      <c r="J74" s="7">
        <v>0</v>
      </c>
      <c r="K74" s="89" t="str">
        <f t="shared" si="0"/>
        <v>4029/4030</v>
      </c>
      <c r="L74" s="21" t="str">
        <f>VLOOKUP(A74,'Trips&amp;Operators'!$C$1:$G$99999,5,FALSE)</f>
        <v>GUZMAN DANNY</v>
      </c>
      <c r="M74" s="6">
        <f t="shared" si="1"/>
        <v>2.7604166665696539E-2</v>
      </c>
      <c r="N74" s="7">
        <f t="shared" si="25"/>
        <v>39.749999998603016</v>
      </c>
      <c r="O74" s="7"/>
      <c r="P74" s="7"/>
      <c r="Q74" s="22"/>
      <c r="R74" s="170"/>
      <c r="S74" s="213">
        <f t="shared" si="26"/>
        <v>1</v>
      </c>
      <c r="T74" s="195" t="str">
        <f t="shared" si="2"/>
        <v>Southbound</v>
      </c>
      <c r="U74" s="195">
        <f>IF(AG74="EC",COUNTIFS(Variables!$M$2:$M$19,IF(T74="NorthBound","&gt;=","&lt;=")&amp;Y74,Variables!$M$2:$M$19,IF(T74="NorthBound","&lt;=","&gt;=")&amp;Z74),COUNTIFS(Variables!$P$2:$P$19,IF(T74="NorthBound","&gt;=","&lt;=")&amp;Y74,Variables!$P$2:$P$19,IF(T74="NorthBound","&lt;=","&gt;=")&amp;Z74))</f>
        <v>12</v>
      </c>
      <c r="V74" s="196" t="str">
        <f t="shared" si="3"/>
        <v>https://d0f6bd738d7f1b3e5a7ca70fe4ff75f0.us-east-1.aws.found.io/app/kibana#/discover/Steve-Slow-Train-Analysis-(2080s-and-2083s)?_g=(refreshInterval:(display:Off,pause:!f,section:0,value:0),time:(from:'2017-07-01T10:40:23-0600',mode:absolute,to:'2017-07-01T13:37:00-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74" s="197" t="str">
        <f>IF(AA74&lt;VLOOKUP(AG74,Variables!$AC$3:$AD$8,2,FALSE),"Y","N")</f>
        <v>N</v>
      </c>
      <c r="X74" s="197">
        <f t="shared" si="22"/>
        <v>1</v>
      </c>
      <c r="Y74" s="197">
        <f t="shared" si="5"/>
        <v>23.2989</v>
      </c>
      <c r="Z74" s="197">
        <f t="shared" si="6"/>
        <v>1.52E-2</v>
      </c>
      <c r="AA74" s="197">
        <f t="shared" si="7"/>
        <v>23.2837</v>
      </c>
      <c r="AB74" s="54" t="str">
        <f>VLOOKUP(A74,Enforcements!$C$7:$K$13,8,0)</f>
        <v>Bulletin (2)</v>
      </c>
      <c r="AC74" s="51" t="str">
        <f>VLOOKUP(A74,Enforcements!$C$7:$E$13,3,0)</f>
        <v>GRADE CROSSING</v>
      </c>
      <c r="AD74" s="206">
        <f t="shared" si="8"/>
        <v>160</v>
      </c>
      <c r="AE74" s="77" t="str">
        <f t="shared" si="9"/>
        <v>aws s3 cp s3://rtdc.mdm.uploadarchive.raw/RTDC4029/ "%USERPROFILE%\AppData\Local\Temp\OnboardLogs"\RTDC4029\2017-07-01 --exclude "*" --recursive --include "*20170701*" &amp; "%USERPROFILE%\Documents\GitHub\mrs-test-scripts\Headless Mode &amp; Sideloading\WalkAndUnGZ.bat" "%USERPROFILE%\AppData\Local\Temp\OnboardLogs"\RTDC4029\2017-07-01 &amp; aws s3 cp s3://rtdc.mdm.uploadarchive.raw/RTDC4029/ "%USERPROFILE%\AppData\Local\Temp\OnboardLogs"\RTDC4029\2017-07-02 --exclude "*" --recursive --include "*20170702*" &amp; "%USERPROFILE%\Documents\GitHub\mrs-test-scripts\Headless Mode &amp; Sideloading\WalkAndUnGZ.bat" "%USERPROFILE%\AppData\Local\Temp\OnboardLogs"\RTDC4029\2017-07-02</v>
      </c>
      <c r="AF74" s="74" t="str">
        <f t="shared" si="10"/>
        <v>"C:\Program Files (x86)\AstroGrep\AstroGrep.exe" /e /r /s /spath="%USERPROFILE%\AppData\Local\Temp\OnboardLogs" /stypes="app*4029*20170701*" /stext=" 18:.+((SYSTEM_STATE.+slice.+state.+changed )|(ment ac)|(multiple cpu faults)|(system.+state.+changed )|(\[timeout)|(PRM\|1\|D)|(kpr)|(kdp)|(train st.+moving)|(\|lc)|(penalty))"</v>
      </c>
      <c r="AG74" s="209" t="str">
        <f t="shared" si="11"/>
        <v>EC</v>
      </c>
      <c r="AH74" s="78" t="str">
        <f t="shared" si="16"/>
        <v>"%USERPROFILE%\Documents\GitHub\eaglep3\Utilities\RefineRTDCRunTimes.py" --tripid 160-01 --locoid 4029 --swversion DE.1.0.9.0 --startMP 204:232989 --initTime 2017-07-01T11:40:23 --startdatetime 2017-07-01T11:57:15 --delay 1 --endMP 204:152 --enddatetime 2017-07-01T12:37:00 --enforcementcount 0 &gt;&gt;C:\Users\stu\Documents\GitHub\eaglep3-reporting\EC\2017-07-01-refined-times.txt</v>
      </c>
      <c r="AI74" s="96" t="str">
        <f t="shared" si="17"/>
        <v>echo {"issue":{"subject":"","project_id":79,"tracker_id":40,"status_id":1,"priority_id":2,"assigned_to_id":23,"start_date":"2017-07-01","description":"","custom_fields":[{"id":1,"name":"Subdivision","value":"EC"},{"id":4,"name":"Milepost","value":"0.0152"},{"id":17,"name":"Train ID","value":"160-01"},{"id":16,"name":"Locomotive ID","value":"4029"},{"id":130,"name":"Impact","value":""},{"id":150,"name":"Time of Event (Mountain Time)","value":"12:37:00"},{"id":151,"name":"Denver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4" s="20"/>
      <c r="AK74" s="47"/>
      <c r="AL74" s="47"/>
      <c r="AM74" s="142" t="str">
        <f t="shared" si="18"/>
        <v>start /low /b %USERPROFILE%\Documents\GitHub\eaglep3\Utilities\DownloadLogsFromS3.py --loco 4029 --day 2017-07-01</v>
      </c>
      <c r="AN74" s="151" t="str">
        <f t="shared" si="19"/>
        <v>echo {"issue":{"subject":"","project_id":30,"tracker_id":4,"status_id":1,"priority_id":1,"assigned_to_id":10,"start_date":"2017-07-01","description":"","custom_fields":[{"id":30,"name":"Category","value":"Issue"},{"id":3,"name":"Functional Component","value":"Onboard"},{"id":31,"name":"Version","value":"N/A"},{"id":8,"name":"Reporting RR","value":"WABTEC"},{"id":27,"name":"Locomotive ID","value":"4029"},{"id":20,"name":"RR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UTC","value":"2017-07-01 18:37:00"},{"id":29,"name":"Sharepoint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4"/>
      <c r="AP74"/>
      <c r="AQ74"/>
      <c r="AR74"/>
      <c r="AS74"/>
      <c r="AT74"/>
      <c r="AU74"/>
      <c r="AV74"/>
      <c r="AW74"/>
      <c r="AX74"/>
      <c r="AY74"/>
      <c r="AZ74"/>
      <c r="BA74"/>
      <c r="BB74"/>
      <c r="BC74"/>
      <c r="BD74"/>
      <c r="BE74"/>
      <c r="BF74"/>
      <c r="BG74"/>
      <c r="BH74"/>
      <c r="BI74"/>
      <c r="BJ74"/>
      <c r="BK74"/>
      <c r="BL74"/>
      <c r="BM74"/>
      <c r="BN74"/>
      <c r="BO74"/>
      <c r="BP74"/>
      <c r="BQ74"/>
      <c r="BR74"/>
      <c r="BS74"/>
      <c r="BT74"/>
      <c r="BU74"/>
      <c r="BV74"/>
      <c r="BW74"/>
      <c r="BX74"/>
      <c r="BY74"/>
      <c r="BZ74"/>
      <c r="CA74"/>
      <c r="CB74"/>
      <c r="CC74"/>
      <c r="CD74"/>
      <c r="CE74"/>
      <c r="CF74"/>
      <c r="CG74"/>
      <c r="CH74"/>
      <c r="CI74"/>
      <c r="CJ74"/>
      <c r="CK74"/>
      <c r="CL74"/>
      <c r="CM74"/>
    </row>
    <row r="75" spans="1:91" s="1" customFormat="1" x14ac:dyDescent="0.25">
      <c r="A75" s="32" t="s">
        <v>767</v>
      </c>
      <c r="B75" s="7">
        <v>4028</v>
      </c>
      <c r="C75" s="21" t="s">
        <v>202</v>
      </c>
      <c r="D75" s="21" t="s">
        <v>198</v>
      </c>
      <c r="E75" s="13">
        <v>42917.464699074073</v>
      </c>
      <c r="F75" s="13">
        <v>42917.469270833331</v>
      </c>
      <c r="G75" s="7">
        <v>2</v>
      </c>
      <c r="H75" s="21" t="s">
        <v>604</v>
      </c>
      <c r="I75" s="13">
        <v>42917.494120370371</v>
      </c>
      <c r="J75" s="7">
        <v>0</v>
      </c>
      <c r="K75" s="89" t="str">
        <f t="shared" si="0"/>
        <v>4027/4028</v>
      </c>
      <c r="L75" s="21" t="str">
        <f>VLOOKUP(A75,'Trips&amp;Operators'!$C$1:$G$99999,5,FALSE)</f>
        <v>LOPES KIMBERLY</v>
      </c>
      <c r="M75" s="6">
        <f t="shared" si="1"/>
        <v>2.4849537039699499E-2</v>
      </c>
      <c r="N75" s="7">
        <f t="shared" si="25"/>
        <v>35.783333337167278</v>
      </c>
      <c r="O75" s="7"/>
      <c r="P75" s="7"/>
      <c r="Q75" s="22"/>
      <c r="R75" s="170"/>
      <c r="S75" s="213">
        <f t="shared" si="26"/>
        <v>1</v>
      </c>
      <c r="T75" s="195" t="str">
        <f t="shared" si="2"/>
        <v>NorthBound</v>
      </c>
      <c r="U75" s="195">
        <f>IF(AG75="EC",COUNTIFS(Variables!$M$2:$M$19,IF(T75="NorthBound","&gt;=","&lt;=")&amp;Y75,Variables!$M$2:$M$19,IF(T75="NorthBound","&lt;=","&gt;=")&amp;Z75),COUNTIFS(Variables!$P$2:$P$19,IF(T75="NorthBound","&gt;=","&lt;=")&amp;Y75,Variables!$P$2:$P$19,IF(T75="NorthBound","&lt;=","&gt;=")&amp;Z75))</f>
        <v>12</v>
      </c>
      <c r="V75" s="196" t="str">
        <f t="shared" si="3"/>
        <v>https://d0f6bd738d7f1b3e5a7ca70fe4ff75f0.us-east-1.aws.found.io/app/kibana#/discover/Steve-Slow-Train-Analysis-(2080s-and-2083s)?_g=(refreshInterval:(display:Off,pause:!f,section:0,value:0),time:(from:'2017-07-01T10:09:10-0600',mode:absolute,to:'2017-07-01T12:51:32-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75" s="197" t="str">
        <f>IF(AA75&lt;VLOOKUP(AG75,Variables!$AC$3:$AD$8,2,FALSE),"Y","N")</f>
        <v>N</v>
      </c>
      <c r="X75" s="197">
        <f t="shared" si="22"/>
        <v>1</v>
      </c>
      <c r="Y75" s="197">
        <f t="shared" si="5"/>
        <v>4.5699999999999998E-2</v>
      </c>
      <c r="Z75" s="197">
        <f t="shared" si="6"/>
        <v>23.329499999999999</v>
      </c>
      <c r="AA75" s="197">
        <f t="shared" si="7"/>
        <v>23.283799999999999</v>
      </c>
      <c r="AB75" s="54" t="e">
        <f>VLOOKUP(A75,Enforcements!$C$7:$K$13,8,0)</f>
        <v>#N/A</v>
      </c>
      <c r="AC75" s="51" t="e">
        <f>VLOOKUP(A75,Enforcements!$C$7:$E$13,3,0)</f>
        <v>#N/A</v>
      </c>
      <c r="AD75" s="206">
        <f t="shared" si="8"/>
        <v>161</v>
      </c>
      <c r="AE75" s="77" t="str">
        <f t="shared" si="9"/>
        <v>aws s3 cp s3://rtdc.mdm.uploadarchive.raw/RTDC4028/ "%USERPROFILE%\AppData\Local\Temp\OnboardLogs"\RTDC4028\2017-07-01 --exclude "*" --recursive --include "*20170701*" &amp; "%USERPROFILE%\Documents\GitHub\mrs-test-scripts\Headless Mode &amp; Sideloading\WalkAndUnGZ.bat" "%USERPROFILE%\AppData\Local\Temp\OnboardLogs"\RTDC4028\2017-07-01 &amp; aws s3 cp s3://rtdc.mdm.uploadarchive.raw/RTDC4028/ "%USERPROFILE%\AppData\Local\Temp\OnboardLogs"\RTDC4028\2017-07-02 --exclude "*" --recursive --include "*20170702*" &amp; "%USERPROFILE%\Documents\GitHub\mrs-test-scripts\Headless Mode &amp; Sideloading\WalkAndUnGZ.bat" "%USERPROFILE%\AppData\Local\Temp\OnboardLogs"\RTDC4028\2017-07-02</v>
      </c>
      <c r="AF75" s="74" t="str">
        <f t="shared" si="10"/>
        <v>"C:\Program Files (x86)\AstroGrep\AstroGrep.exe" /e /r /s /spath="%USERPROFILE%\AppData\Local\Temp\OnboardLogs" /stypes="app*4028*20170701*" /stext=" 17:.+((SYSTEM_STATE.+slice.+state.+changed )|(ment ac)|(multiple cpu faults)|(system.+state.+changed )|(\[timeout)|(PRM\|1\|D)|(kpr)|(kdp)|(train st.+moving)|(\|lc)|(penalty))"</v>
      </c>
      <c r="AG75" s="209" t="str">
        <f t="shared" si="11"/>
        <v>EC</v>
      </c>
      <c r="AH75" s="78" t="str">
        <f t="shared" si="16"/>
        <v>"%USERPROFILE%\Documents\GitHub\eaglep3\Utilities\RefineRTDCRunTimes.py" --tripid 161-01 --locoid 4028 --swversion DE.1.0.9.0 --startMP 204:457 --initTime 2017-07-01T11:09:10 --startdatetime 2017-07-01T11:15:45 --delay 2 --endMP 204:233295 --enddatetime 2017-07-01T11:51:32 --enforcementcount 0 &gt;&gt;C:\Users\stu\Documents\GitHub\eaglep3-reporting\EC\2017-07-01-refined-times.txt</v>
      </c>
      <c r="AI75" s="96" t="str">
        <f t="shared" si="17"/>
        <v>echo {"issue":{"subject":"","project_id":79,"tracker_id":40,"status_id":1,"priority_id":2,"assigned_to_id":23,"start_date":"2017-07-01","description":"","custom_fields":[{"id":1,"name":"Subdivision","value":"EC"},{"id":4,"name":"Milepost","value":"23.3295"},{"id":17,"name":"Train ID","value":"161-01"},{"id":16,"name":"Locomotive ID","value":"4028"},{"id":130,"name":"Impact","value":""},{"id":150,"name":"Time of Event (Mountain Time)","value":"11:51:32"},{"id":151,"name":"Denver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5" s="20"/>
      <c r="AK75" s="47"/>
      <c r="AL75" s="47"/>
      <c r="AM75" s="142" t="str">
        <f t="shared" si="18"/>
        <v>start /low /b %USERPROFILE%\Documents\GitHub\eaglep3\Utilities\DownloadLogsFromS3.py --loco 4028 --day 2017-07-01</v>
      </c>
      <c r="AN75" s="151" t="str">
        <f t="shared" si="19"/>
        <v>echo {"issue":{"subject":"","project_id":30,"tracker_id":4,"status_id":1,"priority_id":1,"assigned_to_id":10,"start_date":"2017-07-01","description":"","custom_fields":[{"id":30,"name":"Category","value":"Issue"},{"id":3,"name":"Functional Component","value":"Onboard"},{"id":31,"name":"Version","value":"N/A"},{"id":8,"name":"Reporting RR","value":"WABTEC"},{"id":27,"name":"Locomotive ID","value":"4028"},{"id":20,"name":"RR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UTC","value":"2017-07-01 17:51:32"},{"id":29,"name":"Sharepoint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5"/>
      <c r="AP75"/>
      <c r="AQ75"/>
      <c r="AR75"/>
      <c r="AS75"/>
      <c r="AT75"/>
      <c r="AU75"/>
      <c r="AV75"/>
      <c r="AW75"/>
      <c r="AX75"/>
      <c r="AY75"/>
      <c r="AZ75"/>
      <c r="BA75"/>
      <c r="BB75"/>
      <c r="BC75"/>
      <c r="BD75"/>
      <c r="BE75"/>
      <c r="BF75"/>
      <c r="BG75"/>
      <c r="BH75"/>
      <c r="BI75"/>
      <c r="BJ75"/>
      <c r="BK75"/>
      <c r="BL75"/>
      <c r="BM75"/>
      <c r="BN75"/>
      <c r="BO75"/>
      <c r="BP75"/>
      <c r="BQ75"/>
      <c r="BR75"/>
      <c r="BS75"/>
      <c r="BT75"/>
      <c r="BU75"/>
      <c r="BV75"/>
      <c r="BW75"/>
      <c r="BX75"/>
      <c r="BY75"/>
      <c r="BZ75"/>
      <c r="CA75"/>
      <c r="CB75"/>
      <c r="CC75"/>
      <c r="CD75"/>
      <c r="CE75"/>
      <c r="CF75"/>
      <c r="CG75"/>
      <c r="CH75"/>
      <c r="CI75"/>
      <c r="CJ75"/>
      <c r="CK75"/>
      <c r="CL75"/>
      <c r="CM75"/>
    </row>
    <row r="76" spans="1:91" s="1" customFormat="1" x14ac:dyDescent="0.25">
      <c r="A76" s="32" t="s">
        <v>780</v>
      </c>
      <c r="B76" s="7">
        <v>4027</v>
      </c>
      <c r="C76" s="21" t="s">
        <v>202</v>
      </c>
      <c r="D76" s="21" t="s">
        <v>512</v>
      </c>
      <c r="E76" s="13">
        <v>42917.503958333335</v>
      </c>
      <c r="F76" s="13">
        <v>42917.508506944447</v>
      </c>
      <c r="G76" s="7">
        <v>1</v>
      </c>
      <c r="H76" s="21" t="s">
        <v>394</v>
      </c>
      <c r="I76" s="13">
        <v>42917.534629629627</v>
      </c>
      <c r="J76" s="7">
        <v>0</v>
      </c>
      <c r="K76" s="89" t="str">
        <f t="shared" si="0"/>
        <v>4027/4028</v>
      </c>
      <c r="L76" s="21" t="str">
        <f>VLOOKUP(A76,'Trips&amp;Operators'!$C$1:$G$99999,5,FALSE)</f>
        <v>LOPES KIMBERLY</v>
      </c>
      <c r="M76" s="6">
        <f t="shared" si="1"/>
        <v>2.6122685179871041E-2</v>
      </c>
      <c r="N76" s="7">
        <f t="shared" si="25"/>
        <v>37.6166666590143</v>
      </c>
      <c r="O76" s="7"/>
      <c r="P76" s="7"/>
      <c r="Q76" s="22"/>
      <c r="R76" s="170"/>
      <c r="S76" s="213">
        <f t="shared" si="26"/>
        <v>1</v>
      </c>
      <c r="T76" s="195" t="str">
        <f t="shared" si="2"/>
        <v>Southbound</v>
      </c>
      <c r="U76" s="195">
        <f>IF(AG76="EC",COUNTIFS(Variables!$M$2:$M$19,IF(T76="NorthBound","&gt;=","&lt;=")&amp;Y76,Variables!$M$2:$M$19,IF(T76="NorthBound","&lt;=","&gt;=")&amp;Z76),COUNTIFS(Variables!$P$2:$P$19,IF(T76="NorthBound","&gt;=","&lt;=")&amp;Y76,Variables!$P$2:$P$19,IF(T76="NorthBound","&lt;=","&gt;=")&amp;Z76))</f>
        <v>12</v>
      </c>
      <c r="V76" s="196" t="str">
        <f t="shared" si="3"/>
        <v>https://d0f6bd738d7f1b3e5a7ca70fe4ff75f0.us-east-1.aws.found.io/app/kibana#/discover/Steve-Slow-Train-Analysis-(2080s-and-2083s)?_g=(refreshInterval:(display:Off,pause:!f,section:0,value:0),time:(from:'2017-07-01T11:05:42-0600',mode:absolute,to:'2017-07-01T13:49:52-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76" s="197" t="str">
        <f>IF(AA76&lt;VLOOKUP(AG76,Variables!$AC$3:$AD$8,2,FALSE),"Y","N")</f>
        <v>N</v>
      </c>
      <c r="X76" s="197">
        <f t="shared" si="22"/>
        <v>1</v>
      </c>
      <c r="Y76" s="197">
        <f t="shared" si="5"/>
        <v>23.297999999999998</v>
      </c>
      <c r="Z76" s="197">
        <f t="shared" si="6"/>
        <v>1.54E-2</v>
      </c>
      <c r="AA76" s="197">
        <f t="shared" si="7"/>
        <v>23.282599999999999</v>
      </c>
      <c r="AB76" s="54" t="e">
        <f>VLOOKUP(A76,Enforcements!$C$7:$K$13,8,0)</f>
        <v>#N/A</v>
      </c>
      <c r="AC76" s="51" t="e">
        <f>VLOOKUP(A76,Enforcements!$C$7:$E$13,3,0)</f>
        <v>#N/A</v>
      </c>
      <c r="AD76" s="206">
        <f t="shared" si="8"/>
        <v>162</v>
      </c>
      <c r="AE76" s="77" t="str">
        <f t="shared" si="9"/>
        <v>aws s3 cp s3://rtdc.mdm.uploadarchive.raw/RTDC4027/ "%USERPROFILE%\AppData\Local\Temp\OnboardLogs"\RTDC4027\2017-07-01 --exclude "*" --recursive --include "*20170701*" &amp; "%USERPROFILE%\Documents\GitHub\mrs-test-scripts\Headless Mode &amp; Sideloading\WalkAndUnGZ.bat" "%USERPROFILE%\AppData\Local\Temp\OnboardLogs"\RTDC4027\2017-07-01 &amp; aws s3 cp s3://rtdc.mdm.uploadarchive.raw/RTDC4027/ "%USERPROFILE%\AppData\Local\Temp\OnboardLogs"\RTDC4027\2017-07-02 --exclude "*" --recursive --include "*20170702*" &amp; "%USERPROFILE%\Documents\GitHub\mrs-test-scripts\Headless Mode &amp; Sideloading\WalkAndUnGZ.bat" "%USERPROFILE%\AppData\Local\Temp\OnboardLogs"\RTDC4027\2017-07-02</v>
      </c>
      <c r="AF76" s="74" t="str">
        <f t="shared" si="10"/>
        <v>"C:\Program Files (x86)\AstroGrep\AstroGrep.exe" /e /r /s /spath="%USERPROFILE%\AppData\Local\Temp\OnboardLogs" /stypes="app*4027*20170701*" /stext=" 18:.+((SYSTEM_STATE.+slice.+state.+changed )|(ment ac)|(multiple cpu faults)|(system.+state.+changed )|(\[timeout)|(PRM\|1\|D)|(kpr)|(kdp)|(train st.+moving)|(\|lc)|(penalty))"</v>
      </c>
      <c r="AG76" s="209" t="str">
        <f t="shared" si="11"/>
        <v>EC</v>
      </c>
      <c r="AH76" s="78" t="str">
        <f t="shared" si="16"/>
        <v>"%USERPROFILE%\Documents\GitHub\eaglep3\Utilities\RefineRTDCRunTimes.py" --tripid 162-01 --locoid 4027 --swversion DE.1.0.9.0 --startMP 204:232980 --initTime 2017-07-01T12:05:42 --startdatetime 2017-07-01T12:12:15 --delay 1 --endMP 204:154 --enddatetime 2017-07-01T12:49:52 --enforcementcount 0 &gt;&gt;C:\Users\stu\Documents\GitHub\eaglep3-reporting\EC\2017-07-01-refined-times.txt</v>
      </c>
      <c r="AI76" s="96" t="str">
        <f t="shared" si="17"/>
        <v>echo {"issue":{"subject":"","project_id":79,"tracker_id":40,"status_id":1,"priority_id":2,"assigned_to_id":23,"start_date":"2017-07-01","description":"","custom_fields":[{"id":1,"name":"Subdivision","value":"EC"},{"id":4,"name":"Milepost","value":"0.0154"},{"id":17,"name":"Train ID","value":"162-01"},{"id":16,"name":"Locomotive ID","value":"4027"},{"id":130,"name":"Impact","value":""},{"id":150,"name":"Time of Event (Mountain Time)","value":"12:49:52"},{"id":151,"name":"Denver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6" s="20"/>
      <c r="AK76" s="47"/>
      <c r="AL76" s="47"/>
      <c r="AM76" s="142" t="str">
        <f t="shared" si="18"/>
        <v>start /low /b %USERPROFILE%\Documents\GitHub\eaglep3\Utilities\DownloadLogsFromS3.py --loco 4027 --day 2017-07-01</v>
      </c>
      <c r="AN76" s="151" t="str">
        <f t="shared" si="19"/>
        <v>echo {"issue":{"subject":"","project_id":30,"tracker_id":4,"status_id":1,"priority_id":1,"assigned_to_id":10,"start_date":"2017-07-01","description":"","custom_fields":[{"id":30,"name":"Category","value":"Issue"},{"id":3,"name":"Functional Component","value":"Onboard"},{"id":31,"name":"Version","value":"N/A"},{"id":8,"name":"Reporting RR","value":"WABTEC"},{"id":27,"name":"Locomotive ID","value":"4027"},{"id":20,"name":"RR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UTC","value":"2017-07-01 18:49:52"},{"id":29,"name":"Sharepoint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6"/>
      <c r="AP76"/>
      <c r="AQ76"/>
      <c r="AR76"/>
      <c r="AS76"/>
      <c r="AT76"/>
      <c r="AU76"/>
      <c r="AV76"/>
      <c r="AW76"/>
      <c r="AX76"/>
      <c r="AY76"/>
      <c r="AZ76"/>
      <c r="BA76"/>
      <c r="BB76"/>
      <c r="BC76"/>
      <c r="BD76"/>
      <c r="BE76"/>
      <c r="BF76"/>
      <c r="BG76"/>
      <c r="BH76"/>
      <c r="BI76"/>
      <c r="BJ76"/>
      <c r="BK76"/>
      <c r="BL76"/>
      <c r="BM76"/>
      <c r="BN76"/>
      <c r="BO76"/>
      <c r="BP76"/>
      <c r="BQ76"/>
      <c r="BR76"/>
      <c r="BS76"/>
      <c r="BT76"/>
      <c r="BU76"/>
      <c r="BV76"/>
      <c r="BW76"/>
      <c r="BX76"/>
      <c r="BY76"/>
      <c r="BZ76"/>
      <c r="CA76"/>
      <c r="CB76"/>
      <c r="CC76"/>
      <c r="CD76"/>
      <c r="CE76"/>
      <c r="CF76"/>
      <c r="CG76"/>
      <c r="CH76"/>
      <c r="CI76"/>
      <c r="CJ76"/>
      <c r="CK76"/>
      <c r="CL76"/>
      <c r="CM76"/>
    </row>
    <row r="77" spans="1:91" s="1" customFormat="1" x14ac:dyDescent="0.25">
      <c r="A77" s="32" t="s">
        <v>773</v>
      </c>
      <c r="B77" s="7">
        <v>4014</v>
      </c>
      <c r="C77" s="21" t="s">
        <v>202</v>
      </c>
      <c r="D77" s="21" t="s">
        <v>491</v>
      </c>
      <c r="E77" s="13">
        <v>42917.475393518522</v>
      </c>
      <c r="F77" s="13">
        <v>42917.479722222219</v>
      </c>
      <c r="G77" s="7">
        <v>1</v>
      </c>
      <c r="H77" s="21" t="s">
        <v>511</v>
      </c>
      <c r="I77" s="13">
        <v>42917.505277777775</v>
      </c>
      <c r="J77" s="7">
        <v>0</v>
      </c>
      <c r="K77" s="89" t="str">
        <f t="shared" ref="K77:K140" si="27">IF(ISEVEN(B77),(B77-1)&amp;"/"&amp;B77,B77&amp;"/"&amp;(B77+1))</f>
        <v>4013/4014</v>
      </c>
      <c r="L77" s="21" t="str">
        <f>VLOOKUP(A77,'Trips&amp;Operators'!$C$1:$G$99999,5,FALSE)</f>
        <v>BRANDNER MELINDA</v>
      </c>
      <c r="M77" s="6">
        <f t="shared" ref="M77:M140" si="28">I77-F77</f>
        <v>2.5555555555911269E-2</v>
      </c>
      <c r="N77" s="7">
        <f t="shared" si="25"/>
        <v>36.800000000512227</v>
      </c>
      <c r="O77" s="7"/>
      <c r="P77" s="7"/>
      <c r="Q77" s="22"/>
      <c r="R77" s="170"/>
      <c r="S77" s="213">
        <f t="shared" si="26"/>
        <v>1</v>
      </c>
      <c r="T77" s="195" t="str">
        <f t="shared" ref="T77:T140" si="29">IF(ISEVEN(LEFT(AD77,4)),"Southbound","NorthBound")</f>
        <v>NorthBound</v>
      </c>
      <c r="U77" s="195">
        <f>IF(AG77="EC",COUNTIFS(Variables!$M$2:$M$19,IF(T77="NorthBound","&gt;=","&lt;=")&amp;Y77,Variables!$M$2:$M$19,IF(T77="NorthBound","&lt;=","&gt;=")&amp;Z77),COUNTIFS(Variables!$P$2:$P$19,IF(T77="NorthBound","&gt;=","&lt;=")&amp;Y77,Variables!$P$2:$P$19,IF(T77="NorthBound","&lt;=","&gt;=")&amp;Z77))</f>
        <v>12</v>
      </c>
      <c r="V77" s="196" t="str">
        <f t="shared" ref="V77:V140" si="30">"https://d0f6bd738d7f1b3e5a7ca70fe4ff75f0.us-east-1.aws.found.io/app/kibana#/discover/Steve-Slow-Train-Analysis-(2080s-and-2083s)?_g="&amp;"(refreshInterval:(display:Off,pause:!f,section:0,value:0),time:(from:'"&amp;TEXT(E77-1/24,"yyyy-MM-DDThh:mm:ss")&amp;utc_offset&amp;"00"&amp;"',mode:absolute,to:'"&amp;TEXT(I77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77&amp;"%22')),sort:!(Time.ISO8601,asc))"</f>
        <v>https://d0f6bd738d7f1b3e5a7ca70fe4ff75f0.us-east-1.aws.found.io/app/kibana#/discover/Steve-Slow-Train-Analysis-(2080s-and-2083s)?_g=(refreshInterval:(display:Off,pause:!f,section:0,value:0),time:(from:'2017-07-01T10:24:34-0600',mode:absolute,to:'2017-07-01T13:07:36-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77" s="197" t="str">
        <f>IF(AA77&lt;VLOOKUP(AG77,Variables!$AC$3:$AD$8,2,FALSE),"Y","N")</f>
        <v>N</v>
      </c>
      <c r="X77" s="197">
        <f t="shared" ref="X77:X108" si="31">VALUE(LEFT(AD77,4))-VALUE(LEFT(AD76,4))</f>
        <v>1</v>
      </c>
      <c r="Y77" s="197">
        <f t="shared" ref="Y77:Y140" si="32">RIGHT(D77,LEN(D77)-4)/10000</f>
        <v>4.7500000000000001E-2</v>
      </c>
      <c r="Z77" s="197">
        <f t="shared" ref="Z77:Z140" si="33">RIGHT(H77,LEN(H77)-4)/10000</f>
        <v>23.331900000000001</v>
      </c>
      <c r="AA77" s="197">
        <f t="shared" ref="AA77:AA140" si="34">ABS(Z77-Y77)</f>
        <v>23.284400000000002</v>
      </c>
      <c r="AB77" s="54" t="e">
        <f>VLOOKUP(A77,Enforcements!$C$7:$K$13,8,0)</f>
        <v>#N/A</v>
      </c>
      <c r="AC77" s="51" t="e">
        <f>VLOOKUP(A77,Enforcements!$C$7:$E$13,3,0)</f>
        <v>#N/A</v>
      </c>
      <c r="AD77" s="206">
        <f t="shared" ref="AD77:AD140" si="35">VALUE(LEFT(A77,LEN(A77)-3))</f>
        <v>163</v>
      </c>
      <c r="AE77" s="77" t="str">
        <f t="shared" ref="AE77:AE140" si="36">"aws s3 cp "&amp;s3_bucket&amp;"/RTDC"&amp;B77&amp;"/ "&amp;search_path&amp;"\RTDC"&amp;B77&amp;"\"&amp;TEXT(F77,"YYYY-MM-DD")&amp;" --exclude ""*"" --recursive --include ""*"&amp;TEXT(F77,"YYYYMMDD")&amp;"*"" &amp; """&amp;walkandungz&amp;""" "&amp;search_path&amp;"\RTDC"&amp;B77&amp;"\"&amp;TEXT(F77,"YYYY-MM-DD")
&amp;" &amp; "&amp;"aws s3 cp "&amp;s3_bucket&amp;"/RTDC"&amp;B77&amp;"/ "&amp;search_path&amp;"\RTDC"&amp;B77&amp;"\"&amp;TEXT(F77+1,"YYYY-MM-DD")&amp;" --exclude ""*"" --recursive --include ""*"&amp;TEXT(F77+1,"YYYYMMDD")&amp;"*"" &amp; """&amp;walkandungz&amp;""" "&amp;search_path&amp;"\RTDC"&amp;B77&amp;"\"&amp;TEXT(F77+1,"YYYY-MM-DD")</f>
        <v>aws s3 cp s3://rtdc.mdm.uploadarchive.raw/RTDC4014/ "%USERPROFILE%\AppData\Local\Temp\OnboardLogs"\RTDC4014\2017-07-01 --exclude "*" --recursive --include "*20170701*" &amp; "%USERPROFILE%\Documents\GitHub\mrs-test-scripts\Headless Mode &amp; Sideloading\WalkAndUnGZ.bat" "%USERPROFILE%\AppData\Local\Temp\OnboardLogs"\RTDC4014\2017-07-01 &amp; aws s3 cp s3://rtdc.mdm.uploadarchive.raw/RTDC4014/ "%USERPROFILE%\AppData\Local\Temp\OnboardLogs"\RTDC4014\2017-07-02 --exclude "*" --recursive --include "*20170702*" &amp; "%USERPROFILE%\Documents\GitHub\mrs-test-scripts\Headless Mode &amp; Sideloading\WalkAndUnGZ.bat" "%USERPROFILE%\AppData\Local\Temp\OnboardLogs"\RTDC4014\2017-07-02</v>
      </c>
      <c r="AF77" s="74" t="str">
        <f t="shared" ref="AF77:AF140" si="37">astrogrep_path&amp;" /e /r /s /spath="&amp;search_path&amp;" /stypes=""app*"&amp;B77&amp;"*"&amp;TEXT(I77-utc_offset/24,"YYYYMMDD")&amp;"*"" /stext="" "&amp;TEXT(I77-utc_offset/24,"HH")&amp;search_regexp&amp;""""</f>
        <v>"C:\Program Files (x86)\AstroGrep\AstroGrep.exe" /e /r /s /spath="%USERPROFILE%\AppData\Local\Temp\OnboardLogs" /stypes="app*4014*20170701*" /stext=" 18:.+((SYSTEM_STATE.+slice.+state.+changed )|(ment ac)|(multiple cpu faults)|(system.+state.+changed )|(\[timeout)|(PRM\|1\|D)|(kpr)|(kdp)|(train st.+moving)|(\|lc)|(penalty))"</v>
      </c>
      <c r="AG77" s="209" t="str">
        <f t="shared" ref="AG77:AG140" si="38">DetSubdiv(A77)</f>
        <v>EC</v>
      </c>
      <c r="AH77" s="78" t="str">
        <f t="shared" si="16"/>
        <v>"%USERPROFILE%\Documents\GitHub\eaglep3\Utilities\RefineRTDCRunTimes.py" --tripid 163-01 --locoid 4014 --swversion DE.1.0.9.0 --startMP 204:475 --initTime 2017-07-01T11:24:34 --startdatetime 2017-07-01T11:30:48 --delay 1 --endMP 204:233319 --enddatetime 2017-07-01T12:07:36 --enforcementcount 0 &gt;&gt;C:\Users\stu\Documents\GitHub\eaglep3-reporting\EC\2017-07-01-refined-times.txt</v>
      </c>
      <c r="AI77" s="96" t="str">
        <f t="shared" si="17"/>
        <v>echo {"issue":{"subject":"","project_id":79,"tracker_id":40,"status_id":1,"priority_id":2,"assigned_to_id":23,"start_date":"2017-07-01","description":"","custom_fields":[{"id":1,"name":"Subdivision","value":"EC"},{"id":4,"name":"Milepost","value":"23.3319"},{"id":17,"name":"Train ID","value":"163-01"},{"id":16,"name":"Locomotive ID","value":"4014"},{"id":130,"name":"Impact","value":""},{"id":150,"name":"Time of Event (Mountain Time)","value":"12:07:36"},{"id":151,"name":"Denver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7" s="20"/>
      <c r="AK77" s="47"/>
      <c r="AL77" s="47"/>
      <c r="AM77" s="142" t="str">
        <f t="shared" si="18"/>
        <v>start /low /b %USERPROFILE%\Documents\GitHub\eaglep3\Utilities\DownloadLogsFromS3.py --loco 4014 --day 2017-07-01</v>
      </c>
      <c r="AN77" s="151" t="str">
        <f t="shared" si="19"/>
        <v>echo {"issue":{"subject":"","project_id":30,"tracker_id":4,"status_id":1,"priority_id":1,"assigned_to_id":10,"start_date":"2017-07-01","description":"","custom_fields":[{"id":30,"name":"Category","value":"Issue"},{"id":3,"name":"Functional Component","value":"Onboard"},{"id":31,"name":"Version","value":"N/A"},{"id":8,"name":"Reporting RR","value":"WABTEC"},{"id":27,"name":"Locomotive ID","value":"4014"},{"id":20,"name":"RR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UTC","value":"2017-07-01 18:07:36"},{"id":29,"name":"Sharepoint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7"/>
      <c r="AP77"/>
      <c r="AQ77"/>
      <c r="AR77"/>
      <c r="AS77"/>
      <c r="AT77"/>
      <c r="AU77"/>
      <c r="AV77"/>
      <c r="AW77"/>
      <c r="AX77"/>
      <c r="AY77"/>
      <c r="AZ77"/>
      <c r="BA77"/>
      <c r="BB77"/>
      <c r="BC77"/>
      <c r="BD77"/>
      <c r="BE77"/>
      <c r="BF77"/>
      <c r="BG77"/>
      <c r="BH77"/>
      <c r="BI77"/>
      <c r="BJ77"/>
      <c r="BK77"/>
      <c r="BL77"/>
      <c r="BM77"/>
      <c r="BN77"/>
      <c r="BO77"/>
      <c r="BP77"/>
      <c r="BQ77"/>
      <c r="BR77"/>
      <c r="BS77"/>
      <c r="BT77"/>
      <c r="BU77"/>
      <c r="BV77"/>
      <c r="BW77"/>
      <c r="BX77"/>
      <c r="BY77"/>
      <c r="BZ77"/>
      <c r="CA77"/>
      <c r="CB77"/>
      <c r="CC77"/>
      <c r="CD77"/>
      <c r="CE77"/>
      <c r="CF77"/>
      <c r="CG77"/>
      <c r="CH77"/>
      <c r="CI77"/>
      <c r="CJ77"/>
      <c r="CK77"/>
      <c r="CL77"/>
      <c r="CM77"/>
    </row>
    <row r="78" spans="1:91" s="1" customFormat="1" x14ac:dyDescent="0.25">
      <c r="A78" s="32" t="s">
        <v>653</v>
      </c>
      <c r="B78" s="7">
        <v>4013</v>
      </c>
      <c r="C78" s="21" t="s">
        <v>202</v>
      </c>
      <c r="D78" s="21" t="s">
        <v>917</v>
      </c>
      <c r="E78" s="13">
        <v>42917.516226851854</v>
      </c>
      <c r="F78" s="13">
        <v>42917.520243055558</v>
      </c>
      <c r="G78" s="7">
        <v>5</v>
      </c>
      <c r="H78" s="21" t="s">
        <v>918</v>
      </c>
      <c r="I78" s="13">
        <v>42917.547465277778</v>
      </c>
      <c r="J78" s="7">
        <v>0</v>
      </c>
      <c r="K78" s="89" t="str">
        <f t="shared" si="27"/>
        <v>4013/4014</v>
      </c>
      <c r="L78" s="21" t="str">
        <f>VLOOKUP(A78,'Trips&amp;Operators'!$C$1:$G$99999,5,FALSE)</f>
        <v>BRANDNER MELINDA</v>
      </c>
      <c r="M78" s="6">
        <f t="shared" si="28"/>
        <v>2.7222222219279502E-2</v>
      </c>
      <c r="N78" s="7">
        <f t="shared" si="25"/>
        <v>39.199999995762482</v>
      </c>
      <c r="O78" s="7"/>
      <c r="P78" s="7"/>
      <c r="Q78" s="22"/>
      <c r="R78" s="170"/>
      <c r="S78" s="213">
        <f t="shared" si="26"/>
        <v>1</v>
      </c>
      <c r="T78" s="195" t="str">
        <f t="shared" si="29"/>
        <v>Southbound</v>
      </c>
      <c r="U78" s="195">
        <f>IF(AG78="EC",COUNTIFS(Variables!$M$2:$M$19,IF(T78="NorthBound","&gt;=","&lt;=")&amp;Y78,Variables!$M$2:$M$19,IF(T78="NorthBound","&lt;=","&gt;=")&amp;Z78),COUNTIFS(Variables!$P$2:$P$19,IF(T78="NorthBound","&gt;=","&lt;=")&amp;Y78,Variables!$P$2:$P$19,IF(T78="NorthBound","&lt;=","&gt;=")&amp;Z78))</f>
        <v>12</v>
      </c>
      <c r="V78" s="196" t="str">
        <f t="shared" si="30"/>
        <v>https://d0f6bd738d7f1b3e5a7ca70fe4ff75f0.us-east-1.aws.found.io/app/kibana#/discover/Steve-Slow-Train-Analysis-(2080s-and-2083s)?_g=(refreshInterval:(display:Off,pause:!f,section:0,value:0),time:(from:'2017-07-01T11:23:22-0600',mode:absolute,to:'2017-07-01T14:08:21-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78" s="197" t="str">
        <f>IF(AA78&lt;VLOOKUP(AG78,Variables!$AC$3:$AD$8,2,FALSE),"Y","N")</f>
        <v>N</v>
      </c>
      <c r="X78" s="197">
        <f t="shared" si="31"/>
        <v>1</v>
      </c>
      <c r="Y78" s="197">
        <f t="shared" si="32"/>
        <v>23.1007</v>
      </c>
      <c r="Z78" s="197">
        <f t="shared" si="33"/>
        <v>1.2999999999999999E-2</v>
      </c>
      <c r="AA78" s="197">
        <f t="shared" si="34"/>
        <v>23.087699999999998</v>
      </c>
      <c r="AB78" s="54" t="str">
        <f>VLOOKUP(A78,Enforcements!$C$7:$K$13,8,0)</f>
        <v>Bulletin (2)</v>
      </c>
      <c r="AC78" s="51" t="str">
        <f>VLOOKUP(A78,Enforcements!$C$7:$E$13,3,0)</f>
        <v>GRADE CROSSING</v>
      </c>
      <c r="AD78" s="206">
        <f t="shared" si="35"/>
        <v>164</v>
      </c>
      <c r="AE78" s="77" t="str">
        <f t="shared" si="36"/>
        <v>aws s3 cp s3://rtdc.mdm.uploadarchive.raw/RTDC4013/ "%USERPROFILE%\AppData\Local\Temp\OnboardLogs"\RTDC4013\2017-07-01 --exclude "*" --recursive --include "*20170701*" &amp; "%USERPROFILE%\Documents\GitHub\mrs-test-scripts\Headless Mode &amp; Sideloading\WalkAndUnGZ.bat" "%USERPROFILE%\AppData\Local\Temp\OnboardLogs"\RTDC4013\2017-07-01 &amp; aws s3 cp s3://rtdc.mdm.uploadarchive.raw/RTDC4013/ "%USERPROFILE%\AppData\Local\Temp\OnboardLogs"\RTDC4013\2017-07-02 --exclude "*" --recursive --include "*20170702*" &amp; "%USERPROFILE%\Documents\GitHub\mrs-test-scripts\Headless Mode &amp; Sideloading\WalkAndUnGZ.bat" "%USERPROFILE%\AppData\Local\Temp\OnboardLogs"\RTDC4013\2017-07-02</v>
      </c>
      <c r="AF78" s="74" t="str">
        <f t="shared" si="37"/>
        <v>"C:\Program Files (x86)\AstroGrep\AstroGrep.exe" /e /r /s /spath="%USERPROFILE%\AppData\Local\Temp\OnboardLogs" /stypes="app*4013*20170701*" /stext=" 19:.+((SYSTEM_STATE.+slice.+state.+changed )|(ment ac)|(multiple cpu faults)|(system.+state.+changed )|(\[timeout)|(PRM\|1\|D)|(kpr)|(kdp)|(train st.+moving)|(\|lc)|(penalty))"</v>
      </c>
      <c r="AG78" s="209" t="str">
        <f t="shared" si="38"/>
        <v>EC</v>
      </c>
      <c r="AH78" s="78" t="str">
        <f t="shared" ref="AH78:AH141" si="39">refinertdcruntimes&amp;" --tripid "&amp;A78&amp;" --locoid "&amp;B78&amp;" --swversion "&amp;C78&amp;" --startMP "&amp;D78&amp;" --initTime "&amp;TEXT(E78,"yyyy-mm-ddTHH:MM:SS")&amp;" --startdatetime "&amp;TEXT(F78,"yyyy-mm-ddTHH:MM:SS")&amp;" --delay "&amp;G78&amp;" --endMP "&amp;H78&amp;" --enddatetime "&amp;TEXT(I78,"yyyy-mm-ddTHH:MM:SS")&amp;" --enforcementcount "&amp;J78&amp;IF(outputrefinedruntimes," &gt;&gt;"&amp;RefinedRTDCRunTimesOutputFile,"")</f>
        <v>"%USERPROFILE%\Documents\GitHub\eaglep3\Utilities\RefineRTDCRunTimes.py" --tripid 164-01 --locoid 4013 --swversion DE.1.0.9.0 --startMP 204:231007 --initTime 2017-07-01T12:23:22 --startdatetime 2017-07-01T12:29:09 --delay 5 --endMP 204:130 --enddatetime 2017-07-01T13:08:21 --enforcementcount 0 &gt;&gt;C:\Users\stu\Documents\GitHub\eaglep3-reporting\EC\2017-07-01-refined-times.txt</v>
      </c>
      <c r="AI78" s="96" t="str">
        <f t="shared" ref="AI78:AI141" si="40">"echo {""issue"":{""subject"":"""&amp;R78&amp;""",""project_id"":79,""tracker_id"":40,""status_id"":"&amp;redmine_status&amp;",""priority_id"":"&amp;redmine_priority&amp;",""assigned_to_id"":"&amp;redmine_assignee&amp;",""start_date"":"""&amp;TEXT(I78,"YYYY-mm-dd")&amp;""",""description"":"""&amp;AJ78&amp;""",""custom_fields"":[{""id"":1,""name"":""Subdivision"",""value"":"""&amp;AG78&amp;"""},{""id"":4,""name"":""Milepost"",""value"":"""&amp;Z78&amp;"""},{""id"":17,""name"":""Train ID"",""value"":"""&amp;A78&amp;"""},{""id"":16,""name"":""Locomotive ID"",""value"":"""&amp;B78&amp;"""},{""id"":130,""name"":""Impact"",""value"":"""&amp;AK78&amp;"""},{""id"":150,""name"":""Time of Event (Mountain Time)"",""value"":"""&amp;TEXT(I78,"hh:mm:ss")&amp;"""},{""id"":151,""name"":""Denver Issue ID"",""value"":"""&amp;"""},{""id"":178,""name"":""Operational Impact"",""value"":"""&amp;redmine_op_impact&amp;"""},{""id"":179,""name"":""Denver Segment Assigned"",""value"":"""&amp;AL78&amp;"""}]}}"&amp;"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{"issue":{"subject":"","project_id":79,"tracker_id":40,"status_id":1,"priority_id":2,"assigned_to_id":23,"start_date":"2017-07-01","description":"","custom_fields":[{"id":1,"name":"Subdivision","value":"EC"},{"id":4,"name":"Milepost","value":"0.013"},{"id":17,"name":"Train ID","value":"164-01"},{"id":16,"name":"Locomotive ID","value":"4013"},{"id":130,"name":"Impact","value":""},{"id":150,"name":"Time of Event (Mountain Time)","value":"13:08:21"},{"id":151,"name":"Denver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8" s="20"/>
      <c r="AK78" s="47"/>
      <c r="AL78" s="47"/>
      <c r="AM78" s="142" t="str">
        <f t="shared" ref="AM78:AM141" si="41">"start /low /b "&amp;dls3logs&amp;" --loco "&amp;B78&amp;" --day "&amp;TEXT(F78,"YYYY-MM-DD")</f>
        <v>start /low /b %USERPROFILE%\Documents\GitHub\eaglep3\Utilities\DownloadLogsFromS3.py --loco 4013 --day 2017-07-01</v>
      </c>
      <c r="AN78" s="151" t="str">
        <f t="shared" ref="AN78:AN141" si="42">"echo {""issue"":{""subject"":"""&amp;R78&amp;""",""project_id"":30,""tracker_id"":4,""status_id"":"&amp;redmine_status_wcr&amp;",""priority_id"":"&amp;redmine_priority_wcr&amp;",""assigned_to_id"":"&amp;redmine_assignee_wcr&amp;",""start_date"":"""&amp;TEXT(I78-utc_offset/24,"YYYY-mm-dd")&amp;""",""description"":"""&amp;AJ78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ID"",""value"":"""&amp;B78&amp;"""},{""id"":20,""name"":""RR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UTC"",""value"":"""&amp;TEXT(I78-utc_offset/24,"YYYY-MM-DD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{"issue":{"subject":"","project_id":30,"tracker_id":4,"status_id":1,"priority_id":1,"assigned_to_id":10,"start_date":"2017-07-01","description":"","custom_fields":[{"id":30,"name":"Category","value":"Issue"},{"id":3,"name":"Functional Component","value":"Onboard"},{"id":31,"name":"Version","value":"N/A"},{"id":8,"name":"Reporting RR","value":"WABTEC"},{"id":27,"name":"Locomotive ID","value":"4013"},{"id":20,"name":"RR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UTC","value":"2017-07-01 19:08:21"},{"id":29,"name":"Sharepoint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8"/>
      <c r="AP78"/>
      <c r="AQ78"/>
      <c r="AR78"/>
      <c r="AS78"/>
      <c r="AT78"/>
      <c r="AU78"/>
      <c r="AV78"/>
      <c r="AW78"/>
      <c r="AX78"/>
      <c r="AY78"/>
      <c r="AZ78"/>
      <c r="BA78"/>
      <c r="BB78"/>
      <c r="BC78"/>
      <c r="BD78"/>
      <c r="BE78"/>
      <c r="BF78"/>
      <c r="BG78"/>
      <c r="BH78"/>
      <c r="BI78"/>
      <c r="BJ78"/>
      <c r="BK78"/>
      <c r="BL78"/>
      <c r="BM78"/>
      <c r="BN78"/>
      <c r="BO78"/>
      <c r="BP78"/>
      <c r="BQ78"/>
      <c r="BR78"/>
      <c r="BS78"/>
      <c r="BT78"/>
      <c r="BU78"/>
      <c r="BV78"/>
      <c r="BW78"/>
      <c r="BX78"/>
      <c r="BY78"/>
      <c r="BZ78"/>
      <c r="CA78"/>
      <c r="CB78"/>
      <c r="CC78"/>
      <c r="CD78"/>
      <c r="CE78"/>
      <c r="CF78"/>
      <c r="CG78"/>
      <c r="CH78"/>
      <c r="CI78"/>
      <c r="CJ78"/>
      <c r="CK78"/>
      <c r="CL78"/>
      <c r="CM78"/>
    </row>
    <row r="79" spans="1:91" s="1" customFormat="1" x14ac:dyDescent="0.25">
      <c r="A79" s="32" t="s">
        <v>777</v>
      </c>
      <c r="B79" s="7">
        <v>4062</v>
      </c>
      <c r="C79" s="21" t="s">
        <v>202</v>
      </c>
      <c r="D79" s="21" t="s">
        <v>919</v>
      </c>
      <c r="E79" s="13">
        <v>42917.485613425924</v>
      </c>
      <c r="F79" s="13">
        <v>42917.49009259259</v>
      </c>
      <c r="G79" s="7">
        <v>2</v>
      </c>
      <c r="H79" s="21" t="s">
        <v>486</v>
      </c>
      <c r="I79" s="13">
        <v>42917.514965277776</v>
      </c>
      <c r="J79" s="7">
        <v>0</v>
      </c>
      <c r="K79" s="89" t="str">
        <f t="shared" si="27"/>
        <v>4061/4062</v>
      </c>
      <c r="L79" s="21" t="str">
        <f>VLOOKUP(A79,'Trips&amp;Operators'!$C$1:$G$99999,5,FALSE)</f>
        <v>BRUDER RICHARD</v>
      </c>
      <c r="M79" s="6">
        <f t="shared" si="28"/>
        <v>2.4872685185982846E-2</v>
      </c>
      <c r="N79" s="7">
        <f t="shared" si="25"/>
        <v>35.816666667815298</v>
      </c>
      <c r="O79" s="7"/>
      <c r="P79" s="7"/>
      <c r="Q79" s="22"/>
      <c r="R79" s="170"/>
      <c r="S79" s="213">
        <f t="shared" si="26"/>
        <v>1</v>
      </c>
      <c r="T79" s="195" t="str">
        <f t="shared" si="29"/>
        <v>NorthBound</v>
      </c>
      <c r="U79" s="195">
        <f>IF(AG79="EC",COUNTIFS(Variables!$M$2:$M$19,IF(T79="NorthBound","&gt;=","&lt;=")&amp;Y79,Variables!$M$2:$M$19,IF(T79="NorthBound","&lt;=","&gt;=")&amp;Z79),COUNTIFS(Variables!$P$2:$P$19,IF(T79="NorthBound","&gt;=","&lt;=")&amp;Y79,Variables!$P$2:$P$19,IF(T79="NorthBound","&lt;=","&gt;=")&amp;Z79))</f>
        <v>12</v>
      </c>
      <c r="V79" s="196" t="str">
        <f t="shared" si="30"/>
        <v>https://d0f6bd738d7f1b3e5a7ca70fe4ff75f0.us-east-1.aws.found.io/app/kibana#/discover/Steve-Slow-Train-Analysis-(2080s-and-2083s)?_g=(refreshInterval:(display:Off,pause:!f,section:0,value:0),time:(from:'2017-07-01T10:39:17-0600',mode:absolute,to:'2017-07-01T13:21:33-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4062%22')),sort:!(Time.ISO8601,asc))</v>
      </c>
      <c r="W79" s="197" t="str">
        <f>IF(AA79&lt;VLOOKUP(AG79,Variables!$AC$3:$AD$8,2,FALSE),"Y","N")</f>
        <v>N</v>
      </c>
      <c r="X79" s="197">
        <f t="shared" si="31"/>
        <v>1</v>
      </c>
      <c r="Y79" s="197">
        <f t="shared" si="32"/>
        <v>4.9099999999999998E-2</v>
      </c>
      <c r="Z79" s="197">
        <f t="shared" si="33"/>
        <v>23.330100000000002</v>
      </c>
      <c r="AA79" s="197">
        <f t="shared" si="34"/>
        <v>23.281000000000002</v>
      </c>
      <c r="AB79" s="54" t="e">
        <f>VLOOKUP(A79,Enforcements!$C$7:$K$13,8,0)</f>
        <v>#N/A</v>
      </c>
      <c r="AC79" s="51" t="e">
        <f>VLOOKUP(A79,Enforcements!$C$7:$E$13,3,0)</f>
        <v>#N/A</v>
      </c>
      <c r="AD79" s="206">
        <f t="shared" si="35"/>
        <v>165</v>
      </c>
      <c r="AE79" s="77" t="str">
        <f t="shared" si="36"/>
        <v>aws s3 cp s3://rtdc.mdm.uploadarchive.raw/RTDC4062/ "%USERPROFILE%\AppData\Local\Temp\OnboardLogs"\RTDC4062\2017-07-01 --exclude "*" --recursive --include "*20170701*" &amp; "%USERPROFILE%\Documents\GitHub\mrs-test-scripts\Headless Mode &amp; Sideloading\WalkAndUnGZ.bat" "%USERPROFILE%\AppData\Local\Temp\OnboardLogs"\RTDC4062\2017-07-01 &amp; aws s3 cp s3://rtdc.mdm.uploadarchive.raw/RTDC4062/ "%USERPROFILE%\AppData\Local\Temp\OnboardLogs"\RTDC4062\2017-07-02 --exclude "*" --recursive --include "*20170702*" &amp; "%USERPROFILE%\Documents\GitHub\mrs-test-scripts\Headless Mode &amp; Sideloading\WalkAndUnGZ.bat" "%USERPROFILE%\AppData\Local\Temp\OnboardLogs"\RTDC4062\2017-07-02</v>
      </c>
      <c r="AF79" s="74" t="str">
        <f t="shared" si="37"/>
        <v>"C:\Program Files (x86)\AstroGrep\AstroGrep.exe" /e /r /s /spath="%USERPROFILE%\AppData\Local\Temp\OnboardLogs" /stypes="app*4062*20170701*" /stext=" 18:.+((SYSTEM_STATE.+slice.+state.+changed )|(ment ac)|(multiple cpu faults)|(system.+state.+changed )|(\[timeout)|(PRM\|1\|D)|(kpr)|(kdp)|(train st.+moving)|(\|lc)|(penalty))"</v>
      </c>
      <c r="AG79" s="209" t="str">
        <f t="shared" si="38"/>
        <v>EC</v>
      </c>
      <c r="AH79" s="78" t="str">
        <f t="shared" si="39"/>
        <v>"%USERPROFILE%\Documents\GitHub\eaglep3\Utilities\RefineRTDCRunTimes.py" --tripid 165-01 --locoid 4062 --swversion DE.1.0.9.0 --startMP 204:491 --initTime 2017-07-01T11:39:17 --startdatetime 2017-07-01T11:45:44 --delay 2 --endMP 204:233301 --enddatetime 2017-07-01T12:21:33 --enforcementcount 0 &gt;&gt;C:\Users\stu\Documents\GitHub\eaglep3-reporting\EC\2017-07-01-refined-times.txt</v>
      </c>
      <c r="AI79" s="96" t="str">
        <f t="shared" si="40"/>
        <v>echo {"issue":{"subject":"","project_id":79,"tracker_id":40,"status_id":1,"priority_id":2,"assigned_to_id":23,"start_date":"2017-07-01","description":"","custom_fields":[{"id":1,"name":"Subdivision","value":"EC"},{"id":4,"name":"Milepost","value":"23.3301"},{"id":17,"name":"Train ID","value":"165-01"},{"id":16,"name":"Locomotive ID","value":"4062"},{"id":130,"name":"Impact","value":""},{"id":150,"name":"Time of Event (Mountain Time)","value":"12:21:33"},{"id":151,"name":"Denver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9" s="20"/>
      <c r="AK79" s="47"/>
      <c r="AL79" s="47"/>
      <c r="AM79" s="142" t="str">
        <f t="shared" si="41"/>
        <v>start /low /b %USERPROFILE%\Documents\GitHub\eaglep3\Utilities\DownloadLogsFromS3.py --loco 4062 --day 2017-07-01</v>
      </c>
      <c r="AN79" s="151" t="str">
        <f t="shared" si="42"/>
        <v>echo {"issue":{"subject":"","project_id":30,"tracker_id":4,"status_id":1,"priority_id":1,"assigned_to_id":10,"start_date":"2017-07-01","description":"","custom_fields":[{"id":30,"name":"Category","value":"Issue"},{"id":3,"name":"Functional Component","value":"Onboard"},{"id":31,"name":"Version","value":"N/A"},{"id":8,"name":"Reporting RR","value":"WABTEC"},{"id":27,"name":"Locomotive ID","value":"4062"},{"id":20,"name":"RR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UTC","value":"2017-07-01 18:21:33"},{"id":29,"name":"Sharepoint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9"/>
      <c r="AP79"/>
      <c r="AQ79"/>
      <c r="AR79"/>
      <c r="AS79"/>
      <c r="AT79"/>
      <c r="AU79"/>
      <c r="AV79"/>
      <c r="AW79"/>
      <c r="AX79"/>
      <c r="AY79"/>
      <c r="AZ79"/>
      <c r="BA79"/>
      <c r="BB79"/>
      <c r="BC79"/>
      <c r="BD79"/>
      <c r="BE79"/>
      <c r="BF79"/>
      <c r="BG79"/>
      <c r="BH79"/>
      <c r="BI79"/>
      <c r="BJ79"/>
      <c r="BK79"/>
      <c r="BL79"/>
      <c r="BM79"/>
      <c r="BN79"/>
      <c r="BO79"/>
      <c r="BP79"/>
      <c r="BQ79"/>
      <c r="BR79"/>
      <c r="BS79"/>
      <c r="BT79"/>
      <c r="BU79"/>
      <c r="BV79"/>
      <c r="BW79"/>
      <c r="BX79"/>
      <c r="BY79"/>
      <c r="BZ79"/>
      <c r="CA79"/>
      <c r="CB79"/>
      <c r="CC79"/>
      <c r="CD79"/>
      <c r="CE79"/>
      <c r="CF79"/>
      <c r="CG79"/>
      <c r="CH79"/>
      <c r="CI79"/>
      <c r="CJ79"/>
      <c r="CK79"/>
      <c r="CL79"/>
      <c r="CM79"/>
    </row>
    <row r="80" spans="1:91" s="1" customFormat="1" x14ac:dyDescent="0.25">
      <c r="A80" s="32" t="s">
        <v>654</v>
      </c>
      <c r="B80" s="7">
        <v>4061</v>
      </c>
      <c r="C80" s="21" t="s">
        <v>202</v>
      </c>
      <c r="D80" s="21" t="s">
        <v>603</v>
      </c>
      <c r="E80" s="13">
        <v>42917.525613425925</v>
      </c>
      <c r="F80" s="13">
        <v>42917.529363425929</v>
      </c>
      <c r="G80" s="7">
        <v>3</v>
      </c>
      <c r="H80" s="21" t="s">
        <v>920</v>
      </c>
      <c r="I80" s="13">
        <v>42917.555578703701</v>
      </c>
      <c r="J80" s="7">
        <v>0</v>
      </c>
      <c r="K80" s="89" t="str">
        <f t="shared" si="27"/>
        <v>4061/4062</v>
      </c>
      <c r="L80" s="21" t="str">
        <f>VLOOKUP(A80,'Trips&amp;Operators'!$C$1:$G$99999,5,FALSE)</f>
        <v>BRUDER RICHARD</v>
      </c>
      <c r="M80" s="6">
        <f t="shared" si="28"/>
        <v>2.6215277772280388E-2</v>
      </c>
      <c r="N80" s="7">
        <f t="shared" si="25"/>
        <v>37.749999992083758</v>
      </c>
      <c r="O80" s="7"/>
      <c r="P80" s="7"/>
      <c r="Q80" s="22"/>
      <c r="R80" s="170"/>
      <c r="S80" s="213">
        <f t="shared" si="26"/>
        <v>1</v>
      </c>
      <c r="T80" s="195" t="str">
        <f t="shared" si="29"/>
        <v>Southbound</v>
      </c>
      <c r="U80" s="195">
        <f>IF(AG80="EC",COUNTIFS(Variables!$M$2:$M$19,IF(T80="NorthBound","&gt;=","&lt;=")&amp;Y80,Variables!$M$2:$M$19,IF(T80="NorthBound","&lt;=","&gt;=")&amp;Z80),COUNTIFS(Variables!$P$2:$P$19,IF(T80="NorthBound","&gt;=","&lt;=")&amp;Y80,Variables!$P$2:$P$19,IF(T80="NorthBound","&lt;=","&gt;=")&amp;Z80))</f>
        <v>12</v>
      </c>
      <c r="V80" s="196" t="str">
        <f t="shared" si="30"/>
        <v>https://d0f6bd738d7f1b3e5a7ca70fe4ff75f0.us-east-1.aws.found.io/app/kibana#/discover/Steve-Slow-Train-Analysis-(2080s-and-2083s)?_g=(refreshInterval:(display:Off,pause:!f,section:0,value:0),time:(from:'2017-07-01T11:36:53-0600',mode:absolute,to:'2017-07-01T14:20:02-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4061%22')),sort:!(Time.ISO8601,asc))</v>
      </c>
      <c r="W80" s="197" t="str">
        <f>IF(AA80&lt;VLOOKUP(AG80,Variables!$AC$3:$AD$8,2,FALSE),"Y","N")</f>
        <v>N</v>
      </c>
      <c r="X80" s="197">
        <f t="shared" si="31"/>
        <v>1</v>
      </c>
      <c r="Y80" s="197">
        <f t="shared" si="32"/>
        <v>23.296700000000001</v>
      </c>
      <c r="Z80" s="197">
        <f t="shared" si="33"/>
        <v>1.9199999999999998E-2</v>
      </c>
      <c r="AA80" s="197">
        <f t="shared" si="34"/>
        <v>23.2775</v>
      </c>
      <c r="AB80" s="54" t="e">
        <f>VLOOKUP(A80,Enforcements!$C$7:$K$13,8,0)</f>
        <v>#N/A</v>
      </c>
      <c r="AC80" s="51" t="e">
        <f>VLOOKUP(A80,Enforcements!$C$7:$E$13,3,0)</f>
        <v>#N/A</v>
      </c>
      <c r="AD80" s="206">
        <f t="shared" si="35"/>
        <v>166</v>
      </c>
      <c r="AE80" s="77" t="str">
        <f t="shared" si="36"/>
        <v>aws s3 cp s3://rtdc.mdm.uploadarchive.raw/RTDC4061/ "%USERPROFILE%\AppData\Local\Temp\OnboardLogs"\RTDC4061\2017-07-01 --exclude "*" --recursive --include "*20170701*" &amp; "%USERPROFILE%\Documents\GitHub\mrs-test-scripts\Headless Mode &amp; Sideloading\WalkAndUnGZ.bat" "%USERPROFILE%\AppData\Local\Temp\OnboardLogs"\RTDC4061\2017-07-01 &amp; aws s3 cp s3://rtdc.mdm.uploadarchive.raw/RTDC4061/ "%USERPROFILE%\AppData\Local\Temp\OnboardLogs"\RTDC4061\2017-07-02 --exclude "*" --recursive --include "*20170702*" &amp; "%USERPROFILE%\Documents\GitHub\mrs-test-scripts\Headless Mode &amp; Sideloading\WalkAndUnGZ.bat" "%USERPROFILE%\AppData\Local\Temp\OnboardLogs"\RTDC4061\2017-07-02</v>
      </c>
      <c r="AF80" s="74" t="str">
        <f t="shared" si="37"/>
        <v>"C:\Program Files (x86)\AstroGrep\AstroGrep.exe" /e /r /s /spath="%USERPROFILE%\AppData\Local\Temp\OnboardLogs" /stypes="app*4061*20170701*" /stext=" 19:.+((SYSTEM_STATE.+slice.+state.+changed )|(ment ac)|(multiple cpu faults)|(system.+state.+changed )|(\[timeout)|(PRM\|1\|D)|(kpr)|(kdp)|(train st.+moving)|(\|lc)|(penalty))"</v>
      </c>
      <c r="AG80" s="209" t="str">
        <f t="shared" si="38"/>
        <v>EC</v>
      </c>
      <c r="AH80" s="78" t="str">
        <f t="shared" si="39"/>
        <v>"%USERPROFILE%\Documents\GitHub\eaglep3\Utilities\RefineRTDCRunTimes.py" --tripid 166-01 --locoid 4061 --swversion DE.1.0.9.0 --startMP 204:232967 --initTime 2017-07-01T12:36:53 --startdatetime 2017-07-01T12:42:17 --delay 3 --endMP 204:192 --enddatetime 2017-07-01T13:20:02 --enforcementcount 0 &gt;&gt;C:\Users\stu\Documents\GitHub\eaglep3-reporting\EC\2017-07-01-refined-times.txt</v>
      </c>
      <c r="AI80" s="96" t="str">
        <f t="shared" si="40"/>
        <v>echo {"issue":{"subject":"","project_id":79,"tracker_id":40,"status_id":1,"priority_id":2,"assigned_to_id":23,"start_date":"2017-07-01","description":"","custom_fields":[{"id":1,"name":"Subdivision","value":"EC"},{"id":4,"name":"Milepost","value":"0.0192"},{"id":17,"name":"Train ID","value":"166-01"},{"id":16,"name":"Locomotive ID","value":"4061"},{"id":130,"name":"Impact","value":""},{"id":150,"name":"Time of Event (Mountain Time)","value":"13:20:02"},{"id":151,"name":"Denver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0" s="20"/>
      <c r="AK80" s="47"/>
      <c r="AL80" s="47"/>
      <c r="AM80" s="142" t="str">
        <f t="shared" si="41"/>
        <v>start /low /b %USERPROFILE%\Documents\GitHub\eaglep3\Utilities\DownloadLogsFromS3.py --loco 4061 --day 2017-07-01</v>
      </c>
      <c r="AN80" s="151" t="str">
        <f t="shared" si="42"/>
        <v>echo {"issue":{"subject":"","project_id":30,"tracker_id":4,"status_id":1,"priority_id":1,"assigned_to_id":10,"start_date":"2017-07-01","description":"","custom_fields":[{"id":30,"name":"Category","value":"Issue"},{"id":3,"name":"Functional Component","value":"Onboard"},{"id":31,"name":"Version","value":"N/A"},{"id":8,"name":"Reporting RR","value":"WABTEC"},{"id":27,"name":"Locomotive ID","value":"4061"},{"id":20,"name":"RR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UTC","value":"2017-07-01 19:20:02"},{"id":29,"name":"Sharepoint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0"/>
      <c r="AP80"/>
      <c r="AQ80"/>
      <c r="AR80"/>
      <c r="AS80"/>
      <c r="AT80"/>
      <c r="AU80"/>
      <c r="AV80"/>
      <c r="AW80"/>
      <c r="AX80"/>
      <c r="AY80"/>
      <c r="AZ80"/>
      <c r="BA80"/>
      <c r="BB80"/>
      <c r="BC80"/>
      <c r="BD80"/>
      <c r="BE80"/>
      <c r="BF80"/>
      <c r="BG80"/>
      <c r="BH80"/>
      <c r="BI80"/>
      <c r="BJ80"/>
      <c r="BK80"/>
      <c r="BL80"/>
      <c r="BM80"/>
      <c r="BN80"/>
      <c r="BO80"/>
      <c r="BP80"/>
      <c r="BQ80"/>
      <c r="BR80"/>
      <c r="BS80"/>
      <c r="BT80"/>
      <c r="BU80"/>
      <c r="BV80"/>
      <c r="BW80"/>
      <c r="BX80"/>
      <c r="BY80"/>
      <c r="BZ80"/>
      <c r="CA80"/>
      <c r="CB80"/>
      <c r="CC80"/>
      <c r="CD80"/>
      <c r="CE80"/>
      <c r="CF80"/>
      <c r="CG80"/>
      <c r="CH80"/>
      <c r="CI80"/>
      <c r="CJ80"/>
      <c r="CK80"/>
      <c r="CL80"/>
      <c r="CM80"/>
    </row>
    <row r="81" spans="1:91" s="1" customFormat="1" x14ac:dyDescent="0.25">
      <c r="A81" s="32" t="s">
        <v>779</v>
      </c>
      <c r="B81" s="7">
        <v>4008</v>
      </c>
      <c r="C81" s="21" t="s">
        <v>202</v>
      </c>
      <c r="D81" s="21" t="s">
        <v>491</v>
      </c>
      <c r="E81" s="13">
        <v>42917.494803240741</v>
      </c>
      <c r="F81" s="13">
        <v>42917.500497685185</v>
      </c>
      <c r="G81" s="7">
        <v>1</v>
      </c>
      <c r="H81" s="21" t="s">
        <v>606</v>
      </c>
      <c r="I81" s="13">
        <v>42917.52579861111</v>
      </c>
      <c r="J81" s="7">
        <v>0</v>
      </c>
      <c r="K81" s="89" t="str">
        <f t="shared" si="27"/>
        <v>4007/4008</v>
      </c>
      <c r="L81" s="21" t="str">
        <f>VLOOKUP(A81,'Trips&amp;Operators'!$C$1:$G$99999,5,FALSE)</f>
        <v>NEWELL JAMES</v>
      </c>
      <c r="M81" s="6">
        <f t="shared" si="28"/>
        <v>2.5300925924966577E-2</v>
      </c>
      <c r="N81" s="7">
        <f t="shared" si="25"/>
        <v>36.433333331951872</v>
      </c>
      <c r="O81" s="7"/>
      <c r="P81" s="7"/>
      <c r="Q81" s="22"/>
      <c r="R81" s="170"/>
      <c r="S81" s="213">
        <f t="shared" si="26"/>
        <v>1</v>
      </c>
      <c r="T81" s="195" t="str">
        <f t="shared" si="29"/>
        <v>NorthBound</v>
      </c>
      <c r="U81" s="195">
        <f>IF(AG81="EC",COUNTIFS(Variables!$M$2:$M$19,IF(T81="NorthBound","&gt;=","&lt;=")&amp;Y81,Variables!$M$2:$M$19,IF(T81="NorthBound","&lt;=","&gt;=")&amp;Z81),COUNTIFS(Variables!$P$2:$P$19,IF(T81="NorthBound","&gt;=","&lt;=")&amp;Y81,Variables!$P$2:$P$19,IF(T81="NorthBound","&lt;=","&gt;=")&amp;Z81))</f>
        <v>12</v>
      </c>
      <c r="V81" s="196" t="str">
        <f t="shared" si="30"/>
        <v>https://d0f6bd738d7f1b3e5a7ca70fe4ff75f0.us-east-1.aws.found.io/app/kibana#/discover/Steve-Slow-Train-Analysis-(2080s-and-2083s)?_g=(refreshInterval:(display:Off,pause:!f,section:0,value:0),time:(from:'2017-07-01T10:52:31-0600',mode:absolute,to:'2017-07-01T13:37:09-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81" s="197" t="str">
        <f>IF(AA81&lt;VLOOKUP(AG81,Variables!$AC$3:$AD$8,2,FALSE),"Y","N")</f>
        <v>N</v>
      </c>
      <c r="X81" s="197">
        <f t="shared" si="31"/>
        <v>1</v>
      </c>
      <c r="Y81" s="197">
        <f t="shared" si="32"/>
        <v>4.7500000000000001E-2</v>
      </c>
      <c r="Z81" s="197">
        <f t="shared" si="33"/>
        <v>23.3306</v>
      </c>
      <c r="AA81" s="197">
        <f t="shared" si="34"/>
        <v>23.283100000000001</v>
      </c>
      <c r="AB81" s="54" t="e">
        <f>VLOOKUP(A81,Enforcements!$C$7:$K$13,8,0)</f>
        <v>#N/A</v>
      </c>
      <c r="AC81" s="51" t="e">
        <f>VLOOKUP(A81,Enforcements!$C$7:$E$13,3,0)</f>
        <v>#N/A</v>
      </c>
      <c r="AD81" s="206">
        <f t="shared" si="35"/>
        <v>167</v>
      </c>
      <c r="AE81" s="77" t="str">
        <f t="shared" si="36"/>
        <v>aws s3 cp s3://rtdc.mdm.uploadarchive.raw/RTDC4008/ "%USERPROFILE%\AppData\Local\Temp\OnboardLogs"\RTDC4008\2017-07-01 --exclude "*" --recursive --include "*20170701*" &amp; "%USERPROFILE%\Documents\GitHub\mrs-test-scripts\Headless Mode &amp; Sideloading\WalkAndUnGZ.bat" "%USERPROFILE%\AppData\Local\Temp\OnboardLogs"\RTDC4008\2017-07-01 &amp; aws s3 cp s3://rtdc.mdm.uploadarchive.raw/RTDC4008/ "%USERPROFILE%\AppData\Local\Temp\OnboardLogs"\RTDC4008\2017-07-02 --exclude "*" --recursive --include "*20170702*" &amp; "%USERPROFILE%\Documents\GitHub\mrs-test-scripts\Headless Mode &amp; Sideloading\WalkAndUnGZ.bat" "%USERPROFILE%\AppData\Local\Temp\OnboardLogs"\RTDC4008\2017-07-02</v>
      </c>
      <c r="AF81" s="74" t="str">
        <f t="shared" si="37"/>
        <v>"C:\Program Files (x86)\AstroGrep\AstroGrep.exe" /e /r /s /spath="%USERPROFILE%\AppData\Local\Temp\OnboardLogs" /stypes="app*4008*20170701*" /stext=" 18:.+((SYSTEM_STATE.+slice.+state.+changed )|(ment ac)|(multiple cpu faults)|(system.+state.+changed )|(\[timeout)|(PRM\|1\|D)|(kpr)|(kdp)|(train st.+moving)|(\|lc)|(penalty))"</v>
      </c>
      <c r="AG81" s="209" t="str">
        <f t="shared" si="38"/>
        <v>EC</v>
      </c>
      <c r="AH81" s="78" t="str">
        <f t="shared" si="39"/>
        <v>"%USERPROFILE%\Documents\GitHub\eaglep3\Utilities\RefineRTDCRunTimes.py" --tripid 167-01 --locoid 4008 --swversion DE.1.0.9.0 --startMP 204:475 --initTime 2017-07-01T11:52:31 --startdatetime 2017-07-01T12:00:43 --delay 1 --endMP 204:233306 --enddatetime 2017-07-01T12:37:09 --enforcementcount 0 &gt;&gt;C:\Users\stu\Documents\GitHub\eaglep3-reporting\EC\2017-07-01-refined-times.txt</v>
      </c>
      <c r="AI81" s="96" t="str">
        <f t="shared" si="40"/>
        <v>echo {"issue":{"subject":"","project_id":79,"tracker_id":40,"status_id":1,"priority_id":2,"assigned_to_id":23,"start_date":"2017-07-01","description":"","custom_fields":[{"id":1,"name":"Subdivision","value":"EC"},{"id":4,"name":"Milepost","value":"23.3306"},{"id":17,"name":"Train ID","value":"167-01"},{"id":16,"name":"Locomotive ID","value":"4008"},{"id":130,"name":"Impact","value":""},{"id":150,"name":"Time of Event (Mountain Time)","value":"12:37:09"},{"id":151,"name":"Denver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1" s="20"/>
      <c r="AK81" s="47"/>
      <c r="AL81" s="47"/>
      <c r="AM81" s="142" t="str">
        <f t="shared" si="41"/>
        <v>start /low /b %USERPROFILE%\Documents\GitHub\eaglep3\Utilities\DownloadLogsFromS3.py --loco 4008 --day 2017-07-01</v>
      </c>
      <c r="AN81" s="151" t="str">
        <f t="shared" si="42"/>
        <v>echo {"issue":{"subject":"","project_id":30,"tracker_id":4,"status_id":1,"priority_id":1,"assigned_to_id":10,"start_date":"2017-07-01","description":"","custom_fields":[{"id":30,"name":"Category","value":"Issue"},{"id":3,"name":"Functional Component","value":"Onboard"},{"id":31,"name":"Version","value":"N/A"},{"id":8,"name":"Reporting RR","value":"WABTEC"},{"id":27,"name":"Locomotive ID","value":"4008"},{"id":20,"name":"RR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UTC","value":"2017-07-01 18:37:09"},{"id":29,"name":"Sharepoint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1"/>
      <c r="AP81"/>
      <c r="AQ81"/>
      <c r="AR81"/>
      <c r="AS81"/>
      <c r="AT81"/>
      <c r="AU81"/>
      <c r="AV81"/>
      <c r="AW81"/>
      <c r="AX81"/>
      <c r="AY81"/>
      <c r="AZ81"/>
      <c r="BA81"/>
      <c r="BB81"/>
      <c r="BC81"/>
      <c r="BD81"/>
      <c r="BE81"/>
      <c r="BF81"/>
      <c r="BG81"/>
      <c r="BH81"/>
      <c r="BI81"/>
      <c r="BJ81"/>
      <c r="BK81"/>
      <c r="BL81"/>
      <c r="BM81"/>
      <c r="BN81"/>
      <c r="BO81"/>
      <c r="BP81"/>
      <c r="BQ81"/>
      <c r="BR81"/>
      <c r="BS81"/>
      <c r="BT81"/>
      <c r="BU81"/>
      <c r="BV81"/>
      <c r="BW81"/>
      <c r="BX81"/>
      <c r="BY81"/>
      <c r="BZ81"/>
      <c r="CA81"/>
      <c r="CB81"/>
      <c r="CC81"/>
      <c r="CD81"/>
      <c r="CE81"/>
      <c r="CF81"/>
      <c r="CG81"/>
      <c r="CH81"/>
      <c r="CI81"/>
      <c r="CJ81"/>
      <c r="CK81"/>
      <c r="CL81"/>
      <c r="CM81"/>
    </row>
    <row r="82" spans="1:91" s="1" customFormat="1" x14ac:dyDescent="0.25">
      <c r="A82" s="32" t="s">
        <v>785</v>
      </c>
      <c r="B82" s="7">
        <v>4007</v>
      </c>
      <c r="C82" s="21" t="s">
        <v>202</v>
      </c>
      <c r="D82" s="21" t="s">
        <v>602</v>
      </c>
      <c r="E82" s="13">
        <v>42917.526631944442</v>
      </c>
      <c r="F82" s="13">
        <v>42917.539826388886</v>
      </c>
      <c r="G82" s="7">
        <v>1</v>
      </c>
      <c r="H82" s="21" t="s">
        <v>921</v>
      </c>
      <c r="I82" s="13">
        <v>42917.565555555557</v>
      </c>
      <c r="J82" s="7">
        <v>0</v>
      </c>
      <c r="K82" s="89" t="str">
        <f t="shared" si="27"/>
        <v>4007/4008</v>
      </c>
      <c r="L82" s="21" t="str">
        <f>VLOOKUP(A82,'Trips&amp;Operators'!$C$1:$G$99999,5,FALSE)</f>
        <v>NEWELL JAMES</v>
      </c>
      <c r="M82" s="6">
        <f t="shared" si="28"/>
        <v>2.5729166671226267E-2</v>
      </c>
      <c r="N82" s="7">
        <f t="shared" si="25"/>
        <v>37.050000006565824</v>
      </c>
      <c r="O82" s="7"/>
      <c r="P82" s="7"/>
      <c r="Q82" s="22"/>
      <c r="R82" s="170"/>
      <c r="S82" s="213">
        <f t="shared" si="26"/>
        <v>1</v>
      </c>
      <c r="T82" s="195" t="str">
        <f t="shared" si="29"/>
        <v>Southbound</v>
      </c>
      <c r="U82" s="195">
        <f>IF(AG82="EC",COUNTIFS(Variables!$M$2:$M$19,IF(T82="NorthBound","&gt;=","&lt;=")&amp;Y82,Variables!$M$2:$M$19,IF(T82="NorthBound","&lt;=","&gt;=")&amp;Z82),COUNTIFS(Variables!$P$2:$P$19,IF(T82="NorthBound","&gt;=","&lt;=")&amp;Y82,Variables!$P$2:$P$19,IF(T82="NorthBound","&lt;=","&gt;=")&amp;Z82))</f>
        <v>12</v>
      </c>
      <c r="V82" s="196" t="str">
        <f t="shared" si="30"/>
        <v>https://d0f6bd738d7f1b3e5a7ca70fe4ff75f0.us-east-1.aws.found.io/app/kibana#/discover/Steve-Slow-Train-Analysis-(2080s-and-2083s)?_g=(refreshInterval:(display:Off,pause:!f,section:0,value:0),time:(from:'2017-07-01T11:38:21-0600',mode:absolute,to:'2017-07-01T14:34:24-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82" s="197" t="str">
        <f>IF(AA82&lt;VLOOKUP(AG82,Variables!$AC$3:$AD$8,2,FALSE),"Y","N")</f>
        <v>N</v>
      </c>
      <c r="X82" s="197">
        <f t="shared" si="31"/>
        <v>1</v>
      </c>
      <c r="Y82" s="197">
        <f t="shared" si="32"/>
        <v>23.299299999999999</v>
      </c>
      <c r="Z82" s="197">
        <f t="shared" si="33"/>
        <v>1.8100000000000002E-2</v>
      </c>
      <c r="AA82" s="197">
        <f t="shared" si="34"/>
        <v>23.281199999999998</v>
      </c>
      <c r="AB82" s="54" t="e">
        <f>VLOOKUP(A82,Enforcements!$C$7:$K$13,8,0)</f>
        <v>#N/A</v>
      </c>
      <c r="AC82" s="51" t="e">
        <f>VLOOKUP(A82,Enforcements!$C$7:$E$13,3,0)</f>
        <v>#N/A</v>
      </c>
      <c r="AD82" s="206">
        <f t="shared" si="35"/>
        <v>168</v>
      </c>
      <c r="AE82" s="77" t="str">
        <f t="shared" si="36"/>
        <v>aws s3 cp s3://rtdc.mdm.uploadarchive.raw/RTDC4007/ "%USERPROFILE%\AppData\Local\Temp\OnboardLogs"\RTDC4007\2017-07-01 --exclude "*" --recursive --include "*20170701*" &amp; "%USERPROFILE%\Documents\GitHub\mrs-test-scripts\Headless Mode &amp; Sideloading\WalkAndUnGZ.bat" "%USERPROFILE%\AppData\Local\Temp\OnboardLogs"\RTDC4007\2017-07-01 &amp; aws s3 cp s3://rtdc.mdm.uploadarchive.raw/RTDC4007/ "%USERPROFILE%\AppData\Local\Temp\OnboardLogs"\RTDC4007\2017-07-02 --exclude "*" --recursive --include "*20170702*" &amp; "%USERPROFILE%\Documents\GitHub\mrs-test-scripts\Headless Mode &amp; Sideloading\WalkAndUnGZ.bat" "%USERPROFILE%\AppData\Local\Temp\OnboardLogs"\RTDC4007\2017-07-02</v>
      </c>
      <c r="AF82" s="74" t="str">
        <f t="shared" si="37"/>
        <v>"C:\Program Files (x86)\AstroGrep\AstroGrep.exe" /e /r /s /spath="%USERPROFILE%\AppData\Local\Temp\OnboardLogs" /stypes="app*4007*20170701*" /stext=" 19:.+((SYSTEM_STATE.+slice.+state.+changed )|(ment ac)|(multiple cpu faults)|(system.+state.+changed )|(\[timeout)|(PRM\|1\|D)|(kpr)|(kdp)|(train st.+moving)|(\|lc)|(penalty))"</v>
      </c>
      <c r="AG82" s="209" t="str">
        <f t="shared" si="38"/>
        <v>EC</v>
      </c>
      <c r="AH82" s="78" t="str">
        <f t="shared" si="39"/>
        <v>"%USERPROFILE%\Documents\GitHub\eaglep3\Utilities\RefineRTDCRunTimes.py" --tripid 168-01 --locoid 4007 --swversion DE.1.0.9.0 --startMP 204:232993 --initTime 2017-07-01T12:38:21 --startdatetime 2017-07-01T12:57:21 --delay 1 --endMP 204:181 --enddatetime 2017-07-01T13:34:24 --enforcementcount 0 &gt;&gt;C:\Users\stu\Documents\GitHub\eaglep3-reporting\EC\2017-07-01-refined-times.txt</v>
      </c>
      <c r="AI82" s="96" t="str">
        <f t="shared" si="40"/>
        <v>echo {"issue":{"subject":"","project_id":79,"tracker_id":40,"status_id":1,"priority_id":2,"assigned_to_id":23,"start_date":"2017-07-01","description":"","custom_fields":[{"id":1,"name":"Subdivision","value":"EC"},{"id":4,"name":"Milepost","value":"0.0181"},{"id":17,"name":"Train ID","value":"168-01"},{"id":16,"name":"Locomotive ID","value":"4007"},{"id":130,"name":"Impact","value":""},{"id":150,"name":"Time of Event (Mountain Time)","value":"13:34:24"},{"id":151,"name":"Denver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2" s="20"/>
      <c r="AK82" s="47"/>
      <c r="AL82" s="47"/>
      <c r="AM82" s="142" t="str">
        <f t="shared" si="41"/>
        <v>start /low /b %USERPROFILE%\Documents\GitHub\eaglep3\Utilities\DownloadLogsFromS3.py --loco 4007 --day 2017-07-01</v>
      </c>
      <c r="AN82" s="151" t="str">
        <f t="shared" si="42"/>
        <v>echo {"issue":{"subject":"","project_id":30,"tracker_id":4,"status_id":1,"priority_id":1,"assigned_to_id":10,"start_date":"2017-07-01","description":"","custom_fields":[{"id":30,"name":"Category","value":"Issue"},{"id":3,"name":"Functional Component","value":"Onboard"},{"id":31,"name":"Version","value":"N/A"},{"id":8,"name":"Reporting RR","value":"WABTEC"},{"id":27,"name":"Locomotive ID","value":"4007"},{"id":20,"name":"RR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UTC","value":"2017-07-01 19:34:24"},{"id":29,"name":"Sharepoint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2"/>
      <c r="AP82"/>
      <c r="AQ82"/>
      <c r="AR82"/>
      <c r="AS82"/>
      <c r="AT82"/>
      <c r="AU82"/>
      <c r="AV82"/>
      <c r="AW82"/>
      <c r="AX82"/>
      <c r="AY82"/>
      <c r="AZ82"/>
      <c r="BA82"/>
      <c r="BB82"/>
      <c r="BC82"/>
      <c r="BD82"/>
      <c r="BE82"/>
      <c r="BF82"/>
      <c r="BG82"/>
      <c r="BH82"/>
      <c r="BI82"/>
      <c r="BJ82"/>
      <c r="BK82"/>
      <c r="BL82"/>
      <c r="BM82"/>
      <c r="BN82"/>
      <c r="BO82"/>
      <c r="BP82"/>
      <c r="BQ82"/>
      <c r="BR82"/>
      <c r="BS82"/>
      <c r="BT82"/>
      <c r="BU82"/>
      <c r="BV82"/>
      <c r="BW82"/>
      <c r="BX82"/>
      <c r="BY82"/>
      <c r="BZ82"/>
      <c r="CA82"/>
      <c r="CB82"/>
      <c r="CC82"/>
      <c r="CD82"/>
      <c r="CE82"/>
      <c r="CF82"/>
      <c r="CG82"/>
      <c r="CH82"/>
      <c r="CI82"/>
      <c r="CJ82"/>
      <c r="CK82"/>
      <c r="CL82"/>
      <c r="CM82"/>
    </row>
    <row r="83" spans="1:91" s="1" customFormat="1" x14ac:dyDescent="0.25">
      <c r="A83" s="32" t="s">
        <v>781</v>
      </c>
      <c r="B83" s="7">
        <v>4056</v>
      </c>
      <c r="C83" s="21" t="s">
        <v>202</v>
      </c>
      <c r="D83" s="21" t="s">
        <v>454</v>
      </c>
      <c r="E83" s="13">
        <v>42917.508819444447</v>
      </c>
      <c r="F83" s="13">
        <v>42917.51085648148</v>
      </c>
      <c r="G83" s="7">
        <v>1</v>
      </c>
      <c r="H83" s="21" t="s">
        <v>922</v>
      </c>
      <c r="I83" s="13">
        <v>42917.535613425927</v>
      </c>
      <c r="J83" s="7">
        <v>0</v>
      </c>
      <c r="K83" s="89" t="str">
        <f t="shared" si="27"/>
        <v>4055/4056</v>
      </c>
      <c r="L83" s="21" t="str">
        <f>VLOOKUP(A83,'Trips&amp;Operators'!$C$1:$G$99999,5,FALSE)</f>
        <v>DELGADO DIANAH</v>
      </c>
      <c r="M83" s="6">
        <f t="shared" si="28"/>
        <v>2.4756944447290152E-2</v>
      </c>
      <c r="N83" s="7">
        <f t="shared" si="25"/>
        <v>35.650000004097819</v>
      </c>
      <c r="O83" s="7"/>
      <c r="P83" s="7"/>
      <c r="Q83" s="22"/>
      <c r="R83" s="170"/>
      <c r="S83" s="213">
        <f t="shared" si="26"/>
        <v>1</v>
      </c>
      <c r="T83" s="195" t="str">
        <f t="shared" si="29"/>
        <v>NorthBound</v>
      </c>
      <c r="U83" s="195">
        <f>IF(AG83="EC",COUNTIFS(Variables!$M$2:$M$19,IF(T83="NorthBound","&gt;=","&lt;=")&amp;Y83,Variables!$M$2:$M$19,IF(T83="NorthBound","&lt;=","&gt;=")&amp;Z83),COUNTIFS(Variables!$P$2:$P$19,IF(T83="NorthBound","&gt;=","&lt;=")&amp;Y83,Variables!$P$2:$P$19,IF(T83="NorthBound","&lt;=","&gt;=")&amp;Z83))</f>
        <v>12</v>
      </c>
      <c r="V83" s="196" t="str">
        <f t="shared" si="30"/>
        <v>https://d0f6bd738d7f1b3e5a7ca70fe4ff75f0.us-east-1.aws.found.io/app/kibana#/discover/Steve-Slow-Train-Analysis-(2080s-and-2083s)?_g=(refreshInterval:(display:Off,pause:!f,section:0,value:0),time:(from:'2017-07-01T11:12:42-0600',mode:absolute,to:'2017-07-01T13:51:17-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4056%22')),sort:!(Time.ISO8601,asc))</v>
      </c>
      <c r="W83" s="197" t="str">
        <f>IF(AA83&lt;VLOOKUP(AG83,Variables!$AC$3:$AD$8,2,FALSE),"Y","N")</f>
        <v>N</v>
      </c>
      <c r="X83" s="197">
        <f t="shared" si="31"/>
        <v>1</v>
      </c>
      <c r="Y83" s="197">
        <f t="shared" si="32"/>
        <v>4.5499999999999999E-2</v>
      </c>
      <c r="Z83" s="197">
        <f t="shared" si="33"/>
        <v>23.338899999999999</v>
      </c>
      <c r="AA83" s="197">
        <f t="shared" si="34"/>
        <v>23.293399999999998</v>
      </c>
      <c r="AB83" s="54" t="e">
        <f>VLOOKUP(A83,Enforcements!$C$7:$K$13,8,0)</f>
        <v>#N/A</v>
      </c>
      <c r="AC83" s="51" t="e">
        <f>VLOOKUP(A83,Enforcements!$C$7:$E$13,3,0)</f>
        <v>#N/A</v>
      </c>
      <c r="AD83" s="206">
        <f t="shared" si="35"/>
        <v>169</v>
      </c>
      <c r="AE83" s="77" t="str">
        <f t="shared" si="36"/>
        <v>aws s3 cp s3://rtdc.mdm.uploadarchive.raw/RTDC4056/ "%USERPROFILE%\AppData\Local\Temp\OnboardLogs"\RTDC4056\2017-07-01 --exclude "*" --recursive --include "*20170701*" &amp; "%USERPROFILE%\Documents\GitHub\mrs-test-scripts\Headless Mode &amp; Sideloading\WalkAndUnGZ.bat" "%USERPROFILE%\AppData\Local\Temp\OnboardLogs"\RTDC4056\2017-07-01 &amp; aws s3 cp s3://rtdc.mdm.uploadarchive.raw/RTDC4056/ "%USERPROFILE%\AppData\Local\Temp\OnboardLogs"\RTDC4056\2017-07-02 --exclude "*" --recursive --include "*20170702*" &amp; "%USERPROFILE%\Documents\GitHub\mrs-test-scripts\Headless Mode &amp; Sideloading\WalkAndUnGZ.bat" "%USERPROFILE%\AppData\Local\Temp\OnboardLogs"\RTDC4056\2017-07-02</v>
      </c>
      <c r="AF83" s="74" t="str">
        <f t="shared" si="37"/>
        <v>"C:\Program Files (x86)\AstroGrep\AstroGrep.exe" /e /r /s /spath="%USERPROFILE%\AppData\Local\Temp\OnboardLogs" /stypes="app*4056*20170701*" /stext=" 18:.+((SYSTEM_STATE.+slice.+state.+changed )|(ment ac)|(multiple cpu faults)|(system.+state.+changed )|(\[timeout)|(PRM\|1\|D)|(kpr)|(kdp)|(train st.+moving)|(\|lc)|(penalty))"</v>
      </c>
      <c r="AG83" s="209" t="str">
        <f t="shared" si="38"/>
        <v>EC</v>
      </c>
      <c r="AH83" s="78" t="str">
        <f t="shared" si="39"/>
        <v>"%USERPROFILE%\Documents\GitHub\eaglep3\Utilities\RefineRTDCRunTimes.py" --tripid 169-01 --locoid 4056 --swversion DE.1.0.9.0 --startMP 204:455 --initTime 2017-07-01T12:12:42 --startdatetime 2017-07-01T12:15:38 --delay 1 --endMP 204:233389 --enddatetime 2017-07-01T12:51:17 --enforcementcount 0 &gt;&gt;C:\Users\stu\Documents\GitHub\eaglep3-reporting\EC\2017-07-01-refined-times.txt</v>
      </c>
      <c r="AI83" s="96" t="str">
        <f t="shared" si="40"/>
        <v>echo {"issue":{"subject":"","project_id":79,"tracker_id":40,"status_id":1,"priority_id":2,"assigned_to_id":23,"start_date":"2017-07-01","description":"","custom_fields":[{"id":1,"name":"Subdivision","value":"EC"},{"id":4,"name":"Milepost","value":"23.3389"},{"id":17,"name":"Train ID","value":"169-01"},{"id":16,"name":"Locomotive ID","value":"4056"},{"id":130,"name":"Impact","value":""},{"id":150,"name":"Time of Event (Mountain Time)","value":"12:51:17"},{"id":151,"name":"Denver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3" s="20"/>
      <c r="AK83" s="47"/>
      <c r="AL83" s="47"/>
      <c r="AM83" s="142" t="str">
        <f t="shared" si="41"/>
        <v>start /low /b %USERPROFILE%\Documents\GitHub\eaglep3\Utilities\DownloadLogsFromS3.py --loco 4056 --day 2017-07-01</v>
      </c>
      <c r="AN83" s="151" t="str">
        <f t="shared" si="42"/>
        <v>echo {"issue":{"subject":"","project_id":30,"tracker_id":4,"status_id":1,"priority_id":1,"assigned_to_id":10,"start_date":"2017-07-01","description":"","custom_fields":[{"id":30,"name":"Category","value":"Issue"},{"id":3,"name":"Functional Component","value":"Onboard"},{"id":31,"name":"Version","value":"N/A"},{"id":8,"name":"Reporting RR","value":"WABTEC"},{"id":27,"name":"Locomotive ID","value":"4056"},{"id":20,"name":"RR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UTC","value":"2017-07-01 18:51:17"},{"id":29,"name":"Sharepoint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3"/>
      <c r="AP83"/>
      <c r="AQ83"/>
      <c r="AR83"/>
      <c r="AS83"/>
      <c r="AT83"/>
      <c r="AU83"/>
      <c r="AV83"/>
      <c r="AW83"/>
      <c r="AX83"/>
      <c r="AY83"/>
      <c r="AZ83"/>
      <c r="BA83"/>
      <c r="BB83"/>
      <c r="BC83"/>
      <c r="BD83"/>
      <c r="BE83"/>
      <c r="BF83"/>
      <c r="BG83"/>
      <c r="BH83"/>
      <c r="BI83"/>
      <c r="BJ83"/>
      <c r="BK83"/>
      <c r="BL83"/>
      <c r="BM83"/>
      <c r="BN83"/>
      <c r="BO83"/>
      <c r="BP83"/>
      <c r="BQ83"/>
      <c r="BR83"/>
      <c r="BS83"/>
      <c r="BT83"/>
      <c r="BU83"/>
      <c r="BV83"/>
      <c r="BW83"/>
      <c r="BX83"/>
      <c r="BY83"/>
      <c r="BZ83"/>
      <c r="CA83"/>
      <c r="CB83"/>
      <c r="CC83"/>
      <c r="CD83"/>
      <c r="CE83"/>
      <c r="CF83"/>
      <c r="CG83"/>
      <c r="CH83"/>
      <c r="CI83"/>
      <c r="CJ83"/>
      <c r="CK83"/>
      <c r="CL83"/>
      <c r="CM83"/>
    </row>
    <row r="84" spans="1:91" s="1" customFormat="1" x14ac:dyDescent="0.25">
      <c r="A84" s="32" t="s">
        <v>787</v>
      </c>
      <c r="B84" s="7">
        <v>4055</v>
      </c>
      <c r="C84" s="21" t="s">
        <v>202</v>
      </c>
      <c r="D84" s="21" t="s">
        <v>617</v>
      </c>
      <c r="E84" s="13">
        <v>42917.544999999998</v>
      </c>
      <c r="F84" s="13">
        <v>42917.550173611111</v>
      </c>
      <c r="G84" s="7">
        <v>1</v>
      </c>
      <c r="H84" s="21" t="s">
        <v>416</v>
      </c>
      <c r="I84" s="13">
        <v>42917.575925925928</v>
      </c>
      <c r="J84" s="7">
        <v>0</v>
      </c>
      <c r="K84" s="89" t="str">
        <f t="shared" si="27"/>
        <v>4055/4056</v>
      </c>
      <c r="L84" s="21" t="str">
        <f>VLOOKUP(A84,'Trips&amp;Operators'!$C$1:$G$99999,5,FALSE)</f>
        <v>DELGADO DIANAH</v>
      </c>
      <c r="M84" s="6">
        <f t="shared" si="28"/>
        <v>2.5752314817509614E-2</v>
      </c>
      <c r="N84" s="7">
        <f t="shared" si="25"/>
        <v>37.083333337213844</v>
      </c>
      <c r="O84" s="7"/>
      <c r="P84" s="7"/>
      <c r="Q84" s="22"/>
      <c r="R84" s="170"/>
      <c r="S84" s="213">
        <f t="shared" si="26"/>
        <v>1</v>
      </c>
      <c r="T84" s="195" t="str">
        <f t="shared" si="29"/>
        <v>Southbound</v>
      </c>
      <c r="U84" s="195">
        <f>IF(AG84="EC",COUNTIFS(Variables!$M$2:$M$19,IF(T84="NorthBound","&gt;=","&lt;=")&amp;Y84,Variables!$M$2:$M$19,IF(T84="NorthBound","&lt;=","&gt;=")&amp;Z84),COUNTIFS(Variables!$P$2:$P$19,IF(T84="NorthBound","&gt;=","&lt;=")&amp;Y84,Variables!$P$2:$P$19,IF(T84="NorthBound","&lt;=","&gt;=")&amp;Z84))</f>
        <v>12</v>
      </c>
      <c r="V84" s="196" t="str">
        <f t="shared" si="30"/>
        <v>https://d0f6bd738d7f1b3e5a7ca70fe4ff75f0.us-east-1.aws.found.io/app/kibana#/discover/Steve-Slow-Train-Analysis-(2080s-and-2083s)?_g=(refreshInterval:(display:Off,pause:!f,section:0,value:0),time:(from:'2017-07-01T12:04:48-0600',mode:absolute,to:'2017-07-01T14:49:20-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4055%22')),sort:!(Time.ISO8601,asc))</v>
      </c>
      <c r="W84" s="197" t="str">
        <f>IF(AA84&lt;VLOOKUP(AG84,Variables!$AC$3:$AD$8,2,FALSE),"Y","N")</f>
        <v>N</v>
      </c>
      <c r="X84" s="197">
        <f t="shared" si="31"/>
        <v>1</v>
      </c>
      <c r="Y84" s="197">
        <f t="shared" si="32"/>
        <v>23.305900000000001</v>
      </c>
      <c r="Z84" s="197">
        <f t="shared" si="33"/>
        <v>1.4500000000000001E-2</v>
      </c>
      <c r="AA84" s="197">
        <f t="shared" si="34"/>
        <v>23.291399999999999</v>
      </c>
      <c r="AB84" s="54" t="e">
        <f>VLOOKUP(A84,Enforcements!$C$7:$K$13,8,0)</f>
        <v>#N/A</v>
      </c>
      <c r="AC84" s="51" t="e">
        <f>VLOOKUP(A84,Enforcements!$C$7:$E$13,3,0)</f>
        <v>#N/A</v>
      </c>
      <c r="AD84" s="206">
        <f t="shared" si="35"/>
        <v>170</v>
      </c>
      <c r="AE84" s="77" t="str">
        <f t="shared" si="36"/>
        <v>aws s3 cp s3://rtdc.mdm.uploadarchive.raw/RTDC4055/ "%USERPROFILE%\AppData\Local\Temp\OnboardLogs"\RTDC4055\2017-07-01 --exclude "*" --recursive --include "*20170701*" &amp; "%USERPROFILE%\Documents\GitHub\mrs-test-scripts\Headless Mode &amp; Sideloading\WalkAndUnGZ.bat" "%USERPROFILE%\AppData\Local\Temp\OnboardLogs"\RTDC4055\2017-07-01 &amp; aws s3 cp s3://rtdc.mdm.uploadarchive.raw/RTDC4055/ "%USERPROFILE%\AppData\Local\Temp\OnboardLogs"\RTDC4055\2017-07-02 --exclude "*" --recursive --include "*20170702*" &amp; "%USERPROFILE%\Documents\GitHub\mrs-test-scripts\Headless Mode &amp; Sideloading\WalkAndUnGZ.bat" "%USERPROFILE%\AppData\Local\Temp\OnboardLogs"\RTDC4055\2017-07-02</v>
      </c>
      <c r="AF84" s="74" t="str">
        <f t="shared" si="37"/>
        <v>"C:\Program Files (x86)\AstroGrep\AstroGrep.exe" /e /r /s /spath="%USERPROFILE%\AppData\Local\Temp\OnboardLogs" /stypes="app*4055*20170701*" /stext=" 19:.+((SYSTEM_STATE.+slice.+state.+changed )|(ment ac)|(multiple cpu faults)|(system.+state.+changed )|(\[timeout)|(PRM\|1\|D)|(kpr)|(kdp)|(train st.+moving)|(\|lc)|(penalty))"</v>
      </c>
      <c r="AG84" s="209" t="str">
        <f t="shared" si="38"/>
        <v>EC</v>
      </c>
      <c r="AH84" s="78" t="str">
        <f t="shared" si="39"/>
        <v>"%USERPROFILE%\Documents\GitHub\eaglep3\Utilities\RefineRTDCRunTimes.py" --tripid 170-01 --locoid 4055 --swversion DE.1.0.9.0 --startMP 204:233059 --initTime 2017-07-01T13:04:48 --startdatetime 2017-07-01T13:12:15 --delay 1 --endMP 204:145 --enddatetime 2017-07-01T13:49:20 --enforcementcount 0 &gt;&gt;C:\Users\stu\Documents\GitHub\eaglep3-reporting\EC\2017-07-01-refined-times.txt</v>
      </c>
      <c r="AI84" s="96" t="str">
        <f t="shared" si="40"/>
        <v>echo {"issue":{"subject":"","project_id":79,"tracker_id":40,"status_id":1,"priority_id":2,"assigned_to_id":23,"start_date":"2017-07-01","description":"","custom_fields":[{"id":1,"name":"Subdivision","value":"EC"},{"id":4,"name":"Milepost","value":"0.0145"},{"id":17,"name":"Train ID","value":"170-01"},{"id":16,"name":"Locomotive ID","value":"4055"},{"id":130,"name":"Impact","value":""},{"id":150,"name":"Time of Event (Mountain Time)","value":"13:49:20"},{"id":151,"name":"Denver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4" s="20"/>
      <c r="AK84" s="47"/>
      <c r="AL84" s="47"/>
      <c r="AM84" s="142" t="str">
        <f t="shared" si="41"/>
        <v>start /low /b %USERPROFILE%\Documents\GitHub\eaglep3\Utilities\DownloadLogsFromS3.py --loco 4055 --day 2017-07-01</v>
      </c>
      <c r="AN84" s="151" t="str">
        <f t="shared" si="42"/>
        <v>echo {"issue":{"subject":"","project_id":30,"tracker_id":4,"status_id":1,"priority_id":1,"assigned_to_id":10,"start_date":"2017-07-01","description":"","custom_fields":[{"id":30,"name":"Category","value":"Issue"},{"id":3,"name":"Functional Component","value":"Onboard"},{"id":31,"name":"Version","value":"N/A"},{"id":8,"name":"Reporting RR","value":"WABTEC"},{"id":27,"name":"Locomotive ID","value":"4055"},{"id":20,"name":"RR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UTC","value":"2017-07-01 19:49:20"},{"id":29,"name":"Sharepoint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4"/>
      <c r="AP84"/>
      <c r="AQ84"/>
      <c r="AR84"/>
      <c r="AS84"/>
      <c r="AT84"/>
      <c r="AU84"/>
      <c r="AV84"/>
      <c r="AW84"/>
      <c r="AX84"/>
      <c r="AY84"/>
      <c r="AZ84"/>
      <c r="BA84"/>
      <c r="BB84"/>
      <c r="BC84"/>
      <c r="BD84"/>
      <c r="BE84"/>
      <c r="BF84"/>
      <c r="BG84"/>
      <c r="BH84"/>
      <c r="BI84"/>
      <c r="BJ84"/>
      <c r="BK84"/>
      <c r="BL84"/>
      <c r="BM84"/>
      <c r="BN84"/>
      <c r="BO84"/>
      <c r="BP84"/>
      <c r="BQ84"/>
      <c r="BR84"/>
      <c r="BS84"/>
      <c r="BT84"/>
      <c r="BU84"/>
      <c r="BV84"/>
      <c r="BW84"/>
      <c r="BX84"/>
      <c r="BY84"/>
      <c r="BZ84"/>
      <c r="CA84"/>
      <c r="CB84"/>
      <c r="CC84"/>
      <c r="CD84"/>
      <c r="CE84"/>
      <c r="CF84"/>
      <c r="CG84"/>
      <c r="CH84"/>
      <c r="CI84"/>
      <c r="CJ84"/>
      <c r="CK84"/>
      <c r="CL84"/>
      <c r="CM84"/>
    </row>
    <row r="85" spans="1:91" s="1" customFormat="1" x14ac:dyDescent="0.25">
      <c r="A85" s="32" t="s">
        <v>784</v>
      </c>
      <c r="B85" s="7">
        <v>4018</v>
      </c>
      <c r="C85" s="21" t="s">
        <v>202</v>
      </c>
      <c r="D85" s="21" t="s">
        <v>455</v>
      </c>
      <c r="E85" s="13">
        <v>42917.516828703701</v>
      </c>
      <c r="F85" s="13">
        <v>42917.521493055552</v>
      </c>
      <c r="G85" s="7">
        <v>1</v>
      </c>
      <c r="H85" s="21" t="s">
        <v>604</v>
      </c>
      <c r="I85" s="13">
        <v>42917.546064814815</v>
      </c>
      <c r="J85" s="7">
        <v>0</v>
      </c>
      <c r="K85" s="89" t="str">
        <f t="shared" si="27"/>
        <v>4017/4018</v>
      </c>
      <c r="L85" s="21" t="str">
        <f>VLOOKUP(A85,'Trips&amp;Operators'!$C$1:$G$99999,5,FALSE)</f>
        <v>STEWART MICHAEL</v>
      </c>
      <c r="M85" s="6">
        <f t="shared" si="28"/>
        <v>2.457175926247146E-2</v>
      </c>
      <c r="N85" s="7">
        <f t="shared" si="25"/>
        <v>35.383333337958902</v>
      </c>
      <c r="O85" s="7"/>
      <c r="P85" s="7"/>
      <c r="Q85" s="22"/>
      <c r="R85" s="170"/>
      <c r="S85" s="213">
        <f t="shared" si="26"/>
        <v>1</v>
      </c>
      <c r="T85" s="195" t="str">
        <f t="shared" si="29"/>
        <v>NorthBound</v>
      </c>
      <c r="U85" s="195">
        <f>IF(AG85="EC",COUNTIFS(Variables!$M$2:$M$19,IF(T85="NorthBound","&gt;=","&lt;=")&amp;Y85,Variables!$M$2:$M$19,IF(T85="NorthBound","&lt;=","&gt;=")&amp;Z85),COUNTIFS(Variables!$P$2:$P$19,IF(T85="NorthBound","&gt;=","&lt;=")&amp;Y85,Variables!$P$2:$P$19,IF(T85="NorthBound","&lt;=","&gt;=")&amp;Z85))</f>
        <v>12</v>
      </c>
      <c r="V85" s="196" t="str">
        <f t="shared" si="30"/>
        <v>https://d0f6bd738d7f1b3e5a7ca70fe4ff75f0.us-east-1.aws.found.io/app/kibana#/discover/Steve-Slow-Train-Analysis-(2080s-and-2083s)?_g=(refreshInterval:(display:Off,pause:!f,section:0,value:0),time:(from:'2017-07-01T11:24:14-0600',mode:absolute,to:'2017-07-01T14:06:20-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85" s="197" t="str">
        <f>IF(AA85&lt;VLOOKUP(AG85,Variables!$AC$3:$AD$8,2,FALSE),"Y","N")</f>
        <v>N</v>
      </c>
      <c r="X85" s="197">
        <f t="shared" si="31"/>
        <v>1</v>
      </c>
      <c r="Y85" s="197">
        <f t="shared" si="32"/>
        <v>4.6399999999999997E-2</v>
      </c>
      <c r="Z85" s="197">
        <f t="shared" si="33"/>
        <v>23.329499999999999</v>
      </c>
      <c r="AA85" s="197">
        <f t="shared" si="34"/>
        <v>23.283100000000001</v>
      </c>
      <c r="AB85" s="54" t="e">
        <f>VLOOKUP(A85,Enforcements!$C$7:$K$13,8,0)</f>
        <v>#N/A</v>
      </c>
      <c r="AC85" s="51" t="e">
        <f>VLOOKUP(A85,Enforcements!$C$7:$E$13,3,0)</f>
        <v>#N/A</v>
      </c>
      <c r="AD85" s="206">
        <f t="shared" si="35"/>
        <v>171</v>
      </c>
      <c r="AE85" s="77" t="str">
        <f t="shared" si="36"/>
        <v>aws s3 cp s3://rtdc.mdm.uploadarchive.raw/RTDC4018/ "%USERPROFILE%\AppData\Local\Temp\OnboardLogs"\RTDC4018\2017-07-01 --exclude "*" --recursive --include "*20170701*" &amp; "%USERPROFILE%\Documents\GitHub\mrs-test-scripts\Headless Mode &amp; Sideloading\WalkAndUnGZ.bat" "%USERPROFILE%\AppData\Local\Temp\OnboardLogs"\RTDC4018\2017-07-01 &amp; aws s3 cp s3://rtdc.mdm.uploadarchive.raw/RTDC4018/ "%USERPROFILE%\AppData\Local\Temp\OnboardLogs"\RTDC4018\2017-07-02 --exclude "*" --recursive --include "*20170702*" &amp; "%USERPROFILE%\Documents\GitHub\mrs-test-scripts\Headless Mode &amp; Sideloading\WalkAndUnGZ.bat" "%USERPROFILE%\AppData\Local\Temp\OnboardLogs"\RTDC4018\2017-07-02</v>
      </c>
      <c r="AF85" s="74" t="str">
        <f t="shared" si="37"/>
        <v>"C:\Program Files (x86)\AstroGrep\AstroGrep.exe" /e /r /s /spath="%USERPROFILE%\AppData\Local\Temp\OnboardLogs" /stypes="app*4018*20170701*" /stext=" 19:.+((SYSTEM_STATE.+slice.+state.+changed )|(ment ac)|(multiple cpu faults)|(system.+state.+changed )|(\[timeout)|(PRM\|1\|D)|(kpr)|(kdp)|(train st.+moving)|(\|lc)|(penalty))"</v>
      </c>
      <c r="AG85" s="209" t="str">
        <f t="shared" si="38"/>
        <v>EC</v>
      </c>
      <c r="AH85" s="78" t="str">
        <f t="shared" si="39"/>
        <v>"%USERPROFILE%\Documents\GitHub\eaglep3\Utilities\RefineRTDCRunTimes.py" --tripid 171-01 --locoid 4018 --swversion DE.1.0.9.0 --startMP 204:464 --initTime 2017-07-01T12:24:14 --startdatetime 2017-07-01T12:30:57 --delay 1 --endMP 204:233295 --enddatetime 2017-07-01T13:06:20 --enforcementcount 0 &gt;&gt;C:\Users\stu\Documents\GitHub\eaglep3-reporting\EC\2017-07-01-refined-times.txt</v>
      </c>
      <c r="AI85" s="96" t="str">
        <f t="shared" si="40"/>
        <v>echo {"issue":{"subject":"","project_id":79,"tracker_id":40,"status_id":1,"priority_id":2,"assigned_to_id":23,"start_date":"2017-07-01","description":"","custom_fields":[{"id":1,"name":"Subdivision","value":"EC"},{"id":4,"name":"Milepost","value":"23.3295"},{"id":17,"name":"Train ID","value":"171-01"},{"id":16,"name":"Locomotive ID","value":"4018"},{"id":130,"name":"Impact","value":""},{"id":150,"name":"Time of Event (Mountain Time)","value":"13:06:20"},{"id":151,"name":"Denver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5" s="20"/>
      <c r="AK85" s="47"/>
      <c r="AL85" s="47"/>
      <c r="AM85" s="142" t="str">
        <f t="shared" si="41"/>
        <v>start /low /b %USERPROFILE%\Documents\GitHub\eaglep3\Utilities\DownloadLogsFromS3.py --loco 4018 --day 2017-07-01</v>
      </c>
      <c r="AN85" s="151" t="str">
        <f t="shared" si="42"/>
        <v>echo {"issue":{"subject":"","project_id":30,"tracker_id":4,"status_id":1,"priority_id":1,"assigned_to_id":10,"start_date":"2017-07-01","description":"","custom_fields":[{"id":30,"name":"Category","value":"Issue"},{"id":3,"name":"Functional Component","value":"Onboard"},{"id":31,"name":"Version","value":"N/A"},{"id":8,"name":"Reporting RR","value":"WABTEC"},{"id":27,"name":"Locomotive ID","value":"4018"},{"id":20,"name":"RR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UTC","value":"2017-07-01 19:06:20"},{"id":29,"name":"Sharepoint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5"/>
      <c r="AP85"/>
      <c r="AQ85"/>
      <c r="AR85"/>
      <c r="AS85"/>
      <c r="AT85"/>
      <c r="AU85"/>
      <c r="AV85"/>
      <c r="AW85"/>
      <c r="AX85"/>
      <c r="AY85"/>
      <c r="AZ85"/>
      <c r="BA85"/>
      <c r="BB85"/>
      <c r="BC85"/>
      <c r="BD85"/>
      <c r="BE85"/>
      <c r="BF85"/>
      <c r="BG85"/>
      <c r="BH85"/>
      <c r="BI85"/>
      <c r="BJ85"/>
      <c r="BK85"/>
      <c r="BL85"/>
      <c r="BM85"/>
      <c r="BN85"/>
      <c r="BO85"/>
      <c r="BP85"/>
      <c r="BQ85"/>
      <c r="BR85"/>
      <c r="BS85"/>
      <c r="BT85"/>
      <c r="BU85"/>
      <c r="BV85"/>
      <c r="BW85"/>
      <c r="BX85"/>
      <c r="BY85"/>
      <c r="BZ85"/>
      <c r="CA85"/>
      <c r="CB85"/>
      <c r="CC85"/>
      <c r="CD85"/>
      <c r="CE85"/>
      <c r="CF85"/>
      <c r="CG85"/>
      <c r="CH85"/>
      <c r="CI85"/>
      <c r="CJ85"/>
      <c r="CK85"/>
      <c r="CL85"/>
      <c r="CM85"/>
    </row>
    <row r="86" spans="1:91" s="1" customFormat="1" x14ac:dyDescent="0.25">
      <c r="A86" s="32" t="s">
        <v>789</v>
      </c>
      <c r="B86" s="7">
        <v>4017</v>
      </c>
      <c r="C86" s="21" t="s">
        <v>202</v>
      </c>
      <c r="D86" s="21" t="s">
        <v>599</v>
      </c>
      <c r="E86" s="13">
        <v>42917.556828703702</v>
      </c>
      <c r="F86" s="13">
        <v>42917.560636574075</v>
      </c>
      <c r="G86" s="7">
        <v>1</v>
      </c>
      <c r="H86" s="21" t="s">
        <v>485</v>
      </c>
      <c r="I86" s="13">
        <v>42917.588310185187</v>
      </c>
      <c r="J86" s="7">
        <v>0</v>
      </c>
      <c r="K86" s="89" t="str">
        <f t="shared" si="27"/>
        <v>4017/4018</v>
      </c>
      <c r="L86" s="21" t="str">
        <f>VLOOKUP(A86,'Trips&amp;Operators'!$C$1:$G$99999,5,FALSE)</f>
        <v>STEWART MICHAEL</v>
      </c>
      <c r="M86" s="6">
        <f t="shared" si="28"/>
        <v>2.7673611111822538E-2</v>
      </c>
      <c r="N86" s="7">
        <f t="shared" si="25"/>
        <v>39.850000001024455</v>
      </c>
      <c r="O86" s="7"/>
      <c r="P86" s="7"/>
      <c r="Q86" s="22"/>
      <c r="R86" s="170"/>
      <c r="S86" s="213">
        <f t="shared" si="26"/>
        <v>1</v>
      </c>
      <c r="T86" s="195" t="str">
        <f t="shared" si="29"/>
        <v>Southbound</v>
      </c>
      <c r="U86" s="195">
        <f>IF(AG86="EC",COUNTIFS(Variables!$M$2:$M$19,IF(T86="NorthBound","&gt;=","&lt;=")&amp;Y86,Variables!$M$2:$M$19,IF(T86="NorthBound","&lt;=","&gt;=")&amp;Z86),COUNTIFS(Variables!$P$2:$P$19,IF(T86="NorthBound","&gt;=","&lt;=")&amp;Y86,Variables!$P$2:$P$19,IF(T86="NorthBound","&lt;=","&gt;=")&amp;Z86))</f>
        <v>12</v>
      </c>
      <c r="V86" s="196" t="str">
        <f t="shared" si="30"/>
        <v>https://d0f6bd738d7f1b3e5a7ca70fe4ff75f0.us-east-1.aws.found.io/app/kibana#/discover/Steve-Slow-Train-Analysis-(2080s-and-2083s)?_g=(refreshInterval:(display:Off,pause:!f,section:0,value:0),time:(from:'2017-07-01T12:21:50-0600',mode:absolute,to:'2017-07-01T15:07:10-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86" s="197" t="str">
        <f>IF(AA86&lt;VLOOKUP(AG86,Variables!$AC$3:$AD$8,2,FALSE),"Y","N")</f>
        <v>N</v>
      </c>
      <c r="X86" s="197">
        <f t="shared" si="31"/>
        <v>1</v>
      </c>
      <c r="Y86" s="197">
        <f t="shared" si="32"/>
        <v>23.2972</v>
      </c>
      <c r="Z86" s="197">
        <f t="shared" si="33"/>
        <v>1.6299999999999999E-2</v>
      </c>
      <c r="AA86" s="197">
        <f t="shared" si="34"/>
        <v>23.280899999999999</v>
      </c>
      <c r="AB86" s="54" t="e">
        <f>VLOOKUP(A86,Enforcements!$C$7:$K$13,8,0)</f>
        <v>#N/A</v>
      </c>
      <c r="AC86" s="51" t="e">
        <f>VLOOKUP(A86,Enforcements!$C$7:$E$13,3,0)</f>
        <v>#N/A</v>
      </c>
      <c r="AD86" s="206">
        <f t="shared" si="35"/>
        <v>172</v>
      </c>
      <c r="AE86" s="77" t="str">
        <f t="shared" si="36"/>
        <v>aws s3 cp s3://rtdc.mdm.uploadarchive.raw/RTDC4017/ "%USERPROFILE%\AppData\Local\Temp\OnboardLogs"\RTDC4017\2017-07-01 --exclude "*" --recursive --include "*20170701*" &amp; "%USERPROFILE%\Documents\GitHub\mrs-test-scripts\Headless Mode &amp; Sideloading\WalkAndUnGZ.bat" "%USERPROFILE%\AppData\Local\Temp\OnboardLogs"\RTDC4017\2017-07-01 &amp; aws s3 cp s3://rtdc.mdm.uploadarchive.raw/RTDC4017/ "%USERPROFILE%\AppData\Local\Temp\OnboardLogs"\RTDC4017\2017-07-02 --exclude "*" --recursive --include "*20170702*" &amp; "%USERPROFILE%\Documents\GitHub\mrs-test-scripts\Headless Mode &amp; Sideloading\WalkAndUnGZ.bat" "%USERPROFILE%\AppData\Local\Temp\OnboardLogs"\RTDC4017\2017-07-02</v>
      </c>
      <c r="AF86" s="74" t="str">
        <f t="shared" si="37"/>
        <v>"C:\Program Files (x86)\AstroGrep\AstroGrep.exe" /e /r /s /spath="%USERPROFILE%\AppData\Local\Temp\OnboardLogs" /stypes="app*4017*20170701*" /stext=" 20:.+((SYSTEM_STATE.+slice.+state.+changed )|(ment ac)|(multiple cpu faults)|(system.+state.+changed )|(\[timeout)|(PRM\|1\|D)|(kpr)|(kdp)|(train st.+moving)|(\|lc)|(penalty))"</v>
      </c>
      <c r="AG86" s="209" t="str">
        <f t="shared" si="38"/>
        <v>EC</v>
      </c>
      <c r="AH86" s="78" t="str">
        <f t="shared" si="39"/>
        <v>"%USERPROFILE%\Documents\GitHub\eaglep3\Utilities\RefineRTDCRunTimes.py" --tripid 172-01 --locoid 4017 --swversion DE.1.0.9.0 --startMP 204:232972 --initTime 2017-07-01T13:21:50 --startdatetime 2017-07-01T13:27:19 --delay 1 --endMP 204:163 --enddatetime 2017-07-01T14:07:10 --enforcementcount 0 &gt;&gt;C:\Users\stu\Documents\GitHub\eaglep3-reporting\EC\2017-07-01-refined-times.txt</v>
      </c>
      <c r="AI86" s="96" t="str">
        <f t="shared" si="40"/>
        <v>echo {"issue":{"subject":"","project_id":79,"tracker_id":40,"status_id":1,"priority_id":2,"assigned_to_id":23,"start_date":"2017-07-01","description":"","custom_fields":[{"id":1,"name":"Subdivision","value":"EC"},{"id":4,"name":"Milepost","value":"0.0163"},{"id":17,"name":"Train ID","value":"172-01"},{"id":16,"name":"Locomotive ID","value":"4017"},{"id":130,"name":"Impact","value":""},{"id":150,"name":"Time of Event (Mountain Time)","value":"14:07:10"},{"id":151,"name":"Denver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6" s="20"/>
      <c r="AK86" s="47"/>
      <c r="AL86" s="47"/>
      <c r="AM86" s="142" t="str">
        <f t="shared" si="41"/>
        <v>start /low /b %USERPROFILE%\Documents\GitHub\eaglep3\Utilities\DownloadLogsFromS3.py --loco 4017 --day 2017-07-01</v>
      </c>
      <c r="AN86" s="151" t="str">
        <f t="shared" si="42"/>
        <v>echo {"issue":{"subject":"","project_id":30,"tracker_id":4,"status_id":1,"priority_id":1,"assigned_to_id":10,"start_date":"2017-07-01","description":"","custom_fields":[{"id":30,"name":"Category","value":"Issue"},{"id":3,"name":"Functional Component","value":"Onboard"},{"id":31,"name":"Version","value":"N/A"},{"id":8,"name":"Reporting RR","value":"WABTEC"},{"id":27,"name":"Locomotive ID","value":"4017"},{"id":20,"name":"RR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UTC","value":"2017-07-01 20:07:10"},{"id":29,"name":"Sharepoint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6"/>
      <c r="AP86"/>
      <c r="AQ86"/>
      <c r="AR86"/>
      <c r="AS86"/>
      <c r="AT86"/>
      <c r="AU86"/>
      <c r="AV86"/>
      <c r="AW86"/>
      <c r="AX86"/>
      <c r="AY86"/>
      <c r="AZ86"/>
      <c r="BA86"/>
      <c r="BB86"/>
      <c r="BC86"/>
      <c r="BD86"/>
      <c r="BE86"/>
      <c r="BF86"/>
      <c r="BG86"/>
      <c r="BH86"/>
      <c r="BI86"/>
      <c r="BJ86"/>
      <c r="BK86"/>
      <c r="BL86"/>
      <c r="BM86"/>
      <c r="BN86"/>
      <c r="BO86"/>
      <c r="BP86"/>
      <c r="BQ86"/>
      <c r="BR86"/>
      <c r="BS86"/>
      <c r="BT86"/>
      <c r="BU86"/>
      <c r="BV86"/>
      <c r="BW86"/>
      <c r="BX86"/>
      <c r="BY86"/>
      <c r="BZ86"/>
      <c r="CA86"/>
      <c r="CB86"/>
      <c r="CC86"/>
      <c r="CD86"/>
      <c r="CE86"/>
      <c r="CF86"/>
      <c r="CG86"/>
      <c r="CH86"/>
      <c r="CI86"/>
      <c r="CJ86"/>
      <c r="CK86"/>
      <c r="CL86"/>
      <c r="CM86"/>
    </row>
    <row r="87" spans="1:91" s="1" customFormat="1" x14ac:dyDescent="0.25">
      <c r="A87" s="32" t="s">
        <v>655</v>
      </c>
      <c r="B87" s="7">
        <v>4030</v>
      </c>
      <c r="C87" s="21" t="s">
        <v>202</v>
      </c>
      <c r="D87" s="21" t="s">
        <v>355</v>
      </c>
      <c r="E87" s="13">
        <v>42917.528136574074</v>
      </c>
      <c r="F87" s="13">
        <v>42917.531446759262</v>
      </c>
      <c r="G87" s="7">
        <v>1</v>
      </c>
      <c r="H87" s="21" t="s">
        <v>542</v>
      </c>
      <c r="I87" s="13">
        <v>42917.557129629633</v>
      </c>
      <c r="J87" s="7">
        <v>0</v>
      </c>
      <c r="K87" s="89" t="str">
        <f t="shared" si="27"/>
        <v>4029/4030</v>
      </c>
      <c r="L87" s="21" t="str">
        <f>VLOOKUP(A87,'Trips&amp;Operators'!$C$1:$G$99999,5,FALSE)</f>
        <v>HOLCOMB KAMDEN</v>
      </c>
      <c r="M87" s="6">
        <f t="shared" si="28"/>
        <v>2.5682870371383615E-2</v>
      </c>
      <c r="N87" s="7">
        <f t="shared" si="25"/>
        <v>36.983333334792405</v>
      </c>
      <c r="O87" s="7"/>
      <c r="P87" s="7"/>
      <c r="Q87" s="22"/>
      <c r="R87" s="170"/>
      <c r="S87" s="213">
        <f t="shared" si="26"/>
        <v>1</v>
      </c>
      <c r="T87" s="195" t="str">
        <f t="shared" si="29"/>
        <v>NorthBound</v>
      </c>
      <c r="U87" s="195">
        <f>IF(AG87="EC",COUNTIFS(Variables!$M$2:$M$19,IF(T87="NorthBound","&gt;=","&lt;=")&amp;Y87,Variables!$M$2:$M$19,IF(T87="NorthBound","&lt;=","&gt;=")&amp;Z87),COUNTIFS(Variables!$P$2:$P$19,IF(T87="NorthBound","&gt;=","&lt;=")&amp;Y87,Variables!$P$2:$P$19,IF(T87="NorthBound","&lt;=","&gt;=")&amp;Z87))</f>
        <v>12</v>
      </c>
      <c r="V87" s="196" t="str">
        <f t="shared" si="30"/>
        <v>https://d0f6bd738d7f1b3e5a7ca70fe4ff75f0.us-east-1.aws.found.io/app/kibana#/discover/Steve-Slow-Train-Analysis-(2080s-and-2083s)?_g=(refreshInterval:(display:Off,pause:!f,section:0,value:0),time:(from:'2017-07-01T11:40:31-0600',mode:absolute,to:'2017-07-01T14:22:16-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87" s="197" t="str">
        <f>IF(AA87&lt;VLOOKUP(AG87,Variables!$AC$3:$AD$8,2,FALSE),"Y","N")</f>
        <v>N</v>
      </c>
      <c r="X87" s="197">
        <f t="shared" si="31"/>
        <v>1</v>
      </c>
      <c r="Y87" s="197">
        <f t="shared" si="32"/>
        <v>4.4699999999999997E-2</v>
      </c>
      <c r="Z87" s="197">
        <f t="shared" si="33"/>
        <v>23.329699999999999</v>
      </c>
      <c r="AA87" s="197">
        <f t="shared" si="34"/>
        <v>23.285</v>
      </c>
      <c r="AB87" s="54" t="e">
        <f>VLOOKUP(A87,Enforcements!$C$7:$K$13,8,0)</f>
        <v>#N/A</v>
      </c>
      <c r="AC87" s="51" t="e">
        <f>VLOOKUP(A87,Enforcements!$C$7:$E$13,3,0)</f>
        <v>#N/A</v>
      </c>
      <c r="AD87" s="206">
        <f t="shared" si="35"/>
        <v>173</v>
      </c>
      <c r="AE87" s="77" t="str">
        <f t="shared" si="36"/>
        <v>aws s3 cp s3://rtdc.mdm.uploadarchive.raw/RTDC4030/ "%USERPROFILE%\AppData\Local\Temp\OnboardLogs"\RTDC4030\2017-07-01 --exclude "*" --recursive --include "*20170701*" &amp; "%USERPROFILE%\Documents\GitHub\mrs-test-scripts\Headless Mode &amp; Sideloading\WalkAndUnGZ.bat" "%USERPROFILE%\AppData\Local\Temp\OnboardLogs"\RTDC4030\2017-07-01 &amp; aws s3 cp s3://rtdc.mdm.uploadarchive.raw/RTDC4030/ "%USERPROFILE%\AppData\Local\Temp\OnboardLogs"\RTDC4030\2017-07-02 --exclude "*" --recursive --include "*20170702*" &amp; "%USERPROFILE%\Documents\GitHub\mrs-test-scripts\Headless Mode &amp; Sideloading\WalkAndUnGZ.bat" "%USERPROFILE%\AppData\Local\Temp\OnboardLogs"\RTDC4030\2017-07-02</v>
      </c>
      <c r="AF87" s="74" t="str">
        <f t="shared" si="37"/>
        <v>"C:\Program Files (x86)\AstroGrep\AstroGrep.exe" /e /r /s /spath="%USERPROFILE%\AppData\Local\Temp\OnboardLogs" /stypes="app*4030*20170701*" /stext=" 19:.+((SYSTEM_STATE.+slice.+state.+changed )|(ment ac)|(multiple cpu faults)|(system.+state.+changed )|(\[timeout)|(PRM\|1\|D)|(kpr)|(kdp)|(train st.+moving)|(\|lc)|(penalty))"</v>
      </c>
      <c r="AG87" s="209" t="str">
        <f t="shared" si="38"/>
        <v>EC</v>
      </c>
      <c r="AH87" s="78" t="str">
        <f t="shared" si="39"/>
        <v>"%USERPROFILE%\Documents\GitHub\eaglep3\Utilities\RefineRTDCRunTimes.py" --tripid 173-01 --locoid 4030 --swversion DE.1.0.9.0 --startMP 204:447 --initTime 2017-07-01T12:40:31 --startdatetime 2017-07-01T12:45:17 --delay 1 --endMP 204:233297 --enddatetime 2017-07-01T13:22:16 --enforcementcount 0 &gt;&gt;C:\Users\stu\Documents\GitHub\eaglep3-reporting\EC\2017-07-01-refined-times.txt</v>
      </c>
      <c r="AI87" s="96" t="str">
        <f t="shared" si="40"/>
        <v>echo {"issue":{"subject":"","project_id":79,"tracker_id":40,"status_id":1,"priority_id":2,"assigned_to_id":23,"start_date":"2017-07-01","description":"","custom_fields":[{"id":1,"name":"Subdivision","value":"EC"},{"id":4,"name":"Milepost","value":"23.3297"},{"id":17,"name":"Train ID","value":"173-01"},{"id":16,"name":"Locomotive ID","value":"4030"},{"id":130,"name":"Impact","value":""},{"id":150,"name":"Time of Event (Mountain Time)","value":"13:22:16"},{"id":151,"name":"Denver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7" s="20"/>
      <c r="AK87" s="47"/>
      <c r="AL87" s="47"/>
      <c r="AM87" s="142" t="str">
        <f t="shared" si="41"/>
        <v>start /low /b %USERPROFILE%\Documents\GitHub\eaglep3\Utilities\DownloadLogsFromS3.py --loco 4030 --day 2017-07-01</v>
      </c>
      <c r="AN87" s="151" t="str">
        <f t="shared" si="42"/>
        <v>echo {"issue":{"subject":"","project_id":30,"tracker_id":4,"status_id":1,"priority_id":1,"assigned_to_id":10,"start_date":"2017-07-01","description":"","custom_fields":[{"id":30,"name":"Category","value":"Issue"},{"id":3,"name":"Functional Component","value":"Onboard"},{"id":31,"name":"Version","value":"N/A"},{"id":8,"name":"Reporting RR","value":"WABTEC"},{"id":27,"name":"Locomotive ID","value":"4030"},{"id":20,"name":"RR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UTC","value":"2017-07-01 19:22:16"},{"id":29,"name":"Sharepoint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7"/>
      <c r="AP87"/>
      <c r="AQ87"/>
      <c r="AR87"/>
      <c r="AS87"/>
      <c r="AT87"/>
      <c r="AU87"/>
      <c r="AV87"/>
      <c r="AW87"/>
      <c r="AX87"/>
      <c r="AY87"/>
      <c r="AZ87"/>
      <c r="BA87"/>
      <c r="BB87"/>
      <c r="BC87"/>
      <c r="BD87"/>
      <c r="BE87"/>
      <c r="BF87"/>
      <c r="BG87"/>
      <c r="BH87"/>
      <c r="BI87"/>
      <c r="BJ87"/>
      <c r="BK87"/>
      <c r="BL87"/>
      <c r="BM87"/>
      <c r="BN87"/>
      <c r="BO87"/>
      <c r="BP87"/>
      <c r="BQ87"/>
      <c r="BR87"/>
      <c r="BS87"/>
      <c r="BT87"/>
      <c r="BU87"/>
      <c r="BV87"/>
      <c r="BW87"/>
      <c r="BX87"/>
      <c r="BY87"/>
      <c r="BZ87"/>
      <c r="CA87"/>
      <c r="CB87"/>
      <c r="CC87"/>
      <c r="CD87"/>
      <c r="CE87"/>
      <c r="CF87"/>
      <c r="CG87"/>
      <c r="CH87"/>
      <c r="CI87"/>
      <c r="CJ87"/>
      <c r="CK87"/>
      <c r="CL87"/>
      <c r="CM87"/>
    </row>
    <row r="88" spans="1:91" s="1" customFormat="1" x14ac:dyDescent="0.25">
      <c r="A88" s="32" t="s">
        <v>793</v>
      </c>
      <c r="B88" s="7">
        <v>4029</v>
      </c>
      <c r="C88" s="21" t="s">
        <v>202</v>
      </c>
      <c r="D88" s="21" t="s">
        <v>466</v>
      </c>
      <c r="E88" s="13">
        <v>42917.569965277777</v>
      </c>
      <c r="F88" s="13">
        <v>42917.57130787037</v>
      </c>
      <c r="G88" s="7">
        <v>1</v>
      </c>
      <c r="H88" s="21" t="s">
        <v>923</v>
      </c>
      <c r="I88" s="13">
        <v>42917.599097222221</v>
      </c>
      <c r="J88" s="7">
        <v>0</v>
      </c>
      <c r="K88" s="89" t="str">
        <f t="shared" si="27"/>
        <v>4029/4030</v>
      </c>
      <c r="L88" s="21" t="str">
        <f>VLOOKUP(A88,'Trips&amp;Operators'!$C$1:$G$99999,5,FALSE)</f>
        <v>HOLCOMB KAMDEN</v>
      </c>
      <c r="M88" s="6">
        <f t="shared" si="28"/>
        <v>2.7789351850515231E-2</v>
      </c>
      <c r="N88" s="7">
        <f t="shared" si="25"/>
        <v>40.016666664741933</v>
      </c>
      <c r="O88" s="7"/>
      <c r="P88" s="7"/>
      <c r="Q88" s="22"/>
      <c r="R88" s="170"/>
      <c r="S88" s="213">
        <f t="shared" si="26"/>
        <v>1</v>
      </c>
      <c r="T88" s="195" t="str">
        <f t="shared" si="29"/>
        <v>Southbound</v>
      </c>
      <c r="U88" s="195">
        <f>IF(AG88="EC",COUNTIFS(Variables!$M$2:$M$19,IF(T88="NorthBound","&gt;=","&lt;=")&amp;Y88,Variables!$M$2:$M$19,IF(T88="NorthBound","&lt;=","&gt;=")&amp;Z88),COUNTIFS(Variables!$P$2:$P$19,IF(T88="NorthBound","&gt;=","&lt;=")&amp;Y88,Variables!$P$2:$P$19,IF(T88="NorthBound","&lt;=","&gt;=")&amp;Z88))</f>
        <v>12</v>
      </c>
      <c r="V88" s="196" t="str">
        <f t="shared" si="30"/>
        <v>https://d0f6bd738d7f1b3e5a7ca70fe4ff75f0.us-east-1.aws.found.io/app/kibana#/discover/Steve-Slow-Train-Analysis-(2080s-and-2083s)?_g=(refreshInterval:(display:Off,pause:!f,section:0,value:0),time:(from:'2017-07-01T12:40:45-0600',mode:absolute,to:'2017-07-01T15:22:42-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88" s="197" t="str">
        <f>IF(AA88&lt;VLOOKUP(AG88,Variables!$AC$3:$AD$8,2,FALSE),"Y","N")</f>
        <v>N</v>
      </c>
      <c r="X88" s="197">
        <f t="shared" si="31"/>
        <v>1</v>
      </c>
      <c r="Y88" s="197">
        <f t="shared" si="32"/>
        <v>23.297699999999999</v>
      </c>
      <c r="Z88" s="197">
        <f t="shared" si="33"/>
        <v>1.34E-2</v>
      </c>
      <c r="AA88" s="197">
        <f t="shared" si="34"/>
        <v>23.284299999999998</v>
      </c>
      <c r="AB88" s="54" t="e">
        <f>VLOOKUP(A88,Enforcements!$C$7:$K$13,8,0)</f>
        <v>#N/A</v>
      </c>
      <c r="AC88" s="51" t="e">
        <f>VLOOKUP(A88,Enforcements!$C$7:$E$13,3,0)</f>
        <v>#N/A</v>
      </c>
      <c r="AD88" s="206">
        <f t="shared" si="35"/>
        <v>174</v>
      </c>
      <c r="AE88" s="77" t="str">
        <f t="shared" si="36"/>
        <v>aws s3 cp s3://rtdc.mdm.uploadarchive.raw/RTDC4029/ "%USERPROFILE%\AppData\Local\Temp\OnboardLogs"\RTDC4029\2017-07-01 --exclude "*" --recursive --include "*20170701*" &amp; "%USERPROFILE%\Documents\GitHub\mrs-test-scripts\Headless Mode &amp; Sideloading\WalkAndUnGZ.bat" "%USERPROFILE%\AppData\Local\Temp\OnboardLogs"\RTDC4029\2017-07-01 &amp; aws s3 cp s3://rtdc.mdm.uploadarchive.raw/RTDC4029/ "%USERPROFILE%\AppData\Local\Temp\OnboardLogs"\RTDC4029\2017-07-02 --exclude "*" --recursive --include "*20170702*" &amp; "%USERPROFILE%\Documents\GitHub\mrs-test-scripts\Headless Mode &amp; Sideloading\WalkAndUnGZ.bat" "%USERPROFILE%\AppData\Local\Temp\OnboardLogs"\RTDC4029\2017-07-02</v>
      </c>
      <c r="AF88" s="74" t="str">
        <f t="shared" si="37"/>
        <v>"C:\Program Files (x86)\AstroGrep\AstroGrep.exe" /e /r /s /spath="%USERPROFILE%\AppData\Local\Temp\OnboardLogs" /stypes="app*4029*20170701*" /stext=" 20:.+((SYSTEM_STATE.+slice.+state.+changed )|(ment ac)|(multiple cpu faults)|(system.+state.+changed )|(\[timeout)|(PRM\|1\|D)|(kpr)|(kdp)|(train st.+moving)|(\|lc)|(penalty))"</v>
      </c>
      <c r="AG88" s="209" t="str">
        <f t="shared" si="38"/>
        <v>EC</v>
      </c>
      <c r="AH88" s="78" t="str">
        <f t="shared" si="39"/>
        <v>"%USERPROFILE%\Documents\GitHub\eaglep3\Utilities\RefineRTDCRunTimes.py" --tripid 174-01 --locoid 4029 --swversion DE.1.0.9.0 --startMP 204:232977 --initTime 2017-07-01T13:40:45 --startdatetime 2017-07-01T13:42:41 --delay 1 --endMP 204:134 --enddatetime 2017-07-01T14:22:42 --enforcementcount 0 &gt;&gt;C:\Users\stu\Documents\GitHub\eaglep3-reporting\EC\2017-07-01-refined-times.txt</v>
      </c>
      <c r="AI88" s="96" t="str">
        <f t="shared" si="40"/>
        <v>echo {"issue":{"subject":"","project_id":79,"tracker_id":40,"status_id":1,"priority_id":2,"assigned_to_id":23,"start_date":"2017-07-01","description":"","custom_fields":[{"id":1,"name":"Subdivision","value":"EC"},{"id":4,"name":"Milepost","value":"0.0134"},{"id":17,"name":"Train ID","value":"174-01"},{"id":16,"name":"Locomotive ID","value":"4029"},{"id":130,"name":"Impact","value":""},{"id":150,"name":"Time of Event (Mountain Time)","value":"14:22:42"},{"id":151,"name":"Denver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8" s="20"/>
      <c r="AK88" s="47"/>
      <c r="AL88" s="47"/>
      <c r="AM88" s="142" t="str">
        <f t="shared" si="41"/>
        <v>start /low /b %USERPROFILE%\Documents\GitHub\eaglep3\Utilities\DownloadLogsFromS3.py --loco 4029 --day 2017-07-01</v>
      </c>
      <c r="AN88" s="151" t="str">
        <f t="shared" si="42"/>
        <v>echo {"issue":{"subject":"","project_id":30,"tracker_id":4,"status_id":1,"priority_id":1,"assigned_to_id":10,"start_date":"2017-07-01","description":"","custom_fields":[{"id":30,"name":"Category","value":"Issue"},{"id":3,"name":"Functional Component","value":"Onboard"},{"id":31,"name":"Version","value":"N/A"},{"id":8,"name":"Reporting RR","value":"WABTEC"},{"id":27,"name":"Locomotive ID","value":"4029"},{"id":20,"name":"RR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UTC","value":"2017-07-01 20:22:42"},{"id":29,"name":"Sharepoint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8"/>
      <c r="AP88"/>
      <c r="AQ88"/>
      <c r="AR88"/>
      <c r="AS88"/>
      <c r="AT88"/>
      <c r="AU88"/>
      <c r="AV88"/>
      <c r="AW88"/>
      <c r="AX88"/>
      <c r="AY88"/>
      <c r="AZ88"/>
      <c r="BA88"/>
      <c r="BB88"/>
      <c r="BC88"/>
      <c r="BD88"/>
      <c r="BE88"/>
      <c r="BF88"/>
      <c r="BG88"/>
      <c r="BH88"/>
      <c r="BI88"/>
      <c r="BJ88"/>
      <c r="BK88"/>
      <c r="BL88"/>
      <c r="BM88"/>
      <c r="BN88"/>
      <c r="BO88"/>
      <c r="BP88"/>
      <c r="BQ88"/>
      <c r="BR88"/>
      <c r="BS88"/>
      <c r="BT88"/>
      <c r="BU88"/>
      <c r="BV88"/>
      <c r="BW88"/>
      <c r="BX88"/>
      <c r="BY88"/>
      <c r="BZ88"/>
      <c r="CA88"/>
      <c r="CB88"/>
      <c r="CC88"/>
      <c r="CD88"/>
      <c r="CE88"/>
      <c r="CF88"/>
      <c r="CG88"/>
      <c r="CH88"/>
      <c r="CI88"/>
      <c r="CJ88"/>
      <c r="CK88"/>
      <c r="CL88"/>
      <c r="CM88"/>
    </row>
    <row r="89" spans="1:91" x14ac:dyDescent="0.25">
      <c r="A89" s="32" t="s">
        <v>786</v>
      </c>
      <c r="B89" s="7">
        <v>4028</v>
      </c>
      <c r="C89" s="21" t="s">
        <v>202</v>
      </c>
      <c r="D89" s="21" t="s">
        <v>470</v>
      </c>
      <c r="E89" s="13">
        <v>42917.536041666666</v>
      </c>
      <c r="F89" s="13">
        <v>42917.542175925926</v>
      </c>
      <c r="G89" s="7">
        <v>1</v>
      </c>
      <c r="H89" s="21" t="s">
        <v>606</v>
      </c>
      <c r="I89" s="13">
        <v>42917.56690972222</v>
      </c>
      <c r="J89" s="7">
        <v>0</v>
      </c>
      <c r="K89" s="89" t="str">
        <f t="shared" si="27"/>
        <v>4027/4028</v>
      </c>
      <c r="L89" s="21" t="str">
        <f>VLOOKUP(A89,'Trips&amp;Operators'!$C$1:$G$99999,5,FALSE)</f>
        <v>LOPES KIMBERLY</v>
      </c>
      <c r="M89" s="6">
        <f t="shared" si="28"/>
        <v>2.4733796293730848E-2</v>
      </c>
      <c r="N89" s="7">
        <f t="shared" si="25"/>
        <v>35.61666666297242</v>
      </c>
      <c r="O89" s="7"/>
      <c r="P89" s="7"/>
      <c r="Q89" s="22"/>
      <c r="R89" s="170"/>
      <c r="S89" s="213">
        <f t="shared" si="26"/>
        <v>1</v>
      </c>
      <c r="T89" s="195" t="str">
        <f t="shared" si="29"/>
        <v>NorthBound</v>
      </c>
      <c r="U89" s="195">
        <f>IF(AG89="EC",COUNTIFS(Variables!$M$2:$M$19,IF(T89="NorthBound","&gt;=","&lt;=")&amp;Y89,Variables!$M$2:$M$19,IF(T89="NorthBound","&lt;=","&gt;=")&amp;Z89),COUNTIFS(Variables!$P$2:$P$19,IF(T89="NorthBound","&gt;=","&lt;=")&amp;Y89,Variables!$P$2:$P$19,IF(T89="NorthBound","&lt;=","&gt;=")&amp;Z89))</f>
        <v>12</v>
      </c>
      <c r="V89" s="196" t="str">
        <f t="shared" si="30"/>
        <v>https://d0f6bd738d7f1b3e5a7ca70fe4ff75f0.us-east-1.aws.found.io/app/kibana#/discover/Steve-Slow-Train-Analysis-(2080s-and-2083s)?_g=(refreshInterval:(display:Off,pause:!f,section:0,value:0),time:(from:'2017-07-01T11:51:54-0600',mode:absolute,to:'2017-07-01T14:36:21-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89" s="197" t="str">
        <f>IF(AA89&lt;VLOOKUP(AG89,Variables!$AC$3:$AD$8,2,FALSE),"Y","N")</f>
        <v>N</v>
      </c>
      <c r="X89" s="197">
        <f t="shared" si="31"/>
        <v>1</v>
      </c>
      <c r="Y89" s="197">
        <f t="shared" si="32"/>
        <v>4.58E-2</v>
      </c>
      <c r="Z89" s="197">
        <f t="shared" si="33"/>
        <v>23.3306</v>
      </c>
      <c r="AA89" s="197">
        <f t="shared" si="34"/>
        <v>23.284800000000001</v>
      </c>
      <c r="AB89" s="54" t="e">
        <f>VLOOKUP(A89,Enforcements!$C$7:$K$13,8,0)</f>
        <v>#N/A</v>
      </c>
      <c r="AC89" s="51" t="e">
        <f>VLOOKUP(A89,Enforcements!$C$7:$E$13,3,0)</f>
        <v>#N/A</v>
      </c>
      <c r="AD89" s="206">
        <f t="shared" si="35"/>
        <v>175</v>
      </c>
      <c r="AE89" s="77" t="str">
        <f t="shared" si="36"/>
        <v>aws s3 cp s3://rtdc.mdm.uploadarchive.raw/RTDC4028/ "%USERPROFILE%\AppData\Local\Temp\OnboardLogs"\RTDC4028\2017-07-01 --exclude "*" --recursive --include "*20170701*" &amp; "%USERPROFILE%\Documents\GitHub\mrs-test-scripts\Headless Mode &amp; Sideloading\WalkAndUnGZ.bat" "%USERPROFILE%\AppData\Local\Temp\OnboardLogs"\RTDC4028\2017-07-01 &amp; aws s3 cp s3://rtdc.mdm.uploadarchive.raw/RTDC4028/ "%USERPROFILE%\AppData\Local\Temp\OnboardLogs"\RTDC4028\2017-07-02 --exclude "*" --recursive --include "*20170702*" &amp; "%USERPROFILE%\Documents\GitHub\mrs-test-scripts\Headless Mode &amp; Sideloading\WalkAndUnGZ.bat" "%USERPROFILE%\AppData\Local\Temp\OnboardLogs"\RTDC4028\2017-07-02</v>
      </c>
      <c r="AF89" s="74" t="str">
        <f t="shared" si="37"/>
        <v>"C:\Program Files (x86)\AstroGrep\AstroGrep.exe" /e /r /s /spath="%USERPROFILE%\AppData\Local\Temp\OnboardLogs" /stypes="app*4028*20170701*" /stext=" 19:.+((SYSTEM_STATE.+slice.+state.+changed )|(ment ac)|(multiple cpu faults)|(system.+state.+changed )|(\[timeout)|(PRM\|1\|D)|(kpr)|(kdp)|(train st.+moving)|(\|lc)|(penalty))"</v>
      </c>
      <c r="AG89" s="209" t="str">
        <f t="shared" si="38"/>
        <v>EC</v>
      </c>
      <c r="AH89" s="78" t="str">
        <f t="shared" si="39"/>
        <v>"%USERPROFILE%\Documents\GitHub\eaglep3\Utilities\RefineRTDCRunTimes.py" --tripid 175-01 --locoid 4028 --swversion DE.1.0.9.0 --startMP 204:458 --initTime 2017-07-01T12:51:54 --startdatetime 2017-07-01T13:00:44 --delay 1 --endMP 204:233306 --enddatetime 2017-07-01T13:36:21 --enforcementcount 0 &gt;&gt;C:\Users\stu\Documents\GitHub\eaglep3-reporting\EC\2017-07-01-refined-times.txt</v>
      </c>
      <c r="AI89" s="96" t="str">
        <f t="shared" si="40"/>
        <v>echo {"issue":{"subject":"","project_id":79,"tracker_id":40,"status_id":1,"priority_id":2,"assigned_to_id":23,"start_date":"2017-07-01","description":"","custom_fields":[{"id":1,"name":"Subdivision","value":"EC"},{"id":4,"name":"Milepost","value":"23.3306"},{"id":17,"name":"Train ID","value":"175-01"},{"id":16,"name":"Locomotive ID","value":"4028"},{"id":130,"name":"Impact","value":""},{"id":150,"name":"Time of Event (Mountain Time)","value":"13:36:21"},{"id":151,"name":"Denver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9" s="20"/>
      <c r="AK89" s="47"/>
      <c r="AL89" s="47"/>
      <c r="AM89" s="142" t="str">
        <f t="shared" si="41"/>
        <v>start /low /b %USERPROFILE%\Documents\GitHub\eaglep3\Utilities\DownloadLogsFromS3.py --loco 4028 --day 2017-07-01</v>
      </c>
      <c r="AN89" s="151" t="str">
        <f t="shared" si="42"/>
        <v>echo {"issue":{"subject":"","project_id":30,"tracker_id":4,"status_id":1,"priority_id":1,"assigned_to_id":10,"start_date":"2017-07-01","description":"","custom_fields":[{"id":30,"name":"Category","value":"Issue"},{"id":3,"name":"Functional Component","value":"Onboard"},{"id":31,"name":"Version","value":"N/A"},{"id":8,"name":"Reporting RR","value":"WABTEC"},{"id":27,"name":"Locomotive ID","value":"4028"},{"id":20,"name":"RR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UTC","value":"2017-07-01 19:36:21"},{"id":29,"name":"Sharepoint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9"/>
    </row>
    <row r="90" spans="1:91" s="20" customFormat="1" x14ac:dyDescent="0.25">
      <c r="A90" s="32" t="s">
        <v>794</v>
      </c>
      <c r="B90" s="7">
        <v>4027</v>
      </c>
      <c r="C90" s="21" t="s">
        <v>202</v>
      </c>
      <c r="D90" s="21" t="s">
        <v>466</v>
      </c>
      <c r="E90" s="13">
        <v>42917.572465277779</v>
      </c>
      <c r="F90" s="13">
        <v>42917.58148148148</v>
      </c>
      <c r="G90" s="7">
        <v>6</v>
      </c>
      <c r="H90" s="21" t="s">
        <v>416</v>
      </c>
      <c r="I90" s="13">
        <v>42917.60864583333</v>
      </c>
      <c r="J90" s="7">
        <v>0</v>
      </c>
      <c r="K90" s="89" t="str">
        <f t="shared" si="27"/>
        <v>4027/4028</v>
      </c>
      <c r="L90" s="21" t="str">
        <f>VLOOKUP(A90,'Trips&amp;Operators'!$C$1:$G$99999,5,FALSE)</f>
        <v>LOPES KIMBERLY</v>
      </c>
      <c r="M90" s="6">
        <f t="shared" si="28"/>
        <v>2.7164351849933155E-2</v>
      </c>
      <c r="N90" s="7">
        <f t="shared" si="25"/>
        <v>39.116666663903743</v>
      </c>
      <c r="O90" s="7"/>
      <c r="P90" s="7"/>
      <c r="Q90" s="22"/>
      <c r="R90" s="170"/>
      <c r="S90" s="213">
        <f t="shared" si="26"/>
        <v>1</v>
      </c>
      <c r="T90" s="195" t="str">
        <f t="shared" si="29"/>
        <v>Southbound</v>
      </c>
      <c r="U90" s="195">
        <f>IF(AG90="EC",COUNTIFS(Variables!$M$2:$M$19,IF(T90="NorthBound","&gt;=","&lt;=")&amp;Y90,Variables!$M$2:$M$19,IF(T90="NorthBound","&lt;=","&gt;=")&amp;Z90),COUNTIFS(Variables!$P$2:$P$19,IF(T90="NorthBound","&gt;=","&lt;=")&amp;Y90,Variables!$P$2:$P$19,IF(T90="NorthBound","&lt;=","&gt;=")&amp;Z90))</f>
        <v>12</v>
      </c>
      <c r="V90" s="196" t="str">
        <f t="shared" si="30"/>
        <v>https://d0f6bd738d7f1b3e5a7ca70fe4ff75f0.us-east-1.aws.found.io/app/kibana#/discover/Steve-Slow-Train-Analysis-(2080s-and-2083s)?_g=(refreshInterval:(display:Off,pause:!f,section:0,value:0),time:(from:'2017-07-01T12:44:21-0600',mode:absolute,to:'2017-07-01T15:36:27-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90" s="197" t="str">
        <f>IF(AA90&lt;VLOOKUP(AG90,Variables!$AC$3:$AD$8,2,FALSE),"Y","N")</f>
        <v>N</v>
      </c>
      <c r="X90" s="197">
        <f t="shared" si="31"/>
        <v>1</v>
      </c>
      <c r="Y90" s="197">
        <f t="shared" si="32"/>
        <v>23.297699999999999</v>
      </c>
      <c r="Z90" s="197">
        <f t="shared" si="33"/>
        <v>1.4500000000000001E-2</v>
      </c>
      <c r="AA90" s="197">
        <f t="shared" si="34"/>
        <v>23.283199999999997</v>
      </c>
      <c r="AB90" s="54" t="e">
        <f>VLOOKUP(A90,Enforcements!$C$7:$K$13,8,0)</f>
        <v>#N/A</v>
      </c>
      <c r="AC90" s="51" t="e">
        <f>VLOOKUP(A90,Enforcements!$C$7:$E$13,3,0)</f>
        <v>#N/A</v>
      </c>
      <c r="AD90" s="206">
        <f t="shared" si="35"/>
        <v>176</v>
      </c>
      <c r="AE90" s="77" t="str">
        <f t="shared" si="36"/>
        <v>aws s3 cp s3://rtdc.mdm.uploadarchive.raw/RTDC4027/ "%USERPROFILE%\AppData\Local\Temp\OnboardLogs"\RTDC4027\2017-07-01 --exclude "*" --recursive --include "*20170701*" &amp; "%USERPROFILE%\Documents\GitHub\mrs-test-scripts\Headless Mode &amp; Sideloading\WalkAndUnGZ.bat" "%USERPROFILE%\AppData\Local\Temp\OnboardLogs"\RTDC4027\2017-07-01 &amp; aws s3 cp s3://rtdc.mdm.uploadarchive.raw/RTDC4027/ "%USERPROFILE%\AppData\Local\Temp\OnboardLogs"\RTDC4027\2017-07-02 --exclude "*" --recursive --include "*20170702*" &amp; "%USERPROFILE%\Documents\GitHub\mrs-test-scripts\Headless Mode &amp; Sideloading\WalkAndUnGZ.bat" "%USERPROFILE%\AppData\Local\Temp\OnboardLogs"\RTDC4027\2017-07-02</v>
      </c>
      <c r="AF90" s="74" t="str">
        <f t="shared" si="37"/>
        <v>"C:\Program Files (x86)\AstroGrep\AstroGrep.exe" /e /r /s /spath="%USERPROFILE%\AppData\Local\Temp\OnboardLogs" /stypes="app*4027*20170701*" /stext=" 20:.+((SYSTEM_STATE.+slice.+state.+changed )|(ment ac)|(multiple cpu faults)|(system.+state.+changed )|(\[timeout)|(PRM\|1\|D)|(kpr)|(kdp)|(train st.+moving)|(\|lc)|(penalty))"</v>
      </c>
      <c r="AG90" s="209" t="str">
        <f t="shared" si="38"/>
        <v>EC</v>
      </c>
      <c r="AH90" s="78" t="str">
        <f t="shared" si="39"/>
        <v>"%USERPROFILE%\Documents\GitHub\eaglep3\Utilities\RefineRTDCRunTimes.py" --tripid 176-01 --locoid 4027 --swversion DE.1.0.9.0 --startMP 204:232977 --initTime 2017-07-01T13:44:21 --startdatetime 2017-07-01T13:57:20 --delay 6 --endMP 204:145 --enddatetime 2017-07-01T14:36:27 --enforcementcount 0 &gt;&gt;C:\Users\stu\Documents\GitHub\eaglep3-reporting\EC\2017-07-01-refined-times.txt</v>
      </c>
      <c r="AI90" s="96" t="str">
        <f t="shared" si="40"/>
        <v>echo {"issue":{"subject":"","project_id":79,"tracker_id":40,"status_id":1,"priority_id":2,"assigned_to_id":23,"start_date":"2017-07-01","description":"","custom_fields":[{"id":1,"name":"Subdivision","value":"EC"},{"id":4,"name":"Milepost","value":"0.0145"},{"id":17,"name":"Train ID","value":"176-01"},{"id":16,"name":"Locomotive ID","value":"4027"},{"id":130,"name":"Impact","value":""},{"id":150,"name":"Time of Event (Mountain Time)","value":"14:36:27"},{"id":151,"name":"Denver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90" s="47"/>
      <c r="AL90" s="47"/>
      <c r="AM90" s="142" t="str">
        <f t="shared" si="41"/>
        <v>start /low /b %USERPROFILE%\Documents\GitHub\eaglep3\Utilities\DownloadLogsFromS3.py --loco 4027 --day 2017-07-01</v>
      </c>
      <c r="AN90" s="151" t="str">
        <f t="shared" si="42"/>
        <v>echo {"issue":{"subject":"","project_id":30,"tracker_id":4,"status_id":1,"priority_id":1,"assigned_to_id":10,"start_date":"2017-07-01","description":"","custom_fields":[{"id":30,"name":"Category","value":"Issue"},{"id":3,"name":"Functional Component","value":"Onboard"},{"id":31,"name":"Version","value":"N/A"},{"id":8,"name":"Reporting RR","value":"WABTEC"},{"id":27,"name":"Locomotive ID","value":"4027"},{"id":20,"name":"RR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UTC","value":"2017-07-01 20:36:27"},{"id":29,"name":"Sharepoint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0"/>
      <c r="AP90"/>
      <c r="AQ90"/>
      <c r="AR90"/>
      <c r="AS90"/>
      <c r="AT90"/>
      <c r="AU90"/>
      <c r="AV90"/>
      <c r="AW90"/>
      <c r="AX90"/>
      <c r="AY90"/>
      <c r="AZ90"/>
      <c r="BA90"/>
      <c r="BB90"/>
      <c r="BC90"/>
      <c r="BD90"/>
      <c r="BE90"/>
      <c r="BF90"/>
      <c r="BG90"/>
      <c r="BH90"/>
      <c r="BI90"/>
      <c r="BJ90"/>
      <c r="BK90"/>
      <c r="BL90"/>
      <c r="BM90"/>
      <c r="BN90"/>
      <c r="BO90"/>
      <c r="BP90"/>
      <c r="BQ90"/>
      <c r="BR90"/>
      <c r="BS90"/>
      <c r="BT90"/>
      <c r="BU90"/>
      <c r="BV90"/>
      <c r="BW90"/>
      <c r="BX90"/>
      <c r="BY90"/>
      <c r="BZ90"/>
      <c r="CA90"/>
      <c r="CB90"/>
      <c r="CC90"/>
      <c r="CD90"/>
      <c r="CE90"/>
      <c r="CF90"/>
      <c r="CG90"/>
      <c r="CH90"/>
      <c r="CI90"/>
      <c r="CJ90"/>
      <c r="CK90"/>
      <c r="CL90"/>
      <c r="CM90"/>
    </row>
    <row r="91" spans="1:91" s="20" customFormat="1" x14ac:dyDescent="0.25">
      <c r="A91" s="32" t="s">
        <v>656</v>
      </c>
      <c r="B91" s="7">
        <v>4014</v>
      </c>
      <c r="C91" s="21" t="s">
        <v>202</v>
      </c>
      <c r="D91" s="21" t="s">
        <v>924</v>
      </c>
      <c r="E91" s="13">
        <v>42917.549120370371</v>
      </c>
      <c r="F91" s="13">
        <v>42917.558587962965</v>
      </c>
      <c r="G91" s="7">
        <v>13</v>
      </c>
      <c r="H91" s="21" t="s">
        <v>486</v>
      </c>
      <c r="I91" s="13">
        <v>42917.580335648148</v>
      </c>
      <c r="J91" s="7">
        <v>0</v>
      </c>
      <c r="K91" s="89" t="str">
        <f t="shared" si="27"/>
        <v>4013/4014</v>
      </c>
      <c r="L91" s="21" t="str">
        <f>VLOOKUP(A91,'Trips&amp;Operators'!$C$1:$G$99999,5,FALSE)</f>
        <v>BRANDNER MELINDA</v>
      </c>
      <c r="M91" s="6">
        <f t="shared" si="28"/>
        <v>2.1747685183072463E-2</v>
      </c>
      <c r="N91" s="7"/>
      <c r="O91" s="7"/>
      <c r="P91" s="7">
        <f>24*60*SUM($M91:$M91)</f>
        <v>31.316666663624346</v>
      </c>
      <c r="Q91" s="22"/>
      <c r="R91" s="170" t="s">
        <v>503</v>
      </c>
      <c r="S91" s="213">
        <f t="shared" si="26"/>
        <v>1</v>
      </c>
      <c r="T91" s="195" t="str">
        <f t="shared" si="29"/>
        <v>NorthBound</v>
      </c>
      <c r="U91" s="195">
        <f>IF(AG91="EC",COUNTIFS(Variables!$M$2:$M$19,IF(T91="NorthBound","&gt;=","&lt;=")&amp;Y91,Variables!$M$2:$M$19,IF(T91="NorthBound","&lt;=","&gt;=")&amp;Z91),COUNTIFS(Variables!$P$2:$P$19,IF(T91="NorthBound","&gt;=","&lt;=")&amp;Y91,Variables!$P$2:$P$19,IF(T91="NorthBound","&lt;=","&gt;=")&amp;Z91))</f>
        <v>12</v>
      </c>
      <c r="V91" s="196" t="str">
        <f t="shared" si="30"/>
        <v>https://d0f6bd738d7f1b3e5a7ca70fe4ff75f0.us-east-1.aws.found.io/app/kibana#/discover/Steve-Slow-Train-Analysis-(2080s-and-2083s)?_g=(refreshInterval:(display:Off,pause:!f,section:0,value:0),time:(from:'2017-07-01T12:10:44-0600',mode:absolute,to:'2017-07-01T14:55:41-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91" s="197" t="str">
        <f>IF(AA91&lt;VLOOKUP(AG91,Variables!$AC$3:$AD$8,2,FALSE),"Y","N")</f>
        <v>Y</v>
      </c>
      <c r="X91" s="197">
        <f t="shared" si="31"/>
        <v>1</v>
      </c>
      <c r="Y91" s="197">
        <f t="shared" si="32"/>
        <v>1.9152</v>
      </c>
      <c r="Z91" s="197">
        <f t="shared" si="33"/>
        <v>23.330100000000002</v>
      </c>
      <c r="AA91" s="197">
        <f t="shared" si="34"/>
        <v>21.414900000000003</v>
      </c>
      <c r="AB91" s="54" t="e">
        <f>VLOOKUP(A91,Enforcements!$C$7:$K$13,8,0)</f>
        <v>#N/A</v>
      </c>
      <c r="AC91" s="51" t="e">
        <f>VLOOKUP(A91,Enforcements!$C$7:$E$13,3,0)</f>
        <v>#N/A</v>
      </c>
      <c r="AD91" s="206">
        <f t="shared" si="35"/>
        <v>177</v>
      </c>
      <c r="AE91" s="77" t="str">
        <f t="shared" si="36"/>
        <v>aws s3 cp s3://rtdc.mdm.uploadarchive.raw/RTDC4014/ "%USERPROFILE%\AppData\Local\Temp\OnboardLogs"\RTDC4014\2017-07-01 --exclude "*" --recursive --include "*20170701*" &amp; "%USERPROFILE%\Documents\GitHub\mrs-test-scripts\Headless Mode &amp; Sideloading\WalkAndUnGZ.bat" "%USERPROFILE%\AppData\Local\Temp\OnboardLogs"\RTDC4014\2017-07-01 &amp; aws s3 cp s3://rtdc.mdm.uploadarchive.raw/RTDC4014/ "%USERPROFILE%\AppData\Local\Temp\OnboardLogs"\RTDC4014\2017-07-02 --exclude "*" --recursive --include "*20170702*" &amp; "%USERPROFILE%\Documents\GitHub\mrs-test-scripts\Headless Mode &amp; Sideloading\WalkAndUnGZ.bat" "%USERPROFILE%\AppData\Local\Temp\OnboardLogs"\RTDC4014\2017-07-02</v>
      </c>
      <c r="AF91" s="74" t="str">
        <f t="shared" si="37"/>
        <v>"C:\Program Files (x86)\AstroGrep\AstroGrep.exe" /e /r /s /spath="%USERPROFILE%\AppData\Local\Temp\OnboardLogs" /stypes="app*4014*20170701*" /stext=" 19:.+((SYSTEM_STATE.+slice.+state.+changed )|(ment ac)|(multiple cpu faults)|(system.+state.+changed )|(\[timeout)|(PRM\|1\|D)|(kpr)|(kdp)|(train st.+moving)|(\|lc)|(penalty))"</v>
      </c>
      <c r="AG91" s="209" t="str">
        <f t="shared" si="38"/>
        <v>EC</v>
      </c>
      <c r="AH91" s="78" t="str">
        <f t="shared" si="39"/>
        <v>"%USERPROFILE%\Documents\GitHub\eaglep3\Utilities\RefineRTDCRunTimes.py" --tripid 177-01 --locoid 4014 --swversion DE.1.0.9.0 --startMP 204:19152 --initTime 2017-07-01T13:10:44 --startdatetime 2017-07-01T13:24:22 --delay 13 --endMP 204:233301 --enddatetime 2017-07-01T13:55:41 --enforcementcount 0 &gt;&gt;C:\Users\stu\Documents\GitHub\eaglep3-reporting\EC\2017-07-01-refined-times.txt</v>
      </c>
      <c r="AI91" s="96" t="str">
        <f t="shared" si="40"/>
        <v>echo {"issue":{"subject":"Onboard in-route failure","project_id":79,"tracker_id":40,"status_id":1,"priority_id":2,"assigned_to_id":23,"start_date":"2017-07-01","description":"","custom_fields":[{"id":1,"name":"Subdivision","value":"EC"},{"id":4,"name":"Milepost","value":"23.3301"},{"id":17,"name":"Train ID","value":"177-01"},{"id":16,"name":"Locomotive ID","value":"4014"},{"id":130,"name":"Impact","value":""},{"id":150,"name":"Time of Event (Mountain Time)","value":"13:55:41"},{"id":151,"name":"Denver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91" s="47"/>
      <c r="AL91" s="47"/>
      <c r="AM91" s="142" t="str">
        <f t="shared" si="41"/>
        <v>start /low /b %USERPROFILE%\Documents\GitHub\eaglep3\Utilities\DownloadLogsFromS3.py --loco 4014 --day 2017-07-01</v>
      </c>
      <c r="AN91" s="151" t="str">
        <f t="shared" si="42"/>
        <v>echo {"issue":{"subject":"Onboard in-route failure","project_id":30,"tracker_id":4,"status_id":1,"priority_id":1,"assigned_to_id":10,"start_date":"2017-07-01","description":"","custom_fields":[{"id":30,"name":"Category","value":"Issue"},{"id":3,"name":"Functional Component","value":"Onboard"},{"id":31,"name":"Version","value":"N/A"},{"id":8,"name":"Reporting RR","value":"WABTEC"},{"id":27,"name":"Locomotive ID","value":"4014"},{"id":20,"name":"RR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UTC","value":"2017-07-01 19:55:41"},{"id":29,"name":"Sharepoint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1"/>
      <c r="AP91"/>
      <c r="AQ91"/>
      <c r="AR91"/>
      <c r="AS91"/>
      <c r="AT91"/>
      <c r="AU91"/>
      <c r="AV91"/>
      <c r="AW91"/>
      <c r="AX91"/>
      <c r="AY91"/>
      <c r="AZ91"/>
      <c r="BA91"/>
      <c r="BB91"/>
      <c r="BC91"/>
      <c r="BD91"/>
      <c r="BE91"/>
      <c r="BF91"/>
      <c r="BG91"/>
      <c r="BH91"/>
      <c r="BI91"/>
      <c r="BJ91"/>
      <c r="BK91"/>
      <c r="BL91"/>
      <c r="BM91"/>
      <c r="BN91"/>
      <c r="BO91"/>
      <c r="BP91"/>
      <c r="BQ91"/>
      <c r="BR91"/>
      <c r="BS91"/>
      <c r="BT91"/>
      <c r="BU91"/>
      <c r="BV91"/>
      <c r="BW91"/>
      <c r="BX91"/>
      <c r="BY91"/>
      <c r="BZ91"/>
      <c r="CA91"/>
      <c r="CB91"/>
      <c r="CC91"/>
      <c r="CD91"/>
      <c r="CE91"/>
      <c r="CF91"/>
      <c r="CG91"/>
      <c r="CH91"/>
      <c r="CI91"/>
      <c r="CJ91"/>
      <c r="CK91"/>
      <c r="CL91"/>
      <c r="CM91"/>
    </row>
    <row r="92" spans="1:91" s="20" customFormat="1" x14ac:dyDescent="0.25">
      <c r="A92" s="32" t="s">
        <v>657</v>
      </c>
      <c r="B92" s="7">
        <v>4013</v>
      </c>
      <c r="C92" s="21" t="s">
        <v>202</v>
      </c>
      <c r="D92" s="21" t="s">
        <v>471</v>
      </c>
      <c r="E92" s="13">
        <v>42917.590833333335</v>
      </c>
      <c r="F92" s="13">
        <v>42917.592118055552</v>
      </c>
      <c r="G92" s="7">
        <v>1</v>
      </c>
      <c r="H92" s="21" t="s">
        <v>350</v>
      </c>
      <c r="I92" s="13">
        <v>42917.619525462964</v>
      </c>
      <c r="J92" s="7">
        <v>0</v>
      </c>
      <c r="K92" s="89" t="str">
        <f t="shared" si="27"/>
        <v>4013/4014</v>
      </c>
      <c r="L92" s="21" t="str">
        <f>VLOOKUP(A92,'Trips&amp;Operators'!$C$1:$G$99999,5,FALSE)</f>
        <v>BRANDNER MELINDA</v>
      </c>
      <c r="M92" s="6">
        <f t="shared" si="28"/>
        <v>2.7407407411374152E-2</v>
      </c>
      <c r="N92" s="7">
        <f t="shared" ref="N92:N123" si="43">24*60*SUM($M92:$M92)</f>
        <v>39.466666672378778</v>
      </c>
      <c r="O92" s="7"/>
      <c r="P92" s="7"/>
      <c r="Q92" s="22"/>
      <c r="R92" s="170"/>
      <c r="S92" s="213">
        <f t="shared" si="26"/>
        <v>1</v>
      </c>
      <c r="T92" s="195" t="str">
        <f t="shared" si="29"/>
        <v>Southbound</v>
      </c>
      <c r="U92" s="195">
        <f>IF(AG92="EC",COUNTIFS(Variables!$M$2:$M$19,IF(T92="NorthBound","&gt;=","&lt;=")&amp;Y92,Variables!$M$2:$M$19,IF(T92="NorthBound","&lt;=","&gt;=")&amp;Z92),COUNTIFS(Variables!$P$2:$P$19,IF(T92="NorthBound","&gt;=","&lt;=")&amp;Y92,Variables!$P$2:$P$19,IF(T92="NorthBound","&lt;=","&gt;=")&amp;Z92))</f>
        <v>12</v>
      </c>
      <c r="V92" s="196" t="str">
        <f t="shared" si="30"/>
        <v>https://d0f6bd738d7f1b3e5a7ca70fe4ff75f0.us-east-1.aws.found.io/app/kibana#/discover/Steve-Slow-Train-Analysis-(2080s-and-2083s)?_g=(refreshInterval:(display:Off,pause:!f,section:0,value:0),time:(from:'2017-07-01T13:10:48-0600',mode:absolute,to:'2017-07-01T15:52:07-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92" s="197" t="str">
        <f>IF(AA92&lt;VLOOKUP(AG92,Variables!$AC$3:$AD$8,2,FALSE),"Y","N")</f>
        <v>N</v>
      </c>
      <c r="X92" s="197">
        <f t="shared" si="31"/>
        <v>1</v>
      </c>
      <c r="Y92" s="197">
        <f t="shared" si="32"/>
        <v>23.3</v>
      </c>
      <c r="Z92" s="197">
        <f t="shared" si="33"/>
        <v>1.43E-2</v>
      </c>
      <c r="AA92" s="197">
        <f t="shared" si="34"/>
        <v>23.285700000000002</v>
      </c>
      <c r="AB92" s="54" t="e">
        <f>VLOOKUP(A92,Enforcements!$C$7:$K$13,8,0)</f>
        <v>#N/A</v>
      </c>
      <c r="AC92" s="51" t="e">
        <f>VLOOKUP(A92,Enforcements!$C$7:$E$13,3,0)</f>
        <v>#N/A</v>
      </c>
      <c r="AD92" s="206">
        <f t="shared" si="35"/>
        <v>178</v>
      </c>
      <c r="AE92" s="77" t="str">
        <f t="shared" si="36"/>
        <v>aws s3 cp s3://rtdc.mdm.uploadarchive.raw/RTDC4013/ "%USERPROFILE%\AppData\Local\Temp\OnboardLogs"\RTDC4013\2017-07-01 --exclude "*" --recursive --include "*20170701*" &amp; "%USERPROFILE%\Documents\GitHub\mrs-test-scripts\Headless Mode &amp; Sideloading\WalkAndUnGZ.bat" "%USERPROFILE%\AppData\Local\Temp\OnboardLogs"\RTDC4013\2017-07-01 &amp; aws s3 cp s3://rtdc.mdm.uploadarchive.raw/RTDC4013/ "%USERPROFILE%\AppData\Local\Temp\OnboardLogs"\RTDC4013\2017-07-02 --exclude "*" --recursive --include "*20170702*" &amp; "%USERPROFILE%\Documents\GitHub\mrs-test-scripts\Headless Mode &amp; Sideloading\WalkAndUnGZ.bat" "%USERPROFILE%\AppData\Local\Temp\OnboardLogs"\RTDC4013\2017-07-02</v>
      </c>
      <c r="AF92" s="74" t="str">
        <f t="shared" si="37"/>
        <v>"C:\Program Files (x86)\AstroGrep\AstroGrep.exe" /e /r /s /spath="%USERPROFILE%\AppData\Local\Temp\OnboardLogs" /stypes="app*4013*20170701*" /stext=" 20:.+((SYSTEM_STATE.+slice.+state.+changed )|(ment ac)|(multiple cpu faults)|(system.+state.+changed )|(\[timeout)|(PRM\|1\|D)|(kpr)|(kdp)|(train st.+moving)|(\|lc)|(penalty))"</v>
      </c>
      <c r="AG92" s="209" t="str">
        <f t="shared" si="38"/>
        <v>EC</v>
      </c>
      <c r="AH92" s="78" t="str">
        <f t="shared" si="39"/>
        <v>"%USERPROFILE%\Documents\GitHub\eaglep3\Utilities\RefineRTDCRunTimes.py" --tripid 178-01 --locoid 4013 --swversion DE.1.0.9.0 --startMP 204:233000 --initTime 2017-07-01T14:10:48 --startdatetime 2017-07-01T14:12:39 --delay 1 --endMP 204:143 --enddatetime 2017-07-01T14:52:07 --enforcementcount 0 &gt;&gt;C:\Users\stu\Documents\GitHub\eaglep3-reporting\EC\2017-07-01-refined-times.txt</v>
      </c>
      <c r="AI92" s="96" t="str">
        <f t="shared" si="40"/>
        <v>echo {"issue":{"subject":"","project_id":79,"tracker_id":40,"status_id":1,"priority_id":2,"assigned_to_id":23,"start_date":"2017-07-01","description":"","custom_fields":[{"id":1,"name":"Subdivision","value":"EC"},{"id":4,"name":"Milepost","value":"0.0143"},{"id":17,"name":"Train ID","value":"178-01"},{"id":16,"name":"Locomotive ID","value":"4013"},{"id":130,"name":"Impact","value":""},{"id":150,"name":"Time of Event (Mountain Time)","value":"14:52:07"},{"id":151,"name":"Denver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92" s="47"/>
      <c r="AL92" s="47"/>
      <c r="AM92" s="142" t="str">
        <f t="shared" si="41"/>
        <v>start /low /b %USERPROFILE%\Documents\GitHub\eaglep3\Utilities\DownloadLogsFromS3.py --loco 4013 --day 2017-07-01</v>
      </c>
      <c r="AN92" s="151" t="str">
        <f t="shared" si="42"/>
        <v>echo {"issue":{"subject":"","project_id":30,"tracker_id":4,"status_id":1,"priority_id":1,"assigned_to_id":10,"start_date":"2017-07-01","description":"","custom_fields":[{"id":30,"name":"Category","value":"Issue"},{"id":3,"name":"Functional Component","value":"Onboard"},{"id":31,"name":"Version","value":"N/A"},{"id":8,"name":"Reporting RR","value":"WABTEC"},{"id":27,"name":"Locomotive ID","value":"4013"},{"id":20,"name":"RR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UTC","value":"2017-07-01 20:52:07"},{"id":29,"name":"Sharepoint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2"/>
      <c r="AP92"/>
      <c r="AQ92"/>
      <c r="AR92"/>
      <c r="AS92"/>
      <c r="AT92"/>
      <c r="AU92"/>
      <c r="AV92"/>
      <c r="AW92"/>
      <c r="AX92"/>
      <c r="AY92"/>
      <c r="AZ92"/>
      <c r="BA92"/>
      <c r="BB92"/>
      <c r="BC92"/>
      <c r="BD92"/>
      <c r="BE92"/>
      <c r="BF92"/>
      <c r="BG92"/>
      <c r="BH92"/>
      <c r="BI92"/>
      <c r="BJ92"/>
      <c r="BK92"/>
      <c r="BL92"/>
      <c r="BM92"/>
      <c r="BN92"/>
      <c r="BO92"/>
      <c r="BP92"/>
      <c r="BQ92"/>
      <c r="BR92"/>
      <c r="BS92"/>
      <c r="BT92"/>
      <c r="BU92"/>
      <c r="BV92"/>
      <c r="BW92"/>
      <c r="BX92"/>
      <c r="BY92"/>
      <c r="BZ92"/>
      <c r="CA92"/>
      <c r="CB92"/>
      <c r="CC92"/>
      <c r="CD92"/>
      <c r="CE92"/>
      <c r="CF92"/>
      <c r="CG92"/>
      <c r="CH92"/>
      <c r="CI92"/>
      <c r="CJ92"/>
      <c r="CK92"/>
      <c r="CL92"/>
      <c r="CM92"/>
    </row>
    <row r="93" spans="1:91" s="20" customFormat="1" x14ac:dyDescent="0.25">
      <c r="A93" s="32" t="s">
        <v>790</v>
      </c>
      <c r="B93" s="7">
        <v>4062</v>
      </c>
      <c r="C93" s="21" t="s">
        <v>202</v>
      </c>
      <c r="D93" s="21" t="s">
        <v>925</v>
      </c>
      <c r="E93" s="13">
        <v>42917.557592592595</v>
      </c>
      <c r="F93" s="13">
        <v>42917.563009259262</v>
      </c>
      <c r="G93" s="7">
        <v>1</v>
      </c>
      <c r="H93" s="21" t="s">
        <v>926</v>
      </c>
      <c r="I93" s="13">
        <v>42917.587719907409</v>
      </c>
      <c r="J93" s="7">
        <v>0</v>
      </c>
      <c r="K93" s="89" t="str">
        <f t="shared" si="27"/>
        <v>4061/4062</v>
      </c>
      <c r="L93" s="21" t="str">
        <f>VLOOKUP(A93,'Trips&amp;Operators'!$C$1:$G$99999,5,FALSE)</f>
        <v>BRUDER RICHARD</v>
      </c>
      <c r="M93" s="6">
        <f t="shared" si="28"/>
        <v>2.47106481474475E-2</v>
      </c>
      <c r="N93" s="7">
        <f t="shared" si="43"/>
        <v>35.583333332324401</v>
      </c>
      <c r="O93" s="7"/>
      <c r="P93" s="7"/>
      <c r="Q93" s="22"/>
      <c r="R93" s="170"/>
      <c r="S93" s="213">
        <f t="shared" si="26"/>
        <v>1</v>
      </c>
      <c r="T93" s="195" t="str">
        <f t="shared" si="29"/>
        <v>NorthBound</v>
      </c>
      <c r="U93" s="195">
        <f>IF(AG93="EC",COUNTIFS(Variables!$M$2:$M$19,IF(T93="NorthBound","&gt;=","&lt;=")&amp;Y93,Variables!$M$2:$M$19,IF(T93="NorthBound","&lt;=","&gt;=")&amp;Z93),COUNTIFS(Variables!$P$2:$P$19,IF(T93="NorthBound","&gt;=","&lt;=")&amp;Y93,Variables!$P$2:$P$19,IF(T93="NorthBound","&lt;=","&gt;=")&amp;Z93))</f>
        <v>12</v>
      </c>
      <c r="V93" s="196" t="str">
        <f t="shared" si="30"/>
        <v>https://d0f6bd738d7f1b3e5a7ca70fe4ff75f0.us-east-1.aws.found.io/app/kibana#/discover/Steve-Slow-Train-Analysis-(2080s-and-2083s)?_g=(refreshInterval:(display:Off,pause:!f,section:0,value:0),time:(from:'2017-07-01T12:22:56-0600',mode:absolute,to:'2017-07-01T15:06:19-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4062%22')),sort:!(Time.ISO8601,asc))</v>
      </c>
      <c r="W93" s="197" t="str">
        <f>IF(AA93&lt;VLOOKUP(AG93,Variables!$AC$3:$AD$8,2,FALSE),"Y","N")</f>
        <v>N</v>
      </c>
      <c r="X93" s="197">
        <f t="shared" si="31"/>
        <v>1</v>
      </c>
      <c r="Y93" s="197">
        <f t="shared" si="32"/>
        <v>4.7699999999999999E-2</v>
      </c>
      <c r="Z93" s="197">
        <f t="shared" si="33"/>
        <v>23.330200000000001</v>
      </c>
      <c r="AA93" s="197">
        <f t="shared" si="34"/>
        <v>23.282500000000002</v>
      </c>
      <c r="AB93" s="54" t="e">
        <f>VLOOKUP(A93,Enforcements!$C$7:$K$13,8,0)</f>
        <v>#N/A</v>
      </c>
      <c r="AC93" s="51" t="e">
        <f>VLOOKUP(A93,Enforcements!$C$7:$E$13,3,0)</f>
        <v>#N/A</v>
      </c>
      <c r="AD93" s="206">
        <f t="shared" si="35"/>
        <v>179</v>
      </c>
      <c r="AE93" s="77" t="str">
        <f t="shared" si="36"/>
        <v>aws s3 cp s3://rtdc.mdm.uploadarchive.raw/RTDC4062/ "%USERPROFILE%\AppData\Local\Temp\OnboardLogs"\RTDC4062\2017-07-01 --exclude "*" --recursive --include "*20170701*" &amp; "%USERPROFILE%\Documents\GitHub\mrs-test-scripts\Headless Mode &amp; Sideloading\WalkAndUnGZ.bat" "%USERPROFILE%\AppData\Local\Temp\OnboardLogs"\RTDC4062\2017-07-01 &amp; aws s3 cp s3://rtdc.mdm.uploadarchive.raw/RTDC4062/ "%USERPROFILE%\AppData\Local\Temp\OnboardLogs"\RTDC4062\2017-07-02 --exclude "*" --recursive --include "*20170702*" &amp; "%USERPROFILE%\Documents\GitHub\mrs-test-scripts\Headless Mode &amp; Sideloading\WalkAndUnGZ.bat" "%USERPROFILE%\AppData\Local\Temp\OnboardLogs"\RTDC4062\2017-07-02</v>
      </c>
      <c r="AF93" s="74" t="str">
        <f t="shared" si="37"/>
        <v>"C:\Program Files (x86)\AstroGrep\AstroGrep.exe" /e /r /s /spath="%USERPROFILE%\AppData\Local\Temp\OnboardLogs" /stypes="app*4062*20170701*" /stext=" 20:.+((SYSTEM_STATE.+slice.+state.+changed )|(ment ac)|(multiple cpu faults)|(system.+state.+changed )|(\[timeout)|(PRM\|1\|D)|(kpr)|(kdp)|(train st.+moving)|(\|lc)|(penalty))"</v>
      </c>
      <c r="AG93" s="209" t="str">
        <f t="shared" si="38"/>
        <v>EC</v>
      </c>
      <c r="AH93" s="78" t="str">
        <f t="shared" si="39"/>
        <v>"%USERPROFILE%\Documents\GitHub\eaglep3\Utilities\RefineRTDCRunTimes.py" --tripid 179-01 --locoid 4062 --swversion DE.1.0.9.0 --startMP 204:477 --initTime 2017-07-01T13:22:56 --startdatetime 2017-07-01T13:30:44 --delay 1 --endMP 204:233302 --enddatetime 2017-07-01T14:06:19 --enforcementcount 0 &gt;&gt;C:\Users\stu\Documents\GitHub\eaglep3-reporting\EC\2017-07-01-refined-times.txt</v>
      </c>
      <c r="AI93" s="96" t="str">
        <f t="shared" si="40"/>
        <v>echo {"issue":{"subject":"","project_id":79,"tracker_id":40,"status_id":1,"priority_id":2,"assigned_to_id":23,"start_date":"2017-07-01","description":"","custom_fields":[{"id":1,"name":"Subdivision","value":"EC"},{"id":4,"name":"Milepost","value":"23.3302"},{"id":17,"name":"Train ID","value":"179-01"},{"id":16,"name":"Locomotive ID","value":"4062"},{"id":130,"name":"Impact","value":""},{"id":150,"name":"Time of Event (Mountain Time)","value":"14:06:19"},{"id":151,"name":"Denver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93" s="47"/>
      <c r="AL93" s="47"/>
      <c r="AM93" s="142" t="str">
        <f t="shared" si="41"/>
        <v>start /low /b %USERPROFILE%\Documents\GitHub\eaglep3\Utilities\DownloadLogsFromS3.py --loco 4062 --day 2017-07-01</v>
      </c>
      <c r="AN93" s="151" t="str">
        <f t="shared" si="42"/>
        <v>echo {"issue":{"subject":"","project_id":30,"tracker_id":4,"status_id":1,"priority_id":1,"assigned_to_id":10,"start_date":"2017-07-01","description":"","custom_fields":[{"id":30,"name":"Category","value":"Issue"},{"id":3,"name":"Functional Component","value":"Onboard"},{"id":31,"name":"Version","value":"N/A"},{"id":8,"name":"Reporting RR","value":"WABTEC"},{"id":27,"name":"Locomotive ID","value":"4062"},{"id":20,"name":"RR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UTC","value":"2017-07-01 20:06:19"},{"id":29,"name":"Sharepoint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3"/>
      <c r="AP93"/>
      <c r="AQ93"/>
      <c r="AR93"/>
      <c r="AS93"/>
      <c r="AT93"/>
      <c r="AU93"/>
      <c r="AV93"/>
      <c r="AW93"/>
      <c r="AX93"/>
      <c r="AY93"/>
      <c r="AZ93"/>
      <c r="BA93"/>
      <c r="BB93"/>
      <c r="BC93"/>
      <c r="BD93"/>
      <c r="BE93"/>
      <c r="BF93"/>
      <c r="BG93"/>
      <c r="BH93"/>
      <c r="BI93"/>
      <c r="BJ93"/>
      <c r="BK93"/>
      <c r="BL93"/>
      <c r="BM93"/>
      <c r="BN93"/>
      <c r="BO93"/>
      <c r="BP93"/>
      <c r="BQ93"/>
      <c r="BR93"/>
      <c r="BS93"/>
      <c r="BT93"/>
      <c r="BU93"/>
      <c r="BV93"/>
      <c r="BW93"/>
      <c r="BX93"/>
      <c r="BY93"/>
      <c r="BZ93"/>
      <c r="CA93"/>
      <c r="CB93"/>
      <c r="CC93"/>
      <c r="CD93"/>
      <c r="CE93"/>
      <c r="CF93"/>
      <c r="CG93"/>
      <c r="CH93"/>
      <c r="CI93"/>
      <c r="CJ93"/>
      <c r="CK93"/>
      <c r="CL93"/>
      <c r="CM93"/>
    </row>
    <row r="94" spans="1:91" s="20" customFormat="1" x14ac:dyDescent="0.25">
      <c r="A94" s="32" t="s">
        <v>800</v>
      </c>
      <c r="B94" s="7">
        <v>4061</v>
      </c>
      <c r="C94" s="21" t="s">
        <v>202</v>
      </c>
      <c r="D94" s="21" t="s">
        <v>607</v>
      </c>
      <c r="E94" s="13">
        <v>42917.597662037035</v>
      </c>
      <c r="F94" s="13">
        <v>42917.602280092593</v>
      </c>
      <c r="G94" s="7">
        <v>1</v>
      </c>
      <c r="H94" s="21" t="s">
        <v>416</v>
      </c>
      <c r="I94" s="13">
        <v>42917.628298611111</v>
      </c>
      <c r="J94" s="7">
        <v>0</v>
      </c>
      <c r="K94" s="89" t="str">
        <f t="shared" si="27"/>
        <v>4061/4062</v>
      </c>
      <c r="L94" s="21" t="str">
        <f>VLOOKUP(A94,'Trips&amp;Operators'!$C$1:$G$99999,5,FALSE)</f>
        <v>BRUDER RICHARD</v>
      </c>
      <c r="M94" s="6">
        <f t="shared" si="28"/>
        <v>2.6018518517958E-2</v>
      </c>
      <c r="N94" s="7">
        <f t="shared" si="43"/>
        <v>37.46666666585952</v>
      </c>
      <c r="O94" s="7"/>
      <c r="P94" s="7"/>
      <c r="Q94" s="22"/>
      <c r="R94" s="170"/>
      <c r="S94" s="213">
        <f t="shared" si="26"/>
        <v>1</v>
      </c>
      <c r="T94" s="195" t="str">
        <f t="shared" si="29"/>
        <v>Southbound</v>
      </c>
      <c r="U94" s="195">
        <f>IF(AG94="EC",COUNTIFS(Variables!$M$2:$M$19,IF(T94="NorthBound","&gt;=","&lt;=")&amp;Y94,Variables!$M$2:$M$19,IF(T94="NorthBound","&lt;=","&gt;=")&amp;Z94),COUNTIFS(Variables!$P$2:$P$19,IF(T94="NorthBound","&gt;=","&lt;=")&amp;Y94,Variables!$P$2:$P$19,IF(T94="NorthBound","&lt;=","&gt;=")&amp;Z94))</f>
        <v>12</v>
      </c>
      <c r="V94" s="196" t="str">
        <f t="shared" si="30"/>
        <v>https://d0f6bd738d7f1b3e5a7ca70fe4ff75f0.us-east-1.aws.found.io/app/kibana#/discover/Steve-Slow-Train-Analysis-(2080s-and-2083s)?_g=(refreshInterval:(display:Off,pause:!f,section:0,value:0),time:(from:'2017-07-01T13:20:38-0600',mode:absolute,to:'2017-07-01T16:04:45-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4061%22')),sort:!(Time.ISO8601,asc))</v>
      </c>
      <c r="W94" s="197" t="str">
        <f>IF(AA94&lt;VLOOKUP(AG94,Variables!$AC$3:$AD$8,2,FALSE),"Y","N")</f>
        <v>N</v>
      </c>
      <c r="X94" s="197">
        <f t="shared" si="31"/>
        <v>1</v>
      </c>
      <c r="Y94" s="197">
        <f t="shared" si="32"/>
        <v>23.299399999999999</v>
      </c>
      <c r="Z94" s="197">
        <f t="shared" si="33"/>
        <v>1.4500000000000001E-2</v>
      </c>
      <c r="AA94" s="197">
        <f t="shared" si="34"/>
        <v>23.284899999999997</v>
      </c>
      <c r="AB94" s="54" t="e">
        <f>VLOOKUP(A94,Enforcements!$C$7:$K$13,8,0)</f>
        <v>#N/A</v>
      </c>
      <c r="AC94" s="51" t="e">
        <f>VLOOKUP(A94,Enforcements!$C$7:$E$13,3,0)</f>
        <v>#N/A</v>
      </c>
      <c r="AD94" s="206">
        <f t="shared" si="35"/>
        <v>180</v>
      </c>
      <c r="AE94" s="77" t="str">
        <f t="shared" si="36"/>
        <v>aws s3 cp s3://rtdc.mdm.uploadarchive.raw/RTDC4061/ "%USERPROFILE%\AppData\Local\Temp\OnboardLogs"\RTDC4061\2017-07-01 --exclude "*" --recursive --include "*20170701*" &amp; "%USERPROFILE%\Documents\GitHub\mrs-test-scripts\Headless Mode &amp; Sideloading\WalkAndUnGZ.bat" "%USERPROFILE%\AppData\Local\Temp\OnboardLogs"\RTDC4061\2017-07-01 &amp; aws s3 cp s3://rtdc.mdm.uploadarchive.raw/RTDC4061/ "%USERPROFILE%\AppData\Local\Temp\OnboardLogs"\RTDC4061\2017-07-02 --exclude "*" --recursive --include "*20170702*" &amp; "%USERPROFILE%\Documents\GitHub\mrs-test-scripts\Headless Mode &amp; Sideloading\WalkAndUnGZ.bat" "%USERPROFILE%\AppData\Local\Temp\OnboardLogs"\RTDC4061\2017-07-02</v>
      </c>
      <c r="AF94" s="74" t="str">
        <f t="shared" si="37"/>
        <v>"C:\Program Files (x86)\AstroGrep\AstroGrep.exe" /e /r /s /spath="%USERPROFILE%\AppData\Local\Temp\OnboardLogs" /stypes="app*4061*20170701*" /stext=" 21:.+((SYSTEM_STATE.+slice.+state.+changed )|(ment ac)|(multiple cpu faults)|(system.+state.+changed )|(\[timeout)|(PRM\|1\|D)|(kpr)|(kdp)|(train st.+moving)|(\|lc)|(penalty))"</v>
      </c>
      <c r="AG94" s="209" t="str">
        <f t="shared" si="38"/>
        <v>EC</v>
      </c>
      <c r="AH94" s="78" t="str">
        <f t="shared" si="39"/>
        <v>"%USERPROFILE%\Documents\GitHub\eaglep3\Utilities\RefineRTDCRunTimes.py" --tripid 180-01 --locoid 4061 --swversion DE.1.0.9.0 --startMP 204:232994 --initTime 2017-07-01T14:20:38 --startdatetime 2017-07-01T14:27:17 --delay 1 --endMP 204:145 --enddatetime 2017-07-01T15:04:45 --enforcementcount 0 &gt;&gt;C:\Users\stu\Documents\GitHub\eaglep3-reporting\EC\2017-07-01-refined-times.txt</v>
      </c>
      <c r="AI94" s="96" t="str">
        <f t="shared" si="40"/>
        <v>echo {"issue":{"subject":"","project_id":79,"tracker_id":40,"status_id":1,"priority_id":2,"assigned_to_id":23,"start_date":"2017-07-01","description":"","custom_fields":[{"id":1,"name":"Subdivision","value":"EC"},{"id":4,"name":"Milepost","value":"0.0145"},{"id":17,"name":"Train ID","value":"180-01"},{"id":16,"name":"Locomotive ID","value":"4061"},{"id":130,"name":"Impact","value":""},{"id":150,"name":"Time of Event (Mountain Time)","value":"15:04:45"},{"id":151,"name":"Denver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94" s="47"/>
      <c r="AL94" s="47"/>
      <c r="AM94" s="142" t="str">
        <f t="shared" si="41"/>
        <v>start /low /b %USERPROFILE%\Documents\GitHub\eaglep3\Utilities\DownloadLogsFromS3.py --loco 4061 --day 2017-07-01</v>
      </c>
      <c r="AN94" s="151" t="str">
        <f t="shared" si="42"/>
        <v>echo {"issue":{"subject":"","project_id":30,"tracker_id":4,"status_id":1,"priority_id":1,"assigned_to_id":10,"start_date":"2017-07-01","description":"","custom_fields":[{"id":30,"name":"Category","value":"Issue"},{"id":3,"name":"Functional Component","value":"Onboard"},{"id":31,"name":"Version","value":"N/A"},{"id":8,"name":"Reporting RR","value":"WABTEC"},{"id":27,"name":"Locomotive ID","value":"4061"},{"id":20,"name":"RR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UTC","value":"2017-07-01 21:04:45"},{"id":29,"name":"Sharepoint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4"/>
      <c r="AP94"/>
      <c r="AQ94"/>
      <c r="AR94"/>
      <c r="AS94"/>
      <c r="AT94"/>
      <c r="AU94"/>
      <c r="AV94"/>
      <c r="AW94"/>
      <c r="AX94"/>
      <c r="AY94"/>
      <c r="AZ94"/>
      <c r="BA94"/>
      <c r="BB94"/>
      <c r="BC94"/>
      <c r="BD94"/>
      <c r="BE94"/>
      <c r="BF94"/>
      <c r="BG94"/>
      <c r="BH94"/>
      <c r="BI94"/>
      <c r="BJ94"/>
      <c r="BK94"/>
      <c r="BL94"/>
      <c r="BM94"/>
      <c r="BN94"/>
      <c r="BO94"/>
      <c r="BP94"/>
      <c r="BQ94"/>
      <c r="BR94"/>
      <c r="BS94"/>
      <c r="BT94"/>
      <c r="BU94"/>
      <c r="BV94"/>
      <c r="BW94"/>
      <c r="BX94"/>
      <c r="BY94"/>
      <c r="BZ94"/>
      <c r="CA94"/>
      <c r="CB94"/>
      <c r="CC94"/>
      <c r="CD94"/>
      <c r="CE94"/>
      <c r="CF94"/>
      <c r="CG94"/>
      <c r="CH94"/>
      <c r="CI94"/>
      <c r="CJ94"/>
      <c r="CK94"/>
      <c r="CL94"/>
      <c r="CM94"/>
    </row>
    <row r="95" spans="1:91" s="20" customFormat="1" x14ac:dyDescent="0.25">
      <c r="A95" s="32" t="s">
        <v>792</v>
      </c>
      <c r="B95" s="7">
        <v>4008</v>
      </c>
      <c r="C95" s="21" t="s">
        <v>202</v>
      </c>
      <c r="D95" s="21" t="s">
        <v>343</v>
      </c>
      <c r="E95" s="13">
        <v>42917.569803240738</v>
      </c>
      <c r="F95" s="13">
        <v>42917.573437500003</v>
      </c>
      <c r="G95" s="7">
        <v>1</v>
      </c>
      <c r="H95" s="21" t="s">
        <v>500</v>
      </c>
      <c r="I95" s="13">
        <v>42917.598078703704</v>
      </c>
      <c r="J95" s="7">
        <v>0</v>
      </c>
      <c r="K95" s="89" t="str">
        <f t="shared" si="27"/>
        <v>4007/4008</v>
      </c>
      <c r="L95" s="21" t="str">
        <f>VLOOKUP(A95,'Trips&amp;Operators'!$C$1:$G$99999,5,FALSE)</f>
        <v>NEWELL JAMES</v>
      </c>
      <c r="M95" s="6">
        <f t="shared" si="28"/>
        <v>2.4641203701321501E-2</v>
      </c>
      <c r="N95" s="7">
        <f t="shared" si="43"/>
        <v>35.483333329902962</v>
      </c>
      <c r="O95" s="7"/>
      <c r="P95" s="7"/>
      <c r="Q95" s="22"/>
      <c r="R95" s="170"/>
      <c r="S95" s="213">
        <f t="shared" si="26"/>
        <v>1</v>
      </c>
      <c r="T95" s="195" t="str">
        <f t="shared" si="29"/>
        <v>NorthBound</v>
      </c>
      <c r="U95" s="195">
        <f>IF(AG95="EC",COUNTIFS(Variables!$M$2:$M$19,IF(T95="NorthBound","&gt;=","&lt;=")&amp;Y95,Variables!$M$2:$M$19,IF(T95="NorthBound","&lt;=","&gt;=")&amp;Z95),COUNTIFS(Variables!$P$2:$P$19,IF(T95="NorthBound","&gt;=","&lt;=")&amp;Y95,Variables!$P$2:$P$19,IF(T95="NorthBound","&lt;=","&gt;=")&amp;Z95))</f>
        <v>12</v>
      </c>
      <c r="V95" s="196" t="str">
        <f t="shared" si="30"/>
        <v>https://d0f6bd738d7f1b3e5a7ca70fe4ff75f0.us-east-1.aws.found.io/app/kibana#/discover/Steve-Slow-Train-Analysis-(2080s-and-2083s)?_g=(refreshInterval:(display:Off,pause:!f,section:0,value:0),time:(from:'2017-07-01T12:40:31-0600',mode:absolute,to:'2017-07-01T15:21:14-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95" s="197" t="str">
        <f>IF(AA95&lt;VLOOKUP(AG95,Variables!$AC$3:$AD$8,2,FALSE),"Y","N")</f>
        <v>N</v>
      </c>
      <c r="X95" s="197">
        <f t="shared" si="31"/>
        <v>1</v>
      </c>
      <c r="Y95" s="197">
        <f t="shared" si="32"/>
        <v>4.4900000000000002E-2</v>
      </c>
      <c r="Z95" s="197">
        <f t="shared" si="33"/>
        <v>23.3293</v>
      </c>
      <c r="AA95" s="197">
        <f t="shared" si="34"/>
        <v>23.284400000000002</v>
      </c>
      <c r="AB95" s="54" t="e">
        <f>VLOOKUP(A95,Enforcements!$C$7:$K$13,8,0)</f>
        <v>#N/A</v>
      </c>
      <c r="AC95" s="51" t="e">
        <f>VLOOKUP(A95,Enforcements!$C$7:$E$13,3,0)</f>
        <v>#N/A</v>
      </c>
      <c r="AD95" s="206">
        <f t="shared" si="35"/>
        <v>181</v>
      </c>
      <c r="AE95" s="77" t="str">
        <f t="shared" si="36"/>
        <v>aws s3 cp s3://rtdc.mdm.uploadarchive.raw/RTDC4008/ "%USERPROFILE%\AppData\Local\Temp\OnboardLogs"\RTDC4008\2017-07-01 --exclude "*" --recursive --include "*20170701*" &amp; "%USERPROFILE%\Documents\GitHub\mrs-test-scripts\Headless Mode &amp; Sideloading\WalkAndUnGZ.bat" "%USERPROFILE%\AppData\Local\Temp\OnboardLogs"\RTDC4008\2017-07-01 &amp; aws s3 cp s3://rtdc.mdm.uploadarchive.raw/RTDC4008/ "%USERPROFILE%\AppData\Local\Temp\OnboardLogs"\RTDC4008\2017-07-02 --exclude "*" --recursive --include "*20170702*" &amp; "%USERPROFILE%\Documents\GitHub\mrs-test-scripts\Headless Mode &amp; Sideloading\WalkAndUnGZ.bat" "%USERPROFILE%\AppData\Local\Temp\OnboardLogs"\RTDC4008\2017-07-02</v>
      </c>
      <c r="AF95" s="74" t="str">
        <f t="shared" si="37"/>
        <v>"C:\Program Files (x86)\AstroGrep\AstroGrep.exe" /e /r /s /spath="%USERPROFILE%\AppData\Local\Temp\OnboardLogs" /stypes="app*4008*20170701*" /stext=" 20:.+((SYSTEM_STATE.+slice.+state.+changed )|(ment ac)|(multiple cpu faults)|(system.+state.+changed )|(\[timeout)|(PRM\|1\|D)|(kpr)|(kdp)|(train st.+moving)|(\|lc)|(penalty))"</v>
      </c>
      <c r="AG95" s="209" t="str">
        <f t="shared" si="38"/>
        <v>EC</v>
      </c>
      <c r="AH95" s="78" t="str">
        <f t="shared" si="39"/>
        <v>"%USERPROFILE%\Documents\GitHub\eaglep3\Utilities\RefineRTDCRunTimes.py" --tripid 181-01 --locoid 4008 --swversion DE.1.0.9.0 --startMP 204:449 --initTime 2017-07-01T13:40:31 --startdatetime 2017-07-01T13:45:45 --delay 1 --endMP 204:233293 --enddatetime 2017-07-01T14:21:14 --enforcementcount 0 &gt;&gt;C:\Users\stu\Documents\GitHub\eaglep3-reporting\EC\2017-07-01-refined-times.txt</v>
      </c>
      <c r="AI95" s="96" t="str">
        <f t="shared" si="40"/>
        <v>echo {"issue":{"subject":"","project_id":79,"tracker_id":40,"status_id":1,"priority_id":2,"assigned_to_id":23,"start_date":"2017-07-01","description":"","custom_fields":[{"id":1,"name":"Subdivision","value":"EC"},{"id":4,"name":"Milepost","value":"23.3293"},{"id":17,"name":"Train ID","value":"181-01"},{"id":16,"name":"Locomotive ID","value":"4008"},{"id":130,"name":"Impact","value":""},{"id":150,"name":"Time of Event (Mountain Time)","value":"14:21:14"},{"id":151,"name":"Denver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95" s="47"/>
      <c r="AL95" s="47"/>
      <c r="AM95" s="142" t="str">
        <f t="shared" si="41"/>
        <v>start /low /b %USERPROFILE%\Documents\GitHub\eaglep3\Utilities\DownloadLogsFromS3.py --loco 4008 --day 2017-07-01</v>
      </c>
      <c r="AN95" s="151" t="str">
        <f t="shared" si="42"/>
        <v>echo {"issue":{"subject":"","project_id":30,"tracker_id":4,"status_id":1,"priority_id":1,"assigned_to_id":10,"start_date":"2017-07-01","description":"","custom_fields":[{"id":30,"name":"Category","value":"Issue"},{"id":3,"name":"Functional Component","value":"Onboard"},{"id":31,"name":"Version","value":"N/A"},{"id":8,"name":"Reporting RR","value":"WABTEC"},{"id":27,"name":"Locomotive ID","value":"4008"},{"id":20,"name":"RR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UTC","value":"2017-07-01 20:21:14"},{"id":29,"name":"Sharepoint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5"/>
      <c r="AP95"/>
      <c r="AQ95"/>
      <c r="AR95"/>
      <c r="AS95"/>
      <c r="AT95"/>
      <c r="AU95"/>
      <c r="AV95"/>
      <c r="AW95"/>
      <c r="AX95"/>
      <c r="AY95"/>
      <c r="AZ95"/>
      <c r="BA95"/>
      <c r="BB95"/>
      <c r="BC95"/>
      <c r="BD95"/>
      <c r="BE95"/>
      <c r="BF95"/>
      <c r="BG95"/>
      <c r="BH95"/>
      <c r="BI95"/>
      <c r="BJ95"/>
      <c r="BK95"/>
      <c r="BL95"/>
      <c r="BM95"/>
      <c r="BN95"/>
      <c r="BO95"/>
      <c r="BP95"/>
      <c r="BQ95"/>
      <c r="BR95"/>
      <c r="BS95"/>
      <c r="BT95"/>
      <c r="BU95"/>
      <c r="BV95"/>
      <c r="BW95"/>
      <c r="BX95"/>
      <c r="BY95"/>
      <c r="BZ95"/>
      <c r="CA95"/>
      <c r="CB95"/>
      <c r="CC95"/>
      <c r="CD95"/>
      <c r="CE95"/>
      <c r="CF95"/>
      <c r="CG95"/>
      <c r="CH95"/>
      <c r="CI95"/>
      <c r="CJ95"/>
      <c r="CK95"/>
      <c r="CL95"/>
      <c r="CM95"/>
    </row>
    <row r="96" spans="1:91" s="20" customFormat="1" x14ac:dyDescent="0.25">
      <c r="A96" s="32" t="s">
        <v>658</v>
      </c>
      <c r="B96" s="7">
        <v>4007</v>
      </c>
      <c r="C96" s="21" t="s">
        <v>202</v>
      </c>
      <c r="D96" s="21" t="s">
        <v>441</v>
      </c>
      <c r="E96" s="13">
        <v>42917.601122685184</v>
      </c>
      <c r="F96" s="13">
        <v>42917.612662037034</v>
      </c>
      <c r="G96" s="7">
        <v>1</v>
      </c>
      <c r="H96" s="21" t="s">
        <v>954</v>
      </c>
      <c r="I96" s="13">
        <v>42917.638854166667</v>
      </c>
      <c r="J96" s="7">
        <v>0</v>
      </c>
      <c r="K96" s="89" t="str">
        <f t="shared" si="27"/>
        <v>4007/4008</v>
      </c>
      <c r="L96" s="21" t="str">
        <f>VLOOKUP(A96,'Trips&amp;Operators'!$C$1:$G$99999,5,FALSE)</f>
        <v>NEWELL JAMES</v>
      </c>
      <c r="M96" s="6">
        <f t="shared" si="28"/>
        <v>2.6192129633272998E-2</v>
      </c>
      <c r="N96" s="7">
        <f t="shared" si="43"/>
        <v>37.716666671913117</v>
      </c>
      <c r="O96" s="7"/>
      <c r="P96" s="7"/>
      <c r="Q96" s="22"/>
      <c r="R96" s="170"/>
      <c r="S96" s="213">
        <f t="shared" si="26"/>
        <v>1</v>
      </c>
      <c r="T96" s="195" t="str">
        <f t="shared" si="29"/>
        <v>Southbound</v>
      </c>
      <c r="U96" s="195">
        <f>IF(AG96="EC",COUNTIFS(Variables!$M$2:$M$19,IF(T96="NorthBound","&gt;=","&lt;=")&amp;Y96,Variables!$M$2:$M$19,IF(T96="NorthBound","&lt;=","&gt;=")&amp;Z96),COUNTIFS(Variables!$P$2:$P$19,IF(T96="NorthBound","&gt;=","&lt;=")&amp;Y96,Variables!$P$2:$P$19,IF(T96="NorthBound","&lt;=","&gt;=")&amp;Z96))</f>
        <v>12</v>
      </c>
      <c r="V96" s="196" t="str">
        <f t="shared" si="30"/>
        <v>https://d0f6bd738d7f1b3e5a7ca70fe4ff75f0.us-east-1.aws.found.io/app/kibana#/discover/Steve-Slow-Train-Analysis-(2080s-and-2083s)?_g=(refreshInterval:(display:Off,pause:!f,section:0,value:0),time:(from:'2017-07-01T13:25:37-0600',mode:absolute,to:'2017-07-01T16:19:57-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96" s="197" t="str">
        <f>IF(AA96&lt;VLOOKUP(AG96,Variables!$AC$3:$AD$8,2,FALSE),"Y","N")</f>
        <v>N</v>
      </c>
      <c r="X96" s="197">
        <f t="shared" si="31"/>
        <v>1</v>
      </c>
      <c r="Y96" s="197">
        <f t="shared" si="32"/>
        <v>23.2971</v>
      </c>
      <c r="Z96" s="197">
        <f t="shared" si="33"/>
        <v>1.0999999999999999E-2</v>
      </c>
      <c r="AA96" s="197">
        <f t="shared" si="34"/>
        <v>23.286100000000001</v>
      </c>
      <c r="AB96" s="54" t="e">
        <f>VLOOKUP(A96,Enforcements!$C$7:$K$13,8,0)</f>
        <v>#N/A</v>
      </c>
      <c r="AC96" s="51" t="e">
        <f>VLOOKUP(A96,Enforcements!$C$7:$E$13,3,0)</f>
        <v>#N/A</v>
      </c>
      <c r="AD96" s="206">
        <f t="shared" si="35"/>
        <v>182</v>
      </c>
      <c r="AE96" s="77" t="str">
        <f t="shared" si="36"/>
        <v>aws s3 cp s3://rtdc.mdm.uploadarchive.raw/RTDC4007/ "%USERPROFILE%\AppData\Local\Temp\OnboardLogs"\RTDC4007\2017-07-01 --exclude "*" --recursive --include "*20170701*" &amp; "%USERPROFILE%\Documents\GitHub\mrs-test-scripts\Headless Mode &amp; Sideloading\WalkAndUnGZ.bat" "%USERPROFILE%\AppData\Local\Temp\OnboardLogs"\RTDC4007\2017-07-01 &amp; aws s3 cp s3://rtdc.mdm.uploadarchive.raw/RTDC4007/ "%USERPROFILE%\AppData\Local\Temp\OnboardLogs"\RTDC4007\2017-07-02 --exclude "*" --recursive --include "*20170702*" &amp; "%USERPROFILE%\Documents\GitHub\mrs-test-scripts\Headless Mode &amp; Sideloading\WalkAndUnGZ.bat" "%USERPROFILE%\AppData\Local\Temp\OnboardLogs"\RTDC4007\2017-07-02</v>
      </c>
      <c r="AF96" s="74" t="str">
        <f t="shared" si="37"/>
        <v>"C:\Program Files (x86)\AstroGrep\AstroGrep.exe" /e /r /s /spath="%USERPROFILE%\AppData\Local\Temp\OnboardLogs" /stypes="app*4007*20170701*" /stext=" 21:.+((SYSTEM_STATE.+slice.+state.+changed )|(ment ac)|(multiple cpu faults)|(system.+state.+changed )|(\[timeout)|(PRM\|1\|D)|(kpr)|(kdp)|(train st.+moving)|(\|lc)|(penalty))"</v>
      </c>
      <c r="AG96" s="209" t="str">
        <f t="shared" si="38"/>
        <v>EC</v>
      </c>
      <c r="AH96" s="78" t="str">
        <f t="shared" si="39"/>
        <v>"%USERPROFILE%\Documents\GitHub\eaglep3\Utilities\RefineRTDCRunTimes.py" --tripid 182-01 --locoid 4007 --swversion DE.1.0.9.0 --startMP 204:232971 --initTime 2017-07-01T14:25:37 --startdatetime 2017-07-01T14:42:14 --delay 1 --endMP 204:110 --enddatetime 2017-07-01T15:19:57 --enforcementcount 0 &gt;&gt;C:\Users\stu\Documents\GitHub\eaglep3-reporting\EC\2017-07-01-refined-times.txt</v>
      </c>
      <c r="AI96" s="96" t="str">
        <f t="shared" si="40"/>
        <v>echo {"issue":{"subject":"","project_id":79,"tracker_id":40,"status_id":1,"priority_id":2,"assigned_to_id":23,"start_date":"2017-07-01","description":"","custom_fields":[{"id":1,"name":"Subdivision","value":"EC"},{"id":4,"name":"Milepost","value":"0.011"},{"id":17,"name":"Train ID","value":"182-01"},{"id":16,"name":"Locomotive ID","value":"4007"},{"id":130,"name":"Impact","value":""},{"id":150,"name":"Time of Event (Mountain Time)","value":"15:19:57"},{"id":151,"name":"Denver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96" s="47"/>
      <c r="AL96" s="47"/>
      <c r="AM96" s="142" t="str">
        <f t="shared" si="41"/>
        <v>start /low /b %USERPROFILE%\Documents\GitHub\eaglep3\Utilities\DownloadLogsFromS3.py --loco 4007 --day 2017-07-01</v>
      </c>
      <c r="AN96" s="151" t="str">
        <f t="shared" si="42"/>
        <v>echo {"issue":{"subject":"","project_id":30,"tracker_id":4,"status_id":1,"priority_id":1,"assigned_to_id":10,"start_date":"2017-07-01","description":"","custom_fields":[{"id":30,"name":"Category","value":"Issue"},{"id":3,"name":"Functional Component","value":"Onboard"},{"id":31,"name":"Version","value":"N/A"},{"id":8,"name":"Reporting RR","value":"WABTEC"},{"id":27,"name":"Locomotive ID","value":"4007"},{"id":20,"name":"RR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UTC","value":"2017-07-01 21:19:57"},{"id":29,"name":"Sharepoint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6"/>
      <c r="AP96"/>
      <c r="AQ96"/>
      <c r="AR96"/>
      <c r="AS96"/>
      <c r="AT96"/>
      <c r="AU96"/>
      <c r="AV96"/>
      <c r="AW96"/>
      <c r="AX96"/>
      <c r="AY96"/>
      <c r="AZ96"/>
      <c r="BA96"/>
      <c r="BB96"/>
      <c r="BC96"/>
      <c r="BD96"/>
      <c r="BE96"/>
      <c r="BF96"/>
      <c r="BG96"/>
      <c r="BH96"/>
      <c r="BI96"/>
      <c r="BJ96"/>
      <c r="BK96"/>
      <c r="BL96"/>
      <c r="BM96"/>
      <c r="BN96"/>
      <c r="BO96"/>
      <c r="BP96"/>
      <c r="BQ96"/>
      <c r="BR96"/>
      <c r="BS96"/>
      <c r="BT96"/>
      <c r="BU96"/>
      <c r="BV96"/>
      <c r="BW96"/>
      <c r="BX96"/>
      <c r="BY96"/>
      <c r="BZ96"/>
      <c r="CA96"/>
      <c r="CB96"/>
      <c r="CC96"/>
      <c r="CD96"/>
      <c r="CE96"/>
      <c r="CF96"/>
      <c r="CG96"/>
      <c r="CH96"/>
      <c r="CI96"/>
      <c r="CJ96"/>
      <c r="CK96"/>
      <c r="CL96"/>
      <c r="CM96"/>
    </row>
    <row r="97" spans="1:91" s="20" customFormat="1" x14ac:dyDescent="0.25">
      <c r="A97" s="32" t="s">
        <v>795</v>
      </c>
      <c r="B97" s="7">
        <v>4056</v>
      </c>
      <c r="C97" s="21" t="s">
        <v>202</v>
      </c>
      <c r="D97" s="21" t="s">
        <v>355</v>
      </c>
      <c r="E97" s="13">
        <v>42917.578587962962</v>
      </c>
      <c r="F97" s="13">
        <v>42917.583784722221</v>
      </c>
      <c r="G97" s="7">
        <v>1</v>
      </c>
      <c r="H97" s="21" t="s">
        <v>905</v>
      </c>
      <c r="I97" s="13">
        <v>42917.608402777776</v>
      </c>
      <c r="J97" s="7">
        <v>0</v>
      </c>
      <c r="K97" s="89" t="str">
        <f t="shared" si="27"/>
        <v>4055/4056</v>
      </c>
      <c r="L97" s="21" t="str">
        <f>VLOOKUP(A97,'Trips&amp;Operators'!$C$1:$G$99999,5,FALSE)</f>
        <v>DELGADO DIANAH</v>
      </c>
      <c r="M97" s="6">
        <f t="shared" si="28"/>
        <v>2.4618055555038154E-2</v>
      </c>
      <c r="N97" s="7">
        <f t="shared" si="43"/>
        <v>35.449999999254942</v>
      </c>
      <c r="O97" s="7"/>
      <c r="P97" s="7"/>
      <c r="Q97" s="22"/>
      <c r="R97" s="170"/>
      <c r="S97" s="213">
        <f t="shared" si="26"/>
        <v>1</v>
      </c>
      <c r="T97" s="195" t="str">
        <f t="shared" si="29"/>
        <v>NorthBound</v>
      </c>
      <c r="U97" s="195">
        <f>IF(AG97="EC",COUNTIFS(Variables!$M$2:$M$19,IF(T97="NorthBound","&gt;=","&lt;=")&amp;Y97,Variables!$M$2:$M$19,IF(T97="NorthBound","&lt;=","&gt;=")&amp;Z97),COUNTIFS(Variables!$P$2:$P$19,IF(T97="NorthBound","&gt;=","&lt;=")&amp;Y97,Variables!$P$2:$P$19,IF(T97="NorthBound","&lt;=","&gt;=")&amp;Z97))</f>
        <v>12</v>
      </c>
      <c r="V97" s="196" t="str">
        <f t="shared" si="30"/>
        <v>https://d0f6bd738d7f1b3e5a7ca70fe4ff75f0.us-east-1.aws.found.io/app/kibana#/discover/Steve-Slow-Train-Analysis-(2080s-and-2083s)?_g=(refreshInterval:(display:Off,pause:!f,section:0,value:0),time:(from:'2017-07-01T12:53:10-0600',mode:absolute,to:'2017-07-01T15:36:06-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4056%22')),sort:!(Time.ISO8601,asc))</v>
      </c>
      <c r="W97" s="197" t="str">
        <f>IF(AA97&lt;VLOOKUP(AG97,Variables!$AC$3:$AD$8,2,FALSE),"Y","N")</f>
        <v>N</v>
      </c>
      <c r="X97" s="197">
        <f t="shared" si="31"/>
        <v>1</v>
      </c>
      <c r="Y97" s="197">
        <f t="shared" si="32"/>
        <v>4.4699999999999997E-2</v>
      </c>
      <c r="Z97" s="197">
        <f t="shared" si="33"/>
        <v>23.334</v>
      </c>
      <c r="AA97" s="197">
        <f t="shared" si="34"/>
        <v>23.289300000000001</v>
      </c>
      <c r="AB97" s="54" t="e">
        <f>VLOOKUP(A97,Enforcements!$C$7:$K$13,8,0)</f>
        <v>#N/A</v>
      </c>
      <c r="AC97" s="51" t="e">
        <f>VLOOKUP(A97,Enforcements!$C$7:$E$13,3,0)</f>
        <v>#N/A</v>
      </c>
      <c r="AD97" s="206">
        <f t="shared" si="35"/>
        <v>183</v>
      </c>
      <c r="AE97" s="77" t="str">
        <f t="shared" si="36"/>
        <v>aws s3 cp s3://rtdc.mdm.uploadarchive.raw/RTDC4056/ "%USERPROFILE%\AppData\Local\Temp\OnboardLogs"\RTDC4056\2017-07-01 --exclude "*" --recursive --include "*20170701*" &amp; "%USERPROFILE%\Documents\GitHub\mrs-test-scripts\Headless Mode &amp; Sideloading\WalkAndUnGZ.bat" "%USERPROFILE%\AppData\Local\Temp\OnboardLogs"\RTDC4056\2017-07-01 &amp; aws s3 cp s3://rtdc.mdm.uploadarchive.raw/RTDC4056/ "%USERPROFILE%\AppData\Local\Temp\OnboardLogs"\RTDC4056\2017-07-02 --exclude "*" --recursive --include "*20170702*" &amp; "%USERPROFILE%\Documents\GitHub\mrs-test-scripts\Headless Mode &amp; Sideloading\WalkAndUnGZ.bat" "%USERPROFILE%\AppData\Local\Temp\OnboardLogs"\RTDC4056\2017-07-02</v>
      </c>
      <c r="AF97" s="74" t="str">
        <f t="shared" si="37"/>
        <v>"C:\Program Files (x86)\AstroGrep\AstroGrep.exe" /e /r /s /spath="%USERPROFILE%\AppData\Local\Temp\OnboardLogs" /stypes="app*4056*20170701*" /stext=" 20:.+((SYSTEM_STATE.+slice.+state.+changed )|(ment ac)|(multiple cpu faults)|(system.+state.+changed )|(\[timeout)|(PRM\|1\|D)|(kpr)|(kdp)|(train st.+moving)|(\|lc)|(penalty))"</v>
      </c>
      <c r="AG97" s="209" t="str">
        <f t="shared" si="38"/>
        <v>EC</v>
      </c>
      <c r="AH97" s="78" t="str">
        <f t="shared" si="39"/>
        <v>"%USERPROFILE%\Documents\GitHub\eaglep3\Utilities\RefineRTDCRunTimes.py" --tripid 183-01 --locoid 4056 --swversion DE.1.0.9.0 --startMP 204:447 --initTime 2017-07-01T13:53:10 --startdatetime 2017-07-01T14:00:39 --delay 1 --endMP 204:233340 --enddatetime 2017-07-01T14:36:06 --enforcementcount 0 &gt;&gt;C:\Users\stu\Documents\GitHub\eaglep3-reporting\EC\2017-07-01-refined-times.txt</v>
      </c>
      <c r="AI97" s="96" t="str">
        <f t="shared" si="40"/>
        <v>echo {"issue":{"subject":"","project_id":79,"tracker_id":40,"status_id":1,"priority_id":2,"assigned_to_id":23,"start_date":"2017-07-01","description":"","custom_fields":[{"id":1,"name":"Subdivision","value":"EC"},{"id":4,"name":"Milepost","value":"23.334"},{"id":17,"name":"Train ID","value":"183-01"},{"id":16,"name":"Locomotive ID","value":"4056"},{"id":130,"name":"Impact","value":""},{"id":150,"name":"Time of Event (Mountain Time)","value":"14:36:06"},{"id":151,"name":"Denver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97" s="47"/>
      <c r="AL97" s="47"/>
      <c r="AM97" s="142" t="str">
        <f t="shared" si="41"/>
        <v>start /low /b %USERPROFILE%\Documents\GitHub\eaglep3\Utilities\DownloadLogsFromS3.py --loco 4056 --day 2017-07-01</v>
      </c>
      <c r="AN97" s="151" t="str">
        <f t="shared" si="42"/>
        <v>echo {"issue":{"subject":"","project_id":30,"tracker_id":4,"status_id":1,"priority_id":1,"assigned_to_id":10,"start_date":"2017-07-01","description":"","custom_fields":[{"id":30,"name":"Category","value":"Issue"},{"id":3,"name":"Functional Component","value":"Onboard"},{"id":31,"name":"Version","value":"N/A"},{"id":8,"name":"Reporting RR","value":"WABTEC"},{"id":27,"name":"Locomotive ID","value":"4056"},{"id":20,"name":"RR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UTC","value":"2017-07-01 20:36:06"},{"id":29,"name":"Sharepoint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7"/>
      <c r="AP97"/>
      <c r="AQ97"/>
      <c r="AR97"/>
      <c r="AS97"/>
      <c r="AT97"/>
      <c r="AU97"/>
      <c r="AV97"/>
      <c r="AW97"/>
      <c r="AX97"/>
      <c r="AY97"/>
      <c r="AZ97"/>
      <c r="BA97"/>
      <c r="BB97"/>
      <c r="BC97"/>
      <c r="BD97"/>
      <c r="BE97"/>
      <c r="BF97"/>
      <c r="BG97"/>
      <c r="BH97"/>
      <c r="BI97"/>
      <c r="BJ97"/>
      <c r="BK97"/>
      <c r="BL97"/>
      <c r="BM97"/>
      <c r="BN97"/>
      <c r="BO97"/>
      <c r="BP97"/>
      <c r="BQ97"/>
      <c r="BR97"/>
      <c r="BS97"/>
      <c r="BT97"/>
      <c r="BU97"/>
      <c r="BV97"/>
      <c r="BW97"/>
      <c r="BX97"/>
      <c r="BY97"/>
      <c r="BZ97"/>
      <c r="CA97"/>
      <c r="CB97"/>
      <c r="CC97"/>
      <c r="CD97"/>
      <c r="CE97"/>
      <c r="CF97"/>
      <c r="CG97"/>
      <c r="CH97"/>
      <c r="CI97"/>
      <c r="CJ97"/>
      <c r="CK97"/>
      <c r="CL97"/>
      <c r="CM97"/>
    </row>
    <row r="98" spans="1:91" s="20" customFormat="1" x14ac:dyDescent="0.25">
      <c r="A98" s="32" t="s">
        <v>804</v>
      </c>
      <c r="B98" s="7">
        <v>4055</v>
      </c>
      <c r="C98" s="21" t="s">
        <v>202</v>
      </c>
      <c r="D98" s="21" t="s">
        <v>617</v>
      </c>
      <c r="E98" s="13">
        <v>42917.619722222225</v>
      </c>
      <c r="F98" s="13">
        <v>42917.623067129629</v>
      </c>
      <c r="G98" s="7">
        <v>1</v>
      </c>
      <c r="H98" s="21" t="s">
        <v>614</v>
      </c>
      <c r="I98" s="13">
        <v>42917.648541666669</v>
      </c>
      <c r="J98" s="7">
        <v>0</v>
      </c>
      <c r="K98" s="89" t="str">
        <f t="shared" si="27"/>
        <v>4055/4056</v>
      </c>
      <c r="L98" s="21" t="str">
        <f>VLOOKUP(A98,'Trips&amp;Operators'!$C$1:$G$99999,5,FALSE)</f>
        <v>DELGADO DIANAH</v>
      </c>
      <c r="M98" s="6">
        <f t="shared" si="28"/>
        <v>2.5474537040281575E-2</v>
      </c>
      <c r="N98" s="7">
        <f t="shared" si="43"/>
        <v>36.683333338005468</v>
      </c>
      <c r="O98" s="7"/>
      <c r="P98" s="7"/>
      <c r="Q98" s="22"/>
      <c r="R98" s="170"/>
      <c r="S98" s="213">
        <f t="shared" si="26"/>
        <v>1</v>
      </c>
      <c r="T98" s="195" t="str">
        <f t="shared" si="29"/>
        <v>Southbound</v>
      </c>
      <c r="U98" s="195">
        <f>IF(AG98="EC",COUNTIFS(Variables!$M$2:$M$19,IF(T98="NorthBound","&gt;=","&lt;=")&amp;Y98,Variables!$M$2:$M$19,IF(T98="NorthBound","&lt;=","&gt;=")&amp;Z98),COUNTIFS(Variables!$P$2:$P$19,IF(T98="NorthBound","&gt;=","&lt;=")&amp;Y98,Variables!$P$2:$P$19,IF(T98="NorthBound","&lt;=","&gt;=")&amp;Z98))</f>
        <v>12</v>
      </c>
      <c r="V98" s="196" t="str">
        <f t="shared" si="30"/>
        <v>https://d0f6bd738d7f1b3e5a7ca70fe4ff75f0.us-east-1.aws.found.io/app/kibana#/discover/Steve-Slow-Train-Analysis-(2080s-and-2083s)?_g=(refreshInterval:(display:Off,pause:!f,section:0,value:0),time:(from:'2017-07-01T13:52:24-0600',mode:absolute,to:'2017-07-01T16:33:54-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4055%22')),sort:!(Time.ISO8601,asc))</v>
      </c>
      <c r="W98" s="197" t="str">
        <f>IF(AA98&lt;VLOOKUP(AG98,Variables!$AC$3:$AD$8,2,FALSE),"Y","N")</f>
        <v>N</v>
      </c>
      <c r="X98" s="197">
        <f t="shared" si="31"/>
        <v>1</v>
      </c>
      <c r="Y98" s="197">
        <f t="shared" si="32"/>
        <v>23.305900000000001</v>
      </c>
      <c r="Z98" s="197">
        <f t="shared" si="33"/>
        <v>1.6E-2</v>
      </c>
      <c r="AA98" s="197">
        <f t="shared" si="34"/>
        <v>23.289900000000003</v>
      </c>
      <c r="AB98" s="54" t="e">
        <f>VLOOKUP(A98,Enforcements!$C$7:$K$13,8,0)</f>
        <v>#N/A</v>
      </c>
      <c r="AC98" s="51" t="e">
        <f>VLOOKUP(A98,Enforcements!$C$7:$E$13,3,0)</f>
        <v>#N/A</v>
      </c>
      <c r="AD98" s="206">
        <f t="shared" si="35"/>
        <v>184</v>
      </c>
      <c r="AE98" s="77" t="str">
        <f t="shared" si="36"/>
        <v>aws s3 cp s3://rtdc.mdm.uploadarchive.raw/RTDC4055/ "%USERPROFILE%\AppData\Local\Temp\OnboardLogs"\RTDC4055\2017-07-01 --exclude "*" --recursive --include "*20170701*" &amp; "%USERPROFILE%\Documents\GitHub\mrs-test-scripts\Headless Mode &amp; Sideloading\WalkAndUnGZ.bat" "%USERPROFILE%\AppData\Local\Temp\OnboardLogs"\RTDC4055\2017-07-01 &amp; aws s3 cp s3://rtdc.mdm.uploadarchive.raw/RTDC4055/ "%USERPROFILE%\AppData\Local\Temp\OnboardLogs"\RTDC4055\2017-07-02 --exclude "*" --recursive --include "*20170702*" &amp; "%USERPROFILE%\Documents\GitHub\mrs-test-scripts\Headless Mode &amp; Sideloading\WalkAndUnGZ.bat" "%USERPROFILE%\AppData\Local\Temp\OnboardLogs"\RTDC4055\2017-07-02</v>
      </c>
      <c r="AF98" s="74" t="str">
        <f t="shared" si="37"/>
        <v>"C:\Program Files (x86)\AstroGrep\AstroGrep.exe" /e /r /s /spath="%USERPROFILE%\AppData\Local\Temp\OnboardLogs" /stypes="app*4055*20170701*" /stext=" 21:.+((SYSTEM_STATE.+slice.+state.+changed )|(ment ac)|(multiple cpu faults)|(system.+state.+changed )|(\[timeout)|(PRM\|1\|D)|(kpr)|(kdp)|(train st.+moving)|(\|lc)|(penalty))"</v>
      </c>
      <c r="AG98" s="209" t="str">
        <f t="shared" si="38"/>
        <v>EC</v>
      </c>
      <c r="AH98" s="78" t="str">
        <f t="shared" si="39"/>
        <v>"%USERPROFILE%\Documents\GitHub\eaglep3\Utilities\RefineRTDCRunTimes.py" --tripid 184-01 --locoid 4055 --swversion DE.1.0.9.0 --startMP 204:233059 --initTime 2017-07-01T14:52:24 --startdatetime 2017-07-01T14:57:13 --delay 1 --endMP 204:160 --enddatetime 2017-07-01T15:33:54 --enforcementcount 0 &gt;&gt;C:\Users\stu\Documents\GitHub\eaglep3-reporting\EC\2017-07-01-refined-times.txt</v>
      </c>
      <c r="AI98" s="96" t="str">
        <f t="shared" si="40"/>
        <v>echo {"issue":{"subject":"","project_id":79,"tracker_id":40,"status_id":1,"priority_id":2,"assigned_to_id":23,"start_date":"2017-07-01","description":"","custom_fields":[{"id":1,"name":"Subdivision","value":"EC"},{"id":4,"name":"Milepost","value":"0.016"},{"id":17,"name":"Train ID","value":"184-01"},{"id":16,"name":"Locomotive ID","value":"4055"},{"id":130,"name":"Impact","value":""},{"id":150,"name":"Time of Event (Mountain Time)","value":"15:33:54"},{"id":151,"name":"Denver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98" s="47"/>
      <c r="AL98" s="47"/>
      <c r="AM98" s="142" t="str">
        <f t="shared" si="41"/>
        <v>start /low /b %USERPROFILE%\Documents\GitHub\eaglep3\Utilities\DownloadLogsFromS3.py --loco 4055 --day 2017-07-01</v>
      </c>
      <c r="AN98" s="151" t="str">
        <f t="shared" si="42"/>
        <v>echo {"issue":{"subject":"","project_id":30,"tracker_id":4,"status_id":1,"priority_id":1,"assigned_to_id":10,"start_date":"2017-07-01","description":"","custom_fields":[{"id":30,"name":"Category","value":"Issue"},{"id":3,"name":"Functional Component","value":"Onboard"},{"id":31,"name":"Version","value":"N/A"},{"id":8,"name":"Reporting RR","value":"WABTEC"},{"id":27,"name":"Locomotive ID","value":"4055"},{"id":20,"name":"RR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UTC","value":"2017-07-01 21:33:54"},{"id":29,"name":"Sharepoint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8"/>
      <c r="AP98"/>
      <c r="AQ98"/>
      <c r="AR98"/>
      <c r="AS98"/>
      <c r="AT98"/>
      <c r="AU98"/>
      <c r="AV98"/>
      <c r="AW98"/>
      <c r="AX98"/>
      <c r="AY98"/>
      <c r="AZ98"/>
      <c r="BA98"/>
      <c r="BB98"/>
      <c r="BC98"/>
      <c r="BD98"/>
      <c r="BE98"/>
      <c r="BF98"/>
      <c r="BG98"/>
      <c r="BH98"/>
      <c r="BI98"/>
      <c r="BJ98"/>
      <c r="BK98"/>
      <c r="BL98"/>
      <c r="BM98"/>
      <c r="BN98"/>
      <c r="BO98"/>
      <c r="BP98"/>
      <c r="BQ98"/>
      <c r="BR98"/>
      <c r="BS98"/>
      <c r="BT98"/>
      <c r="BU98"/>
      <c r="BV98"/>
      <c r="BW98"/>
      <c r="BX98"/>
      <c r="BY98"/>
      <c r="BZ98"/>
      <c r="CA98"/>
      <c r="CB98"/>
      <c r="CC98"/>
      <c r="CD98"/>
      <c r="CE98"/>
      <c r="CF98"/>
      <c r="CG98"/>
      <c r="CH98"/>
      <c r="CI98"/>
      <c r="CJ98"/>
      <c r="CK98"/>
      <c r="CL98"/>
      <c r="CM98"/>
    </row>
    <row r="99" spans="1:91" s="20" customFormat="1" x14ac:dyDescent="0.25">
      <c r="A99" s="32" t="s">
        <v>799</v>
      </c>
      <c r="B99" s="7">
        <v>4018</v>
      </c>
      <c r="C99" s="21" t="s">
        <v>202</v>
      </c>
      <c r="D99" s="21" t="s">
        <v>198</v>
      </c>
      <c r="E99" s="13">
        <v>42917.590624999997</v>
      </c>
      <c r="F99" s="13">
        <v>42917.594259259262</v>
      </c>
      <c r="G99" s="7">
        <v>1</v>
      </c>
      <c r="H99" s="21" t="s">
        <v>911</v>
      </c>
      <c r="I99" s="13">
        <v>42917.61928240741</v>
      </c>
      <c r="J99" s="7">
        <v>0</v>
      </c>
      <c r="K99" s="89" t="str">
        <f t="shared" si="27"/>
        <v>4017/4018</v>
      </c>
      <c r="L99" s="21" t="str">
        <f>VLOOKUP(A99,'Trips&amp;Operators'!$C$1:$G$99999,5,FALSE)</f>
        <v>STEWART MICHAEL</v>
      </c>
      <c r="M99" s="6">
        <f t="shared" si="28"/>
        <v>2.5023148147738539E-2</v>
      </c>
      <c r="N99" s="7">
        <f t="shared" si="43"/>
        <v>36.033333332743496</v>
      </c>
      <c r="O99" s="7"/>
      <c r="P99" s="7"/>
      <c r="Q99" s="22"/>
      <c r="R99" s="170"/>
      <c r="S99" s="213">
        <f t="shared" si="26"/>
        <v>1</v>
      </c>
      <c r="T99" s="195" t="str">
        <f t="shared" si="29"/>
        <v>NorthBound</v>
      </c>
      <c r="U99" s="195">
        <f>IF(AG99="EC",COUNTIFS(Variables!$M$2:$M$19,IF(T99="NorthBound","&gt;=","&lt;=")&amp;Y99,Variables!$M$2:$M$19,IF(T99="NorthBound","&lt;=","&gt;=")&amp;Z99),COUNTIFS(Variables!$P$2:$P$19,IF(T99="NorthBound","&gt;=","&lt;=")&amp;Y99,Variables!$P$2:$P$19,IF(T99="NorthBound","&lt;=","&gt;=")&amp;Z99))</f>
        <v>12</v>
      </c>
      <c r="V99" s="196" t="str">
        <f t="shared" si="30"/>
        <v>https://d0f6bd738d7f1b3e5a7ca70fe4ff75f0.us-east-1.aws.found.io/app/kibana#/discover/Steve-Slow-Train-Analysis-(2080s-and-2083s)?_g=(refreshInterval:(display:Off,pause:!f,section:0,value:0),time:(from:'2017-07-01T13:10:30-0600',mode:absolute,to:'2017-07-01T15:51:46-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99" s="197" t="str">
        <f>IF(AA99&lt;VLOOKUP(AG99,Variables!$AC$3:$AD$8,2,FALSE),"Y","N")</f>
        <v>N</v>
      </c>
      <c r="X99" s="197">
        <f t="shared" si="31"/>
        <v>1</v>
      </c>
      <c r="Y99" s="197">
        <f t="shared" si="32"/>
        <v>4.5699999999999998E-2</v>
      </c>
      <c r="Z99" s="197">
        <f t="shared" si="33"/>
        <v>23.329899999999999</v>
      </c>
      <c r="AA99" s="197">
        <f t="shared" si="34"/>
        <v>23.284199999999998</v>
      </c>
      <c r="AB99" s="54" t="e">
        <f>VLOOKUP(A99,Enforcements!$C$7:$K$13,8,0)</f>
        <v>#N/A</v>
      </c>
      <c r="AC99" s="51" t="e">
        <f>VLOOKUP(A99,Enforcements!$C$7:$E$13,3,0)</f>
        <v>#N/A</v>
      </c>
      <c r="AD99" s="206">
        <f t="shared" si="35"/>
        <v>185</v>
      </c>
      <c r="AE99" s="77" t="str">
        <f t="shared" si="36"/>
        <v>aws s3 cp s3://rtdc.mdm.uploadarchive.raw/RTDC4018/ "%USERPROFILE%\AppData\Local\Temp\OnboardLogs"\RTDC4018\2017-07-01 --exclude "*" --recursive --include "*20170701*" &amp; "%USERPROFILE%\Documents\GitHub\mrs-test-scripts\Headless Mode &amp; Sideloading\WalkAndUnGZ.bat" "%USERPROFILE%\AppData\Local\Temp\OnboardLogs"\RTDC4018\2017-07-01 &amp; aws s3 cp s3://rtdc.mdm.uploadarchive.raw/RTDC4018/ "%USERPROFILE%\AppData\Local\Temp\OnboardLogs"\RTDC4018\2017-07-02 --exclude "*" --recursive --include "*20170702*" &amp; "%USERPROFILE%\Documents\GitHub\mrs-test-scripts\Headless Mode &amp; Sideloading\WalkAndUnGZ.bat" "%USERPROFILE%\AppData\Local\Temp\OnboardLogs"\RTDC4018\2017-07-02</v>
      </c>
      <c r="AF99" s="74" t="str">
        <f t="shared" si="37"/>
        <v>"C:\Program Files (x86)\AstroGrep\AstroGrep.exe" /e /r /s /spath="%USERPROFILE%\AppData\Local\Temp\OnboardLogs" /stypes="app*4018*20170701*" /stext=" 20:.+((SYSTEM_STATE.+slice.+state.+changed )|(ment ac)|(multiple cpu faults)|(system.+state.+changed )|(\[timeout)|(PRM\|1\|D)|(kpr)|(kdp)|(train st.+moving)|(\|lc)|(penalty))"</v>
      </c>
      <c r="AG99" s="209" t="str">
        <f t="shared" si="38"/>
        <v>EC</v>
      </c>
      <c r="AH99" s="78" t="str">
        <f t="shared" si="39"/>
        <v>"%USERPROFILE%\Documents\GitHub\eaglep3\Utilities\RefineRTDCRunTimes.py" --tripid 185-01 --locoid 4018 --swversion DE.1.0.9.0 --startMP 204:457 --initTime 2017-07-01T14:10:30 --startdatetime 2017-07-01T14:15:44 --delay 1 --endMP 204:233299 --enddatetime 2017-07-01T14:51:46 --enforcementcount 0 &gt;&gt;C:\Users\stu\Documents\GitHub\eaglep3-reporting\EC\2017-07-01-refined-times.txt</v>
      </c>
      <c r="AI99" s="96" t="str">
        <f t="shared" si="40"/>
        <v>echo {"issue":{"subject":"","project_id":79,"tracker_id":40,"status_id":1,"priority_id":2,"assigned_to_id":23,"start_date":"2017-07-01","description":"","custom_fields":[{"id":1,"name":"Subdivision","value":"EC"},{"id":4,"name":"Milepost","value":"23.3299"},{"id":17,"name":"Train ID","value":"185-01"},{"id":16,"name":"Locomotive ID","value":"4018"},{"id":130,"name":"Impact","value":""},{"id":150,"name":"Time of Event (Mountain Time)","value":"14:51:46"},{"id":151,"name":"Denver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99" s="47"/>
      <c r="AL99" s="47"/>
      <c r="AM99" s="142" t="str">
        <f t="shared" si="41"/>
        <v>start /low /b %USERPROFILE%\Documents\GitHub\eaglep3\Utilities\DownloadLogsFromS3.py --loco 4018 --day 2017-07-01</v>
      </c>
      <c r="AN99" s="151" t="str">
        <f t="shared" si="42"/>
        <v>echo {"issue":{"subject":"","project_id":30,"tracker_id":4,"status_id":1,"priority_id":1,"assigned_to_id":10,"start_date":"2017-07-01","description":"","custom_fields":[{"id":30,"name":"Category","value":"Issue"},{"id":3,"name":"Functional Component","value":"Onboard"},{"id":31,"name":"Version","value":"N/A"},{"id":8,"name":"Reporting RR","value":"WABTEC"},{"id":27,"name":"Locomotive ID","value":"4018"},{"id":20,"name":"RR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UTC","value":"2017-07-01 20:51:46"},{"id":29,"name":"Sharepoint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9"/>
      <c r="AP99"/>
      <c r="AQ99"/>
      <c r="AR99"/>
      <c r="AS99"/>
      <c r="AT99"/>
      <c r="AU99"/>
      <c r="AV99"/>
      <c r="AW99"/>
      <c r="AX99"/>
      <c r="AY99"/>
      <c r="AZ99"/>
      <c r="BA99"/>
      <c r="BB99"/>
      <c r="BC99"/>
      <c r="BD99"/>
      <c r="BE99"/>
      <c r="BF99"/>
      <c r="BG99"/>
      <c r="BH99"/>
      <c r="BI99"/>
      <c r="BJ99"/>
      <c r="BK99"/>
      <c r="BL99"/>
      <c r="BM99"/>
      <c r="BN99"/>
      <c r="BO99"/>
      <c r="BP99"/>
      <c r="BQ99"/>
      <c r="BR99"/>
      <c r="BS99"/>
      <c r="BT99"/>
      <c r="BU99"/>
      <c r="BV99"/>
      <c r="BW99"/>
      <c r="BX99"/>
      <c r="BY99"/>
      <c r="BZ99"/>
      <c r="CA99"/>
      <c r="CB99"/>
      <c r="CC99"/>
      <c r="CD99"/>
      <c r="CE99"/>
      <c r="CF99"/>
      <c r="CG99"/>
      <c r="CH99"/>
      <c r="CI99"/>
      <c r="CJ99"/>
      <c r="CK99"/>
      <c r="CL99"/>
      <c r="CM99"/>
    </row>
    <row r="100" spans="1:91" s="20" customFormat="1" x14ac:dyDescent="0.25">
      <c r="A100" s="32" t="s">
        <v>807</v>
      </c>
      <c r="B100" s="7">
        <v>4017</v>
      </c>
      <c r="C100" s="21" t="s">
        <v>202</v>
      </c>
      <c r="D100" s="21" t="s">
        <v>489</v>
      </c>
      <c r="E100" s="13">
        <v>42917.63076388889</v>
      </c>
      <c r="F100" s="13">
        <v>42917.633530092593</v>
      </c>
      <c r="G100" s="7">
        <v>1</v>
      </c>
      <c r="H100" s="21" t="s">
        <v>394</v>
      </c>
      <c r="I100" s="13">
        <v>42917.660358796296</v>
      </c>
      <c r="J100" s="7">
        <v>0</v>
      </c>
      <c r="K100" s="89" t="str">
        <f t="shared" si="27"/>
        <v>4017/4018</v>
      </c>
      <c r="L100" s="21" t="str">
        <f>VLOOKUP(A100,'Trips&amp;Operators'!$C$1:$G$99999,5,FALSE)</f>
        <v>STEWART MICHAEL</v>
      </c>
      <c r="M100" s="6">
        <f t="shared" si="28"/>
        <v>2.6828703703358769E-2</v>
      </c>
      <c r="N100" s="7">
        <f t="shared" si="43"/>
        <v>38.633333332836628</v>
      </c>
      <c r="O100" s="7"/>
      <c r="P100" s="7"/>
      <c r="Q100" s="22"/>
      <c r="R100" s="170"/>
      <c r="S100" s="213">
        <f t="shared" si="26"/>
        <v>1</v>
      </c>
      <c r="T100" s="195" t="str">
        <f t="shared" si="29"/>
        <v>Southbound</v>
      </c>
      <c r="U100" s="195">
        <f>IF(AG100="EC",COUNTIFS(Variables!$M$2:$M$19,IF(T100="NorthBound","&gt;=","&lt;=")&amp;Y100,Variables!$M$2:$M$19,IF(T100="NorthBound","&lt;=","&gt;=")&amp;Z100),COUNTIFS(Variables!$P$2:$P$19,IF(T100="NorthBound","&gt;=","&lt;=")&amp;Y100,Variables!$P$2:$P$19,IF(T100="NorthBound","&lt;=","&gt;=")&amp;Z100))</f>
        <v>12</v>
      </c>
      <c r="V100" s="196" t="str">
        <f t="shared" si="30"/>
        <v>https://d0f6bd738d7f1b3e5a7ca70fe4ff75f0.us-east-1.aws.found.io/app/kibana#/discover/Steve-Slow-Train-Analysis-(2080s-and-2083s)?_g=(refreshInterval:(display:Off,pause:!f,section:0,value:0),time:(from:'2017-07-01T14:08:18-0600',mode:absolute,to:'2017-07-01T16:50:55-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100" s="197" t="str">
        <f>IF(AA100&lt;VLOOKUP(AG100,Variables!$AC$3:$AD$8,2,FALSE),"Y","N")</f>
        <v>N</v>
      </c>
      <c r="X100" s="197">
        <f t="shared" si="31"/>
        <v>1</v>
      </c>
      <c r="Y100" s="197">
        <f t="shared" si="32"/>
        <v>23.2973</v>
      </c>
      <c r="Z100" s="197">
        <f t="shared" si="33"/>
        <v>1.54E-2</v>
      </c>
      <c r="AA100" s="197">
        <f t="shared" si="34"/>
        <v>23.2819</v>
      </c>
      <c r="AB100" s="54" t="e">
        <f>VLOOKUP(A100,Enforcements!$C$7:$K$13,8,0)</f>
        <v>#N/A</v>
      </c>
      <c r="AC100" s="51" t="e">
        <f>VLOOKUP(A100,Enforcements!$C$7:$E$13,3,0)</f>
        <v>#N/A</v>
      </c>
      <c r="AD100" s="206">
        <f t="shared" si="35"/>
        <v>186</v>
      </c>
      <c r="AE100" s="77" t="str">
        <f t="shared" si="36"/>
        <v>aws s3 cp s3://rtdc.mdm.uploadarchive.raw/RTDC4017/ "%USERPROFILE%\AppData\Local\Temp\OnboardLogs"\RTDC4017\2017-07-01 --exclude "*" --recursive --include "*20170701*" &amp; "%USERPROFILE%\Documents\GitHub\mrs-test-scripts\Headless Mode &amp; Sideloading\WalkAndUnGZ.bat" "%USERPROFILE%\AppData\Local\Temp\OnboardLogs"\RTDC4017\2017-07-01 &amp; aws s3 cp s3://rtdc.mdm.uploadarchive.raw/RTDC4017/ "%USERPROFILE%\AppData\Local\Temp\OnboardLogs"\RTDC4017\2017-07-02 --exclude "*" --recursive --include "*20170702*" &amp; "%USERPROFILE%\Documents\GitHub\mrs-test-scripts\Headless Mode &amp; Sideloading\WalkAndUnGZ.bat" "%USERPROFILE%\AppData\Local\Temp\OnboardLogs"\RTDC4017\2017-07-02</v>
      </c>
      <c r="AF100" s="74" t="str">
        <f t="shared" si="37"/>
        <v>"C:\Program Files (x86)\AstroGrep\AstroGrep.exe" /e /r /s /spath="%USERPROFILE%\AppData\Local\Temp\OnboardLogs" /stypes="app*4017*20170701*" /stext=" 21:.+((SYSTEM_STATE.+slice.+state.+changed )|(ment ac)|(multiple cpu faults)|(system.+state.+changed )|(\[timeout)|(PRM\|1\|D)|(kpr)|(kdp)|(train st.+moving)|(\|lc)|(penalty))"</v>
      </c>
      <c r="AG100" s="209" t="str">
        <f t="shared" si="38"/>
        <v>EC</v>
      </c>
      <c r="AH100" s="78" t="str">
        <f t="shared" si="39"/>
        <v>"%USERPROFILE%\Documents\GitHub\eaglep3\Utilities\RefineRTDCRunTimes.py" --tripid 186-01 --locoid 4017 --swversion DE.1.0.9.0 --startMP 204:232973 --initTime 2017-07-01T15:08:18 --startdatetime 2017-07-01T15:12:17 --delay 1 --endMP 204:154 --enddatetime 2017-07-01T15:50:55 --enforcementcount 0 &gt;&gt;C:\Users\stu\Documents\GitHub\eaglep3-reporting\EC\2017-07-01-refined-times.txt</v>
      </c>
      <c r="AI100" s="96" t="str">
        <f t="shared" si="40"/>
        <v>echo {"issue":{"subject":"","project_id":79,"tracker_id":40,"status_id":1,"priority_id":2,"assigned_to_id":23,"start_date":"2017-07-01","description":"","custom_fields":[{"id":1,"name":"Subdivision","value":"EC"},{"id":4,"name":"Milepost","value":"0.0154"},{"id":17,"name":"Train ID","value":"186-01"},{"id":16,"name":"Locomotive ID","value":"4017"},{"id":130,"name":"Impact","value":""},{"id":150,"name":"Time of Event (Mountain Time)","value":"15:50:55"},{"id":151,"name":"Denver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0" s="47"/>
      <c r="AL100" s="47"/>
      <c r="AM100" s="142" t="str">
        <f t="shared" si="41"/>
        <v>start /low /b %USERPROFILE%\Documents\GitHub\eaglep3\Utilities\DownloadLogsFromS3.py --loco 4017 --day 2017-07-01</v>
      </c>
      <c r="AN100" s="151" t="str">
        <f t="shared" si="42"/>
        <v>echo {"issue":{"subject":"","project_id":30,"tracker_id":4,"status_id":1,"priority_id":1,"assigned_to_id":10,"start_date":"2017-07-01","description":"","custom_fields":[{"id":30,"name":"Category","value":"Issue"},{"id":3,"name":"Functional Component","value":"Onboard"},{"id":31,"name":"Version","value":"N/A"},{"id":8,"name":"Reporting RR","value":"WABTEC"},{"id":27,"name":"Locomotive ID","value":"4017"},{"id":20,"name":"RR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UTC","value":"2017-07-01 21:50:55"},{"id":29,"name":"Sharepoint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0"/>
      <c r="AP100"/>
      <c r="AQ100"/>
      <c r="AR100"/>
      <c r="AS100"/>
      <c r="AT100"/>
      <c r="AU100"/>
      <c r="AV100"/>
      <c r="AW100"/>
      <c r="AX100"/>
      <c r="AY100"/>
      <c r="AZ100"/>
      <c r="BA100"/>
      <c r="BB100"/>
      <c r="BC100"/>
      <c r="BD100"/>
      <c r="BE100"/>
      <c r="BF100"/>
      <c r="BG100"/>
      <c r="BH100"/>
      <c r="BI100"/>
      <c r="BJ100"/>
      <c r="BK100"/>
      <c r="BL100"/>
      <c r="BM100"/>
      <c r="BN100"/>
      <c r="BO100"/>
      <c r="BP100"/>
      <c r="BQ100"/>
      <c r="BR100"/>
      <c r="BS100"/>
      <c r="BT100"/>
      <c r="BU100"/>
      <c r="BV100"/>
      <c r="BW100"/>
      <c r="BX100"/>
      <c r="BY100"/>
      <c r="BZ100"/>
      <c r="CA100"/>
      <c r="CB100"/>
      <c r="CC100"/>
      <c r="CD100"/>
      <c r="CE100"/>
      <c r="CF100"/>
      <c r="CG100"/>
      <c r="CH100"/>
      <c r="CI100"/>
      <c r="CJ100"/>
      <c r="CK100"/>
      <c r="CL100"/>
      <c r="CM100"/>
    </row>
    <row r="101" spans="1:91" s="20" customFormat="1" x14ac:dyDescent="0.25">
      <c r="A101" s="32" t="s">
        <v>801</v>
      </c>
      <c r="B101" s="7">
        <v>4030</v>
      </c>
      <c r="C101" s="21" t="s">
        <v>202</v>
      </c>
      <c r="D101" s="21" t="s">
        <v>968</v>
      </c>
      <c r="E101" s="13">
        <v>42917.600219907406</v>
      </c>
      <c r="F101" s="13">
        <v>42917.604618055557</v>
      </c>
      <c r="G101" s="7">
        <v>1</v>
      </c>
      <c r="H101" s="21" t="s">
        <v>601</v>
      </c>
      <c r="I101" s="13">
        <v>42917.629513888889</v>
      </c>
      <c r="J101" s="7">
        <v>0</v>
      </c>
      <c r="K101" s="89" t="str">
        <f t="shared" si="27"/>
        <v>4029/4030</v>
      </c>
      <c r="L101" s="21" t="str">
        <f>VLOOKUP(A101,'Trips&amp;Operators'!$C$1:$G$99999,5,FALSE)</f>
        <v>HOLCOMB KAMDEN</v>
      </c>
      <c r="M101" s="6">
        <f t="shared" si="28"/>
        <v>2.4895833332266193E-2</v>
      </c>
      <c r="N101" s="7">
        <f t="shared" si="43"/>
        <v>35.849999998463318</v>
      </c>
      <c r="O101" s="7"/>
      <c r="P101" s="7"/>
      <c r="Q101" s="22"/>
      <c r="R101" s="170"/>
      <c r="S101" s="213">
        <f t="shared" si="26"/>
        <v>1</v>
      </c>
      <c r="T101" s="195" t="str">
        <f t="shared" si="29"/>
        <v>NorthBound</v>
      </c>
      <c r="U101" s="195">
        <f>IF(AG101="EC",COUNTIFS(Variables!$M$2:$M$19,IF(T101="NorthBound","&gt;=","&lt;=")&amp;Y101,Variables!$M$2:$M$19,IF(T101="NorthBound","&lt;=","&gt;=")&amp;Z101),COUNTIFS(Variables!$P$2:$P$19,IF(T101="NorthBound","&gt;=","&lt;=")&amp;Y101,Variables!$P$2:$P$19,IF(T101="NorthBound","&lt;=","&gt;=")&amp;Z101))</f>
        <v>12</v>
      </c>
      <c r="V101" s="196" t="str">
        <f t="shared" si="30"/>
        <v>https://d0f6bd738d7f1b3e5a7ca70fe4ff75f0.us-east-1.aws.found.io/app/kibana#/discover/Steve-Slow-Train-Analysis-(2080s-and-2083s)?_g=(refreshInterval:(display:Off,pause:!f,section:0,value:0),time:(from:'2017-07-01T13:24:19-0600',mode:absolute,to:'2017-07-01T16:06:30-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101" s="197" t="str">
        <f>IF(AA101&lt;VLOOKUP(AG101,Variables!$AC$3:$AD$8,2,FALSE),"Y","N")</f>
        <v>N</v>
      </c>
      <c r="X101" s="197">
        <f t="shared" si="31"/>
        <v>1</v>
      </c>
      <c r="Y101" s="197">
        <f t="shared" si="32"/>
        <v>4.2599999999999999E-2</v>
      </c>
      <c r="Z101" s="197">
        <f t="shared" si="33"/>
        <v>23.332100000000001</v>
      </c>
      <c r="AA101" s="197">
        <f t="shared" si="34"/>
        <v>23.2895</v>
      </c>
      <c r="AB101" s="54" t="e">
        <f>VLOOKUP(A101,Enforcements!$C$7:$K$13,8,0)</f>
        <v>#N/A</v>
      </c>
      <c r="AC101" s="51" t="e">
        <f>VLOOKUP(A101,Enforcements!$C$7:$E$13,3,0)</f>
        <v>#N/A</v>
      </c>
      <c r="AD101" s="206">
        <f t="shared" si="35"/>
        <v>187</v>
      </c>
      <c r="AE101" s="77" t="str">
        <f t="shared" si="36"/>
        <v>aws s3 cp s3://rtdc.mdm.uploadarchive.raw/RTDC4030/ "%USERPROFILE%\AppData\Local\Temp\OnboardLogs"\RTDC4030\2017-07-01 --exclude "*" --recursive --include "*20170701*" &amp; "%USERPROFILE%\Documents\GitHub\mrs-test-scripts\Headless Mode &amp; Sideloading\WalkAndUnGZ.bat" "%USERPROFILE%\AppData\Local\Temp\OnboardLogs"\RTDC4030\2017-07-01 &amp; aws s3 cp s3://rtdc.mdm.uploadarchive.raw/RTDC4030/ "%USERPROFILE%\AppData\Local\Temp\OnboardLogs"\RTDC4030\2017-07-02 --exclude "*" --recursive --include "*20170702*" &amp; "%USERPROFILE%\Documents\GitHub\mrs-test-scripts\Headless Mode &amp; Sideloading\WalkAndUnGZ.bat" "%USERPROFILE%\AppData\Local\Temp\OnboardLogs"\RTDC4030\2017-07-02</v>
      </c>
      <c r="AF101" s="74" t="str">
        <f t="shared" si="37"/>
        <v>"C:\Program Files (x86)\AstroGrep\AstroGrep.exe" /e /r /s /spath="%USERPROFILE%\AppData\Local\Temp\OnboardLogs" /stypes="app*4030*20170701*" /stext=" 21:.+((SYSTEM_STATE.+slice.+state.+changed )|(ment ac)|(multiple cpu faults)|(system.+state.+changed )|(\[timeout)|(PRM\|1\|D)|(kpr)|(kdp)|(train st.+moving)|(\|lc)|(penalty))"</v>
      </c>
      <c r="AG101" s="209" t="str">
        <f t="shared" si="38"/>
        <v>EC</v>
      </c>
      <c r="AH101" s="78" t="str">
        <f t="shared" si="39"/>
        <v>"%USERPROFILE%\Documents\GitHub\eaglep3\Utilities\RefineRTDCRunTimes.py" --tripid 187-01 --locoid 4030 --swversion DE.1.0.9.0 --startMP 204:426 --initTime 2017-07-01T14:24:19 --startdatetime 2017-07-01T14:30:39 --delay 1 --endMP 204:233321 --enddatetime 2017-07-01T15:06:30 --enforcementcount 0 &gt;&gt;C:\Users\stu\Documents\GitHub\eaglep3-reporting\EC\2017-07-01-refined-times.txt</v>
      </c>
      <c r="AI101" s="96" t="str">
        <f t="shared" si="40"/>
        <v>echo {"issue":{"subject":"","project_id":79,"tracker_id":40,"status_id":1,"priority_id":2,"assigned_to_id":23,"start_date":"2017-07-01","description":"","custom_fields":[{"id":1,"name":"Subdivision","value":"EC"},{"id":4,"name":"Milepost","value":"23.3321"},{"id":17,"name":"Train ID","value":"187-01"},{"id":16,"name":"Locomotive ID","value":"4030"},{"id":130,"name":"Impact","value":""},{"id":150,"name":"Time of Event (Mountain Time)","value":"15:06:30"},{"id":151,"name":"Denver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1" s="47"/>
      <c r="AL101" s="47"/>
      <c r="AM101" s="142" t="str">
        <f t="shared" si="41"/>
        <v>start /low /b %USERPROFILE%\Documents\GitHub\eaglep3\Utilities\DownloadLogsFromS3.py --loco 4030 --day 2017-07-01</v>
      </c>
      <c r="AN101" s="151" t="str">
        <f t="shared" si="42"/>
        <v>echo {"issue":{"subject":"","project_id":30,"tracker_id":4,"status_id":1,"priority_id":1,"assigned_to_id":10,"start_date":"2017-07-01","description":"","custom_fields":[{"id":30,"name":"Category","value":"Issue"},{"id":3,"name":"Functional Component","value":"Onboard"},{"id":31,"name":"Version","value":"N/A"},{"id":8,"name":"Reporting RR","value":"WABTEC"},{"id":27,"name":"Locomotive ID","value":"4030"},{"id":20,"name":"RR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UTC","value":"2017-07-01 21:06:30"},{"id":29,"name":"Sharepoint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1"/>
      <c r="AP101"/>
      <c r="AQ101"/>
      <c r="AR101"/>
      <c r="AS101"/>
      <c r="AT101"/>
      <c r="AU101"/>
      <c r="AV101"/>
      <c r="AW101"/>
      <c r="AX101"/>
      <c r="AY101"/>
      <c r="AZ101"/>
      <c r="BA101"/>
      <c r="BB101"/>
      <c r="BC101"/>
      <c r="BD101"/>
      <c r="BE101"/>
      <c r="BF101"/>
      <c r="BG101"/>
      <c r="BH101"/>
      <c r="BI101"/>
      <c r="BJ101"/>
      <c r="BK101"/>
      <c r="BL101"/>
      <c r="BM101"/>
      <c r="BN101"/>
      <c r="BO101"/>
      <c r="BP101"/>
      <c r="BQ101"/>
      <c r="BR101"/>
      <c r="BS101"/>
      <c r="BT101"/>
      <c r="BU101"/>
      <c r="BV101"/>
      <c r="BW101"/>
      <c r="BX101"/>
      <c r="BY101"/>
      <c r="BZ101"/>
      <c r="CA101"/>
      <c r="CB101"/>
      <c r="CC101"/>
      <c r="CD101"/>
      <c r="CE101"/>
      <c r="CF101"/>
      <c r="CG101"/>
      <c r="CH101"/>
      <c r="CI101"/>
      <c r="CJ101"/>
      <c r="CK101"/>
      <c r="CL101"/>
      <c r="CM101"/>
    </row>
    <row r="102" spans="1:91" s="20" customFormat="1" x14ac:dyDescent="0.25">
      <c r="A102" s="32" t="s">
        <v>808</v>
      </c>
      <c r="B102" s="7">
        <v>4029</v>
      </c>
      <c r="C102" s="21" t="s">
        <v>202</v>
      </c>
      <c r="D102" s="21" t="s">
        <v>969</v>
      </c>
      <c r="E102" s="13">
        <v>42917.642071759263</v>
      </c>
      <c r="F102" s="13">
        <v>42917.644016203703</v>
      </c>
      <c r="G102" s="7">
        <v>1</v>
      </c>
      <c r="H102" s="21" t="s">
        <v>350</v>
      </c>
      <c r="I102" s="13">
        <v>42917.670104166667</v>
      </c>
      <c r="J102" s="7">
        <v>0</v>
      </c>
      <c r="K102" s="89" t="str">
        <f t="shared" si="27"/>
        <v>4029/4030</v>
      </c>
      <c r="L102" s="21" t="str">
        <f>VLOOKUP(A102,'Trips&amp;Operators'!$C$1:$G$99999,5,FALSE)</f>
        <v>HOLCOMB KAMDEN</v>
      </c>
      <c r="M102" s="6">
        <f t="shared" si="28"/>
        <v>2.6087962964083999E-2</v>
      </c>
      <c r="N102" s="7">
        <f t="shared" si="43"/>
        <v>37.566666668280959</v>
      </c>
      <c r="O102" s="7"/>
      <c r="P102" s="7"/>
      <c r="Q102" s="22"/>
      <c r="R102" s="170"/>
      <c r="S102" s="213">
        <f t="shared" si="26"/>
        <v>1</v>
      </c>
      <c r="T102" s="195" t="str">
        <f t="shared" si="29"/>
        <v>Southbound</v>
      </c>
      <c r="U102" s="195">
        <f>IF(AG102="EC",COUNTIFS(Variables!$M$2:$M$19,IF(T102="NorthBound","&gt;=","&lt;=")&amp;Y102,Variables!$M$2:$M$19,IF(T102="NorthBound","&lt;=","&gt;=")&amp;Z102),COUNTIFS(Variables!$P$2:$P$19,IF(T102="NorthBound","&gt;=","&lt;=")&amp;Y102,Variables!$P$2:$P$19,IF(T102="NorthBound","&lt;=","&gt;=")&amp;Z102))</f>
        <v>12</v>
      </c>
      <c r="V102" s="196" t="str">
        <f t="shared" si="30"/>
        <v>https://d0f6bd738d7f1b3e5a7ca70fe4ff75f0.us-east-1.aws.found.io/app/kibana#/discover/Steve-Slow-Train-Analysis-(2080s-and-2083s)?_g=(refreshInterval:(display:Off,pause:!f,section:0,value:0),time:(from:'2017-07-01T14:24:35-0600',mode:absolute,to:'2017-07-01T17:04:57-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102" s="197" t="str">
        <f>IF(AA102&lt;VLOOKUP(AG102,Variables!$AC$3:$AD$8,2,FALSE),"Y","N")</f>
        <v>N</v>
      </c>
      <c r="X102" s="197">
        <f t="shared" si="31"/>
        <v>1</v>
      </c>
      <c r="Y102" s="197">
        <f t="shared" si="32"/>
        <v>23.300799999999999</v>
      </c>
      <c r="Z102" s="197">
        <f t="shared" si="33"/>
        <v>1.43E-2</v>
      </c>
      <c r="AA102" s="197">
        <f t="shared" si="34"/>
        <v>23.2865</v>
      </c>
      <c r="AB102" s="54" t="e">
        <f>VLOOKUP(A102,Enforcements!$C$7:$K$13,8,0)</f>
        <v>#N/A</v>
      </c>
      <c r="AC102" s="51" t="e">
        <f>VLOOKUP(A102,Enforcements!$C$7:$E$13,3,0)</f>
        <v>#N/A</v>
      </c>
      <c r="AD102" s="206">
        <f t="shared" si="35"/>
        <v>188</v>
      </c>
      <c r="AE102" s="77" t="str">
        <f t="shared" si="36"/>
        <v>aws s3 cp s3://rtdc.mdm.uploadarchive.raw/RTDC4029/ "%USERPROFILE%\AppData\Local\Temp\OnboardLogs"\RTDC4029\2017-07-01 --exclude "*" --recursive --include "*20170701*" &amp; "%USERPROFILE%\Documents\GitHub\mrs-test-scripts\Headless Mode &amp; Sideloading\WalkAndUnGZ.bat" "%USERPROFILE%\AppData\Local\Temp\OnboardLogs"\RTDC4029\2017-07-01 &amp; aws s3 cp s3://rtdc.mdm.uploadarchive.raw/RTDC4029/ "%USERPROFILE%\AppData\Local\Temp\OnboardLogs"\RTDC4029\2017-07-02 --exclude "*" --recursive --include "*20170702*" &amp; "%USERPROFILE%\Documents\GitHub\mrs-test-scripts\Headless Mode &amp; Sideloading\WalkAndUnGZ.bat" "%USERPROFILE%\AppData\Local\Temp\OnboardLogs"\RTDC4029\2017-07-02</v>
      </c>
      <c r="AF102" s="74" t="str">
        <f t="shared" si="37"/>
        <v>"C:\Program Files (x86)\AstroGrep\AstroGrep.exe" /e /r /s /spath="%USERPROFILE%\AppData\Local\Temp\OnboardLogs" /stypes="app*4029*20170701*" /stext=" 22:.+((SYSTEM_STATE.+slice.+state.+changed )|(ment ac)|(multiple cpu faults)|(system.+state.+changed )|(\[timeout)|(PRM\|1\|D)|(kpr)|(kdp)|(train st.+moving)|(\|lc)|(penalty))"</v>
      </c>
      <c r="AG102" s="209" t="str">
        <f t="shared" si="38"/>
        <v>EC</v>
      </c>
      <c r="AH102" s="78" t="str">
        <f t="shared" si="39"/>
        <v>"%USERPROFILE%\Documents\GitHub\eaglep3\Utilities\RefineRTDCRunTimes.py" --tripid 188-01 --locoid 4029 --swversion DE.1.0.9.0 --startMP 204:233008 --initTime 2017-07-01T15:24:35 --startdatetime 2017-07-01T15:27:23 --delay 1 --endMP 204:143 --enddatetime 2017-07-01T16:04:57 --enforcementcount 0 &gt;&gt;C:\Users\stu\Documents\GitHub\eaglep3-reporting\EC\2017-07-01-refined-times.txt</v>
      </c>
      <c r="AI102" s="96" t="str">
        <f t="shared" si="40"/>
        <v>echo {"issue":{"subject":"","project_id":79,"tracker_id":40,"status_id":1,"priority_id":2,"assigned_to_id":23,"start_date":"2017-07-01","description":"","custom_fields":[{"id":1,"name":"Subdivision","value":"EC"},{"id":4,"name":"Milepost","value":"0.0143"},{"id":17,"name":"Train ID","value":"188-01"},{"id":16,"name":"Locomotive ID","value":"4029"},{"id":130,"name":"Impact","value":""},{"id":150,"name":"Time of Event (Mountain Time)","value":"16:04:57"},{"id":151,"name":"Denver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2" s="47"/>
      <c r="AL102" s="47"/>
      <c r="AM102" s="142" t="str">
        <f t="shared" si="41"/>
        <v>start /low /b %USERPROFILE%\Documents\GitHub\eaglep3\Utilities\DownloadLogsFromS3.py --loco 4029 --day 2017-07-01</v>
      </c>
      <c r="AN102" s="151" t="str">
        <f t="shared" si="42"/>
        <v>echo {"issue":{"subject":"","project_id":30,"tracker_id":4,"status_id":1,"priority_id":1,"assigned_to_id":10,"start_date":"2017-07-01","description":"","custom_fields":[{"id":30,"name":"Category","value":"Issue"},{"id":3,"name":"Functional Component","value":"Onboard"},{"id":31,"name":"Version","value":"N/A"},{"id":8,"name":"Reporting RR","value":"WABTEC"},{"id":27,"name":"Locomotive ID","value":"4029"},{"id":20,"name":"RR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UTC","value":"2017-07-01 22:04:57"},{"id":29,"name":"Sharepoint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2"/>
      <c r="AP102"/>
      <c r="AQ102"/>
      <c r="AR102"/>
      <c r="AS102"/>
      <c r="AT102"/>
      <c r="AU102"/>
      <c r="AV102"/>
      <c r="AW102"/>
      <c r="AX102"/>
      <c r="AY102"/>
      <c r="AZ102"/>
      <c r="BA102"/>
      <c r="BB102"/>
      <c r="BC102"/>
      <c r="BD102"/>
      <c r="BE102"/>
      <c r="BF102"/>
      <c r="BG102"/>
      <c r="BH102"/>
      <c r="BI102"/>
      <c r="BJ102"/>
      <c r="BK102"/>
      <c r="BL102"/>
      <c r="BM102"/>
      <c r="BN102"/>
      <c r="BO102"/>
      <c r="BP102"/>
      <c r="BQ102"/>
      <c r="BR102"/>
      <c r="BS102"/>
      <c r="BT102"/>
      <c r="BU102"/>
      <c r="BV102"/>
      <c r="BW102"/>
      <c r="BX102"/>
      <c r="BY102"/>
      <c r="BZ102"/>
      <c r="CA102"/>
      <c r="CB102"/>
      <c r="CC102"/>
      <c r="CD102"/>
      <c r="CE102"/>
      <c r="CF102"/>
      <c r="CG102"/>
      <c r="CH102"/>
      <c r="CI102"/>
      <c r="CJ102"/>
      <c r="CK102"/>
      <c r="CL102"/>
      <c r="CM102"/>
    </row>
    <row r="103" spans="1:91" s="20" customFormat="1" x14ac:dyDescent="0.25">
      <c r="A103" s="32" t="s">
        <v>803</v>
      </c>
      <c r="B103" s="7">
        <v>4028</v>
      </c>
      <c r="C103" s="21" t="s">
        <v>202</v>
      </c>
      <c r="D103" s="21" t="s">
        <v>351</v>
      </c>
      <c r="E103" s="13">
        <v>42917.610081018516</v>
      </c>
      <c r="F103" s="13">
        <v>42917.61509259259</v>
      </c>
      <c r="G103" s="7">
        <v>1</v>
      </c>
      <c r="H103" s="21" t="s">
        <v>551</v>
      </c>
      <c r="I103" s="13">
        <v>42917.639756944445</v>
      </c>
      <c r="J103" s="7">
        <v>0</v>
      </c>
      <c r="K103" s="89" t="str">
        <f t="shared" si="27"/>
        <v>4027/4028</v>
      </c>
      <c r="L103" s="21" t="str">
        <f>VLOOKUP(A103,'Trips&amp;Operators'!$C$1:$G$99999,5,FALSE)</f>
        <v>LOPES KIMBERLY</v>
      </c>
      <c r="M103" s="6">
        <f t="shared" si="28"/>
        <v>2.4664351854880806E-2</v>
      </c>
      <c r="N103" s="7">
        <f t="shared" si="43"/>
        <v>35.516666671028361</v>
      </c>
      <c r="O103" s="7"/>
      <c r="P103" s="7"/>
      <c r="Q103" s="22"/>
      <c r="R103" s="170"/>
      <c r="S103" s="213">
        <f t="shared" ref="S103:S134" si="44">SUM(U103:U103)/IF(AG103="EC",12,1)</f>
        <v>1</v>
      </c>
      <c r="T103" s="195" t="str">
        <f t="shared" si="29"/>
        <v>NorthBound</v>
      </c>
      <c r="U103" s="195">
        <f>IF(AG103="EC",COUNTIFS(Variables!$M$2:$M$19,IF(T103="NorthBound","&gt;=","&lt;=")&amp;Y103,Variables!$M$2:$M$19,IF(T103="NorthBound","&lt;=","&gt;=")&amp;Z103),COUNTIFS(Variables!$P$2:$P$19,IF(T103="NorthBound","&gt;=","&lt;=")&amp;Y103,Variables!$P$2:$P$19,IF(T103="NorthBound","&lt;=","&gt;=")&amp;Z103))</f>
        <v>12</v>
      </c>
      <c r="V103" s="196" t="str">
        <f t="shared" si="30"/>
        <v>https://d0f6bd738d7f1b3e5a7ca70fe4ff75f0.us-east-1.aws.found.io/app/kibana#/discover/Steve-Slow-Train-Analysis-(2080s-and-2083s)?_g=(refreshInterval:(display:Off,pause:!f,section:0,value:0),time:(from:'2017-07-01T13:38:31-0600',mode:absolute,to:'2017-07-01T16:21:15-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103" s="197" t="str">
        <f>IF(AA103&lt;VLOOKUP(AG103,Variables!$AC$3:$AD$8,2,FALSE),"Y","N")</f>
        <v>N</v>
      </c>
      <c r="X103" s="197">
        <f t="shared" si="31"/>
        <v>1</v>
      </c>
      <c r="Y103" s="197">
        <f t="shared" si="32"/>
        <v>4.6600000000000003E-2</v>
      </c>
      <c r="Z103" s="197">
        <f t="shared" si="33"/>
        <v>23.332000000000001</v>
      </c>
      <c r="AA103" s="197">
        <f t="shared" si="34"/>
        <v>23.285399999999999</v>
      </c>
      <c r="AB103" s="54" t="e">
        <f>VLOOKUP(A103,Enforcements!$C$7:$K$13,8,0)</f>
        <v>#N/A</v>
      </c>
      <c r="AC103" s="51" t="e">
        <f>VLOOKUP(A103,Enforcements!$C$7:$E$13,3,0)</f>
        <v>#N/A</v>
      </c>
      <c r="AD103" s="206">
        <f t="shared" si="35"/>
        <v>189</v>
      </c>
      <c r="AE103" s="77" t="str">
        <f t="shared" si="36"/>
        <v>aws s3 cp s3://rtdc.mdm.uploadarchive.raw/RTDC4028/ "%USERPROFILE%\AppData\Local\Temp\OnboardLogs"\RTDC4028\2017-07-01 --exclude "*" --recursive --include "*20170701*" &amp; "%USERPROFILE%\Documents\GitHub\mrs-test-scripts\Headless Mode &amp; Sideloading\WalkAndUnGZ.bat" "%USERPROFILE%\AppData\Local\Temp\OnboardLogs"\RTDC4028\2017-07-01 &amp; aws s3 cp s3://rtdc.mdm.uploadarchive.raw/RTDC4028/ "%USERPROFILE%\AppData\Local\Temp\OnboardLogs"\RTDC4028\2017-07-02 --exclude "*" --recursive --include "*20170702*" &amp; "%USERPROFILE%\Documents\GitHub\mrs-test-scripts\Headless Mode &amp; Sideloading\WalkAndUnGZ.bat" "%USERPROFILE%\AppData\Local\Temp\OnboardLogs"\RTDC4028\2017-07-02</v>
      </c>
      <c r="AF103" s="74" t="str">
        <f t="shared" si="37"/>
        <v>"C:\Program Files (x86)\AstroGrep\AstroGrep.exe" /e /r /s /spath="%USERPROFILE%\AppData\Local\Temp\OnboardLogs" /stypes="app*4028*20170701*" /stext=" 21:.+((SYSTEM_STATE.+slice.+state.+changed )|(ment ac)|(multiple cpu faults)|(system.+state.+changed )|(\[timeout)|(PRM\|1\|D)|(kpr)|(kdp)|(train st.+moving)|(\|lc)|(penalty))"</v>
      </c>
      <c r="AG103" s="209" t="str">
        <f t="shared" si="38"/>
        <v>EC</v>
      </c>
      <c r="AH103" s="78" t="str">
        <f t="shared" si="39"/>
        <v>"%USERPROFILE%\Documents\GitHub\eaglep3\Utilities\RefineRTDCRunTimes.py" --tripid 189-01 --locoid 4028 --swversion DE.1.0.9.0 --startMP 204:466 --initTime 2017-07-01T14:38:31 --startdatetime 2017-07-01T14:45:44 --delay 1 --endMP 204:233320 --enddatetime 2017-07-01T15:21:15 --enforcementcount 0 &gt;&gt;C:\Users\stu\Documents\GitHub\eaglep3-reporting\EC\2017-07-01-refined-times.txt</v>
      </c>
      <c r="AI103" s="96" t="str">
        <f t="shared" si="40"/>
        <v>echo {"issue":{"subject":"","project_id":79,"tracker_id":40,"status_id":1,"priority_id":2,"assigned_to_id":23,"start_date":"2017-07-01","description":"","custom_fields":[{"id":1,"name":"Subdivision","value":"EC"},{"id":4,"name":"Milepost","value":"23.332"},{"id":17,"name":"Train ID","value":"189-01"},{"id":16,"name":"Locomotive ID","value":"4028"},{"id":130,"name":"Impact","value":""},{"id":150,"name":"Time of Event (Mountain Time)","value":"15:21:15"},{"id":151,"name":"Denver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3" s="47"/>
      <c r="AL103" s="47"/>
      <c r="AM103" s="142" t="str">
        <f t="shared" si="41"/>
        <v>start /low /b %USERPROFILE%\Documents\GitHub\eaglep3\Utilities\DownloadLogsFromS3.py --loco 4028 --day 2017-07-01</v>
      </c>
      <c r="AN103" s="151" t="str">
        <f t="shared" si="42"/>
        <v>echo {"issue":{"subject":"","project_id":30,"tracker_id":4,"status_id":1,"priority_id":1,"assigned_to_id":10,"start_date":"2017-07-01","description":"","custom_fields":[{"id":30,"name":"Category","value":"Issue"},{"id":3,"name":"Functional Component","value":"Onboard"},{"id":31,"name":"Version","value":"N/A"},{"id":8,"name":"Reporting RR","value":"WABTEC"},{"id":27,"name":"Locomotive ID","value":"4028"},{"id":20,"name":"RR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UTC","value":"2017-07-01 21:21:15"},{"id":29,"name":"Sharepoint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3"/>
      <c r="AP103"/>
      <c r="AQ103"/>
      <c r="AR103"/>
      <c r="AS103"/>
      <c r="AT103"/>
      <c r="AU103"/>
      <c r="AV103"/>
      <c r="AW103"/>
      <c r="AX103"/>
      <c r="AY103"/>
      <c r="AZ103"/>
      <c r="BA103"/>
      <c r="BB103"/>
      <c r="BC103"/>
      <c r="BD103"/>
      <c r="BE103"/>
      <c r="BF103"/>
      <c r="BG103"/>
      <c r="BH103"/>
      <c r="BI103"/>
      <c r="BJ103"/>
      <c r="BK103"/>
      <c r="BL103"/>
      <c r="BM103"/>
      <c r="BN103"/>
      <c r="BO103"/>
      <c r="BP103"/>
      <c r="BQ103"/>
      <c r="BR103"/>
      <c r="BS103"/>
      <c r="BT103"/>
      <c r="BU103"/>
      <c r="BV103"/>
      <c r="BW103"/>
      <c r="BX103"/>
      <c r="BY103"/>
      <c r="BZ103"/>
      <c r="CA103"/>
      <c r="CB103"/>
      <c r="CC103"/>
      <c r="CD103"/>
      <c r="CE103"/>
      <c r="CF103"/>
      <c r="CG103"/>
      <c r="CH103"/>
      <c r="CI103"/>
      <c r="CJ103"/>
      <c r="CK103"/>
      <c r="CL103"/>
      <c r="CM103"/>
    </row>
    <row r="104" spans="1:91" s="20" customFormat="1" x14ac:dyDescent="0.25">
      <c r="A104" s="32" t="s">
        <v>660</v>
      </c>
      <c r="B104" s="7">
        <v>4027</v>
      </c>
      <c r="C104" s="21" t="s">
        <v>202</v>
      </c>
      <c r="D104" s="21" t="s">
        <v>970</v>
      </c>
      <c r="E104" s="13">
        <v>42917.64980324074</v>
      </c>
      <c r="F104" s="13">
        <v>42917.654363425929</v>
      </c>
      <c r="G104" s="7">
        <v>1</v>
      </c>
      <c r="H104" s="21" t="s">
        <v>394</v>
      </c>
      <c r="I104" s="13">
        <v>42917.68068287037</v>
      </c>
      <c r="J104" s="7">
        <v>0</v>
      </c>
      <c r="K104" s="89" t="str">
        <f t="shared" si="27"/>
        <v>4027/4028</v>
      </c>
      <c r="L104" s="21" t="str">
        <f>VLOOKUP(A104,'Trips&amp;Operators'!$C$1:$G$99999,5,FALSE)</f>
        <v>LOPES KIMBERLY</v>
      </c>
      <c r="M104" s="6">
        <f t="shared" si="28"/>
        <v>2.6319444441469386E-2</v>
      </c>
      <c r="N104" s="7">
        <f t="shared" si="43"/>
        <v>37.899999995715916</v>
      </c>
      <c r="O104" s="7"/>
      <c r="P104" s="7"/>
      <c r="Q104" s="22"/>
      <c r="R104" s="170"/>
      <c r="S104" s="213">
        <f t="shared" si="44"/>
        <v>1</v>
      </c>
      <c r="T104" s="195" t="str">
        <f t="shared" si="29"/>
        <v>Southbound</v>
      </c>
      <c r="U104" s="195">
        <f>IF(AG104="EC",COUNTIFS(Variables!$M$2:$M$19,IF(T104="NorthBound","&gt;=","&lt;=")&amp;Y104,Variables!$M$2:$M$19,IF(T104="NorthBound","&lt;=","&gt;=")&amp;Z104),COUNTIFS(Variables!$P$2:$P$19,IF(T104="NorthBound","&gt;=","&lt;=")&amp;Y104,Variables!$P$2:$P$19,IF(T104="NorthBound","&lt;=","&gt;=")&amp;Z104))</f>
        <v>12</v>
      </c>
      <c r="V104" s="196" t="str">
        <f t="shared" si="30"/>
        <v>https://d0f6bd738d7f1b3e5a7ca70fe4ff75f0.us-east-1.aws.found.io/app/kibana#/discover/Steve-Slow-Train-Analysis-(2080s-and-2083s)?_g=(refreshInterval:(display:Off,pause:!f,section:0,value:0),time:(from:'2017-07-01T14:35:43-0600',mode:absolute,to:'2017-07-01T17:20:11-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104" s="197" t="str">
        <f>IF(AA104&lt;VLOOKUP(AG104,Variables!$AC$3:$AD$8,2,FALSE),"Y","N")</f>
        <v>N</v>
      </c>
      <c r="X104" s="197">
        <f t="shared" si="31"/>
        <v>1</v>
      </c>
      <c r="Y104" s="197">
        <f t="shared" si="32"/>
        <v>23.2988</v>
      </c>
      <c r="Z104" s="197">
        <f t="shared" si="33"/>
        <v>1.54E-2</v>
      </c>
      <c r="AA104" s="197">
        <f t="shared" si="34"/>
        <v>23.2834</v>
      </c>
      <c r="AB104" s="54" t="e">
        <f>VLOOKUP(A104,Enforcements!$C$7:$K$13,8,0)</f>
        <v>#N/A</v>
      </c>
      <c r="AC104" s="51" t="e">
        <f>VLOOKUP(A104,Enforcements!$C$7:$E$13,3,0)</f>
        <v>#N/A</v>
      </c>
      <c r="AD104" s="206">
        <f t="shared" si="35"/>
        <v>190</v>
      </c>
      <c r="AE104" s="77" t="str">
        <f t="shared" si="36"/>
        <v>aws s3 cp s3://rtdc.mdm.uploadarchive.raw/RTDC4027/ "%USERPROFILE%\AppData\Local\Temp\OnboardLogs"\RTDC4027\2017-07-01 --exclude "*" --recursive --include "*20170701*" &amp; "%USERPROFILE%\Documents\GitHub\mrs-test-scripts\Headless Mode &amp; Sideloading\WalkAndUnGZ.bat" "%USERPROFILE%\AppData\Local\Temp\OnboardLogs"\RTDC4027\2017-07-01 &amp; aws s3 cp s3://rtdc.mdm.uploadarchive.raw/RTDC4027/ "%USERPROFILE%\AppData\Local\Temp\OnboardLogs"\RTDC4027\2017-07-02 --exclude "*" --recursive --include "*20170702*" &amp; "%USERPROFILE%\Documents\GitHub\mrs-test-scripts\Headless Mode &amp; Sideloading\WalkAndUnGZ.bat" "%USERPROFILE%\AppData\Local\Temp\OnboardLogs"\RTDC4027\2017-07-02</v>
      </c>
      <c r="AF104" s="74" t="str">
        <f t="shared" si="37"/>
        <v>"C:\Program Files (x86)\AstroGrep\AstroGrep.exe" /e /r /s /spath="%USERPROFILE%\AppData\Local\Temp\OnboardLogs" /stypes="app*4027*20170701*" /stext=" 22:.+((SYSTEM_STATE.+slice.+state.+changed )|(ment ac)|(multiple cpu faults)|(system.+state.+changed )|(\[timeout)|(PRM\|1\|D)|(kpr)|(kdp)|(train st.+moving)|(\|lc)|(penalty))"</v>
      </c>
      <c r="AG104" s="209" t="str">
        <f t="shared" si="38"/>
        <v>EC</v>
      </c>
      <c r="AH104" s="78" t="str">
        <f t="shared" si="39"/>
        <v>"%USERPROFILE%\Documents\GitHub\eaglep3\Utilities\RefineRTDCRunTimes.py" --tripid 190-01 --locoid 4027 --swversion DE.1.0.9.0 --startMP 204:232988 --initTime 2017-07-01T15:35:43 --startdatetime 2017-07-01T15:42:17 --delay 1 --endMP 204:154 --enddatetime 2017-07-01T16:20:11 --enforcementcount 0 &gt;&gt;C:\Users\stu\Documents\GitHub\eaglep3-reporting\EC\2017-07-01-refined-times.txt</v>
      </c>
      <c r="AI104" s="96" t="str">
        <f t="shared" si="40"/>
        <v>echo {"issue":{"subject":"","project_id":79,"tracker_id":40,"status_id":1,"priority_id":2,"assigned_to_id":23,"start_date":"2017-07-01","description":"","custom_fields":[{"id":1,"name":"Subdivision","value":"EC"},{"id":4,"name":"Milepost","value":"0.0154"},{"id":17,"name":"Train ID","value":"190-01"},{"id":16,"name":"Locomotive ID","value":"4027"},{"id":130,"name":"Impact","value":""},{"id":150,"name":"Time of Event (Mountain Time)","value":"16:20:11"},{"id":151,"name":"Denver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4" s="47"/>
      <c r="AL104" s="47"/>
      <c r="AM104" s="142" t="str">
        <f t="shared" si="41"/>
        <v>start /low /b %USERPROFILE%\Documents\GitHub\eaglep3\Utilities\DownloadLogsFromS3.py --loco 4027 --day 2017-07-01</v>
      </c>
      <c r="AN104" s="151" t="str">
        <f t="shared" si="42"/>
        <v>echo {"issue":{"subject":"","project_id":30,"tracker_id":4,"status_id":1,"priority_id":1,"assigned_to_id":10,"start_date":"2017-07-01","description":"","custom_fields":[{"id":30,"name":"Category","value":"Issue"},{"id":3,"name":"Functional Component","value":"Onboard"},{"id":31,"name":"Version","value":"N/A"},{"id":8,"name":"Reporting RR","value":"WABTEC"},{"id":27,"name":"Locomotive ID","value":"4027"},{"id":20,"name":"RR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UTC","value":"2017-07-01 22:20:11"},{"id":29,"name":"Sharepoint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4"/>
      <c r="AP104"/>
      <c r="AQ104"/>
      <c r="AR104"/>
      <c r="AS104"/>
      <c r="AT104"/>
      <c r="AU104"/>
      <c r="AV104"/>
      <c r="AW104"/>
      <c r="AX104"/>
      <c r="AY104"/>
      <c r="AZ104"/>
      <c r="BA104"/>
      <c r="BB104"/>
      <c r="BC104"/>
      <c r="BD104"/>
      <c r="BE104"/>
      <c r="BF104"/>
      <c r="BG104"/>
      <c r="BH104"/>
      <c r="BI104"/>
      <c r="BJ104"/>
      <c r="BK104"/>
      <c r="BL104"/>
      <c r="BM104"/>
      <c r="BN104"/>
      <c r="BO104"/>
      <c r="BP104"/>
      <c r="BQ104"/>
      <c r="BR104"/>
      <c r="BS104"/>
      <c r="BT104"/>
      <c r="BU104"/>
      <c r="BV104"/>
      <c r="BW104"/>
      <c r="BX104"/>
      <c r="BY104"/>
      <c r="BZ104"/>
      <c r="CA104"/>
      <c r="CB104"/>
      <c r="CC104"/>
      <c r="CD104"/>
      <c r="CE104"/>
      <c r="CF104"/>
      <c r="CG104"/>
      <c r="CH104"/>
      <c r="CI104"/>
      <c r="CJ104"/>
      <c r="CK104"/>
      <c r="CL104"/>
      <c r="CM104"/>
    </row>
    <row r="105" spans="1:91" s="20" customFormat="1" x14ac:dyDescent="0.25">
      <c r="A105" s="32" t="s">
        <v>659</v>
      </c>
      <c r="B105" s="7">
        <v>4014</v>
      </c>
      <c r="C105" s="21" t="s">
        <v>202</v>
      </c>
      <c r="D105" s="21" t="s">
        <v>198</v>
      </c>
      <c r="E105" s="13">
        <v>42917.621516203704</v>
      </c>
      <c r="F105" s="13">
        <v>42917.625567129631</v>
      </c>
      <c r="G105" s="7">
        <v>2</v>
      </c>
      <c r="H105" s="21" t="s">
        <v>509</v>
      </c>
      <c r="I105" s="13">
        <v>42917.651886574073</v>
      </c>
      <c r="J105" s="7">
        <v>0</v>
      </c>
      <c r="K105" s="89" t="str">
        <f t="shared" si="27"/>
        <v>4013/4014</v>
      </c>
      <c r="L105" s="21" t="str">
        <f>VLOOKUP(A105,'Trips&amp;Operators'!$C$1:$G$99999,5,FALSE)</f>
        <v>BRANDNER MELINDA</v>
      </c>
      <c r="M105" s="6">
        <f t="shared" si="28"/>
        <v>2.6319444441469386E-2</v>
      </c>
      <c r="N105" s="7">
        <f t="shared" si="43"/>
        <v>37.899999995715916</v>
      </c>
      <c r="O105" s="7"/>
      <c r="P105" s="7"/>
      <c r="Q105" s="22"/>
      <c r="R105" s="170"/>
      <c r="S105" s="213">
        <f t="shared" si="44"/>
        <v>1</v>
      </c>
      <c r="T105" s="195" t="str">
        <f t="shared" si="29"/>
        <v>NorthBound</v>
      </c>
      <c r="U105" s="195">
        <f>IF(AG105="EC",COUNTIFS(Variables!$M$2:$M$19,IF(T105="NorthBound","&gt;=","&lt;=")&amp;Y105,Variables!$M$2:$M$19,IF(T105="NorthBound","&lt;=","&gt;=")&amp;Z105),COUNTIFS(Variables!$P$2:$P$19,IF(T105="NorthBound","&gt;=","&lt;=")&amp;Y105,Variables!$P$2:$P$19,IF(T105="NorthBound","&lt;=","&gt;=")&amp;Z105))</f>
        <v>12</v>
      </c>
      <c r="V105" s="196" t="str">
        <f t="shared" si="30"/>
        <v>https://d0f6bd738d7f1b3e5a7ca70fe4ff75f0.us-east-1.aws.found.io/app/kibana#/discover/Steve-Slow-Train-Analysis-(2080s-and-2083s)?_g=(refreshInterval:(display:Off,pause:!f,section:0,value:0),time:(from:'2017-07-01T13:54:59-0600',mode:absolute,to:'2017-07-01T16:38:43-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105" s="197" t="str">
        <f>IF(AA105&lt;VLOOKUP(AG105,Variables!$AC$3:$AD$8,2,FALSE),"Y","N")</f>
        <v>N</v>
      </c>
      <c r="X105" s="197">
        <f t="shared" si="31"/>
        <v>1</v>
      </c>
      <c r="Y105" s="197">
        <f t="shared" si="32"/>
        <v>4.5699999999999998E-2</v>
      </c>
      <c r="Z105" s="197">
        <f t="shared" si="33"/>
        <v>23.3291</v>
      </c>
      <c r="AA105" s="197">
        <f t="shared" si="34"/>
        <v>23.2834</v>
      </c>
      <c r="AB105" s="54" t="e">
        <f>VLOOKUP(A105,Enforcements!$C$7:$K$13,8,0)</f>
        <v>#N/A</v>
      </c>
      <c r="AC105" s="51" t="e">
        <f>VLOOKUP(A105,Enforcements!$C$7:$E$13,3,0)</f>
        <v>#N/A</v>
      </c>
      <c r="AD105" s="206">
        <f t="shared" si="35"/>
        <v>191</v>
      </c>
      <c r="AE105" s="77" t="str">
        <f t="shared" si="36"/>
        <v>aws s3 cp s3://rtdc.mdm.uploadarchive.raw/RTDC4014/ "%USERPROFILE%\AppData\Local\Temp\OnboardLogs"\RTDC4014\2017-07-01 --exclude "*" --recursive --include "*20170701*" &amp; "%USERPROFILE%\Documents\GitHub\mrs-test-scripts\Headless Mode &amp; Sideloading\WalkAndUnGZ.bat" "%USERPROFILE%\AppData\Local\Temp\OnboardLogs"\RTDC4014\2017-07-01 &amp; aws s3 cp s3://rtdc.mdm.uploadarchive.raw/RTDC4014/ "%USERPROFILE%\AppData\Local\Temp\OnboardLogs"\RTDC4014\2017-07-02 --exclude "*" --recursive --include "*20170702*" &amp; "%USERPROFILE%\Documents\GitHub\mrs-test-scripts\Headless Mode &amp; Sideloading\WalkAndUnGZ.bat" "%USERPROFILE%\AppData\Local\Temp\OnboardLogs"\RTDC4014\2017-07-02</v>
      </c>
      <c r="AF105" s="74" t="str">
        <f t="shared" si="37"/>
        <v>"C:\Program Files (x86)\AstroGrep\AstroGrep.exe" /e /r /s /spath="%USERPROFILE%\AppData\Local\Temp\OnboardLogs" /stypes="app*4014*20170701*" /stext=" 21:.+((SYSTEM_STATE.+slice.+state.+changed )|(ment ac)|(multiple cpu faults)|(system.+state.+changed )|(\[timeout)|(PRM\|1\|D)|(kpr)|(kdp)|(train st.+moving)|(\|lc)|(penalty))"</v>
      </c>
      <c r="AG105" s="209" t="str">
        <f t="shared" si="38"/>
        <v>EC</v>
      </c>
      <c r="AH105" s="78" t="str">
        <f t="shared" si="39"/>
        <v>"%USERPROFILE%\Documents\GitHub\eaglep3\Utilities\RefineRTDCRunTimes.py" --tripid 191-01 --locoid 4014 --swversion DE.1.0.9.0 --startMP 204:457 --initTime 2017-07-01T14:54:59 --startdatetime 2017-07-01T15:00:49 --delay 2 --endMP 204:233291 --enddatetime 2017-07-01T15:38:43 --enforcementcount 0 &gt;&gt;C:\Users\stu\Documents\GitHub\eaglep3-reporting\EC\2017-07-01-refined-times.txt</v>
      </c>
      <c r="AI105" s="96" t="str">
        <f t="shared" si="40"/>
        <v>echo {"issue":{"subject":"","project_id":79,"tracker_id":40,"status_id":1,"priority_id":2,"assigned_to_id":23,"start_date":"2017-07-01","description":"","custom_fields":[{"id":1,"name":"Subdivision","value":"EC"},{"id":4,"name":"Milepost","value":"23.3291"},{"id":17,"name":"Train ID","value":"191-01"},{"id":16,"name":"Locomotive ID","value":"4014"},{"id":130,"name":"Impact","value":""},{"id":150,"name":"Time of Event (Mountain Time)","value":"15:38:43"},{"id":151,"name":"Denver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5" s="47"/>
      <c r="AL105" s="47"/>
      <c r="AM105" s="142" t="str">
        <f t="shared" si="41"/>
        <v>start /low /b %USERPROFILE%\Documents\GitHub\eaglep3\Utilities\DownloadLogsFromS3.py --loco 4014 --day 2017-07-01</v>
      </c>
      <c r="AN105" s="151" t="str">
        <f t="shared" si="42"/>
        <v>echo {"issue":{"subject":"","project_id":30,"tracker_id":4,"status_id":1,"priority_id":1,"assigned_to_id":10,"start_date":"2017-07-01","description":"","custom_fields":[{"id":30,"name":"Category","value":"Issue"},{"id":3,"name":"Functional Component","value":"Onboard"},{"id":31,"name":"Version","value":"N/A"},{"id":8,"name":"Reporting RR","value":"WABTEC"},{"id":27,"name":"Locomotive ID","value":"4014"},{"id":20,"name":"RR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UTC","value":"2017-07-01 21:38:43"},{"id":29,"name":"Sharepoint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5"/>
      <c r="AP105"/>
      <c r="AQ105"/>
      <c r="AR105"/>
      <c r="AS105"/>
      <c r="AT105"/>
      <c r="AU105"/>
      <c r="AV105"/>
      <c r="AW105"/>
      <c r="AX105"/>
      <c r="AY105"/>
      <c r="AZ105"/>
      <c r="BA105"/>
      <c r="BB105"/>
      <c r="BC105"/>
      <c r="BD105"/>
      <c r="BE105"/>
      <c r="BF105"/>
      <c r="BG105"/>
      <c r="BH105"/>
      <c r="BI105"/>
      <c r="BJ105"/>
      <c r="BK105"/>
      <c r="BL105"/>
      <c r="BM105"/>
      <c r="BN105"/>
      <c r="BO105"/>
      <c r="BP105"/>
      <c r="BQ105"/>
      <c r="BR105"/>
      <c r="BS105"/>
      <c r="BT105"/>
      <c r="BU105"/>
      <c r="BV105"/>
      <c r="BW105"/>
      <c r="BX105"/>
      <c r="BY105"/>
      <c r="BZ105"/>
      <c r="CA105"/>
      <c r="CB105"/>
      <c r="CC105"/>
      <c r="CD105"/>
      <c r="CE105"/>
      <c r="CF105"/>
      <c r="CG105"/>
      <c r="CH105"/>
      <c r="CI105"/>
      <c r="CJ105"/>
      <c r="CK105"/>
      <c r="CL105"/>
      <c r="CM105"/>
    </row>
    <row r="106" spans="1:91" s="20" customFormat="1" x14ac:dyDescent="0.25">
      <c r="A106" s="32" t="s">
        <v>812</v>
      </c>
      <c r="B106" s="7">
        <v>4013</v>
      </c>
      <c r="C106" s="21" t="s">
        <v>202</v>
      </c>
      <c r="D106" s="21" t="s">
        <v>599</v>
      </c>
      <c r="E106" s="13">
        <v>42917.659525462965</v>
      </c>
      <c r="F106" s="13">
        <v>42917.665081018517</v>
      </c>
      <c r="G106" s="7">
        <v>1</v>
      </c>
      <c r="H106" s="21" t="s">
        <v>416</v>
      </c>
      <c r="I106" s="13">
        <v>42917.692615740743</v>
      </c>
      <c r="J106" s="7">
        <v>0</v>
      </c>
      <c r="K106" s="89" t="str">
        <f t="shared" si="27"/>
        <v>4013/4014</v>
      </c>
      <c r="L106" s="21" t="str">
        <f>VLOOKUP(A106,'Trips&amp;Operators'!$C$1:$G$99999,5,FALSE)</f>
        <v>BRANDNER MELINDA</v>
      </c>
      <c r="M106" s="6">
        <f t="shared" si="28"/>
        <v>2.7534722226846498E-2</v>
      </c>
      <c r="N106" s="7">
        <f t="shared" si="43"/>
        <v>39.650000006658956</v>
      </c>
      <c r="O106" s="7"/>
      <c r="P106" s="7"/>
      <c r="Q106" s="22"/>
      <c r="R106" s="170"/>
      <c r="S106" s="213">
        <f t="shared" si="44"/>
        <v>1</v>
      </c>
      <c r="T106" s="195" t="str">
        <f t="shared" si="29"/>
        <v>Southbound</v>
      </c>
      <c r="U106" s="195">
        <f>IF(AG106="EC",COUNTIFS(Variables!$M$2:$M$19,IF(T106="NorthBound","&gt;=","&lt;=")&amp;Y106,Variables!$M$2:$M$19,IF(T106="NorthBound","&lt;=","&gt;=")&amp;Z106),COUNTIFS(Variables!$P$2:$P$19,IF(T106="NorthBound","&gt;=","&lt;=")&amp;Y106,Variables!$P$2:$P$19,IF(T106="NorthBound","&lt;=","&gt;=")&amp;Z106))</f>
        <v>12</v>
      </c>
      <c r="V106" s="196" t="str">
        <f t="shared" si="30"/>
        <v>https://d0f6bd738d7f1b3e5a7ca70fe4ff75f0.us-east-1.aws.found.io/app/kibana#/discover/Steve-Slow-Train-Analysis-(2080s-and-2083s)?_g=(refreshInterval:(display:Off,pause:!f,section:0,value:0),time:(from:'2017-07-01T14:49:43-0600',mode:absolute,to:'2017-07-01T17:37:22-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106" s="197" t="str">
        <f>IF(AA106&lt;VLOOKUP(AG106,Variables!$AC$3:$AD$8,2,FALSE),"Y","N")</f>
        <v>N</v>
      </c>
      <c r="X106" s="197">
        <f t="shared" si="31"/>
        <v>1</v>
      </c>
      <c r="Y106" s="197">
        <f t="shared" si="32"/>
        <v>23.2972</v>
      </c>
      <c r="Z106" s="197">
        <f t="shared" si="33"/>
        <v>1.4500000000000001E-2</v>
      </c>
      <c r="AA106" s="197">
        <f t="shared" si="34"/>
        <v>23.282699999999998</v>
      </c>
      <c r="AB106" s="54" t="e">
        <f>VLOOKUP(A106,Enforcements!$C$7:$K$13,8,0)</f>
        <v>#N/A</v>
      </c>
      <c r="AC106" s="51" t="e">
        <f>VLOOKUP(A106,Enforcements!$C$7:$E$13,3,0)</f>
        <v>#N/A</v>
      </c>
      <c r="AD106" s="206">
        <f t="shared" si="35"/>
        <v>192</v>
      </c>
      <c r="AE106" s="77" t="str">
        <f t="shared" si="36"/>
        <v>aws s3 cp s3://rtdc.mdm.uploadarchive.raw/RTDC4013/ "%USERPROFILE%\AppData\Local\Temp\OnboardLogs"\RTDC4013\2017-07-01 --exclude "*" --recursive --include "*20170701*" &amp; "%USERPROFILE%\Documents\GitHub\mrs-test-scripts\Headless Mode &amp; Sideloading\WalkAndUnGZ.bat" "%USERPROFILE%\AppData\Local\Temp\OnboardLogs"\RTDC4013\2017-07-01 &amp; aws s3 cp s3://rtdc.mdm.uploadarchive.raw/RTDC4013/ "%USERPROFILE%\AppData\Local\Temp\OnboardLogs"\RTDC4013\2017-07-02 --exclude "*" --recursive --include "*20170702*" &amp; "%USERPROFILE%\Documents\GitHub\mrs-test-scripts\Headless Mode &amp; Sideloading\WalkAndUnGZ.bat" "%USERPROFILE%\AppData\Local\Temp\OnboardLogs"\RTDC4013\2017-07-02</v>
      </c>
      <c r="AF106" s="74" t="str">
        <f t="shared" si="37"/>
        <v>"C:\Program Files (x86)\AstroGrep\AstroGrep.exe" /e /r /s /spath="%USERPROFILE%\AppData\Local\Temp\OnboardLogs" /stypes="app*4013*20170701*" /stext=" 22:.+((SYSTEM_STATE.+slice.+state.+changed )|(ment ac)|(multiple cpu faults)|(system.+state.+changed )|(\[timeout)|(PRM\|1\|D)|(kpr)|(kdp)|(train st.+moving)|(\|lc)|(penalty))"</v>
      </c>
      <c r="AG106" s="209" t="str">
        <f t="shared" si="38"/>
        <v>EC</v>
      </c>
      <c r="AH106" s="78" t="str">
        <f t="shared" si="39"/>
        <v>"%USERPROFILE%\Documents\GitHub\eaglep3\Utilities\RefineRTDCRunTimes.py" --tripid 192-01 --locoid 4013 --swversion DE.1.0.9.0 --startMP 204:232972 --initTime 2017-07-01T15:49:43 --startdatetime 2017-07-01T15:57:43 --delay 1 --endMP 204:145 --enddatetime 2017-07-01T16:37:22 --enforcementcount 0 &gt;&gt;C:\Users\stu\Documents\GitHub\eaglep3-reporting\EC\2017-07-01-refined-times.txt</v>
      </c>
      <c r="AI106" s="96" t="str">
        <f t="shared" si="40"/>
        <v>echo {"issue":{"subject":"","project_id":79,"tracker_id":40,"status_id":1,"priority_id":2,"assigned_to_id":23,"start_date":"2017-07-01","description":"","custom_fields":[{"id":1,"name":"Subdivision","value":"EC"},{"id":4,"name":"Milepost","value":"0.0145"},{"id":17,"name":"Train ID","value":"192-01"},{"id":16,"name":"Locomotive ID","value":"4013"},{"id":130,"name":"Impact","value":""},{"id":150,"name":"Time of Event (Mountain Time)","value":"16:37:22"},{"id":151,"name":"Denver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6" s="47"/>
      <c r="AL106" s="47"/>
      <c r="AM106" s="142" t="str">
        <f t="shared" si="41"/>
        <v>start /low /b %USERPROFILE%\Documents\GitHub\eaglep3\Utilities\DownloadLogsFromS3.py --loco 4013 --day 2017-07-01</v>
      </c>
      <c r="AN106" s="151" t="str">
        <f t="shared" si="42"/>
        <v>echo {"issue":{"subject":"","project_id":30,"tracker_id":4,"status_id":1,"priority_id":1,"assigned_to_id":10,"start_date":"2017-07-01","description":"","custom_fields":[{"id":30,"name":"Category","value":"Issue"},{"id":3,"name":"Functional Component","value":"Onboard"},{"id":31,"name":"Version","value":"N/A"},{"id":8,"name":"Reporting RR","value":"WABTEC"},{"id":27,"name":"Locomotive ID","value":"4013"},{"id":20,"name":"RR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UTC","value":"2017-07-01 22:37:22"},{"id":29,"name":"Sharepoint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6"/>
      <c r="AP106"/>
      <c r="AQ106"/>
      <c r="AR106"/>
      <c r="AS106"/>
      <c r="AT106"/>
      <c r="AU106"/>
      <c r="AV106"/>
      <c r="AW106"/>
      <c r="AX106"/>
      <c r="AY106"/>
      <c r="AZ106"/>
      <c r="BA106"/>
      <c r="BB106"/>
      <c r="BC106"/>
      <c r="BD106"/>
      <c r="BE106"/>
      <c r="BF106"/>
      <c r="BG106"/>
      <c r="BH106"/>
      <c r="BI106"/>
      <c r="BJ106"/>
      <c r="BK106"/>
      <c r="BL106"/>
      <c r="BM106"/>
      <c r="BN106"/>
      <c r="BO106"/>
      <c r="BP106"/>
      <c r="BQ106"/>
      <c r="BR106"/>
      <c r="BS106"/>
      <c r="BT106"/>
      <c r="BU106"/>
      <c r="BV106"/>
      <c r="BW106"/>
      <c r="BX106"/>
      <c r="BY106"/>
      <c r="BZ106"/>
      <c r="CA106"/>
      <c r="CB106"/>
      <c r="CC106"/>
      <c r="CD106"/>
      <c r="CE106"/>
      <c r="CF106"/>
      <c r="CG106"/>
      <c r="CH106"/>
      <c r="CI106"/>
      <c r="CJ106"/>
      <c r="CK106"/>
      <c r="CL106"/>
      <c r="CM106"/>
    </row>
    <row r="107" spans="1:91" s="20" customFormat="1" x14ac:dyDescent="0.25">
      <c r="A107" s="32" t="s">
        <v>806</v>
      </c>
      <c r="B107" s="7">
        <v>4062</v>
      </c>
      <c r="C107" s="21" t="s">
        <v>202</v>
      </c>
      <c r="D107" s="21" t="s">
        <v>354</v>
      </c>
      <c r="E107" s="13">
        <v>42917.630659722221</v>
      </c>
      <c r="F107" s="13">
        <v>42917.635960648149</v>
      </c>
      <c r="G107" s="7">
        <v>1</v>
      </c>
      <c r="H107" s="21" t="s">
        <v>911</v>
      </c>
      <c r="I107" s="13">
        <v>42917.660821759258</v>
      </c>
      <c r="J107" s="7">
        <v>0</v>
      </c>
      <c r="K107" s="89" t="str">
        <f t="shared" si="27"/>
        <v>4061/4062</v>
      </c>
      <c r="L107" s="21" t="str">
        <f>VLOOKUP(A107,'Trips&amp;Operators'!$C$1:$G$99999,5,FALSE)</f>
        <v>BRUDER RICHARD</v>
      </c>
      <c r="M107" s="6">
        <f t="shared" si="28"/>
        <v>2.4861111109203193E-2</v>
      </c>
      <c r="N107" s="7">
        <f t="shared" si="43"/>
        <v>35.799999997252598</v>
      </c>
      <c r="O107" s="7"/>
      <c r="P107" s="7"/>
      <c r="Q107" s="22"/>
      <c r="R107" s="170"/>
      <c r="S107" s="213">
        <f t="shared" si="44"/>
        <v>1</v>
      </c>
      <c r="T107" s="195" t="str">
        <f t="shared" si="29"/>
        <v>NorthBound</v>
      </c>
      <c r="U107" s="195">
        <f>IF(AG107="EC",COUNTIFS(Variables!$M$2:$M$19,IF(T107="NorthBound","&gt;=","&lt;=")&amp;Y107,Variables!$M$2:$M$19,IF(T107="NorthBound","&lt;=","&gt;=")&amp;Z107),COUNTIFS(Variables!$P$2:$P$19,IF(T107="NorthBound","&gt;=","&lt;=")&amp;Y107,Variables!$P$2:$P$19,IF(T107="NorthBound","&lt;=","&gt;=")&amp;Z107))</f>
        <v>12</v>
      </c>
      <c r="V107" s="196" t="str">
        <f t="shared" si="30"/>
        <v>https://d0f6bd738d7f1b3e5a7ca70fe4ff75f0.us-east-1.aws.found.io/app/kibana#/discover/Steve-Slow-Train-Analysis-(2080s-and-2083s)?_g=(refreshInterval:(display:Off,pause:!f,section:0,value:0),time:(from:'2017-07-01T14:08:09-0600',mode:absolute,to:'2017-07-01T16:51:35-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4062%22')),sort:!(Time.ISO8601,asc))</v>
      </c>
      <c r="W107" s="197" t="str">
        <f>IF(AA107&lt;VLOOKUP(AG107,Variables!$AC$3:$AD$8,2,FALSE),"Y","N")</f>
        <v>N</v>
      </c>
      <c r="X107" s="197">
        <f t="shared" si="31"/>
        <v>1</v>
      </c>
      <c r="Y107" s="197">
        <f t="shared" si="32"/>
        <v>4.53E-2</v>
      </c>
      <c r="Z107" s="197">
        <f t="shared" si="33"/>
        <v>23.329899999999999</v>
      </c>
      <c r="AA107" s="197">
        <f t="shared" si="34"/>
        <v>23.284599999999998</v>
      </c>
      <c r="AB107" s="54" t="e">
        <f>VLOOKUP(A107,Enforcements!$C$7:$K$13,8,0)</f>
        <v>#N/A</v>
      </c>
      <c r="AC107" s="51" t="e">
        <f>VLOOKUP(A107,Enforcements!$C$7:$E$13,3,0)</f>
        <v>#N/A</v>
      </c>
      <c r="AD107" s="206">
        <f t="shared" si="35"/>
        <v>193</v>
      </c>
      <c r="AE107" s="77" t="str">
        <f t="shared" si="36"/>
        <v>aws s3 cp s3://rtdc.mdm.uploadarchive.raw/RTDC4062/ "%USERPROFILE%\AppData\Local\Temp\OnboardLogs"\RTDC4062\2017-07-01 --exclude "*" --recursive --include "*20170701*" &amp; "%USERPROFILE%\Documents\GitHub\mrs-test-scripts\Headless Mode &amp; Sideloading\WalkAndUnGZ.bat" "%USERPROFILE%\AppData\Local\Temp\OnboardLogs"\RTDC4062\2017-07-01 &amp; aws s3 cp s3://rtdc.mdm.uploadarchive.raw/RTDC4062/ "%USERPROFILE%\AppData\Local\Temp\OnboardLogs"\RTDC4062\2017-07-02 --exclude "*" --recursive --include "*20170702*" &amp; "%USERPROFILE%\Documents\GitHub\mrs-test-scripts\Headless Mode &amp; Sideloading\WalkAndUnGZ.bat" "%USERPROFILE%\AppData\Local\Temp\OnboardLogs"\RTDC4062\2017-07-02</v>
      </c>
      <c r="AF107" s="74" t="str">
        <f t="shared" si="37"/>
        <v>"C:\Program Files (x86)\AstroGrep\AstroGrep.exe" /e /r /s /spath="%USERPROFILE%\AppData\Local\Temp\OnboardLogs" /stypes="app*4062*20170701*" /stext=" 21:.+((SYSTEM_STATE.+slice.+state.+changed )|(ment ac)|(multiple cpu faults)|(system.+state.+changed )|(\[timeout)|(PRM\|1\|D)|(kpr)|(kdp)|(train st.+moving)|(\|lc)|(penalty))"</v>
      </c>
      <c r="AG107" s="209" t="str">
        <f t="shared" si="38"/>
        <v>EC</v>
      </c>
      <c r="AH107" s="78" t="str">
        <f t="shared" si="39"/>
        <v>"%USERPROFILE%\Documents\GitHub\eaglep3\Utilities\RefineRTDCRunTimes.py" --tripid 193-01 --locoid 4062 --swversion DE.1.0.9.0 --startMP 204:453 --initTime 2017-07-01T15:08:09 --startdatetime 2017-07-01T15:15:47 --delay 1 --endMP 204:233299 --enddatetime 2017-07-01T15:51:35 --enforcementcount 0 &gt;&gt;C:\Users\stu\Documents\GitHub\eaglep3-reporting\EC\2017-07-01-refined-times.txt</v>
      </c>
      <c r="AI107" s="96" t="str">
        <f t="shared" si="40"/>
        <v>echo {"issue":{"subject":"","project_id":79,"tracker_id":40,"status_id":1,"priority_id":2,"assigned_to_id":23,"start_date":"2017-07-01","description":"","custom_fields":[{"id":1,"name":"Subdivision","value":"EC"},{"id":4,"name":"Milepost","value":"23.3299"},{"id":17,"name":"Train ID","value":"193-01"},{"id":16,"name":"Locomotive ID","value":"4062"},{"id":130,"name":"Impact","value":""},{"id":150,"name":"Time of Event (Mountain Time)","value":"15:51:35"},{"id":151,"name":"Denver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7" s="47"/>
      <c r="AL107" s="47"/>
      <c r="AM107" s="142" t="str">
        <f t="shared" si="41"/>
        <v>start /low /b %USERPROFILE%\Documents\GitHub\eaglep3\Utilities\DownloadLogsFromS3.py --loco 4062 --day 2017-07-01</v>
      </c>
      <c r="AN107" s="151" t="str">
        <f t="shared" si="42"/>
        <v>echo {"issue":{"subject":"","project_id":30,"tracker_id":4,"status_id":1,"priority_id":1,"assigned_to_id":10,"start_date":"2017-07-01","description":"","custom_fields":[{"id":30,"name":"Category","value":"Issue"},{"id":3,"name":"Functional Component","value":"Onboard"},{"id":31,"name":"Version","value":"N/A"},{"id":8,"name":"Reporting RR","value":"WABTEC"},{"id":27,"name":"Locomotive ID","value":"4062"},{"id":20,"name":"RR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UTC","value":"2017-07-01 21:51:35"},{"id":29,"name":"Sharepoint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7"/>
      <c r="AP107"/>
      <c r="AQ107"/>
      <c r="AR107"/>
      <c r="AS107"/>
      <c r="AT107"/>
      <c r="AU107"/>
      <c r="AV107"/>
      <c r="AW107"/>
      <c r="AX107"/>
      <c r="AY107"/>
      <c r="AZ107"/>
      <c r="BA107"/>
      <c r="BB107"/>
      <c r="BC107"/>
      <c r="BD107"/>
      <c r="BE107"/>
      <c r="BF107"/>
      <c r="BG107"/>
      <c r="BH107"/>
      <c r="BI107"/>
      <c r="BJ107"/>
      <c r="BK107"/>
      <c r="BL107"/>
      <c r="BM107"/>
      <c r="BN107"/>
      <c r="BO107"/>
      <c r="BP107"/>
      <c r="BQ107"/>
      <c r="BR107"/>
      <c r="BS107"/>
      <c r="BT107"/>
      <c r="BU107"/>
      <c r="BV107"/>
      <c r="BW107"/>
      <c r="BX107"/>
      <c r="BY107"/>
      <c r="BZ107"/>
      <c r="CA107"/>
      <c r="CB107"/>
      <c r="CC107"/>
      <c r="CD107"/>
      <c r="CE107"/>
      <c r="CF107"/>
      <c r="CG107"/>
      <c r="CH107"/>
      <c r="CI107"/>
      <c r="CJ107"/>
      <c r="CK107"/>
      <c r="CL107"/>
      <c r="CM107"/>
    </row>
    <row r="108" spans="1:91" s="20" customFormat="1" x14ac:dyDescent="0.25">
      <c r="A108" s="32" t="s">
        <v>815</v>
      </c>
      <c r="B108" s="7">
        <v>4061</v>
      </c>
      <c r="C108" s="21" t="s">
        <v>202</v>
      </c>
      <c r="D108" s="21" t="s">
        <v>469</v>
      </c>
      <c r="E108" s="13">
        <v>42917.670370370368</v>
      </c>
      <c r="F108" s="13">
        <v>42917.67523148148</v>
      </c>
      <c r="G108" s="7">
        <v>1</v>
      </c>
      <c r="H108" s="21" t="s">
        <v>348</v>
      </c>
      <c r="I108" s="13">
        <v>42917.702164351853</v>
      </c>
      <c r="J108" s="7">
        <v>0</v>
      </c>
      <c r="K108" s="89" t="str">
        <f t="shared" si="27"/>
        <v>4061/4062</v>
      </c>
      <c r="L108" s="21" t="str">
        <f>VLOOKUP(A108,'Trips&amp;Operators'!$C$1:$G$99999,5,FALSE)</f>
        <v>BRUDER RICHARD</v>
      </c>
      <c r="M108" s="6">
        <f t="shared" si="28"/>
        <v>2.6932870372547768E-2</v>
      </c>
      <c r="N108" s="7">
        <f t="shared" si="43"/>
        <v>38.783333336468786</v>
      </c>
      <c r="O108" s="7"/>
      <c r="P108" s="7"/>
      <c r="Q108" s="22"/>
      <c r="R108" s="170"/>
      <c r="S108" s="213">
        <f t="shared" si="44"/>
        <v>1</v>
      </c>
      <c r="T108" s="195" t="str">
        <f t="shared" si="29"/>
        <v>Southbound</v>
      </c>
      <c r="U108" s="195">
        <f>IF(AG108="EC",COUNTIFS(Variables!$M$2:$M$19,IF(T108="NorthBound","&gt;=","&lt;=")&amp;Y108,Variables!$M$2:$M$19,IF(T108="NorthBound","&lt;=","&gt;=")&amp;Z108),COUNTIFS(Variables!$P$2:$P$19,IF(T108="NorthBound","&gt;=","&lt;=")&amp;Y108,Variables!$P$2:$P$19,IF(T108="NorthBound","&lt;=","&gt;=")&amp;Z108))</f>
        <v>12</v>
      </c>
      <c r="V108" s="196" t="str">
        <f t="shared" si="30"/>
        <v>https://d0f6bd738d7f1b3e5a7ca70fe4ff75f0.us-east-1.aws.found.io/app/kibana#/discover/Steve-Slow-Train-Analysis-(2080s-and-2083s)?_g=(refreshInterval:(display:Off,pause:!f,section:0,value:0),time:(from:'2017-07-01T15:05:20-0600',mode:absolute,to:'2017-07-01T17:51:07-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4061%22')),sort:!(Time.ISO8601,asc))</v>
      </c>
      <c r="W108" s="197" t="str">
        <f>IF(AA108&lt;VLOOKUP(AG108,Variables!$AC$3:$AD$8,2,FALSE),"Y","N")</f>
        <v>N</v>
      </c>
      <c r="X108" s="197">
        <f t="shared" si="31"/>
        <v>1</v>
      </c>
      <c r="Y108" s="197">
        <f t="shared" si="32"/>
        <v>23.297799999999999</v>
      </c>
      <c r="Z108" s="197">
        <f t="shared" si="33"/>
        <v>1.4999999999999999E-2</v>
      </c>
      <c r="AA108" s="197">
        <f t="shared" si="34"/>
        <v>23.282799999999998</v>
      </c>
      <c r="AB108" s="54" t="e">
        <f>VLOOKUP(A108,Enforcements!$C$7:$K$13,8,0)</f>
        <v>#N/A</v>
      </c>
      <c r="AC108" s="51" t="e">
        <f>VLOOKUP(A108,Enforcements!$C$7:$E$13,3,0)</f>
        <v>#N/A</v>
      </c>
      <c r="AD108" s="206">
        <f t="shared" si="35"/>
        <v>194</v>
      </c>
      <c r="AE108" s="77" t="str">
        <f t="shared" si="36"/>
        <v>aws s3 cp s3://rtdc.mdm.uploadarchive.raw/RTDC4061/ "%USERPROFILE%\AppData\Local\Temp\OnboardLogs"\RTDC4061\2017-07-01 --exclude "*" --recursive --include "*20170701*" &amp; "%USERPROFILE%\Documents\GitHub\mrs-test-scripts\Headless Mode &amp; Sideloading\WalkAndUnGZ.bat" "%USERPROFILE%\AppData\Local\Temp\OnboardLogs"\RTDC4061\2017-07-01 &amp; aws s3 cp s3://rtdc.mdm.uploadarchive.raw/RTDC4061/ "%USERPROFILE%\AppData\Local\Temp\OnboardLogs"\RTDC4061\2017-07-02 --exclude "*" --recursive --include "*20170702*" &amp; "%USERPROFILE%\Documents\GitHub\mrs-test-scripts\Headless Mode &amp; Sideloading\WalkAndUnGZ.bat" "%USERPROFILE%\AppData\Local\Temp\OnboardLogs"\RTDC4061\2017-07-02</v>
      </c>
      <c r="AF108" s="74" t="str">
        <f t="shared" si="37"/>
        <v>"C:\Program Files (x86)\AstroGrep\AstroGrep.exe" /e /r /s /spath="%USERPROFILE%\AppData\Local\Temp\OnboardLogs" /stypes="app*4061*20170701*" /stext=" 22:.+((SYSTEM_STATE.+slice.+state.+changed )|(ment ac)|(multiple cpu faults)|(system.+state.+changed )|(\[timeout)|(PRM\|1\|D)|(kpr)|(kdp)|(train st.+moving)|(\|lc)|(penalty))"</v>
      </c>
      <c r="AG108" s="209" t="str">
        <f t="shared" si="38"/>
        <v>EC</v>
      </c>
      <c r="AH108" s="78" t="str">
        <f t="shared" si="39"/>
        <v>"%USERPROFILE%\Documents\GitHub\eaglep3\Utilities\RefineRTDCRunTimes.py" --tripid 194-01 --locoid 4061 --swversion DE.1.0.9.0 --startMP 204:232978 --initTime 2017-07-01T16:05:20 --startdatetime 2017-07-01T16:12:20 --delay 1 --endMP 204:150 --enddatetime 2017-07-01T16:51:07 --enforcementcount 0 &gt;&gt;C:\Users\stu\Documents\GitHub\eaglep3-reporting\EC\2017-07-01-refined-times.txt</v>
      </c>
      <c r="AI108" s="96" t="str">
        <f t="shared" si="40"/>
        <v>echo {"issue":{"subject":"","project_id":79,"tracker_id":40,"status_id":1,"priority_id":2,"assigned_to_id":23,"start_date":"2017-07-01","description":"","custom_fields":[{"id":1,"name":"Subdivision","value":"EC"},{"id":4,"name":"Milepost","value":"0.015"},{"id":17,"name":"Train ID","value":"194-01"},{"id":16,"name":"Locomotive ID","value":"4061"},{"id":130,"name":"Impact","value":""},{"id":150,"name":"Time of Event (Mountain Time)","value":"16:51:07"},{"id":151,"name":"Denver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8" s="47"/>
      <c r="AL108" s="47"/>
      <c r="AM108" s="142" t="str">
        <f t="shared" si="41"/>
        <v>start /low /b %USERPROFILE%\Documents\GitHub\eaglep3\Utilities\DownloadLogsFromS3.py --loco 4061 --day 2017-07-01</v>
      </c>
      <c r="AN108" s="151" t="str">
        <f t="shared" si="42"/>
        <v>echo {"issue":{"subject":"","project_id":30,"tracker_id":4,"status_id":1,"priority_id":1,"assigned_to_id":10,"start_date":"2017-07-01","description":"","custom_fields":[{"id":30,"name":"Category","value":"Issue"},{"id":3,"name":"Functional Component","value":"Onboard"},{"id":31,"name":"Version","value":"N/A"},{"id":8,"name":"Reporting RR","value":"WABTEC"},{"id":27,"name":"Locomotive ID","value":"4061"},{"id":20,"name":"RR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UTC","value":"2017-07-01 22:51:07"},{"id":29,"name":"Sharepoint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</row>
    <row r="109" spans="1:91" s="20" customFormat="1" x14ac:dyDescent="0.25">
      <c r="A109" s="32" t="s">
        <v>809</v>
      </c>
      <c r="B109" s="7">
        <v>4008</v>
      </c>
      <c r="C109" s="21" t="s">
        <v>202</v>
      </c>
      <c r="D109" s="21" t="s">
        <v>972</v>
      </c>
      <c r="E109" s="13">
        <v>42917.64303240741</v>
      </c>
      <c r="F109" s="13">
        <v>42917.685590277775</v>
      </c>
      <c r="G109" s="7">
        <v>1</v>
      </c>
      <c r="H109" s="21" t="s">
        <v>473</v>
      </c>
      <c r="I109" s="13">
        <v>42917.711134259262</v>
      </c>
      <c r="J109" s="7">
        <v>0</v>
      </c>
      <c r="K109" s="89" t="str">
        <f t="shared" si="27"/>
        <v>4007/4008</v>
      </c>
      <c r="L109" s="21" t="str">
        <f>VLOOKUP(A109,'Trips&amp;Operators'!$C$1:$G$99999,5,FALSE)</f>
        <v>NEWELL JAMES</v>
      </c>
      <c r="M109" s="6">
        <f t="shared" si="28"/>
        <v>2.5543981486407574E-2</v>
      </c>
      <c r="N109" s="7">
        <f t="shared" si="43"/>
        <v>36.783333340426907</v>
      </c>
      <c r="O109" s="7"/>
      <c r="P109" s="7"/>
      <c r="Q109" s="22"/>
      <c r="R109" s="170"/>
      <c r="S109" s="213">
        <f t="shared" si="44"/>
        <v>1</v>
      </c>
      <c r="T109" s="195" t="str">
        <f t="shared" si="29"/>
        <v>NorthBound</v>
      </c>
      <c r="U109" s="195">
        <f>IF(AG109="EC",COUNTIFS(Variables!$M$2:$M$19,IF(T109="NorthBound","&gt;=","&lt;=")&amp;Y109,Variables!$M$2:$M$19,IF(T109="NorthBound","&lt;=","&gt;=")&amp;Z109),COUNTIFS(Variables!$P$2:$P$19,IF(T109="NorthBound","&gt;=","&lt;=")&amp;Y109,Variables!$P$2:$P$19,IF(T109="NorthBound","&lt;=","&gt;=")&amp;Z109))</f>
        <v>12</v>
      </c>
      <c r="V109" s="196" t="str">
        <f t="shared" si="30"/>
        <v>https://d0f6bd738d7f1b3e5a7ca70fe4ff75f0.us-east-1.aws.found.io/app/kibana#/discover/Steve-Slow-Train-Analysis-(2080s-and-2083s)?_g=(refreshInterval:(display:Off,pause:!f,section:0,value:0),time:(from:'2017-07-01T14:25:58-0600',mode:absolute,to:'2017-07-01T18:04:02-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109" s="197" t="str">
        <f>IF(AA109&lt;VLOOKUP(AG109,Variables!$AC$3:$AD$8,2,FALSE),"Y","N")</f>
        <v>N</v>
      </c>
      <c r="X109" s="197">
        <f t="shared" ref="X109:X140" si="45">VALUE(LEFT(AD109,4))-VALUE(LEFT(AD108,4))</f>
        <v>1</v>
      </c>
      <c r="Y109" s="197">
        <f t="shared" si="32"/>
        <v>4.2700000000000002E-2</v>
      </c>
      <c r="Z109" s="197">
        <f t="shared" si="33"/>
        <v>23.3308</v>
      </c>
      <c r="AA109" s="197">
        <f t="shared" si="34"/>
        <v>23.2881</v>
      </c>
      <c r="AB109" s="54" t="e">
        <f>VLOOKUP(A109,Enforcements!$C$7:$K$13,8,0)</f>
        <v>#N/A</v>
      </c>
      <c r="AC109" s="51" t="e">
        <f>VLOOKUP(A109,Enforcements!$C$7:$E$13,3,0)</f>
        <v>#N/A</v>
      </c>
      <c r="AD109" s="206">
        <f t="shared" si="35"/>
        <v>195</v>
      </c>
      <c r="AE109" s="77" t="str">
        <f t="shared" si="36"/>
        <v>aws s3 cp s3://rtdc.mdm.uploadarchive.raw/RTDC4008/ "%USERPROFILE%\AppData\Local\Temp\OnboardLogs"\RTDC4008\2017-07-01 --exclude "*" --recursive --include "*20170701*" &amp; "%USERPROFILE%\Documents\GitHub\mrs-test-scripts\Headless Mode &amp; Sideloading\WalkAndUnGZ.bat" "%USERPROFILE%\AppData\Local\Temp\OnboardLogs"\RTDC4008\2017-07-01 &amp; aws s3 cp s3://rtdc.mdm.uploadarchive.raw/RTDC4008/ "%USERPROFILE%\AppData\Local\Temp\OnboardLogs"\RTDC4008\2017-07-02 --exclude "*" --recursive --include "*20170702*" &amp; "%USERPROFILE%\Documents\GitHub\mrs-test-scripts\Headless Mode &amp; Sideloading\WalkAndUnGZ.bat" "%USERPROFILE%\AppData\Local\Temp\OnboardLogs"\RTDC4008\2017-07-02</v>
      </c>
      <c r="AF109" s="74" t="str">
        <f t="shared" si="37"/>
        <v>"C:\Program Files (x86)\AstroGrep\AstroGrep.exe" /e /r /s /spath="%USERPROFILE%\AppData\Local\Temp\OnboardLogs" /stypes="app*4008*20170701*" /stext=" 23:.+((SYSTEM_STATE.+slice.+state.+changed )|(ment ac)|(multiple cpu faults)|(system.+state.+changed )|(\[timeout)|(PRM\|1\|D)|(kpr)|(kdp)|(train st.+moving)|(\|lc)|(penalty))"</v>
      </c>
      <c r="AG109" s="209" t="str">
        <f t="shared" si="38"/>
        <v>EC</v>
      </c>
      <c r="AH109" s="78" t="str">
        <f t="shared" si="39"/>
        <v>"%USERPROFILE%\Documents\GitHub\eaglep3\Utilities\RefineRTDCRunTimes.py" --tripid 195-01 --locoid 4008 --swversion DE.1.0.9.0 --startMP 204:427 --initTime 2017-07-01T15:25:58 --startdatetime 2017-07-01T16:27:15 --delay 1 --endMP 204:233308 --enddatetime 2017-07-01T17:04:02 --enforcementcount 0 &gt;&gt;C:\Users\stu\Documents\GitHub\eaglep3-reporting\EC\2017-07-01-refined-times.txt</v>
      </c>
      <c r="AI109" s="96" t="str">
        <f t="shared" si="40"/>
        <v>echo {"issue":{"subject":"","project_id":79,"tracker_id":40,"status_id":1,"priority_id":2,"assigned_to_id":23,"start_date":"2017-07-01","description":"","custom_fields":[{"id":1,"name":"Subdivision","value":"EC"},{"id":4,"name":"Milepost","value":"23.3308"},{"id":17,"name":"Train ID","value":"195-01"},{"id":16,"name":"Locomotive ID","value":"4008"},{"id":130,"name":"Impact","value":""},{"id":150,"name":"Time of Event (Mountain Time)","value":"17:04:02"},{"id":151,"name":"Denver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9" s="47"/>
      <c r="AL109" s="47"/>
      <c r="AM109" s="142" t="str">
        <f t="shared" si="41"/>
        <v>start /low /b %USERPROFILE%\Documents\GitHub\eaglep3\Utilities\DownloadLogsFromS3.py --loco 4008 --day 2017-07-01</v>
      </c>
      <c r="AN109" s="151" t="str">
        <f t="shared" si="42"/>
        <v>echo {"issue":{"subject":"","project_id":30,"tracker_id":4,"status_id":1,"priority_id":1,"assigned_to_id":10,"start_date":"2017-07-01","description":"","custom_fields":[{"id":30,"name":"Category","value":"Issue"},{"id":3,"name":"Functional Component","value":"Onboard"},{"id":31,"name":"Version","value":"N/A"},{"id":8,"name":"Reporting RR","value":"WABTEC"},{"id":27,"name":"Locomotive ID","value":"4008"},{"id":20,"name":"RR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UTC","value":"2017-07-01 23:04:02"},{"id":29,"name":"Sharepoint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</row>
    <row r="110" spans="1:91" s="20" customFormat="1" x14ac:dyDescent="0.25">
      <c r="A110" s="32" t="s">
        <v>816</v>
      </c>
      <c r="B110" s="7">
        <v>4007</v>
      </c>
      <c r="C110" s="21" t="s">
        <v>202</v>
      </c>
      <c r="D110" s="21" t="s">
        <v>903</v>
      </c>
      <c r="E110" s="13">
        <v>42917.673726851855</v>
      </c>
      <c r="F110" s="13">
        <v>42917.685590277775</v>
      </c>
      <c r="G110" s="7">
        <v>1</v>
      </c>
      <c r="H110" s="21" t="s">
        <v>358</v>
      </c>
      <c r="I110" s="13">
        <v>42917.711134259262</v>
      </c>
      <c r="J110" s="7">
        <v>0</v>
      </c>
      <c r="K110" s="89" t="str">
        <f t="shared" si="27"/>
        <v>4007/4008</v>
      </c>
      <c r="L110" s="21" t="str">
        <f>VLOOKUP(A110,'Trips&amp;Operators'!$C$1:$G$99999,5,FALSE)</f>
        <v>NEWELL JAMES</v>
      </c>
      <c r="M110" s="6">
        <f t="shared" si="28"/>
        <v>2.5543981486407574E-2</v>
      </c>
      <c r="N110" s="7">
        <f t="shared" si="43"/>
        <v>36.783333340426907</v>
      </c>
      <c r="O110" s="7"/>
      <c r="P110" s="7"/>
      <c r="Q110" s="22"/>
      <c r="R110" s="170"/>
      <c r="S110" s="213">
        <f t="shared" si="44"/>
        <v>1</v>
      </c>
      <c r="T110" s="195" t="str">
        <f t="shared" si="29"/>
        <v>Southbound</v>
      </c>
      <c r="U110" s="195">
        <f>IF(AG110="EC",COUNTIFS(Variables!$M$2:$M$19,IF(T110="NorthBound","&gt;=","&lt;=")&amp;Y110,Variables!$M$2:$M$19,IF(T110="NorthBound","&lt;=","&gt;=")&amp;Z110),COUNTIFS(Variables!$P$2:$P$19,IF(T110="NorthBound","&gt;=","&lt;=")&amp;Y110,Variables!$P$2:$P$19,IF(T110="NorthBound","&lt;=","&gt;=")&amp;Z110))</f>
        <v>12</v>
      </c>
      <c r="V110" s="196" t="str">
        <f t="shared" si="30"/>
        <v>https://d0f6bd738d7f1b3e5a7ca70fe4ff75f0.us-east-1.aws.found.io/app/kibana#/discover/Steve-Slow-Train-Analysis-(2080s-and-2083s)?_g=(refreshInterval:(display:Off,pause:!f,section:0,value:0),time:(from:'2017-07-01T15:10:10-0600',mode:absolute,to:'2017-07-01T18:04:02-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110" s="197" t="str">
        <f>IF(AA110&lt;VLOOKUP(AG110,Variables!$AC$3:$AD$8,2,FALSE),"Y","N")</f>
        <v>N</v>
      </c>
      <c r="X110" s="197">
        <f t="shared" si="45"/>
        <v>1</v>
      </c>
      <c r="Y110" s="197">
        <f t="shared" si="32"/>
        <v>23.299099999999999</v>
      </c>
      <c r="Z110" s="197">
        <f t="shared" si="33"/>
        <v>1.41E-2</v>
      </c>
      <c r="AA110" s="197">
        <f t="shared" si="34"/>
        <v>23.285</v>
      </c>
      <c r="AB110" s="54" t="e">
        <f>VLOOKUP(A110,Enforcements!$C$7:$K$13,8,0)</f>
        <v>#N/A</v>
      </c>
      <c r="AC110" s="51" t="e">
        <f>VLOOKUP(A110,Enforcements!$C$7:$E$13,3,0)</f>
        <v>#N/A</v>
      </c>
      <c r="AD110" s="206">
        <f t="shared" si="35"/>
        <v>196</v>
      </c>
      <c r="AE110" s="77" t="str">
        <f t="shared" si="36"/>
        <v>aws s3 cp s3://rtdc.mdm.uploadarchive.raw/RTDC4007/ "%USERPROFILE%\AppData\Local\Temp\OnboardLogs"\RTDC4007\2017-07-01 --exclude "*" --recursive --include "*20170701*" &amp; "%USERPROFILE%\Documents\GitHub\mrs-test-scripts\Headless Mode &amp; Sideloading\WalkAndUnGZ.bat" "%USERPROFILE%\AppData\Local\Temp\OnboardLogs"\RTDC4007\2017-07-01 &amp; aws s3 cp s3://rtdc.mdm.uploadarchive.raw/RTDC4007/ "%USERPROFILE%\AppData\Local\Temp\OnboardLogs"\RTDC4007\2017-07-02 --exclude "*" --recursive --include "*20170702*" &amp; "%USERPROFILE%\Documents\GitHub\mrs-test-scripts\Headless Mode &amp; Sideloading\WalkAndUnGZ.bat" "%USERPROFILE%\AppData\Local\Temp\OnboardLogs"\RTDC4007\2017-07-02</v>
      </c>
      <c r="AF110" s="74" t="str">
        <f t="shared" si="37"/>
        <v>"C:\Program Files (x86)\AstroGrep\AstroGrep.exe" /e /r /s /spath="%USERPROFILE%\AppData\Local\Temp\OnboardLogs" /stypes="app*4007*20170701*" /stext=" 23:.+((SYSTEM_STATE.+slice.+state.+changed )|(ment ac)|(multiple cpu faults)|(system.+state.+changed )|(\[timeout)|(PRM\|1\|D)|(kpr)|(kdp)|(train st.+moving)|(\|lc)|(penalty))"</v>
      </c>
      <c r="AG110" s="209" t="str">
        <f t="shared" si="38"/>
        <v>EC</v>
      </c>
      <c r="AH110" s="78" t="str">
        <f t="shared" si="39"/>
        <v>"%USERPROFILE%\Documents\GitHub\eaglep3\Utilities\RefineRTDCRunTimes.py" --tripid 196-01 --locoid 4007 --swversion DE.1.0.9.0 --startMP 204:232991 --initTime 2017-07-01T16:10:10 --startdatetime 2017-07-01T16:27:15 --delay 1 --endMP 204:141 --enddatetime 2017-07-01T17:04:02 --enforcementcount 0 &gt;&gt;C:\Users\stu\Documents\GitHub\eaglep3-reporting\EC\2017-07-01-refined-times.txt</v>
      </c>
      <c r="AI110" s="96" t="str">
        <f t="shared" si="40"/>
        <v>echo {"issue":{"subject":"","project_id":79,"tracker_id":40,"status_id":1,"priority_id":2,"assigned_to_id":23,"start_date":"2017-07-01","description":"","custom_fields":[{"id":1,"name":"Subdivision","value":"EC"},{"id":4,"name":"Milepost","value":"0.0141"},{"id":17,"name":"Train ID","value":"196-01"},{"id":16,"name":"Locomotive ID","value":"4007"},{"id":130,"name":"Impact","value":""},{"id":150,"name":"Time of Event (Mountain Time)","value":"17:04:02"},{"id":151,"name":"Denver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0" s="47"/>
      <c r="AL110" s="47"/>
      <c r="AM110" s="142" t="str">
        <f t="shared" si="41"/>
        <v>start /low /b %USERPROFILE%\Documents\GitHub\eaglep3\Utilities\DownloadLogsFromS3.py --loco 4007 --day 2017-07-01</v>
      </c>
      <c r="AN110" s="151" t="str">
        <f t="shared" si="42"/>
        <v>echo {"issue":{"subject":"","project_id":30,"tracker_id":4,"status_id":1,"priority_id":1,"assigned_to_id":10,"start_date":"2017-07-01","description":"","custom_fields":[{"id":30,"name":"Category","value":"Issue"},{"id":3,"name":"Functional Component","value":"Onboard"},{"id":31,"name":"Version","value":"N/A"},{"id":8,"name":"Reporting RR","value":"WABTEC"},{"id":27,"name":"Locomotive ID","value":"4007"},{"id":20,"name":"RR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UTC","value":"2017-07-01 23:04:02"},{"id":29,"name":"Sharepoint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</row>
    <row r="111" spans="1:91" s="20" customFormat="1" x14ac:dyDescent="0.25">
      <c r="A111" s="32" t="s">
        <v>811</v>
      </c>
      <c r="B111" s="7">
        <v>4056</v>
      </c>
      <c r="C111" s="21" t="s">
        <v>202</v>
      </c>
      <c r="D111" s="21" t="s">
        <v>973</v>
      </c>
      <c r="E111" s="13">
        <v>42917.651192129626</v>
      </c>
      <c r="F111" s="13">
        <v>42917.656736111108</v>
      </c>
      <c r="G111" s="7">
        <v>1</v>
      </c>
      <c r="H111" s="21" t="s">
        <v>618</v>
      </c>
      <c r="I111" s="13">
        <v>42917.68136574074</v>
      </c>
      <c r="J111" s="7">
        <v>0</v>
      </c>
      <c r="K111" s="89" t="str">
        <f t="shared" si="27"/>
        <v>4055/4056</v>
      </c>
      <c r="L111" s="21" t="str">
        <f>VLOOKUP(A111,'Trips&amp;Operators'!$C$1:$G$99999,5,FALSE)</f>
        <v>DELGADO DIANAH</v>
      </c>
      <c r="M111" s="6">
        <f t="shared" si="28"/>
        <v>2.4629629631817807E-2</v>
      </c>
      <c r="N111" s="7">
        <f t="shared" si="43"/>
        <v>35.466666669817641</v>
      </c>
      <c r="O111" s="7"/>
      <c r="P111" s="7"/>
      <c r="Q111" s="22"/>
      <c r="R111" s="170"/>
      <c r="S111" s="213">
        <f t="shared" si="44"/>
        <v>1</v>
      </c>
      <c r="T111" s="195" t="str">
        <f t="shared" si="29"/>
        <v>NorthBound</v>
      </c>
      <c r="U111" s="195">
        <f>IF(AG111="EC",COUNTIFS(Variables!$M$2:$M$19,IF(T111="NorthBound","&gt;=","&lt;=")&amp;Y111,Variables!$M$2:$M$19,IF(T111="NorthBound","&lt;=","&gt;=")&amp;Z111),COUNTIFS(Variables!$P$2:$P$19,IF(T111="NorthBound","&gt;=","&lt;=")&amp;Y111,Variables!$P$2:$P$19,IF(T111="NorthBound","&lt;=","&gt;=")&amp;Z111))</f>
        <v>12</v>
      </c>
      <c r="V111" s="196" t="str">
        <f t="shared" si="30"/>
        <v>https://d0f6bd738d7f1b3e5a7ca70fe4ff75f0.us-east-1.aws.found.io/app/kibana#/discover/Steve-Slow-Train-Analysis-(2080s-and-2083s)?_g=(refreshInterval:(display:Off,pause:!f,section:0,value:0),time:(from:'2017-07-01T14:37:43-0600',mode:absolute,to:'2017-07-01T17:21:10-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4056%22')),sort:!(Time.ISO8601,asc))</v>
      </c>
      <c r="W111" s="197" t="str">
        <f>IF(AA111&lt;VLOOKUP(AG111,Variables!$AC$3:$AD$8,2,FALSE),"Y","N")</f>
        <v>N</v>
      </c>
      <c r="X111" s="197">
        <f t="shared" si="45"/>
        <v>1</v>
      </c>
      <c r="Y111" s="197">
        <f t="shared" si="32"/>
        <v>4.9500000000000002E-2</v>
      </c>
      <c r="Z111" s="197">
        <f t="shared" si="33"/>
        <v>23.339099999999998</v>
      </c>
      <c r="AA111" s="197">
        <f t="shared" si="34"/>
        <v>23.2896</v>
      </c>
      <c r="AB111" s="54" t="e">
        <f>VLOOKUP(A111,Enforcements!$C$7:$K$13,8,0)</f>
        <v>#N/A</v>
      </c>
      <c r="AC111" s="51" t="e">
        <f>VLOOKUP(A111,Enforcements!$C$7:$E$13,3,0)</f>
        <v>#N/A</v>
      </c>
      <c r="AD111" s="206">
        <f t="shared" si="35"/>
        <v>197</v>
      </c>
      <c r="AE111" s="77" t="str">
        <f t="shared" si="36"/>
        <v>aws s3 cp s3://rtdc.mdm.uploadarchive.raw/RTDC4056/ "%USERPROFILE%\AppData\Local\Temp\OnboardLogs"\RTDC4056\2017-07-01 --exclude "*" --recursive --include "*20170701*" &amp; "%USERPROFILE%\Documents\GitHub\mrs-test-scripts\Headless Mode &amp; Sideloading\WalkAndUnGZ.bat" "%USERPROFILE%\AppData\Local\Temp\OnboardLogs"\RTDC4056\2017-07-01 &amp; aws s3 cp s3://rtdc.mdm.uploadarchive.raw/RTDC4056/ "%USERPROFILE%\AppData\Local\Temp\OnboardLogs"\RTDC4056\2017-07-02 --exclude "*" --recursive --include "*20170702*" &amp; "%USERPROFILE%\Documents\GitHub\mrs-test-scripts\Headless Mode &amp; Sideloading\WalkAndUnGZ.bat" "%USERPROFILE%\AppData\Local\Temp\OnboardLogs"\RTDC4056\2017-07-02</v>
      </c>
      <c r="AF111" s="74" t="str">
        <f t="shared" si="37"/>
        <v>"C:\Program Files (x86)\AstroGrep\AstroGrep.exe" /e /r /s /spath="%USERPROFILE%\AppData\Local\Temp\OnboardLogs" /stypes="app*4056*20170701*" /stext=" 22:.+((SYSTEM_STATE.+slice.+state.+changed )|(ment ac)|(multiple cpu faults)|(system.+state.+changed )|(\[timeout)|(PRM\|1\|D)|(kpr)|(kdp)|(train st.+moving)|(\|lc)|(penalty))"</v>
      </c>
      <c r="AG111" s="209" t="str">
        <f t="shared" si="38"/>
        <v>EC</v>
      </c>
      <c r="AH111" s="78" t="str">
        <f t="shared" si="39"/>
        <v>"%USERPROFILE%\Documents\GitHub\eaglep3\Utilities\RefineRTDCRunTimes.py" --tripid 197-01 --locoid 4056 --swversion DE.1.0.9.0 --startMP 204:495 --initTime 2017-07-01T15:37:43 --startdatetime 2017-07-01T15:45:42 --delay 1 --endMP 204:233391 --enddatetime 2017-07-01T16:21:10 --enforcementcount 0 &gt;&gt;C:\Users\stu\Documents\GitHub\eaglep3-reporting\EC\2017-07-01-refined-times.txt</v>
      </c>
      <c r="AI111" s="96" t="str">
        <f t="shared" si="40"/>
        <v>echo {"issue":{"subject":"","project_id":79,"tracker_id":40,"status_id":1,"priority_id":2,"assigned_to_id":23,"start_date":"2017-07-01","description":"","custom_fields":[{"id":1,"name":"Subdivision","value":"EC"},{"id":4,"name":"Milepost","value":"23.3391"},{"id":17,"name":"Train ID","value":"197-01"},{"id":16,"name":"Locomotive ID","value":"4056"},{"id":130,"name":"Impact","value":""},{"id":150,"name":"Time of Event (Mountain Time)","value":"16:21:10"},{"id":151,"name":"Denver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1" s="47"/>
      <c r="AL111" s="47"/>
      <c r="AM111" s="142" t="str">
        <f t="shared" si="41"/>
        <v>start /low /b %USERPROFILE%\Documents\GitHub\eaglep3\Utilities\DownloadLogsFromS3.py --loco 4056 --day 2017-07-01</v>
      </c>
      <c r="AN111" s="151" t="str">
        <f t="shared" si="42"/>
        <v>echo {"issue":{"subject":"","project_id":30,"tracker_id":4,"status_id":1,"priority_id":1,"assigned_to_id":10,"start_date":"2017-07-01","description":"","custom_fields":[{"id":30,"name":"Category","value":"Issue"},{"id":3,"name":"Functional Component","value":"Onboard"},{"id":31,"name":"Version","value":"N/A"},{"id":8,"name":"Reporting RR","value":"WABTEC"},{"id":27,"name":"Locomotive ID","value":"4056"},{"id":20,"name":"RR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UTC","value":"2017-07-01 22:21:10"},{"id":29,"name":"Sharepoint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</row>
    <row r="112" spans="1:91" s="20" customFormat="1" x14ac:dyDescent="0.25">
      <c r="A112" s="32" t="s">
        <v>817</v>
      </c>
      <c r="B112" s="7">
        <v>4055</v>
      </c>
      <c r="C112" s="21" t="s">
        <v>202</v>
      </c>
      <c r="D112" s="21" t="s">
        <v>974</v>
      </c>
      <c r="E112" s="13">
        <v>42917.691747685189</v>
      </c>
      <c r="F112" s="13">
        <v>42917.69599537037</v>
      </c>
      <c r="G112" s="7">
        <v>1</v>
      </c>
      <c r="H112" s="21" t="s">
        <v>975</v>
      </c>
      <c r="I112" s="13">
        <v>42917.721354166664</v>
      </c>
      <c r="J112" s="7">
        <v>0</v>
      </c>
      <c r="K112" s="89" t="str">
        <f t="shared" si="27"/>
        <v>4055/4056</v>
      </c>
      <c r="L112" s="21" t="str">
        <f>VLOOKUP(A112,'Trips&amp;Operators'!$C$1:$G$99999,5,FALSE)</f>
        <v>DELGADO DIANAH</v>
      </c>
      <c r="M112" s="6">
        <f t="shared" si="28"/>
        <v>2.5358796294312924E-2</v>
      </c>
      <c r="N112" s="7">
        <f t="shared" si="43"/>
        <v>36.516666663810611</v>
      </c>
      <c r="O112" s="7"/>
      <c r="P112" s="7"/>
      <c r="Q112" s="22"/>
      <c r="R112" s="170"/>
      <c r="S112" s="213">
        <f t="shared" si="44"/>
        <v>1</v>
      </c>
      <c r="T112" s="195" t="str">
        <f t="shared" si="29"/>
        <v>Southbound</v>
      </c>
      <c r="U112" s="195">
        <f>IF(AG112="EC",COUNTIFS(Variables!$M$2:$M$19,IF(T112="NorthBound","&gt;=","&lt;=")&amp;Y112,Variables!$M$2:$M$19,IF(T112="NorthBound","&lt;=","&gt;=")&amp;Z112),COUNTIFS(Variables!$P$2:$P$19,IF(T112="NorthBound","&gt;=","&lt;=")&amp;Y112,Variables!$P$2:$P$19,IF(T112="NorthBound","&lt;=","&gt;=")&amp;Z112))</f>
        <v>12</v>
      </c>
      <c r="V112" s="196" t="str">
        <f t="shared" si="30"/>
        <v>https://d0f6bd738d7f1b3e5a7ca70fe4ff75f0.us-east-1.aws.found.io/app/kibana#/discover/Steve-Slow-Train-Analysis-(2080s-and-2083s)?_g=(refreshInterval:(display:Off,pause:!f,section:0,value:0),time:(from:'2017-07-01T15:36:07-0600',mode:absolute,to:'2017-07-01T18:18:45-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4055%22')),sort:!(Time.ISO8601,asc))</v>
      </c>
      <c r="W112" s="197" t="str">
        <f>IF(AA112&lt;VLOOKUP(AG112,Variables!$AC$3:$AD$8,2,FALSE),"Y","N")</f>
        <v>N</v>
      </c>
      <c r="X112" s="197">
        <f t="shared" si="45"/>
        <v>1</v>
      </c>
      <c r="Y112" s="197">
        <f t="shared" si="32"/>
        <v>23.308</v>
      </c>
      <c r="Z112" s="197">
        <f t="shared" si="33"/>
        <v>1.8700000000000001E-2</v>
      </c>
      <c r="AA112" s="197">
        <f t="shared" si="34"/>
        <v>23.289300000000001</v>
      </c>
      <c r="AB112" s="54" t="e">
        <f>VLOOKUP(A112,Enforcements!$C$7:$K$13,8,0)</f>
        <v>#N/A</v>
      </c>
      <c r="AC112" s="51" t="e">
        <f>VLOOKUP(A112,Enforcements!$C$7:$E$13,3,0)</f>
        <v>#N/A</v>
      </c>
      <c r="AD112" s="206">
        <f t="shared" si="35"/>
        <v>198</v>
      </c>
      <c r="AE112" s="77" t="str">
        <f t="shared" si="36"/>
        <v>aws s3 cp s3://rtdc.mdm.uploadarchive.raw/RTDC4055/ "%USERPROFILE%\AppData\Local\Temp\OnboardLogs"\RTDC4055\2017-07-01 --exclude "*" --recursive --include "*20170701*" &amp; "%USERPROFILE%\Documents\GitHub\mrs-test-scripts\Headless Mode &amp; Sideloading\WalkAndUnGZ.bat" "%USERPROFILE%\AppData\Local\Temp\OnboardLogs"\RTDC4055\2017-07-01 &amp; aws s3 cp s3://rtdc.mdm.uploadarchive.raw/RTDC4055/ "%USERPROFILE%\AppData\Local\Temp\OnboardLogs"\RTDC4055\2017-07-02 --exclude "*" --recursive --include "*20170702*" &amp; "%USERPROFILE%\Documents\GitHub\mrs-test-scripts\Headless Mode &amp; Sideloading\WalkAndUnGZ.bat" "%USERPROFILE%\AppData\Local\Temp\OnboardLogs"\RTDC4055\2017-07-02</v>
      </c>
      <c r="AF112" s="74" t="str">
        <f t="shared" si="37"/>
        <v>"C:\Program Files (x86)\AstroGrep\AstroGrep.exe" /e /r /s /spath="%USERPROFILE%\AppData\Local\Temp\OnboardLogs" /stypes="app*4055*20170701*" /stext=" 23:.+((SYSTEM_STATE.+slice.+state.+changed )|(ment ac)|(multiple cpu faults)|(system.+state.+changed )|(\[timeout)|(PRM\|1\|D)|(kpr)|(kdp)|(train st.+moving)|(\|lc)|(penalty))"</v>
      </c>
      <c r="AG112" s="209" t="str">
        <f t="shared" si="38"/>
        <v>EC</v>
      </c>
      <c r="AH112" s="78" t="str">
        <f t="shared" si="39"/>
        <v>"%USERPROFILE%\Documents\GitHub\eaglep3\Utilities\RefineRTDCRunTimes.py" --tripid 198-01 --locoid 4055 --swversion DE.1.0.9.0 --startMP 204:233080 --initTime 2017-07-01T16:36:07 --startdatetime 2017-07-01T16:42:14 --delay 1 --endMP 204:187 --enddatetime 2017-07-01T17:18:45 --enforcementcount 0 &gt;&gt;C:\Users\stu\Documents\GitHub\eaglep3-reporting\EC\2017-07-01-refined-times.txt</v>
      </c>
      <c r="AI112" s="96" t="str">
        <f t="shared" si="40"/>
        <v>echo {"issue":{"subject":"","project_id":79,"tracker_id":40,"status_id":1,"priority_id":2,"assigned_to_id":23,"start_date":"2017-07-01","description":"","custom_fields":[{"id":1,"name":"Subdivision","value":"EC"},{"id":4,"name":"Milepost","value":"0.0187"},{"id":17,"name":"Train ID","value":"198-01"},{"id":16,"name":"Locomotive ID","value":"4055"},{"id":130,"name":"Impact","value":""},{"id":150,"name":"Time of Event (Mountain Time)","value":"17:18:45"},{"id":151,"name":"Denver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2" s="47"/>
      <c r="AL112" s="47"/>
      <c r="AM112" s="142" t="str">
        <f t="shared" si="41"/>
        <v>start /low /b %USERPROFILE%\Documents\GitHub\eaglep3\Utilities\DownloadLogsFromS3.py --loco 4055 --day 2017-07-01</v>
      </c>
      <c r="AN112" s="151" t="str">
        <f t="shared" si="42"/>
        <v>echo {"issue":{"subject":"","project_id":30,"tracker_id":4,"status_id":1,"priority_id":1,"assigned_to_id":10,"start_date":"2017-07-01","description":"","custom_fields":[{"id":30,"name":"Category","value":"Issue"},{"id":3,"name":"Functional Component","value":"Onboard"},{"id":31,"name":"Version","value":"N/A"},{"id":8,"name":"Reporting RR","value":"WABTEC"},{"id":27,"name":"Locomotive ID","value":"4055"},{"id":20,"name":"RR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UTC","value":"2017-07-01 23:18:45"},{"id":29,"name":"Sharepoint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</row>
    <row r="113" spans="1:91" s="20" customFormat="1" x14ac:dyDescent="0.25">
      <c r="A113" s="32" t="s">
        <v>813</v>
      </c>
      <c r="B113" s="7">
        <v>4018</v>
      </c>
      <c r="C113" s="21" t="s">
        <v>202</v>
      </c>
      <c r="D113" s="21" t="s">
        <v>470</v>
      </c>
      <c r="E113" s="13">
        <v>42917.663958333331</v>
      </c>
      <c r="F113" s="13">
        <v>42917.667245370372</v>
      </c>
      <c r="G113" s="7">
        <v>1</v>
      </c>
      <c r="H113" s="21" t="s">
        <v>976</v>
      </c>
      <c r="I113" s="13">
        <v>42917.692048611112</v>
      </c>
      <c r="J113" s="7">
        <v>0</v>
      </c>
      <c r="K113" s="89" t="str">
        <f t="shared" si="27"/>
        <v>4017/4018</v>
      </c>
      <c r="L113" s="21" t="str">
        <f>VLOOKUP(A113,'Trips&amp;Operators'!$C$1:$G$99999,5,FALSE)</f>
        <v>STEWART MICHAEL</v>
      </c>
      <c r="M113" s="6">
        <f t="shared" si="28"/>
        <v>2.4803240739856847E-2</v>
      </c>
      <c r="N113" s="7">
        <f t="shared" si="43"/>
        <v>35.716666665393859</v>
      </c>
      <c r="O113" s="7"/>
      <c r="P113" s="7"/>
      <c r="Q113" s="22"/>
      <c r="R113" s="170"/>
      <c r="S113" s="213">
        <f t="shared" si="44"/>
        <v>1</v>
      </c>
      <c r="T113" s="195" t="str">
        <f t="shared" si="29"/>
        <v>NorthBound</v>
      </c>
      <c r="U113" s="195">
        <f>IF(AG113="EC",COUNTIFS(Variables!$M$2:$M$19,IF(T113="NorthBound","&gt;=","&lt;=")&amp;Y113,Variables!$M$2:$M$19,IF(T113="NorthBound","&lt;=","&gt;=")&amp;Z113),COUNTIFS(Variables!$P$2:$P$19,IF(T113="NorthBound","&gt;=","&lt;=")&amp;Y113,Variables!$P$2:$P$19,IF(T113="NorthBound","&lt;=","&gt;=")&amp;Z113))</f>
        <v>12</v>
      </c>
      <c r="V113" s="196" t="str">
        <f t="shared" si="30"/>
        <v>https://d0f6bd738d7f1b3e5a7ca70fe4ff75f0.us-east-1.aws.found.io/app/kibana#/discover/Steve-Slow-Train-Analysis-(2080s-and-2083s)?_g=(refreshInterval:(display:Off,pause:!f,section:0,value:0),time:(from:'2017-07-01T14:56:06-0600',mode:absolute,to:'2017-07-01T17:36:33-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113" s="197" t="str">
        <f>IF(AA113&lt;VLOOKUP(AG113,Variables!$AC$3:$AD$8,2,FALSE),"Y","N")</f>
        <v>N</v>
      </c>
      <c r="X113" s="197">
        <f t="shared" si="45"/>
        <v>1</v>
      </c>
      <c r="Y113" s="197">
        <f t="shared" si="32"/>
        <v>4.58E-2</v>
      </c>
      <c r="Z113" s="197">
        <f t="shared" si="33"/>
        <v>23.3263</v>
      </c>
      <c r="AA113" s="197">
        <f t="shared" si="34"/>
        <v>23.2805</v>
      </c>
      <c r="AB113" s="54" t="e">
        <f>VLOOKUP(A113,Enforcements!$C$7:$K$13,8,0)</f>
        <v>#N/A</v>
      </c>
      <c r="AC113" s="51" t="e">
        <f>VLOOKUP(A113,Enforcements!$C$7:$E$13,3,0)</f>
        <v>#N/A</v>
      </c>
      <c r="AD113" s="206">
        <f t="shared" si="35"/>
        <v>199</v>
      </c>
      <c r="AE113" s="77" t="str">
        <f t="shared" si="36"/>
        <v>aws s3 cp s3://rtdc.mdm.uploadarchive.raw/RTDC4018/ "%USERPROFILE%\AppData\Local\Temp\OnboardLogs"\RTDC4018\2017-07-01 --exclude "*" --recursive --include "*20170701*" &amp; "%USERPROFILE%\Documents\GitHub\mrs-test-scripts\Headless Mode &amp; Sideloading\WalkAndUnGZ.bat" "%USERPROFILE%\AppData\Local\Temp\OnboardLogs"\RTDC4018\2017-07-01 &amp; aws s3 cp s3://rtdc.mdm.uploadarchive.raw/RTDC4018/ "%USERPROFILE%\AppData\Local\Temp\OnboardLogs"\RTDC4018\2017-07-02 --exclude "*" --recursive --include "*20170702*" &amp; "%USERPROFILE%\Documents\GitHub\mrs-test-scripts\Headless Mode &amp; Sideloading\WalkAndUnGZ.bat" "%USERPROFILE%\AppData\Local\Temp\OnboardLogs"\RTDC4018\2017-07-02</v>
      </c>
      <c r="AF113" s="74" t="str">
        <f t="shared" si="37"/>
        <v>"C:\Program Files (x86)\AstroGrep\AstroGrep.exe" /e /r /s /spath="%USERPROFILE%\AppData\Local\Temp\OnboardLogs" /stypes="app*4018*20170701*" /stext=" 22:.+((SYSTEM_STATE.+slice.+state.+changed )|(ment ac)|(multiple cpu faults)|(system.+state.+changed )|(\[timeout)|(PRM\|1\|D)|(kpr)|(kdp)|(train st.+moving)|(\|lc)|(penalty))"</v>
      </c>
      <c r="AG113" s="209" t="str">
        <f t="shared" si="38"/>
        <v>EC</v>
      </c>
      <c r="AH113" s="78" t="str">
        <f t="shared" si="39"/>
        <v>"%USERPROFILE%\Documents\GitHub\eaglep3\Utilities\RefineRTDCRunTimes.py" --tripid 199-01 --locoid 4018 --swversion DE.1.0.9.0 --startMP 204:458 --initTime 2017-07-01T15:56:06 --startdatetime 2017-07-01T16:00:50 --delay 1 --endMP 204:233263 --enddatetime 2017-07-01T16:36:33 --enforcementcount 0 &gt;&gt;C:\Users\stu\Documents\GitHub\eaglep3-reporting\EC\2017-07-01-refined-times.txt</v>
      </c>
      <c r="AI113" s="96" t="str">
        <f t="shared" si="40"/>
        <v>echo {"issue":{"subject":"","project_id":79,"tracker_id":40,"status_id":1,"priority_id":2,"assigned_to_id":23,"start_date":"2017-07-01","description":"","custom_fields":[{"id":1,"name":"Subdivision","value":"EC"},{"id":4,"name":"Milepost","value":"23.3263"},{"id":17,"name":"Train ID","value":"199-01"},{"id":16,"name":"Locomotive ID","value":"4018"},{"id":130,"name":"Impact","value":""},{"id":150,"name":"Time of Event (Mountain Time)","value":"16:36:33"},{"id":151,"name":"Denver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3" s="47"/>
      <c r="AL113" s="47"/>
      <c r="AM113" s="142" t="str">
        <f t="shared" si="41"/>
        <v>start /low /b %USERPROFILE%\Documents\GitHub\eaglep3\Utilities\DownloadLogsFromS3.py --loco 4018 --day 2017-07-01</v>
      </c>
      <c r="AN113" s="151" t="str">
        <f t="shared" si="42"/>
        <v>echo {"issue":{"subject":"","project_id":30,"tracker_id":4,"status_id":1,"priority_id":1,"assigned_to_id":10,"start_date":"2017-07-01","description":"","custom_fields":[{"id":30,"name":"Category","value":"Issue"},{"id":3,"name":"Functional Component","value":"Onboard"},{"id":31,"name":"Version","value":"N/A"},{"id":8,"name":"Reporting RR","value":"WABTEC"},{"id":27,"name":"Locomotive ID","value":"4018"},{"id":20,"name":"RR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UTC","value":"2017-07-01 22:36:33"},{"id":29,"name":"Sharepoint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</row>
    <row r="114" spans="1:91" s="20" customFormat="1" x14ac:dyDescent="0.25">
      <c r="A114" s="32" t="s">
        <v>663</v>
      </c>
      <c r="B114" s="7">
        <v>4017</v>
      </c>
      <c r="C114" s="21" t="s">
        <v>202</v>
      </c>
      <c r="D114" s="21" t="s">
        <v>543</v>
      </c>
      <c r="E114" s="13">
        <v>42917.704097222224</v>
      </c>
      <c r="F114" s="13">
        <v>42917.706574074073</v>
      </c>
      <c r="G114" s="7">
        <v>1</v>
      </c>
      <c r="H114" s="21" t="s">
        <v>394</v>
      </c>
      <c r="I114" s="13">
        <v>42917.734236111108</v>
      </c>
      <c r="J114" s="7">
        <v>0</v>
      </c>
      <c r="K114" s="89" t="str">
        <f t="shared" si="27"/>
        <v>4017/4018</v>
      </c>
      <c r="L114" s="21" t="str">
        <f>VLOOKUP(A114,'Trips&amp;Operators'!$C$1:$G$99999,5,FALSE)</f>
        <v>STEWART MICHAEL</v>
      </c>
      <c r="M114" s="6">
        <f t="shared" si="28"/>
        <v>2.7662037035042886E-2</v>
      </c>
      <c r="N114" s="7">
        <f t="shared" si="43"/>
        <v>39.833333330461755</v>
      </c>
      <c r="O114" s="7"/>
      <c r="P114" s="7"/>
      <c r="Q114" s="22"/>
      <c r="R114" s="170"/>
      <c r="S114" s="213">
        <f t="shared" si="44"/>
        <v>1</v>
      </c>
      <c r="T114" s="195" t="str">
        <f t="shared" si="29"/>
        <v>Southbound</v>
      </c>
      <c r="U114" s="195">
        <f>IF(AG114="EC",COUNTIFS(Variables!$M$2:$M$19,IF(T114="NorthBound","&gt;=","&lt;=")&amp;Y114,Variables!$M$2:$M$19,IF(T114="NorthBound","&lt;=","&gt;=")&amp;Z114),COUNTIFS(Variables!$P$2:$P$19,IF(T114="NorthBound","&gt;=","&lt;=")&amp;Y114,Variables!$P$2:$P$19,IF(T114="NorthBound","&lt;=","&gt;=")&amp;Z114))</f>
        <v>12</v>
      </c>
      <c r="V114" s="196" t="str">
        <f t="shared" si="30"/>
        <v>https://d0f6bd738d7f1b3e5a7ca70fe4ff75f0.us-east-1.aws.found.io/app/kibana#/discover/Steve-Slow-Train-Analysis-(2080s-and-2083s)?_g=(refreshInterval:(display:Off,pause:!f,section:0,value:0),time:(from:'2017-07-01T15:53:54-0600',mode:absolute,to:'2017-07-01T18:37:18-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114" s="197" t="str">
        <f>IF(AA114&lt;VLOOKUP(AG114,Variables!$AC$3:$AD$8,2,FALSE),"Y","N")</f>
        <v>N</v>
      </c>
      <c r="X114" s="197">
        <f t="shared" si="45"/>
        <v>1</v>
      </c>
      <c r="Y114" s="197">
        <f t="shared" si="32"/>
        <v>23.297599999999999</v>
      </c>
      <c r="Z114" s="197">
        <f t="shared" si="33"/>
        <v>1.54E-2</v>
      </c>
      <c r="AA114" s="197">
        <f t="shared" si="34"/>
        <v>23.2822</v>
      </c>
      <c r="AB114" s="54" t="str">
        <f>VLOOKUP(A114,Enforcements!$C$7:$K$13,8,0)</f>
        <v>Bulletin (2)</v>
      </c>
      <c r="AC114" s="51" t="str">
        <f>VLOOKUP(A114,Enforcements!$C$7:$E$13,3,0)</f>
        <v>GRADE CROSSING</v>
      </c>
      <c r="AD114" s="206">
        <f t="shared" si="35"/>
        <v>200</v>
      </c>
      <c r="AE114" s="77" t="str">
        <f t="shared" si="36"/>
        <v>aws s3 cp s3://rtdc.mdm.uploadarchive.raw/RTDC4017/ "%USERPROFILE%\AppData\Local\Temp\OnboardLogs"\RTDC4017\2017-07-01 --exclude "*" --recursive --include "*20170701*" &amp; "%USERPROFILE%\Documents\GitHub\mrs-test-scripts\Headless Mode &amp; Sideloading\WalkAndUnGZ.bat" "%USERPROFILE%\AppData\Local\Temp\OnboardLogs"\RTDC4017\2017-07-01 &amp; aws s3 cp s3://rtdc.mdm.uploadarchive.raw/RTDC4017/ "%USERPROFILE%\AppData\Local\Temp\OnboardLogs"\RTDC4017\2017-07-02 --exclude "*" --recursive --include "*20170702*" &amp; "%USERPROFILE%\Documents\GitHub\mrs-test-scripts\Headless Mode &amp; Sideloading\WalkAndUnGZ.bat" "%USERPROFILE%\AppData\Local\Temp\OnboardLogs"\RTDC4017\2017-07-02</v>
      </c>
      <c r="AF114" s="74" t="str">
        <f t="shared" si="37"/>
        <v>"C:\Program Files (x86)\AstroGrep\AstroGrep.exe" /e /r /s /spath="%USERPROFILE%\AppData\Local\Temp\OnboardLogs" /stypes="app*4017*20170701*" /stext=" 23:.+((SYSTEM_STATE.+slice.+state.+changed )|(ment ac)|(multiple cpu faults)|(system.+state.+changed )|(\[timeout)|(PRM\|1\|D)|(kpr)|(kdp)|(train st.+moving)|(\|lc)|(penalty))"</v>
      </c>
      <c r="AG114" s="209" t="str">
        <f t="shared" si="38"/>
        <v>EC</v>
      </c>
      <c r="AH114" s="78" t="str">
        <f t="shared" si="39"/>
        <v>"%USERPROFILE%\Documents\GitHub\eaglep3\Utilities\RefineRTDCRunTimes.py" --tripid 200-01 --locoid 4017 --swversion DE.1.0.9.0 --startMP 204:232976 --initTime 2017-07-01T16:53:54 --startdatetime 2017-07-01T16:57:28 --delay 1 --endMP 204:154 --enddatetime 2017-07-01T17:37:18 --enforcementcount 0 &gt;&gt;C:\Users\stu\Documents\GitHub\eaglep3-reporting\EC\2017-07-01-refined-times.txt</v>
      </c>
      <c r="AI114" s="96" t="str">
        <f t="shared" si="40"/>
        <v>echo {"issue":{"subject":"","project_id":79,"tracker_id":40,"status_id":1,"priority_id":2,"assigned_to_id":23,"start_date":"2017-07-01","description":"","custom_fields":[{"id":1,"name":"Subdivision","value":"EC"},{"id":4,"name":"Milepost","value":"0.0154"},{"id":17,"name":"Train ID","value":"200-01"},{"id":16,"name":"Locomotive ID","value":"4017"},{"id":130,"name":"Impact","value":""},{"id":150,"name":"Time of Event (Mountain Time)","value":"17:37:18"},{"id":151,"name":"Denver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4" s="47"/>
      <c r="AL114" s="47"/>
      <c r="AM114" s="142" t="str">
        <f t="shared" si="41"/>
        <v>start /low /b %USERPROFILE%\Documents\GitHub\eaglep3\Utilities\DownloadLogsFromS3.py --loco 4017 --day 2017-07-01</v>
      </c>
      <c r="AN114" s="151" t="str">
        <f t="shared" si="42"/>
        <v>echo {"issue":{"subject":"","project_id":30,"tracker_id":4,"status_id":1,"priority_id":1,"assigned_to_id":10,"start_date":"2017-07-01","description":"","custom_fields":[{"id":30,"name":"Category","value":"Issue"},{"id":3,"name":"Functional Component","value":"Onboard"},{"id":31,"name":"Version","value":"N/A"},{"id":8,"name":"Reporting RR","value":"WABTEC"},{"id":27,"name":"Locomotive ID","value":"4017"},{"id":20,"name":"RR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UTC","value":"2017-07-01 23:37:18"},{"id":29,"name":"Sharepoint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</row>
    <row r="115" spans="1:91" s="20" customFormat="1" x14ac:dyDescent="0.25">
      <c r="A115" s="32" t="s">
        <v>662</v>
      </c>
      <c r="B115" s="7">
        <v>4030</v>
      </c>
      <c r="C115" s="21" t="s">
        <v>202</v>
      </c>
      <c r="D115" s="21" t="s">
        <v>479</v>
      </c>
      <c r="E115" s="13">
        <v>42917.672129629631</v>
      </c>
      <c r="F115" s="13">
        <v>42917.677268518521</v>
      </c>
      <c r="G115" s="7">
        <v>1</v>
      </c>
      <c r="H115" s="21" t="s">
        <v>977</v>
      </c>
      <c r="I115" s="13">
        <v>42917.702986111108</v>
      </c>
      <c r="J115" s="7">
        <v>0</v>
      </c>
      <c r="K115" s="89" t="str">
        <f t="shared" si="27"/>
        <v>4029/4030</v>
      </c>
      <c r="L115" s="21" t="str">
        <f>VLOOKUP(A115,'Trips&amp;Operators'!$C$1:$G$99999,5,FALSE)</f>
        <v>HOLCOMB KAMDEN</v>
      </c>
      <c r="M115" s="6">
        <f t="shared" si="28"/>
        <v>2.5717592587170657E-2</v>
      </c>
      <c r="N115" s="7">
        <f t="shared" si="43"/>
        <v>37.033333325525746</v>
      </c>
      <c r="O115" s="7"/>
      <c r="P115" s="7"/>
      <c r="Q115" s="22"/>
      <c r="R115" s="170"/>
      <c r="S115" s="213">
        <f t="shared" si="44"/>
        <v>1</v>
      </c>
      <c r="T115" s="195" t="str">
        <f t="shared" si="29"/>
        <v>NorthBound</v>
      </c>
      <c r="U115" s="195">
        <f>IF(AG115="EC",COUNTIFS(Variables!$M$2:$M$19,IF(T115="NorthBound","&gt;=","&lt;=")&amp;Y115,Variables!$M$2:$M$19,IF(T115="NorthBound","&lt;=","&gt;=")&amp;Z115),COUNTIFS(Variables!$P$2:$P$19,IF(T115="NorthBound","&gt;=","&lt;=")&amp;Y115,Variables!$P$2:$P$19,IF(T115="NorthBound","&lt;=","&gt;=")&amp;Z115))</f>
        <v>12</v>
      </c>
      <c r="V115" s="196" t="str">
        <f t="shared" si="30"/>
        <v>https://d0f6bd738d7f1b3e5a7ca70fe4ff75f0.us-east-1.aws.found.io/app/kibana#/discover/Steve-Slow-Train-Analysis-(2080s-and-2083s)?_g=(refreshInterval:(display:Off,pause:!f,section:0,value:0),time:(from:'2017-07-01T15:07:52-0600',mode:absolute,to:'2017-07-01T17:52:18-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115" s="197" t="str">
        <f>IF(AA115&lt;VLOOKUP(AG115,Variables!$AC$3:$AD$8,2,FALSE),"Y","N")</f>
        <v>N</v>
      </c>
      <c r="X115" s="197">
        <f t="shared" si="45"/>
        <v>1</v>
      </c>
      <c r="Y115" s="197">
        <f t="shared" si="32"/>
        <v>4.3999999999999997E-2</v>
      </c>
      <c r="Z115" s="197">
        <f t="shared" si="33"/>
        <v>23.325299999999999</v>
      </c>
      <c r="AA115" s="197">
        <f t="shared" si="34"/>
        <v>23.281299999999998</v>
      </c>
      <c r="AB115" s="54" t="e">
        <f>VLOOKUP(A115,Enforcements!$C$7:$K$13,8,0)</f>
        <v>#N/A</v>
      </c>
      <c r="AC115" s="51" t="e">
        <f>VLOOKUP(A115,Enforcements!$C$7:$E$13,3,0)</f>
        <v>#N/A</v>
      </c>
      <c r="AD115" s="206">
        <f t="shared" si="35"/>
        <v>201</v>
      </c>
      <c r="AE115" s="77" t="str">
        <f t="shared" si="36"/>
        <v>aws s3 cp s3://rtdc.mdm.uploadarchive.raw/RTDC4030/ "%USERPROFILE%\AppData\Local\Temp\OnboardLogs"\RTDC4030\2017-07-01 --exclude "*" --recursive --include "*20170701*" &amp; "%USERPROFILE%\Documents\GitHub\mrs-test-scripts\Headless Mode &amp; Sideloading\WalkAndUnGZ.bat" "%USERPROFILE%\AppData\Local\Temp\OnboardLogs"\RTDC4030\2017-07-01 &amp; aws s3 cp s3://rtdc.mdm.uploadarchive.raw/RTDC4030/ "%USERPROFILE%\AppData\Local\Temp\OnboardLogs"\RTDC4030\2017-07-02 --exclude "*" --recursive --include "*20170702*" &amp; "%USERPROFILE%\Documents\GitHub\mrs-test-scripts\Headless Mode &amp; Sideloading\WalkAndUnGZ.bat" "%USERPROFILE%\AppData\Local\Temp\OnboardLogs"\RTDC4030\2017-07-02</v>
      </c>
      <c r="AF115" s="74" t="str">
        <f t="shared" si="37"/>
        <v>"C:\Program Files (x86)\AstroGrep\AstroGrep.exe" /e /r /s /spath="%USERPROFILE%\AppData\Local\Temp\OnboardLogs" /stypes="app*4030*20170701*" /stext=" 22:.+((SYSTEM_STATE.+slice.+state.+changed )|(ment ac)|(multiple cpu faults)|(system.+state.+changed )|(\[timeout)|(PRM\|1\|D)|(kpr)|(kdp)|(train st.+moving)|(\|lc)|(penalty))"</v>
      </c>
      <c r="AG115" s="209" t="str">
        <f t="shared" si="38"/>
        <v>EC</v>
      </c>
      <c r="AH115" s="78" t="str">
        <f t="shared" si="39"/>
        <v>"%USERPROFILE%\Documents\GitHub\eaglep3\Utilities\RefineRTDCRunTimes.py" --tripid 201-01 --locoid 4030 --swversion DE.1.0.9.0 --startMP 204:440 --initTime 2017-07-01T16:07:52 --startdatetime 2017-07-01T16:15:16 --delay 1 --endMP 204:233253 --enddatetime 2017-07-01T16:52:18 --enforcementcount 0 &gt;&gt;C:\Users\stu\Documents\GitHub\eaglep3-reporting\EC\2017-07-01-refined-times.txt</v>
      </c>
      <c r="AI115" s="96" t="str">
        <f t="shared" si="40"/>
        <v>echo {"issue":{"subject":"","project_id":79,"tracker_id":40,"status_id":1,"priority_id":2,"assigned_to_id":23,"start_date":"2017-07-01","description":"","custom_fields":[{"id":1,"name":"Subdivision","value":"EC"},{"id":4,"name":"Milepost","value":"23.3253"},{"id":17,"name":"Train ID","value":"201-01"},{"id":16,"name":"Locomotive ID","value":"4030"},{"id":130,"name":"Impact","value":""},{"id":150,"name":"Time of Event (Mountain Time)","value":"16:52:18"},{"id":151,"name":"Denver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5" s="47"/>
      <c r="AL115" s="47"/>
      <c r="AM115" s="142" t="str">
        <f t="shared" si="41"/>
        <v>start /low /b %USERPROFILE%\Documents\GitHub\eaglep3\Utilities\DownloadLogsFromS3.py --loco 4030 --day 2017-07-01</v>
      </c>
      <c r="AN115" s="151" t="str">
        <f t="shared" si="42"/>
        <v>echo {"issue":{"subject":"","project_id":30,"tracker_id":4,"status_id":1,"priority_id":1,"assigned_to_id":10,"start_date":"2017-07-01","description":"","custom_fields":[{"id":30,"name":"Category","value":"Issue"},{"id":3,"name":"Functional Component","value":"Onboard"},{"id":31,"name":"Version","value":"N/A"},{"id":8,"name":"Reporting RR","value":"WABTEC"},{"id":27,"name":"Locomotive ID","value":"4030"},{"id":20,"name":"RR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UTC","value":"2017-07-01 22:52:18"},{"id":29,"name":"Sharepoint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</row>
    <row r="116" spans="1:91" s="20" customFormat="1" x14ac:dyDescent="0.25">
      <c r="A116" s="32" t="s">
        <v>823</v>
      </c>
      <c r="B116" s="7">
        <v>4029</v>
      </c>
      <c r="C116" s="21" t="s">
        <v>202</v>
      </c>
      <c r="D116" s="21" t="s">
        <v>978</v>
      </c>
      <c r="E116" s="13">
        <v>42917.715543981481</v>
      </c>
      <c r="F116" s="13">
        <v>42917.71707175926</v>
      </c>
      <c r="G116" s="7">
        <v>1</v>
      </c>
      <c r="H116" s="21" t="s">
        <v>923</v>
      </c>
      <c r="I116" s="13">
        <v>42917.743495370371</v>
      </c>
      <c r="J116" s="7">
        <v>0</v>
      </c>
      <c r="K116" s="89" t="str">
        <f t="shared" si="27"/>
        <v>4029/4030</v>
      </c>
      <c r="L116" s="21" t="str">
        <f>VLOOKUP(A116,'Trips&amp;Operators'!$C$1:$G$99999,5,FALSE)</f>
        <v>HOLCOMB KAMDEN</v>
      </c>
      <c r="M116" s="6">
        <f t="shared" si="28"/>
        <v>2.6423611110658385E-2</v>
      </c>
      <c r="N116" s="7">
        <f t="shared" si="43"/>
        <v>38.049999999348074</v>
      </c>
      <c r="O116" s="7"/>
      <c r="P116" s="7"/>
      <c r="Q116" s="22"/>
      <c r="R116" s="170"/>
      <c r="S116" s="213">
        <f t="shared" si="44"/>
        <v>1</v>
      </c>
      <c r="T116" s="195" t="str">
        <f t="shared" si="29"/>
        <v>Southbound</v>
      </c>
      <c r="U116" s="195">
        <f>IF(AG116="EC",COUNTIFS(Variables!$M$2:$M$19,IF(T116="NorthBound","&gt;=","&lt;=")&amp;Y116,Variables!$M$2:$M$19,IF(T116="NorthBound","&lt;=","&gt;=")&amp;Z116),COUNTIFS(Variables!$P$2:$P$19,IF(T116="NorthBound","&gt;=","&lt;=")&amp;Y116,Variables!$P$2:$P$19,IF(T116="NorthBound","&lt;=","&gt;=")&amp;Z116))</f>
        <v>12</v>
      </c>
      <c r="V116" s="196" t="str">
        <f t="shared" si="30"/>
        <v>https://d0f6bd738d7f1b3e5a7ca70fe4ff75f0.us-east-1.aws.found.io/app/kibana#/discover/Steve-Slow-Train-Analysis-(2080s-and-2083s)?_g=(refreshInterval:(display:Off,pause:!f,section:0,value:0),time:(from:'2017-07-01T16:10:23-0600',mode:absolute,to:'2017-07-01T18:50:38-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116" s="197" t="str">
        <f>IF(AA116&lt;VLOOKUP(AG116,Variables!$AC$3:$AD$8,2,FALSE),"Y","N")</f>
        <v>N</v>
      </c>
      <c r="X116" s="197">
        <f t="shared" si="45"/>
        <v>1</v>
      </c>
      <c r="Y116" s="197">
        <f t="shared" si="32"/>
        <v>23.293399999999998</v>
      </c>
      <c r="Z116" s="197">
        <f t="shared" si="33"/>
        <v>1.34E-2</v>
      </c>
      <c r="AA116" s="197">
        <f t="shared" si="34"/>
        <v>23.279999999999998</v>
      </c>
      <c r="AB116" s="54" t="e">
        <f>VLOOKUP(A116,Enforcements!$C$7:$K$13,8,0)</f>
        <v>#N/A</v>
      </c>
      <c r="AC116" s="51" t="e">
        <f>VLOOKUP(A116,Enforcements!$C$7:$E$13,3,0)</f>
        <v>#N/A</v>
      </c>
      <c r="AD116" s="206">
        <f t="shared" si="35"/>
        <v>202</v>
      </c>
      <c r="AE116" s="77" t="str">
        <f t="shared" si="36"/>
        <v>aws s3 cp s3://rtdc.mdm.uploadarchive.raw/RTDC4029/ "%USERPROFILE%\AppData\Local\Temp\OnboardLogs"\RTDC4029\2017-07-01 --exclude "*" --recursive --include "*20170701*" &amp; "%USERPROFILE%\Documents\GitHub\mrs-test-scripts\Headless Mode &amp; Sideloading\WalkAndUnGZ.bat" "%USERPROFILE%\AppData\Local\Temp\OnboardLogs"\RTDC4029\2017-07-01 &amp; aws s3 cp s3://rtdc.mdm.uploadarchive.raw/RTDC4029/ "%USERPROFILE%\AppData\Local\Temp\OnboardLogs"\RTDC4029\2017-07-02 --exclude "*" --recursive --include "*20170702*" &amp; "%USERPROFILE%\Documents\GitHub\mrs-test-scripts\Headless Mode &amp; Sideloading\WalkAndUnGZ.bat" "%USERPROFILE%\AppData\Local\Temp\OnboardLogs"\RTDC4029\2017-07-02</v>
      </c>
      <c r="AF116" s="74" t="str">
        <f t="shared" si="37"/>
        <v>"C:\Program Files (x86)\AstroGrep\AstroGrep.exe" /e /r /s /spath="%USERPROFILE%\AppData\Local\Temp\OnboardLogs" /stypes="app*4029*20170701*" /stext=" 23:.+((SYSTEM_STATE.+slice.+state.+changed )|(ment ac)|(multiple cpu faults)|(system.+state.+changed )|(\[timeout)|(PRM\|1\|D)|(kpr)|(kdp)|(train st.+moving)|(\|lc)|(penalty))"</v>
      </c>
      <c r="AG116" s="209" t="str">
        <f t="shared" si="38"/>
        <v>EC</v>
      </c>
      <c r="AH116" s="78" t="str">
        <f t="shared" si="39"/>
        <v>"%USERPROFILE%\Documents\GitHub\eaglep3\Utilities\RefineRTDCRunTimes.py" --tripid 202-01 --locoid 4029 --swversion DE.1.0.9.0 --startMP 204:232934 --initTime 2017-07-01T17:10:23 --startdatetime 2017-07-01T17:12:35 --delay 1 --endMP 204:134 --enddatetime 2017-07-01T17:50:38 --enforcementcount 0 &gt;&gt;C:\Users\stu\Documents\GitHub\eaglep3-reporting\EC\2017-07-01-refined-times.txt</v>
      </c>
      <c r="AI116" s="96" t="str">
        <f t="shared" si="40"/>
        <v>echo {"issue":{"subject":"","project_id":79,"tracker_id":40,"status_id":1,"priority_id":2,"assigned_to_id":23,"start_date":"2017-07-01","description":"","custom_fields":[{"id":1,"name":"Subdivision","value":"EC"},{"id":4,"name":"Milepost","value":"0.0134"},{"id":17,"name":"Train ID","value":"202-01"},{"id":16,"name":"Locomotive ID","value":"4029"},{"id":130,"name":"Impact","value":""},{"id":150,"name":"Time of Event (Mountain Time)","value":"17:50:38"},{"id":151,"name":"Denver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6" s="47"/>
      <c r="AL116" s="47"/>
      <c r="AM116" s="142" t="str">
        <f t="shared" si="41"/>
        <v>start /low /b %USERPROFILE%\Documents\GitHub\eaglep3\Utilities\DownloadLogsFromS3.py --loco 4029 --day 2017-07-01</v>
      </c>
      <c r="AN116" s="151" t="str">
        <f t="shared" si="42"/>
        <v>echo {"issue":{"subject":"","project_id":30,"tracker_id":4,"status_id":1,"priority_id":1,"assigned_to_id":10,"start_date":"2017-07-01","description":"","custom_fields":[{"id":30,"name":"Category","value":"Issue"},{"id":3,"name":"Functional Component","value":"Onboard"},{"id":31,"name":"Version","value":"N/A"},{"id":8,"name":"Reporting RR","value":"WABTEC"},{"id":27,"name":"Locomotive ID","value":"4029"},{"id":20,"name":"RR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UTC","value":"2017-07-01 23:50:38"},{"id":29,"name":"Sharepoint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</row>
    <row r="117" spans="1:91" s="20" customFormat="1" x14ac:dyDescent="0.25">
      <c r="A117" s="32" t="s">
        <v>661</v>
      </c>
      <c r="B117" s="7">
        <v>4028</v>
      </c>
      <c r="C117" s="21" t="s">
        <v>202</v>
      </c>
      <c r="D117" s="21" t="s">
        <v>351</v>
      </c>
      <c r="E117" s="13">
        <v>42917.682199074072</v>
      </c>
      <c r="F117" s="13">
        <v>42917.688020833331</v>
      </c>
      <c r="G117" s="7">
        <v>1</v>
      </c>
      <c r="H117" s="21" t="s">
        <v>487</v>
      </c>
      <c r="I117" s="13">
        <v>42917.713796296295</v>
      </c>
      <c r="J117" s="7">
        <v>0</v>
      </c>
      <c r="K117" s="89" t="str">
        <f t="shared" si="27"/>
        <v>4027/4028</v>
      </c>
      <c r="L117" s="21" t="str">
        <f>VLOOKUP(A117,'Trips&amp;Operators'!$C$1:$G$99999,5,FALSE)</f>
        <v>LOPES KIMBERLY</v>
      </c>
      <c r="M117" s="6">
        <f t="shared" si="28"/>
        <v>2.5775462963792961E-2</v>
      </c>
      <c r="N117" s="7">
        <f t="shared" si="43"/>
        <v>37.116666667861864</v>
      </c>
      <c r="O117" s="7"/>
      <c r="P117" s="7"/>
      <c r="Q117" s="22"/>
      <c r="R117" s="170"/>
      <c r="S117" s="213">
        <f t="shared" si="44"/>
        <v>1</v>
      </c>
      <c r="T117" s="195" t="str">
        <f t="shared" si="29"/>
        <v>NorthBound</v>
      </c>
      <c r="U117" s="195">
        <f>IF(AG117="EC",COUNTIFS(Variables!$M$2:$M$19,IF(T117="NorthBound","&gt;=","&lt;=")&amp;Y117,Variables!$M$2:$M$19,IF(T117="NorthBound","&lt;=","&gt;=")&amp;Z117),COUNTIFS(Variables!$P$2:$P$19,IF(T117="NorthBound","&gt;=","&lt;=")&amp;Y117,Variables!$P$2:$P$19,IF(T117="NorthBound","&lt;=","&gt;=")&amp;Z117))</f>
        <v>12</v>
      </c>
      <c r="V117" s="196" t="str">
        <f t="shared" si="30"/>
        <v>https://d0f6bd738d7f1b3e5a7ca70fe4ff75f0.us-east-1.aws.found.io/app/kibana#/discover/Steve-Slow-Train-Analysis-(2080s-and-2083s)?_g=(refreshInterval:(display:Off,pause:!f,section:0,value:0),time:(from:'2017-07-01T15:22:22-0600',mode:absolute,to:'2017-07-01T18:07:52-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117" s="197" t="str">
        <f>IF(AA117&lt;VLOOKUP(AG117,Variables!$AC$3:$AD$8,2,FALSE),"Y","N")</f>
        <v>N</v>
      </c>
      <c r="X117" s="197">
        <f t="shared" si="45"/>
        <v>1</v>
      </c>
      <c r="Y117" s="197">
        <f t="shared" si="32"/>
        <v>4.6600000000000003E-2</v>
      </c>
      <c r="Z117" s="197">
        <f t="shared" si="33"/>
        <v>23.332899999999999</v>
      </c>
      <c r="AA117" s="197">
        <f t="shared" si="34"/>
        <v>23.286299999999997</v>
      </c>
      <c r="AB117" s="54" t="str">
        <f>VLOOKUP(A117,Enforcements!$C$7:$K$13,8,0)</f>
        <v>Bulletin (2)</v>
      </c>
      <c r="AC117" s="51" t="str">
        <f>VLOOKUP(A117,Enforcements!$C$7:$E$13,3,0)</f>
        <v>GRADE CROSSING</v>
      </c>
      <c r="AD117" s="206">
        <f t="shared" si="35"/>
        <v>203</v>
      </c>
      <c r="AE117" s="77" t="str">
        <f t="shared" si="36"/>
        <v>aws s3 cp s3://rtdc.mdm.uploadarchive.raw/RTDC4028/ "%USERPROFILE%\AppData\Local\Temp\OnboardLogs"\RTDC4028\2017-07-01 --exclude "*" --recursive --include "*20170701*" &amp; "%USERPROFILE%\Documents\GitHub\mrs-test-scripts\Headless Mode &amp; Sideloading\WalkAndUnGZ.bat" "%USERPROFILE%\AppData\Local\Temp\OnboardLogs"\RTDC4028\2017-07-01 &amp; aws s3 cp s3://rtdc.mdm.uploadarchive.raw/RTDC4028/ "%USERPROFILE%\AppData\Local\Temp\OnboardLogs"\RTDC4028\2017-07-02 --exclude "*" --recursive --include "*20170702*" &amp; "%USERPROFILE%\Documents\GitHub\mrs-test-scripts\Headless Mode &amp; Sideloading\WalkAndUnGZ.bat" "%USERPROFILE%\AppData\Local\Temp\OnboardLogs"\RTDC4028\2017-07-02</v>
      </c>
      <c r="AF117" s="74" t="str">
        <f t="shared" si="37"/>
        <v>"C:\Program Files (x86)\AstroGrep\AstroGrep.exe" /e /r /s /spath="%USERPROFILE%\AppData\Local\Temp\OnboardLogs" /stypes="app*4028*20170701*" /stext=" 23:.+((SYSTEM_STATE.+slice.+state.+changed )|(ment ac)|(multiple cpu faults)|(system.+state.+changed )|(\[timeout)|(PRM\|1\|D)|(kpr)|(kdp)|(train st.+moving)|(\|lc)|(penalty))"</v>
      </c>
      <c r="AG117" s="209" t="str">
        <f t="shared" si="38"/>
        <v>EC</v>
      </c>
      <c r="AH117" s="78" t="str">
        <f t="shared" si="39"/>
        <v>"%USERPROFILE%\Documents\GitHub\eaglep3\Utilities\RefineRTDCRunTimes.py" --tripid 203-01 --locoid 4028 --swversion DE.1.0.9.0 --startMP 204:466 --initTime 2017-07-01T16:22:22 --startdatetime 2017-07-01T16:30:45 --delay 1 --endMP 204:233329 --enddatetime 2017-07-01T17:07:52 --enforcementcount 0 &gt;&gt;C:\Users\stu\Documents\GitHub\eaglep3-reporting\EC\2017-07-01-refined-times.txt</v>
      </c>
      <c r="AI117" s="96" t="str">
        <f t="shared" si="40"/>
        <v>echo {"issue":{"subject":"","project_id":79,"tracker_id":40,"status_id":1,"priority_id":2,"assigned_to_id":23,"start_date":"2017-07-01","description":"","custom_fields":[{"id":1,"name":"Subdivision","value":"EC"},{"id":4,"name":"Milepost","value":"23.3329"},{"id":17,"name":"Train ID","value":"203-01"},{"id":16,"name":"Locomotive ID","value":"4028"},{"id":130,"name":"Impact","value":""},{"id":150,"name":"Time of Event (Mountain Time)","value":"17:07:52"},{"id":151,"name":"Denver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7" s="47"/>
      <c r="AL117" s="47"/>
      <c r="AM117" s="142" t="str">
        <f t="shared" si="41"/>
        <v>start /low /b %USERPROFILE%\Documents\GitHub\eaglep3\Utilities\DownloadLogsFromS3.py --loco 4028 --day 2017-07-01</v>
      </c>
      <c r="AN117" s="151" t="str">
        <f t="shared" si="42"/>
        <v>echo {"issue":{"subject":"","project_id":30,"tracker_id":4,"status_id":1,"priority_id":1,"assigned_to_id":10,"start_date":"2017-07-01","description":"","custom_fields":[{"id":30,"name":"Category","value":"Issue"},{"id":3,"name":"Functional Component","value":"Onboard"},{"id":31,"name":"Version","value":"N/A"},{"id":8,"name":"Reporting RR","value":"WABTEC"},{"id":27,"name":"Locomotive ID","value":"4028"},{"id":20,"name":"RR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UTC","value":"2017-07-01 23:07:52"},{"id":29,"name":"Sharepoint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</row>
    <row r="118" spans="1:91" s="20" customFormat="1" x14ac:dyDescent="0.25">
      <c r="A118" s="32" t="s">
        <v>824</v>
      </c>
      <c r="B118" s="7">
        <v>4027</v>
      </c>
      <c r="C118" s="21" t="s">
        <v>202</v>
      </c>
      <c r="D118" s="21" t="s">
        <v>484</v>
      </c>
      <c r="E118" s="13">
        <v>42917.72378472222</v>
      </c>
      <c r="F118" s="13">
        <v>42917.727372685185</v>
      </c>
      <c r="G118" s="7">
        <v>1</v>
      </c>
      <c r="H118" s="21" t="s">
        <v>416</v>
      </c>
      <c r="I118" s="13">
        <v>42917.75335648148</v>
      </c>
      <c r="J118" s="7">
        <v>0</v>
      </c>
      <c r="K118" s="89" t="str">
        <f t="shared" si="27"/>
        <v>4027/4028</v>
      </c>
      <c r="L118" s="21" t="str">
        <f>VLOOKUP(A118,'Trips&amp;Operators'!$C$1:$G$99999,5,FALSE)</f>
        <v>LOPES KIMBERLY</v>
      </c>
      <c r="M118" s="6">
        <f t="shared" si="28"/>
        <v>2.5983796294895001E-2</v>
      </c>
      <c r="N118" s="7">
        <f t="shared" si="43"/>
        <v>37.416666664648801</v>
      </c>
      <c r="O118" s="7"/>
      <c r="P118" s="7"/>
      <c r="Q118" s="22"/>
      <c r="R118" s="170"/>
      <c r="S118" s="213">
        <f t="shared" si="44"/>
        <v>1</v>
      </c>
      <c r="T118" s="195" t="str">
        <f t="shared" si="29"/>
        <v>Southbound</v>
      </c>
      <c r="U118" s="195">
        <f>IF(AG118="EC",COUNTIFS(Variables!$M$2:$M$19,IF(T118="NorthBound","&gt;=","&lt;=")&amp;Y118,Variables!$M$2:$M$19,IF(T118="NorthBound","&lt;=","&gt;=")&amp;Z118),COUNTIFS(Variables!$P$2:$P$19,IF(T118="NorthBound","&gt;=","&lt;=")&amp;Y118,Variables!$P$2:$P$19,IF(T118="NorthBound","&lt;=","&gt;=")&amp;Z118))</f>
        <v>12</v>
      </c>
      <c r="V118" s="196" t="str">
        <f t="shared" si="30"/>
        <v>https://d0f6bd738d7f1b3e5a7ca70fe4ff75f0.us-east-1.aws.found.io/app/kibana#/discover/Steve-Slow-Train-Analysis-(2080s-and-2083s)?_g=(refreshInterval:(display:Off,pause:!f,section:0,value:0),time:(from:'2017-07-01T16:22:15-0600',mode:absolute,to:'2017-07-01T19:04:50-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118" s="197" t="str">
        <f>IF(AA118&lt;VLOOKUP(AG118,Variables!$AC$3:$AD$8,2,FALSE),"Y","N")</f>
        <v>N</v>
      </c>
      <c r="X118" s="197">
        <f t="shared" si="45"/>
        <v>1</v>
      </c>
      <c r="Y118" s="197">
        <f t="shared" si="32"/>
        <v>23.301500000000001</v>
      </c>
      <c r="Z118" s="197">
        <f t="shared" si="33"/>
        <v>1.4500000000000001E-2</v>
      </c>
      <c r="AA118" s="197">
        <f t="shared" si="34"/>
        <v>23.286999999999999</v>
      </c>
      <c r="AB118" s="54" t="e">
        <f>VLOOKUP(A118,Enforcements!$C$7:$K$13,8,0)</f>
        <v>#N/A</v>
      </c>
      <c r="AC118" s="51" t="e">
        <f>VLOOKUP(A118,Enforcements!$C$7:$E$13,3,0)</f>
        <v>#N/A</v>
      </c>
      <c r="AD118" s="206">
        <f t="shared" si="35"/>
        <v>204</v>
      </c>
      <c r="AE118" s="77" t="str">
        <f t="shared" si="36"/>
        <v>aws s3 cp s3://rtdc.mdm.uploadarchive.raw/RTDC4027/ "%USERPROFILE%\AppData\Local\Temp\OnboardLogs"\RTDC4027\2017-07-01 --exclude "*" --recursive --include "*20170701*" &amp; "%USERPROFILE%\Documents\GitHub\mrs-test-scripts\Headless Mode &amp; Sideloading\WalkAndUnGZ.bat" "%USERPROFILE%\AppData\Local\Temp\OnboardLogs"\RTDC4027\2017-07-01 &amp; aws s3 cp s3://rtdc.mdm.uploadarchive.raw/RTDC4027/ "%USERPROFILE%\AppData\Local\Temp\OnboardLogs"\RTDC4027\2017-07-02 --exclude "*" --recursive --include "*20170702*" &amp; "%USERPROFILE%\Documents\GitHub\mrs-test-scripts\Headless Mode &amp; Sideloading\WalkAndUnGZ.bat" "%USERPROFILE%\AppData\Local\Temp\OnboardLogs"\RTDC4027\2017-07-02</v>
      </c>
      <c r="AF118" s="74" t="str">
        <f t="shared" si="37"/>
        <v>"C:\Program Files (x86)\AstroGrep\AstroGrep.exe" /e /r /s /spath="%USERPROFILE%\AppData\Local\Temp\OnboardLogs" /stypes="app*4027*20170702*" /stext=" 00:.+((SYSTEM_STATE.+slice.+state.+changed )|(ment ac)|(multiple cpu faults)|(system.+state.+changed )|(\[timeout)|(PRM\|1\|D)|(kpr)|(kdp)|(train st.+moving)|(\|lc)|(penalty))"</v>
      </c>
      <c r="AG118" s="209" t="str">
        <f t="shared" si="38"/>
        <v>EC</v>
      </c>
      <c r="AH118" s="78" t="str">
        <f t="shared" si="39"/>
        <v>"%USERPROFILE%\Documents\GitHub\eaglep3\Utilities\RefineRTDCRunTimes.py" --tripid 204-01 --locoid 4027 --swversion DE.1.0.9.0 --startMP 204:233015 --initTime 2017-07-01T17:22:15 --startdatetime 2017-07-01T17:27:25 --delay 1 --endMP 204:145 --enddatetime 2017-07-01T18:04:50 --enforcementcount 0 &gt;&gt;C:\Users\stu\Documents\GitHub\eaglep3-reporting\EC\2017-07-01-refined-times.txt</v>
      </c>
      <c r="AI118" s="96" t="str">
        <f t="shared" si="40"/>
        <v>echo {"issue":{"subject":"","project_id":79,"tracker_id":40,"status_id":1,"priority_id":2,"assigned_to_id":23,"start_date":"2017-07-01","description":"","custom_fields":[{"id":1,"name":"Subdivision","value":"EC"},{"id":4,"name":"Milepost","value":"0.0145"},{"id":17,"name":"Train ID","value":"204-01"},{"id":16,"name":"Locomotive ID","value":"4027"},{"id":130,"name":"Impact","value":""},{"id":150,"name":"Time of Event (Mountain Time)","value":"18:04:50"},{"id":151,"name":"Denver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8" s="47"/>
      <c r="AL118" s="47"/>
      <c r="AM118" s="142" t="str">
        <f t="shared" si="41"/>
        <v>start /low /b %USERPROFILE%\Documents\GitHub\eaglep3\Utilities\DownloadLogsFromS3.py --loco 4027 --day 2017-07-01</v>
      </c>
      <c r="AN118" s="151" t="str">
        <f t="shared" si="42"/>
        <v>echo {"issue":{"subject":"","project_id":30,"tracker_id":4,"status_id":1,"priority_id":1,"assigned_to_id":10,"start_date":"2017-07-02","description":"","custom_fields":[{"id":30,"name":"Category","value":"Issue"},{"id":3,"name":"Functional Component","value":"Onboard"},{"id":31,"name":"Version","value":"N/A"},{"id":8,"name":"Reporting RR","value":"WABTEC"},{"id":27,"name":"Locomotive ID","value":"4027"},{"id":20,"name":"RR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UTC","value":"2017-07-02 00:04:50"},{"id":29,"name":"Sharepoint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</row>
    <row r="119" spans="1:91" s="20" customFormat="1" x14ac:dyDescent="0.25">
      <c r="A119" s="32" t="s">
        <v>819</v>
      </c>
      <c r="B119" s="7">
        <v>4014</v>
      </c>
      <c r="C119" s="21" t="s">
        <v>202</v>
      </c>
      <c r="D119" s="21" t="s">
        <v>477</v>
      </c>
      <c r="E119" s="13">
        <v>42917.694456018522</v>
      </c>
      <c r="F119" s="13">
        <v>42917.698379629626</v>
      </c>
      <c r="G119" s="7">
        <v>1</v>
      </c>
      <c r="H119" s="21" t="s">
        <v>979</v>
      </c>
      <c r="I119" s="13">
        <v>42917.725092592591</v>
      </c>
      <c r="J119" s="7">
        <v>0</v>
      </c>
      <c r="K119" s="89" t="str">
        <f t="shared" si="27"/>
        <v>4013/4014</v>
      </c>
      <c r="L119" s="21" t="str">
        <f>VLOOKUP(A119,'Trips&amp;Operators'!$C$1:$G$99999,5,FALSE)</f>
        <v>BRANDNER MELINDA</v>
      </c>
      <c r="M119" s="6">
        <f t="shared" si="28"/>
        <v>2.6712962964666076E-2</v>
      </c>
      <c r="N119" s="7">
        <f t="shared" si="43"/>
        <v>38.466666669119149</v>
      </c>
      <c r="O119" s="7"/>
      <c r="P119" s="7"/>
      <c r="Q119" s="22"/>
      <c r="R119" s="170"/>
      <c r="S119" s="213">
        <f t="shared" si="44"/>
        <v>1</v>
      </c>
      <c r="T119" s="195" t="str">
        <f t="shared" si="29"/>
        <v>NorthBound</v>
      </c>
      <c r="U119" s="195">
        <f>IF(AG119="EC",COUNTIFS(Variables!$M$2:$M$19,IF(T119="NorthBound","&gt;=","&lt;=")&amp;Y119,Variables!$M$2:$M$19,IF(T119="NorthBound","&lt;=","&gt;=")&amp;Z119),COUNTIFS(Variables!$P$2:$P$19,IF(T119="NorthBound","&gt;=","&lt;=")&amp;Y119,Variables!$P$2:$P$19,IF(T119="NorthBound","&lt;=","&gt;=")&amp;Z119))</f>
        <v>12</v>
      </c>
      <c r="V119" s="196" t="str">
        <f t="shared" si="30"/>
        <v>https://d0f6bd738d7f1b3e5a7ca70fe4ff75f0.us-east-1.aws.found.io/app/kibana#/discover/Steve-Slow-Train-Analysis-(2080s-and-2083s)?_g=(refreshInterval:(display:Off,pause:!f,section:0,value:0),time:(from:'2017-07-01T15:40:01-0600',mode:absolute,to:'2017-07-01T18:24:08-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119" s="197" t="str">
        <f>IF(AA119&lt;VLOOKUP(AG119,Variables!$AC$3:$AD$8,2,FALSE),"Y","N")</f>
        <v>N</v>
      </c>
      <c r="X119" s="197">
        <f t="shared" si="45"/>
        <v>1</v>
      </c>
      <c r="Y119" s="197">
        <f t="shared" si="32"/>
        <v>4.4400000000000002E-2</v>
      </c>
      <c r="Z119" s="197">
        <f t="shared" si="33"/>
        <v>23.331600000000002</v>
      </c>
      <c r="AA119" s="197">
        <f t="shared" si="34"/>
        <v>23.287200000000002</v>
      </c>
      <c r="AB119" s="54" t="e">
        <f>VLOOKUP(A119,Enforcements!$C$7:$K$13,8,0)</f>
        <v>#N/A</v>
      </c>
      <c r="AC119" s="51" t="e">
        <f>VLOOKUP(A119,Enforcements!$C$7:$E$13,3,0)</f>
        <v>#N/A</v>
      </c>
      <c r="AD119" s="206">
        <f t="shared" si="35"/>
        <v>205</v>
      </c>
      <c r="AE119" s="77" t="str">
        <f t="shared" si="36"/>
        <v>aws s3 cp s3://rtdc.mdm.uploadarchive.raw/RTDC4014/ "%USERPROFILE%\AppData\Local\Temp\OnboardLogs"\RTDC4014\2017-07-01 --exclude "*" --recursive --include "*20170701*" &amp; "%USERPROFILE%\Documents\GitHub\mrs-test-scripts\Headless Mode &amp; Sideloading\WalkAndUnGZ.bat" "%USERPROFILE%\AppData\Local\Temp\OnboardLogs"\RTDC4014\2017-07-01 &amp; aws s3 cp s3://rtdc.mdm.uploadarchive.raw/RTDC4014/ "%USERPROFILE%\AppData\Local\Temp\OnboardLogs"\RTDC4014\2017-07-02 --exclude "*" --recursive --include "*20170702*" &amp; "%USERPROFILE%\Documents\GitHub\mrs-test-scripts\Headless Mode &amp; Sideloading\WalkAndUnGZ.bat" "%USERPROFILE%\AppData\Local\Temp\OnboardLogs"\RTDC4014\2017-07-02</v>
      </c>
      <c r="AF119" s="74" t="str">
        <f t="shared" si="37"/>
        <v>"C:\Program Files (x86)\AstroGrep\AstroGrep.exe" /e /r /s /spath="%USERPROFILE%\AppData\Local\Temp\OnboardLogs" /stypes="app*4014*20170701*" /stext=" 23:.+((SYSTEM_STATE.+slice.+state.+changed )|(ment ac)|(multiple cpu faults)|(system.+state.+changed )|(\[timeout)|(PRM\|1\|D)|(kpr)|(kdp)|(train st.+moving)|(\|lc)|(penalty))"</v>
      </c>
      <c r="AG119" s="209" t="str">
        <f t="shared" si="38"/>
        <v>EC</v>
      </c>
      <c r="AH119" s="78" t="str">
        <f t="shared" si="39"/>
        <v>"%USERPROFILE%\Documents\GitHub\eaglep3\Utilities\RefineRTDCRunTimes.py" --tripid 205-01 --locoid 4014 --swversion DE.1.0.9.0 --startMP 204:444 --initTime 2017-07-01T16:40:01 --startdatetime 2017-07-01T16:45:40 --delay 1 --endMP 204:233316 --enddatetime 2017-07-01T17:24:08 --enforcementcount 0 &gt;&gt;C:\Users\stu\Documents\GitHub\eaglep3-reporting\EC\2017-07-01-refined-times.txt</v>
      </c>
      <c r="AI119" s="96" t="str">
        <f t="shared" si="40"/>
        <v>echo {"issue":{"subject":"","project_id":79,"tracker_id":40,"status_id":1,"priority_id":2,"assigned_to_id":23,"start_date":"2017-07-01","description":"","custom_fields":[{"id":1,"name":"Subdivision","value":"EC"},{"id":4,"name":"Milepost","value":"23.3316"},{"id":17,"name":"Train ID","value":"205-01"},{"id":16,"name":"Locomotive ID","value":"4014"},{"id":130,"name":"Impact","value":""},{"id":150,"name":"Time of Event (Mountain Time)","value":"17:24:08"},{"id":151,"name":"Denver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9" s="47"/>
      <c r="AL119" s="47"/>
      <c r="AM119" s="142" t="str">
        <f t="shared" si="41"/>
        <v>start /low /b %USERPROFILE%\Documents\GitHub\eaglep3\Utilities\DownloadLogsFromS3.py --loco 4014 --day 2017-07-01</v>
      </c>
      <c r="AN119" s="151" t="str">
        <f t="shared" si="42"/>
        <v>echo {"issue":{"subject":"","project_id":30,"tracker_id":4,"status_id":1,"priority_id":1,"assigned_to_id":10,"start_date":"2017-07-01","description":"","custom_fields":[{"id":30,"name":"Category","value":"Issue"},{"id":3,"name":"Functional Component","value":"Onboard"},{"id":31,"name":"Version","value":"N/A"},{"id":8,"name":"Reporting RR","value":"WABTEC"},{"id":27,"name":"Locomotive ID","value":"4014"},{"id":20,"name":"RR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UTC","value":"2017-07-01 23:24:08"},{"id":29,"name":"Sharepoint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</row>
    <row r="120" spans="1:91" s="20" customFormat="1" x14ac:dyDescent="0.25">
      <c r="A120" s="32" t="s">
        <v>827</v>
      </c>
      <c r="B120" s="7">
        <v>4013</v>
      </c>
      <c r="C120" s="21" t="s">
        <v>202</v>
      </c>
      <c r="D120" s="21" t="s">
        <v>547</v>
      </c>
      <c r="E120" s="13">
        <v>42917.735358796293</v>
      </c>
      <c r="F120" s="13">
        <v>42917.737847222219</v>
      </c>
      <c r="G120" s="7">
        <v>1</v>
      </c>
      <c r="H120" s="21" t="s">
        <v>918</v>
      </c>
      <c r="I120" s="13">
        <v>42917.765532407408</v>
      </c>
      <c r="J120" s="7">
        <v>0</v>
      </c>
      <c r="K120" s="89" t="str">
        <f t="shared" si="27"/>
        <v>4013/4014</v>
      </c>
      <c r="L120" s="21" t="str">
        <f>VLOOKUP(A120,'Trips&amp;Operators'!$C$1:$G$99999,5,FALSE)</f>
        <v>BRANDNER MELINDA</v>
      </c>
      <c r="M120" s="6">
        <f t="shared" si="28"/>
        <v>2.768518518860219E-2</v>
      </c>
      <c r="N120" s="7">
        <f t="shared" si="43"/>
        <v>39.866666671587154</v>
      </c>
      <c r="O120" s="7"/>
      <c r="P120" s="7"/>
      <c r="Q120" s="22"/>
      <c r="R120" s="170"/>
      <c r="S120" s="213">
        <f t="shared" si="44"/>
        <v>1</v>
      </c>
      <c r="T120" s="195" t="str">
        <f t="shared" si="29"/>
        <v>Southbound</v>
      </c>
      <c r="U120" s="195">
        <f>IF(AG120="EC",COUNTIFS(Variables!$M$2:$M$19,IF(T120="NorthBound","&gt;=","&lt;=")&amp;Y120,Variables!$M$2:$M$19,IF(T120="NorthBound","&lt;=","&gt;=")&amp;Z120),COUNTIFS(Variables!$P$2:$P$19,IF(T120="NorthBound","&gt;=","&lt;=")&amp;Y120,Variables!$P$2:$P$19,IF(T120="NorthBound","&lt;=","&gt;=")&amp;Z120))</f>
        <v>12</v>
      </c>
      <c r="V120" s="196" t="str">
        <f t="shared" si="30"/>
        <v>https://d0f6bd738d7f1b3e5a7ca70fe4ff75f0.us-east-1.aws.found.io/app/kibana#/discover/Steve-Slow-Train-Analysis-(2080s-and-2083s)?_g=(refreshInterval:(display:Off,pause:!f,section:0,value:0),time:(from:'2017-07-01T16:38:55-0600',mode:absolute,to:'2017-07-01T19:22:22-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120" s="197" t="str">
        <f>IF(AA120&lt;VLOOKUP(AG120,Variables!$AC$3:$AD$8,2,FALSE),"Y","N")</f>
        <v>N</v>
      </c>
      <c r="X120" s="197">
        <f t="shared" si="45"/>
        <v>1</v>
      </c>
      <c r="Y120" s="197">
        <f t="shared" si="32"/>
        <v>23.299800000000001</v>
      </c>
      <c r="Z120" s="197">
        <f t="shared" si="33"/>
        <v>1.2999999999999999E-2</v>
      </c>
      <c r="AA120" s="197">
        <f t="shared" si="34"/>
        <v>23.286799999999999</v>
      </c>
      <c r="AB120" s="54" t="e">
        <f>VLOOKUP(A120,Enforcements!$C$7:$K$13,8,0)</f>
        <v>#N/A</v>
      </c>
      <c r="AC120" s="51" t="e">
        <f>VLOOKUP(A120,Enforcements!$C$7:$E$13,3,0)</f>
        <v>#N/A</v>
      </c>
      <c r="AD120" s="206">
        <f t="shared" si="35"/>
        <v>206</v>
      </c>
      <c r="AE120" s="77" t="str">
        <f t="shared" si="36"/>
        <v>aws s3 cp s3://rtdc.mdm.uploadarchive.raw/RTDC4013/ "%USERPROFILE%\AppData\Local\Temp\OnboardLogs"\RTDC4013\2017-07-01 --exclude "*" --recursive --include "*20170701*" &amp; "%USERPROFILE%\Documents\GitHub\mrs-test-scripts\Headless Mode &amp; Sideloading\WalkAndUnGZ.bat" "%USERPROFILE%\AppData\Local\Temp\OnboardLogs"\RTDC4013\2017-07-01 &amp; aws s3 cp s3://rtdc.mdm.uploadarchive.raw/RTDC4013/ "%USERPROFILE%\AppData\Local\Temp\OnboardLogs"\RTDC4013\2017-07-02 --exclude "*" --recursive --include "*20170702*" &amp; "%USERPROFILE%\Documents\GitHub\mrs-test-scripts\Headless Mode &amp; Sideloading\WalkAndUnGZ.bat" "%USERPROFILE%\AppData\Local\Temp\OnboardLogs"\RTDC4013\2017-07-02</v>
      </c>
      <c r="AF120" s="74" t="str">
        <f t="shared" si="37"/>
        <v>"C:\Program Files (x86)\AstroGrep\AstroGrep.exe" /e /r /s /spath="%USERPROFILE%\AppData\Local\Temp\OnboardLogs" /stypes="app*4013*20170702*" /stext=" 00:.+((SYSTEM_STATE.+slice.+state.+changed )|(ment ac)|(multiple cpu faults)|(system.+state.+changed )|(\[timeout)|(PRM\|1\|D)|(kpr)|(kdp)|(train st.+moving)|(\|lc)|(penalty))"</v>
      </c>
      <c r="AG120" s="209" t="str">
        <f t="shared" si="38"/>
        <v>EC</v>
      </c>
      <c r="AH120" s="78" t="str">
        <f t="shared" si="39"/>
        <v>"%USERPROFILE%\Documents\GitHub\eaglep3\Utilities\RefineRTDCRunTimes.py" --tripid 206-01 --locoid 4013 --swversion DE.1.0.9.0 --startMP 204:232998 --initTime 2017-07-01T17:38:55 --startdatetime 2017-07-01T17:42:30 --delay 1 --endMP 204:130 --enddatetime 2017-07-01T18:22:22 --enforcementcount 0 &gt;&gt;C:\Users\stu\Documents\GitHub\eaglep3-reporting\EC\2017-07-01-refined-times.txt</v>
      </c>
      <c r="AI120" s="96" t="str">
        <f t="shared" si="40"/>
        <v>echo {"issue":{"subject":"","project_id":79,"tracker_id":40,"status_id":1,"priority_id":2,"assigned_to_id":23,"start_date":"2017-07-01","description":"","custom_fields":[{"id":1,"name":"Subdivision","value":"EC"},{"id":4,"name":"Milepost","value":"0.013"},{"id":17,"name":"Train ID","value":"206-01"},{"id":16,"name":"Locomotive ID","value":"4013"},{"id":130,"name":"Impact","value":""},{"id":150,"name":"Time of Event (Mountain Time)","value":"18:22:22"},{"id":151,"name":"Denver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0" s="47"/>
      <c r="AL120" s="47"/>
      <c r="AM120" s="142" t="str">
        <f t="shared" si="41"/>
        <v>start /low /b %USERPROFILE%\Documents\GitHub\eaglep3\Utilities\DownloadLogsFromS3.py --loco 4013 --day 2017-07-01</v>
      </c>
      <c r="AN120" s="151" t="str">
        <f t="shared" si="42"/>
        <v>echo {"issue":{"subject":"","project_id":30,"tracker_id":4,"status_id":1,"priority_id":1,"assigned_to_id":10,"start_date":"2017-07-02","description":"","custom_fields":[{"id":30,"name":"Category","value":"Issue"},{"id":3,"name":"Functional Component","value":"Onboard"},{"id":31,"name":"Version","value":"N/A"},{"id":8,"name":"Reporting RR","value":"WABTEC"},{"id":27,"name":"Locomotive ID","value":"4013"},{"id":20,"name":"RR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UTC","value":"2017-07-02 00:22:22"},{"id":29,"name":"Sharepoint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</row>
    <row r="121" spans="1:91" s="20" customFormat="1" x14ac:dyDescent="0.25">
      <c r="A121" s="32" t="s">
        <v>820</v>
      </c>
      <c r="B121" s="7">
        <v>4062</v>
      </c>
      <c r="C121" s="21" t="s">
        <v>202</v>
      </c>
      <c r="D121" s="21" t="s">
        <v>895</v>
      </c>
      <c r="E121" s="13">
        <v>42917.704143518517</v>
      </c>
      <c r="F121" s="13">
        <v>42917.708819444444</v>
      </c>
      <c r="G121" s="7">
        <v>1</v>
      </c>
      <c r="H121" s="21" t="s">
        <v>548</v>
      </c>
      <c r="I121" s="13">
        <v>42917.733402777776</v>
      </c>
      <c r="J121" s="7">
        <v>0</v>
      </c>
      <c r="K121" s="89" t="str">
        <f t="shared" si="27"/>
        <v>4061/4062</v>
      </c>
      <c r="L121" s="21" t="str">
        <f>VLOOKUP(A121,'Trips&amp;Operators'!$C$1:$G$99999,5,FALSE)</f>
        <v>BRUDER RICHARD</v>
      </c>
      <c r="M121" s="6">
        <f t="shared" si="28"/>
        <v>2.4583333331975155E-2</v>
      </c>
      <c r="N121" s="7">
        <f t="shared" si="43"/>
        <v>35.399999998044223</v>
      </c>
      <c r="O121" s="7"/>
      <c r="P121" s="7"/>
      <c r="Q121" s="22"/>
      <c r="R121" s="170"/>
      <c r="S121" s="213">
        <f t="shared" si="44"/>
        <v>1</v>
      </c>
      <c r="T121" s="195" t="str">
        <f t="shared" si="29"/>
        <v>NorthBound</v>
      </c>
      <c r="U121" s="195">
        <f>IF(AG121="EC",COUNTIFS(Variables!$M$2:$M$19,IF(T121="NorthBound","&gt;=","&lt;=")&amp;Y121,Variables!$M$2:$M$19,IF(T121="NorthBound","&lt;=","&gt;=")&amp;Z121),COUNTIFS(Variables!$P$2:$P$19,IF(T121="NorthBound","&gt;=","&lt;=")&amp;Y121,Variables!$P$2:$P$19,IF(T121="NorthBound","&lt;=","&gt;=")&amp;Z121))</f>
        <v>12</v>
      </c>
      <c r="V121" s="196" t="str">
        <f t="shared" si="30"/>
        <v>https://d0f6bd738d7f1b3e5a7ca70fe4ff75f0.us-east-1.aws.found.io/app/kibana#/discover/Steve-Slow-Train-Analysis-(2080s-and-2083s)?_g=(refreshInterval:(display:Off,pause:!f,section:0,value:0),time:(from:'2017-07-01T15:53:58-0600',mode:absolute,to:'2017-07-01T18:36:06-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4062%22')),sort:!(Time.ISO8601,asc))</v>
      </c>
      <c r="W121" s="197" t="str">
        <f>IF(AA121&lt;VLOOKUP(AG121,Variables!$AC$3:$AD$8,2,FALSE),"Y","N")</f>
        <v>N</v>
      </c>
      <c r="X121" s="197">
        <f t="shared" si="45"/>
        <v>1</v>
      </c>
      <c r="Y121" s="197">
        <f t="shared" si="32"/>
        <v>4.3099999999999999E-2</v>
      </c>
      <c r="Z121" s="197">
        <f t="shared" si="33"/>
        <v>23.331399999999999</v>
      </c>
      <c r="AA121" s="197">
        <f t="shared" si="34"/>
        <v>23.2883</v>
      </c>
      <c r="AB121" s="54" t="e">
        <f>VLOOKUP(A121,Enforcements!$C$7:$K$13,8,0)</f>
        <v>#N/A</v>
      </c>
      <c r="AC121" s="51" t="e">
        <f>VLOOKUP(A121,Enforcements!$C$7:$E$13,3,0)</f>
        <v>#N/A</v>
      </c>
      <c r="AD121" s="206">
        <f t="shared" si="35"/>
        <v>207</v>
      </c>
      <c r="AE121" s="77" t="str">
        <f t="shared" si="36"/>
        <v>aws s3 cp s3://rtdc.mdm.uploadarchive.raw/RTDC4062/ "%USERPROFILE%\AppData\Local\Temp\OnboardLogs"\RTDC4062\2017-07-01 --exclude "*" --recursive --include "*20170701*" &amp; "%USERPROFILE%\Documents\GitHub\mrs-test-scripts\Headless Mode &amp; Sideloading\WalkAndUnGZ.bat" "%USERPROFILE%\AppData\Local\Temp\OnboardLogs"\RTDC4062\2017-07-01 &amp; aws s3 cp s3://rtdc.mdm.uploadarchive.raw/RTDC4062/ "%USERPROFILE%\AppData\Local\Temp\OnboardLogs"\RTDC4062\2017-07-02 --exclude "*" --recursive --include "*20170702*" &amp; "%USERPROFILE%\Documents\GitHub\mrs-test-scripts\Headless Mode &amp; Sideloading\WalkAndUnGZ.bat" "%USERPROFILE%\AppData\Local\Temp\OnboardLogs"\RTDC4062\2017-07-02</v>
      </c>
      <c r="AF121" s="74" t="str">
        <f t="shared" si="37"/>
        <v>"C:\Program Files (x86)\AstroGrep\AstroGrep.exe" /e /r /s /spath="%USERPROFILE%\AppData\Local\Temp\OnboardLogs" /stypes="app*4062*20170701*" /stext=" 23:.+((SYSTEM_STATE.+slice.+state.+changed )|(ment ac)|(multiple cpu faults)|(system.+state.+changed )|(\[timeout)|(PRM\|1\|D)|(kpr)|(kdp)|(train st.+moving)|(\|lc)|(penalty))"</v>
      </c>
      <c r="AG121" s="209" t="str">
        <f t="shared" si="38"/>
        <v>EC</v>
      </c>
      <c r="AH121" s="78" t="str">
        <f t="shared" si="39"/>
        <v>"%USERPROFILE%\Documents\GitHub\eaglep3\Utilities\RefineRTDCRunTimes.py" --tripid 207-01 --locoid 4062 --swversion DE.1.0.9.0 --startMP 204:431 --initTime 2017-07-01T16:53:58 --startdatetime 2017-07-01T17:00:42 --delay 1 --endMP 204:233314 --enddatetime 2017-07-01T17:36:06 --enforcementcount 0 &gt;&gt;C:\Users\stu\Documents\GitHub\eaglep3-reporting\EC\2017-07-01-refined-times.txt</v>
      </c>
      <c r="AI121" s="96" t="str">
        <f t="shared" si="40"/>
        <v>echo {"issue":{"subject":"","project_id":79,"tracker_id":40,"status_id":1,"priority_id":2,"assigned_to_id":23,"start_date":"2017-07-01","description":"","custom_fields":[{"id":1,"name":"Subdivision","value":"EC"},{"id":4,"name":"Milepost","value":"23.3314"},{"id":17,"name":"Train ID","value":"207-01"},{"id":16,"name":"Locomotive ID","value":"4062"},{"id":130,"name":"Impact","value":""},{"id":150,"name":"Time of Event (Mountain Time)","value":"17:36:06"},{"id":151,"name":"Denver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1" s="47"/>
      <c r="AL121" s="47"/>
      <c r="AM121" s="142" t="str">
        <f t="shared" si="41"/>
        <v>start /low /b %USERPROFILE%\Documents\GitHub\eaglep3\Utilities\DownloadLogsFromS3.py --loco 4062 --day 2017-07-01</v>
      </c>
      <c r="AN121" s="151" t="str">
        <f t="shared" si="42"/>
        <v>echo {"issue":{"subject":"","project_id":30,"tracker_id":4,"status_id":1,"priority_id":1,"assigned_to_id":10,"start_date":"2017-07-01","description":"","custom_fields":[{"id":30,"name":"Category","value":"Issue"},{"id":3,"name":"Functional Component","value":"Onboard"},{"id":31,"name":"Version","value":"N/A"},{"id":8,"name":"Reporting RR","value":"WABTEC"},{"id":27,"name":"Locomotive ID","value":"4062"},{"id":20,"name":"RR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UTC","value":"2017-07-01 23:36:06"},{"id":29,"name":"Sharepoint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</row>
    <row r="122" spans="1:91" s="20" customFormat="1" x14ac:dyDescent="0.25">
      <c r="A122" s="32" t="s">
        <v>831</v>
      </c>
      <c r="B122" s="7">
        <v>4061</v>
      </c>
      <c r="C122" s="21" t="s">
        <v>202</v>
      </c>
      <c r="D122" s="21" t="s">
        <v>980</v>
      </c>
      <c r="E122" s="13">
        <v>42917.743807870371</v>
      </c>
      <c r="F122" s="13">
        <v>42917.748182870368</v>
      </c>
      <c r="G122" s="7">
        <v>1</v>
      </c>
      <c r="H122" s="21" t="s">
        <v>193</v>
      </c>
      <c r="I122" s="13">
        <v>42917.77416666667</v>
      </c>
      <c r="J122" s="7">
        <v>0</v>
      </c>
      <c r="K122" s="89" t="str">
        <f t="shared" si="27"/>
        <v>4061/4062</v>
      </c>
      <c r="L122" s="21" t="str">
        <f>VLOOKUP(A122,'Trips&amp;Operators'!$C$1:$G$99999,5,FALSE)</f>
        <v>BRUDER RICHARD</v>
      </c>
      <c r="M122" s="6">
        <f t="shared" si="28"/>
        <v>2.5983796302170958E-2</v>
      </c>
      <c r="N122" s="7">
        <f t="shared" si="43"/>
        <v>37.41666667512618</v>
      </c>
      <c r="O122" s="7"/>
      <c r="P122" s="7"/>
      <c r="Q122" s="22"/>
      <c r="R122" s="170"/>
      <c r="S122" s="213">
        <f t="shared" si="44"/>
        <v>1</v>
      </c>
      <c r="T122" s="195" t="str">
        <f t="shared" si="29"/>
        <v>Southbound</v>
      </c>
      <c r="U122" s="195">
        <f>IF(AG122="EC",COUNTIFS(Variables!$M$2:$M$19,IF(T122="NorthBound","&gt;=","&lt;=")&amp;Y122,Variables!$M$2:$M$19,IF(T122="NorthBound","&lt;=","&gt;=")&amp;Z122),COUNTIFS(Variables!$P$2:$P$19,IF(T122="NorthBound","&gt;=","&lt;=")&amp;Y122,Variables!$P$2:$P$19,IF(T122="NorthBound","&lt;=","&gt;=")&amp;Z122))</f>
        <v>12</v>
      </c>
      <c r="V122" s="196" t="str">
        <f t="shared" si="30"/>
        <v>https://d0f6bd738d7f1b3e5a7ca70fe4ff75f0.us-east-1.aws.found.io/app/kibana#/discover/Steve-Slow-Train-Analysis-(2080s-and-2083s)?_g=(refreshInterval:(display:Off,pause:!f,section:0,value:0),time:(from:'2017-07-01T16:51:05-0600',mode:absolute,to:'2017-07-01T19:34:48-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4061%22')),sort:!(Time.ISO8601,asc))</v>
      </c>
      <c r="W122" s="197" t="str">
        <f>IF(AA122&lt;VLOOKUP(AG122,Variables!$AC$3:$AD$8,2,FALSE),"Y","N")</f>
        <v>N</v>
      </c>
      <c r="X122" s="197">
        <f t="shared" si="45"/>
        <v>1</v>
      </c>
      <c r="Y122" s="197">
        <f t="shared" si="32"/>
        <v>23.298500000000001</v>
      </c>
      <c r="Z122" s="197">
        <f t="shared" si="33"/>
        <v>1.52E-2</v>
      </c>
      <c r="AA122" s="197">
        <f t="shared" si="34"/>
        <v>23.283300000000001</v>
      </c>
      <c r="AB122" s="54" t="e">
        <f>VLOOKUP(A122,Enforcements!$C$7:$K$13,8,0)</f>
        <v>#N/A</v>
      </c>
      <c r="AC122" s="51" t="e">
        <f>VLOOKUP(A122,Enforcements!$C$7:$E$13,3,0)</f>
        <v>#N/A</v>
      </c>
      <c r="AD122" s="206">
        <f t="shared" si="35"/>
        <v>208</v>
      </c>
      <c r="AE122" s="77" t="str">
        <f t="shared" si="36"/>
        <v>aws s3 cp s3://rtdc.mdm.uploadarchive.raw/RTDC4061/ "%USERPROFILE%\AppData\Local\Temp\OnboardLogs"\RTDC4061\2017-07-01 --exclude "*" --recursive --include "*20170701*" &amp; "%USERPROFILE%\Documents\GitHub\mrs-test-scripts\Headless Mode &amp; Sideloading\WalkAndUnGZ.bat" "%USERPROFILE%\AppData\Local\Temp\OnboardLogs"\RTDC4061\2017-07-01 &amp; aws s3 cp s3://rtdc.mdm.uploadarchive.raw/RTDC4061/ "%USERPROFILE%\AppData\Local\Temp\OnboardLogs"\RTDC4061\2017-07-02 --exclude "*" --recursive --include "*20170702*" &amp; "%USERPROFILE%\Documents\GitHub\mrs-test-scripts\Headless Mode &amp; Sideloading\WalkAndUnGZ.bat" "%USERPROFILE%\AppData\Local\Temp\OnboardLogs"\RTDC4061\2017-07-02</v>
      </c>
      <c r="AF122" s="74" t="str">
        <f t="shared" si="37"/>
        <v>"C:\Program Files (x86)\AstroGrep\AstroGrep.exe" /e /r /s /spath="%USERPROFILE%\AppData\Local\Temp\OnboardLogs" /stypes="app*4061*20170702*" /stext=" 00:.+((SYSTEM_STATE.+slice.+state.+changed )|(ment ac)|(multiple cpu faults)|(system.+state.+changed )|(\[timeout)|(PRM\|1\|D)|(kpr)|(kdp)|(train st.+moving)|(\|lc)|(penalty))"</v>
      </c>
      <c r="AG122" s="209" t="str">
        <f t="shared" si="38"/>
        <v>EC</v>
      </c>
      <c r="AH122" s="78" t="str">
        <f t="shared" si="39"/>
        <v>"%USERPROFILE%\Documents\GitHub\eaglep3\Utilities\RefineRTDCRunTimes.py" --tripid 208-01 --locoid 4061 --swversion DE.1.0.9.0 --startMP 204:232985 --initTime 2017-07-01T17:51:05 --startdatetime 2017-07-01T17:57:23 --delay 1 --endMP 204:152 --enddatetime 2017-07-01T18:34:48 --enforcementcount 0 &gt;&gt;C:\Users\stu\Documents\GitHub\eaglep3-reporting\EC\2017-07-01-refined-times.txt</v>
      </c>
      <c r="AI122" s="96" t="str">
        <f t="shared" si="40"/>
        <v>echo {"issue":{"subject":"","project_id":79,"tracker_id":40,"status_id":1,"priority_id":2,"assigned_to_id":23,"start_date":"2017-07-01","description":"","custom_fields":[{"id":1,"name":"Subdivision","value":"EC"},{"id":4,"name":"Milepost","value":"0.0152"},{"id":17,"name":"Train ID","value":"208-01"},{"id":16,"name":"Locomotive ID","value":"4061"},{"id":130,"name":"Impact","value":""},{"id":150,"name":"Time of Event (Mountain Time)","value":"18:34:48"},{"id":151,"name":"Denver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2" s="47"/>
      <c r="AL122" s="47"/>
      <c r="AM122" s="142" t="str">
        <f t="shared" si="41"/>
        <v>start /low /b %USERPROFILE%\Documents\GitHub\eaglep3\Utilities\DownloadLogsFromS3.py --loco 4061 --day 2017-07-01</v>
      </c>
      <c r="AN122" s="151" t="str">
        <f t="shared" si="42"/>
        <v>echo {"issue":{"subject":"","project_id":30,"tracker_id":4,"status_id":1,"priority_id":1,"assigned_to_id":10,"start_date":"2017-07-02","description":"","custom_fields":[{"id":30,"name":"Category","value":"Issue"},{"id":3,"name":"Functional Component","value":"Onboard"},{"id":31,"name":"Version","value":"N/A"},{"id":8,"name":"Reporting RR","value":"WABTEC"},{"id":27,"name":"Locomotive ID","value":"4061"},{"id":20,"name":"RR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UTC","value":"2017-07-02 00:34:48"},{"id":29,"name":"Sharepoint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2"/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  <c r="BQ122"/>
      <c r="BR122"/>
      <c r="BS122"/>
      <c r="BT122"/>
      <c r="BU122"/>
      <c r="BV122"/>
      <c r="BW122"/>
      <c r="BX122"/>
      <c r="BY122"/>
      <c r="BZ122"/>
      <c r="CA122"/>
      <c r="CB122"/>
      <c r="CC122"/>
      <c r="CD122"/>
      <c r="CE122"/>
      <c r="CF122"/>
      <c r="CG122"/>
      <c r="CH122"/>
      <c r="CI122"/>
      <c r="CJ122"/>
      <c r="CK122"/>
      <c r="CL122"/>
      <c r="CM122"/>
    </row>
    <row r="123" spans="1:91" s="20" customFormat="1" x14ac:dyDescent="0.25">
      <c r="A123" s="32" t="s">
        <v>822</v>
      </c>
      <c r="B123" s="7">
        <v>4008</v>
      </c>
      <c r="C123" s="21" t="s">
        <v>202</v>
      </c>
      <c r="D123" s="21" t="s">
        <v>351</v>
      </c>
      <c r="E123" s="13">
        <v>42917.714421296296</v>
      </c>
      <c r="F123" s="13">
        <v>42917.719247685185</v>
      </c>
      <c r="G123" s="7">
        <v>1</v>
      </c>
      <c r="H123" s="21" t="s">
        <v>605</v>
      </c>
      <c r="I123" s="13">
        <v>42917.743854166663</v>
      </c>
      <c r="J123" s="7">
        <v>0</v>
      </c>
      <c r="K123" s="89" t="str">
        <f t="shared" si="27"/>
        <v>4007/4008</v>
      </c>
      <c r="L123" s="21" t="str">
        <f>VLOOKUP(A123,'Trips&amp;Operators'!$C$1:$G$99999,5,FALSE)</f>
        <v>NEWELL JAMES</v>
      </c>
      <c r="M123" s="6">
        <f t="shared" si="28"/>
        <v>2.4606481478258502E-2</v>
      </c>
      <c r="N123" s="7">
        <f t="shared" si="43"/>
        <v>35.433333328692243</v>
      </c>
      <c r="O123" s="7"/>
      <c r="P123" s="7"/>
      <c r="Q123" s="22"/>
      <c r="R123" s="170"/>
      <c r="S123" s="213">
        <f t="shared" si="44"/>
        <v>1</v>
      </c>
      <c r="T123" s="195" t="str">
        <f t="shared" si="29"/>
        <v>NorthBound</v>
      </c>
      <c r="U123" s="195">
        <f>IF(AG123="EC",COUNTIFS(Variables!$M$2:$M$19,IF(T123="NorthBound","&gt;=","&lt;=")&amp;Y123,Variables!$M$2:$M$19,IF(T123="NorthBound","&lt;=","&gt;=")&amp;Z123),COUNTIFS(Variables!$P$2:$P$19,IF(T123="NorthBound","&gt;=","&lt;=")&amp;Y123,Variables!$P$2:$P$19,IF(T123="NorthBound","&lt;=","&gt;=")&amp;Z123))</f>
        <v>12</v>
      </c>
      <c r="V123" s="196" t="str">
        <f t="shared" si="30"/>
        <v>https://d0f6bd738d7f1b3e5a7ca70fe4ff75f0.us-east-1.aws.found.io/app/kibana#/discover/Steve-Slow-Train-Analysis-(2080s-and-2083s)?_g=(refreshInterval:(display:Off,pause:!f,section:0,value:0),time:(from:'2017-07-01T16:08:46-0600',mode:absolute,to:'2017-07-01T18:51:09-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123" s="197" t="str">
        <f>IF(AA123&lt;VLOOKUP(AG123,Variables!$AC$3:$AD$8,2,FALSE),"Y","N")</f>
        <v>N</v>
      </c>
      <c r="X123" s="197">
        <f t="shared" si="45"/>
        <v>1</v>
      </c>
      <c r="Y123" s="197">
        <f t="shared" si="32"/>
        <v>4.6600000000000003E-2</v>
      </c>
      <c r="Z123" s="197">
        <f t="shared" si="33"/>
        <v>23.3261</v>
      </c>
      <c r="AA123" s="197">
        <f t="shared" si="34"/>
        <v>23.279499999999999</v>
      </c>
      <c r="AB123" s="54" t="e">
        <f>VLOOKUP(A123,Enforcements!$C$7:$K$13,8,0)</f>
        <v>#N/A</v>
      </c>
      <c r="AC123" s="51" t="e">
        <f>VLOOKUP(A123,Enforcements!$C$7:$E$13,3,0)</f>
        <v>#N/A</v>
      </c>
      <c r="AD123" s="206">
        <f t="shared" si="35"/>
        <v>209</v>
      </c>
      <c r="AE123" s="77" t="str">
        <f t="shared" si="36"/>
        <v>aws s3 cp s3://rtdc.mdm.uploadarchive.raw/RTDC4008/ "%USERPROFILE%\AppData\Local\Temp\OnboardLogs"\RTDC4008\2017-07-01 --exclude "*" --recursive --include "*20170701*" &amp; "%USERPROFILE%\Documents\GitHub\mrs-test-scripts\Headless Mode &amp; Sideloading\WalkAndUnGZ.bat" "%USERPROFILE%\AppData\Local\Temp\OnboardLogs"\RTDC4008\2017-07-01 &amp; aws s3 cp s3://rtdc.mdm.uploadarchive.raw/RTDC4008/ "%USERPROFILE%\AppData\Local\Temp\OnboardLogs"\RTDC4008\2017-07-02 --exclude "*" --recursive --include "*20170702*" &amp; "%USERPROFILE%\Documents\GitHub\mrs-test-scripts\Headless Mode &amp; Sideloading\WalkAndUnGZ.bat" "%USERPROFILE%\AppData\Local\Temp\OnboardLogs"\RTDC4008\2017-07-02</v>
      </c>
      <c r="AF123" s="74" t="str">
        <f t="shared" si="37"/>
        <v>"C:\Program Files (x86)\AstroGrep\AstroGrep.exe" /e /r /s /spath="%USERPROFILE%\AppData\Local\Temp\OnboardLogs" /stypes="app*4008*20170701*" /stext=" 23:.+((SYSTEM_STATE.+slice.+state.+changed )|(ment ac)|(multiple cpu faults)|(system.+state.+changed )|(\[timeout)|(PRM\|1\|D)|(kpr)|(kdp)|(train st.+moving)|(\|lc)|(penalty))"</v>
      </c>
      <c r="AG123" s="209" t="str">
        <f t="shared" si="38"/>
        <v>EC</v>
      </c>
      <c r="AH123" s="78" t="str">
        <f t="shared" si="39"/>
        <v>"%USERPROFILE%\Documents\GitHub\eaglep3\Utilities\RefineRTDCRunTimes.py" --tripid 209-01 --locoid 4008 --swversion DE.1.0.9.0 --startMP 204:466 --initTime 2017-07-01T17:08:46 --startdatetime 2017-07-01T17:15:43 --delay 1 --endMP 204:233261 --enddatetime 2017-07-01T17:51:09 --enforcementcount 0 &gt;&gt;C:\Users\stu\Documents\GitHub\eaglep3-reporting\EC\2017-07-01-refined-times.txt</v>
      </c>
      <c r="AI123" s="96" t="str">
        <f t="shared" si="40"/>
        <v>echo {"issue":{"subject":"","project_id":79,"tracker_id":40,"status_id":1,"priority_id":2,"assigned_to_id":23,"start_date":"2017-07-01","description":"","custom_fields":[{"id":1,"name":"Subdivision","value":"EC"},{"id":4,"name":"Milepost","value":"23.3261"},{"id":17,"name":"Train ID","value":"209-01"},{"id":16,"name":"Locomotive ID","value":"4008"},{"id":130,"name":"Impact","value":""},{"id":150,"name":"Time of Event (Mountain Time)","value":"17:51:09"},{"id":151,"name":"Denver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3" s="47"/>
      <c r="AL123" s="47"/>
      <c r="AM123" s="142" t="str">
        <f t="shared" si="41"/>
        <v>start /low /b %USERPROFILE%\Documents\GitHub\eaglep3\Utilities\DownloadLogsFromS3.py --loco 4008 --day 2017-07-01</v>
      </c>
      <c r="AN123" s="151" t="str">
        <f t="shared" si="42"/>
        <v>echo {"issue":{"subject":"","project_id":30,"tracker_id":4,"status_id":1,"priority_id":1,"assigned_to_id":10,"start_date":"2017-07-01","description":"","custom_fields":[{"id":30,"name":"Category","value":"Issue"},{"id":3,"name":"Functional Component","value":"Onboard"},{"id":31,"name":"Version","value":"N/A"},{"id":8,"name":"Reporting RR","value":"WABTEC"},{"id":27,"name":"Locomotive ID","value":"4008"},{"id":20,"name":"RR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UTC","value":"2017-07-01 23:51:09"},{"id":29,"name":"Sharepoint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3"/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/>
      <c r="BO123"/>
      <c r="BP123"/>
      <c r="BQ123"/>
      <c r="BR123"/>
      <c r="BS123"/>
      <c r="BT123"/>
      <c r="BU123"/>
      <c r="BV123"/>
      <c r="BW123"/>
      <c r="BX123"/>
      <c r="BY123"/>
      <c r="BZ123"/>
      <c r="CA123"/>
      <c r="CB123"/>
      <c r="CC123"/>
      <c r="CD123"/>
      <c r="CE123"/>
      <c r="CF123"/>
      <c r="CG123"/>
      <c r="CH123"/>
      <c r="CI123"/>
      <c r="CJ123"/>
      <c r="CK123"/>
      <c r="CL123"/>
      <c r="CM123"/>
    </row>
    <row r="124" spans="1:91" s="20" customFormat="1" x14ac:dyDescent="0.25">
      <c r="A124" s="32" t="s">
        <v>832</v>
      </c>
      <c r="B124" s="7">
        <v>4007</v>
      </c>
      <c r="C124" s="21" t="s">
        <v>202</v>
      </c>
      <c r="D124" s="21" t="s">
        <v>970</v>
      </c>
      <c r="E124" s="13">
        <v>42917.745289351849</v>
      </c>
      <c r="F124" s="13">
        <v>42917.75854166667</v>
      </c>
      <c r="G124" s="7">
        <v>1</v>
      </c>
      <c r="H124" s="21" t="s">
        <v>348</v>
      </c>
      <c r="I124" s="13">
        <v>42917.784131944441</v>
      </c>
      <c r="J124" s="7">
        <v>0</v>
      </c>
      <c r="K124" s="89" t="str">
        <f t="shared" si="27"/>
        <v>4007/4008</v>
      </c>
      <c r="L124" s="21" t="str">
        <f>VLOOKUP(A124,'Trips&amp;Operators'!$C$1:$G$99999,5,FALSE)</f>
        <v>NEWELL JAMES</v>
      </c>
      <c r="M124" s="6">
        <f t="shared" si="28"/>
        <v>2.5590277771698311E-2</v>
      </c>
      <c r="N124" s="7">
        <f t="shared" ref="N124:N155" si="46">24*60*SUM($M124:$M124)</f>
        <v>36.849999991245568</v>
      </c>
      <c r="O124" s="7"/>
      <c r="P124" s="7"/>
      <c r="Q124" s="22"/>
      <c r="R124" s="170"/>
      <c r="S124" s="213">
        <f t="shared" si="44"/>
        <v>1</v>
      </c>
      <c r="T124" s="195" t="str">
        <f t="shared" si="29"/>
        <v>Southbound</v>
      </c>
      <c r="U124" s="195">
        <f>IF(AG124="EC",COUNTIFS(Variables!$M$2:$M$19,IF(T124="NorthBound","&gt;=","&lt;=")&amp;Y124,Variables!$M$2:$M$19,IF(T124="NorthBound","&lt;=","&gt;=")&amp;Z124),COUNTIFS(Variables!$P$2:$P$19,IF(T124="NorthBound","&gt;=","&lt;=")&amp;Y124,Variables!$P$2:$P$19,IF(T124="NorthBound","&lt;=","&gt;=")&amp;Z124))</f>
        <v>12</v>
      </c>
      <c r="V124" s="196" t="str">
        <f t="shared" si="30"/>
        <v>https://d0f6bd738d7f1b3e5a7ca70fe4ff75f0.us-east-1.aws.found.io/app/kibana#/discover/Steve-Slow-Train-Analysis-(2080s-and-2083s)?_g=(refreshInterval:(display:Off,pause:!f,section:0,value:0),time:(from:'2017-07-01T16:53:13-0600',mode:absolute,to:'2017-07-01T19:49:09-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124" s="197" t="str">
        <f>IF(AA124&lt;VLOOKUP(AG124,Variables!$AC$3:$AD$8,2,FALSE),"Y","N")</f>
        <v>N</v>
      </c>
      <c r="X124" s="197">
        <f t="shared" si="45"/>
        <v>1</v>
      </c>
      <c r="Y124" s="197">
        <f t="shared" si="32"/>
        <v>23.2988</v>
      </c>
      <c r="Z124" s="197">
        <f t="shared" si="33"/>
        <v>1.4999999999999999E-2</v>
      </c>
      <c r="AA124" s="197">
        <f t="shared" si="34"/>
        <v>23.283799999999999</v>
      </c>
      <c r="AB124" s="54" t="e">
        <f>VLOOKUP(A124,Enforcements!$C$7:$K$13,8,0)</f>
        <v>#N/A</v>
      </c>
      <c r="AC124" s="51" t="e">
        <f>VLOOKUP(A124,Enforcements!$C$7:$E$13,3,0)</f>
        <v>#N/A</v>
      </c>
      <c r="AD124" s="206">
        <f t="shared" si="35"/>
        <v>210</v>
      </c>
      <c r="AE124" s="77" t="str">
        <f t="shared" si="36"/>
        <v>aws s3 cp s3://rtdc.mdm.uploadarchive.raw/RTDC4007/ "%USERPROFILE%\AppData\Local\Temp\OnboardLogs"\RTDC4007\2017-07-01 --exclude "*" --recursive --include "*20170701*" &amp; "%USERPROFILE%\Documents\GitHub\mrs-test-scripts\Headless Mode &amp; Sideloading\WalkAndUnGZ.bat" "%USERPROFILE%\AppData\Local\Temp\OnboardLogs"\RTDC4007\2017-07-01 &amp; aws s3 cp s3://rtdc.mdm.uploadarchive.raw/RTDC4007/ "%USERPROFILE%\AppData\Local\Temp\OnboardLogs"\RTDC4007\2017-07-02 --exclude "*" --recursive --include "*20170702*" &amp; "%USERPROFILE%\Documents\GitHub\mrs-test-scripts\Headless Mode &amp; Sideloading\WalkAndUnGZ.bat" "%USERPROFILE%\AppData\Local\Temp\OnboardLogs"\RTDC4007\2017-07-02</v>
      </c>
      <c r="AF124" s="74" t="str">
        <f t="shared" si="37"/>
        <v>"C:\Program Files (x86)\AstroGrep\AstroGrep.exe" /e /r /s /spath="%USERPROFILE%\AppData\Local\Temp\OnboardLogs" /stypes="app*4007*20170702*" /stext=" 00:.+((SYSTEM_STATE.+slice.+state.+changed )|(ment ac)|(multiple cpu faults)|(system.+state.+changed )|(\[timeout)|(PRM\|1\|D)|(kpr)|(kdp)|(train st.+moving)|(\|lc)|(penalty))"</v>
      </c>
      <c r="AG124" s="209" t="str">
        <f t="shared" si="38"/>
        <v>EC</v>
      </c>
      <c r="AH124" s="78" t="str">
        <f t="shared" si="39"/>
        <v>"%USERPROFILE%\Documents\GitHub\eaglep3\Utilities\RefineRTDCRunTimes.py" --tripid 210-01 --locoid 4007 --swversion DE.1.0.9.0 --startMP 204:232988 --initTime 2017-07-01T17:53:13 --startdatetime 2017-07-01T18:12:18 --delay 1 --endMP 204:150 --enddatetime 2017-07-01T18:49:09 --enforcementcount 0 &gt;&gt;C:\Users\stu\Documents\GitHub\eaglep3-reporting\EC\2017-07-01-refined-times.txt</v>
      </c>
      <c r="AI124" s="96" t="str">
        <f t="shared" si="40"/>
        <v>echo {"issue":{"subject":"","project_id":79,"tracker_id":40,"status_id":1,"priority_id":2,"assigned_to_id":23,"start_date":"2017-07-01","description":"","custom_fields":[{"id":1,"name":"Subdivision","value":"EC"},{"id":4,"name":"Milepost","value":"0.015"},{"id":17,"name":"Train ID","value":"210-01"},{"id":16,"name":"Locomotive ID","value":"4007"},{"id":130,"name":"Impact","value":""},{"id":150,"name":"Time of Event (Mountain Time)","value":"18:49:09"},{"id":151,"name":"Denver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4" s="47"/>
      <c r="AL124" s="47"/>
      <c r="AM124" s="142" t="str">
        <f t="shared" si="41"/>
        <v>start /low /b %USERPROFILE%\Documents\GitHub\eaglep3\Utilities\DownloadLogsFromS3.py --loco 4007 --day 2017-07-01</v>
      </c>
      <c r="AN124" s="151" t="str">
        <f t="shared" si="42"/>
        <v>echo {"issue":{"subject":"","project_id":30,"tracker_id":4,"status_id":1,"priority_id":1,"assigned_to_id":10,"start_date":"2017-07-02","description":"","custom_fields":[{"id":30,"name":"Category","value":"Issue"},{"id":3,"name":"Functional Component","value":"Onboard"},{"id":31,"name":"Version","value":"N/A"},{"id":8,"name":"Reporting RR","value":"WABTEC"},{"id":27,"name":"Locomotive ID","value":"4007"},{"id":20,"name":"RR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UTC","value":"2017-07-02 00:49:09"},{"id":29,"name":"Sharepoint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4"/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/>
      <c r="BO124"/>
      <c r="BP124"/>
      <c r="BQ124"/>
      <c r="BR124"/>
      <c r="BS124"/>
      <c r="BT124"/>
      <c r="BU124"/>
      <c r="BV124"/>
      <c r="BW124"/>
      <c r="BX124"/>
      <c r="BY124"/>
      <c r="BZ124"/>
      <c r="CA124"/>
      <c r="CB124"/>
      <c r="CC124"/>
      <c r="CD124"/>
      <c r="CE124"/>
      <c r="CF124"/>
      <c r="CG124"/>
      <c r="CH124"/>
      <c r="CI124"/>
      <c r="CJ124"/>
      <c r="CK124"/>
      <c r="CL124"/>
      <c r="CM124"/>
    </row>
    <row r="125" spans="1:91" s="20" customFormat="1" x14ac:dyDescent="0.25">
      <c r="A125" s="32" t="s">
        <v>825</v>
      </c>
      <c r="B125" s="7">
        <v>4056</v>
      </c>
      <c r="C125" s="21" t="s">
        <v>202</v>
      </c>
      <c r="D125" s="21" t="s">
        <v>435</v>
      </c>
      <c r="E125" s="13">
        <v>42917.727175925924</v>
      </c>
      <c r="F125" s="13">
        <v>42917.729664351849</v>
      </c>
      <c r="G125" s="7">
        <v>0</v>
      </c>
      <c r="H125" s="21" t="s">
        <v>981</v>
      </c>
      <c r="I125" s="13">
        <v>42917.754502314812</v>
      </c>
      <c r="J125" s="7">
        <v>0</v>
      </c>
      <c r="K125" s="89" t="str">
        <f t="shared" si="27"/>
        <v>4055/4056</v>
      </c>
      <c r="L125" s="21" t="str">
        <f>VLOOKUP(A125,'Trips&amp;Operators'!$C$1:$G$99999,5,FALSE)</f>
        <v>DELGADO DIANAH</v>
      </c>
      <c r="M125" s="6">
        <f t="shared" si="28"/>
        <v>2.4837962962919846E-2</v>
      </c>
      <c r="N125" s="7">
        <f t="shared" si="46"/>
        <v>35.766666666604578</v>
      </c>
      <c r="O125" s="7"/>
      <c r="P125" s="7"/>
      <c r="Q125" s="22"/>
      <c r="R125" s="170"/>
      <c r="S125" s="213">
        <f t="shared" si="44"/>
        <v>1</v>
      </c>
      <c r="T125" s="195" t="str">
        <f t="shared" si="29"/>
        <v>NorthBound</v>
      </c>
      <c r="U125" s="195">
        <f>IF(AG125="EC",COUNTIFS(Variables!$M$2:$M$19,IF(T125="NorthBound","&gt;=","&lt;=")&amp;Y125,Variables!$M$2:$M$19,IF(T125="NorthBound","&lt;=","&gt;=")&amp;Z125),COUNTIFS(Variables!$P$2:$P$19,IF(T125="NorthBound","&gt;=","&lt;=")&amp;Y125,Variables!$P$2:$P$19,IF(T125="NorthBound","&lt;=","&gt;=")&amp;Z125))</f>
        <v>12</v>
      </c>
      <c r="V125" s="196" t="str">
        <f t="shared" si="30"/>
        <v>https://d0f6bd738d7f1b3e5a7ca70fe4ff75f0.us-east-1.aws.found.io/app/kibana#/discover/Steve-Slow-Train-Analysis-(2080s-and-2083s)?_g=(refreshInterval:(display:Off,pause:!f,section:0,value:0),time:(from:'2017-07-01T16:27:08-0600',mode:absolute,to:'2017-07-01T19:06:29-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4056%22')),sort:!(Time.ISO8601,asc))</v>
      </c>
      <c r="W125" s="197" t="str">
        <f>IF(AA125&lt;VLOOKUP(AG125,Variables!$AC$3:$AD$8,2,FALSE),"Y","N")</f>
        <v>N</v>
      </c>
      <c r="X125" s="197">
        <f t="shared" si="45"/>
        <v>1</v>
      </c>
      <c r="Y125" s="197">
        <f t="shared" si="32"/>
        <v>4.6699999999999998E-2</v>
      </c>
      <c r="Z125" s="197">
        <f t="shared" si="33"/>
        <v>23.334199999999999</v>
      </c>
      <c r="AA125" s="197">
        <f t="shared" si="34"/>
        <v>23.287499999999998</v>
      </c>
      <c r="AB125" s="54" t="e">
        <f>VLOOKUP(A125,Enforcements!$C$7:$K$13,8,0)</f>
        <v>#N/A</v>
      </c>
      <c r="AC125" s="51" t="e">
        <f>VLOOKUP(A125,Enforcements!$C$7:$E$13,3,0)</f>
        <v>#N/A</v>
      </c>
      <c r="AD125" s="206">
        <f t="shared" si="35"/>
        <v>211</v>
      </c>
      <c r="AE125" s="77" t="str">
        <f t="shared" si="36"/>
        <v>aws s3 cp s3://rtdc.mdm.uploadarchive.raw/RTDC4056/ "%USERPROFILE%\AppData\Local\Temp\OnboardLogs"\RTDC4056\2017-07-01 --exclude "*" --recursive --include "*20170701*" &amp; "%USERPROFILE%\Documents\GitHub\mrs-test-scripts\Headless Mode &amp; Sideloading\WalkAndUnGZ.bat" "%USERPROFILE%\AppData\Local\Temp\OnboardLogs"\RTDC4056\2017-07-01 &amp; aws s3 cp s3://rtdc.mdm.uploadarchive.raw/RTDC4056/ "%USERPROFILE%\AppData\Local\Temp\OnboardLogs"\RTDC4056\2017-07-02 --exclude "*" --recursive --include "*20170702*" &amp; "%USERPROFILE%\Documents\GitHub\mrs-test-scripts\Headless Mode &amp; Sideloading\WalkAndUnGZ.bat" "%USERPROFILE%\AppData\Local\Temp\OnboardLogs"\RTDC4056\2017-07-02</v>
      </c>
      <c r="AF125" s="74" t="str">
        <f t="shared" si="37"/>
        <v>"C:\Program Files (x86)\AstroGrep\AstroGrep.exe" /e /r /s /spath="%USERPROFILE%\AppData\Local\Temp\OnboardLogs" /stypes="app*4056*20170702*" /stext=" 00:.+((SYSTEM_STATE.+slice.+state.+changed )|(ment ac)|(multiple cpu faults)|(system.+state.+changed )|(\[timeout)|(PRM\|1\|D)|(kpr)|(kdp)|(train st.+moving)|(\|lc)|(penalty))"</v>
      </c>
      <c r="AG125" s="209" t="str">
        <f t="shared" si="38"/>
        <v>EC</v>
      </c>
      <c r="AH125" s="78" t="str">
        <f t="shared" si="39"/>
        <v>"%USERPROFILE%\Documents\GitHub\eaglep3\Utilities\RefineRTDCRunTimes.py" --tripid 211-01 --locoid 4056 --swversion DE.1.0.9.0 --startMP 204:467 --initTime 2017-07-01T17:27:08 --startdatetime 2017-07-01T17:30:43 --delay 0 --endMP 204:233342 --enddatetime 2017-07-01T18:06:29 --enforcementcount 0 &gt;&gt;C:\Users\stu\Documents\GitHub\eaglep3-reporting\EC\2017-07-01-refined-times.txt</v>
      </c>
      <c r="AI125" s="96" t="str">
        <f t="shared" si="40"/>
        <v>echo {"issue":{"subject":"","project_id":79,"tracker_id":40,"status_id":1,"priority_id":2,"assigned_to_id":23,"start_date":"2017-07-01","description":"","custom_fields":[{"id":1,"name":"Subdivision","value":"EC"},{"id":4,"name":"Milepost","value":"23.3342"},{"id":17,"name":"Train ID","value":"211-01"},{"id":16,"name":"Locomotive ID","value":"4056"},{"id":130,"name":"Impact","value":""},{"id":150,"name":"Time of Event (Mountain Time)","value":"18:06:29"},{"id":151,"name":"Denver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5" s="47"/>
      <c r="AL125" s="47"/>
      <c r="AM125" s="142" t="str">
        <f t="shared" si="41"/>
        <v>start /low /b %USERPROFILE%\Documents\GitHub\eaglep3\Utilities\DownloadLogsFromS3.py --loco 4056 --day 2017-07-01</v>
      </c>
      <c r="AN125" s="151" t="str">
        <f t="shared" si="42"/>
        <v>echo {"issue":{"subject":"","project_id":30,"tracker_id":4,"status_id":1,"priority_id":1,"assigned_to_id":10,"start_date":"2017-07-02","description":"","custom_fields":[{"id":30,"name":"Category","value":"Issue"},{"id":3,"name":"Functional Component","value":"Onboard"},{"id":31,"name":"Version","value":"N/A"},{"id":8,"name":"Reporting RR","value":"WABTEC"},{"id":27,"name":"Locomotive ID","value":"4056"},{"id":20,"name":"RR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UTC","value":"2017-07-02 00:06:29"},{"id":29,"name":"Sharepoint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</row>
    <row r="126" spans="1:91" s="20" customFormat="1" x14ac:dyDescent="0.25">
      <c r="A126" s="32" t="s">
        <v>834</v>
      </c>
      <c r="B126" s="7">
        <v>4055</v>
      </c>
      <c r="C126" s="21" t="s">
        <v>202</v>
      </c>
      <c r="D126" s="21" t="s">
        <v>982</v>
      </c>
      <c r="E126" s="13">
        <v>42917.760682870372</v>
      </c>
      <c r="F126" s="13">
        <v>42917.768923611111</v>
      </c>
      <c r="G126" s="7">
        <v>2</v>
      </c>
      <c r="H126" s="21" t="s">
        <v>193</v>
      </c>
      <c r="I126" s="13">
        <v>42917.794282407405</v>
      </c>
      <c r="J126" s="7">
        <v>0</v>
      </c>
      <c r="K126" s="89" t="str">
        <f t="shared" si="27"/>
        <v>4055/4056</v>
      </c>
      <c r="L126" s="21" t="str">
        <f>VLOOKUP(A126,'Trips&amp;Operators'!$C$1:$G$99999,5,FALSE)</f>
        <v>DELGADO DIANAH</v>
      </c>
      <c r="M126" s="6">
        <f t="shared" si="28"/>
        <v>2.5358796294312924E-2</v>
      </c>
      <c r="N126" s="7">
        <f t="shared" si="46"/>
        <v>36.516666663810611</v>
      </c>
      <c r="O126" s="7"/>
      <c r="P126" s="7"/>
      <c r="Q126" s="22"/>
      <c r="R126" s="170"/>
      <c r="S126" s="213">
        <f t="shared" si="44"/>
        <v>1</v>
      </c>
      <c r="T126" s="195" t="str">
        <f t="shared" si="29"/>
        <v>Southbound</v>
      </c>
      <c r="U126" s="195">
        <f>IF(AG126="EC",COUNTIFS(Variables!$M$2:$M$19,IF(T126="NorthBound","&gt;=","&lt;=")&amp;Y126,Variables!$M$2:$M$19,IF(T126="NorthBound","&lt;=","&gt;=")&amp;Z126),COUNTIFS(Variables!$P$2:$P$19,IF(T126="NorthBound","&gt;=","&lt;=")&amp;Y126,Variables!$P$2:$P$19,IF(T126="NorthBound","&lt;=","&gt;=")&amp;Z126))</f>
        <v>12</v>
      </c>
      <c r="V126" s="196" t="str">
        <f t="shared" si="30"/>
        <v>https://d0f6bd738d7f1b3e5a7ca70fe4ff75f0.us-east-1.aws.found.io/app/kibana#/discover/Steve-Slow-Train-Analysis-(2080s-and-2083s)?_g=(refreshInterval:(display:Off,pause:!f,section:0,value:0),time:(from:'2017-07-01T17:15:23-0600',mode:absolute,to:'2017-07-01T20:03:46-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4055%22')),sort:!(Time.ISO8601,asc))</v>
      </c>
      <c r="W126" s="197" t="str">
        <f>IF(AA126&lt;VLOOKUP(AG126,Variables!$AC$3:$AD$8,2,FALSE),"Y","N")</f>
        <v>N</v>
      </c>
      <c r="X126" s="197">
        <f t="shared" si="45"/>
        <v>1</v>
      </c>
      <c r="Y126" s="197">
        <f t="shared" si="32"/>
        <v>23.3019</v>
      </c>
      <c r="Z126" s="197">
        <f t="shared" si="33"/>
        <v>1.52E-2</v>
      </c>
      <c r="AA126" s="197">
        <f t="shared" si="34"/>
        <v>23.2867</v>
      </c>
      <c r="AB126" s="54" t="e">
        <f>VLOOKUP(A126,Enforcements!$C$7:$K$13,8,0)</f>
        <v>#N/A</v>
      </c>
      <c r="AC126" s="51" t="e">
        <f>VLOOKUP(A126,Enforcements!$C$7:$E$13,3,0)</f>
        <v>#N/A</v>
      </c>
      <c r="AD126" s="206">
        <f t="shared" si="35"/>
        <v>212</v>
      </c>
      <c r="AE126" s="77" t="str">
        <f t="shared" si="36"/>
        <v>aws s3 cp s3://rtdc.mdm.uploadarchive.raw/RTDC4055/ "%USERPROFILE%\AppData\Local\Temp\OnboardLogs"\RTDC4055\2017-07-01 --exclude "*" --recursive --include "*20170701*" &amp; "%USERPROFILE%\Documents\GitHub\mrs-test-scripts\Headless Mode &amp; Sideloading\WalkAndUnGZ.bat" "%USERPROFILE%\AppData\Local\Temp\OnboardLogs"\RTDC4055\2017-07-01 &amp; aws s3 cp s3://rtdc.mdm.uploadarchive.raw/RTDC4055/ "%USERPROFILE%\AppData\Local\Temp\OnboardLogs"\RTDC4055\2017-07-02 --exclude "*" --recursive --include "*20170702*" &amp; "%USERPROFILE%\Documents\GitHub\mrs-test-scripts\Headless Mode &amp; Sideloading\WalkAndUnGZ.bat" "%USERPROFILE%\AppData\Local\Temp\OnboardLogs"\RTDC4055\2017-07-02</v>
      </c>
      <c r="AF126" s="74" t="str">
        <f t="shared" si="37"/>
        <v>"C:\Program Files (x86)\AstroGrep\AstroGrep.exe" /e /r /s /spath="%USERPROFILE%\AppData\Local\Temp\OnboardLogs" /stypes="app*4055*20170702*" /stext=" 01:.+((SYSTEM_STATE.+slice.+state.+changed )|(ment ac)|(multiple cpu faults)|(system.+state.+changed )|(\[timeout)|(PRM\|1\|D)|(kpr)|(kdp)|(train st.+moving)|(\|lc)|(penalty))"</v>
      </c>
      <c r="AG126" s="209" t="str">
        <f t="shared" si="38"/>
        <v>EC</v>
      </c>
      <c r="AH126" s="78" t="str">
        <f t="shared" si="39"/>
        <v>"%USERPROFILE%\Documents\GitHub\eaglep3\Utilities\RefineRTDCRunTimes.py" --tripid 212-01 --locoid 4055 --swversion DE.1.0.9.0 --startMP 204:233019 --initTime 2017-07-01T18:15:23 --startdatetime 2017-07-01T18:27:15 --delay 2 --endMP 204:152 --enddatetime 2017-07-01T19:03:46 --enforcementcount 0 &gt;&gt;C:\Users\stu\Documents\GitHub\eaglep3-reporting\EC\2017-07-01-refined-times.txt</v>
      </c>
      <c r="AI126" s="96" t="str">
        <f t="shared" si="40"/>
        <v>echo {"issue":{"subject":"","project_id":79,"tracker_id":40,"status_id":1,"priority_id":2,"assigned_to_id":23,"start_date":"2017-07-01","description":"","custom_fields":[{"id":1,"name":"Subdivision","value":"EC"},{"id":4,"name":"Milepost","value":"0.0152"},{"id":17,"name":"Train ID","value":"212-01"},{"id":16,"name":"Locomotive ID","value":"4055"},{"id":130,"name":"Impact","value":""},{"id":150,"name":"Time of Event (Mountain Time)","value":"19:03:46"},{"id":151,"name":"Denver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6" s="47"/>
      <c r="AL126" s="47"/>
      <c r="AM126" s="142" t="str">
        <f t="shared" si="41"/>
        <v>start /low /b %USERPROFILE%\Documents\GitHub\eaglep3\Utilities\DownloadLogsFromS3.py --loco 4055 --day 2017-07-01</v>
      </c>
      <c r="AN126" s="151" t="str">
        <f t="shared" si="42"/>
        <v>echo {"issue":{"subject":"","project_id":30,"tracker_id":4,"status_id":1,"priority_id":1,"assigned_to_id":10,"start_date":"2017-07-02","description":"","custom_fields":[{"id":30,"name":"Category","value":"Issue"},{"id":3,"name":"Functional Component","value":"Onboard"},{"id":31,"name":"Version","value":"N/A"},{"id":8,"name":"Reporting RR","value":"WABTEC"},{"id":27,"name":"Locomotive ID","value":"4055"},{"id":20,"name":"RR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UTC","value":"2017-07-02 01:03:46"},{"id":29,"name":"Sharepoint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</row>
    <row r="127" spans="1:91" s="20" customFormat="1" x14ac:dyDescent="0.25">
      <c r="A127" s="32" t="s">
        <v>828</v>
      </c>
      <c r="B127" s="7">
        <v>4018</v>
      </c>
      <c r="C127" s="21" t="s">
        <v>202</v>
      </c>
      <c r="D127" s="21" t="s">
        <v>354</v>
      </c>
      <c r="E127" s="13">
        <v>42917.737858796296</v>
      </c>
      <c r="F127" s="13">
        <v>42917.740289351852</v>
      </c>
      <c r="G127" s="7">
        <v>1</v>
      </c>
      <c r="H127" s="21" t="s">
        <v>983</v>
      </c>
      <c r="I127" s="13">
        <v>42917.765451388892</v>
      </c>
      <c r="J127" s="7">
        <v>0</v>
      </c>
      <c r="K127" s="89" t="str">
        <f t="shared" si="27"/>
        <v>4017/4018</v>
      </c>
      <c r="L127" s="21" t="str">
        <f>VLOOKUP(A127,'Trips&amp;Operators'!$C$1:$G$99999,5,FALSE)</f>
        <v>YANG JAN</v>
      </c>
      <c r="M127" s="6">
        <f t="shared" si="28"/>
        <v>2.5162037039990537E-2</v>
      </c>
      <c r="N127" s="7">
        <f t="shared" si="46"/>
        <v>36.233333337586373</v>
      </c>
      <c r="O127" s="7"/>
      <c r="P127" s="7"/>
      <c r="Q127" s="22"/>
      <c r="R127" s="170"/>
      <c r="S127" s="213">
        <f t="shared" si="44"/>
        <v>1</v>
      </c>
      <c r="T127" s="195" t="str">
        <f t="shared" si="29"/>
        <v>NorthBound</v>
      </c>
      <c r="U127" s="195">
        <f>IF(AG127="EC",COUNTIFS(Variables!$M$2:$M$19,IF(T127="NorthBound","&gt;=","&lt;=")&amp;Y127,Variables!$M$2:$M$19,IF(T127="NorthBound","&lt;=","&gt;=")&amp;Z127),COUNTIFS(Variables!$P$2:$P$19,IF(T127="NorthBound","&gt;=","&lt;=")&amp;Y127,Variables!$P$2:$P$19,IF(T127="NorthBound","&lt;=","&gt;=")&amp;Z127))</f>
        <v>12</v>
      </c>
      <c r="V127" s="196" t="str">
        <f t="shared" si="30"/>
        <v>https://d0f6bd738d7f1b3e5a7ca70fe4ff75f0.us-east-1.aws.found.io/app/kibana#/discover/Steve-Slow-Train-Analysis-(2080s-and-2083s)?_g=(refreshInterval:(display:Off,pause:!f,section:0,value:0),time:(from:'2017-07-01T16:42:31-0600',mode:absolute,to:'2017-07-01T19:22:15-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127" s="197" t="str">
        <f>IF(AA127&lt;VLOOKUP(AG127,Variables!$AC$3:$AD$8,2,FALSE),"Y","N")</f>
        <v>N</v>
      </c>
      <c r="X127" s="197">
        <f t="shared" si="45"/>
        <v>1</v>
      </c>
      <c r="Y127" s="197">
        <f t="shared" si="32"/>
        <v>4.53E-2</v>
      </c>
      <c r="Z127" s="197">
        <f t="shared" si="33"/>
        <v>23.331099999999999</v>
      </c>
      <c r="AA127" s="197">
        <f t="shared" si="34"/>
        <v>23.285799999999998</v>
      </c>
      <c r="AB127" s="54" t="e">
        <f>VLOOKUP(A127,Enforcements!$C$7:$K$13,8,0)</f>
        <v>#N/A</v>
      </c>
      <c r="AC127" s="51" t="e">
        <f>VLOOKUP(A127,Enforcements!$C$7:$E$13,3,0)</f>
        <v>#N/A</v>
      </c>
      <c r="AD127" s="206">
        <f t="shared" si="35"/>
        <v>213</v>
      </c>
      <c r="AE127" s="77" t="str">
        <f t="shared" si="36"/>
        <v>aws s3 cp s3://rtdc.mdm.uploadarchive.raw/RTDC4018/ "%USERPROFILE%\AppData\Local\Temp\OnboardLogs"\RTDC4018\2017-07-01 --exclude "*" --recursive --include "*20170701*" &amp; "%USERPROFILE%\Documents\GitHub\mrs-test-scripts\Headless Mode &amp; Sideloading\WalkAndUnGZ.bat" "%USERPROFILE%\AppData\Local\Temp\OnboardLogs"\RTDC4018\2017-07-01 &amp; aws s3 cp s3://rtdc.mdm.uploadarchive.raw/RTDC4018/ "%USERPROFILE%\AppData\Local\Temp\OnboardLogs"\RTDC4018\2017-07-02 --exclude "*" --recursive --include "*20170702*" &amp; "%USERPROFILE%\Documents\GitHub\mrs-test-scripts\Headless Mode &amp; Sideloading\WalkAndUnGZ.bat" "%USERPROFILE%\AppData\Local\Temp\OnboardLogs"\RTDC4018\2017-07-02</v>
      </c>
      <c r="AF127" s="74" t="str">
        <f t="shared" si="37"/>
        <v>"C:\Program Files (x86)\AstroGrep\AstroGrep.exe" /e /r /s /spath="%USERPROFILE%\AppData\Local\Temp\OnboardLogs" /stypes="app*4018*20170702*" /stext=" 00:.+((SYSTEM_STATE.+slice.+state.+changed )|(ment ac)|(multiple cpu faults)|(system.+state.+changed )|(\[timeout)|(PRM\|1\|D)|(kpr)|(kdp)|(train st.+moving)|(\|lc)|(penalty))"</v>
      </c>
      <c r="AG127" s="209" t="str">
        <f t="shared" si="38"/>
        <v>EC</v>
      </c>
      <c r="AH127" s="78" t="str">
        <f t="shared" si="39"/>
        <v>"%USERPROFILE%\Documents\GitHub\eaglep3\Utilities\RefineRTDCRunTimes.py" --tripid 213-01 --locoid 4018 --swversion DE.1.0.9.0 --startMP 204:453 --initTime 2017-07-01T17:42:31 --startdatetime 2017-07-01T17:46:01 --delay 1 --endMP 204:233311 --enddatetime 2017-07-01T18:22:15 --enforcementcount 0 &gt;&gt;C:\Users\stu\Documents\GitHub\eaglep3-reporting\EC\2017-07-01-refined-times.txt</v>
      </c>
      <c r="AI127" s="96" t="str">
        <f t="shared" si="40"/>
        <v>echo {"issue":{"subject":"","project_id":79,"tracker_id":40,"status_id":1,"priority_id":2,"assigned_to_id":23,"start_date":"2017-07-01","description":"","custom_fields":[{"id":1,"name":"Subdivision","value":"EC"},{"id":4,"name":"Milepost","value":"23.3311"},{"id":17,"name":"Train ID","value":"213-01"},{"id":16,"name":"Locomotive ID","value":"4018"},{"id":130,"name":"Impact","value":""},{"id":150,"name":"Time of Event (Mountain Time)","value":"18:22:15"},{"id":151,"name":"Denver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7" s="47"/>
      <c r="AL127" s="47"/>
      <c r="AM127" s="142" t="str">
        <f t="shared" si="41"/>
        <v>start /low /b %USERPROFILE%\Documents\GitHub\eaglep3\Utilities\DownloadLogsFromS3.py --loco 4018 --day 2017-07-01</v>
      </c>
      <c r="AN127" s="151" t="str">
        <f t="shared" si="42"/>
        <v>echo {"issue":{"subject":"","project_id":30,"tracker_id":4,"status_id":1,"priority_id":1,"assigned_to_id":10,"start_date":"2017-07-02","description":"","custom_fields":[{"id":30,"name":"Category","value":"Issue"},{"id":3,"name":"Functional Component","value":"Onboard"},{"id":31,"name":"Version","value":"N/A"},{"id":8,"name":"Reporting RR","value":"WABTEC"},{"id":27,"name":"Locomotive ID","value":"4018"},{"id":20,"name":"RR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UTC","value":"2017-07-02 00:22:15"},{"id":29,"name":"Sharepoint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</row>
    <row r="128" spans="1:91" s="20" customFormat="1" x14ac:dyDescent="0.25">
      <c r="A128" s="32" t="s">
        <v>836</v>
      </c>
      <c r="B128" s="7">
        <v>4017</v>
      </c>
      <c r="C128" s="21" t="s">
        <v>202</v>
      </c>
      <c r="D128" s="21" t="s">
        <v>464</v>
      </c>
      <c r="E128" s="13">
        <v>42917.773981481485</v>
      </c>
      <c r="F128" s="13">
        <v>42917.779398148145</v>
      </c>
      <c r="G128" s="7">
        <v>1</v>
      </c>
      <c r="H128" s="21" t="s">
        <v>394</v>
      </c>
      <c r="I128" s="13">
        <v>42917.805590277778</v>
      </c>
      <c r="J128" s="7">
        <v>0</v>
      </c>
      <c r="K128" s="89" t="str">
        <f t="shared" si="27"/>
        <v>4017/4018</v>
      </c>
      <c r="L128" s="21" t="str">
        <f>VLOOKUP(A128,'Trips&amp;Operators'!$C$1:$G$99999,5,FALSE)</f>
        <v>YANG JAN</v>
      </c>
      <c r="M128" s="6">
        <f t="shared" si="28"/>
        <v>2.6192129633272998E-2</v>
      </c>
      <c r="N128" s="7">
        <f t="shared" si="46"/>
        <v>37.716666671913117</v>
      </c>
      <c r="O128" s="7"/>
      <c r="P128" s="7"/>
      <c r="Q128" s="22"/>
      <c r="R128" s="170"/>
      <c r="S128" s="213">
        <f t="shared" si="44"/>
        <v>1</v>
      </c>
      <c r="T128" s="195" t="str">
        <f t="shared" si="29"/>
        <v>Southbound</v>
      </c>
      <c r="U128" s="195">
        <f>IF(AG128="EC",COUNTIFS(Variables!$M$2:$M$19,IF(T128="NorthBound","&gt;=","&lt;=")&amp;Y128,Variables!$M$2:$M$19,IF(T128="NorthBound","&lt;=","&gt;=")&amp;Z128),COUNTIFS(Variables!$P$2:$P$19,IF(T128="NorthBound","&gt;=","&lt;=")&amp;Y128,Variables!$P$2:$P$19,IF(T128="NorthBound","&lt;=","&gt;=")&amp;Z128))</f>
        <v>12</v>
      </c>
      <c r="V128" s="196" t="str">
        <f t="shared" si="30"/>
        <v>https://d0f6bd738d7f1b3e5a7ca70fe4ff75f0.us-east-1.aws.found.io/app/kibana#/discover/Steve-Slow-Train-Analysis-(2080s-and-2083s)?_g=(refreshInterval:(display:Off,pause:!f,section:0,value:0),time:(from:'2017-07-01T17:34:32-0600',mode:absolute,to:'2017-07-01T20:20:03-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128" s="197" t="str">
        <f>IF(AA128&lt;VLOOKUP(AG128,Variables!$AC$3:$AD$8,2,FALSE),"Y","N")</f>
        <v>N</v>
      </c>
      <c r="X128" s="197">
        <f t="shared" si="45"/>
        <v>1</v>
      </c>
      <c r="Y128" s="197">
        <f t="shared" si="32"/>
        <v>23.2986</v>
      </c>
      <c r="Z128" s="197">
        <f t="shared" si="33"/>
        <v>1.54E-2</v>
      </c>
      <c r="AA128" s="197">
        <f t="shared" si="34"/>
        <v>23.283200000000001</v>
      </c>
      <c r="AB128" s="54" t="e">
        <f>VLOOKUP(A128,Enforcements!$C$7:$K$13,8,0)</f>
        <v>#N/A</v>
      </c>
      <c r="AC128" s="51" t="e">
        <f>VLOOKUP(A128,Enforcements!$C$7:$E$13,3,0)</f>
        <v>#N/A</v>
      </c>
      <c r="AD128" s="206">
        <f t="shared" si="35"/>
        <v>214</v>
      </c>
      <c r="AE128" s="77" t="str">
        <f t="shared" si="36"/>
        <v>aws s3 cp s3://rtdc.mdm.uploadarchive.raw/RTDC4017/ "%USERPROFILE%\AppData\Local\Temp\OnboardLogs"\RTDC4017\2017-07-01 --exclude "*" --recursive --include "*20170701*" &amp; "%USERPROFILE%\Documents\GitHub\mrs-test-scripts\Headless Mode &amp; Sideloading\WalkAndUnGZ.bat" "%USERPROFILE%\AppData\Local\Temp\OnboardLogs"\RTDC4017\2017-07-01 &amp; aws s3 cp s3://rtdc.mdm.uploadarchive.raw/RTDC4017/ "%USERPROFILE%\AppData\Local\Temp\OnboardLogs"\RTDC4017\2017-07-02 --exclude "*" --recursive --include "*20170702*" &amp; "%USERPROFILE%\Documents\GitHub\mrs-test-scripts\Headless Mode &amp; Sideloading\WalkAndUnGZ.bat" "%USERPROFILE%\AppData\Local\Temp\OnboardLogs"\RTDC4017\2017-07-02</v>
      </c>
      <c r="AF128" s="74" t="str">
        <f t="shared" si="37"/>
        <v>"C:\Program Files (x86)\AstroGrep\AstroGrep.exe" /e /r /s /spath="%USERPROFILE%\AppData\Local\Temp\OnboardLogs" /stypes="app*4017*20170702*" /stext=" 01:.+((SYSTEM_STATE.+slice.+state.+changed )|(ment ac)|(multiple cpu faults)|(system.+state.+changed )|(\[timeout)|(PRM\|1\|D)|(kpr)|(kdp)|(train st.+moving)|(\|lc)|(penalty))"</v>
      </c>
      <c r="AG128" s="209" t="str">
        <f t="shared" si="38"/>
        <v>EC</v>
      </c>
      <c r="AH128" s="78" t="str">
        <f t="shared" si="39"/>
        <v>"%USERPROFILE%\Documents\GitHub\eaglep3\Utilities\RefineRTDCRunTimes.py" --tripid 214-01 --locoid 4017 --swversion DE.1.0.9.0 --startMP 204:232986 --initTime 2017-07-01T18:34:32 --startdatetime 2017-07-01T18:42:20 --delay 1 --endMP 204:154 --enddatetime 2017-07-01T19:20:03 --enforcementcount 0 &gt;&gt;C:\Users\stu\Documents\GitHub\eaglep3-reporting\EC\2017-07-01-refined-times.txt</v>
      </c>
      <c r="AI128" s="96" t="str">
        <f t="shared" si="40"/>
        <v>echo {"issue":{"subject":"","project_id":79,"tracker_id":40,"status_id":1,"priority_id":2,"assigned_to_id":23,"start_date":"2017-07-01","description":"","custom_fields":[{"id":1,"name":"Subdivision","value":"EC"},{"id":4,"name":"Milepost","value":"0.0154"},{"id":17,"name":"Train ID","value":"214-01"},{"id":16,"name":"Locomotive ID","value":"4017"},{"id":130,"name":"Impact","value":""},{"id":150,"name":"Time of Event (Mountain Time)","value":"19:20:03"},{"id":151,"name":"Denver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8" s="47"/>
      <c r="AL128" s="47"/>
      <c r="AM128" s="142" t="str">
        <f t="shared" si="41"/>
        <v>start /low /b %USERPROFILE%\Documents\GitHub\eaglep3\Utilities\DownloadLogsFromS3.py --loco 4017 --day 2017-07-01</v>
      </c>
      <c r="AN128" s="151" t="str">
        <f t="shared" si="42"/>
        <v>echo {"issue":{"subject":"","project_id":30,"tracker_id":4,"status_id":1,"priority_id":1,"assigned_to_id":10,"start_date":"2017-07-02","description":"","custom_fields":[{"id":30,"name":"Category","value":"Issue"},{"id":3,"name":"Functional Component","value":"Onboard"},{"id":31,"name":"Version","value":"N/A"},{"id":8,"name":"Reporting RR","value":"WABTEC"},{"id":27,"name":"Locomotive ID","value":"4017"},{"id":20,"name":"RR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UTC","value":"2017-07-02 01:20:03"},{"id":29,"name":"Sharepoint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</row>
    <row r="129" spans="1:91" s="20" customFormat="1" x14ac:dyDescent="0.25">
      <c r="A129" s="32" t="s">
        <v>665</v>
      </c>
      <c r="B129" s="7">
        <v>4030</v>
      </c>
      <c r="C129" s="21" t="s">
        <v>202</v>
      </c>
      <c r="D129" s="21" t="s">
        <v>355</v>
      </c>
      <c r="E129" s="13">
        <v>42917.747037037036</v>
      </c>
      <c r="F129" s="13">
        <v>42917.750497685185</v>
      </c>
      <c r="G129" s="7">
        <v>1</v>
      </c>
      <c r="H129" s="21" t="s">
        <v>984</v>
      </c>
      <c r="I129" s="13">
        <v>42917.775787037041</v>
      </c>
      <c r="J129" s="7">
        <v>0</v>
      </c>
      <c r="K129" s="89" t="str">
        <f t="shared" si="27"/>
        <v>4029/4030</v>
      </c>
      <c r="L129" s="21" t="str">
        <f>VLOOKUP(A129,'Trips&amp;Operators'!$C$1:$G$99999,5,FALSE)</f>
        <v>HOLCOMB KAMDEN</v>
      </c>
      <c r="M129" s="6">
        <f t="shared" si="28"/>
        <v>2.5289351855462883E-2</v>
      </c>
      <c r="N129" s="7">
        <f t="shared" si="46"/>
        <v>36.416666671866551</v>
      </c>
      <c r="O129" s="7"/>
      <c r="P129" s="7"/>
      <c r="Q129" s="22"/>
      <c r="R129" s="170"/>
      <c r="S129" s="213">
        <f t="shared" si="44"/>
        <v>1</v>
      </c>
      <c r="T129" s="195" t="str">
        <f t="shared" si="29"/>
        <v>NorthBound</v>
      </c>
      <c r="U129" s="195">
        <f>IF(AG129="EC",COUNTIFS(Variables!$M$2:$M$19,IF(T129="NorthBound","&gt;=","&lt;=")&amp;Y129,Variables!$M$2:$M$19,IF(T129="NorthBound","&lt;=","&gt;=")&amp;Z129),COUNTIFS(Variables!$P$2:$P$19,IF(T129="NorthBound","&gt;=","&lt;=")&amp;Y129,Variables!$P$2:$P$19,IF(T129="NorthBound","&lt;=","&gt;=")&amp;Z129))</f>
        <v>12</v>
      </c>
      <c r="V129" s="196" t="str">
        <f t="shared" si="30"/>
        <v>https://d0f6bd738d7f1b3e5a7ca70fe4ff75f0.us-east-1.aws.found.io/app/kibana#/discover/Steve-Slow-Train-Analysis-(2080s-and-2083s)?_g=(refreshInterval:(display:Off,pause:!f,section:0,value:0),time:(from:'2017-07-01T16:55:44-0600',mode:absolute,to:'2017-07-01T19:37:08-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129" s="197" t="str">
        <f>IF(AA129&lt;VLOOKUP(AG129,Variables!$AC$3:$AD$8,2,FALSE),"Y","N")</f>
        <v>N</v>
      </c>
      <c r="X129" s="197">
        <f t="shared" si="45"/>
        <v>1</v>
      </c>
      <c r="Y129" s="197">
        <f t="shared" si="32"/>
        <v>4.4699999999999997E-2</v>
      </c>
      <c r="Z129" s="197">
        <f t="shared" si="33"/>
        <v>23.331700000000001</v>
      </c>
      <c r="AA129" s="197">
        <f t="shared" si="34"/>
        <v>23.287000000000003</v>
      </c>
      <c r="AB129" s="54" t="e">
        <f>VLOOKUP(A129,Enforcements!$C$7:$K$13,8,0)</f>
        <v>#N/A</v>
      </c>
      <c r="AC129" s="51" t="e">
        <f>VLOOKUP(A129,Enforcements!$C$7:$E$13,3,0)</f>
        <v>#N/A</v>
      </c>
      <c r="AD129" s="206">
        <f t="shared" si="35"/>
        <v>215</v>
      </c>
      <c r="AE129" s="77" t="str">
        <f t="shared" si="36"/>
        <v>aws s3 cp s3://rtdc.mdm.uploadarchive.raw/RTDC4030/ "%USERPROFILE%\AppData\Local\Temp\OnboardLogs"\RTDC4030\2017-07-01 --exclude "*" --recursive --include "*20170701*" &amp; "%USERPROFILE%\Documents\GitHub\mrs-test-scripts\Headless Mode &amp; Sideloading\WalkAndUnGZ.bat" "%USERPROFILE%\AppData\Local\Temp\OnboardLogs"\RTDC4030\2017-07-01 &amp; aws s3 cp s3://rtdc.mdm.uploadarchive.raw/RTDC4030/ "%USERPROFILE%\AppData\Local\Temp\OnboardLogs"\RTDC4030\2017-07-02 --exclude "*" --recursive --include "*20170702*" &amp; "%USERPROFILE%\Documents\GitHub\mrs-test-scripts\Headless Mode &amp; Sideloading\WalkAndUnGZ.bat" "%USERPROFILE%\AppData\Local\Temp\OnboardLogs"\RTDC4030\2017-07-02</v>
      </c>
      <c r="AF129" s="74" t="str">
        <f t="shared" si="37"/>
        <v>"C:\Program Files (x86)\AstroGrep\AstroGrep.exe" /e /r /s /spath="%USERPROFILE%\AppData\Local\Temp\OnboardLogs" /stypes="app*4030*20170702*" /stext=" 00:.+((SYSTEM_STATE.+slice.+state.+changed )|(ment ac)|(multiple cpu faults)|(system.+state.+changed )|(\[timeout)|(PRM\|1\|D)|(kpr)|(kdp)|(train st.+moving)|(\|lc)|(penalty))"</v>
      </c>
      <c r="AG129" s="209" t="str">
        <f t="shared" si="38"/>
        <v>EC</v>
      </c>
      <c r="AH129" s="78" t="str">
        <f t="shared" si="39"/>
        <v>"%USERPROFILE%\Documents\GitHub\eaglep3\Utilities\RefineRTDCRunTimes.py" --tripid 215-01 --locoid 4030 --swversion DE.1.0.9.0 --startMP 204:447 --initTime 2017-07-01T17:55:44 --startdatetime 2017-07-01T18:00:43 --delay 1 --endMP 204:233317 --enddatetime 2017-07-01T18:37:08 --enforcementcount 0 &gt;&gt;C:\Users\stu\Documents\GitHub\eaglep3-reporting\EC\2017-07-01-refined-times.txt</v>
      </c>
      <c r="AI129" s="96" t="str">
        <f t="shared" si="40"/>
        <v>echo {"issue":{"subject":"","project_id":79,"tracker_id":40,"status_id":1,"priority_id":2,"assigned_to_id":23,"start_date":"2017-07-01","description":"","custom_fields":[{"id":1,"name":"Subdivision","value":"EC"},{"id":4,"name":"Milepost","value":"23.3317"},{"id":17,"name":"Train ID","value":"215-01"},{"id":16,"name":"Locomotive ID","value":"4030"},{"id":130,"name":"Impact","value":""},{"id":150,"name":"Time of Event (Mountain Time)","value":"18:37:08"},{"id":151,"name":"Denver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9" s="47"/>
      <c r="AL129" s="47"/>
      <c r="AM129" s="142" t="str">
        <f t="shared" si="41"/>
        <v>start /low /b %USERPROFILE%\Documents\GitHub\eaglep3\Utilities\DownloadLogsFromS3.py --loco 4030 --day 2017-07-01</v>
      </c>
      <c r="AN129" s="151" t="str">
        <f t="shared" si="42"/>
        <v>echo {"issue":{"subject":"","project_id":30,"tracker_id":4,"status_id":1,"priority_id":1,"assigned_to_id":10,"start_date":"2017-07-02","description":"","custom_fields":[{"id":30,"name":"Category","value":"Issue"},{"id":3,"name":"Functional Component","value":"Onboard"},{"id":31,"name":"Version","value":"N/A"},{"id":8,"name":"Reporting RR","value":"WABTEC"},{"id":27,"name":"Locomotive ID","value":"4030"},{"id":20,"name":"RR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UTC","value":"2017-07-02 00:37:08"},{"id":29,"name":"Sharepoint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</row>
    <row r="130" spans="1:91" s="20" customFormat="1" x14ac:dyDescent="0.25">
      <c r="A130" s="32" t="s">
        <v>840</v>
      </c>
      <c r="B130" s="7">
        <v>4029</v>
      </c>
      <c r="C130" s="21" t="s">
        <v>202</v>
      </c>
      <c r="D130" s="21" t="s">
        <v>607</v>
      </c>
      <c r="E130" s="13">
        <v>42917.788935185185</v>
      </c>
      <c r="F130" s="13">
        <v>42917.790266203701</v>
      </c>
      <c r="G130" s="7">
        <v>1</v>
      </c>
      <c r="H130" s="21" t="s">
        <v>985</v>
      </c>
      <c r="I130" s="13">
        <v>42917.816307870373</v>
      </c>
      <c r="J130" s="7">
        <v>0</v>
      </c>
      <c r="K130" s="89" t="str">
        <f t="shared" si="27"/>
        <v>4029/4030</v>
      </c>
      <c r="L130" s="21" t="str">
        <f>VLOOKUP(A130,'Trips&amp;Operators'!$C$1:$G$99999,5,FALSE)</f>
        <v>HOLCOMB KAMDEN</v>
      </c>
      <c r="M130" s="6">
        <f t="shared" si="28"/>
        <v>2.6041666671517305E-2</v>
      </c>
      <c r="N130" s="7">
        <f t="shared" si="46"/>
        <v>37.500000006984919</v>
      </c>
      <c r="O130" s="7"/>
      <c r="P130" s="7"/>
      <c r="Q130" s="22"/>
      <c r="R130" s="170"/>
      <c r="S130" s="213">
        <f t="shared" si="44"/>
        <v>1</v>
      </c>
      <c r="T130" s="195" t="str">
        <f t="shared" si="29"/>
        <v>Southbound</v>
      </c>
      <c r="U130" s="195">
        <f>IF(AG130="EC",COUNTIFS(Variables!$M$2:$M$19,IF(T130="NorthBound","&gt;=","&lt;=")&amp;Y130,Variables!$M$2:$M$19,IF(T130="NorthBound","&lt;=","&gt;=")&amp;Z130),COUNTIFS(Variables!$P$2:$P$19,IF(T130="NorthBound","&gt;=","&lt;=")&amp;Y130,Variables!$P$2:$P$19,IF(T130="NorthBound","&lt;=","&gt;=")&amp;Z130))</f>
        <v>12</v>
      </c>
      <c r="V130" s="196" t="str">
        <f t="shared" si="30"/>
        <v>https://d0f6bd738d7f1b3e5a7ca70fe4ff75f0.us-east-1.aws.found.io/app/kibana#/discover/Steve-Slow-Train-Analysis-(2080s-and-2083s)?_g=(refreshInterval:(display:Off,pause:!f,section:0,value:0),time:(from:'2017-07-01T17:56:04-0600',mode:absolute,to:'2017-07-01T20:35:29-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130" s="197" t="str">
        <f>IF(AA130&lt;VLOOKUP(AG130,Variables!$AC$3:$AD$8,2,FALSE),"Y","N")</f>
        <v>N</v>
      </c>
      <c r="X130" s="197">
        <f t="shared" si="45"/>
        <v>1</v>
      </c>
      <c r="Y130" s="197">
        <f t="shared" si="32"/>
        <v>23.299399999999999</v>
      </c>
      <c r="Z130" s="197">
        <f t="shared" si="33"/>
        <v>1.32E-2</v>
      </c>
      <c r="AA130" s="197">
        <f t="shared" si="34"/>
        <v>23.286199999999997</v>
      </c>
      <c r="AB130" s="54" t="e">
        <f>VLOOKUP(A130,Enforcements!$C$7:$K$13,8,0)</f>
        <v>#N/A</v>
      </c>
      <c r="AC130" s="51" t="e">
        <f>VLOOKUP(A130,Enforcements!$C$7:$E$13,3,0)</f>
        <v>#N/A</v>
      </c>
      <c r="AD130" s="206">
        <f t="shared" si="35"/>
        <v>216</v>
      </c>
      <c r="AE130" s="77" t="str">
        <f t="shared" si="36"/>
        <v>aws s3 cp s3://rtdc.mdm.uploadarchive.raw/RTDC4029/ "%USERPROFILE%\AppData\Local\Temp\OnboardLogs"\RTDC4029\2017-07-01 --exclude "*" --recursive --include "*20170701*" &amp; "%USERPROFILE%\Documents\GitHub\mrs-test-scripts\Headless Mode &amp; Sideloading\WalkAndUnGZ.bat" "%USERPROFILE%\AppData\Local\Temp\OnboardLogs"\RTDC4029\2017-07-01 &amp; aws s3 cp s3://rtdc.mdm.uploadarchive.raw/RTDC4029/ "%USERPROFILE%\AppData\Local\Temp\OnboardLogs"\RTDC4029\2017-07-02 --exclude "*" --recursive --include "*20170702*" &amp; "%USERPROFILE%\Documents\GitHub\mrs-test-scripts\Headless Mode &amp; Sideloading\WalkAndUnGZ.bat" "%USERPROFILE%\AppData\Local\Temp\OnboardLogs"\RTDC4029\2017-07-02</v>
      </c>
      <c r="AF130" s="74" t="str">
        <f t="shared" si="37"/>
        <v>"C:\Program Files (x86)\AstroGrep\AstroGrep.exe" /e /r /s /spath="%USERPROFILE%\AppData\Local\Temp\OnboardLogs" /stypes="app*4029*20170702*" /stext=" 01:.+((SYSTEM_STATE.+slice.+state.+changed )|(ment ac)|(multiple cpu faults)|(system.+state.+changed )|(\[timeout)|(PRM\|1\|D)|(kpr)|(kdp)|(train st.+moving)|(\|lc)|(penalty))"</v>
      </c>
      <c r="AG130" s="209" t="str">
        <f t="shared" si="38"/>
        <v>EC</v>
      </c>
      <c r="AH130" s="78" t="str">
        <f t="shared" si="39"/>
        <v>"%USERPROFILE%\Documents\GitHub\eaglep3\Utilities\RefineRTDCRunTimes.py" --tripid 216-01 --locoid 4029 --swversion DE.1.0.9.0 --startMP 204:232994 --initTime 2017-07-01T18:56:04 --startdatetime 2017-07-01T18:57:59 --delay 1 --endMP 204:132 --enddatetime 2017-07-01T19:35:29 --enforcementcount 0 &gt;&gt;C:\Users\stu\Documents\GitHub\eaglep3-reporting\EC\2017-07-01-refined-times.txt</v>
      </c>
      <c r="AI130" s="96" t="str">
        <f t="shared" si="40"/>
        <v>echo {"issue":{"subject":"","project_id":79,"tracker_id":40,"status_id":1,"priority_id":2,"assigned_to_id":23,"start_date":"2017-07-01","description":"","custom_fields":[{"id":1,"name":"Subdivision","value":"EC"},{"id":4,"name":"Milepost","value":"0.0132"},{"id":17,"name":"Train ID","value":"216-01"},{"id":16,"name":"Locomotive ID","value":"4029"},{"id":130,"name":"Impact","value":""},{"id":150,"name":"Time of Event (Mountain Time)","value":"19:35:29"},{"id":151,"name":"Denver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0" s="47"/>
      <c r="AL130" s="47"/>
      <c r="AM130" s="142" t="str">
        <f t="shared" si="41"/>
        <v>start /low /b %USERPROFILE%\Documents\GitHub\eaglep3\Utilities\DownloadLogsFromS3.py --loco 4029 --day 2017-07-01</v>
      </c>
      <c r="AN130" s="151" t="str">
        <f t="shared" si="42"/>
        <v>echo {"issue":{"subject":"","project_id":30,"tracker_id":4,"status_id":1,"priority_id":1,"assigned_to_id":10,"start_date":"2017-07-02","description":"","custom_fields":[{"id":30,"name":"Category","value":"Issue"},{"id":3,"name":"Functional Component","value":"Onboard"},{"id":31,"name":"Version","value":"N/A"},{"id":8,"name":"Reporting RR","value":"WABTEC"},{"id":27,"name":"Locomotive ID","value":"4029"},{"id":20,"name":"RR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UTC","value":"2017-07-02 01:35:29"},{"id":29,"name":"Sharepoint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</row>
    <row r="131" spans="1:91" s="20" customFormat="1" x14ac:dyDescent="0.25">
      <c r="A131" s="32" t="s">
        <v>666</v>
      </c>
      <c r="B131" s="7">
        <v>4028</v>
      </c>
      <c r="C131" s="21" t="s">
        <v>202</v>
      </c>
      <c r="D131" s="21" t="s">
        <v>986</v>
      </c>
      <c r="E131" s="13">
        <v>42917.755740740744</v>
      </c>
      <c r="F131" s="13">
        <v>42917.761331018519</v>
      </c>
      <c r="G131" s="7">
        <v>1</v>
      </c>
      <c r="H131" s="21" t="s">
        <v>901</v>
      </c>
      <c r="I131" s="13">
        <v>42917.786076388889</v>
      </c>
      <c r="J131" s="7">
        <v>0</v>
      </c>
      <c r="K131" s="89" t="str">
        <f t="shared" si="27"/>
        <v>4027/4028</v>
      </c>
      <c r="L131" s="21" t="str">
        <f>VLOOKUP(A131,'Trips&amp;Operators'!$C$1:$G$99999,5,FALSE)</f>
        <v>PERKINS DARREN</v>
      </c>
      <c r="M131" s="6">
        <f t="shared" si="28"/>
        <v>2.47453703705105E-2</v>
      </c>
      <c r="N131" s="7">
        <f t="shared" si="46"/>
        <v>35.63333333353512</v>
      </c>
      <c r="O131" s="7"/>
      <c r="P131" s="7"/>
      <c r="Q131" s="22"/>
      <c r="R131" s="170"/>
      <c r="S131" s="213">
        <f t="shared" si="44"/>
        <v>1</v>
      </c>
      <c r="T131" s="195" t="str">
        <f t="shared" si="29"/>
        <v>NorthBound</v>
      </c>
      <c r="U131" s="195">
        <f>IF(AG131="EC",COUNTIFS(Variables!$M$2:$M$19,IF(T131="NorthBound","&gt;=","&lt;=")&amp;Y131,Variables!$M$2:$M$19,IF(T131="NorthBound","&lt;=","&gt;=")&amp;Z131),COUNTIFS(Variables!$P$2:$P$19,IF(T131="NorthBound","&gt;=","&lt;=")&amp;Y131,Variables!$P$2:$P$19,IF(T131="NorthBound","&lt;=","&gt;=")&amp;Z131))</f>
        <v>12</v>
      </c>
      <c r="V131" s="196" t="str">
        <f t="shared" si="30"/>
        <v>https://d0f6bd738d7f1b3e5a7ca70fe4ff75f0.us-east-1.aws.found.io/app/kibana#/discover/Steve-Slow-Train-Analysis-(2080s-and-2083s)?_g=(refreshInterval:(display:Off,pause:!f,section:0,value:0),time:(from:'2017-07-01T17:08:16-0600',mode:absolute,to:'2017-07-01T19:51:57-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131" s="197" t="str">
        <f>IF(AA131&lt;VLOOKUP(AG131,Variables!$AC$3:$AD$8,2,FALSE),"Y","N")</f>
        <v>N</v>
      </c>
      <c r="X131" s="197">
        <f t="shared" si="45"/>
        <v>1</v>
      </c>
      <c r="Y131" s="197">
        <f t="shared" si="32"/>
        <v>4.1300000000000003E-2</v>
      </c>
      <c r="Z131" s="197">
        <f t="shared" si="33"/>
        <v>23.333400000000001</v>
      </c>
      <c r="AA131" s="197">
        <f t="shared" si="34"/>
        <v>23.292100000000001</v>
      </c>
      <c r="AB131" s="54" t="e">
        <f>VLOOKUP(A131,Enforcements!$C$7:$K$13,8,0)</f>
        <v>#N/A</v>
      </c>
      <c r="AC131" s="51" t="e">
        <f>VLOOKUP(A131,Enforcements!$C$7:$E$13,3,0)</f>
        <v>#N/A</v>
      </c>
      <c r="AD131" s="206">
        <f t="shared" si="35"/>
        <v>217</v>
      </c>
      <c r="AE131" s="77" t="str">
        <f t="shared" si="36"/>
        <v>aws s3 cp s3://rtdc.mdm.uploadarchive.raw/RTDC4028/ "%USERPROFILE%\AppData\Local\Temp\OnboardLogs"\RTDC4028\2017-07-01 --exclude "*" --recursive --include "*20170701*" &amp; "%USERPROFILE%\Documents\GitHub\mrs-test-scripts\Headless Mode &amp; Sideloading\WalkAndUnGZ.bat" "%USERPROFILE%\AppData\Local\Temp\OnboardLogs"\RTDC4028\2017-07-01 &amp; aws s3 cp s3://rtdc.mdm.uploadarchive.raw/RTDC4028/ "%USERPROFILE%\AppData\Local\Temp\OnboardLogs"\RTDC4028\2017-07-02 --exclude "*" --recursive --include "*20170702*" &amp; "%USERPROFILE%\Documents\GitHub\mrs-test-scripts\Headless Mode &amp; Sideloading\WalkAndUnGZ.bat" "%USERPROFILE%\AppData\Local\Temp\OnboardLogs"\RTDC4028\2017-07-02</v>
      </c>
      <c r="AF131" s="74" t="str">
        <f t="shared" si="37"/>
        <v>"C:\Program Files (x86)\AstroGrep\AstroGrep.exe" /e /r /s /spath="%USERPROFILE%\AppData\Local\Temp\OnboardLogs" /stypes="app*4028*20170702*" /stext=" 00:.+((SYSTEM_STATE.+slice.+state.+changed )|(ment ac)|(multiple cpu faults)|(system.+state.+changed )|(\[timeout)|(PRM\|1\|D)|(kpr)|(kdp)|(train st.+moving)|(\|lc)|(penalty))"</v>
      </c>
      <c r="AG131" s="209" t="str">
        <f t="shared" si="38"/>
        <v>EC</v>
      </c>
      <c r="AH131" s="78" t="str">
        <f t="shared" si="39"/>
        <v>"%USERPROFILE%\Documents\GitHub\eaglep3\Utilities\RefineRTDCRunTimes.py" --tripid 217-01 --locoid 4028 --swversion DE.1.0.9.0 --startMP 204:413 --initTime 2017-07-01T18:08:16 --startdatetime 2017-07-01T18:16:19 --delay 1 --endMP 204:233334 --enddatetime 2017-07-01T18:51:57 --enforcementcount 0 &gt;&gt;C:\Users\stu\Documents\GitHub\eaglep3-reporting\EC\2017-07-01-refined-times.txt</v>
      </c>
      <c r="AI131" s="96" t="str">
        <f t="shared" si="40"/>
        <v>echo {"issue":{"subject":"","project_id":79,"tracker_id":40,"status_id":1,"priority_id":2,"assigned_to_id":23,"start_date":"2017-07-01","description":"","custom_fields":[{"id":1,"name":"Subdivision","value":"EC"},{"id":4,"name":"Milepost","value":"23.3334"},{"id":17,"name":"Train ID","value":"217-01"},{"id":16,"name":"Locomotive ID","value":"4028"},{"id":130,"name":"Impact","value":""},{"id":150,"name":"Time of Event (Mountain Time)","value":"18:51:57"},{"id":151,"name":"Denver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1" s="47"/>
      <c r="AL131" s="47"/>
      <c r="AM131" s="142" t="str">
        <f t="shared" si="41"/>
        <v>start /low /b %USERPROFILE%\Documents\GitHub\eaglep3\Utilities\DownloadLogsFromS3.py --loco 4028 --day 2017-07-01</v>
      </c>
      <c r="AN131" s="151" t="str">
        <f t="shared" si="42"/>
        <v>echo {"issue":{"subject":"","project_id":30,"tracker_id":4,"status_id":1,"priority_id":1,"assigned_to_id":10,"start_date":"2017-07-02","description":"","custom_fields":[{"id":30,"name":"Category","value":"Issue"},{"id":3,"name":"Functional Component","value":"Onboard"},{"id":31,"name":"Version","value":"N/A"},{"id":8,"name":"Reporting RR","value":"WABTEC"},{"id":27,"name":"Locomotive ID","value":"4028"},{"id":20,"name":"RR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UTC","value":"2017-07-02 00:51:57"},{"id":29,"name":"Sharepoint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</row>
    <row r="132" spans="1:91" s="20" customFormat="1" x14ac:dyDescent="0.25">
      <c r="A132" s="32" t="s">
        <v>841</v>
      </c>
      <c r="B132" s="7">
        <v>4027</v>
      </c>
      <c r="C132" s="21" t="s">
        <v>202</v>
      </c>
      <c r="D132" s="21" t="s">
        <v>607</v>
      </c>
      <c r="E132" s="13">
        <v>42917.79519675926</v>
      </c>
      <c r="F132" s="13">
        <v>42917.80027777778</v>
      </c>
      <c r="G132" s="7">
        <v>1</v>
      </c>
      <c r="H132" s="21" t="s">
        <v>416</v>
      </c>
      <c r="I132" s="13">
        <v>42917.826377314814</v>
      </c>
      <c r="J132" s="7">
        <v>0</v>
      </c>
      <c r="K132" s="89" t="str">
        <f t="shared" si="27"/>
        <v>4027/4028</v>
      </c>
      <c r="L132" s="21" t="str">
        <f>VLOOKUP(A132,'Trips&amp;Operators'!$C$1:$G$99999,5,FALSE)</f>
        <v>PERKINS DARREN</v>
      </c>
      <c r="M132" s="6">
        <f t="shared" si="28"/>
        <v>2.6099537033587694E-2</v>
      </c>
      <c r="N132" s="7">
        <f t="shared" si="46"/>
        <v>37.58333332836628</v>
      </c>
      <c r="O132" s="7"/>
      <c r="P132" s="7"/>
      <c r="Q132" s="22"/>
      <c r="R132" s="170"/>
      <c r="S132" s="213">
        <f t="shared" si="44"/>
        <v>1</v>
      </c>
      <c r="T132" s="195" t="str">
        <f t="shared" si="29"/>
        <v>Southbound</v>
      </c>
      <c r="U132" s="195">
        <f>IF(AG132="EC",COUNTIFS(Variables!$M$2:$M$19,IF(T132="NorthBound","&gt;=","&lt;=")&amp;Y132,Variables!$M$2:$M$19,IF(T132="NorthBound","&lt;=","&gt;=")&amp;Z132),COUNTIFS(Variables!$P$2:$P$19,IF(T132="NorthBound","&gt;=","&lt;=")&amp;Y132,Variables!$P$2:$P$19,IF(T132="NorthBound","&lt;=","&gt;=")&amp;Z132))</f>
        <v>12</v>
      </c>
      <c r="V132" s="196" t="str">
        <f t="shared" si="30"/>
        <v>https://d0f6bd738d7f1b3e5a7ca70fe4ff75f0.us-east-1.aws.found.io/app/kibana#/discover/Steve-Slow-Train-Analysis-(2080s-and-2083s)?_g=(refreshInterval:(display:Off,pause:!f,section:0,value:0),time:(from:'2017-07-01T18:05:05-0600',mode:absolute,to:'2017-07-01T20:49:59-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132" s="197" t="str">
        <f>IF(AA132&lt;VLOOKUP(AG132,Variables!$AC$3:$AD$8,2,FALSE),"Y","N")</f>
        <v>N</v>
      </c>
      <c r="X132" s="197">
        <f t="shared" si="45"/>
        <v>1</v>
      </c>
      <c r="Y132" s="197">
        <f t="shared" si="32"/>
        <v>23.299399999999999</v>
      </c>
      <c r="Z132" s="197">
        <f t="shared" si="33"/>
        <v>1.4500000000000001E-2</v>
      </c>
      <c r="AA132" s="197">
        <f t="shared" si="34"/>
        <v>23.284899999999997</v>
      </c>
      <c r="AB132" s="54" t="e">
        <f>VLOOKUP(A132,Enforcements!$C$7:$K$13,8,0)</f>
        <v>#N/A</v>
      </c>
      <c r="AC132" s="51" t="e">
        <f>VLOOKUP(A132,Enforcements!$C$7:$E$13,3,0)</f>
        <v>#N/A</v>
      </c>
      <c r="AD132" s="206">
        <f t="shared" si="35"/>
        <v>218</v>
      </c>
      <c r="AE132" s="77" t="str">
        <f t="shared" si="36"/>
        <v>aws s3 cp s3://rtdc.mdm.uploadarchive.raw/RTDC4027/ "%USERPROFILE%\AppData\Local\Temp\OnboardLogs"\RTDC4027\2017-07-01 --exclude "*" --recursive --include "*20170701*" &amp; "%USERPROFILE%\Documents\GitHub\mrs-test-scripts\Headless Mode &amp; Sideloading\WalkAndUnGZ.bat" "%USERPROFILE%\AppData\Local\Temp\OnboardLogs"\RTDC4027\2017-07-01 &amp; aws s3 cp s3://rtdc.mdm.uploadarchive.raw/RTDC4027/ "%USERPROFILE%\AppData\Local\Temp\OnboardLogs"\RTDC4027\2017-07-02 --exclude "*" --recursive --include "*20170702*" &amp; "%USERPROFILE%\Documents\GitHub\mrs-test-scripts\Headless Mode &amp; Sideloading\WalkAndUnGZ.bat" "%USERPROFILE%\AppData\Local\Temp\OnboardLogs"\RTDC4027\2017-07-02</v>
      </c>
      <c r="AF132" s="74" t="str">
        <f t="shared" si="37"/>
        <v>"C:\Program Files (x86)\AstroGrep\AstroGrep.exe" /e /r /s /spath="%USERPROFILE%\AppData\Local\Temp\OnboardLogs" /stypes="app*4027*20170702*" /stext=" 01:.+((SYSTEM_STATE.+slice.+state.+changed )|(ment ac)|(multiple cpu faults)|(system.+state.+changed )|(\[timeout)|(PRM\|1\|D)|(kpr)|(kdp)|(train st.+moving)|(\|lc)|(penalty))"</v>
      </c>
      <c r="AG132" s="209" t="str">
        <f t="shared" si="38"/>
        <v>EC</v>
      </c>
      <c r="AH132" s="78" t="str">
        <f t="shared" si="39"/>
        <v>"%USERPROFILE%\Documents\GitHub\eaglep3\Utilities\RefineRTDCRunTimes.py" --tripid 218-01 --locoid 4027 --swversion DE.1.0.9.0 --startMP 204:232994 --initTime 2017-07-01T19:05:05 --startdatetime 2017-07-01T19:12:24 --delay 1 --endMP 204:145 --enddatetime 2017-07-01T19:49:59 --enforcementcount 0 &gt;&gt;C:\Users\stu\Documents\GitHub\eaglep3-reporting\EC\2017-07-01-refined-times.txt</v>
      </c>
      <c r="AI132" s="96" t="str">
        <f t="shared" si="40"/>
        <v>echo {"issue":{"subject":"","project_id":79,"tracker_id":40,"status_id":1,"priority_id":2,"assigned_to_id":23,"start_date":"2017-07-01","description":"","custom_fields":[{"id":1,"name":"Subdivision","value":"EC"},{"id":4,"name":"Milepost","value":"0.0145"},{"id":17,"name":"Train ID","value":"218-01"},{"id":16,"name":"Locomotive ID","value":"4027"},{"id":130,"name":"Impact","value":""},{"id":150,"name":"Time of Event (Mountain Time)","value":"19:49:59"},{"id":151,"name":"Denver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2" s="47"/>
      <c r="AL132" s="47"/>
      <c r="AM132" s="142" t="str">
        <f t="shared" si="41"/>
        <v>start /low /b %USERPROFILE%\Documents\GitHub\eaglep3\Utilities\DownloadLogsFromS3.py --loco 4027 --day 2017-07-01</v>
      </c>
      <c r="AN132" s="151" t="str">
        <f t="shared" si="42"/>
        <v>echo {"issue":{"subject":"","project_id":30,"tracker_id":4,"status_id":1,"priority_id":1,"assigned_to_id":10,"start_date":"2017-07-02","description":"","custom_fields":[{"id":30,"name":"Category","value":"Issue"},{"id":3,"name":"Functional Component","value":"Onboard"},{"id":31,"name":"Version","value":"N/A"},{"id":8,"name":"Reporting RR","value":"WABTEC"},{"id":27,"name":"Locomotive ID","value":"4027"},{"id":20,"name":"RR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UTC","value":"2017-07-02 01:49:59"},{"id":29,"name":"Sharepoint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</row>
    <row r="133" spans="1:91" s="20" customFormat="1" x14ac:dyDescent="0.25">
      <c r="A133" s="32" t="s">
        <v>835</v>
      </c>
      <c r="B133" s="7">
        <v>4014</v>
      </c>
      <c r="C133" s="21" t="s">
        <v>202</v>
      </c>
      <c r="D133" s="21" t="s">
        <v>897</v>
      </c>
      <c r="E133" s="13">
        <v>42917.767453703702</v>
      </c>
      <c r="F133" s="13">
        <v>42917.771493055552</v>
      </c>
      <c r="G133" s="7">
        <v>1</v>
      </c>
      <c r="H133" s="21" t="s">
        <v>601</v>
      </c>
      <c r="I133" s="13">
        <v>42917.796446759261</v>
      </c>
      <c r="J133" s="7">
        <v>0</v>
      </c>
      <c r="K133" s="89" t="str">
        <f t="shared" si="27"/>
        <v>4013/4014</v>
      </c>
      <c r="L133" s="21" t="str">
        <f>VLOOKUP(A133,'Trips&amp;Operators'!$C$1:$G$99999,5,FALSE)</f>
        <v>FORTUNATO FRANK</v>
      </c>
      <c r="M133" s="6">
        <f t="shared" si="28"/>
        <v>2.4953703708888497E-2</v>
      </c>
      <c r="N133" s="7">
        <f t="shared" si="46"/>
        <v>35.933333340799436</v>
      </c>
      <c r="O133" s="7"/>
      <c r="P133" s="7"/>
      <c r="Q133" s="22"/>
      <c r="R133" s="170"/>
      <c r="S133" s="213">
        <f t="shared" si="44"/>
        <v>1</v>
      </c>
      <c r="T133" s="195" t="str">
        <f t="shared" si="29"/>
        <v>NorthBound</v>
      </c>
      <c r="U133" s="195">
        <f>IF(AG133="EC",COUNTIFS(Variables!$M$2:$M$19,IF(T133="NorthBound","&gt;=","&lt;=")&amp;Y133,Variables!$M$2:$M$19,IF(T133="NorthBound","&lt;=","&gt;=")&amp;Z133),COUNTIFS(Variables!$P$2:$P$19,IF(T133="NorthBound","&gt;=","&lt;=")&amp;Y133,Variables!$P$2:$P$19,IF(T133="NorthBound","&lt;=","&gt;=")&amp;Z133))</f>
        <v>12</v>
      </c>
      <c r="V133" s="196" t="str">
        <f t="shared" si="30"/>
        <v>https://d0f6bd738d7f1b3e5a7ca70fe4ff75f0.us-east-1.aws.found.io/app/kibana#/discover/Steve-Slow-Train-Analysis-(2080s-and-2083s)?_g=(refreshInterval:(display:Off,pause:!f,section:0,value:0),time:(from:'2017-07-01T17:25:08-0600',mode:absolute,to:'2017-07-01T20:06:53-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133" s="197" t="str">
        <f>IF(AA133&lt;VLOOKUP(AG133,Variables!$AC$3:$AD$8,2,FALSE),"Y","N")</f>
        <v>N</v>
      </c>
      <c r="X133" s="197">
        <f t="shared" si="45"/>
        <v>1</v>
      </c>
      <c r="Y133" s="197">
        <f t="shared" si="32"/>
        <v>4.3299999999999998E-2</v>
      </c>
      <c r="Z133" s="197">
        <f t="shared" si="33"/>
        <v>23.332100000000001</v>
      </c>
      <c r="AA133" s="197">
        <f t="shared" si="34"/>
        <v>23.288800000000002</v>
      </c>
      <c r="AB133" s="54" t="e">
        <f>VLOOKUP(A133,Enforcements!$C$7:$K$13,8,0)</f>
        <v>#N/A</v>
      </c>
      <c r="AC133" s="51" t="e">
        <f>VLOOKUP(A133,Enforcements!$C$7:$E$13,3,0)</f>
        <v>#N/A</v>
      </c>
      <c r="AD133" s="206">
        <f t="shared" si="35"/>
        <v>219</v>
      </c>
      <c r="AE133" s="77" t="str">
        <f t="shared" si="36"/>
        <v>aws s3 cp s3://rtdc.mdm.uploadarchive.raw/RTDC4014/ "%USERPROFILE%\AppData\Local\Temp\OnboardLogs"\RTDC4014\2017-07-01 --exclude "*" --recursive --include "*20170701*" &amp; "%USERPROFILE%\Documents\GitHub\mrs-test-scripts\Headless Mode &amp; Sideloading\WalkAndUnGZ.bat" "%USERPROFILE%\AppData\Local\Temp\OnboardLogs"\RTDC4014\2017-07-01 &amp; aws s3 cp s3://rtdc.mdm.uploadarchive.raw/RTDC4014/ "%USERPROFILE%\AppData\Local\Temp\OnboardLogs"\RTDC4014\2017-07-02 --exclude "*" --recursive --include "*20170702*" &amp; "%USERPROFILE%\Documents\GitHub\mrs-test-scripts\Headless Mode &amp; Sideloading\WalkAndUnGZ.bat" "%USERPROFILE%\AppData\Local\Temp\OnboardLogs"\RTDC4014\2017-07-02</v>
      </c>
      <c r="AF133" s="74" t="str">
        <f t="shared" si="37"/>
        <v>"C:\Program Files (x86)\AstroGrep\AstroGrep.exe" /e /r /s /spath="%USERPROFILE%\AppData\Local\Temp\OnboardLogs" /stypes="app*4014*20170702*" /stext=" 01:.+((SYSTEM_STATE.+slice.+state.+changed )|(ment ac)|(multiple cpu faults)|(system.+state.+changed )|(\[timeout)|(PRM\|1\|D)|(kpr)|(kdp)|(train st.+moving)|(\|lc)|(penalty))"</v>
      </c>
      <c r="AG133" s="209" t="str">
        <f t="shared" si="38"/>
        <v>EC</v>
      </c>
      <c r="AH133" s="78" t="str">
        <f t="shared" si="39"/>
        <v>"%USERPROFILE%\Documents\GitHub\eaglep3\Utilities\RefineRTDCRunTimes.py" --tripid 219-01 --locoid 4014 --swversion DE.1.0.9.0 --startMP 204:433 --initTime 2017-07-01T18:25:08 --startdatetime 2017-07-01T18:30:57 --delay 1 --endMP 204:233321 --enddatetime 2017-07-01T19:06:53 --enforcementcount 0 &gt;&gt;C:\Users\stu\Documents\GitHub\eaglep3-reporting\EC\2017-07-01-refined-times.txt</v>
      </c>
      <c r="AI133" s="96" t="str">
        <f t="shared" si="40"/>
        <v>echo {"issue":{"subject":"","project_id":79,"tracker_id":40,"status_id":1,"priority_id":2,"assigned_to_id":23,"start_date":"2017-07-01","description":"","custom_fields":[{"id":1,"name":"Subdivision","value":"EC"},{"id":4,"name":"Milepost","value":"23.3321"},{"id":17,"name":"Train ID","value":"219-01"},{"id":16,"name":"Locomotive ID","value":"4014"},{"id":130,"name":"Impact","value":""},{"id":150,"name":"Time of Event (Mountain Time)","value":"19:06:53"},{"id":151,"name":"Denver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3" s="47"/>
      <c r="AL133" s="47"/>
      <c r="AM133" s="142" t="str">
        <f t="shared" si="41"/>
        <v>start /low /b %USERPROFILE%\Documents\GitHub\eaglep3\Utilities\DownloadLogsFromS3.py --loco 4014 --day 2017-07-01</v>
      </c>
      <c r="AN133" s="151" t="str">
        <f t="shared" si="42"/>
        <v>echo {"issue":{"subject":"","project_id":30,"tracker_id":4,"status_id":1,"priority_id":1,"assigned_to_id":10,"start_date":"2017-07-02","description":"","custom_fields":[{"id":30,"name":"Category","value":"Issue"},{"id":3,"name":"Functional Component","value":"Onboard"},{"id":31,"name":"Version","value":"N/A"},{"id":8,"name":"Reporting RR","value":"WABTEC"},{"id":27,"name":"Locomotive ID","value":"4014"},{"id":20,"name":"RR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UTC","value":"2017-07-02 01:06:53"},{"id":29,"name":"Sharepoint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</row>
    <row r="134" spans="1:91" s="20" customFormat="1" x14ac:dyDescent="0.25">
      <c r="A134" s="32" t="s">
        <v>667</v>
      </c>
      <c r="B134" s="7">
        <v>4013</v>
      </c>
      <c r="C134" s="21" t="s">
        <v>202</v>
      </c>
      <c r="D134" s="21" t="s">
        <v>547</v>
      </c>
      <c r="E134" s="13">
        <v>42917.80091435185</v>
      </c>
      <c r="F134" s="13">
        <v>42917.81144675926</v>
      </c>
      <c r="G134" s="7">
        <v>1</v>
      </c>
      <c r="H134" s="21" t="s">
        <v>615</v>
      </c>
      <c r="I134" s="13">
        <v>42917.838460648149</v>
      </c>
      <c r="J134" s="7">
        <v>0</v>
      </c>
      <c r="K134" s="89" t="str">
        <f t="shared" si="27"/>
        <v>4013/4014</v>
      </c>
      <c r="L134" s="21" t="str">
        <f>VLOOKUP(A134,'Trips&amp;Operators'!$C$1:$G$99999,5,FALSE)</f>
        <v>FORTUNATO FRANK</v>
      </c>
      <c r="M134" s="6">
        <f t="shared" si="28"/>
        <v>2.7013888888177462E-2</v>
      </c>
      <c r="N134" s="7">
        <f t="shared" si="46"/>
        <v>38.899999998975545</v>
      </c>
      <c r="O134" s="7"/>
      <c r="P134" s="7"/>
      <c r="Q134" s="22"/>
      <c r="R134" s="170"/>
      <c r="S134" s="213">
        <f t="shared" si="44"/>
        <v>1</v>
      </c>
      <c r="T134" s="195" t="str">
        <f t="shared" si="29"/>
        <v>Southbound</v>
      </c>
      <c r="U134" s="195">
        <f>IF(AG134="EC",COUNTIFS(Variables!$M$2:$M$19,IF(T134="NorthBound","&gt;=","&lt;=")&amp;Y134,Variables!$M$2:$M$19,IF(T134="NorthBound","&lt;=","&gt;=")&amp;Z134),COUNTIFS(Variables!$P$2:$P$19,IF(T134="NorthBound","&gt;=","&lt;=")&amp;Y134,Variables!$P$2:$P$19,IF(T134="NorthBound","&lt;=","&gt;=")&amp;Z134))</f>
        <v>12</v>
      </c>
      <c r="V134" s="196" t="str">
        <f t="shared" si="30"/>
        <v>https://d0f6bd738d7f1b3e5a7ca70fe4ff75f0.us-east-1.aws.found.io/app/kibana#/discover/Steve-Slow-Train-Analysis-(2080s-and-2083s)?_g=(refreshInterval:(display:Off,pause:!f,section:0,value:0),time:(from:'2017-07-01T18:13:19-0600',mode:absolute,to:'2017-07-01T21:07:23-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134" s="197" t="str">
        <f>IF(AA134&lt;VLOOKUP(AG134,Variables!$AC$3:$AD$8,2,FALSE),"Y","N")</f>
        <v>N</v>
      </c>
      <c r="X134" s="197">
        <f t="shared" si="45"/>
        <v>1</v>
      </c>
      <c r="Y134" s="197">
        <f t="shared" si="32"/>
        <v>23.299800000000001</v>
      </c>
      <c r="Z134" s="197">
        <f t="shared" si="33"/>
        <v>1.2699999999999999E-2</v>
      </c>
      <c r="AA134" s="197">
        <f t="shared" si="34"/>
        <v>23.287100000000002</v>
      </c>
      <c r="AB134" s="54" t="e">
        <f>VLOOKUP(A134,Enforcements!$C$7:$K$13,8,0)</f>
        <v>#N/A</v>
      </c>
      <c r="AC134" s="51" t="e">
        <f>VLOOKUP(A134,Enforcements!$C$7:$E$13,3,0)</f>
        <v>#N/A</v>
      </c>
      <c r="AD134" s="206">
        <f t="shared" si="35"/>
        <v>220</v>
      </c>
      <c r="AE134" s="77" t="str">
        <f t="shared" si="36"/>
        <v>aws s3 cp s3://rtdc.mdm.uploadarchive.raw/RTDC4013/ "%USERPROFILE%\AppData\Local\Temp\OnboardLogs"\RTDC4013\2017-07-01 --exclude "*" --recursive --include "*20170701*" &amp; "%USERPROFILE%\Documents\GitHub\mrs-test-scripts\Headless Mode &amp; Sideloading\WalkAndUnGZ.bat" "%USERPROFILE%\AppData\Local\Temp\OnboardLogs"\RTDC4013\2017-07-01 &amp; aws s3 cp s3://rtdc.mdm.uploadarchive.raw/RTDC4013/ "%USERPROFILE%\AppData\Local\Temp\OnboardLogs"\RTDC4013\2017-07-02 --exclude "*" --recursive --include "*20170702*" &amp; "%USERPROFILE%\Documents\GitHub\mrs-test-scripts\Headless Mode &amp; Sideloading\WalkAndUnGZ.bat" "%USERPROFILE%\AppData\Local\Temp\OnboardLogs"\RTDC4013\2017-07-02</v>
      </c>
      <c r="AF134" s="74" t="str">
        <f t="shared" si="37"/>
        <v>"C:\Program Files (x86)\AstroGrep\AstroGrep.exe" /e /r /s /spath="%USERPROFILE%\AppData\Local\Temp\OnboardLogs" /stypes="app*4013*20170702*" /stext=" 02:.+((SYSTEM_STATE.+slice.+state.+changed )|(ment ac)|(multiple cpu faults)|(system.+state.+changed )|(\[timeout)|(PRM\|1\|D)|(kpr)|(kdp)|(train st.+moving)|(\|lc)|(penalty))"</v>
      </c>
      <c r="AG134" s="209" t="str">
        <f t="shared" si="38"/>
        <v>EC</v>
      </c>
      <c r="AH134" s="78" t="str">
        <f t="shared" si="39"/>
        <v>"%USERPROFILE%\Documents\GitHub\eaglep3\Utilities\RefineRTDCRunTimes.py" --tripid 220-01 --locoid 4013 --swversion DE.1.0.9.0 --startMP 204:232998 --initTime 2017-07-01T19:13:19 --startdatetime 2017-07-01T19:28:29 --delay 1 --endMP 204:127 --enddatetime 2017-07-01T20:07:23 --enforcementcount 0 &gt;&gt;C:\Users\stu\Documents\GitHub\eaglep3-reporting\EC\2017-07-01-refined-times.txt</v>
      </c>
      <c r="AI134" s="96" t="str">
        <f t="shared" si="40"/>
        <v>echo {"issue":{"subject":"","project_id":79,"tracker_id":40,"status_id":1,"priority_id":2,"assigned_to_id":23,"start_date":"2017-07-01","description":"","custom_fields":[{"id":1,"name":"Subdivision","value":"EC"},{"id":4,"name":"Milepost","value":"0.0127"},{"id":17,"name":"Train ID","value":"220-01"},{"id":16,"name":"Locomotive ID","value":"4013"},{"id":130,"name":"Impact","value":""},{"id":150,"name":"Time of Event (Mountain Time)","value":"20:07:23"},{"id":151,"name":"Denver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4" s="47"/>
      <c r="AL134" s="47"/>
      <c r="AM134" s="142" t="str">
        <f t="shared" si="41"/>
        <v>start /low /b %USERPROFILE%\Documents\GitHub\eaglep3\Utilities\DownloadLogsFromS3.py --loco 4013 --day 2017-07-01</v>
      </c>
      <c r="AN134" s="151" t="str">
        <f t="shared" si="42"/>
        <v>echo {"issue":{"subject":"","project_id":30,"tracker_id":4,"status_id":1,"priority_id":1,"assigned_to_id":10,"start_date":"2017-07-02","description":"","custom_fields":[{"id":30,"name":"Category","value":"Issue"},{"id":3,"name":"Functional Component","value":"Onboard"},{"id":31,"name":"Version","value":"N/A"},{"id":8,"name":"Reporting RR","value":"WABTEC"},{"id":27,"name":"Locomotive ID","value":"4013"},{"id":20,"name":"RR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UTC","value":"2017-07-02 02:07:23"},{"id":29,"name":"Sharepoint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</row>
    <row r="135" spans="1:91" s="20" customFormat="1" x14ac:dyDescent="0.25">
      <c r="A135" s="32" t="s">
        <v>839</v>
      </c>
      <c r="B135" s="7">
        <v>4008</v>
      </c>
      <c r="C135" s="21" t="s">
        <v>202</v>
      </c>
      <c r="D135" s="21" t="s">
        <v>391</v>
      </c>
      <c r="E135" s="13">
        <v>42917.787222222221</v>
      </c>
      <c r="F135" s="13">
        <v>42917.792256944442</v>
      </c>
      <c r="G135" s="7">
        <v>3</v>
      </c>
      <c r="H135" s="21" t="s">
        <v>488</v>
      </c>
      <c r="I135" s="13">
        <v>42917.816736111112</v>
      </c>
      <c r="J135" s="7">
        <v>0</v>
      </c>
      <c r="K135" s="89" t="str">
        <f t="shared" si="27"/>
        <v>4007/4008</v>
      </c>
      <c r="L135" s="21" t="str">
        <f>VLOOKUP(A135,'Trips&amp;Operators'!$C$1:$G$99999,5,FALSE)</f>
        <v>LAMAR NEKESHA</v>
      </c>
      <c r="M135" s="6">
        <f t="shared" si="28"/>
        <v>2.4479166670062114E-2</v>
      </c>
      <c r="N135" s="7">
        <f t="shared" si="46"/>
        <v>35.250000004889444</v>
      </c>
      <c r="O135" s="7"/>
      <c r="P135" s="7"/>
      <c r="Q135" s="22"/>
      <c r="R135" s="170"/>
      <c r="S135" s="213">
        <f t="shared" ref="S135:S166" si="47">SUM(U135:U135)/IF(AG135="EC",12,1)</f>
        <v>1</v>
      </c>
      <c r="T135" s="195" t="str">
        <f t="shared" si="29"/>
        <v>NorthBound</v>
      </c>
      <c r="U135" s="195">
        <f>IF(AG135="EC",COUNTIFS(Variables!$M$2:$M$19,IF(T135="NorthBound","&gt;=","&lt;=")&amp;Y135,Variables!$M$2:$M$19,IF(T135="NorthBound","&lt;=","&gt;=")&amp;Z135),COUNTIFS(Variables!$P$2:$P$19,IF(T135="NorthBound","&gt;=","&lt;=")&amp;Y135,Variables!$P$2:$P$19,IF(T135="NorthBound","&lt;=","&gt;=")&amp;Z135))</f>
        <v>12</v>
      </c>
      <c r="V135" s="196" t="str">
        <f t="shared" si="30"/>
        <v>https://d0f6bd738d7f1b3e5a7ca70fe4ff75f0.us-east-1.aws.found.io/app/kibana#/discover/Steve-Slow-Train-Analysis-(2080s-and-2083s)?_g=(refreshInterval:(display:Off,pause:!f,section:0,value:0),time:(from:'2017-07-01T17:53:36-0600',mode:absolute,to:'2017-07-01T20:36:06-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135" s="197" t="str">
        <f>IF(AA135&lt;VLOOKUP(AG135,Variables!$AC$3:$AD$8,2,FALSE),"Y","N")</f>
        <v>N</v>
      </c>
      <c r="X135" s="197">
        <f t="shared" si="45"/>
        <v>1</v>
      </c>
      <c r="Y135" s="197">
        <f t="shared" si="32"/>
        <v>4.6199999999999998E-2</v>
      </c>
      <c r="Z135" s="197">
        <f t="shared" si="33"/>
        <v>23.328900000000001</v>
      </c>
      <c r="AA135" s="197">
        <f t="shared" si="34"/>
        <v>23.282700000000002</v>
      </c>
      <c r="AB135" s="54" t="e">
        <f>VLOOKUP(A135,Enforcements!$C$7:$K$13,8,0)</f>
        <v>#N/A</v>
      </c>
      <c r="AC135" s="51" t="e">
        <f>VLOOKUP(A135,Enforcements!$C$7:$E$13,3,0)</f>
        <v>#N/A</v>
      </c>
      <c r="AD135" s="206">
        <f t="shared" si="35"/>
        <v>221</v>
      </c>
      <c r="AE135" s="77" t="str">
        <f t="shared" si="36"/>
        <v>aws s3 cp s3://rtdc.mdm.uploadarchive.raw/RTDC4008/ "%USERPROFILE%\AppData\Local\Temp\OnboardLogs"\RTDC4008\2017-07-01 --exclude "*" --recursive --include "*20170701*" &amp; "%USERPROFILE%\Documents\GitHub\mrs-test-scripts\Headless Mode &amp; Sideloading\WalkAndUnGZ.bat" "%USERPROFILE%\AppData\Local\Temp\OnboardLogs"\RTDC4008\2017-07-01 &amp; aws s3 cp s3://rtdc.mdm.uploadarchive.raw/RTDC4008/ "%USERPROFILE%\AppData\Local\Temp\OnboardLogs"\RTDC4008\2017-07-02 --exclude "*" --recursive --include "*20170702*" &amp; "%USERPROFILE%\Documents\GitHub\mrs-test-scripts\Headless Mode &amp; Sideloading\WalkAndUnGZ.bat" "%USERPROFILE%\AppData\Local\Temp\OnboardLogs"\RTDC4008\2017-07-02</v>
      </c>
      <c r="AF135" s="74" t="str">
        <f t="shared" si="37"/>
        <v>"C:\Program Files (x86)\AstroGrep\AstroGrep.exe" /e /r /s /spath="%USERPROFILE%\AppData\Local\Temp\OnboardLogs" /stypes="app*4008*20170702*" /stext=" 01:.+((SYSTEM_STATE.+slice.+state.+changed )|(ment ac)|(multiple cpu faults)|(system.+state.+changed )|(\[timeout)|(PRM\|1\|D)|(kpr)|(kdp)|(train st.+moving)|(\|lc)|(penalty))"</v>
      </c>
      <c r="AG135" s="209" t="str">
        <f t="shared" si="38"/>
        <v>EC</v>
      </c>
      <c r="AH135" s="78" t="str">
        <f t="shared" si="39"/>
        <v>"%USERPROFILE%\Documents\GitHub\eaglep3\Utilities\RefineRTDCRunTimes.py" --tripid 221-01 --locoid 4008 --swversion DE.1.0.9.0 --startMP 204:462 --initTime 2017-07-01T18:53:36 --startdatetime 2017-07-01T19:00:51 --delay 3 --endMP 204:233289 --enddatetime 2017-07-01T19:36:06 --enforcementcount 0 &gt;&gt;C:\Users\stu\Documents\GitHub\eaglep3-reporting\EC\2017-07-01-refined-times.txt</v>
      </c>
      <c r="AI135" s="96" t="str">
        <f t="shared" si="40"/>
        <v>echo {"issue":{"subject":"","project_id":79,"tracker_id":40,"status_id":1,"priority_id":2,"assigned_to_id":23,"start_date":"2017-07-01","description":"","custom_fields":[{"id":1,"name":"Subdivision","value":"EC"},{"id":4,"name":"Milepost","value":"23.3289"},{"id":17,"name":"Train ID","value":"221-01"},{"id":16,"name":"Locomotive ID","value":"4008"},{"id":130,"name":"Impact","value":""},{"id":150,"name":"Time of Event (Mountain Time)","value":"19:36:06"},{"id":151,"name":"Denver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5" s="47"/>
      <c r="AL135" s="47"/>
      <c r="AM135" s="142" t="str">
        <f t="shared" si="41"/>
        <v>start /low /b %USERPROFILE%\Documents\GitHub\eaglep3\Utilities\DownloadLogsFromS3.py --loco 4008 --day 2017-07-01</v>
      </c>
      <c r="AN135" s="151" t="str">
        <f t="shared" si="42"/>
        <v>echo {"issue":{"subject":"","project_id":30,"tracker_id":4,"status_id":1,"priority_id":1,"assigned_to_id":10,"start_date":"2017-07-02","description":"","custom_fields":[{"id":30,"name":"Category","value":"Issue"},{"id":3,"name":"Functional Component","value":"Onboard"},{"id":31,"name":"Version","value":"N/A"},{"id":8,"name":"Reporting RR","value":"WABTEC"},{"id":27,"name":"Locomotive ID","value":"4008"},{"id":20,"name":"RR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UTC","value":"2017-07-02 01:36:06"},{"id":29,"name":"Sharepoint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</row>
    <row r="136" spans="1:91" s="20" customFormat="1" x14ac:dyDescent="0.25">
      <c r="A136" s="32" t="s">
        <v>847</v>
      </c>
      <c r="B136" s="7">
        <v>4007</v>
      </c>
      <c r="C136" s="21" t="s">
        <v>202</v>
      </c>
      <c r="D136" s="21" t="s">
        <v>441</v>
      </c>
      <c r="E136" s="13">
        <v>42917.828206018516</v>
      </c>
      <c r="F136" s="13">
        <v>42917.831423611111</v>
      </c>
      <c r="G136" s="7">
        <v>2</v>
      </c>
      <c r="H136" s="21" t="s">
        <v>349</v>
      </c>
      <c r="I136" s="13">
        <v>42917.858159722222</v>
      </c>
      <c r="J136" s="7">
        <v>0</v>
      </c>
      <c r="K136" s="89" t="str">
        <f t="shared" si="27"/>
        <v>4007/4008</v>
      </c>
      <c r="L136" s="21" t="str">
        <f>VLOOKUP(A136,'Trips&amp;Operators'!$C$1:$G$99999,5,FALSE)</f>
        <v>LAMAR NEKESHA</v>
      </c>
      <c r="M136" s="6">
        <f t="shared" si="28"/>
        <v>2.6736111110949423E-2</v>
      </c>
      <c r="N136" s="7">
        <f t="shared" si="46"/>
        <v>38.499999999767169</v>
      </c>
      <c r="O136" s="7"/>
      <c r="P136" s="7"/>
      <c r="Q136" s="22"/>
      <c r="R136" s="170"/>
      <c r="S136" s="213">
        <f t="shared" si="47"/>
        <v>1</v>
      </c>
      <c r="T136" s="195" t="str">
        <f t="shared" si="29"/>
        <v>Southbound</v>
      </c>
      <c r="U136" s="195">
        <f>IF(AG136="EC",COUNTIFS(Variables!$M$2:$M$19,IF(T136="NorthBound","&gt;=","&lt;=")&amp;Y136,Variables!$M$2:$M$19,IF(T136="NorthBound","&lt;=","&gt;=")&amp;Z136),COUNTIFS(Variables!$P$2:$P$19,IF(T136="NorthBound","&gt;=","&lt;=")&amp;Y136,Variables!$P$2:$P$19,IF(T136="NorthBound","&lt;=","&gt;=")&amp;Z136))</f>
        <v>12</v>
      </c>
      <c r="V136" s="196" t="str">
        <f t="shared" si="30"/>
        <v>https://d0f6bd738d7f1b3e5a7ca70fe4ff75f0.us-east-1.aws.found.io/app/kibana#/discover/Steve-Slow-Train-Analysis-(2080s-and-2083s)?_g=(refreshInterval:(display:Off,pause:!f,section:0,value:0),time:(from:'2017-07-01T18:52:37-0600',mode:absolute,to:'2017-07-01T21:35:45-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136" s="197" t="str">
        <f>IF(AA136&lt;VLOOKUP(AG136,Variables!$AC$3:$AD$8,2,FALSE),"Y","N")</f>
        <v>N</v>
      </c>
      <c r="X136" s="197">
        <f t="shared" si="45"/>
        <v>1</v>
      </c>
      <c r="Y136" s="197">
        <f t="shared" si="32"/>
        <v>23.2971</v>
      </c>
      <c r="Z136" s="197">
        <f t="shared" si="33"/>
        <v>1.49E-2</v>
      </c>
      <c r="AA136" s="197">
        <f t="shared" si="34"/>
        <v>23.2822</v>
      </c>
      <c r="AB136" s="54" t="e">
        <f>VLOOKUP(A136,Enforcements!$C$7:$K$13,8,0)</f>
        <v>#N/A</v>
      </c>
      <c r="AC136" s="51" t="e">
        <f>VLOOKUP(A136,Enforcements!$C$7:$E$13,3,0)</f>
        <v>#N/A</v>
      </c>
      <c r="AD136" s="206">
        <f t="shared" si="35"/>
        <v>222</v>
      </c>
      <c r="AE136" s="77" t="str">
        <f t="shared" si="36"/>
        <v>aws s3 cp s3://rtdc.mdm.uploadarchive.raw/RTDC4007/ "%USERPROFILE%\AppData\Local\Temp\OnboardLogs"\RTDC4007\2017-07-01 --exclude "*" --recursive --include "*20170701*" &amp; "%USERPROFILE%\Documents\GitHub\mrs-test-scripts\Headless Mode &amp; Sideloading\WalkAndUnGZ.bat" "%USERPROFILE%\AppData\Local\Temp\OnboardLogs"\RTDC4007\2017-07-01 &amp; aws s3 cp s3://rtdc.mdm.uploadarchive.raw/RTDC4007/ "%USERPROFILE%\AppData\Local\Temp\OnboardLogs"\RTDC4007\2017-07-02 --exclude "*" --recursive --include "*20170702*" &amp; "%USERPROFILE%\Documents\GitHub\mrs-test-scripts\Headless Mode &amp; Sideloading\WalkAndUnGZ.bat" "%USERPROFILE%\AppData\Local\Temp\OnboardLogs"\RTDC4007\2017-07-02</v>
      </c>
      <c r="AF136" s="74" t="str">
        <f t="shared" si="37"/>
        <v>"C:\Program Files (x86)\AstroGrep\AstroGrep.exe" /e /r /s /spath="%USERPROFILE%\AppData\Local\Temp\OnboardLogs" /stypes="app*4007*20170702*" /stext=" 02:.+((SYSTEM_STATE.+slice.+state.+changed )|(ment ac)|(multiple cpu faults)|(system.+state.+changed )|(\[timeout)|(PRM\|1\|D)|(kpr)|(kdp)|(train st.+moving)|(\|lc)|(penalty))"</v>
      </c>
      <c r="AG136" s="209" t="str">
        <f t="shared" si="38"/>
        <v>EC</v>
      </c>
      <c r="AH136" s="78" t="str">
        <f t="shared" si="39"/>
        <v>"%USERPROFILE%\Documents\GitHub\eaglep3\Utilities\RefineRTDCRunTimes.py" --tripid 222-01 --locoid 4007 --swversion DE.1.0.9.0 --startMP 204:232971 --initTime 2017-07-01T19:52:37 --startdatetime 2017-07-01T19:57:15 --delay 2 --endMP 204:149 --enddatetime 2017-07-01T20:35:45 --enforcementcount 0 &gt;&gt;C:\Users\stu\Documents\GitHub\eaglep3-reporting\EC\2017-07-01-refined-times.txt</v>
      </c>
      <c r="AI136" s="96" t="str">
        <f t="shared" si="40"/>
        <v>echo {"issue":{"subject":"","project_id":79,"tracker_id":40,"status_id":1,"priority_id":2,"assigned_to_id":23,"start_date":"2017-07-01","description":"","custom_fields":[{"id":1,"name":"Subdivision","value":"EC"},{"id":4,"name":"Milepost","value":"0.0149"},{"id":17,"name":"Train ID","value":"222-01"},{"id":16,"name":"Locomotive ID","value":"4007"},{"id":130,"name":"Impact","value":""},{"id":150,"name":"Time of Event (Mountain Time)","value":"20:35:45"},{"id":151,"name":"Denver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6" s="47"/>
      <c r="AL136" s="47"/>
      <c r="AM136" s="142" t="str">
        <f t="shared" si="41"/>
        <v>start /low /b %USERPROFILE%\Documents\GitHub\eaglep3\Utilities\DownloadLogsFromS3.py --loco 4007 --day 2017-07-01</v>
      </c>
      <c r="AN136" s="151" t="str">
        <f t="shared" si="42"/>
        <v>echo {"issue":{"subject":"","project_id":30,"tracker_id":4,"status_id":1,"priority_id":1,"assigned_to_id":10,"start_date":"2017-07-02","description":"","custom_fields":[{"id":30,"name":"Category","value":"Issue"},{"id":3,"name":"Functional Component","value":"Onboard"},{"id":31,"name":"Version","value":"N/A"},{"id":8,"name":"Reporting RR","value":"WABTEC"},{"id":27,"name":"Locomotive ID","value":"4007"},{"id":20,"name":"RR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UTC","value":"2017-07-02 02:35:45"},{"id":29,"name":"Sharepoint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</row>
    <row r="137" spans="1:91" s="20" customFormat="1" x14ac:dyDescent="0.25">
      <c r="A137" s="32" t="s">
        <v>844</v>
      </c>
      <c r="B137" s="7">
        <v>4018</v>
      </c>
      <c r="C137" s="21" t="s">
        <v>202</v>
      </c>
      <c r="D137" s="21" t="s">
        <v>352</v>
      </c>
      <c r="E137" s="13">
        <v>42917.808379629627</v>
      </c>
      <c r="F137" s="13">
        <v>42917.813032407408</v>
      </c>
      <c r="G137" s="7">
        <v>1</v>
      </c>
      <c r="H137" s="21" t="s">
        <v>487</v>
      </c>
      <c r="I137" s="13">
        <v>42917.838530092595</v>
      </c>
      <c r="J137" s="7">
        <v>0</v>
      </c>
      <c r="K137" s="89" t="str">
        <f t="shared" si="27"/>
        <v>4017/4018</v>
      </c>
      <c r="L137" s="21" t="str">
        <f>VLOOKUP(A137,'Trips&amp;Operators'!$C$1:$G$99999,5,FALSE)</f>
        <v>YANG JAN</v>
      </c>
      <c r="M137" s="6">
        <f t="shared" si="28"/>
        <v>2.5497685186564922E-2</v>
      </c>
      <c r="N137" s="7">
        <f t="shared" si="46"/>
        <v>36.716666668653488</v>
      </c>
      <c r="O137" s="7"/>
      <c r="P137" s="7"/>
      <c r="Q137" s="22"/>
      <c r="R137" s="170"/>
      <c r="S137" s="213">
        <f t="shared" si="47"/>
        <v>1</v>
      </c>
      <c r="T137" s="195" t="str">
        <f t="shared" si="29"/>
        <v>NorthBound</v>
      </c>
      <c r="U137" s="195">
        <f>IF(AG137="EC",COUNTIFS(Variables!$M$2:$M$19,IF(T137="NorthBound","&gt;=","&lt;=")&amp;Y137,Variables!$M$2:$M$19,IF(T137="NorthBound","&lt;=","&gt;=")&amp;Z137),COUNTIFS(Variables!$P$2:$P$19,IF(T137="NorthBound","&gt;=","&lt;=")&amp;Y137,Variables!$P$2:$P$19,IF(T137="NorthBound","&lt;=","&gt;=")&amp;Z137))</f>
        <v>12</v>
      </c>
      <c r="V137" s="196" t="str">
        <f t="shared" si="30"/>
        <v>https://d0f6bd738d7f1b3e5a7ca70fe4ff75f0.us-east-1.aws.found.io/app/kibana#/discover/Steve-Slow-Train-Analysis-(2080s-and-2083s)?_g=(refreshInterval:(display:Off,pause:!f,section:0,value:0),time:(from:'2017-07-01T18:24:04-0600',mode:absolute,to:'2017-07-01T21:07:29-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137" s="197" t="str">
        <f>IF(AA137&lt;VLOOKUP(AG137,Variables!$AC$3:$AD$8,2,FALSE),"Y","N")</f>
        <v>N</v>
      </c>
      <c r="X137" s="197">
        <f t="shared" si="45"/>
        <v>1</v>
      </c>
      <c r="Y137" s="197">
        <f t="shared" si="32"/>
        <v>4.5100000000000001E-2</v>
      </c>
      <c r="Z137" s="197">
        <f t="shared" si="33"/>
        <v>23.332899999999999</v>
      </c>
      <c r="AA137" s="197">
        <f t="shared" si="34"/>
        <v>23.287799999999997</v>
      </c>
      <c r="AB137" s="54" t="e">
        <f>VLOOKUP(A137,Enforcements!$C$7:$K$13,8,0)</f>
        <v>#N/A</v>
      </c>
      <c r="AC137" s="51" t="e">
        <f>VLOOKUP(A137,Enforcements!$C$7:$E$13,3,0)</f>
        <v>#N/A</v>
      </c>
      <c r="AD137" s="206">
        <f t="shared" si="35"/>
        <v>223</v>
      </c>
      <c r="AE137" s="77" t="str">
        <f t="shared" si="36"/>
        <v>aws s3 cp s3://rtdc.mdm.uploadarchive.raw/RTDC4018/ "%USERPROFILE%\AppData\Local\Temp\OnboardLogs"\RTDC4018\2017-07-01 --exclude "*" --recursive --include "*20170701*" &amp; "%USERPROFILE%\Documents\GitHub\mrs-test-scripts\Headless Mode &amp; Sideloading\WalkAndUnGZ.bat" "%USERPROFILE%\AppData\Local\Temp\OnboardLogs"\RTDC4018\2017-07-01 &amp; aws s3 cp s3://rtdc.mdm.uploadarchive.raw/RTDC4018/ "%USERPROFILE%\AppData\Local\Temp\OnboardLogs"\RTDC4018\2017-07-02 --exclude "*" --recursive --include "*20170702*" &amp; "%USERPROFILE%\Documents\GitHub\mrs-test-scripts\Headless Mode &amp; Sideloading\WalkAndUnGZ.bat" "%USERPROFILE%\AppData\Local\Temp\OnboardLogs"\RTDC4018\2017-07-02</v>
      </c>
      <c r="AF137" s="74" t="str">
        <f t="shared" si="37"/>
        <v>"C:\Program Files (x86)\AstroGrep\AstroGrep.exe" /e /r /s /spath="%USERPROFILE%\AppData\Local\Temp\OnboardLogs" /stypes="app*4018*20170702*" /stext=" 02:.+((SYSTEM_STATE.+slice.+state.+changed )|(ment ac)|(multiple cpu faults)|(system.+state.+changed )|(\[timeout)|(PRM\|1\|D)|(kpr)|(kdp)|(train st.+moving)|(\|lc)|(penalty))"</v>
      </c>
      <c r="AG137" s="209" t="str">
        <f t="shared" si="38"/>
        <v>EC</v>
      </c>
      <c r="AH137" s="78" t="str">
        <f t="shared" si="39"/>
        <v>"%USERPROFILE%\Documents\GitHub\eaglep3\Utilities\RefineRTDCRunTimes.py" --tripid 223-01 --locoid 4018 --swversion DE.1.0.9.0 --startMP 204:451 --initTime 2017-07-01T19:24:04 --startdatetime 2017-07-01T19:30:46 --delay 1 --endMP 204:233329 --enddatetime 2017-07-01T20:07:29 --enforcementcount 0 &gt;&gt;C:\Users\stu\Documents\GitHub\eaglep3-reporting\EC\2017-07-01-refined-times.txt</v>
      </c>
      <c r="AI137" s="96" t="str">
        <f t="shared" si="40"/>
        <v>echo {"issue":{"subject":"","project_id":79,"tracker_id":40,"status_id":1,"priority_id":2,"assigned_to_id":23,"start_date":"2017-07-01","description":"","custom_fields":[{"id":1,"name":"Subdivision","value":"EC"},{"id":4,"name":"Milepost","value":"23.3329"},{"id":17,"name":"Train ID","value":"223-01"},{"id":16,"name":"Locomotive ID","value":"4018"},{"id":130,"name":"Impact","value":""},{"id":150,"name":"Time of Event (Mountain Time)","value":"20:07:29"},{"id":151,"name":"Denver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7" s="47"/>
      <c r="AL137" s="47"/>
      <c r="AM137" s="142" t="str">
        <f t="shared" si="41"/>
        <v>start /low /b %USERPROFILE%\Documents\GitHub\eaglep3\Utilities\DownloadLogsFromS3.py --loco 4018 --day 2017-07-01</v>
      </c>
      <c r="AN137" s="151" t="str">
        <f t="shared" si="42"/>
        <v>echo {"issue":{"subject":"","project_id":30,"tracker_id":4,"status_id":1,"priority_id":1,"assigned_to_id":10,"start_date":"2017-07-02","description":"","custom_fields":[{"id":30,"name":"Category","value":"Issue"},{"id":3,"name":"Functional Component","value":"Onboard"},{"id":31,"name":"Version","value":"N/A"},{"id":8,"name":"Reporting RR","value":"WABTEC"},{"id":27,"name":"Locomotive ID","value":"4018"},{"id":20,"name":"RR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UTC","value":"2017-07-02 02:07:29"},{"id":29,"name":"Sharepoint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</row>
    <row r="138" spans="1:91" s="20" customFormat="1" x14ac:dyDescent="0.25">
      <c r="A138" s="32" t="s">
        <v>850</v>
      </c>
      <c r="B138" s="7">
        <v>4017</v>
      </c>
      <c r="C138" s="21" t="s">
        <v>202</v>
      </c>
      <c r="D138" s="21" t="s">
        <v>885</v>
      </c>
      <c r="E138" s="13">
        <v>42917.847893518519</v>
      </c>
      <c r="F138" s="13">
        <v>42917.852384259262</v>
      </c>
      <c r="G138" s="7">
        <v>1</v>
      </c>
      <c r="H138" s="21" t="s">
        <v>349</v>
      </c>
      <c r="I138" s="13">
        <v>42917.878657407404</v>
      </c>
      <c r="J138" s="7">
        <v>0</v>
      </c>
      <c r="K138" s="89" t="str">
        <f t="shared" si="27"/>
        <v>4017/4018</v>
      </c>
      <c r="L138" s="21" t="str">
        <f>VLOOKUP(A138,'Trips&amp;Operators'!$C$1:$G$99999,5,FALSE)</f>
        <v>YANG JAN</v>
      </c>
      <c r="M138" s="6">
        <f t="shared" si="28"/>
        <v>2.6273148141626734E-2</v>
      </c>
      <c r="N138" s="7">
        <f t="shared" si="46"/>
        <v>37.833333323942497</v>
      </c>
      <c r="O138" s="7"/>
      <c r="P138" s="7"/>
      <c r="Q138" s="22"/>
      <c r="R138" s="170"/>
      <c r="S138" s="213">
        <f t="shared" si="47"/>
        <v>1</v>
      </c>
      <c r="T138" s="195" t="str">
        <f t="shared" si="29"/>
        <v>Southbound</v>
      </c>
      <c r="U138" s="195">
        <f>IF(AG138="EC",COUNTIFS(Variables!$M$2:$M$19,IF(T138="NorthBound","&gt;=","&lt;=")&amp;Y138,Variables!$M$2:$M$19,IF(T138="NorthBound","&lt;=","&gt;=")&amp;Z138),COUNTIFS(Variables!$P$2:$P$19,IF(T138="NorthBound","&gt;=","&lt;=")&amp;Y138,Variables!$P$2:$P$19,IF(T138="NorthBound","&lt;=","&gt;=")&amp;Z138))</f>
        <v>12</v>
      </c>
      <c r="V138" s="196" t="str">
        <f t="shared" si="30"/>
        <v>https://d0f6bd738d7f1b3e5a7ca70fe4ff75f0.us-east-1.aws.found.io/app/kibana#/discover/Steve-Slow-Train-Analysis-(2080s-and-2083s)?_g=(refreshInterval:(display:Off,pause:!f,section:0,value:0),time:(from:'2017-07-01T19:20:58-0600',mode:absolute,to:'2017-07-01T22:05:16-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138" s="197" t="str">
        <f>IF(AA138&lt;VLOOKUP(AG138,Variables!$AC$3:$AD$8,2,FALSE),"Y","N")</f>
        <v>N</v>
      </c>
      <c r="X138" s="197">
        <f t="shared" si="45"/>
        <v>1</v>
      </c>
      <c r="Y138" s="197">
        <f t="shared" si="32"/>
        <v>23.302299999999999</v>
      </c>
      <c r="Z138" s="197">
        <f t="shared" si="33"/>
        <v>1.49E-2</v>
      </c>
      <c r="AA138" s="197">
        <f t="shared" si="34"/>
        <v>23.287399999999998</v>
      </c>
      <c r="AB138" s="54" t="e">
        <f>VLOOKUP(A138,Enforcements!$C$7:$K$13,8,0)</f>
        <v>#N/A</v>
      </c>
      <c r="AC138" s="51" t="e">
        <f>VLOOKUP(A138,Enforcements!$C$7:$E$13,3,0)</f>
        <v>#N/A</v>
      </c>
      <c r="AD138" s="206">
        <f t="shared" si="35"/>
        <v>224</v>
      </c>
      <c r="AE138" s="77" t="str">
        <f t="shared" si="36"/>
        <v>aws s3 cp s3://rtdc.mdm.uploadarchive.raw/RTDC4017/ "%USERPROFILE%\AppData\Local\Temp\OnboardLogs"\RTDC4017\2017-07-01 --exclude "*" --recursive --include "*20170701*" &amp; "%USERPROFILE%\Documents\GitHub\mrs-test-scripts\Headless Mode &amp; Sideloading\WalkAndUnGZ.bat" "%USERPROFILE%\AppData\Local\Temp\OnboardLogs"\RTDC4017\2017-07-01 &amp; aws s3 cp s3://rtdc.mdm.uploadarchive.raw/RTDC4017/ "%USERPROFILE%\AppData\Local\Temp\OnboardLogs"\RTDC4017\2017-07-02 --exclude "*" --recursive --include "*20170702*" &amp; "%USERPROFILE%\Documents\GitHub\mrs-test-scripts\Headless Mode &amp; Sideloading\WalkAndUnGZ.bat" "%USERPROFILE%\AppData\Local\Temp\OnboardLogs"\RTDC4017\2017-07-02</v>
      </c>
      <c r="AF138" s="74" t="str">
        <f t="shared" si="37"/>
        <v>"C:\Program Files (x86)\AstroGrep\AstroGrep.exe" /e /r /s /spath="%USERPROFILE%\AppData\Local\Temp\OnboardLogs" /stypes="app*4017*20170702*" /stext=" 03:.+((SYSTEM_STATE.+slice.+state.+changed )|(ment ac)|(multiple cpu faults)|(system.+state.+changed )|(\[timeout)|(PRM\|1\|D)|(kpr)|(kdp)|(train st.+moving)|(\|lc)|(penalty))"</v>
      </c>
      <c r="AG138" s="209" t="str">
        <f t="shared" si="38"/>
        <v>EC</v>
      </c>
      <c r="AH138" s="78" t="str">
        <f t="shared" si="39"/>
        <v>"%USERPROFILE%\Documents\GitHub\eaglep3\Utilities\RefineRTDCRunTimes.py" --tripid 224-01 --locoid 4017 --swversion DE.1.0.9.0 --startMP 204:233023 --initTime 2017-07-01T20:20:58 --startdatetime 2017-07-01T20:27:26 --delay 1 --endMP 204:149 --enddatetime 2017-07-01T21:05:16 --enforcementcount 0 &gt;&gt;C:\Users\stu\Documents\GitHub\eaglep3-reporting\EC\2017-07-01-refined-times.txt</v>
      </c>
      <c r="AI138" s="96" t="str">
        <f t="shared" si="40"/>
        <v>echo {"issue":{"subject":"","project_id":79,"tracker_id":40,"status_id":1,"priority_id":2,"assigned_to_id":23,"start_date":"2017-07-01","description":"","custom_fields":[{"id":1,"name":"Subdivision","value":"EC"},{"id":4,"name":"Milepost","value":"0.0149"},{"id":17,"name":"Train ID","value":"224-01"},{"id":16,"name":"Locomotive ID","value":"4017"},{"id":130,"name":"Impact","value":""},{"id":150,"name":"Time of Event (Mountain Time)","value":"21:05:16"},{"id":151,"name":"Denver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8" s="47"/>
      <c r="AL138" s="47"/>
      <c r="AM138" s="142" t="str">
        <f t="shared" si="41"/>
        <v>start /low /b %USERPROFILE%\Documents\GitHub\eaglep3\Utilities\DownloadLogsFromS3.py --loco 4017 --day 2017-07-01</v>
      </c>
      <c r="AN138" s="151" t="str">
        <f t="shared" si="42"/>
        <v>echo {"issue":{"subject":"","project_id":30,"tracker_id":4,"status_id":1,"priority_id":1,"assigned_to_id":10,"start_date":"2017-07-02","description":"","custom_fields":[{"id":30,"name":"Category","value":"Issue"},{"id":3,"name":"Functional Component","value":"Onboard"},{"id":31,"name":"Version","value":"N/A"},{"id":8,"name":"Reporting RR","value":"WABTEC"},{"id":27,"name":"Locomotive ID","value":"4017"},{"id":20,"name":"RR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UTC","value":"2017-07-02 03:05:16"},{"id":29,"name":"Sharepoint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</row>
    <row r="139" spans="1:91" s="20" customFormat="1" x14ac:dyDescent="0.25">
      <c r="A139" s="32" t="s">
        <v>668</v>
      </c>
      <c r="B139" s="7">
        <v>4028</v>
      </c>
      <c r="C139" s="21" t="s">
        <v>202</v>
      </c>
      <c r="D139" s="21" t="s">
        <v>544</v>
      </c>
      <c r="E139" s="13">
        <v>42917.828715277778</v>
      </c>
      <c r="F139" s="13">
        <v>42917.83384259259</v>
      </c>
      <c r="G139" s="7">
        <v>1</v>
      </c>
      <c r="H139" s="21" t="s">
        <v>983</v>
      </c>
      <c r="I139" s="13">
        <v>42917.858020833337</v>
      </c>
      <c r="J139" s="7">
        <v>0</v>
      </c>
      <c r="K139" s="89" t="str">
        <f t="shared" si="27"/>
        <v>4027/4028</v>
      </c>
      <c r="L139" s="21" t="str">
        <f>VLOOKUP(A139,'Trips&amp;Operators'!$C$1:$G$99999,5,FALSE)</f>
        <v>PERKINS DARREN</v>
      </c>
      <c r="M139" s="6">
        <f t="shared" si="28"/>
        <v>2.4178240746550728E-2</v>
      </c>
      <c r="N139" s="7">
        <f t="shared" si="46"/>
        <v>34.816666675033048</v>
      </c>
      <c r="O139" s="7"/>
      <c r="P139" s="7"/>
      <c r="Q139" s="22"/>
      <c r="R139" s="170"/>
      <c r="S139" s="213">
        <f t="shared" si="47"/>
        <v>1</v>
      </c>
      <c r="T139" s="195" t="str">
        <f t="shared" si="29"/>
        <v>NorthBound</v>
      </c>
      <c r="U139" s="195">
        <f>IF(AG139="EC",COUNTIFS(Variables!$M$2:$M$19,IF(T139="NorthBound","&gt;=","&lt;=")&amp;Y139,Variables!$M$2:$M$19,IF(T139="NorthBound","&lt;=","&gt;=")&amp;Z139),COUNTIFS(Variables!$P$2:$P$19,IF(T139="NorthBound","&gt;=","&lt;=")&amp;Y139,Variables!$P$2:$P$19,IF(T139="NorthBound","&lt;=","&gt;=")&amp;Z139))</f>
        <v>12</v>
      </c>
      <c r="V139" s="196" t="str">
        <f t="shared" si="30"/>
        <v>https://d0f6bd738d7f1b3e5a7ca70fe4ff75f0.us-east-1.aws.found.io/app/kibana#/discover/Steve-Slow-Train-Analysis-(2080s-and-2083s)?_g=(refreshInterval:(display:Off,pause:!f,section:0,value:0),time:(from:'2017-07-01T18:53:21-0600',mode:absolute,to:'2017-07-01T21:35:33-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139" s="197" t="str">
        <f>IF(AA139&lt;VLOOKUP(AG139,Variables!$AC$3:$AD$8,2,FALSE),"Y","N")</f>
        <v>N</v>
      </c>
      <c r="X139" s="197">
        <f t="shared" si="45"/>
        <v>1</v>
      </c>
      <c r="Y139" s="197">
        <f t="shared" si="32"/>
        <v>4.3499999999999997E-2</v>
      </c>
      <c r="Z139" s="197">
        <f t="shared" si="33"/>
        <v>23.331099999999999</v>
      </c>
      <c r="AA139" s="197">
        <f t="shared" si="34"/>
        <v>23.287599999999998</v>
      </c>
      <c r="AB139" s="54" t="e">
        <f>VLOOKUP(A139,Enforcements!$C$7:$K$13,8,0)</f>
        <v>#N/A</v>
      </c>
      <c r="AC139" s="51" t="e">
        <f>VLOOKUP(A139,Enforcements!$C$7:$E$13,3,0)</f>
        <v>#N/A</v>
      </c>
      <c r="AD139" s="206">
        <f t="shared" si="35"/>
        <v>225</v>
      </c>
      <c r="AE139" s="77" t="str">
        <f t="shared" si="36"/>
        <v>aws s3 cp s3://rtdc.mdm.uploadarchive.raw/RTDC4028/ "%USERPROFILE%\AppData\Local\Temp\OnboardLogs"\RTDC4028\2017-07-01 --exclude "*" --recursive --include "*20170701*" &amp; "%USERPROFILE%\Documents\GitHub\mrs-test-scripts\Headless Mode &amp; Sideloading\WalkAndUnGZ.bat" "%USERPROFILE%\AppData\Local\Temp\OnboardLogs"\RTDC4028\2017-07-01 &amp; aws s3 cp s3://rtdc.mdm.uploadarchive.raw/RTDC4028/ "%USERPROFILE%\AppData\Local\Temp\OnboardLogs"\RTDC4028\2017-07-02 --exclude "*" --recursive --include "*20170702*" &amp; "%USERPROFILE%\Documents\GitHub\mrs-test-scripts\Headless Mode &amp; Sideloading\WalkAndUnGZ.bat" "%USERPROFILE%\AppData\Local\Temp\OnboardLogs"\RTDC4028\2017-07-02</v>
      </c>
      <c r="AF139" s="74" t="str">
        <f t="shared" si="37"/>
        <v>"C:\Program Files (x86)\AstroGrep\AstroGrep.exe" /e /r /s /spath="%USERPROFILE%\AppData\Local\Temp\OnboardLogs" /stypes="app*4028*20170702*" /stext=" 02:.+((SYSTEM_STATE.+slice.+state.+changed )|(ment ac)|(multiple cpu faults)|(system.+state.+changed )|(\[timeout)|(PRM\|1\|D)|(kpr)|(kdp)|(train st.+moving)|(\|lc)|(penalty))"</v>
      </c>
      <c r="AG139" s="209" t="str">
        <f t="shared" si="38"/>
        <v>EC</v>
      </c>
      <c r="AH139" s="78" t="str">
        <f t="shared" si="39"/>
        <v>"%USERPROFILE%\Documents\GitHub\eaglep3\Utilities\RefineRTDCRunTimes.py" --tripid 225-01 --locoid 4028 --swversion DE.1.0.9.0 --startMP 204:435 --initTime 2017-07-01T19:53:21 --startdatetime 2017-07-01T20:00:44 --delay 1 --endMP 204:233311 --enddatetime 2017-07-01T20:35:33 --enforcementcount 0 &gt;&gt;C:\Users\stu\Documents\GitHub\eaglep3-reporting\EC\2017-07-01-refined-times.txt</v>
      </c>
      <c r="AI139" s="96" t="str">
        <f t="shared" si="40"/>
        <v>echo {"issue":{"subject":"","project_id":79,"tracker_id":40,"status_id":1,"priority_id":2,"assigned_to_id":23,"start_date":"2017-07-01","description":"","custom_fields":[{"id":1,"name":"Subdivision","value":"EC"},{"id":4,"name":"Milepost","value":"23.3311"},{"id":17,"name":"Train ID","value":"225-01"},{"id":16,"name":"Locomotive ID","value":"4028"},{"id":130,"name":"Impact","value":""},{"id":150,"name":"Time of Event (Mountain Time)","value":"20:35:33"},{"id":151,"name":"Denver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9" s="47"/>
      <c r="AL139" s="47"/>
      <c r="AM139" s="142" t="str">
        <f t="shared" si="41"/>
        <v>start /low /b %USERPROFILE%\Documents\GitHub\eaglep3\Utilities\DownloadLogsFromS3.py --loco 4028 --day 2017-07-01</v>
      </c>
      <c r="AN139" s="151" t="str">
        <f t="shared" si="42"/>
        <v>echo {"issue":{"subject":"","project_id":30,"tracker_id":4,"status_id":1,"priority_id":1,"assigned_to_id":10,"start_date":"2017-07-02","description":"","custom_fields":[{"id":30,"name":"Category","value":"Issue"},{"id":3,"name":"Functional Component","value":"Onboard"},{"id":31,"name":"Version","value":"N/A"},{"id":8,"name":"Reporting RR","value":"WABTEC"},{"id":27,"name":"Locomotive ID","value":"4028"},{"id":20,"name":"RR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UTC","value":"2017-07-02 02:35:33"},{"id":29,"name":"Sharepoint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9"/>
      <c r="AP139"/>
      <c r="AQ139"/>
      <c r="AR139"/>
      <c r="AS139"/>
      <c r="AT139"/>
      <c r="AU139"/>
      <c r="AV139"/>
      <c r="AW139"/>
      <c r="AX139"/>
      <c r="AY139"/>
      <c r="AZ139"/>
      <c r="BA139"/>
      <c r="BB139"/>
      <c r="BC139"/>
      <c r="BD139"/>
      <c r="BE139"/>
      <c r="BF139"/>
      <c r="BG139"/>
      <c r="BH139"/>
      <c r="BI139"/>
      <c r="BJ139"/>
      <c r="BK139"/>
      <c r="BL139"/>
      <c r="BM139"/>
      <c r="BN139"/>
      <c r="BO139"/>
      <c r="BP139"/>
      <c r="BQ139"/>
      <c r="BR139"/>
      <c r="BS139"/>
      <c r="BT139"/>
      <c r="BU139"/>
      <c r="BV139"/>
      <c r="BW139"/>
      <c r="BX139"/>
      <c r="BY139"/>
      <c r="BZ139"/>
      <c r="CA139"/>
      <c r="CB139"/>
      <c r="CC139"/>
      <c r="CD139"/>
      <c r="CE139"/>
      <c r="CF139"/>
      <c r="CG139"/>
      <c r="CH139"/>
      <c r="CI139"/>
      <c r="CJ139"/>
      <c r="CK139"/>
      <c r="CL139"/>
      <c r="CM139"/>
    </row>
    <row r="140" spans="1:91" s="20" customFormat="1" x14ac:dyDescent="0.25">
      <c r="A140" s="32" t="s">
        <v>852</v>
      </c>
      <c r="B140" s="7">
        <v>4027</v>
      </c>
      <c r="C140" s="21" t="s">
        <v>202</v>
      </c>
      <c r="D140" s="21" t="s">
        <v>541</v>
      </c>
      <c r="E140" s="13">
        <v>42917.864328703705</v>
      </c>
      <c r="F140" s="13">
        <v>42917.873113425929</v>
      </c>
      <c r="G140" s="7">
        <v>1</v>
      </c>
      <c r="H140" s="21" t="s">
        <v>358</v>
      </c>
      <c r="I140" s="13">
        <v>42917.899548611109</v>
      </c>
      <c r="J140" s="7">
        <v>0</v>
      </c>
      <c r="K140" s="89" t="str">
        <f t="shared" si="27"/>
        <v>4027/4028</v>
      </c>
      <c r="L140" s="21" t="str">
        <f>VLOOKUP(A140,'Trips&amp;Operators'!$C$1:$G$99999,5,FALSE)</f>
        <v>PERKINS DARREN</v>
      </c>
      <c r="M140" s="6">
        <f t="shared" si="28"/>
        <v>2.643518518016208E-2</v>
      </c>
      <c r="N140" s="7">
        <f t="shared" si="46"/>
        <v>38.066666659433395</v>
      </c>
      <c r="O140" s="7"/>
      <c r="P140" s="7"/>
      <c r="Q140" s="22"/>
      <c r="R140" s="170"/>
      <c r="S140" s="213">
        <f t="shared" si="47"/>
        <v>1</v>
      </c>
      <c r="T140" s="195" t="str">
        <f t="shared" si="29"/>
        <v>Southbound</v>
      </c>
      <c r="U140" s="195">
        <f>IF(AG140="EC",COUNTIFS(Variables!$M$2:$M$19,IF(T140="NorthBound","&gt;=","&lt;=")&amp;Y140,Variables!$M$2:$M$19,IF(T140="NorthBound","&lt;=","&gt;=")&amp;Z140),COUNTIFS(Variables!$P$2:$P$19,IF(T140="NorthBound","&gt;=","&lt;=")&amp;Y140,Variables!$P$2:$P$19,IF(T140="NorthBound","&lt;=","&gt;=")&amp;Z140))</f>
        <v>12</v>
      </c>
      <c r="V140" s="196" t="str">
        <f t="shared" si="30"/>
        <v>https://d0f6bd738d7f1b3e5a7ca70fe4ff75f0.us-east-1.aws.found.io/app/kibana#/discover/Steve-Slow-Train-Analysis-(2080s-and-2083s)?_g=(refreshInterval:(display:Off,pause:!f,section:0,value:0),time:(from:'2017-07-01T19:44:38-0600',mode:absolute,to:'2017-07-01T22:35:21-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140" s="197" t="str">
        <f>IF(AA140&lt;VLOOKUP(AG140,Variables!$AC$3:$AD$8,2,FALSE),"Y","N")</f>
        <v>N</v>
      </c>
      <c r="X140" s="197">
        <f t="shared" si="45"/>
        <v>1</v>
      </c>
      <c r="Y140" s="197">
        <f t="shared" si="32"/>
        <v>23.299199999999999</v>
      </c>
      <c r="Z140" s="197">
        <f t="shared" si="33"/>
        <v>1.41E-2</v>
      </c>
      <c r="AA140" s="197">
        <f t="shared" si="34"/>
        <v>23.2851</v>
      </c>
      <c r="AB140" s="54" t="e">
        <f>VLOOKUP(A140,Enforcements!$C$7:$K$13,8,0)</f>
        <v>#N/A</v>
      </c>
      <c r="AC140" s="51" t="e">
        <f>VLOOKUP(A140,Enforcements!$C$7:$E$13,3,0)</f>
        <v>#N/A</v>
      </c>
      <c r="AD140" s="206">
        <f t="shared" si="35"/>
        <v>226</v>
      </c>
      <c r="AE140" s="77" t="str">
        <f t="shared" si="36"/>
        <v>aws s3 cp s3://rtdc.mdm.uploadarchive.raw/RTDC4027/ "%USERPROFILE%\AppData\Local\Temp\OnboardLogs"\RTDC4027\2017-07-01 --exclude "*" --recursive --include "*20170701*" &amp; "%USERPROFILE%\Documents\GitHub\mrs-test-scripts\Headless Mode &amp; Sideloading\WalkAndUnGZ.bat" "%USERPROFILE%\AppData\Local\Temp\OnboardLogs"\RTDC4027\2017-07-01 &amp; aws s3 cp s3://rtdc.mdm.uploadarchive.raw/RTDC4027/ "%USERPROFILE%\AppData\Local\Temp\OnboardLogs"\RTDC4027\2017-07-02 --exclude "*" --recursive --include "*20170702*" &amp; "%USERPROFILE%\Documents\GitHub\mrs-test-scripts\Headless Mode &amp; Sideloading\WalkAndUnGZ.bat" "%USERPROFILE%\AppData\Local\Temp\OnboardLogs"\RTDC4027\2017-07-02</v>
      </c>
      <c r="AF140" s="74" t="str">
        <f t="shared" si="37"/>
        <v>"C:\Program Files (x86)\AstroGrep\AstroGrep.exe" /e /r /s /spath="%USERPROFILE%\AppData\Local\Temp\OnboardLogs" /stypes="app*4027*20170702*" /stext=" 03:.+((SYSTEM_STATE.+slice.+state.+changed )|(ment ac)|(multiple cpu faults)|(system.+state.+changed )|(\[timeout)|(PRM\|1\|D)|(kpr)|(kdp)|(train st.+moving)|(\|lc)|(penalty))"</v>
      </c>
      <c r="AG140" s="209" t="str">
        <f t="shared" si="38"/>
        <v>EC</v>
      </c>
      <c r="AH140" s="78" t="str">
        <f t="shared" si="39"/>
        <v>"%USERPROFILE%\Documents\GitHub\eaglep3\Utilities\RefineRTDCRunTimes.py" --tripid 226-01 --locoid 4027 --swversion DE.1.0.9.0 --startMP 204:232992 --initTime 2017-07-01T20:44:38 --startdatetime 2017-07-01T20:57:17 --delay 1 --endMP 204:141 --enddatetime 2017-07-01T21:35:21 --enforcementcount 0 &gt;&gt;C:\Users\stu\Documents\GitHub\eaglep3-reporting\EC\2017-07-01-refined-times.txt</v>
      </c>
      <c r="AI140" s="96" t="str">
        <f t="shared" si="40"/>
        <v>echo {"issue":{"subject":"","project_id":79,"tracker_id":40,"status_id":1,"priority_id":2,"assigned_to_id":23,"start_date":"2017-07-01","description":"","custom_fields":[{"id":1,"name":"Subdivision","value":"EC"},{"id":4,"name":"Milepost","value":"0.0141"},{"id":17,"name":"Train ID","value":"226-01"},{"id":16,"name":"Locomotive ID","value":"4027"},{"id":130,"name":"Impact","value":""},{"id":150,"name":"Time of Event (Mountain Time)","value":"21:35:21"},{"id":151,"name":"Denver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0" s="47"/>
      <c r="AL140" s="47"/>
      <c r="AM140" s="142" t="str">
        <f t="shared" si="41"/>
        <v>start /low /b %USERPROFILE%\Documents\GitHub\eaglep3\Utilities\DownloadLogsFromS3.py --loco 4027 --day 2017-07-01</v>
      </c>
      <c r="AN140" s="151" t="str">
        <f t="shared" si="42"/>
        <v>echo {"issue":{"subject":"","project_id":30,"tracker_id":4,"status_id":1,"priority_id":1,"assigned_to_id":10,"start_date":"2017-07-02","description":"","custom_fields":[{"id":30,"name":"Category","value":"Issue"},{"id":3,"name":"Functional Component","value":"Onboard"},{"id":31,"name":"Version","value":"N/A"},{"id":8,"name":"Reporting RR","value":"WABTEC"},{"id":27,"name":"Locomotive ID","value":"4027"},{"id":20,"name":"RR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UTC","value":"2017-07-02 03:35:21"},{"id":29,"name":"Sharepoint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0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  <c r="BR140"/>
      <c r="BS140"/>
      <c r="BT140"/>
      <c r="BU140"/>
      <c r="BV140"/>
      <c r="BW140"/>
      <c r="BX140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</row>
    <row r="141" spans="1:91" s="20" customFormat="1" x14ac:dyDescent="0.25">
      <c r="A141" s="32" t="s">
        <v>849</v>
      </c>
      <c r="B141" s="7">
        <v>4014</v>
      </c>
      <c r="C141" s="21" t="s">
        <v>202</v>
      </c>
      <c r="D141" s="21" t="s">
        <v>897</v>
      </c>
      <c r="E141" s="13">
        <v>42917.842557870368</v>
      </c>
      <c r="F141" s="13">
        <v>42917.85465277778</v>
      </c>
      <c r="G141" s="7">
        <v>1</v>
      </c>
      <c r="H141" s="21" t="s">
        <v>473</v>
      </c>
      <c r="I141" s="13">
        <v>42917.880011574074</v>
      </c>
      <c r="J141" s="7">
        <v>0</v>
      </c>
      <c r="K141" s="89" t="str">
        <f t="shared" ref="K141:K204" si="48">IF(ISEVEN(B141),(B141-1)&amp;"/"&amp;B141,B141&amp;"/"&amp;(B141+1))</f>
        <v>4013/4014</v>
      </c>
      <c r="L141" s="21" t="str">
        <f>VLOOKUP(A141,'Trips&amp;Operators'!$C$1:$G$99999,5,FALSE)</f>
        <v>FORTUNATO FRANK</v>
      </c>
      <c r="M141" s="6">
        <f t="shared" ref="M141:M204" si="49">I141-F141</f>
        <v>2.5358796294312924E-2</v>
      </c>
      <c r="N141" s="7">
        <f t="shared" si="46"/>
        <v>36.516666663810611</v>
      </c>
      <c r="O141" s="7"/>
      <c r="P141" s="7"/>
      <c r="Q141" s="22"/>
      <c r="R141" s="170"/>
      <c r="S141" s="213">
        <f t="shared" si="47"/>
        <v>1</v>
      </c>
      <c r="T141" s="195" t="str">
        <f t="shared" ref="T141:T204" si="50">IF(ISEVEN(LEFT(AD141,4)),"Southbound","NorthBound")</f>
        <v>NorthBound</v>
      </c>
      <c r="U141" s="195">
        <f>IF(AG141="EC",COUNTIFS(Variables!$M$2:$M$19,IF(T141="NorthBound","&gt;=","&lt;=")&amp;Y141,Variables!$M$2:$M$19,IF(T141="NorthBound","&lt;=","&gt;=")&amp;Z141),COUNTIFS(Variables!$P$2:$P$19,IF(T141="NorthBound","&gt;=","&lt;=")&amp;Y141,Variables!$P$2:$P$19,IF(T141="NorthBound","&lt;=","&gt;=")&amp;Z141))</f>
        <v>12</v>
      </c>
      <c r="V141" s="196" t="str">
        <f t="shared" ref="V141:V204" si="51">"https://d0f6bd738d7f1b3e5a7ca70fe4ff75f0.us-east-1.aws.found.io/app/kibana#/discover/Steve-Slow-Train-Analysis-(2080s-and-2083s)?_g="&amp;"(refreshInterval:(display:Off,pause:!f,section:0,value:0),time:(from:'"&amp;TEXT(E141-1/24,"yyyy-MM-DDThh:mm:ss")&amp;utc_offset&amp;"00"&amp;"',mode:absolute,to:'"&amp;TEXT(I141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141&amp;"%22')),sort:!(Time.ISO8601,asc))"</f>
        <v>https://d0f6bd738d7f1b3e5a7ca70fe4ff75f0.us-east-1.aws.found.io/app/kibana#/discover/Steve-Slow-Train-Analysis-(2080s-and-2083s)?_g=(refreshInterval:(display:Off,pause:!f,section:0,value:0),time:(from:'2017-07-01T19:13:17-0600',mode:absolute,to:'2017-07-01T22:07:13-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141" s="197" t="str">
        <f>IF(AA141&lt;VLOOKUP(AG141,Variables!$AC$3:$AD$8,2,FALSE),"Y","N")</f>
        <v>N</v>
      </c>
      <c r="X141" s="197">
        <f t="shared" ref="X141:X158" si="52">VALUE(LEFT(AD141,4))-VALUE(LEFT(AD140,4))</f>
        <v>1</v>
      </c>
      <c r="Y141" s="197">
        <f t="shared" ref="Y141:Y204" si="53">RIGHT(D141,LEN(D141)-4)/10000</f>
        <v>4.3299999999999998E-2</v>
      </c>
      <c r="Z141" s="197">
        <f t="shared" ref="Z141:Z204" si="54">RIGHT(H141,LEN(H141)-4)/10000</f>
        <v>23.3308</v>
      </c>
      <c r="AA141" s="197">
        <f t="shared" ref="AA141:AA204" si="55">ABS(Z141-Y141)</f>
        <v>23.287500000000001</v>
      </c>
      <c r="AB141" s="54" t="e">
        <f>VLOOKUP(A141,Enforcements!$C$7:$K$13,8,0)</f>
        <v>#N/A</v>
      </c>
      <c r="AC141" s="51" t="e">
        <f>VLOOKUP(A141,Enforcements!$C$7:$E$13,3,0)</f>
        <v>#N/A</v>
      </c>
      <c r="AD141" s="206">
        <f t="shared" ref="AD141:AD204" si="56">VALUE(LEFT(A141,LEN(A141)-3))</f>
        <v>227</v>
      </c>
      <c r="AE141" s="77" t="str">
        <f t="shared" ref="AE141:AE204" si="57">"aws s3 cp "&amp;s3_bucket&amp;"/RTDC"&amp;B141&amp;"/ "&amp;search_path&amp;"\RTDC"&amp;B141&amp;"\"&amp;TEXT(F141,"YYYY-MM-DD")&amp;" --exclude ""*"" --recursive --include ""*"&amp;TEXT(F141,"YYYYMMDD")&amp;"*"" &amp; """&amp;walkandungz&amp;""" "&amp;search_path&amp;"\RTDC"&amp;B141&amp;"\"&amp;TEXT(F141,"YYYY-MM-DD")
&amp;" &amp; "&amp;"aws s3 cp "&amp;s3_bucket&amp;"/RTDC"&amp;B141&amp;"/ "&amp;search_path&amp;"\RTDC"&amp;B141&amp;"\"&amp;TEXT(F141+1,"YYYY-MM-DD")&amp;" --exclude ""*"" --recursive --include ""*"&amp;TEXT(F141+1,"YYYYMMDD")&amp;"*"" &amp; """&amp;walkandungz&amp;""" "&amp;search_path&amp;"\RTDC"&amp;B141&amp;"\"&amp;TEXT(F141+1,"YYYY-MM-DD")</f>
        <v>aws s3 cp s3://rtdc.mdm.uploadarchive.raw/RTDC4014/ "%USERPROFILE%\AppData\Local\Temp\OnboardLogs"\RTDC4014\2017-07-01 --exclude "*" --recursive --include "*20170701*" &amp; "%USERPROFILE%\Documents\GitHub\mrs-test-scripts\Headless Mode &amp; Sideloading\WalkAndUnGZ.bat" "%USERPROFILE%\AppData\Local\Temp\OnboardLogs"\RTDC4014\2017-07-01 &amp; aws s3 cp s3://rtdc.mdm.uploadarchive.raw/RTDC4014/ "%USERPROFILE%\AppData\Local\Temp\OnboardLogs"\RTDC4014\2017-07-02 --exclude "*" --recursive --include "*20170702*" &amp; "%USERPROFILE%\Documents\GitHub\mrs-test-scripts\Headless Mode &amp; Sideloading\WalkAndUnGZ.bat" "%USERPROFILE%\AppData\Local\Temp\OnboardLogs"\RTDC4014\2017-07-02</v>
      </c>
      <c r="AF141" s="74" t="str">
        <f t="shared" ref="AF141:AF204" si="58">astrogrep_path&amp;" /e /r /s /spath="&amp;search_path&amp;" /stypes=""app*"&amp;B141&amp;"*"&amp;TEXT(I141-utc_offset/24,"YYYYMMDD")&amp;"*"" /stext="" "&amp;TEXT(I141-utc_offset/24,"HH")&amp;search_regexp&amp;""""</f>
        <v>"C:\Program Files (x86)\AstroGrep\AstroGrep.exe" /e /r /s /spath="%USERPROFILE%\AppData\Local\Temp\OnboardLogs" /stypes="app*4014*20170702*" /stext=" 03:.+((SYSTEM_STATE.+slice.+state.+changed )|(ment ac)|(multiple cpu faults)|(system.+state.+changed )|(\[timeout)|(PRM\|1\|D)|(kpr)|(kdp)|(train st.+moving)|(\|lc)|(penalty))"</v>
      </c>
      <c r="AG141" s="209" t="str">
        <f t="shared" ref="AG141:AG204" si="59">DetSubdiv(A141)</f>
        <v>EC</v>
      </c>
      <c r="AH141" s="78" t="str">
        <f t="shared" si="39"/>
        <v>"%USERPROFILE%\Documents\GitHub\eaglep3\Utilities\RefineRTDCRunTimes.py" --tripid 227-01 --locoid 4014 --swversion DE.1.0.9.0 --startMP 204:433 --initTime 2017-07-01T20:13:17 --startdatetime 2017-07-01T20:30:42 --delay 1 --endMP 204:233308 --enddatetime 2017-07-01T21:07:13 --enforcementcount 0 &gt;&gt;C:\Users\stu\Documents\GitHub\eaglep3-reporting\EC\2017-07-01-refined-times.txt</v>
      </c>
      <c r="AI141" s="96" t="str">
        <f t="shared" si="40"/>
        <v>echo {"issue":{"subject":"","project_id":79,"tracker_id":40,"status_id":1,"priority_id":2,"assigned_to_id":23,"start_date":"2017-07-01","description":"","custom_fields":[{"id":1,"name":"Subdivision","value":"EC"},{"id":4,"name":"Milepost","value":"23.3308"},{"id":17,"name":"Train ID","value":"227-01"},{"id":16,"name":"Locomotive ID","value":"4014"},{"id":130,"name":"Impact","value":""},{"id":150,"name":"Time of Event (Mountain Time)","value":"21:07:13"},{"id":151,"name":"Denver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1" s="47"/>
      <c r="AL141" s="47"/>
      <c r="AM141" s="142" t="str">
        <f t="shared" si="41"/>
        <v>start /low /b %USERPROFILE%\Documents\GitHub\eaglep3\Utilities\DownloadLogsFromS3.py --loco 4014 --day 2017-07-01</v>
      </c>
      <c r="AN141" s="151" t="str">
        <f t="shared" si="42"/>
        <v>echo {"issue":{"subject":"","project_id":30,"tracker_id":4,"status_id":1,"priority_id":1,"assigned_to_id":10,"start_date":"2017-07-02","description":"","custom_fields":[{"id":30,"name":"Category","value":"Issue"},{"id":3,"name":"Functional Component","value":"Onboard"},{"id":31,"name":"Version","value":"N/A"},{"id":8,"name":"Reporting RR","value":"WABTEC"},{"id":27,"name":"Locomotive ID","value":"4014"},{"id":20,"name":"RR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UTC","value":"2017-07-02 03:07:13"},{"id":29,"name":"Sharepoint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1"/>
      <c r="AP141"/>
      <c r="AQ141"/>
      <c r="AR141"/>
      <c r="AS141"/>
      <c r="AT141"/>
      <c r="AU141"/>
      <c r="AV141"/>
      <c r="AW141"/>
      <c r="AX141"/>
      <c r="AY141"/>
      <c r="AZ141"/>
      <c r="BA141"/>
      <c r="BB141"/>
      <c r="BC141"/>
      <c r="BD141"/>
      <c r="BE141"/>
      <c r="BF141"/>
      <c r="BG141"/>
      <c r="BH141"/>
      <c r="BI141"/>
      <c r="BJ141"/>
      <c r="BK141"/>
      <c r="BL141"/>
      <c r="BM141"/>
      <c r="BN141"/>
      <c r="BO141"/>
      <c r="BP141"/>
      <c r="BQ141"/>
      <c r="BR141"/>
      <c r="BS141"/>
      <c r="BT141"/>
      <c r="BU141"/>
      <c r="BV141"/>
      <c r="BW141"/>
      <c r="BX141"/>
      <c r="BY141"/>
      <c r="BZ141"/>
      <c r="CA141"/>
      <c r="CB141"/>
      <c r="CC141"/>
      <c r="CD141"/>
      <c r="CE141"/>
      <c r="CF141"/>
      <c r="CG141"/>
      <c r="CH141"/>
      <c r="CI141"/>
      <c r="CJ141"/>
      <c r="CK141"/>
      <c r="CL141"/>
      <c r="CM141"/>
    </row>
    <row r="142" spans="1:91" s="20" customFormat="1" x14ac:dyDescent="0.25">
      <c r="A142" s="32" t="s">
        <v>855</v>
      </c>
      <c r="B142" s="7">
        <v>4013</v>
      </c>
      <c r="C142" s="21" t="s">
        <v>202</v>
      </c>
      <c r="D142" s="21" t="s">
        <v>987</v>
      </c>
      <c r="E142" s="13">
        <v>42917.885868055557</v>
      </c>
      <c r="F142" s="13">
        <v>42917.893923611111</v>
      </c>
      <c r="G142" s="7">
        <v>1</v>
      </c>
      <c r="H142" s="21" t="s">
        <v>356</v>
      </c>
      <c r="I142" s="13">
        <v>42917.921412037038</v>
      </c>
      <c r="J142" s="7">
        <v>0</v>
      </c>
      <c r="K142" s="89" t="str">
        <f t="shared" si="48"/>
        <v>4013/4014</v>
      </c>
      <c r="L142" s="21" t="str">
        <f>VLOOKUP(A142,'Trips&amp;Operators'!$C$1:$G$99999,5,FALSE)</f>
        <v>FORTUNATO FRANK</v>
      </c>
      <c r="M142" s="6">
        <f t="shared" si="49"/>
        <v>2.7488425927003846E-2</v>
      </c>
      <c r="N142" s="7">
        <f t="shared" si="46"/>
        <v>39.583333334885538</v>
      </c>
      <c r="O142" s="7"/>
      <c r="P142" s="7"/>
      <c r="Q142" s="22"/>
      <c r="R142" s="170"/>
      <c r="S142" s="213">
        <f t="shared" si="47"/>
        <v>1</v>
      </c>
      <c r="T142" s="195" t="str">
        <f t="shared" si="50"/>
        <v>Southbound</v>
      </c>
      <c r="U142" s="195">
        <f>IF(AG142="EC",COUNTIFS(Variables!$M$2:$M$19,IF(T142="NorthBound","&gt;=","&lt;=")&amp;Y142,Variables!$M$2:$M$19,IF(T142="NorthBound","&lt;=","&gt;=")&amp;Z142),COUNTIFS(Variables!$P$2:$P$19,IF(T142="NorthBound","&gt;=","&lt;=")&amp;Y142,Variables!$P$2:$P$19,IF(T142="NorthBound","&lt;=","&gt;=")&amp;Z142))</f>
        <v>12</v>
      </c>
      <c r="V142" s="196" t="str">
        <f t="shared" si="51"/>
        <v>https://d0f6bd738d7f1b3e5a7ca70fe4ff75f0.us-east-1.aws.found.io/app/kibana#/discover/Steve-Slow-Train-Analysis-(2080s-and-2083s)?_g=(refreshInterval:(display:Off,pause:!f,section:0,value:0),time:(from:'2017-07-01T20:15:39-0600',mode:absolute,to:'2017-07-01T23:06:50-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142" s="197" t="str">
        <f>IF(AA142&lt;VLOOKUP(AG142,Variables!$AC$3:$AD$8,2,FALSE),"Y","N")</f>
        <v>N</v>
      </c>
      <c r="X142" s="197">
        <f t="shared" si="52"/>
        <v>1</v>
      </c>
      <c r="Y142" s="197">
        <f t="shared" si="53"/>
        <v>23.3002</v>
      </c>
      <c r="Z142" s="197">
        <f t="shared" si="54"/>
        <v>1.3899999999999999E-2</v>
      </c>
      <c r="AA142" s="197">
        <f t="shared" si="55"/>
        <v>23.286300000000001</v>
      </c>
      <c r="AB142" s="54" t="e">
        <f>VLOOKUP(A142,Enforcements!$C$7:$K$13,8,0)</f>
        <v>#N/A</v>
      </c>
      <c r="AC142" s="51" t="e">
        <f>VLOOKUP(A142,Enforcements!$C$7:$E$13,3,0)</f>
        <v>#N/A</v>
      </c>
      <c r="AD142" s="206">
        <f t="shared" si="56"/>
        <v>228</v>
      </c>
      <c r="AE142" s="77" t="str">
        <f t="shared" si="57"/>
        <v>aws s3 cp s3://rtdc.mdm.uploadarchive.raw/RTDC4013/ "%USERPROFILE%\AppData\Local\Temp\OnboardLogs"\RTDC4013\2017-07-01 --exclude "*" --recursive --include "*20170701*" &amp; "%USERPROFILE%\Documents\GitHub\mrs-test-scripts\Headless Mode &amp; Sideloading\WalkAndUnGZ.bat" "%USERPROFILE%\AppData\Local\Temp\OnboardLogs"\RTDC4013\2017-07-01 &amp; aws s3 cp s3://rtdc.mdm.uploadarchive.raw/RTDC4013/ "%USERPROFILE%\AppData\Local\Temp\OnboardLogs"\RTDC4013\2017-07-02 --exclude "*" --recursive --include "*20170702*" &amp; "%USERPROFILE%\Documents\GitHub\mrs-test-scripts\Headless Mode &amp; Sideloading\WalkAndUnGZ.bat" "%USERPROFILE%\AppData\Local\Temp\OnboardLogs"\RTDC4013\2017-07-02</v>
      </c>
      <c r="AF142" s="74" t="str">
        <f t="shared" si="58"/>
        <v>"C:\Program Files (x86)\AstroGrep\AstroGrep.exe" /e /r /s /spath="%USERPROFILE%\AppData\Local\Temp\OnboardLogs" /stypes="app*4013*20170702*" /stext=" 04:.+((SYSTEM_STATE.+slice.+state.+changed )|(ment ac)|(multiple cpu faults)|(system.+state.+changed )|(\[timeout)|(PRM\|1\|D)|(kpr)|(kdp)|(train st.+moving)|(\|lc)|(penalty))"</v>
      </c>
      <c r="AG142" s="209" t="str">
        <f t="shared" si="59"/>
        <v>EC</v>
      </c>
      <c r="AH142" s="78" t="str">
        <f t="shared" ref="AH142:AH204" si="60">refinertdcruntimes&amp;" --tripid "&amp;A142&amp;" --locoid "&amp;B142&amp;" --swversion "&amp;C142&amp;" --startMP "&amp;D142&amp;" --initTime "&amp;TEXT(E142,"yyyy-mm-ddTHH:MM:SS")&amp;" --startdatetime "&amp;TEXT(F142,"yyyy-mm-ddTHH:MM:SS")&amp;" --delay "&amp;G142&amp;" --endMP "&amp;H142&amp;" --enddatetime "&amp;TEXT(I142,"yyyy-mm-ddTHH:MM:SS")&amp;" --enforcementcount "&amp;J142&amp;IF(outputrefinedruntimes," &gt;&gt;"&amp;RefinedRTDCRunTimesOutputFile,"")</f>
        <v>"%USERPROFILE%\Documents\GitHub\eaglep3\Utilities\RefineRTDCRunTimes.py" --tripid 228-01 --locoid 4013 --swversion DE.1.0.9.0 --startMP 204:233002 --initTime 2017-07-01T21:15:39 --startdatetime 2017-07-01T21:27:15 --delay 1 --endMP 204:139 --enddatetime 2017-07-01T22:06:50 --enforcementcount 0 &gt;&gt;C:\Users\stu\Documents\GitHub\eaglep3-reporting\EC\2017-07-01-refined-times.txt</v>
      </c>
      <c r="AI142" s="96" t="str">
        <f t="shared" ref="AI142:AI204" si="61">"echo {""issue"":{""subject"":"""&amp;R142&amp;""",""project_id"":79,""tracker_id"":40,""status_id"":"&amp;redmine_status&amp;",""priority_id"":"&amp;redmine_priority&amp;",""assigned_to_id"":"&amp;redmine_assignee&amp;",""start_date"":"""&amp;TEXT(I142,"YYYY-mm-dd")&amp;""",""description"":"""&amp;AJ142&amp;""",""custom_fields"":[{""id"":1,""name"":""Subdivision"",""value"":"""&amp;AG142&amp;"""},{""id"":4,""name"":""Milepost"",""value"":"""&amp;Z142&amp;"""},{""id"":17,""name"":""Train ID"",""value"":"""&amp;A142&amp;"""},{""id"":16,""name"":""Locomotive ID"",""value"":"""&amp;B142&amp;"""},{""id"":130,""name"":""Impact"",""value"":"""&amp;AK142&amp;"""},{""id"":150,""name"":""Time of Event (Mountain Time)"",""value"":"""&amp;TEXT(I142,"hh:mm:ss")&amp;"""},{""id"":151,""name"":""Denver Issue ID"",""value"":"""&amp;"""},{""id"":178,""name"":""Operational Impact"",""value"":"""&amp;redmine_op_impact&amp;"""},{""id"":179,""name"":""Denver Segment Assigned"",""value"":"""&amp;AL142&amp;"""}]}}"&amp;"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{"issue":{"subject":"","project_id":79,"tracker_id":40,"status_id":1,"priority_id":2,"assigned_to_id":23,"start_date":"2017-07-01","description":"","custom_fields":[{"id":1,"name":"Subdivision","value":"EC"},{"id":4,"name":"Milepost","value":"0.0139"},{"id":17,"name":"Train ID","value":"228-01"},{"id":16,"name":"Locomotive ID","value":"4013"},{"id":130,"name":"Impact","value":""},{"id":150,"name":"Time of Event (Mountain Time)","value":"22:06:50"},{"id":151,"name":"Denver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2" s="47"/>
      <c r="AL142" s="47"/>
      <c r="AM142" s="142" t="str">
        <f t="shared" ref="AM142:AM204" si="62">"start /low /b "&amp;dls3logs&amp;" --loco "&amp;B142&amp;" --day "&amp;TEXT(F142,"YYYY-MM-DD")</f>
        <v>start /low /b %USERPROFILE%\Documents\GitHub\eaglep3\Utilities\DownloadLogsFromS3.py --loco 4013 --day 2017-07-01</v>
      </c>
      <c r="AN142" s="151" t="str">
        <f t="shared" ref="AN142:AN204" si="63">"echo {""issue"":{""subject"":"""&amp;R142&amp;""",""project_id"":30,""tracker_id"":4,""status_id"":"&amp;redmine_status_wcr&amp;",""priority_id"":"&amp;redmine_priority_wcr&amp;",""assigned_to_id"":"&amp;redmine_assignee_wcr&amp;",""start_date"":"""&amp;TEXT(I142-utc_offset/24,"YYYY-mm-dd")&amp;""",""description"":"""&amp;AJ142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ID"",""value"":"""&amp;B142&amp;"""},{""id"":20,""name"":""RR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UTC"",""value"":"""&amp;TEXT(I142-utc_offset/24,"YYYY-MM-DD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{"issue":{"subject":"","project_id":30,"tracker_id":4,"status_id":1,"priority_id":1,"assigned_to_id":10,"start_date":"2017-07-02","description":"","custom_fields":[{"id":30,"name":"Category","value":"Issue"},{"id":3,"name":"Functional Component","value":"Onboard"},{"id":31,"name":"Version","value":"N/A"},{"id":8,"name":"Reporting RR","value":"WABTEC"},{"id":27,"name":"Locomotive ID","value":"4013"},{"id":20,"name":"RR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UTC","value":"2017-07-02 04:06:50"},{"id":29,"name":"Sharepoint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2"/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M142"/>
      <c r="BN142"/>
      <c r="BO142"/>
      <c r="BP142"/>
      <c r="BQ142"/>
      <c r="BR142"/>
      <c r="BS142"/>
      <c r="BT142"/>
      <c r="BU142"/>
      <c r="BV142"/>
      <c r="BW142"/>
      <c r="BX142"/>
      <c r="BY142"/>
      <c r="BZ142"/>
      <c r="CA142"/>
      <c r="CB142"/>
      <c r="CC142"/>
      <c r="CD142"/>
      <c r="CE142"/>
      <c r="CF142"/>
      <c r="CG142"/>
      <c r="CH142"/>
      <c r="CI142"/>
      <c r="CJ142"/>
      <c r="CK142"/>
      <c r="CL142"/>
      <c r="CM142"/>
    </row>
    <row r="143" spans="1:91" s="20" customFormat="1" x14ac:dyDescent="0.25">
      <c r="A143" s="32" t="s">
        <v>853</v>
      </c>
      <c r="B143" s="7">
        <v>4008</v>
      </c>
      <c r="C143" s="21" t="s">
        <v>202</v>
      </c>
      <c r="D143" s="21" t="s">
        <v>620</v>
      </c>
      <c r="E143" s="13">
        <v>42917.870393518519</v>
      </c>
      <c r="F143" s="13">
        <v>42917.875497685185</v>
      </c>
      <c r="G143" s="7">
        <v>1</v>
      </c>
      <c r="H143" s="21" t="s">
        <v>988</v>
      </c>
      <c r="I143" s="13">
        <v>42917.900439814817</v>
      </c>
      <c r="J143" s="7">
        <v>0</v>
      </c>
      <c r="K143" s="89" t="str">
        <f t="shared" si="48"/>
        <v>4007/4008</v>
      </c>
      <c r="L143" s="21" t="str">
        <f>VLOOKUP(A143,'Trips&amp;Operators'!$C$1:$G$99999,5,FALSE)</f>
        <v>LAMAR NEKESHA</v>
      </c>
      <c r="M143" s="6">
        <f t="shared" si="49"/>
        <v>2.4942129632108845E-2</v>
      </c>
      <c r="N143" s="7">
        <f t="shared" si="46"/>
        <v>35.916666670236737</v>
      </c>
      <c r="O143" s="7"/>
      <c r="P143" s="7"/>
      <c r="Q143" s="22"/>
      <c r="R143" s="170"/>
      <c r="S143" s="213">
        <f t="shared" si="47"/>
        <v>1</v>
      </c>
      <c r="T143" s="195" t="str">
        <f t="shared" si="50"/>
        <v>NorthBound</v>
      </c>
      <c r="U143" s="195">
        <f>IF(AG143="EC",COUNTIFS(Variables!$M$2:$M$19,IF(T143="NorthBound","&gt;=","&lt;=")&amp;Y143,Variables!$M$2:$M$19,IF(T143="NorthBound","&lt;=","&gt;=")&amp;Z143),COUNTIFS(Variables!$P$2:$P$19,IF(T143="NorthBound","&gt;=","&lt;=")&amp;Y143,Variables!$P$2:$P$19,IF(T143="NorthBound","&lt;=","&gt;=")&amp;Z143))</f>
        <v>12</v>
      </c>
      <c r="V143" s="196" t="str">
        <f t="shared" si="51"/>
        <v>https://d0f6bd738d7f1b3e5a7ca70fe4ff75f0.us-east-1.aws.found.io/app/kibana#/discover/Steve-Slow-Train-Analysis-(2080s-and-2083s)?_g=(refreshInterval:(display:Off,pause:!f,section:0,value:0),time:(from:'2017-07-01T19:53:22-0600',mode:absolute,to:'2017-07-01T22:36:38-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143" s="197" t="str">
        <f>IF(AA143&lt;VLOOKUP(AG143,Variables!$AC$3:$AD$8,2,FALSE),"Y","N")</f>
        <v>N</v>
      </c>
      <c r="X143" s="197">
        <f t="shared" si="52"/>
        <v>1</v>
      </c>
      <c r="Y143" s="197">
        <f t="shared" si="53"/>
        <v>4.7100000000000003E-2</v>
      </c>
      <c r="Z143" s="197">
        <f t="shared" si="54"/>
        <v>23.325500000000002</v>
      </c>
      <c r="AA143" s="197">
        <f t="shared" si="55"/>
        <v>23.278400000000001</v>
      </c>
      <c r="AB143" s="54" t="e">
        <f>VLOOKUP(A143,Enforcements!$C$7:$K$13,8,0)</f>
        <v>#N/A</v>
      </c>
      <c r="AC143" s="51" t="e">
        <f>VLOOKUP(A143,Enforcements!$C$7:$E$13,3,0)</f>
        <v>#N/A</v>
      </c>
      <c r="AD143" s="206">
        <f t="shared" si="56"/>
        <v>229</v>
      </c>
      <c r="AE143" s="77" t="str">
        <f t="shared" si="57"/>
        <v>aws s3 cp s3://rtdc.mdm.uploadarchive.raw/RTDC4008/ "%USERPROFILE%\AppData\Local\Temp\OnboardLogs"\RTDC4008\2017-07-01 --exclude "*" --recursive --include "*20170701*" &amp; "%USERPROFILE%\Documents\GitHub\mrs-test-scripts\Headless Mode &amp; Sideloading\WalkAndUnGZ.bat" "%USERPROFILE%\AppData\Local\Temp\OnboardLogs"\RTDC4008\2017-07-01 &amp; aws s3 cp s3://rtdc.mdm.uploadarchive.raw/RTDC4008/ "%USERPROFILE%\AppData\Local\Temp\OnboardLogs"\RTDC4008\2017-07-02 --exclude "*" --recursive --include "*20170702*" &amp; "%USERPROFILE%\Documents\GitHub\mrs-test-scripts\Headless Mode &amp; Sideloading\WalkAndUnGZ.bat" "%USERPROFILE%\AppData\Local\Temp\OnboardLogs"\RTDC4008\2017-07-02</v>
      </c>
      <c r="AF143" s="74" t="str">
        <f t="shared" si="58"/>
        <v>"C:\Program Files (x86)\AstroGrep\AstroGrep.exe" /e /r /s /spath="%USERPROFILE%\AppData\Local\Temp\OnboardLogs" /stypes="app*4008*20170702*" /stext=" 03:.+((SYSTEM_STATE.+slice.+state.+changed )|(ment ac)|(multiple cpu faults)|(system.+state.+changed )|(\[timeout)|(PRM\|1\|D)|(kpr)|(kdp)|(train st.+moving)|(\|lc)|(penalty))"</v>
      </c>
      <c r="AG143" s="209" t="str">
        <f t="shared" si="59"/>
        <v>EC</v>
      </c>
      <c r="AH143" s="78" t="str">
        <f t="shared" si="60"/>
        <v>"%USERPROFILE%\Documents\GitHub\eaglep3\Utilities\RefineRTDCRunTimes.py" --tripid 229-01 --locoid 4008 --swversion DE.1.0.9.0 --startMP 204:471 --initTime 2017-07-01T20:53:22 --startdatetime 2017-07-01T21:00:43 --delay 1 --endMP 204:233255 --enddatetime 2017-07-01T21:36:38 --enforcementcount 0 &gt;&gt;C:\Users\stu\Documents\GitHub\eaglep3-reporting\EC\2017-07-01-refined-times.txt</v>
      </c>
      <c r="AI143" s="96" t="str">
        <f t="shared" si="61"/>
        <v>echo {"issue":{"subject":"","project_id":79,"tracker_id":40,"status_id":1,"priority_id":2,"assigned_to_id":23,"start_date":"2017-07-01","description":"","custom_fields":[{"id":1,"name":"Subdivision","value":"EC"},{"id":4,"name":"Milepost","value":"23.3255"},{"id":17,"name":"Train ID","value":"229-01"},{"id":16,"name":"Locomotive ID","value":"4008"},{"id":130,"name":"Impact","value":""},{"id":150,"name":"Time of Event (Mountain Time)","value":"21:36:38"},{"id":151,"name":"Denver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3" s="47"/>
      <c r="AL143" s="47"/>
      <c r="AM143" s="142" t="str">
        <f t="shared" si="62"/>
        <v>start /low /b %USERPROFILE%\Documents\GitHub\eaglep3\Utilities\DownloadLogsFromS3.py --loco 4008 --day 2017-07-01</v>
      </c>
      <c r="AN143" s="151" t="str">
        <f t="shared" si="63"/>
        <v>echo {"issue":{"subject":"","project_id":30,"tracker_id":4,"status_id":1,"priority_id":1,"assigned_to_id":10,"start_date":"2017-07-02","description":"","custom_fields":[{"id":30,"name":"Category","value":"Issue"},{"id":3,"name":"Functional Component","value":"Onboard"},{"id":31,"name":"Version","value":"N/A"},{"id":8,"name":"Reporting RR","value":"WABTEC"},{"id":27,"name":"Locomotive ID","value":"4008"},{"id":20,"name":"RR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UTC","value":"2017-07-02 03:36:38"},{"id":29,"name":"Sharepoint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  <c r="BL143"/>
      <c r="BM143"/>
      <c r="BN143"/>
      <c r="BO143"/>
      <c r="BP143"/>
      <c r="BQ143"/>
      <c r="BR143"/>
      <c r="BS143"/>
      <c r="BT143"/>
      <c r="BU143"/>
      <c r="BV143"/>
      <c r="BW143"/>
      <c r="BX143"/>
      <c r="BY143"/>
      <c r="BZ143"/>
      <c r="CA143"/>
      <c r="CB143"/>
      <c r="CC143"/>
      <c r="CD143"/>
      <c r="CE143"/>
      <c r="CF143"/>
      <c r="CG143"/>
      <c r="CH143"/>
      <c r="CI143"/>
      <c r="CJ143"/>
      <c r="CK143"/>
      <c r="CL143"/>
      <c r="CM143"/>
    </row>
    <row r="144" spans="1:91" s="20" customFormat="1" x14ac:dyDescent="0.25">
      <c r="A144" s="32" t="s">
        <v>859</v>
      </c>
      <c r="B144" s="7">
        <v>4007</v>
      </c>
      <c r="C144" s="21" t="s">
        <v>202</v>
      </c>
      <c r="D144" s="21" t="s">
        <v>489</v>
      </c>
      <c r="E144" s="13">
        <v>42917.910567129627</v>
      </c>
      <c r="F144" s="13">
        <v>42917.914965277778</v>
      </c>
      <c r="G144" s="7">
        <v>1</v>
      </c>
      <c r="H144" s="21" t="s">
        <v>359</v>
      </c>
      <c r="I144" s="13">
        <v>42917.94158564815</v>
      </c>
      <c r="J144" s="7">
        <v>0</v>
      </c>
      <c r="K144" s="89" t="str">
        <f t="shared" si="48"/>
        <v>4007/4008</v>
      </c>
      <c r="L144" s="21" t="str">
        <f>VLOOKUP(A144,'Trips&amp;Operators'!$C$1:$G$99999,5,FALSE)</f>
        <v>LAMAR NEKESHA</v>
      </c>
      <c r="M144" s="6">
        <f t="shared" si="49"/>
        <v>2.662037037225673E-2</v>
      </c>
      <c r="N144" s="7">
        <f t="shared" si="46"/>
        <v>38.333333336049691</v>
      </c>
      <c r="O144" s="7"/>
      <c r="P144" s="7"/>
      <c r="Q144" s="22"/>
      <c r="R144" s="170"/>
      <c r="S144" s="213">
        <f t="shared" si="47"/>
        <v>1</v>
      </c>
      <c r="T144" s="195" t="str">
        <f t="shared" si="50"/>
        <v>Southbound</v>
      </c>
      <c r="U144" s="195">
        <f>IF(AG144="EC",COUNTIFS(Variables!$M$2:$M$19,IF(T144="NorthBound","&gt;=","&lt;=")&amp;Y144,Variables!$M$2:$M$19,IF(T144="NorthBound","&lt;=","&gt;=")&amp;Z144),COUNTIFS(Variables!$P$2:$P$19,IF(T144="NorthBound","&gt;=","&lt;=")&amp;Y144,Variables!$P$2:$P$19,IF(T144="NorthBound","&lt;=","&gt;=")&amp;Z144))</f>
        <v>12</v>
      </c>
      <c r="V144" s="196" t="str">
        <f t="shared" si="51"/>
        <v>https://d0f6bd738d7f1b3e5a7ca70fe4ff75f0.us-east-1.aws.found.io/app/kibana#/discover/Steve-Slow-Train-Analysis-(2080s-and-2083s)?_g=(refreshInterval:(display:Off,pause:!f,section:0,value:0),time:(from:'2017-07-01T20:51:13-0600',mode:absolute,to:'2017-07-01T23:35:53-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144" s="197" t="str">
        <f>IF(AA144&lt;VLOOKUP(AG144,Variables!$AC$3:$AD$8,2,FALSE),"Y","N")</f>
        <v>N</v>
      </c>
      <c r="X144" s="197">
        <f t="shared" si="52"/>
        <v>1</v>
      </c>
      <c r="Y144" s="197">
        <f t="shared" si="53"/>
        <v>23.2973</v>
      </c>
      <c r="Z144" s="197">
        <f t="shared" si="54"/>
        <v>1.47E-2</v>
      </c>
      <c r="AA144" s="197">
        <f t="shared" si="55"/>
        <v>23.282599999999999</v>
      </c>
      <c r="AB144" s="54" t="e">
        <f>VLOOKUP(A144,Enforcements!$C$7:$K$13,8,0)</f>
        <v>#N/A</v>
      </c>
      <c r="AC144" s="51" t="e">
        <f>VLOOKUP(A144,Enforcements!$C$7:$E$13,3,0)</f>
        <v>#N/A</v>
      </c>
      <c r="AD144" s="206">
        <f t="shared" si="56"/>
        <v>230</v>
      </c>
      <c r="AE144" s="77" t="str">
        <f t="shared" si="57"/>
        <v>aws s3 cp s3://rtdc.mdm.uploadarchive.raw/RTDC4007/ "%USERPROFILE%\AppData\Local\Temp\OnboardLogs"\RTDC4007\2017-07-01 --exclude "*" --recursive --include "*20170701*" &amp; "%USERPROFILE%\Documents\GitHub\mrs-test-scripts\Headless Mode &amp; Sideloading\WalkAndUnGZ.bat" "%USERPROFILE%\AppData\Local\Temp\OnboardLogs"\RTDC4007\2017-07-01 &amp; aws s3 cp s3://rtdc.mdm.uploadarchive.raw/RTDC4007/ "%USERPROFILE%\AppData\Local\Temp\OnboardLogs"\RTDC4007\2017-07-02 --exclude "*" --recursive --include "*20170702*" &amp; "%USERPROFILE%\Documents\GitHub\mrs-test-scripts\Headless Mode &amp; Sideloading\WalkAndUnGZ.bat" "%USERPROFILE%\AppData\Local\Temp\OnboardLogs"\RTDC4007\2017-07-02</v>
      </c>
      <c r="AF144" s="74" t="str">
        <f t="shared" si="58"/>
        <v>"C:\Program Files (x86)\AstroGrep\AstroGrep.exe" /e /r /s /spath="%USERPROFILE%\AppData\Local\Temp\OnboardLogs" /stypes="app*4007*20170702*" /stext=" 04:.+((SYSTEM_STATE.+slice.+state.+changed )|(ment ac)|(multiple cpu faults)|(system.+state.+changed )|(\[timeout)|(PRM\|1\|D)|(kpr)|(kdp)|(train st.+moving)|(\|lc)|(penalty))"</v>
      </c>
      <c r="AG144" s="209" t="str">
        <f t="shared" si="59"/>
        <v>EC</v>
      </c>
      <c r="AH144" s="78" t="str">
        <f t="shared" si="60"/>
        <v>"%USERPROFILE%\Documents\GitHub\eaglep3\Utilities\RefineRTDCRunTimes.py" --tripid 230-01 --locoid 4007 --swversion DE.1.0.9.0 --startMP 204:232973 --initTime 2017-07-01T21:51:13 --startdatetime 2017-07-01T21:57:33 --delay 1 --endMP 204:147 --enddatetime 2017-07-01T22:35:53 --enforcementcount 0 &gt;&gt;C:\Users\stu\Documents\GitHub\eaglep3-reporting\EC\2017-07-01-refined-times.txt</v>
      </c>
      <c r="AI144" s="96" t="str">
        <f t="shared" si="61"/>
        <v>echo {"issue":{"subject":"","project_id":79,"tracker_id":40,"status_id":1,"priority_id":2,"assigned_to_id":23,"start_date":"2017-07-01","description":"","custom_fields":[{"id":1,"name":"Subdivision","value":"EC"},{"id":4,"name":"Milepost","value":"0.0147"},{"id":17,"name":"Train ID","value":"230-01"},{"id":16,"name":"Locomotive ID","value":"4007"},{"id":130,"name":"Impact","value":""},{"id":150,"name":"Time of Event (Mountain Time)","value":"22:35:53"},{"id":151,"name":"Denver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4" s="47"/>
      <c r="AL144" s="47"/>
      <c r="AM144" s="142" t="str">
        <f t="shared" si="62"/>
        <v>start /low /b %USERPROFILE%\Documents\GitHub\eaglep3\Utilities\DownloadLogsFromS3.py --loco 4007 --day 2017-07-01</v>
      </c>
      <c r="AN144" s="151" t="str">
        <f t="shared" si="63"/>
        <v>echo {"issue":{"subject":"","project_id":30,"tracker_id":4,"status_id":1,"priority_id":1,"assigned_to_id":10,"start_date":"2017-07-02","description":"","custom_fields":[{"id":30,"name":"Category","value":"Issue"},{"id":3,"name":"Functional Component","value":"Onboard"},{"id":31,"name":"Version","value":"N/A"},{"id":8,"name":"Reporting RR","value":"WABTEC"},{"id":27,"name":"Locomotive ID","value":"4007"},{"id":20,"name":"RR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UTC","value":"2017-07-02 04:35:53"},{"id":29,"name":"Sharepoint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4"/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  <c r="BM144"/>
      <c r="BN144"/>
      <c r="BO144"/>
      <c r="BP144"/>
      <c r="BQ144"/>
      <c r="BR144"/>
      <c r="BS144"/>
      <c r="BT144"/>
      <c r="BU144"/>
      <c r="BV144"/>
      <c r="BW144"/>
      <c r="BX144"/>
      <c r="BY144"/>
      <c r="BZ144"/>
      <c r="CA144"/>
      <c r="CB144"/>
      <c r="CC144"/>
      <c r="CD144"/>
      <c r="CE144"/>
      <c r="CF144"/>
      <c r="CG144"/>
      <c r="CH144"/>
      <c r="CI144"/>
      <c r="CJ144"/>
      <c r="CK144"/>
      <c r="CL144"/>
      <c r="CM144"/>
    </row>
    <row r="145" spans="1:91" s="20" customFormat="1" x14ac:dyDescent="0.25">
      <c r="A145" s="32" t="s">
        <v>856</v>
      </c>
      <c r="B145" s="7">
        <v>4018</v>
      </c>
      <c r="C145" s="21" t="s">
        <v>202</v>
      </c>
      <c r="D145" s="21" t="s">
        <v>989</v>
      </c>
      <c r="E145" s="13">
        <v>42917.888842592591</v>
      </c>
      <c r="F145" s="13">
        <v>42917.896365740744</v>
      </c>
      <c r="G145" s="7">
        <v>1</v>
      </c>
      <c r="H145" s="21" t="s">
        <v>926</v>
      </c>
      <c r="I145" s="13">
        <v>42917.921805555554</v>
      </c>
      <c r="J145" s="7">
        <v>0</v>
      </c>
      <c r="K145" s="89" t="str">
        <f t="shared" si="48"/>
        <v>4017/4018</v>
      </c>
      <c r="L145" s="21" t="str">
        <f>VLOOKUP(A145,'Trips&amp;Operators'!$C$1:$G$99999,5,FALSE)</f>
        <v>YANG JAN</v>
      </c>
      <c r="M145" s="6">
        <f t="shared" si="49"/>
        <v>2.5439814809942618E-2</v>
      </c>
      <c r="N145" s="7">
        <f t="shared" si="46"/>
        <v>36.63333332631737</v>
      </c>
      <c r="O145" s="7"/>
      <c r="P145" s="7"/>
      <c r="Q145" s="22"/>
      <c r="R145" s="170"/>
      <c r="S145" s="213">
        <f t="shared" si="47"/>
        <v>1</v>
      </c>
      <c r="T145" s="195" t="str">
        <f t="shared" si="50"/>
        <v>NorthBound</v>
      </c>
      <c r="U145" s="195">
        <f>IF(AG145="EC",COUNTIFS(Variables!$M$2:$M$19,IF(T145="NorthBound","&gt;=","&lt;=")&amp;Y145,Variables!$M$2:$M$19,IF(T145="NorthBound","&lt;=","&gt;=")&amp;Z145),COUNTIFS(Variables!$P$2:$P$19,IF(T145="NorthBound","&gt;=","&lt;=")&amp;Y145,Variables!$P$2:$P$19,IF(T145="NorthBound","&lt;=","&gt;=")&amp;Z145))</f>
        <v>12</v>
      </c>
      <c r="V145" s="196" t="str">
        <f t="shared" si="51"/>
        <v>https://d0f6bd738d7f1b3e5a7ca70fe4ff75f0.us-east-1.aws.found.io/app/kibana#/discover/Steve-Slow-Train-Analysis-(2080s-and-2083s)?_g=(refreshInterval:(display:Off,pause:!f,section:0,value:0),time:(from:'2017-07-01T20:19:56-0600',mode:absolute,to:'2017-07-01T23:07:24-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145" s="197" t="str">
        <f>IF(AA145&lt;VLOOKUP(AG145,Variables!$AC$3:$AD$8,2,FALSE),"Y","N")</f>
        <v>N</v>
      </c>
      <c r="X145" s="197">
        <f t="shared" si="52"/>
        <v>1</v>
      </c>
      <c r="Y145" s="197">
        <f t="shared" si="53"/>
        <v>4.8000000000000001E-2</v>
      </c>
      <c r="Z145" s="197">
        <f t="shared" si="54"/>
        <v>23.330200000000001</v>
      </c>
      <c r="AA145" s="197">
        <f t="shared" si="55"/>
        <v>23.282200000000003</v>
      </c>
      <c r="AB145" s="54" t="e">
        <f>VLOOKUP(A145,Enforcements!$C$7:$K$13,8,0)</f>
        <v>#N/A</v>
      </c>
      <c r="AC145" s="51" t="e">
        <f>VLOOKUP(A145,Enforcements!$C$7:$E$13,3,0)</f>
        <v>#N/A</v>
      </c>
      <c r="AD145" s="206">
        <f t="shared" si="56"/>
        <v>231</v>
      </c>
      <c r="AE145" s="77" t="str">
        <f t="shared" si="57"/>
        <v>aws s3 cp s3://rtdc.mdm.uploadarchive.raw/RTDC4018/ "%USERPROFILE%\AppData\Local\Temp\OnboardLogs"\RTDC4018\2017-07-01 --exclude "*" --recursive --include "*20170701*" &amp; "%USERPROFILE%\Documents\GitHub\mrs-test-scripts\Headless Mode &amp; Sideloading\WalkAndUnGZ.bat" "%USERPROFILE%\AppData\Local\Temp\OnboardLogs"\RTDC4018\2017-07-01 &amp; aws s3 cp s3://rtdc.mdm.uploadarchive.raw/RTDC4018/ "%USERPROFILE%\AppData\Local\Temp\OnboardLogs"\RTDC4018\2017-07-02 --exclude "*" --recursive --include "*20170702*" &amp; "%USERPROFILE%\Documents\GitHub\mrs-test-scripts\Headless Mode &amp; Sideloading\WalkAndUnGZ.bat" "%USERPROFILE%\AppData\Local\Temp\OnboardLogs"\RTDC4018\2017-07-02</v>
      </c>
      <c r="AF145" s="74" t="str">
        <f t="shared" si="58"/>
        <v>"C:\Program Files (x86)\AstroGrep\AstroGrep.exe" /e /r /s /spath="%USERPROFILE%\AppData\Local\Temp\OnboardLogs" /stypes="app*4018*20170702*" /stext=" 04:.+((SYSTEM_STATE.+slice.+state.+changed )|(ment ac)|(multiple cpu faults)|(system.+state.+changed )|(\[timeout)|(PRM\|1\|D)|(kpr)|(kdp)|(train st.+moving)|(\|lc)|(penalty))"</v>
      </c>
      <c r="AG145" s="209" t="str">
        <f t="shared" si="59"/>
        <v>EC</v>
      </c>
      <c r="AH145" s="78" t="str">
        <f t="shared" si="60"/>
        <v>"%USERPROFILE%\Documents\GitHub\eaglep3\Utilities\RefineRTDCRunTimes.py" --tripid 231-01 --locoid 4018 --swversion DE.1.0.9.0 --startMP 204:480 --initTime 2017-07-01T21:19:56 --startdatetime 2017-07-01T21:30:46 --delay 1 --endMP 204:233302 --enddatetime 2017-07-01T22:07:24 --enforcementcount 0 &gt;&gt;C:\Users\stu\Documents\GitHub\eaglep3-reporting\EC\2017-07-01-refined-times.txt</v>
      </c>
      <c r="AI145" s="96" t="str">
        <f t="shared" si="61"/>
        <v>echo {"issue":{"subject":"","project_id":79,"tracker_id":40,"status_id":1,"priority_id":2,"assigned_to_id":23,"start_date":"2017-07-01","description":"","custom_fields":[{"id":1,"name":"Subdivision","value":"EC"},{"id":4,"name":"Milepost","value":"23.3302"},{"id":17,"name":"Train ID","value":"231-01"},{"id":16,"name":"Locomotive ID","value":"4018"},{"id":130,"name":"Impact","value":""},{"id":150,"name":"Time of Event (Mountain Time)","value":"22:07:24"},{"id":151,"name":"Denver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5" s="47"/>
      <c r="AL145" s="47"/>
      <c r="AM145" s="142" t="str">
        <f t="shared" si="62"/>
        <v>start /low /b %USERPROFILE%\Documents\GitHub\eaglep3\Utilities\DownloadLogsFromS3.py --loco 4018 --day 2017-07-01</v>
      </c>
      <c r="AN145" s="151" t="str">
        <f t="shared" si="63"/>
        <v>echo {"issue":{"subject":"","project_id":30,"tracker_id":4,"status_id":1,"priority_id":1,"assigned_to_id":10,"start_date":"2017-07-02","description":"","custom_fields":[{"id":30,"name":"Category","value":"Issue"},{"id":3,"name":"Functional Component","value":"Onboard"},{"id":31,"name":"Version","value":"N/A"},{"id":8,"name":"Reporting RR","value":"WABTEC"},{"id":27,"name":"Locomotive ID","value":"4018"},{"id":20,"name":"RR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UTC","value":"2017-07-02 04:07:24"},{"id":29,"name":"Sharepoint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5"/>
      <c r="AP145"/>
      <c r="AQ145"/>
      <c r="AR145"/>
      <c r="AS145"/>
      <c r="AT145"/>
      <c r="AU145"/>
      <c r="AV145"/>
      <c r="AW145"/>
      <c r="AX145"/>
      <c r="AY145"/>
      <c r="AZ145"/>
      <c r="BA145"/>
      <c r="BB145"/>
      <c r="BC145"/>
      <c r="BD145"/>
      <c r="BE145"/>
      <c r="BF145"/>
      <c r="BG145"/>
      <c r="BH145"/>
      <c r="BI145"/>
      <c r="BJ145"/>
      <c r="BK145"/>
      <c r="BL145"/>
      <c r="BM145"/>
      <c r="BN145"/>
      <c r="BO145"/>
      <c r="BP145"/>
      <c r="BQ145"/>
      <c r="BR145"/>
      <c r="BS145"/>
      <c r="BT145"/>
      <c r="BU145"/>
      <c r="BV145"/>
      <c r="BW145"/>
      <c r="BX145"/>
      <c r="BY145"/>
      <c r="BZ145"/>
      <c r="CA145"/>
      <c r="CB145"/>
      <c r="CC145"/>
      <c r="CD145"/>
      <c r="CE145"/>
      <c r="CF145"/>
      <c r="CG145"/>
      <c r="CH145"/>
      <c r="CI145"/>
      <c r="CJ145"/>
      <c r="CK145"/>
      <c r="CL145"/>
      <c r="CM145"/>
    </row>
    <row r="146" spans="1:91" s="20" customFormat="1" x14ac:dyDescent="0.25">
      <c r="A146" s="32" t="s">
        <v>861</v>
      </c>
      <c r="B146" s="7">
        <v>4017</v>
      </c>
      <c r="C146" s="21" t="s">
        <v>202</v>
      </c>
      <c r="D146" s="21" t="s">
        <v>990</v>
      </c>
      <c r="E146" s="13">
        <v>42917.929236111115</v>
      </c>
      <c r="F146" s="13">
        <v>42917.935671296298</v>
      </c>
      <c r="G146" s="7">
        <v>1</v>
      </c>
      <c r="H146" s="21" t="s">
        <v>508</v>
      </c>
      <c r="I146" s="13">
        <v>42917.963784722226</v>
      </c>
      <c r="J146" s="7">
        <v>0</v>
      </c>
      <c r="K146" s="89" t="str">
        <f t="shared" si="48"/>
        <v>4017/4018</v>
      </c>
      <c r="L146" s="21" t="str">
        <f>VLOOKUP(A146,'Trips&amp;Operators'!$C$1:$G$99999,5,FALSE)</f>
        <v>YANG JAN</v>
      </c>
      <c r="M146" s="6">
        <f t="shared" si="49"/>
        <v>2.8113425927585922E-2</v>
      </c>
      <c r="N146" s="7">
        <f t="shared" si="46"/>
        <v>40.483333335723728</v>
      </c>
      <c r="O146" s="7"/>
      <c r="P146" s="7"/>
      <c r="Q146" s="22"/>
      <c r="R146" s="170"/>
      <c r="S146" s="213">
        <f t="shared" si="47"/>
        <v>1</v>
      </c>
      <c r="T146" s="195" t="str">
        <f t="shared" si="50"/>
        <v>Southbound</v>
      </c>
      <c r="U146" s="195">
        <f>IF(AG146="EC",COUNTIFS(Variables!$M$2:$M$19,IF(T146="NorthBound","&gt;=","&lt;=")&amp;Y146,Variables!$M$2:$M$19,IF(T146="NorthBound","&lt;=","&gt;=")&amp;Z146),COUNTIFS(Variables!$P$2:$P$19,IF(T146="NorthBound","&gt;=","&lt;=")&amp;Y146,Variables!$P$2:$P$19,IF(T146="NorthBound","&lt;=","&gt;=")&amp;Z146))</f>
        <v>12</v>
      </c>
      <c r="V146" s="196" t="str">
        <f t="shared" si="51"/>
        <v>https://d0f6bd738d7f1b3e5a7ca70fe4ff75f0.us-east-1.aws.found.io/app/kibana#/discover/Steve-Slow-Train-Analysis-(2080s-and-2083s)?_g=(refreshInterval:(display:Off,pause:!f,section:0,value:0),time:(from:'2017-07-01T21:18:06-0600',mode:absolute,to:'2017-07-02T00:07:51-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146" s="197" t="str">
        <f>IF(AA146&lt;VLOOKUP(AG146,Variables!$AC$3:$AD$8,2,FALSE),"Y","N")</f>
        <v>N</v>
      </c>
      <c r="X146" s="197">
        <f t="shared" si="52"/>
        <v>1</v>
      </c>
      <c r="Y146" s="197">
        <f t="shared" si="53"/>
        <v>23.3017</v>
      </c>
      <c r="Z146" s="197">
        <f t="shared" si="54"/>
        <v>1.3599999999999999E-2</v>
      </c>
      <c r="AA146" s="197">
        <f t="shared" si="55"/>
        <v>23.2881</v>
      </c>
      <c r="AB146" s="54" t="e">
        <f>VLOOKUP(A146,Enforcements!$C$7:$K$13,8,0)</f>
        <v>#N/A</v>
      </c>
      <c r="AC146" s="51" t="e">
        <f>VLOOKUP(A146,Enforcements!$C$7:$E$13,3,0)</f>
        <v>#N/A</v>
      </c>
      <c r="AD146" s="206">
        <f t="shared" si="56"/>
        <v>232</v>
      </c>
      <c r="AE146" s="77" t="str">
        <f t="shared" si="57"/>
        <v>aws s3 cp s3://rtdc.mdm.uploadarchive.raw/RTDC4017/ "%USERPROFILE%\AppData\Local\Temp\OnboardLogs"\RTDC4017\2017-07-01 --exclude "*" --recursive --include "*20170701*" &amp; "%USERPROFILE%\Documents\GitHub\mrs-test-scripts\Headless Mode &amp; Sideloading\WalkAndUnGZ.bat" "%USERPROFILE%\AppData\Local\Temp\OnboardLogs"\RTDC4017\2017-07-01 &amp; aws s3 cp s3://rtdc.mdm.uploadarchive.raw/RTDC4017/ "%USERPROFILE%\AppData\Local\Temp\OnboardLogs"\RTDC4017\2017-07-02 --exclude "*" --recursive --include "*20170702*" &amp; "%USERPROFILE%\Documents\GitHub\mrs-test-scripts\Headless Mode &amp; Sideloading\WalkAndUnGZ.bat" "%USERPROFILE%\AppData\Local\Temp\OnboardLogs"\RTDC4017\2017-07-02</v>
      </c>
      <c r="AF146" s="74" t="str">
        <f t="shared" si="58"/>
        <v>"C:\Program Files (x86)\AstroGrep\AstroGrep.exe" /e /r /s /spath="%USERPROFILE%\AppData\Local\Temp\OnboardLogs" /stypes="app*4017*20170702*" /stext=" 05:.+((SYSTEM_STATE.+slice.+state.+changed )|(ment ac)|(multiple cpu faults)|(system.+state.+changed )|(\[timeout)|(PRM\|1\|D)|(kpr)|(kdp)|(train st.+moving)|(\|lc)|(penalty))"</v>
      </c>
      <c r="AG146" s="209" t="str">
        <f t="shared" si="59"/>
        <v>EC</v>
      </c>
      <c r="AH146" s="78" t="str">
        <f t="shared" si="60"/>
        <v>"%USERPROFILE%\Documents\GitHub\eaglep3\Utilities\RefineRTDCRunTimes.py" --tripid 232-01 --locoid 4017 --swversion DE.1.0.9.0 --startMP 204:233017 --initTime 2017-07-01T22:18:06 --startdatetime 2017-07-01T22:27:22 --delay 1 --endMP 204:136 --enddatetime 2017-07-01T23:07:51 --enforcementcount 0 &gt;&gt;C:\Users\stu\Documents\GitHub\eaglep3-reporting\EC\2017-07-01-refined-times.txt</v>
      </c>
      <c r="AI146" s="96" t="str">
        <f t="shared" si="61"/>
        <v>echo {"issue":{"subject":"","project_id":79,"tracker_id":40,"status_id":1,"priority_id":2,"assigned_to_id":23,"start_date":"2017-07-01","description":"","custom_fields":[{"id":1,"name":"Subdivision","value":"EC"},{"id":4,"name":"Milepost","value":"0.0136"},{"id":17,"name":"Train ID","value":"232-01"},{"id":16,"name":"Locomotive ID","value":"4017"},{"id":130,"name":"Impact","value":""},{"id":150,"name":"Time of Event (Mountain Time)","value":"23:07:51"},{"id":151,"name":"Denver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6" s="47"/>
      <c r="AL146" s="47"/>
      <c r="AM146" s="142" t="str">
        <f t="shared" si="62"/>
        <v>start /low /b %USERPROFILE%\Documents\GitHub\eaglep3\Utilities\DownloadLogsFromS3.py --loco 4017 --day 2017-07-01</v>
      </c>
      <c r="AN146" s="151" t="str">
        <f t="shared" si="63"/>
        <v>echo {"issue":{"subject":"","project_id":30,"tracker_id":4,"status_id":1,"priority_id":1,"assigned_to_id":10,"start_date":"2017-07-02","description":"","custom_fields":[{"id":30,"name":"Category","value":"Issue"},{"id":3,"name":"Functional Component","value":"Onboard"},{"id":31,"name":"Version","value":"N/A"},{"id":8,"name":"Reporting RR","value":"WABTEC"},{"id":27,"name":"Locomotive ID","value":"4017"},{"id":20,"name":"RR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UTC","value":"2017-07-02 05:07:51"},{"id":29,"name":"Sharepoint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6"/>
      <c r="AP146"/>
      <c r="AQ146"/>
      <c r="AR146"/>
      <c r="AS146"/>
      <c r="AT146"/>
      <c r="AU146"/>
      <c r="AV146"/>
      <c r="AW146"/>
      <c r="AX146"/>
      <c r="AY146"/>
      <c r="AZ146"/>
      <c r="BA146"/>
      <c r="BB146"/>
      <c r="BC146"/>
      <c r="BD146"/>
      <c r="BE146"/>
      <c r="BF146"/>
      <c r="BG146"/>
      <c r="BH146"/>
      <c r="BI146"/>
      <c r="BJ146"/>
      <c r="BK146"/>
      <c r="BL146"/>
      <c r="BM146"/>
      <c r="BN146"/>
      <c r="BO146"/>
      <c r="BP146"/>
      <c r="BQ146"/>
      <c r="BR146"/>
      <c r="BS146"/>
      <c r="BT146"/>
      <c r="BU146"/>
      <c r="BV146"/>
      <c r="BW146"/>
      <c r="BX146"/>
      <c r="BY146"/>
      <c r="BZ146"/>
      <c r="CA146"/>
      <c r="CB146"/>
      <c r="CC146"/>
      <c r="CD146"/>
      <c r="CE146"/>
      <c r="CF146"/>
      <c r="CG146"/>
      <c r="CH146"/>
      <c r="CI146"/>
      <c r="CJ146"/>
      <c r="CK146"/>
      <c r="CL146"/>
      <c r="CM146"/>
    </row>
    <row r="147" spans="1:91" s="20" customFormat="1" x14ac:dyDescent="0.25">
      <c r="A147" s="32" t="s">
        <v>858</v>
      </c>
      <c r="B147" s="7">
        <v>4028</v>
      </c>
      <c r="C147" s="21" t="s">
        <v>202</v>
      </c>
      <c r="D147" s="21" t="s">
        <v>455</v>
      </c>
      <c r="E147" s="13">
        <v>42917.90384259259</v>
      </c>
      <c r="F147" s="13">
        <v>42917.917268518519</v>
      </c>
      <c r="G147" s="7">
        <v>1</v>
      </c>
      <c r="H147" s="21" t="s">
        <v>476</v>
      </c>
      <c r="I147" s="13">
        <v>42917.941168981481</v>
      </c>
      <c r="J147" s="7">
        <v>0</v>
      </c>
      <c r="K147" s="89" t="str">
        <f t="shared" si="48"/>
        <v>4027/4028</v>
      </c>
      <c r="L147" s="21" t="str">
        <f>VLOOKUP(A147,'Trips&amp;Operators'!$C$1:$G$99999,5,FALSE)</f>
        <v>PERKINS DARREN</v>
      </c>
      <c r="M147" s="6">
        <f t="shared" si="49"/>
        <v>2.3900462962046731E-2</v>
      </c>
      <c r="N147" s="7">
        <f t="shared" si="46"/>
        <v>34.416666665347293</v>
      </c>
      <c r="O147" s="7"/>
      <c r="P147" s="7"/>
      <c r="Q147" s="22"/>
      <c r="R147" s="170"/>
      <c r="S147" s="213">
        <f t="shared" si="47"/>
        <v>1</v>
      </c>
      <c r="T147" s="195" t="str">
        <f t="shared" si="50"/>
        <v>NorthBound</v>
      </c>
      <c r="U147" s="195">
        <f>IF(AG147="EC",COUNTIFS(Variables!$M$2:$M$19,IF(T147="NorthBound","&gt;=","&lt;=")&amp;Y147,Variables!$M$2:$M$19,IF(T147="NorthBound","&lt;=","&gt;=")&amp;Z147),COUNTIFS(Variables!$P$2:$P$19,IF(T147="NorthBound","&gt;=","&lt;=")&amp;Y147,Variables!$P$2:$P$19,IF(T147="NorthBound","&lt;=","&gt;=")&amp;Z147))</f>
        <v>12</v>
      </c>
      <c r="V147" s="196" t="str">
        <f t="shared" si="51"/>
        <v>https://d0f6bd738d7f1b3e5a7ca70fe4ff75f0.us-east-1.aws.found.io/app/kibana#/discover/Steve-Slow-Train-Analysis-(2080s-and-2083s)?_g=(refreshInterval:(display:Off,pause:!f,section:0,value:0),time:(from:'2017-07-01T20:41:32-0600',mode:absolute,to:'2017-07-01T23:35:17-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147" s="197" t="str">
        <f>IF(AA147&lt;VLOOKUP(AG147,Variables!$AC$3:$AD$8,2,FALSE),"Y","N")</f>
        <v>N</v>
      </c>
      <c r="X147" s="197">
        <f t="shared" si="52"/>
        <v>1</v>
      </c>
      <c r="Y147" s="197">
        <f t="shared" si="53"/>
        <v>4.6399999999999997E-2</v>
      </c>
      <c r="Z147" s="197">
        <f t="shared" si="54"/>
        <v>23.331199999999999</v>
      </c>
      <c r="AA147" s="197">
        <f t="shared" si="55"/>
        <v>23.284800000000001</v>
      </c>
      <c r="AB147" s="54" t="e">
        <f>VLOOKUP(A147,Enforcements!$C$7:$K$13,8,0)</f>
        <v>#N/A</v>
      </c>
      <c r="AC147" s="51" t="e">
        <f>VLOOKUP(A147,Enforcements!$C$7:$E$13,3,0)</f>
        <v>#N/A</v>
      </c>
      <c r="AD147" s="206">
        <f t="shared" si="56"/>
        <v>233</v>
      </c>
      <c r="AE147" s="77" t="str">
        <f t="shared" si="57"/>
        <v>aws s3 cp s3://rtdc.mdm.uploadarchive.raw/RTDC4028/ "%USERPROFILE%\AppData\Local\Temp\OnboardLogs"\RTDC4028\2017-07-01 --exclude "*" --recursive --include "*20170701*" &amp; "%USERPROFILE%\Documents\GitHub\mrs-test-scripts\Headless Mode &amp; Sideloading\WalkAndUnGZ.bat" "%USERPROFILE%\AppData\Local\Temp\OnboardLogs"\RTDC4028\2017-07-01 &amp; aws s3 cp s3://rtdc.mdm.uploadarchive.raw/RTDC4028/ "%USERPROFILE%\AppData\Local\Temp\OnboardLogs"\RTDC4028\2017-07-02 --exclude "*" --recursive --include "*20170702*" &amp; "%USERPROFILE%\Documents\GitHub\mrs-test-scripts\Headless Mode &amp; Sideloading\WalkAndUnGZ.bat" "%USERPROFILE%\AppData\Local\Temp\OnboardLogs"\RTDC4028\2017-07-02</v>
      </c>
      <c r="AF147" s="74" t="str">
        <f t="shared" si="58"/>
        <v>"C:\Program Files (x86)\AstroGrep\AstroGrep.exe" /e /r /s /spath="%USERPROFILE%\AppData\Local\Temp\OnboardLogs" /stypes="app*4028*20170702*" /stext=" 04:.+((SYSTEM_STATE.+slice.+state.+changed )|(ment ac)|(multiple cpu faults)|(system.+state.+changed )|(\[timeout)|(PRM\|1\|D)|(kpr)|(kdp)|(train st.+moving)|(\|lc)|(penalty))"</v>
      </c>
      <c r="AG147" s="209" t="str">
        <f t="shared" si="59"/>
        <v>EC</v>
      </c>
      <c r="AH147" s="78" t="str">
        <f t="shared" si="60"/>
        <v>"%USERPROFILE%\Documents\GitHub\eaglep3\Utilities\RefineRTDCRunTimes.py" --tripid 233-01 --locoid 4028 --swversion DE.1.0.9.0 --startMP 204:464 --initTime 2017-07-01T21:41:32 --startdatetime 2017-07-01T22:00:52 --delay 1 --endMP 204:233312 --enddatetime 2017-07-01T22:35:17 --enforcementcount 0 &gt;&gt;C:\Users\stu\Documents\GitHub\eaglep3-reporting\EC\2017-07-01-refined-times.txt</v>
      </c>
      <c r="AI147" s="96" t="str">
        <f t="shared" si="61"/>
        <v>echo {"issue":{"subject":"","project_id":79,"tracker_id":40,"status_id":1,"priority_id":2,"assigned_to_id":23,"start_date":"2017-07-01","description":"","custom_fields":[{"id":1,"name":"Subdivision","value":"EC"},{"id":4,"name":"Milepost","value":"23.3312"},{"id":17,"name":"Train ID","value":"233-01"},{"id":16,"name":"Locomotive ID","value":"4028"},{"id":130,"name":"Impact","value":""},{"id":150,"name":"Time of Event (Mountain Time)","value":"22:35:17"},{"id":151,"name":"Denver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7" s="47"/>
      <c r="AL147" s="47"/>
      <c r="AM147" s="142" t="str">
        <f t="shared" si="62"/>
        <v>start /low /b %USERPROFILE%\Documents\GitHub\eaglep3\Utilities\DownloadLogsFromS3.py --loco 4028 --day 2017-07-01</v>
      </c>
      <c r="AN147" s="151" t="str">
        <f t="shared" si="63"/>
        <v>echo {"issue":{"subject":"","project_id":30,"tracker_id":4,"status_id":1,"priority_id":1,"assigned_to_id":10,"start_date":"2017-07-02","description":"","custom_fields":[{"id":30,"name":"Category","value":"Issue"},{"id":3,"name":"Functional Component","value":"Onboard"},{"id":31,"name":"Version","value":"N/A"},{"id":8,"name":"Reporting RR","value":"WABTEC"},{"id":27,"name":"Locomotive ID","value":"4028"},{"id":20,"name":"RR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UTC","value":"2017-07-02 04:35:17"},{"id":29,"name":"Sharepoint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7"/>
      <c r="AP147"/>
      <c r="AQ147"/>
      <c r="AR147"/>
      <c r="AS147"/>
      <c r="AT147"/>
      <c r="AU147"/>
      <c r="AV147"/>
      <c r="AW147"/>
      <c r="AX147"/>
      <c r="AY147"/>
      <c r="AZ147"/>
      <c r="BA147"/>
      <c r="BB147"/>
      <c r="BC147"/>
      <c r="BD147"/>
      <c r="BE147"/>
      <c r="BF147"/>
      <c r="BG147"/>
      <c r="BH147"/>
      <c r="BI147"/>
      <c r="BJ147"/>
      <c r="BK147"/>
      <c r="BL147"/>
      <c r="BM147"/>
      <c r="BN147"/>
      <c r="BO147"/>
      <c r="BP147"/>
      <c r="BQ147"/>
      <c r="BR147"/>
      <c r="BS147"/>
      <c r="BT147"/>
      <c r="BU147"/>
      <c r="BV147"/>
      <c r="BW147"/>
      <c r="BX147"/>
      <c r="BY147"/>
      <c r="BZ147"/>
      <c r="CA147"/>
      <c r="CB147"/>
      <c r="CC147"/>
      <c r="CD147"/>
      <c r="CE147"/>
      <c r="CF147"/>
      <c r="CG147"/>
      <c r="CH147"/>
      <c r="CI147"/>
      <c r="CJ147"/>
      <c r="CK147"/>
      <c r="CL147"/>
      <c r="CM147"/>
    </row>
    <row r="148" spans="1:91" s="20" customFormat="1" x14ac:dyDescent="0.25">
      <c r="A148" s="32" t="s">
        <v>864</v>
      </c>
      <c r="B148" s="7">
        <v>4027</v>
      </c>
      <c r="C148" s="21" t="s">
        <v>202</v>
      </c>
      <c r="D148" s="21" t="s">
        <v>478</v>
      </c>
      <c r="E148" s="13">
        <v>42917.945115740738</v>
      </c>
      <c r="F148" s="13">
        <v>42917.956423611111</v>
      </c>
      <c r="G148" s="7">
        <v>1</v>
      </c>
      <c r="H148" s="21" t="s">
        <v>991</v>
      </c>
      <c r="I148" s="13">
        <v>42917.986585648148</v>
      </c>
      <c r="J148" s="7">
        <v>0</v>
      </c>
      <c r="K148" s="89" t="str">
        <f t="shared" si="48"/>
        <v>4027/4028</v>
      </c>
      <c r="L148" s="21" t="str">
        <f>VLOOKUP(A148,'Trips&amp;Operators'!$C$1:$G$99999,5,FALSE)</f>
        <v>PERKINS DARREN</v>
      </c>
      <c r="M148" s="6">
        <f t="shared" si="49"/>
        <v>3.0162037037371192E-2</v>
      </c>
      <c r="N148" s="7">
        <f t="shared" si="46"/>
        <v>43.433333333814517</v>
      </c>
      <c r="O148" s="7"/>
      <c r="P148" s="7"/>
      <c r="Q148" s="22"/>
      <c r="R148" s="170"/>
      <c r="S148" s="213">
        <f t="shared" si="47"/>
        <v>1</v>
      </c>
      <c r="T148" s="195" t="str">
        <f t="shared" si="50"/>
        <v>Southbound</v>
      </c>
      <c r="U148" s="195">
        <f>IF(AG148="EC",COUNTIFS(Variables!$M$2:$M$19,IF(T148="NorthBound","&gt;=","&lt;=")&amp;Y148,Variables!$M$2:$M$19,IF(T148="NorthBound","&lt;=","&gt;=")&amp;Z148),COUNTIFS(Variables!$P$2:$P$19,IF(T148="NorthBound","&gt;=","&lt;=")&amp;Y148,Variables!$P$2:$P$19,IF(T148="NorthBound","&lt;=","&gt;=")&amp;Z148))</f>
        <v>12</v>
      </c>
      <c r="V148" s="196" t="str">
        <f t="shared" si="51"/>
        <v>https://d0f6bd738d7f1b3e5a7ca70fe4ff75f0.us-east-1.aws.found.io/app/kibana#/discover/Steve-Slow-Train-Analysis-(2080s-and-2083s)?_g=(refreshInterval:(display:Off,pause:!f,section:0,value:0),time:(from:'2017-07-01T21:40:58-0600',mode:absolute,to:'2017-07-02T00:40:41-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148" s="197" t="str">
        <f>IF(AA148&lt;VLOOKUP(AG148,Variables!$AC$3:$AD$8,2,FALSE),"Y","N")</f>
        <v>N</v>
      </c>
      <c r="X148" s="197">
        <f t="shared" si="52"/>
        <v>1</v>
      </c>
      <c r="Y148" s="197">
        <f t="shared" si="53"/>
        <v>23.298400000000001</v>
      </c>
      <c r="Z148" s="197">
        <f t="shared" si="54"/>
        <v>1.1900000000000001E-2</v>
      </c>
      <c r="AA148" s="197">
        <f t="shared" si="55"/>
        <v>23.2865</v>
      </c>
      <c r="AB148" s="54" t="e">
        <f>VLOOKUP(A148,Enforcements!$C$7:$K$13,8,0)</f>
        <v>#N/A</v>
      </c>
      <c r="AC148" s="51" t="e">
        <f>VLOOKUP(A148,Enforcements!$C$7:$E$13,3,0)</f>
        <v>#N/A</v>
      </c>
      <c r="AD148" s="206">
        <f t="shared" si="56"/>
        <v>234</v>
      </c>
      <c r="AE148" s="77" t="str">
        <f t="shared" si="57"/>
        <v>aws s3 cp s3://rtdc.mdm.uploadarchive.raw/RTDC4027/ "%USERPROFILE%\AppData\Local\Temp\OnboardLogs"\RTDC4027\2017-07-01 --exclude "*" --recursive --include "*20170701*" &amp; "%USERPROFILE%\Documents\GitHub\mrs-test-scripts\Headless Mode &amp; Sideloading\WalkAndUnGZ.bat" "%USERPROFILE%\AppData\Local\Temp\OnboardLogs"\RTDC4027\2017-07-01 &amp; aws s3 cp s3://rtdc.mdm.uploadarchive.raw/RTDC4027/ "%USERPROFILE%\AppData\Local\Temp\OnboardLogs"\RTDC4027\2017-07-02 --exclude "*" --recursive --include "*20170702*" &amp; "%USERPROFILE%\Documents\GitHub\mrs-test-scripts\Headless Mode &amp; Sideloading\WalkAndUnGZ.bat" "%USERPROFILE%\AppData\Local\Temp\OnboardLogs"\RTDC4027\2017-07-02</v>
      </c>
      <c r="AF148" s="74" t="str">
        <f t="shared" si="58"/>
        <v>"C:\Program Files (x86)\AstroGrep\AstroGrep.exe" /e /r /s /spath="%USERPROFILE%\AppData\Local\Temp\OnboardLogs" /stypes="app*4027*20170702*" /stext=" 05:.+((SYSTEM_STATE.+slice.+state.+changed )|(ment ac)|(multiple cpu faults)|(system.+state.+changed )|(\[timeout)|(PRM\|1\|D)|(kpr)|(kdp)|(train st.+moving)|(\|lc)|(penalty))"</v>
      </c>
      <c r="AG148" s="209" t="str">
        <f t="shared" si="59"/>
        <v>EC</v>
      </c>
      <c r="AH148" s="78" t="str">
        <f t="shared" si="60"/>
        <v>"%USERPROFILE%\Documents\GitHub\eaglep3\Utilities\RefineRTDCRunTimes.py" --tripid 234-01 --locoid 4027 --swversion DE.1.0.9.0 --startMP 204:232984 --initTime 2017-07-01T22:40:58 --startdatetime 2017-07-01T22:57:15 --delay 1 --endMP 204:119 --enddatetime 2017-07-01T23:40:41 --enforcementcount 0 &gt;&gt;C:\Users\stu\Documents\GitHub\eaglep3-reporting\EC\2017-07-01-refined-times.txt</v>
      </c>
      <c r="AI148" s="96" t="str">
        <f t="shared" si="61"/>
        <v>echo {"issue":{"subject":"","project_id":79,"tracker_id":40,"status_id":1,"priority_id":2,"assigned_to_id":23,"start_date":"2017-07-01","description":"","custom_fields":[{"id":1,"name":"Subdivision","value":"EC"},{"id":4,"name":"Milepost","value":"0.0119"},{"id":17,"name":"Train ID","value":"234-01"},{"id":16,"name":"Locomotive ID","value":"4027"},{"id":130,"name":"Impact","value":""},{"id":150,"name":"Time of Event (Mountain Time)","value":"23:40:41"},{"id":151,"name":"Denver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8" s="47"/>
      <c r="AL148" s="47"/>
      <c r="AM148" s="142" t="str">
        <f t="shared" si="62"/>
        <v>start /low /b %USERPROFILE%\Documents\GitHub\eaglep3\Utilities\DownloadLogsFromS3.py --loco 4027 --day 2017-07-01</v>
      </c>
      <c r="AN148" s="151" t="str">
        <f t="shared" si="63"/>
        <v>echo {"issue":{"subject":"","project_id":30,"tracker_id":4,"status_id":1,"priority_id":1,"assigned_to_id":10,"start_date":"2017-07-02","description":"","custom_fields":[{"id":30,"name":"Category","value":"Issue"},{"id":3,"name":"Functional Component","value":"Onboard"},{"id":31,"name":"Version","value":"N/A"},{"id":8,"name":"Reporting RR","value":"WABTEC"},{"id":27,"name":"Locomotive ID","value":"4027"},{"id":20,"name":"RR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UTC","value":"2017-07-02 05:40:41"},{"id":29,"name":"Sharepoint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8"/>
      <c r="AP148"/>
      <c r="AQ148"/>
      <c r="AR148"/>
      <c r="AS148"/>
      <c r="AT148"/>
      <c r="AU148"/>
      <c r="AV148"/>
      <c r="AW148"/>
      <c r="AX148"/>
      <c r="AY148"/>
      <c r="AZ148"/>
      <c r="BA148"/>
      <c r="BB148"/>
      <c r="BC148"/>
      <c r="BD148"/>
      <c r="BE148"/>
      <c r="BF148"/>
      <c r="BG148"/>
      <c r="BH148"/>
      <c r="BI148"/>
      <c r="BJ148"/>
      <c r="BK148"/>
      <c r="BL148"/>
      <c r="BM148"/>
      <c r="BN148"/>
      <c r="BO148"/>
      <c r="BP148"/>
      <c r="BQ148"/>
      <c r="BR148"/>
      <c r="BS148"/>
      <c r="BT148"/>
      <c r="BU148"/>
      <c r="BV148"/>
      <c r="BW148"/>
      <c r="BX148"/>
      <c r="BY148"/>
      <c r="BZ148"/>
      <c r="CA148"/>
      <c r="CB148"/>
      <c r="CC148"/>
      <c r="CD148"/>
      <c r="CE148"/>
      <c r="CF148"/>
      <c r="CG148"/>
      <c r="CH148"/>
      <c r="CI148"/>
      <c r="CJ148"/>
      <c r="CK148"/>
      <c r="CL148"/>
      <c r="CM148"/>
    </row>
    <row r="149" spans="1:91" s="20" customFormat="1" x14ac:dyDescent="0.25">
      <c r="A149" s="32" t="s">
        <v>862</v>
      </c>
      <c r="B149" s="7">
        <v>4014</v>
      </c>
      <c r="C149" s="21" t="s">
        <v>202</v>
      </c>
      <c r="D149" s="21" t="s">
        <v>199</v>
      </c>
      <c r="E149" s="13">
        <v>42917.933229166665</v>
      </c>
      <c r="F149" s="13">
        <v>42917.938032407408</v>
      </c>
      <c r="G149" s="7">
        <v>1</v>
      </c>
      <c r="H149" s="21" t="s">
        <v>912</v>
      </c>
      <c r="I149" s="13">
        <v>42917.963206018518</v>
      </c>
      <c r="J149" s="7">
        <v>0</v>
      </c>
      <c r="K149" s="89" t="str">
        <f t="shared" si="48"/>
        <v>4013/4014</v>
      </c>
      <c r="L149" s="21" t="str">
        <f>VLOOKUP(A149,'Trips&amp;Operators'!$C$1:$G$99999,5,FALSE)</f>
        <v>FORTUNATO FRANK</v>
      </c>
      <c r="M149" s="6">
        <f t="shared" si="49"/>
        <v>2.5173611109494232E-2</v>
      </c>
      <c r="N149" s="7">
        <f t="shared" si="46"/>
        <v>36.249999997671694</v>
      </c>
      <c r="O149" s="7"/>
      <c r="P149" s="7"/>
      <c r="Q149" s="22"/>
      <c r="R149" s="170"/>
      <c r="S149" s="213">
        <f t="shared" si="47"/>
        <v>1</v>
      </c>
      <c r="T149" s="195" t="str">
        <f t="shared" si="50"/>
        <v>NorthBound</v>
      </c>
      <c r="U149" s="195">
        <f>IF(AG149="EC",COUNTIFS(Variables!$M$2:$M$19,IF(T149="NorthBound","&gt;=","&lt;=")&amp;Y149,Variables!$M$2:$M$19,IF(T149="NorthBound","&lt;=","&gt;=")&amp;Z149),COUNTIFS(Variables!$P$2:$P$19,IF(T149="NorthBound","&gt;=","&lt;=")&amp;Y149,Variables!$P$2:$P$19,IF(T149="NorthBound","&lt;=","&gt;=")&amp;Z149))</f>
        <v>12</v>
      </c>
      <c r="V149" s="196" t="str">
        <f t="shared" si="51"/>
        <v>https://d0f6bd738d7f1b3e5a7ca70fe4ff75f0.us-east-1.aws.found.io/app/kibana#/discover/Steve-Slow-Train-Analysis-(2080s-and-2083s)?_g=(refreshInterval:(display:Off,pause:!f,section:0,value:0),time:(from:'2017-07-01T21:23:51-0600',mode:absolute,to:'2017-07-02T00:07:01-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149" s="197" t="str">
        <f>IF(AA149&lt;VLOOKUP(AG149,Variables!$AC$3:$AD$8,2,FALSE),"Y","N")</f>
        <v>N</v>
      </c>
      <c r="X149" s="197">
        <f t="shared" si="52"/>
        <v>1</v>
      </c>
      <c r="Y149" s="197">
        <f t="shared" si="53"/>
        <v>4.5999999999999999E-2</v>
      </c>
      <c r="Z149" s="197">
        <f t="shared" si="54"/>
        <v>23.331499999999998</v>
      </c>
      <c r="AA149" s="197">
        <f t="shared" si="55"/>
        <v>23.285499999999999</v>
      </c>
      <c r="AB149" s="54" t="e">
        <f>VLOOKUP(A149,Enforcements!$C$7:$K$13,8,0)</f>
        <v>#N/A</v>
      </c>
      <c r="AC149" s="51" t="e">
        <f>VLOOKUP(A149,Enforcements!$C$7:$E$13,3,0)</f>
        <v>#N/A</v>
      </c>
      <c r="AD149" s="206">
        <f t="shared" si="56"/>
        <v>235</v>
      </c>
      <c r="AE149" s="77" t="str">
        <f t="shared" si="57"/>
        <v>aws s3 cp s3://rtdc.mdm.uploadarchive.raw/RTDC4014/ "%USERPROFILE%\AppData\Local\Temp\OnboardLogs"\RTDC4014\2017-07-01 --exclude "*" --recursive --include "*20170701*" &amp; "%USERPROFILE%\Documents\GitHub\mrs-test-scripts\Headless Mode &amp; Sideloading\WalkAndUnGZ.bat" "%USERPROFILE%\AppData\Local\Temp\OnboardLogs"\RTDC4014\2017-07-01 &amp; aws s3 cp s3://rtdc.mdm.uploadarchive.raw/RTDC4014/ "%USERPROFILE%\AppData\Local\Temp\OnboardLogs"\RTDC4014\2017-07-02 --exclude "*" --recursive --include "*20170702*" &amp; "%USERPROFILE%\Documents\GitHub\mrs-test-scripts\Headless Mode &amp; Sideloading\WalkAndUnGZ.bat" "%USERPROFILE%\AppData\Local\Temp\OnboardLogs"\RTDC4014\2017-07-02</v>
      </c>
      <c r="AF149" s="74" t="str">
        <f t="shared" si="58"/>
        <v>"C:\Program Files (x86)\AstroGrep\AstroGrep.exe" /e /r /s /spath="%USERPROFILE%\AppData\Local\Temp\OnboardLogs" /stypes="app*4014*20170702*" /stext=" 05:.+((SYSTEM_STATE.+slice.+state.+changed )|(ment ac)|(multiple cpu faults)|(system.+state.+changed )|(\[timeout)|(PRM\|1\|D)|(kpr)|(kdp)|(train st.+moving)|(\|lc)|(penalty))"</v>
      </c>
      <c r="AG149" s="209" t="str">
        <f t="shared" si="59"/>
        <v>EC</v>
      </c>
      <c r="AH149" s="78" t="str">
        <f t="shared" si="60"/>
        <v>"%USERPROFILE%\Documents\GitHub\eaglep3\Utilities\RefineRTDCRunTimes.py" --tripid 235-01 --locoid 4014 --swversion DE.1.0.9.0 --startMP 204:460 --initTime 2017-07-01T22:23:51 --startdatetime 2017-07-01T22:30:46 --delay 1 --endMP 204:233315 --enddatetime 2017-07-01T23:07:01 --enforcementcount 0 &gt;&gt;C:\Users\stu\Documents\GitHub\eaglep3-reporting\EC\2017-07-01-refined-times.txt</v>
      </c>
      <c r="AI149" s="96" t="str">
        <f t="shared" si="61"/>
        <v>echo {"issue":{"subject":"","project_id":79,"tracker_id":40,"status_id":1,"priority_id":2,"assigned_to_id":23,"start_date":"2017-07-01","description":"","custom_fields":[{"id":1,"name":"Subdivision","value":"EC"},{"id":4,"name":"Milepost","value":"23.3315"},{"id":17,"name":"Train ID","value":"235-01"},{"id":16,"name":"Locomotive ID","value":"4014"},{"id":130,"name":"Impact","value":""},{"id":150,"name":"Time of Event (Mountain Time)","value":"23:07:01"},{"id":151,"name":"Denver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9" s="47"/>
      <c r="AL149" s="47"/>
      <c r="AM149" s="142" t="str">
        <f t="shared" si="62"/>
        <v>start /low /b %USERPROFILE%\Documents\GitHub\eaglep3\Utilities\DownloadLogsFromS3.py --loco 4014 --day 2017-07-01</v>
      </c>
      <c r="AN149" s="151" t="str">
        <f t="shared" si="63"/>
        <v>echo {"issue":{"subject":"","project_id":30,"tracker_id":4,"status_id":1,"priority_id":1,"assigned_to_id":10,"start_date":"2017-07-02","description":"","custom_fields":[{"id":30,"name":"Category","value":"Issue"},{"id":3,"name":"Functional Component","value":"Onboard"},{"id":31,"name":"Version","value":"N/A"},{"id":8,"name":"Reporting RR","value":"WABTEC"},{"id":27,"name":"Locomotive ID","value":"4014"},{"id":20,"name":"RR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UTC","value":"2017-07-02 05:07:01"},{"id":29,"name":"Sharepoint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9"/>
      <c r="AP149"/>
      <c r="AQ149"/>
      <c r="AR149"/>
      <c r="AS149"/>
      <c r="AT149"/>
      <c r="AU149"/>
      <c r="AV149"/>
      <c r="AW149"/>
      <c r="AX149"/>
      <c r="AY149"/>
      <c r="AZ149"/>
      <c r="BA149"/>
      <c r="BB149"/>
      <c r="BC149"/>
      <c r="BD149"/>
      <c r="BE149"/>
      <c r="BF149"/>
      <c r="BG149"/>
      <c r="BH149"/>
      <c r="BI149"/>
      <c r="BJ149"/>
      <c r="BK149"/>
      <c r="BL149"/>
      <c r="BM149"/>
      <c r="BN149"/>
      <c r="BO149"/>
      <c r="BP149"/>
      <c r="BQ149"/>
      <c r="BR149"/>
      <c r="BS149"/>
      <c r="BT149"/>
      <c r="BU149"/>
      <c r="BV149"/>
      <c r="BW149"/>
      <c r="BX149"/>
      <c r="BY149"/>
      <c r="BZ149"/>
      <c r="CA149"/>
      <c r="CB149"/>
      <c r="CC149"/>
      <c r="CD149"/>
      <c r="CE149"/>
      <c r="CF149"/>
      <c r="CG149"/>
      <c r="CH149"/>
      <c r="CI149"/>
      <c r="CJ149"/>
      <c r="CK149"/>
      <c r="CL149"/>
      <c r="CM149"/>
    </row>
    <row r="150" spans="1:91" s="20" customFormat="1" x14ac:dyDescent="0.25">
      <c r="A150" s="32" t="s">
        <v>670</v>
      </c>
      <c r="B150" s="7">
        <v>4013</v>
      </c>
      <c r="C150" s="21" t="s">
        <v>202</v>
      </c>
      <c r="D150" s="21" t="s">
        <v>471</v>
      </c>
      <c r="E150" s="13">
        <v>42917.964733796296</v>
      </c>
      <c r="F150" s="13">
        <v>42917.977233796293</v>
      </c>
      <c r="G150" s="7">
        <v>1</v>
      </c>
      <c r="H150" s="21" t="s">
        <v>349</v>
      </c>
      <c r="I150" s="13">
        <v>42918.004895833335</v>
      </c>
      <c r="J150" s="7">
        <v>0</v>
      </c>
      <c r="K150" s="89" t="str">
        <f t="shared" si="48"/>
        <v>4013/4014</v>
      </c>
      <c r="L150" s="21" t="str">
        <f>VLOOKUP(A150,'Trips&amp;Operators'!$C$1:$G$99999,5,FALSE)</f>
        <v>FORTUNATO FRANK</v>
      </c>
      <c r="M150" s="6">
        <f t="shared" si="49"/>
        <v>2.7662037042318843E-2</v>
      </c>
      <c r="N150" s="7">
        <f t="shared" si="46"/>
        <v>39.833333340939134</v>
      </c>
      <c r="O150" s="7"/>
      <c r="P150" s="7"/>
      <c r="Q150" s="22"/>
      <c r="R150" s="170"/>
      <c r="S150" s="213">
        <f t="shared" si="47"/>
        <v>1</v>
      </c>
      <c r="T150" s="195" t="str">
        <f t="shared" si="50"/>
        <v>Southbound</v>
      </c>
      <c r="U150" s="195">
        <f>IF(AG150="EC",COUNTIFS(Variables!$M$2:$M$19,IF(T150="NorthBound","&gt;=","&lt;=")&amp;Y150,Variables!$M$2:$M$19,IF(T150="NorthBound","&lt;=","&gt;=")&amp;Z150),COUNTIFS(Variables!$P$2:$P$19,IF(T150="NorthBound","&gt;=","&lt;=")&amp;Y150,Variables!$P$2:$P$19,IF(T150="NorthBound","&lt;=","&gt;=")&amp;Z150))</f>
        <v>12</v>
      </c>
      <c r="V150" s="196" t="str">
        <f t="shared" si="51"/>
        <v>https://d0f6bd738d7f1b3e5a7ca70fe4ff75f0.us-east-1.aws.found.io/app/kibana#/discover/Steve-Slow-Train-Analysis-(2080s-and-2083s)?_g=(refreshInterval:(display:Off,pause:!f,section:0,value:0),time:(from:'2017-07-01T22:09:13-0600',mode:absolute,to:'2017-07-02T01:07:03-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150" s="197" t="str">
        <f>IF(AA150&lt;VLOOKUP(AG150,Variables!$AC$3:$AD$8,2,FALSE),"Y","N")</f>
        <v>N</v>
      </c>
      <c r="X150" s="197">
        <f t="shared" si="52"/>
        <v>1</v>
      </c>
      <c r="Y150" s="197">
        <f t="shared" si="53"/>
        <v>23.3</v>
      </c>
      <c r="Z150" s="197">
        <f t="shared" si="54"/>
        <v>1.49E-2</v>
      </c>
      <c r="AA150" s="197">
        <f t="shared" si="55"/>
        <v>23.2851</v>
      </c>
      <c r="AB150" s="54" t="e">
        <f>VLOOKUP(A150,Enforcements!$C$7:$K$13,8,0)</f>
        <v>#N/A</v>
      </c>
      <c r="AC150" s="51" t="e">
        <f>VLOOKUP(A150,Enforcements!$C$7:$E$13,3,0)</f>
        <v>#N/A</v>
      </c>
      <c r="AD150" s="206">
        <f t="shared" si="56"/>
        <v>236</v>
      </c>
      <c r="AE150" s="77" t="str">
        <f t="shared" si="57"/>
        <v>aws s3 cp s3://rtdc.mdm.uploadarchive.raw/RTDC4013/ "%USERPROFILE%\AppData\Local\Temp\OnboardLogs"\RTDC4013\2017-07-01 --exclude "*" --recursive --include "*20170701*" &amp; "%USERPROFILE%\Documents\GitHub\mrs-test-scripts\Headless Mode &amp; Sideloading\WalkAndUnGZ.bat" "%USERPROFILE%\AppData\Local\Temp\OnboardLogs"\RTDC4013\2017-07-01 &amp; aws s3 cp s3://rtdc.mdm.uploadarchive.raw/RTDC4013/ "%USERPROFILE%\AppData\Local\Temp\OnboardLogs"\RTDC4013\2017-07-02 --exclude "*" --recursive --include "*20170702*" &amp; "%USERPROFILE%\Documents\GitHub\mrs-test-scripts\Headless Mode &amp; Sideloading\WalkAndUnGZ.bat" "%USERPROFILE%\AppData\Local\Temp\OnboardLogs"\RTDC4013\2017-07-02</v>
      </c>
      <c r="AF150" s="74" t="str">
        <f t="shared" si="58"/>
        <v>"C:\Program Files (x86)\AstroGrep\AstroGrep.exe" /e /r /s /spath="%USERPROFILE%\AppData\Local\Temp\OnboardLogs" /stypes="app*4013*20170702*" /stext=" 06:.+((SYSTEM_STATE.+slice.+state.+changed )|(ment ac)|(multiple cpu faults)|(system.+state.+changed )|(\[timeout)|(PRM\|1\|D)|(kpr)|(kdp)|(train st.+moving)|(\|lc)|(penalty))"</v>
      </c>
      <c r="AG150" s="209" t="str">
        <f t="shared" si="59"/>
        <v>EC</v>
      </c>
      <c r="AH150" s="78" t="str">
        <f t="shared" si="60"/>
        <v>"%USERPROFILE%\Documents\GitHub\eaglep3\Utilities\RefineRTDCRunTimes.py" --tripid 236-01 --locoid 4013 --swversion DE.1.0.9.0 --startMP 204:233000 --initTime 2017-07-01T23:09:13 --startdatetime 2017-07-01T23:27:13 --delay 1 --endMP 204:149 --enddatetime 2017-07-02T00:07:03 --enforcementcount 0 &gt;&gt;C:\Users\stu\Documents\GitHub\eaglep3-reporting\EC\2017-07-01-refined-times.txt</v>
      </c>
      <c r="AI150" s="96" t="str">
        <f t="shared" si="61"/>
        <v>echo {"issue":{"subject":"","project_id":79,"tracker_id":40,"status_id":1,"priority_id":2,"assigned_to_id":23,"start_date":"2017-07-02","description":"","custom_fields":[{"id":1,"name":"Subdivision","value":"EC"},{"id":4,"name":"Milepost","value":"0.0149"},{"id":17,"name":"Train ID","value":"236-01"},{"id":16,"name":"Locomotive ID","value":"4013"},{"id":130,"name":"Impact","value":""},{"id":150,"name":"Time of Event (Mountain Time)","value":"00:07:03"},{"id":151,"name":"Denver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50" s="47"/>
      <c r="AL150" s="47"/>
      <c r="AM150" s="142" t="str">
        <f t="shared" si="62"/>
        <v>start /low /b %USERPROFILE%\Documents\GitHub\eaglep3\Utilities\DownloadLogsFromS3.py --loco 4013 --day 2017-07-01</v>
      </c>
      <c r="AN150" s="151" t="str">
        <f t="shared" si="63"/>
        <v>echo {"issue":{"subject":"","project_id":30,"tracker_id":4,"status_id":1,"priority_id":1,"assigned_to_id":10,"start_date":"2017-07-02","description":"","custom_fields":[{"id":30,"name":"Category","value":"Issue"},{"id":3,"name":"Functional Component","value":"Onboard"},{"id":31,"name":"Version","value":"N/A"},{"id":8,"name":"Reporting RR","value":"WABTEC"},{"id":27,"name":"Locomotive ID","value":"4013"},{"id":20,"name":"RR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UTC","value":"2017-07-02 06:07:03"},{"id":29,"name":"Sharepoint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0"/>
      <c r="AP150"/>
      <c r="AQ150"/>
      <c r="AR150"/>
      <c r="AS150"/>
      <c r="AT150"/>
      <c r="AU150"/>
      <c r="AV150"/>
      <c r="AW150"/>
      <c r="AX150"/>
      <c r="AY150"/>
      <c r="AZ150"/>
      <c r="BA150"/>
      <c r="BB150"/>
      <c r="BC150"/>
      <c r="BD150"/>
      <c r="BE150"/>
      <c r="BF150"/>
      <c r="BG150"/>
      <c r="BH150"/>
      <c r="BI150"/>
      <c r="BJ150"/>
      <c r="BK150"/>
      <c r="BL150"/>
      <c r="BM150"/>
      <c r="BN150"/>
      <c r="BO150"/>
      <c r="BP150"/>
      <c r="BQ150"/>
      <c r="BR150"/>
      <c r="BS150"/>
      <c r="BT150"/>
      <c r="BU150"/>
      <c r="BV150"/>
      <c r="BW150"/>
      <c r="BX150"/>
      <c r="BY150"/>
      <c r="BZ150"/>
      <c r="CA150"/>
      <c r="CB150"/>
      <c r="CC150"/>
      <c r="CD150"/>
      <c r="CE150"/>
      <c r="CF150"/>
      <c r="CG150"/>
      <c r="CH150"/>
      <c r="CI150"/>
      <c r="CJ150"/>
      <c r="CK150"/>
      <c r="CL150"/>
      <c r="CM150"/>
    </row>
    <row r="151" spans="1:91" s="20" customFormat="1" x14ac:dyDescent="0.25">
      <c r="A151" s="32" t="s">
        <v>669</v>
      </c>
      <c r="B151" s="7">
        <v>4008</v>
      </c>
      <c r="C151" s="21" t="s">
        <v>202</v>
      </c>
      <c r="D151" s="21" t="s">
        <v>391</v>
      </c>
      <c r="E151" s="13">
        <v>42917.955069444448</v>
      </c>
      <c r="F151" s="13">
        <v>42917.95884259259</v>
      </c>
      <c r="G151" s="7">
        <v>1</v>
      </c>
      <c r="H151" s="21" t="s">
        <v>500</v>
      </c>
      <c r="I151" s="13">
        <v>42917.984456018516</v>
      </c>
      <c r="J151" s="7">
        <v>0</v>
      </c>
      <c r="K151" s="89" t="str">
        <f t="shared" si="48"/>
        <v>4007/4008</v>
      </c>
      <c r="L151" s="21" t="str">
        <f>VLOOKUP(A151,'Trips&amp;Operators'!$C$1:$G$99999,5,FALSE)</f>
        <v>LAMAR NEKESHA</v>
      </c>
      <c r="M151" s="6">
        <f t="shared" si="49"/>
        <v>2.5613425925257616E-2</v>
      </c>
      <c r="N151" s="7">
        <f t="shared" si="46"/>
        <v>36.883333332370967</v>
      </c>
      <c r="O151" s="7"/>
      <c r="P151" s="7"/>
      <c r="Q151" s="22"/>
      <c r="R151" s="170"/>
      <c r="S151" s="213">
        <f t="shared" si="47"/>
        <v>1</v>
      </c>
      <c r="T151" s="195" t="str">
        <f t="shared" si="50"/>
        <v>NorthBound</v>
      </c>
      <c r="U151" s="195">
        <f>IF(AG151="EC",COUNTIFS(Variables!$M$2:$M$19,IF(T151="NorthBound","&gt;=","&lt;=")&amp;Y151,Variables!$M$2:$M$19,IF(T151="NorthBound","&lt;=","&gt;=")&amp;Z151),COUNTIFS(Variables!$P$2:$P$19,IF(T151="NorthBound","&gt;=","&lt;=")&amp;Y151,Variables!$P$2:$P$19,IF(T151="NorthBound","&lt;=","&gt;=")&amp;Z151))</f>
        <v>12</v>
      </c>
      <c r="V151" s="196" t="str">
        <f t="shared" si="51"/>
        <v>https://d0f6bd738d7f1b3e5a7ca70fe4ff75f0.us-east-1.aws.found.io/app/kibana#/discover/Steve-Slow-Train-Analysis-(2080s-and-2083s)?_g=(refreshInterval:(display:Off,pause:!f,section:0,value:0),time:(from:'2017-07-01T21:55:18-0600',mode:absolute,to:'2017-07-02T00:37:37-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151" s="197" t="str">
        <f>IF(AA151&lt;VLOOKUP(AG151,Variables!$AC$3:$AD$8,2,FALSE),"Y","N")</f>
        <v>N</v>
      </c>
      <c r="X151" s="197">
        <f t="shared" si="52"/>
        <v>1</v>
      </c>
      <c r="Y151" s="197">
        <f t="shared" si="53"/>
        <v>4.6199999999999998E-2</v>
      </c>
      <c r="Z151" s="197">
        <f t="shared" si="54"/>
        <v>23.3293</v>
      </c>
      <c r="AA151" s="197">
        <f t="shared" si="55"/>
        <v>23.283100000000001</v>
      </c>
      <c r="AB151" s="54" t="e">
        <f>VLOOKUP(A151,Enforcements!$C$7:$K$13,8,0)</f>
        <v>#N/A</v>
      </c>
      <c r="AC151" s="51" t="e">
        <f>VLOOKUP(A151,Enforcements!$C$7:$E$13,3,0)</f>
        <v>#N/A</v>
      </c>
      <c r="AD151" s="206">
        <f t="shared" si="56"/>
        <v>237</v>
      </c>
      <c r="AE151" s="77" t="str">
        <f t="shared" si="57"/>
        <v>aws s3 cp s3://rtdc.mdm.uploadarchive.raw/RTDC4008/ "%USERPROFILE%\AppData\Local\Temp\OnboardLogs"\RTDC4008\2017-07-01 --exclude "*" --recursive --include "*20170701*" &amp; "%USERPROFILE%\Documents\GitHub\mrs-test-scripts\Headless Mode &amp; Sideloading\WalkAndUnGZ.bat" "%USERPROFILE%\AppData\Local\Temp\OnboardLogs"\RTDC4008\2017-07-01 &amp; aws s3 cp s3://rtdc.mdm.uploadarchive.raw/RTDC4008/ "%USERPROFILE%\AppData\Local\Temp\OnboardLogs"\RTDC4008\2017-07-02 --exclude "*" --recursive --include "*20170702*" &amp; "%USERPROFILE%\Documents\GitHub\mrs-test-scripts\Headless Mode &amp; Sideloading\WalkAndUnGZ.bat" "%USERPROFILE%\AppData\Local\Temp\OnboardLogs"\RTDC4008\2017-07-02</v>
      </c>
      <c r="AF151" s="74" t="str">
        <f t="shared" si="58"/>
        <v>"C:\Program Files (x86)\AstroGrep\AstroGrep.exe" /e /r /s /spath="%USERPROFILE%\AppData\Local\Temp\OnboardLogs" /stypes="app*4008*20170702*" /stext=" 05:.+((SYSTEM_STATE.+slice.+state.+changed )|(ment ac)|(multiple cpu faults)|(system.+state.+changed )|(\[timeout)|(PRM\|1\|D)|(kpr)|(kdp)|(train st.+moving)|(\|lc)|(penalty))"</v>
      </c>
      <c r="AG151" s="209" t="str">
        <f t="shared" si="59"/>
        <v>EC</v>
      </c>
      <c r="AH151" s="78" t="str">
        <f t="shared" si="60"/>
        <v>"%USERPROFILE%\Documents\GitHub\eaglep3\Utilities\RefineRTDCRunTimes.py" --tripid 237-01 --locoid 4008 --swversion DE.1.0.9.0 --startMP 204:462 --initTime 2017-07-01T22:55:18 --startdatetime 2017-07-01T23:00:44 --delay 1 --endMP 204:233293 --enddatetime 2017-07-01T23:37:37 --enforcementcount 0 &gt;&gt;C:\Users\stu\Documents\GitHub\eaglep3-reporting\EC\2017-07-01-refined-times.txt</v>
      </c>
      <c r="AI151" s="96" t="str">
        <f t="shared" si="61"/>
        <v>echo {"issue":{"subject":"","project_id":79,"tracker_id":40,"status_id":1,"priority_id":2,"assigned_to_id":23,"start_date":"2017-07-01","description":"","custom_fields":[{"id":1,"name":"Subdivision","value":"EC"},{"id":4,"name":"Milepost","value":"23.3293"},{"id":17,"name":"Train ID","value":"237-01"},{"id":16,"name":"Locomotive ID","value":"4008"},{"id":130,"name":"Impact","value":""},{"id":150,"name":"Time of Event (Mountain Time)","value":"23:37:37"},{"id":151,"name":"Denver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51" s="47"/>
      <c r="AL151" s="47"/>
      <c r="AM151" s="142" t="str">
        <f t="shared" si="62"/>
        <v>start /low /b %USERPROFILE%\Documents\GitHub\eaglep3\Utilities\DownloadLogsFromS3.py --loco 4008 --day 2017-07-01</v>
      </c>
      <c r="AN151" s="151" t="str">
        <f t="shared" si="63"/>
        <v>echo {"issue":{"subject":"","project_id":30,"tracker_id":4,"status_id":1,"priority_id":1,"assigned_to_id":10,"start_date":"2017-07-02","description":"","custom_fields":[{"id":30,"name":"Category","value":"Issue"},{"id":3,"name":"Functional Component","value":"Onboard"},{"id":31,"name":"Version","value":"N/A"},{"id":8,"name":"Reporting RR","value":"WABTEC"},{"id":27,"name":"Locomotive ID","value":"4008"},{"id":20,"name":"RR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UTC","value":"2017-07-02 05:37:37"},{"id":29,"name":"Sharepoint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1"/>
      <c r="AP151"/>
      <c r="AQ151"/>
      <c r="AR151"/>
      <c r="AS151"/>
      <c r="AT151"/>
      <c r="AU151"/>
      <c r="AV151"/>
      <c r="AW151"/>
      <c r="AX151"/>
      <c r="AY151"/>
      <c r="AZ151"/>
      <c r="BA151"/>
      <c r="BB151"/>
      <c r="BC151"/>
      <c r="BD151"/>
      <c r="BE151"/>
      <c r="BF151"/>
      <c r="BG151"/>
      <c r="BH151"/>
      <c r="BI151"/>
      <c r="BJ151"/>
      <c r="BK151"/>
      <c r="BL151"/>
      <c r="BM151"/>
      <c r="BN151"/>
      <c r="BO151"/>
      <c r="BP151"/>
      <c r="BQ151"/>
      <c r="BR151"/>
      <c r="BS151"/>
      <c r="BT151"/>
      <c r="BU151"/>
      <c r="BV151"/>
      <c r="BW151"/>
      <c r="BX151"/>
      <c r="BY151"/>
      <c r="BZ151"/>
      <c r="CA151"/>
      <c r="CB151"/>
      <c r="CC151"/>
      <c r="CD151"/>
      <c r="CE151"/>
      <c r="CF151"/>
      <c r="CG151"/>
      <c r="CH151"/>
      <c r="CI151"/>
      <c r="CJ151"/>
      <c r="CK151"/>
      <c r="CL151"/>
      <c r="CM151"/>
    </row>
    <row r="152" spans="1:91" s="20" customFormat="1" x14ac:dyDescent="0.25">
      <c r="A152" s="32" t="s">
        <v>866</v>
      </c>
      <c r="B152" s="7">
        <v>4007</v>
      </c>
      <c r="C152" s="21" t="s">
        <v>202</v>
      </c>
      <c r="D152" s="21" t="s">
        <v>992</v>
      </c>
      <c r="E152" s="13">
        <v>42917.993043981478</v>
      </c>
      <c r="F152" s="13">
        <v>42917.998333333337</v>
      </c>
      <c r="G152" s="7">
        <v>1</v>
      </c>
      <c r="H152" s="21" t="s">
        <v>349</v>
      </c>
      <c r="I152" s="13">
        <v>42918.024872685186</v>
      </c>
      <c r="J152" s="7">
        <v>0</v>
      </c>
      <c r="K152" s="89" t="str">
        <f t="shared" si="48"/>
        <v>4007/4008</v>
      </c>
      <c r="L152" s="21" t="str">
        <f>VLOOKUP(A152,'Trips&amp;Operators'!$C$1:$G$99999,5,FALSE)</f>
        <v>LAMAR NEKESHA</v>
      </c>
      <c r="M152" s="6">
        <f t="shared" si="49"/>
        <v>2.6539351849351078E-2</v>
      </c>
      <c r="N152" s="7">
        <f t="shared" si="46"/>
        <v>38.216666663065553</v>
      </c>
      <c r="O152" s="7"/>
      <c r="P152" s="7"/>
      <c r="Q152" s="22"/>
      <c r="R152" s="170"/>
      <c r="S152" s="213">
        <f t="shared" si="47"/>
        <v>1</v>
      </c>
      <c r="T152" s="195" t="str">
        <f t="shared" si="50"/>
        <v>Southbound</v>
      </c>
      <c r="U152" s="195">
        <f>IF(AG152="EC",COUNTIFS(Variables!$M$2:$M$19,IF(T152="NorthBound","&gt;=","&lt;=")&amp;Y152,Variables!$M$2:$M$19,IF(T152="NorthBound","&lt;=","&gt;=")&amp;Z152),COUNTIFS(Variables!$P$2:$P$19,IF(T152="NorthBound","&gt;=","&lt;=")&amp;Y152,Variables!$P$2:$P$19,IF(T152="NorthBound","&lt;=","&gt;=")&amp;Z152))</f>
        <v>12</v>
      </c>
      <c r="V152" s="196" t="str">
        <f t="shared" si="51"/>
        <v>https://d0f6bd738d7f1b3e5a7ca70fe4ff75f0.us-east-1.aws.found.io/app/kibana#/discover/Steve-Slow-Train-Analysis-(2080s-and-2083s)?_g=(refreshInterval:(display:Off,pause:!f,section:0,value:0),time:(from:'2017-07-01T22:49:59-0600',mode:absolute,to:'2017-07-02T01:35:49-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152" s="197" t="str">
        <f>IF(AA152&lt;VLOOKUP(AG152,Variables!$AC$3:$AD$8,2,FALSE),"Y","N")</f>
        <v>N</v>
      </c>
      <c r="X152" s="197">
        <f t="shared" si="52"/>
        <v>1</v>
      </c>
      <c r="Y152" s="197">
        <f t="shared" si="53"/>
        <v>23.296900000000001</v>
      </c>
      <c r="Z152" s="197">
        <f t="shared" si="54"/>
        <v>1.49E-2</v>
      </c>
      <c r="AA152" s="197">
        <f t="shared" si="55"/>
        <v>23.282</v>
      </c>
      <c r="AB152" s="54" t="e">
        <f>VLOOKUP(A152,Enforcements!$C$7:$K$13,8,0)</f>
        <v>#N/A</v>
      </c>
      <c r="AC152" s="51" t="e">
        <f>VLOOKUP(A152,Enforcements!$C$7:$E$13,3,0)</f>
        <v>#N/A</v>
      </c>
      <c r="AD152" s="206">
        <f t="shared" si="56"/>
        <v>238</v>
      </c>
      <c r="AE152" s="77" t="str">
        <f t="shared" si="57"/>
        <v>aws s3 cp s3://rtdc.mdm.uploadarchive.raw/RTDC4007/ "%USERPROFILE%\AppData\Local\Temp\OnboardLogs"\RTDC4007\2017-07-01 --exclude "*" --recursive --include "*20170701*" &amp; "%USERPROFILE%\Documents\GitHub\mrs-test-scripts\Headless Mode &amp; Sideloading\WalkAndUnGZ.bat" "%USERPROFILE%\AppData\Local\Temp\OnboardLogs"\RTDC4007\2017-07-01 &amp; aws s3 cp s3://rtdc.mdm.uploadarchive.raw/RTDC4007/ "%USERPROFILE%\AppData\Local\Temp\OnboardLogs"\RTDC4007\2017-07-02 --exclude "*" --recursive --include "*20170702*" &amp; "%USERPROFILE%\Documents\GitHub\mrs-test-scripts\Headless Mode &amp; Sideloading\WalkAndUnGZ.bat" "%USERPROFILE%\AppData\Local\Temp\OnboardLogs"\RTDC4007\2017-07-02</v>
      </c>
      <c r="AF152" s="74" t="str">
        <f t="shared" si="58"/>
        <v>"C:\Program Files (x86)\AstroGrep\AstroGrep.exe" /e /r /s /spath="%USERPROFILE%\AppData\Local\Temp\OnboardLogs" /stypes="app*4007*20170702*" /stext=" 06:.+((SYSTEM_STATE.+slice.+state.+changed )|(ment ac)|(multiple cpu faults)|(system.+state.+changed )|(\[timeout)|(PRM\|1\|D)|(kpr)|(kdp)|(train st.+moving)|(\|lc)|(penalty))"</v>
      </c>
      <c r="AG152" s="209" t="str">
        <f t="shared" si="59"/>
        <v>EC</v>
      </c>
      <c r="AH152" s="78" t="str">
        <f t="shared" si="60"/>
        <v>"%USERPROFILE%\Documents\GitHub\eaglep3\Utilities\RefineRTDCRunTimes.py" --tripid 238-01 --locoid 4007 --swversion DE.1.0.9.0 --startMP 204:232969 --initTime 2017-07-01T23:49:59 --startdatetime 2017-07-01T23:57:36 --delay 1 --endMP 204:149 --enddatetime 2017-07-02T00:35:49 --enforcementcount 0 &gt;&gt;C:\Users\stu\Documents\GitHub\eaglep3-reporting\EC\2017-07-01-refined-times.txt</v>
      </c>
      <c r="AI152" s="96" t="str">
        <f t="shared" si="61"/>
        <v>echo {"issue":{"subject":"","project_id":79,"tracker_id":40,"status_id":1,"priority_id":2,"assigned_to_id":23,"start_date":"2017-07-02","description":"","custom_fields":[{"id":1,"name":"Subdivision","value":"EC"},{"id":4,"name":"Milepost","value":"0.0149"},{"id":17,"name":"Train ID","value":"238-01"},{"id":16,"name":"Locomotive ID","value":"4007"},{"id":130,"name":"Impact","value":""},{"id":150,"name":"Time of Event (Mountain Time)","value":"00:35:49"},{"id":151,"name":"Denver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52" s="47"/>
      <c r="AL152" s="47"/>
      <c r="AM152" s="142" t="str">
        <f t="shared" si="62"/>
        <v>start /low /b %USERPROFILE%\Documents\GitHub\eaglep3\Utilities\DownloadLogsFromS3.py --loco 4007 --day 2017-07-01</v>
      </c>
      <c r="AN152" s="151" t="str">
        <f t="shared" si="63"/>
        <v>echo {"issue":{"subject":"","project_id":30,"tracker_id":4,"status_id":1,"priority_id":1,"assigned_to_id":10,"start_date":"2017-07-02","description":"","custom_fields":[{"id":30,"name":"Category","value":"Issue"},{"id":3,"name":"Functional Component","value":"Onboard"},{"id":31,"name":"Version","value":"N/A"},{"id":8,"name":"Reporting RR","value":"WABTEC"},{"id":27,"name":"Locomotive ID","value":"4007"},{"id":20,"name":"RR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UTC","value":"2017-07-02 06:35:49"},{"id":29,"name":"Sharepoint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2"/>
      <c r="AP152"/>
      <c r="AQ152"/>
      <c r="AR152"/>
      <c r="AS152"/>
      <c r="AT152"/>
      <c r="AU152"/>
      <c r="AV152"/>
      <c r="AW152"/>
      <c r="AX152"/>
      <c r="AY152"/>
      <c r="AZ152"/>
      <c r="BA152"/>
      <c r="BB152"/>
      <c r="BC152"/>
      <c r="BD152"/>
      <c r="BE152"/>
      <c r="BF152"/>
      <c r="BG152"/>
      <c r="BH152"/>
      <c r="BI152"/>
      <c r="BJ152"/>
      <c r="BK152"/>
      <c r="BL152"/>
      <c r="BM152"/>
      <c r="BN152"/>
      <c r="BO152"/>
      <c r="BP152"/>
      <c r="BQ152"/>
      <c r="BR152"/>
      <c r="BS152"/>
      <c r="BT152"/>
      <c r="BU152"/>
      <c r="BV152"/>
      <c r="BW152"/>
      <c r="BX152"/>
      <c r="BY152"/>
      <c r="BZ152"/>
      <c r="CA152"/>
      <c r="CB152"/>
      <c r="CC152"/>
      <c r="CD152"/>
      <c r="CE152"/>
      <c r="CF152"/>
      <c r="CG152"/>
      <c r="CH152"/>
      <c r="CI152"/>
      <c r="CJ152"/>
      <c r="CK152"/>
      <c r="CL152"/>
      <c r="CM152"/>
    </row>
    <row r="153" spans="1:91" s="20" customFormat="1" x14ac:dyDescent="0.25">
      <c r="A153" s="32" t="s">
        <v>865</v>
      </c>
      <c r="B153" s="7">
        <v>4018</v>
      </c>
      <c r="C153" s="21" t="s">
        <v>202</v>
      </c>
      <c r="D153" s="21" t="s">
        <v>993</v>
      </c>
      <c r="E153" s="13">
        <v>42917.973819444444</v>
      </c>
      <c r="F153" s="13">
        <v>42917.979849537034</v>
      </c>
      <c r="G153" s="7">
        <v>1</v>
      </c>
      <c r="H153" s="21" t="s">
        <v>550</v>
      </c>
      <c r="I153" s="13">
        <v>42918.004907407405</v>
      </c>
      <c r="J153" s="7">
        <v>0</v>
      </c>
      <c r="K153" s="89" t="str">
        <f t="shared" si="48"/>
        <v>4017/4018</v>
      </c>
      <c r="L153" s="21" t="str">
        <f>VLOOKUP(A153,'Trips&amp;Operators'!$C$1:$G$99999,5,FALSE)</f>
        <v>YANG JAN</v>
      </c>
      <c r="M153" s="6">
        <f t="shared" si="49"/>
        <v>2.5057870370801538E-2</v>
      </c>
      <c r="N153" s="7">
        <f t="shared" si="46"/>
        <v>36.083333333954215</v>
      </c>
      <c r="O153" s="7"/>
      <c r="P153" s="7"/>
      <c r="Q153" s="22"/>
      <c r="R153" s="170"/>
      <c r="S153" s="213">
        <f t="shared" si="47"/>
        <v>1</v>
      </c>
      <c r="T153" s="195" t="str">
        <f t="shared" si="50"/>
        <v>NorthBound</v>
      </c>
      <c r="U153" s="195">
        <f>IF(AG153="EC",COUNTIFS(Variables!$M$2:$M$19,IF(T153="NorthBound","&gt;=","&lt;=")&amp;Y153,Variables!$M$2:$M$19,IF(T153="NorthBound","&lt;=","&gt;=")&amp;Z153),COUNTIFS(Variables!$P$2:$P$19,IF(T153="NorthBound","&gt;=","&lt;=")&amp;Y153,Variables!$P$2:$P$19,IF(T153="NorthBound","&lt;=","&gt;=")&amp;Z153))</f>
        <v>12</v>
      </c>
      <c r="V153" s="196" t="str">
        <f t="shared" si="51"/>
        <v>https://d0f6bd738d7f1b3e5a7ca70fe4ff75f0.us-east-1.aws.found.io/app/kibana#/discover/Steve-Slow-Train-Analysis-(2080s-and-2083s)?_g=(refreshInterval:(display:Off,pause:!f,section:0,value:0),time:(from:'2017-07-01T22:22:18-0600',mode:absolute,to:'2017-07-02T01:07:04-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153" s="197" t="str">
        <f>IF(AA153&lt;VLOOKUP(AG153,Variables!$AC$3:$AD$8,2,FALSE),"Y","N")</f>
        <v>N</v>
      </c>
      <c r="X153" s="197">
        <f t="shared" si="52"/>
        <v>1</v>
      </c>
      <c r="Y153" s="197">
        <f t="shared" si="53"/>
        <v>4.8399999999999999E-2</v>
      </c>
      <c r="Z153" s="197">
        <f t="shared" si="54"/>
        <v>23.3325</v>
      </c>
      <c r="AA153" s="197">
        <f t="shared" si="55"/>
        <v>23.284099999999999</v>
      </c>
      <c r="AB153" s="54" t="e">
        <f>VLOOKUP(A153,Enforcements!$C$7:$K$13,8,0)</f>
        <v>#N/A</v>
      </c>
      <c r="AC153" s="51" t="e">
        <f>VLOOKUP(A153,Enforcements!$C$7:$E$13,3,0)</f>
        <v>#N/A</v>
      </c>
      <c r="AD153" s="206">
        <f t="shared" si="56"/>
        <v>239</v>
      </c>
      <c r="AE153" s="77" t="str">
        <f t="shared" si="57"/>
        <v>aws s3 cp s3://rtdc.mdm.uploadarchive.raw/RTDC4018/ "%USERPROFILE%\AppData\Local\Temp\OnboardLogs"\RTDC4018\2017-07-01 --exclude "*" --recursive --include "*20170701*" &amp; "%USERPROFILE%\Documents\GitHub\mrs-test-scripts\Headless Mode &amp; Sideloading\WalkAndUnGZ.bat" "%USERPROFILE%\AppData\Local\Temp\OnboardLogs"\RTDC4018\2017-07-01 &amp; aws s3 cp s3://rtdc.mdm.uploadarchive.raw/RTDC4018/ "%USERPROFILE%\AppData\Local\Temp\OnboardLogs"\RTDC4018\2017-07-02 --exclude "*" --recursive --include "*20170702*" &amp; "%USERPROFILE%\Documents\GitHub\mrs-test-scripts\Headless Mode &amp; Sideloading\WalkAndUnGZ.bat" "%USERPROFILE%\AppData\Local\Temp\OnboardLogs"\RTDC4018\2017-07-02</v>
      </c>
      <c r="AF153" s="74" t="str">
        <f t="shared" si="58"/>
        <v>"C:\Program Files (x86)\AstroGrep\AstroGrep.exe" /e /r /s /spath="%USERPROFILE%\AppData\Local\Temp\OnboardLogs" /stypes="app*4018*20170702*" /stext=" 06:.+((SYSTEM_STATE.+slice.+state.+changed )|(ment ac)|(multiple cpu faults)|(system.+state.+changed )|(\[timeout)|(PRM\|1\|D)|(kpr)|(kdp)|(train st.+moving)|(\|lc)|(penalty))"</v>
      </c>
      <c r="AG153" s="209" t="str">
        <f t="shared" si="59"/>
        <v>EC</v>
      </c>
      <c r="AH153" s="78" t="str">
        <f t="shared" si="60"/>
        <v>"%USERPROFILE%\Documents\GitHub\eaglep3\Utilities\RefineRTDCRunTimes.py" --tripid 239-01 --locoid 4018 --swversion DE.1.0.9.0 --startMP 204:484 --initTime 2017-07-01T23:22:18 --startdatetime 2017-07-01T23:30:59 --delay 1 --endMP 204:233325 --enddatetime 2017-07-02T00:07:04 --enforcementcount 0 &gt;&gt;C:\Users\stu\Documents\GitHub\eaglep3-reporting\EC\2017-07-01-refined-times.txt</v>
      </c>
      <c r="AI153" s="96" t="str">
        <f t="shared" si="61"/>
        <v>echo {"issue":{"subject":"","project_id":79,"tracker_id":40,"status_id":1,"priority_id":2,"assigned_to_id":23,"start_date":"2017-07-02","description":"","custom_fields":[{"id":1,"name":"Subdivision","value":"EC"},{"id":4,"name":"Milepost","value":"23.3325"},{"id":17,"name":"Train ID","value":"239-01"},{"id":16,"name":"Locomotive ID","value":"4018"},{"id":130,"name":"Impact","value":""},{"id":150,"name":"Time of Event (Mountain Time)","value":"00:07:04"},{"id":151,"name":"Denver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53" s="47"/>
      <c r="AL153" s="47"/>
      <c r="AM153" s="142" t="str">
        <f t="shared" si="62"/>
        <v>start /low /b %USERPROFILE%\Documents\GitHub\eaglep3\Utilities\DownloadLogsFromS3.py --loco 4018 --day 2017-07-01</v>
      </c>
      <c r="AN153" s="151" t="str">
        <f t="shared" si="63"/>
        <v>echo {"issue":{"subject":"","project_id":30,"tracker_id":4,"status_id":1,"priority_id":1,"assigned_to_id":10,"start_date":"2017-07-02","description":"","custom_fields":[{"id":30,"name":"Category","value":"Issue"},{"id":3,"name":"Functional Component","value":"Onboard"},{"id":31,"name":"Version","value":"N/A"},{"id":8,"name":"Reporting RR","value":"WABTEC"},{"id":27,"name":"Locomotive ID","value":"4018"},{"id":20,"name":"RR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UTC","value":"2017-07-02 06:07:04"},{"id":29,"name":"Sharepoint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3"/>
      <c r="AP153"/>
      <c r="AQ153"/>
      <c r="AR153"/>
      <c r="AS153"/>
      <c r="AT153"/>
      <c r="AU153"/>
      <c r="AV153"/>
      <c r="AW153"/>
      <c r="AX153"/>
      <c r="AY153"/>
      <c r="AZ153"/>
      <c r="BA153"/>
      <c r="BB153"/>
      <c r="BC153"/>
      <c r="BD153"/>
      <c r="BE153"/>
      <c r="BF153"/>
      <c r="BG153"/>
      <c r="BH153"/>
      <c r="BI153"/>
      <c r="BJ153"/>
      <c r="BK153"/>
      <c r="BL153"/>
      <c r="BM153"/>
      <c r="BN153"/>
      <c r="BO153"/>
      <c r="BP153"/>
      <c r="BQ153"/>
      <c r="BR153"/>
      <c r="BS153"/>
      <c r="BT153"/>
      <c r="BU153"/>
      <c r="BV153"/>
      <c r="BW153"/>
      <c r="BX153"/>
      <c r="BY153"/>
      <c r="BZ153"/>
      <c r="CA153"/>
      <c r="CB153"/>
      <c r="CC153"/>
      <c r="CD153"/>
      <c r="CE153"/>
      <c r="CF153"/>
      <c r="CG153"/>
      <c r="CH153"/>
      <c r="CI153"/>
      <c r="CJ153"/>
      <c r="CK153"/>
      <c r="CL153"/>
      <c r="CM153"/>
    </row>
    <row r="154" spans="1:91" s="20" customFormat="1" x14ac:dyDescent="0.25">
      <c r="A154" s="32" t="s">
        <v>868</v>
      </c>
      <c r="B154" s="7">
        <v>4017</v>
      </c>
      <c r="C154" s="21" t="s">
        <v>202</v>
      </c>
      <c r="D154" s="21" t="s">
        <v>903</v>
      </c>
      <c r="E154" s="13">
        <v>42918.014120370368</v>
      </c>
      <c r="F154" s="13">
        <v>42918.01903935185</v>
      </c>
      <c r="G154" s="7">
        <v>1</v>
      </c>
      <c r="H154" s="21" t="s">
        <v>619</v>
      </c>
      <c r="I154" s="13">
        <v>42918.046226851853</v>
      </c>
      <c r="J154" s="7">
        <v>0</v>
      </c>
      <c r="K154" s="89" t="str">
        <f t="shared" si="48"/>
        <v>4017/4018</v>
      </c>
      <c r="L154" s="21" t="str">
        <f>VLOOKUP(A154,'Trips&amp;Operators'!$C$1:$G$99999,5,FALSE)</f>
        <v>YANG JAN</v>
      </c>
      <c r="M154" s="6">
        <f t="shared" si="49"/>
        <v>2.718750000349246E-2</v>
      </c>
      <c r="N154" s="7">
        <f t="shared" si="46"/>
        <v>39.150000005029142</v>
      </c>
      <c r="O154" s="7"/>
      <c r="P154" s="7"/>
      <c r="Q154" s="22"/>
      <c r="R154" s="170"/>
      <c r="S154" s="213">
        <f t="shared" si="47"/>
        <v>1</v>
      </c>
      <c r="T154" s="195" t="str">
        <f t="shared" si="50"/>
        <v>Southbound</v>
      </c>
      <c r="U154" s="195">
        <f>IF(AG154="EC",COUNTIFS(Variables!$M$2:$M$19,IF(T154="NorthBound","&gt;=","&lt;=")&amp;Y154,Variables!$M$2:$M$19,IF(T154="NorthBound","&lt;=","&gt;=")&amp;Z154),COUNTIFS(Variables!$P$2:$P$19,IF(T154="NorthBound","&gt;=","&lt;=")&amp;Y154,Variables!$P$2:$P$19,IF(T154="NorthBound","&lt;=","&gt;=")&amp;Z154))</f>
        <v>12</v>
      </c>
      <c r="V154" s="196" t="str">
        <f t="shared" si="51"/>
        <v>https://d0f6bd738d7f1b3e5a7ca70fe4ff75f0.us-east-1.aws.found.io/app/kibana#/discover/Steve-Slow-Train-Analysis-(2080s-and-2083s)?_g=(refreshInterval:(display:Off,pause:!f,section:0,value:0),time:(from:'2017-07-01T23:20:20-0600',mode:absolute,to:'2017-07-02T02:06:34-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154" s="197" t="str">
        <f>IF(AA154&lt;VLOOKUP(AG154,Variables!$AC$3:$AD$8,2,FALSE),"Y","N")</f>
        <v>N</v>
      </c>
      <c r="X154" s="197">
        <f t="shared" si="52"/>
        <v>1</v>
      </c>
      <c r="Y154" s="197">
        <f t="shared" si="53"/>
        <v>23.299099999999999</v>
      </c>
      <c r="Z154" s="197">
        <f t="shared" si="54"/>
        <v>1.6500000000000001E-2</v>
      </c>
      <c r="AA154" s="197">
        <f t="shared" si="55"/>
        <v>23.282599999999999</v>
      </c>
      <c r="AB154" s="54" t="e">
        <f>VLOOKUP(A154,Enforcements!$C$7:$K$13,8,0)</f>
        <v>#N/A</v>
      </c>
      <c r="AC154" s="51" t="e">
        <f>VLOOKUP(A154,Enforcements!$C$7:$E$13,3,0)</f>
        <v>#N/A</v>
      </c>
      <c r="AD154" s="206">
        <f t="shared" si="56"/>
        <v>240</v>
      </c>
      <c r="AE154" s="77" t="str">
        <f t="shared" si="57"/>
        <v>aws s3 cp s3://rtdc.mdm.uploadarchive.raw/RTDC4017/ "%USERPROFILE%\AppData\Local\Temp\OnboardLogs"\RTDC4017\2017-07-02 --exclude "*" --recursive --include "*20170702*" &amp; "%USERPROFILE%\Documents\GitHub\mrs-test-scripts\Headless Mode &amp; Sideloading\WalkAndUnGZ.bat" "%USERPROFILE%\AppData\Local\Temp\OnboardLogs"\RTDC4017\2017-07-02 &amp; aws s3 cp s3://rtdc.mdm.uploadarchive.raw/RTDC4017/ "%USERPROFILE%\AppData\Local\Temp\OnboardLogs"\RTDC4017\2017-07-03 --exclude "*" --recursive --include "*20170703*" &amp; "%USERPROFILE%\Documents\GitHub\mrs-test-scripts\Headless Mode &amp; Sideloading\WalkAndUnGZ.bat" "%USERPROFILE%\AppData\Local\Temp\OnboardLogs"\RTDC4017\2017-07-03</v>
      </c>
      <c r="AF154" s="74" t="str">
        <f t="shared" si="58"/>
        <v>"C:\Program Files (x86)\AstroGrep\AstroGrep.exe" /e /r /s /spath="%USERPROFILE%\AppData\Local\Temp\OnboardLogs" /stypes="app*4017*20170702*" /stext=" 07:.+((SYSTEM_STATE.+slice.+state.+changed )|(ment ac)|(multiple cpu faults)|(system.+state.+changed )|(\[timeout)|(PRM\|1\|D)|(kpr)|(kdp)|(train st.+moving)|(\|lc)|(penalty))"</v>
      </c>
      <c r="AG154" s="209" t="str">
        <f t="shared" si="59"/>
        <v>EC</v>
      </c>
      <c r="AH154" s="78" t="str">
        <f t="shared" si="60"/>
        <v>"%USERPROFILE%\Documents\GitHub\eaglep3\Utilities\RefineRTDCRunTimes.py" --tripid 240-01 --locoid 4017 --swversion DE.1.0.9.0 --startMP 204:232991 --initTime 2017-07-02T00:20:20 --startdatetime 2017-07-02T00:27:25 --delay 1 --endMP 204:165 --enddatetime 2017-07-02T01:06:34 --enforcementcount 0 &gt;&gt;C:\Users\stu\Documents\GitHub\eaglep3-reporting\EC\2017-07-01-refined-times.txt</v>
      </c>
      <c r="AI154" s="96" t="str">
        <f t="shared" si="61"/>
        <v>echo {"issue":{"subject":"","project_id":79,"tracker_id":40,"status_id":1,"priority_id":2,"assigned_to_id":23,"start_date":"2017-07-02","description":"","custom_fields":[{"id":1,"name":"Subdivision","value":"EC"},{"id":4,"name":"Milepost","value":"0.0165"},{"id":17,"name":"Train ID","value":"240-01"},{"id":16,"name":"Locomotive ID","value":"4017"},{"id":130,"name":"Impact","value":""},{"id":150,"name":"Time of Event (Mountain Time)","value":"01:06:34"},{"id":151,"name":"Denver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54" s="47"/>
      <c r="AL154" s="47"/>
      <c r="AM154" s="142" t="str">
        <f t="shared" si="62"/>
        <v>start /low /b %USERPROFILE%\Documents\GitHub\eaglep3\Utilities\DownloadLogsFromS3.py --loco 4017 --day 2017-07-02</v>
      </c>
      <c r="AN154" s="151" t="str">
        <f t="shared" si="63"/>
        <v>echo {"issue":{"subject":"","project_id":30,"tracker_id":4,"status_id":1,"priority_id":1,"assigned_to_id":10,"start_date":"2017-07-02","description":"","custom_fields":[{"id":30,"name":"Category","value":"Issue"},{"id":3,"name":"Functional Component","value":"Onboard"},{"id":31,"name":"Version","value":"N/A"},{"id":8,"name":"Reporting RR","value":"WABTEC"},{"id":27,"name":"Locomotive ID","value":"4017"},{"id":20,"name":"RR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UTC","value":"2017-07-02 07:06:34"},{"id":29,"name":"Sharepoint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4"/>
      <c r="AP154"/>
      <c r="AQ154"/>
      <c r="AR154"/>
      <c r="AS154"/>
      <c r="AT154"/>
      <c r="AU154"/>
      <c r="AV154"/>
      <c r="AW154"/>
      <c r="AX154"/>
      <c r="AY154"/>
      <c r="AZ154"/>
      <c r="BA154"/>
      <c r="BB154"/>
      <c r="BC154"/>
      <c r="BD154"/>
      <c r="BE154"/>
      <c r="BF154"/>
      <c r="BG154"/>
      <c r="BH154"/>
      <c r="BI154"/>
      <c r="BJ154"/>
      <c r="BK154"/>
      <c r="BL154"/>
      <c r="BM154"/>
      <c r="BN154"/>
      <c r="BO154"/>
      <c r="BP154"/>
      <c r="BQ154"/>
      <c r="BR154"/>
      <c r="BS154"/>
      <c r="BT154"/>
      <c r="BU154"/>
      <c r="BV154"/>
      <c r="BW154"/>
      <c r="BX154"/>
      <c r="BY154"/>
      <c r="BZ154"/>
      <c r="CA154"/>
      <c r="CB154"/>
      <c r="CC154"/>
      <c r="CD154"/>
      <c r="CE154"/>
      <c r="CF154"/>
      <c r="CG154"/>
      <c r="CH154"/>
      <c r="CI154"/>
      <c r="CJ154"/>
      <c r="CK154"/>
      <c r="CL154"/>
      <c r="CM154"/>
    </row>
    <row r="155" spans="1:91" s="20" customFormat="1" x14ac:dyDescent="0.25">
      <c r="A155" s="32" t="s">
        <v>671</v>
      </c>
      <c r="B155" s="7">
        <v>4028</v>
      </c>
      <c r="C155" s="21" t="s">
        <v>202</v>
      </c>
      <c r="D155" s="21" t="s">
        <v>343</v>
      </c>
      <c r="E155" s="13">
        <v>42917.989259259259</v>
      </c>
      <c r="F155" s="13">
        <v>42918.000555555554</v>
      </c>
      <c r="G155" s="7">
        <v>1</v>
      </c>
      <c r="H155" s="21" t="s">
        <v>514</v>
      </c>
      <c r="I155" s="13">
        <v>42918.025104166663</v>
      </c>
      <c r="J155" s="7">
        <v>0</v>
      </c>
      <c r="K155" s="89" t="str">
        <f t="shared" si="48"/>
        <v>4027/4028</v>
      </c>
      <c r="L155" s="21" t="str">
        <f>VLOOKUP(A155,'Trips&amp;Operators'!$C$1:$G$99999,5,FALSE)</f>
        <v>PERKINS DARREN</v>
      </c>
      <c r="M155" s="6">
        <f t="shared" si="49"/>
        <v>2.4548611108912155E-2</v>
      </c>
      <c r="N155" s="7">
        <f t="shared" si="46"/>
        <v>35.349999996833503</v>
      </c>
      <c r="O155" s="7"/>
      <c r="P155" s="7"/>
      <c r="Q155" s="22"/>
      <c r="R155" s="170"/>
      <c r="S155" s="213">
        <f t="shared" si="47"/>
        <v>1</v>
      </c>
      <c r="T155" s="195" t="str">
        <f t="shared" si="50"/>
        <v>NorthBound</v>
      </c>
      <c r="U155" s="195">
        <f>IF(AG155="EC",COUNTIFS(Variables!$M$2:$M$19,IF(T155="NorthBound","&gt;=","&lt;=")&amp;Y155,Variables!$M$2:$M$19,IF(T155="NorthBound","&lt;=","&gt;=")&amp;Z155),COUNTIFS(Variables!$P$2:$P$19,IF(T155="NorthBound","&gt;=","&lt;=")&amp;Y155,Variables!$P$2:$P$19,IF(T155="NorthBound","&lt;=","&gt;=")&amp;Z155))</f>
        <v>12</v>
      </c>
      <c r="V155" s="196" t="str">
        <f t="shared" si="51"/>
        <v>https://d0f6bd738d7f1b3e5a7ca70fe4ff75f0.us-east-1.aws.found.io/app/kibana#/discover/Steve-Slow-Train-Analysis-(2080s-and-2083s)?_g=(refreshInterval:(display:Off,pause:!f,section:0,value:0),time:(from:'2017-07-01T22:44:32-0600',mode:absolute,to:'2017-07-02T01:36:09-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155" s="197" t="str">
        <f>IF(AA155&lt;VLOOKUP(AG155,Variables!$AC$3:$AD$8,2,FALSE),"Y","N")</f>
        <v>N</v>
      </c>
      <c r="X155" s="197">
        <f t="shared" si="52"/>
        <v>1</v>
      </c>
      <c r="Y155" s="197">
        <f t="shared" si="53"/>
        <v>4.4900000000000002E-2</v>
      </c>
      <c r="Z155" s="197">
        <f t="shared" si="54"/>
        <v>23.328199999999999</v>
      </c>
      <c r="AA155" s="197">
        <f t="shared" si="55"/>
        <v>23.283300000000001</v>
      </c>
      <c r="AB155" s="54" t="str">
        <f>VLOOKUP(A155,Enforcements!$C$7:$K$13,8,0)</f>
        <v>Bulletin (2)</v>
      </c>
      <c r="AC155" s="51" t="str">
        <f>VLOOKUP(A155,Enforcements!$C$7:$E$13,3,0)</f>
        <v>GRADE CROSSING</v>
      </c>
      <c r="AD155" s="206">
        <f t="shared" si="56"/>
        <v>241</v>
      </c>
      <c r="AE155" s="77" t="str">
        <f t="shared" si="57"/>
        <v>aws s3 cp s3://rtdc.mdm.uploadarchive.raw/RTDC4028/ "%USERPROFILE%\AppData\Local\Temp\OnboardLogs"\RTDC4028\2017-07-02 --exclude "*" --recursive --include "*20170702*" &amp; "%USERPROFILE%\Documents\GitHub\mrs-test-scripts\Headless Mode &amp; Sideloading\WalkAndUnGZ.bat" "%USERPROFILE%\AppData\Local\Temp\OnboardLogs"\RTDC4028\2017-07-02 &amp; aws s3 cp s3://rtdc.mdm.uploadarchive.raw/RTDC4028/ "%USERPROFILE%\AppData\Local\Temp\OnboardLogs"\RTDC4028\2017-07-03 --exclude "*" --recursive --include "*20170703*" &amp; "%USERPROFILE%\Documents\GitHub\mrs-test-scripts\Headless Mode &amp; Sideloading\WalkAndUnGZ.bat" "%USERPROFILE%\AppData\Local\Temp\OnboardLogs"\RTDC4028\2017-07-03</v>
      </c>
      <c r="AF155" s="74" t="str">
        <f t="shared" si="58"/>
        <v>"C:\Program Files (x86)\AstroGrep\AstroGrep.exe" /e /r /s /spath="%USERPROFILE%\AppData\Local\Temp\OnboardLogs" /stypes="app*4028*20170702*" /stext=" 06:.+((SYSTEM_STATE.+slice.+state.+changed )|(ment ac)|(multiple cpu faults)|(system.+state.+changed )|(\[timeout)|(PRM\|1\|D)|(kpr)|(kdp)|(train st.+moving)|(\|lc)|(penalty))"</v>
      </c>
      <c r="AG155" s="209" t="str">
        <f t="shared" si="59"/>
        <v>EC</v>
      </c>
      <c r="AH155" s="78" t="str">
        <f t="shared" si="60"/>
        <v>"%USERPROFILE%\Documents\GitHub\eaglep3\Utilities\RefineRTDCRunTimes.py" --tripid 241-01 --locoid 4028 --swversion DE.1.0.9.0 --startMP 204:449 --initTime 2017-07-01T23:44:32 --startdatetime 2017-07-02T00:00:48 --delay 1 --endMP 204:233282 --enddatetime 2017-07-02T00:36:09 --enforcementcount 0 &gt;&gt;C:\Users\stu\Documents\GitHub\eaglep3-reporting\EC\2017-07-01-refined-times.txt</v>
      </c>
      <c r="AI155" s="96" t="str">
        <f t="shared" si="61"/>
        <v>echo {"issue":{"subject":"","project_id":79,"tracker_id":40,"status_id":1,"priority_id":2,"assigned_to_id":23,"start_date":"2017-07-02","description":"","custom_fields":[{"id":1,"name":"Subdivision","value":"EC"},{"id":4,"name":"Milepost","value":"23.3282"},{"id":17,"name":"Train ID","value":"241-01"},{"id":16,"name":"Locomotive ID","value":"4028"},{"id":130,"name":"Impact","value":""},{"id":150,"name":"Time of Event (Mountain Time)","value":"00:36:09"},{"id":151,"name":"Denver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55" s="47"/>
      <c r="AL155" s="47"/>
      <c r="AM155" s="142" t="str">
        <f t="shared" si="62"/>
        <v>start /low /b %USERPROFILE%\Documents\GitHub\eaglep3\Utilities\DownloadLogsFromS3.py --loco 4028 --day 2017-07-02</v>
      </c>
      <c r="AN155" s="151" t="str">
        <f t="shared" si="63"/>
        <v>echo {"issue":{"subject":"","project_id":30,"tracker_id":4,"status_id":1,"priority_id":1,"assigned_to_id":10,"start_date":"2017-07-02","description":"","custom_fields":[{"id":30,"name":"Category","value":"Issue"},{"id":3,"name":"Functional Component","value":"Onboard"},{"id":31,"name":"Version","value":"N/A"},{"id":8,"name":"Reporting RR","value":"WABTEC"},{"id":27,"name":"Locomotive ID","value":"4028"},{"id":20,"name":"RR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UTC","value":"2017-07-02 06:36:09"},{"id":29,"name":"Sharepoint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5"/>
      <c r="AP155"/>
      <c r="AQ155"/>
      <c r="AR155"/>
      <c r="AS155"/>
      <c r="AT155"/>
      <c r="AU155"/>
      <c r="AV155"/>
      <c r="AW155"/>
      <c r="AX155"/>
      <c r="AY155"/>
      <c r="AZ155"/>
      <c r="BA155"/>
      <c r="BB155"/>
      <c r="BC155"/>
      <c r="BD155"/>
      <c r="BE155"/>
      <c r="BF155"/>
      <c r="BG155"/>
      <c r="BH155"/>
      <c r="BI155"/>
      <c r="BJ155"/>
      <c r="BK155"/>
      <c r="BL155"/>
      <c r="BM155"/>
      <c r="BN155"/>
      <c r="BO155"/>
      <c r="BP155"/>
      <c r="BQ155"/>
      <c r="BR155"/>
      <c r="BS155"/>
      <c r="BT155"/>
      <c r="BU155"/>
      <c r="BV155"/>
      <c r="BW155"/>
      <c r="BX155"/>
      <c r="BY155"/>
      <c r="BZ155"/>
      <c r="CA155"/>
      <c r="CB155"/>
      <c r="CC155"/>
      <c r="CD155"/>
      <c r="CE155"/>
      <c r="CF155"/>
      <c r="CG155"/>
      <c r="CH155"/>
      <c r="CI155"/>
      <c r="CJ155"/>
      <c r="CK155"/>
      <c r="CL155"/>
      <c r="CM155"/>
    </row>
    <row r="156" spans="1:91" s="20" customFormat="1" x14ac:dyDescent="0.25">
      <c r="A156" s="32" t="s">
        <v>869</v>
      </c>
      <c r="B156" s="7">
        <v>4027</v>
      </c>
      <c r="C156" s="21" t="s">
        <v>202</v>
      </c>
      <c r="D156" s="21" t="s">
        <v>512</v>
      </c>
      <c r="E156" s="13">
        <v>42918.03365740741</v>
      </c>
      <c r="F156" s="13">
        <v>42918.039768518516</v>
      </c>
      <c r="G156" s="7">
        <v>1</v>
      </c>
      <c r="H156" s="21" t="s">
        <v>508</v>
      </c>
      <c r="I156" s="13">
        <v>42918.066990740743</v>
      </c>
      <c r="J156" s="7">
        <v>0</v>
      </c>
      <c r="K156" s="89" t="str">
        <f t="shared" si="48"/>
        <v>4027/4028</v>
      </c>
      <c r="L156" s="21" t="str">
        <f>VLOOKUP(A156,'Trips&amp;Operators'!$C$1:$G$99999,5,FALSE)</f>
        <v>PERKINS DARREN</v>
      </c>
      <c r="M156" s="6">
        <f t="shared" si="49"/>
        <v>2.7222222226555459E-2</v>
      </c>
      <c r="N156" s="7">
        <f t="shared" ref="N156:N187" si="64">24*60*SUM($M156:$M156)</f>
        <v>39.200000006239861</v>
      </c>
      <c r="O156" s="7"/>
      <c r="P156" s="7"/>
      <c r="Q156" s="22"/>
      <c r="R156" s="170"/>
      <c r="S156" s="213">
        <f t="shared" si="47"/>
        <v>1</v>
      </c>
      <c r="T156" s="195" t="str">
        <f t="shared" si="50"/>
        <v>Southbound</v>
      </c>
      <c r="U156" s="195">
        <f>IF(AG156="EC",COUNTIFS(Variables!$M$2:$M$19,IF(T156="NorthBound","&gt;=","&lt;=")&amp;Y156,Variables!$M$2:$M$19,IF(T156="NorthBound","&lt;=","&gt;=")&amp;Z156),COUNTIFS(Variables!$P$2:$P$19,IF(T156="NorthBound","&gt;=","&lt;=")&amp;Y156,Variables!$P$2:$P$19,IF(T156="NorthBound","&lt;=","&gt;=")&amp;Z156))</f>
        <v>12</v>
      </c>
      <c r="V156" s="196" t="str">
        <f t="shared" si="51"/>
        <v>https://d0f6bd738d7f1b3e5a7ca70fe4ff75f0.us-east-1.aws.found.io/app/kibana#/discover/Steve-Slow-Train-Analysis-(2080s-and-2083s)?_g=(refreshInterval:(display:Off,pause:!f,section:0,value:0),time:(from:'2017-07-01T23:48:28-0600',mode:absolute,to:'2017-07-02T02:36:28-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156" s="197" t="str">
        <f>IF(AA156&lt;VLOOKUP(AG156,Variables!$AC$3:$AD$8,2,FALSE),"Y","N")</f>
        <v>N</v>
      </c>
      <c r="X156" s="197">
        <f t="shared" si="52"/>
        <v>1</v>
      </c>
      <c r="Y156" s="197">
        <f t="shared" si="53"/>
        <v>23.297999999999998</v>
      </c>
      <c r="Z156" s="197">
        <f t="shared" si="54"/>
        <v>1.3599999999999999E-2</v>
      </c>
      <c r="AA156" s="197">
        <f t="shared" si="55"/>
        <v>23.284399999999998</v>
      </c>
      <c r="AB156" s="54" t="e">
        <f>VLOOKUP(A156,Enforcements!$C$7:$K$13,8,0)</f>
        <v>#N/A</v>
      </c>
      <c r="AC156" s="51" t="e">
        <f>VLOOKUP(A156,Enforcements!$C$7:$E$13,3,0)</f>
        <v>#N/A</v>
      </c>
      <c r="AD156" s="206">
        <f t="shared" si="56"/>
        <v>242</v>
      </c>
      <c r="AE156" s="77" t="str">
        <f t="shared" si="57"/>
        <v>aws s3 cp s3://rtdc.mdm.uploadarchive.raw/RTDC4027/ "%USERPROFILE%\AppData\Local\Temp\OnboardLogs"\RTDC4027\2017-07-02 --exclude "*" --recursive --include "*20170702*" &amp; "%USERPROFILE%\Documents\GitHub\mrs-test-scripts\Headless Mode &amp; Sideloading\WalkAndUnGZ.bat" "%USERPROFILE%\AppData\Local\Temp\OnboardLogs"\RTDC4027\2017-07-02 &amp; aws s3 cp s3://rtdc.mdm.uploadarchive.raw/RTDC4027/ "%USERPROFILE%\AppData\Local\Temp\OnboardLogs"\RTDC4027\2017-07-03 --exclude "*" --recursive --include "*20170703*" &amp; "%USERPROFILE%\Documents\GitHub\mrs-test-scripts\Headless Mode &amp; Sideloading\WalkAndUnGZ.bat" "%USERPROFILE%\AppData\Local\Temp\OnboardLogs"\RTDC4027\2017-07-03</v>
      </c>
      <c r="AF156" s="74" t="str">
        <f t="shared" si="58"/>
        <v>"C:\Program Files (x86)\AstroGrep\AstroGrep.exe" /e /r /s /spath="%USERPROFILE%\AppData\Local\Temp\OnboardLogs" /stypes="app*4027*20170702*" /stext=" 07:.+((SYSTEM_STATE.+slice.+state.+changed )|(ment ac)|(multiple cpu faults)|(system.+state.+changed )|(\[timeout)|(PRM\|1\|D)|(kpr)|(kdp)|(train st.+moving)|(\|lc)|(penalty))"</v>
      </c>
      <c r="AG156" s="209" t="str">
        <f t="shared" si="59"/>
        <v>EC</v>
      </c>
      <c r="AH156" s="78" t="str">
        <f t="shared" si="60"/>
        <v>"%USERPROFILE%\Documents\GitHub\eaglep3\Utilities\RefineRTDCRunTimes.py" --tripid 242-01 --locoid 4027 --swversion DE.1.0.9.0 --startMP 204:232980 --initTime 2017-07-02T00:48:28 --startdatetime 2017-07-02T00:57:16 --delay 1 --endMP 204:136 --enddatetime 2017-07-02T01:36:28 --enforcementcount 0 &gt;&gt;C:\Users\stu\Documents\GitHub\eaglep3-reporting\EC\2017-07-01-refined-times.txt</v>
      </c>
      <c r="AI156" s="96" t="str">
        <f t="shared" si="61"/>
        <v>echo {"issue":{"subject":"","project_id":79,"tracker_id":40,"status_id":1,"priority_id":2,"assigned_to_id":23,"start_date":"2017-07-02","description":"","custom_fields":[{"id":1,"name":"Subdivision","value":"EC"},{"id":4,"name":"Milepost","value":"0.0136"},{"id":17,"name":"Train ID","value":"242-01"},{"id":16,"name":"Locomotive ID","value":"4027"},{"id":130,"name":"Impact","value":""},{"id":150,"name":"Time of Event (Mountain Time)","value":"01:36:28"},{"id":151,"name":"Denver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56" s="47"/>
      <c r="AL156" s="47"/>
      <c r="AM156" s="142" t="str">
        <f t="shared" si="62"/>
        <v>start /low /b %USERPROFILE%\Documents\GitHub\eaglep3\Utilities\DownloadLogsFromS3.py --loco 4027 --day 2017-07-02</v>
      </c>
      <c r="AN156" s="151" t="str">
        <f t="shared" si="63"/>
        <v>echo {"issue":{"subject":"","project_id":30,"tracker_id":4,"status_id":1,"priority_id":1,"assigned_to_id":10,"start_date":"2017-07-02","description":"","custom_fields":[{"id":30,"name":"Category","value":"Issue"},{"id":3,"name":"Functional Component","value":"Onboard"},{"id":31,"name":"Version","value":"N/A"},{"id":8,"name":"Reporting RR","value":"WABTEC"},{"id":27,"name":"Locomotive ID","value":"4027"},{"id":20,"name":"RR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UTC","value":"2017-07-02 07:36:28"},{"id":29,"name":"Sharepoint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6"/>
      <c r="AP156"/>
      <c r="AQ156"/>
      <c r="AR156"/>
      <c r="AS156"/>
      <c r="AT156"/>
      <c r="AU156"/>
      <c r="AV156"/>
      <c r="AW156"/>
      <c r="AX156"/>
      <c r="AY156"/>
      <c r="AZ156"/>
      <c r="BA156"/>
      <c r="BB156"/>
      <c r="BC156"/>
      <c r="BD156"/>
      <c r="BE156"/>
      <c r="BF156"/>
      <c r="BG156"/>
      <c r="BH156"/>
      <c r="BI156"/>
      <c r="BJ156"/>
      <c r="BK156"/>
      <c r="BL156"/>
      <c r="BM156"/>
      <c r="BN156"/>
      <c r="BO156"/>
      <c r="BP156"/>
      <c r="BQ156"/>
      <c r="BR156"/>
      <c r="BS156"/>
      <c r="BT156"/>
      <c r="BU156"/>
      <c r="BV156"/>
      <c r="BW156"/>
      <c r="BX156"/>
      <c r="BY156"/>
      <c r="BZ156"/>
      <c r="CA156"/>
      <c r="CB156"/>
      <c r="CC156"/>
      <c r="CD156"/>
      <c r="CE156"/>
      <c r="CF156"/>
      <c r="CG156"/>
      <c r="CH156"/>
      <c r="CI156"/>
      <c r="CJ156"/>
      <c r="CK156"/>
      <c r="CL156"/>
      <c r="CM156"/>
    </row>
    <row r="157" spans="1:91" s="20" customFormat="1" x14ac:dyDescent="0.25">
      <c r="A157" s="32" t="s">
        <v>867</v>
      </c>
      <c r="B157" s="7">
        <v>4014</v>
      </c>
      <c r="C157" s="21" t="s">
        <v>202</v>
      </c>
      <c r="D157" s="21" t="s">
        <v>343</v>
      </c>
      <c r="E157" s="13">
        <v>42918.006412037037</v>
      </c>
      <c r="F157" s="13">
        <v>42918.02144675926</v>
      </c>
      <c r="G157" s="7">
        <v>1</v>
      </c>
      <c r="H157" s="21" t="s">
        <v>912</v>
      </c>
      <c r="I157" s="13">
        <v>42918.046875</v>
      </c>
      <c r="J157" s="7">
        <v>0</v>
      </c>
      <c r="K157" s="89" t="str">
        <f t="shared" si="48"/>
        <v>4013/4014</v>
      </c>
      <c r="L157" s="21" t="str">
        <f>VLOOKUP(A157,'Trips&amp;Operators'!$C$1:$G$99999,5,FALSE)</f>
        <v>FORTUNATO FRANK</v>
      </c>
      <c r="M157" s="6">
        <f t="shared" si="49"/>
        <v>2.5428240740438923E-2</v>
      </c>
      <c r="N157" s="7">
        <f t="shared" si="64"/>
        <v>36.616666666232049</v>
      </c>
      <c r="O157" s="7"/>
      <c r="P157" s="7"/>
      <c r="Q157" s="22"/>
      <c r="R157" s="170"/>
      <c r="S157" s="213">
        <f t="shared" si="47"/>
        <v>1</v>
      </c>
      <c r="T157" s="195" t="str">
        <f t="shared" si="50"/>
        <v>NorthBound</v>
      </c>
      <c r="U157" s="195">
        <f>IF(AG157="EC",COUNTIFS(Variables!$M$2:$M$19,IF(T157="NorthBound","&gt;=","&lt;=")&amp;Y157,Variables!$M$2:$M$19,IF(T157="NorthBound","&lt;=","&gt;=")&amp;Z157),COUNTIFS(Variables!$P$2:$P$19,IF(T157="NorthBound","&gt;=","&lt;=")&amp;Y157,Variables!$P$2:$P$19,IF(T157="NorthBound","&lt;=","&gt;=")&amp;Z157))</f>
        <v>12</v>
      </c>
      <c r="V157" s="196" t="str">
        <f t="shared" si="51"/>
        <v>https://d0f6bd738d7f1b3e5a7ca70fe4ff75f0.us-east-1.aws.found.io/app/kibana#/discover/Steve-Slow-Train-Analysis-(2080s-and-2083s)?_g=(refreshInterval:(display:Off,pause:!f,section:0,value:0),time:(from:'2017-07-01T23:09:14-0600',mode:absolute,to:'2017-07-02T02:07:30-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157" s="197" t="str">
        <f>IF(AA157&lt;VLOOKUP(AG157,Variables!$AC$3:$AD$8,2,FALSE),"Y","N")</f>
        <v>N</v>
      </c>
      <c r="X157" s="197">
        <f t="shared" si="52"/>
        <v>1</v>
      </c>
      <c r="Y157" s="197">
        <f t="shared" si="53"/>
        <v>4.4900000000000002E-2</v>
      </c>
      <c r="Z157" s="197">
        <f t="shared" si="54"/>
        <v>23.331499999999998</v>
      </c>
      <c r="AA157" s="197">
        <f t="shared" si="55"/>
        <v>23.2866</v>
      </c>
      <c r="AB157" s="54" t="e">
        <f>VLOOKUP(A157,Enforcements!$C$7:$K$13,8,0)</f>
        <v>#N/A</v>
      </c>
      <c r="AC157" s="51" t="e">
        <f>VLOOKUP(A157,Enforcements!$C$7:$E$13,3,0)</f>
        <v>#N/A</v>
      </c>
      <c r="AD157" s="206">
        <f t="shared" si="56"/>
        <v>243</v>
      </c>
      <c r="AE157" s="77" t="str">
        <f t="shared" si="57"/>
        <v>aws s3 cp s3://rtdc.mdm.uploadarchive.raw/RTDC4014/ "%USERPROFILE%\AppData\Local\Temp\OnboardLogs"\RTDC4014\2017-07-02 --exclude "*" --recursive --include "*20170702*" &amp; "%USERPROFILE%\Documents\GitHub\mrs-test-scripts\Headless Mode &amp; Sideloading\WalkAndUnGZ.bat" "%USERPROFILE%\AppData\Local\Temp\OnboardLogs"\RTDC4014\2017-07-02 &amp; aws s3 cp s3://rtdc.mdm.uploadarchive.raw/RTDC4014/ "%USERPROFILE%\AppData\Local\Temp\OnboardLogs"\RTDC4014\2017-07-03 --exclude "*" --recursive --include "*20170703*" &amp; "%USERPROFILE%\Documents\GitHub\mrs-test-scripts\Headless Mode &amp; Sideloading\WalkAndUnGZ.bat" "%USERPROFILE%\AppData\Local\Temp\OnboardLogs"\RTDC4014\2017-07-03</v>
      </c>
      <c r="AF157" s="74" t="str">
        <f t="shared" si="58"/>
        <v>"C:\Program Files (x86)\AstroGrep\AstroGrep.exe" /e /r /s /spath="%USERPROFILE%\AppData\Local\Temp\OnboardLogs" /stypes="app*4014*20170702*" /stext=" 07:.+((SYSTEM_STATE.+slice.+state.+changed )|(ment ac)|(multiple cpu faults)|(system.+state.+changed )|(\[timeout)|(PRM\|1\|D)|(kpr)|(kdp)|(train st.+moving)|(\|lc)|(penalty))"</v>
      </c>
      <c r="AG157" s="209" t="str">
        <f t="shared" si="59"/>
        <v>EC</v>
      </c>
      <c r="AH157" s="78" t="str">
        <f t="shared" si="60"/>
        <v>"%USERPROFILE%\Documents\GitHub\eaglep3\Utilities\RefineRTDCRunTimes.py" --tripid 243-01 --locoid 4014 --swversion DE.1.0.9.0 --startMP 204:449 --initTime 2017-07-02T00:09:14 --startdatetime 2017-07-02T00:30:53 --delay 1 --endMP 204:233315 --enddatetime 2017-07-02T01:07:30 --enforcementcount 0 &gt;&gt;C:\Users\stu\Documents\GitHub\eaglep3-reporting\EC\2017-07-01-refined-times.txt</v>
      </c>
      <c r="AI157" s="96" t="str">
        <f t="shared" si="61"/>
        <v>echo {"issue":{"subject":"","project_id":79,"tracker_id":40,"status_id":1,"priority_id":2,"assigned_to_id":23,"start_date":"2017-07-02","description":"","custom_fields":[{"id":1,"name":"Subdivision","value":"EC"},{"id":4,"name":"Milepost","value":"23.3315"},{"id":17,"name":"Train ID","value":"243-01"},{"id":16,"name":"Locomotive ID","value":"4014"},{"id":130,"name":"Impact","value":""},{"id":150,"name":"Time of Event (Mountain Time)","value":"01:07:30"},{"id":151,"name":"Denver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57" s="47"/>
      <c r="AL157" s="47"/>
      <c r="AM157" s="142" t="str">
        <f t="shared" si="62"/>
        <v>start /low /b %USERPROFILE%\Documents\GitHub\eaglep3\Utilities\DownloadLogsFromS3.py --loco 4014 --day 2017-07-02</v>
      </c>
      <c r="AN157" s="151" t="str">
        <f t="shared" si="63"/>
        <v>echo {"issue":{"subject":"","project_id":30,"tracker_id":4,"status_id":1,"priority_id":1,"assigned_to_id":10,"start_date":"2017-07-02","description":"","custom_fields":[{"id":30,"name":"Category","value":"Issue"},{"id":3,"name":"Functional Component","value":"Onboard"},{"id":31,"name":"Version","value":"N/A"},{"id":8,"name":"Reporting RR","value":"WABTEC"},{"id":27,"name":"Locomotive ID","value":"4014"},{"id":20,"name":"RR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UTC","value":"2017-07-02 07:07:30"},{"id":29,"name":"Sharepoint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7"/>
      <c r="AP157"/>
      <c r="AQ157"/>
      <c r="AR157"/>
      <c r="AS157"/>
      <c r="AT157"/>
      <c r="AU157"/>
      <c r="AV157"/>
      <c r="AW157"/>
      <c r="AX157"/>
      <c r="AY157"/>
      <c r="AZ157"/>
      <c r="BA157"/>
      <c r="BB157"/>
      <c r="BC157"/>
      <c r="BD157"/>
      <c r="BE157"/>
      <c r="BF157"/>
      <c r="BG157"/>
      <c r="BH157"/>
      <c r="BI157"/>
      <c r="BJ157"/>
      <c r="BK157"/>
      <c r="BL157"/>
      <c r="BM157"/>
      <c r="BN157"/>
      <c r="BO157"/>
      <c r="BP157"/>
      <c r="BQ157"/>
      <c r="BR157"/>
      <c r="BS157"/>
      <c r="BT157"/>
      <c r="BU157"/>
      <c r="BV157"/>
      <c r="BW157"/>
      <c r="BX157"/>
      <c r="BY157"/>
      <c r="BZ157"/>
      <c r="CA157"/>
      <c r="CB157"/>
      <c r="CC157"/>
      <c r="CD157"/>
      <c r="CE157"/>
      <c r="CF157"/>
      <c r="CG157"/>
      <c r="CH157"/>
      <c r="CI157"/>
      <c r="CJ157"/>
      <c r="CK157"/>
      <c r="CL157"/>
      <c r="CM157"/>
    </row>
    <row r="158" spans="1:91" s="20" customFormat="1" x14ac:dyDescent="0.25">
      <c r="A158" s="32" t="s">
        <v>672</v>
      </c>
      <c r="B158" s="7">
        <v>4013</v>
      </c>
      <c r="C158" s="21" t="s">
        <v>202</v>
      </c>
      <c r="D158" s="21" t="s">
        <v>467</v>
      </c>
      <c r="E158" s="13">
        <v>42918.048483796294</v>
      </c>
      <c r="F158" s="13">
        <v>42918.060590277775</v>
      </c>
      <c r="G158" s="7">
        <v>1</v>
      </c>
      <c r="H158" s="21" t="s">
        <v>394</v>
      </c>
      <c r="I158" s="13">
        <v>42918.088333333333</v>
      </c>
      <c r="J158" s="7">
        <v>0</v>
      </c>
      <c r="K158" s="89" t="str">
        <f t="shared" si="48"/>
        <v>4013/4014</v>
      </c>
      <c r="L158" s="21" t="str">
        <f>VLOOKUP(A158,'Trips&amp;Operators'!$C$1:$G$99999,5,FALSE)</f>
        <v>FORTUNATO FRANK</v>
      </c>
      <c r="M158" s="6">
        <f t="shared" si="49"/>
        <v>2.7743055557948537E-2</v>
      </c>
      <c r="N158" s="7">
        <f t="shared" si="64"/>
        <v>39.950000003445894</v>
      </c>
      <c r="O158" s="7"/>
      <c r="P158" s="7"/>
      <c r="Q158" s="22"/>
      <c r="R158" s="170"/>
      <c r="S158" s="213">
        <f t="shared" si="47"/>
        <v>1</v>
      </c>
      <c r="T158" s="195" t="str">
        <f t="shared" si="50"/>
        <v>Southbound</v>
      </c>
      <c r="U158" s="195">
        <f>IF(AG158="EC",COUNTIFS(Variables!$M$2:$M$19,IF(T158="NorthBound","&gt;=","&lt;=")&amp;Y158,Variables!$M$2:$M$19,IF(T158="NorthBound","&lt;=","&gt;=")&amp;Z158),COUNTIFS(Variables!$P$2:$P$19,IF(T158="NorthBound","&gt;=","&lt;=")&amp;Y158,Variables!$P$2:$P$19,IF(T158="NorthBound","&lt;=","&gt;=")&amp;Z158))</f>
        <v>12</v>
      </c>
      <c r="V158" s="196" t="str">
        <f t="shared" si="51"/>
        <v>https://d0f6bd738d7f1b3e5a7ca70fe4ff75f0.us-east-1.aws.found.io/app/kibana#/discover/Steve-Slow-Train-Analysis-(2080s-and-2083s)?_g=(refreshInterval:(display:Off,pause:!f,section:0,value:0),time:(from:'2017-07-02T00:09:49-0600',mode:absolute,to:'2017-07-02T03:07:12-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158" s="197" t="str">
        <f>IF(AA158&lt;VLOOKUP(AG158,Variables!$AC$3:$AD$8,2,FALSE),"Y","N")</f>
        <v>N</v>
      </c>
      <c r="X158" s="197">
        <f t="shared" si="52"/>
        <v>1</v>
      </c>
      <c r="Y158" s="197">
        <f t="shared" si="53"/>
        <v>23.3004</v>
      </c>
      <c r="Z158" s="197">
        <f t="shared" si="54"/>
        <v>1.54E-2</v>
      </c>
      <c r="AA158" s="197">
        <f t="shared" si="55"/>
        <v>23.285</v>
      </c>
      <c r="AB158" s="54" t="e">
        <f>VLOOKUP(A158,Enforcements!$C$7:$K$13,8,0)</f>
        <v>#N/A</v>
      </c>
      <c r="AC158" s="51" t="e">
        <f>VLOOKUP(A158,Enforcements!$C$7:$E$13,3,0)</f>
        <v>#N/A</v>
      </c>
      <c r="AD158" s="206">
        <f t="shared" si="56"/>
        <v>244</v>
      </c>
      <c r="AE158" s="77" t="str">
        <f t="shared" si="57"/>
        <v>aws s3 cp s3://rtdc.mdm.uploadarchive.raw/RTDC4013/ "%USERPROFILE%\AppData\Local\Temp\OnboardLogs"\RTDC4013\2017-07-02 --exclude "*" --recursive --include "*20170702*" &amp; "%USERPROFILE%\Documents\GitHub\mrs-test-scripts\Headless Mode &amp; Sideloading\WalkAndUnGZ.bat" "%USERPROFILE%\AppData\Local\Temp\OnboardLogs"\RTDC4013\2017-07-02 &amp; aws s3 cp s3://rtdc.mdm.uploadarchive.raw/RTDC4013/ "%USERPROFILE%\AppData\Local\Temp\OnboardLogs"\RTDC4013\2017-07-03 --exclude "*" --recursive --include "*20170703*" &amp; "%USERPROFILE%\Documents\GitHub\mrs-test-scripts\Headless Mode &amp; Sideloading\WalkAndUnGZ.bat" "%USERPROFILE%\AppData\Local\Temp\OnboardLogs"\RTDC4013\2017-07-03</v>
      </c>
      <c r="AF158" s="74" t="str">
        <f t="shared" si="58"/>
        <v>"C:\Program Files (x86)\AstroGrep\AstroGrep.exe" /e /r /s /spath="%USERPROFILE%\AppData\Local\Temp\OnboardLogs" /stypes="app*4013*20170702*" /stext=" 08:.+((SYSTEM_STATE.+slice.+state.+changed )|(ment ac)|(multiple cpu faults)|(system.+state.+changed )|(\[timeout)|(PRM\|1\|D)|(kpr)|(kdp)|(train st.+moving)|(\|lc)|(penalty))"</v>
      </c>
      <c r="AG158" s="209" t="str">
        <f t="shared" si="59"/>
        <v>EC</v>
      </c>
      <c r="AH158" s="78" t="str">
        <f t="shared" si="60"/>
        <v>"%USERPROFILE%\Documents\GitHub\eaglep3\Utilities\RefineRTDCRunTimes.py" --tripid 244-01 --locoid 4013 --swversion DE.1.0.9.0 --startMP 204:233004 --initTime 2017-07-02T01:09:49 --startdatetime 2017-07-02T01:27:15 --delay 1 --endMP 204:154 --enddatetime 2017-07-02T02:07:12 --enforcementcount 0 &gt;&gt;C:\Users\stu\Documents\GitHub\eaglep3-reporting\EC\2017-07-01-refined-times.txt</v>
      </c>
      <c r="AI158" s="96" t="str">
        <f t="shared" si="61"/>
        <v>echo {"issue":{"subject":"","project_id":79,"tracker_id":40,"status_id":1,"priority_id":2,"assigned_to_id":23,"start_date":"2017-07-02","description":"","custom_fields":[{"id":1,"name":"Subdivision","value":"EC"},{"id":4,"name":"Milepost","value":"0.0154"},{"id":17,"name":"Train ID","value":"244-01"},{"id":16,"name":"Locomotive ID","value":"4013"},{"id":130,"name":"Impact","value":""},{"id":150,"name":"Time of Event (Mountain Time)","value":"02:07:12"},{"id":151,"name":"Denver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58" s="47"/>
      <c r="AL158" s="47"/>
      <c r="AM158" s="142" t="str">
        <f t="shared" si="62"/>
        <v>start /low /b %USERPROFILE%\Documents\GitHub\eaglep3\Utilities\DownloadLogsFromS3.py --loco 4013 --day 2017-07-02</v>
      </c>
      <c r="AN158" s="151" t="str">
        <f t="shared" si="63"/>
        <v>echo {"issue":{"subject":"","project_id":30,"tracker_id":4,"status_id":1,"priority_id":1,"assigned_to_id":10,"start_date":"2017-07-02","description":"","custom_fields":[{"id":30,"name":"Category","value":"Issue"},{"id":3,"name":"Functional Component","value":"Onboard"},{"id":31,"name":"Version","value":"N/A"},{"id":8,"name":"Reporting RR","value":"WABTEC"},{"id":27,"name":"Locomotive ID","value":"4013"},{"id":20,"name":"RR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UTC","value":"2017-07-02 08:07:12"},{"id":29,"name":"Sharepoint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8"/>
      <c r="AP158"/>
      <c r="AQ158"/>
      <c r="AR158"/>
      <c r="AS158"/>
      <c r="AT158"/>
      <c r="AU158"/>
      <c r="AV158"/>
      <c r="AW158"/>
      <c r="AX158"/>
      <c r="AY158"/>
      <c r="AZ158"/>
      <c r="BA158"/>
      <c r="BB158"/>
      <c r="BC158"/>
      <c r="BD158"/>
      <c r="BE158"/>
      <c r="BF158"/>
      <c r="BG158"/>
      <c r="BH158"/>
      <c r="BI158"/>
      <c r="BJ158"/>
      <c r="BK158"/>
      <c r="BL158"/>
      <c r="BM158"/>
      <c r="BN158"/>
      <c r="BO158"/>
      <c r="BP158"/>
      <c r="BQ158"/>
      <c r="BR158"/>
      <c r="BS158"/>
      <c r="BT158"/>
      <c r="BU158"/>
      <c r="BV158"/>
      <c r="BW158"/>
      <c r="BX158"/>
      <c r="BY158"/>
      <c r="BZ158"/>
      <c r="CA158"/>
      <c r="CB158"/>
      <c r="CC158"/>
      <c r="CD158"/>
      <c r="CE158"/>
      <c r="CF158"/>
      <c r="CG158"/>
      <c r="CH158"/>
      <c r="CI158"/>
      <c r="CJ158"/>
      <c r="CK158"/>
      <c r="CL158"/>
      <c r="CM158"/>
    </row>
    <row r="159" spans="1:91" x14ac:dyDescent="0.25">
      <c r="A159" s="32" t="s">
        <v>870</v>
      </c>
      <c r="B159" s="7">
        <v>4008</v>
      </c>
      <c r="C159" s="21" t="s">
        <v>202</v>
      </c>
      <c r="D159" s="21" t="s">
        <v>443</v>
      </c>
      <c r="E159" s="13">
        <v>42918.03738425926</v>
      </c>
      <c r="F159" s="13">
        <v>42918.042164351849</v>
      </c>
      <c r="G159" s="7">
        <v>1</v>
      </c>
      <c r="H159" s="21" t="s">
        <v>488</v>
      </c>
      <c r="I159" s="13">
        <v>42918.066689814812</v>
      </c>
      <c r="J159" s="7">
        <v>0</v>
      </c>
      <c r="K159" s="89" t="str">
        <f t="shared" si="48"/>
        <v>4007/4008</v>
      </c>
      <c r="L159" s="21" t="str">
        <f>VLOOKUP(A159,'Trips&amp;Operators'!$C$1:$G$99999,5,FALSE)</f>
        <v>LAMAR NEKESHA</v>
      </c>
      <c r="M159" s="6">
        <f t="shared" si="49"/>
        <v>2.4525462962628808E-2</v>
      </c>
      <c r="N159" s="7">
        <f t="shared" si="64"/>
        <v>35.316666666185483</v>
      </c>
      <c r="O159" s="7"/>
      <c r="P159" s="7"/>
      <c r="Q159" s="22"/>
      <c r="R159" s="170"/>
      <c r="S159" s="213">
        <f t="shared" si="47"/>
        <v>1</v>
      </c>
      <c r="T159" s="195" t="str">
        <f t="shared" si="50"/>
        <v>NorthBound</v>
      </c>
      <c r="U159" s="195">
        <f>IF(AG159="EC",COUNTIFS(Variables!$M$2:$M$19,IF(T159="NorthBound","&gt;=","&lt;=")&amp;Y159,Variables!$M$2:$M$19,IF(T159="NorthBound","&lt;=","&gt;=")&amp;Z159),COUNTIFS(Variables!$P$2:$P$19,IF(T159="NorthBound","&gt;=","&lt;=")&amp;Y159,Variables!$P$2:$P$19,IF(T159="NorthBound","&lt;=","&gt;=")&amp;Z159))</f>
        <v>12</v>
      </c>
      <c r="V159" s="196" t="str">
        <f t="shared" si="51"/>
        <v>https://d0f6bd738d7f1b3e5a7ca70fe4ff75f0.us-east-1.aws.found.io/app/kibana#/discover/Steve-Slow-Train-Analysis-(2080s-and-2083s)?_g=(refreshInterval:(display:Off,pause:!f,section:0,value:0),time:(from:'2017-07-01T23:53:50-0600',mode:absolute,to:'2017-07-02T02:36:02-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159" s="197" t="str">
        <f>IF(AA159&lt;VLOOKUP(AG159,Variables!$AC$3:$AD$8,2,FALSE),"Y","N")</f>
        <v>N</v>
      </c>
      <c r="X159" s="197">
        <f t="shared" ref="X159:X168" si="65">VALUE(LEFT(AD159,4))-VALUE(LEFT(AD158,4))</f>
        <v>1</v>
      </c>
      <c r="Y159" s="197">
        <f t="shared" si="53"/>
        <v>4.4200000000000003E-2</v>
      </c>
      <c r="Z159" s="197">
        <f t="shared" si="54"/>
        <v>23.328900000000001</v>
      </c>
      <c r="AA159" s="197">
        <f t="shared" si="55"/>
        <v>23.284700000000001</v>
      </c>
      <c r="AB159" s="54" t="e">
        <f>VLOOKUP(A159,Enforcements!$C$7:$K$13,8,0)</f>
        <v>#N/A</v>
      </c>
      <c r="AC159" s="51" t="e">
        <f>VLOOKUP(A159,Enforcements!$C$7:$E$13,3,0)</f>
        <v>#N/A</v>
      </c>
      <c r="AD159" s="206">
        <f t="shared" si="56"/>
        <v>245</v>
      </c>
      <c r="AE159" s="77" t="str">
        <f t="shared" si="57"/>
        <v>aws s3 cp s3://rtdc.mdm.uploadarchive.raw/RTDC4008/ "%USERPROFILE%\AppData\Local\Temp\OnboardLogs"\RTDC4008\2017-07-02 --exclude "*" --recursive --include "*20170702*" &amp; "%USERPROFILE%\Documents\GitHub\mrs-test-scripts\Headless Mode &amp; Sideloading\WalkAndUnGZ.bat" "%USERPROFILE%\AppData\Local\Temp\OnboardLogs"\RTDC4008\2017-07-02 &amp; aws s3 cp s3://rtdc.mdm.uploadarchive.raw/RTDC4008/ "%USERPROFILE%\AppData\Local\Temp\OnboardLogs"\RTDC4008\2017-07-03 --exclude "*" --recursive --include "*20170703*" &amp; "%USERPROFILE%\Documents\GitHub\mrs-test-scripts\Headless Mode &amp; Sideloading\WalkAndUnGZ.bat" "%USERPROFILE%\AppData\Local\Temp\OnboardLogs"\RTDC4008\2017-07-03</v>
      </c>
      <c r="AF159" s="74" t="str">
        <f t="shared" si="58"/>
        <v>"C:\Program Files (x86)\AstroGrep\AstroGrep.exe" /e /r /s /spath="%USERPROFILE%\AppData\Local\Temp\OnboardLogs" /stypes="app*4008*20170702*" /stext=" 07:.+((SYSTEM_STATE.+slice.+state.+changed )|(ment ac)|(multiple cpu faults)|(system.+state.+changed )|(\[timeout)|(PRM\|1\|D)|(kpr)|(kdp)|(train st.+moving)|(\|lc)|(penalty))"</v>
      </c>
      <c r="AG159" s="209" t="str">
        <f t="shared" si="59"/>
        <v>EC</v>
      </c>
      <c r="AH159" s="78" t="str">
        <f t="shared" si="60"/>
        <v>"%USERPROFILE%\Documents\GitHub\eaglep3\Utilities\RefineRTDCRunTimes.py" --tripid 245-01 --locoid 4008 --swversion DE.1.0.9.0 --startMP 204:442 --initTime 2017-07-02T00:53:50 --startdatetime 2017-07-02T01:00:43 --delay 1 --endMP 204:233289 --enddatetime 2017-07-02T01:36:02 --enforcementcount 0 &gt;&gt;C:\Users\stu\Documents\GitHub\eaglep3-reporting\EC\2017-07-01-refined-times.txt</v>
      </c>
      <c r="AI159" s="96" t="str">
        <f t="shared" si="61"/>
        <v>echo {"issue":{"subject":"","project_id":79,"tracker_id":40,"status_id":1,"priority_id":2,"assigned_to_id":23,"start_date":"2017-07-02","description":"","custom_fields":[{"id":1,"name":"Subdivision","value":"EC"},{"id":4,"name":"Milepost","value":"23.3289"},{"id":17,"name":"Train ID","value":"245-01"},{"id":16,"name":"Locomotive ID","value":"4008"},{"id":130,"name":"Impact","value":""},{"id":150,"name":"Time of Event (Mountain Time)","value":"01:36:02"},{"id":151,"name":"Denver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9" s="20"/>
      <c r="AK159" s="47"/>
      <c r="AL159" s="47"/>
      <c r="AM159" s="142" t="str">
        <f t="shared" si="62"/>
        <v>start /low /b %USERPROFILE%\Documents\GitHub\eaglep3\Utilities\DownloadLogsFromS3.py --loco 4008 --day 2017-07-02</v>
      </c>
      <c r="AN159" s="151" t="str">
        <f t="shared" si="63"/>
        <v>echo {"issue":{"subject":"","project_id":30,"tracker_id":4,"status_id":1,"priority_id":1,"assigned_to_id":10,"start_date":"2017-07-02","description":"","custom_fields":[{"id":30,"name":"Category","value":"Issue"},{"id":3,"name":"Functional Component","value":"Onboard"},{"id":31,"name":"Version","value":"N/A"},{"id":8,"name":"Reporting RR","value":"WABTEC"},{"id":27,"name":"Locomotive ID","value":"4008"},{"id":20,"name":"RR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UTC","value":"2017-07-02 07:36:02"},{"id":29,"name":"Sharepoint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9"/>
    </row>
    <row r="160" spans="1:91" x14ac:dyDescent="0.25">
      <c r="A160" s="32" t="s">
        <v>673</v>
      </c>
      <c r="B160" s="7">
        <v>4007</v>
      </c>
      <c r="C160" s="21" t="s">
        <v>202</v>
      </c>
      <c r="D160" s="21" t="s">
        <v>489</v>
      </c>
      <c r="E160" s="13">
        <v>42918.074583333335</v>
      </c>
      <c r="F160" s="13">
        <v>42918.081412037034</v>
      </c>
      <c r="G160" s="7">
        <v>1</v>
      </c>
      <c r="H160" s="21" t="s">
        <v>619</v>
      </c>
      <c r="I160" s="13">
        <v>42918.109768518516</v>
      </c>
      <c r="J160" s="7">
        <v>0</v>
      </c>
      <c r="K160" s="89" t="str">
        <f t="shared" si="48"/>
        <v>4007/4008</v>
      </c>
      <c r="L160" s="21" t="str">
        <f>VLOOKUP(A160,'Trips&amp;Operators'!$C$1:$G$99999,5,FALSE)</f>
        <v>LAMAR NEKESHA</v>
      </c>
      <c r="M160" s="6">
        <f t="shared" si="49"/>
        <v>2.8356481481750961E-2</v>
      </c>
      <c r="N160" s="7">
        <f t="shared" si="64"/>
        <v>40.833333333721384</v>
      </c>
      <c r="O160" s="7"/>
      <c r="P160" s="7"/>
      <c r="Q160" s="22"/>
      <c r="R160" s="170"/>
      <c r="S160" s="213">
        <f t="shared" si="47"/>
        <v>1</v>
      </c>
      <c r="T160" s="195" t="str">
        <f t="shared" si="50"/>
        <v>Southbound</v>
      </c>
      <c r="U160" s="195">
        <f>IF(AG160="EC",COUNTIFS(Variables!$M$2:$M$19,IF(T160="NorthBound","&gt;=","&lt;=")&amp;Y160,Variables!$M$2:$M$19,IF(T160="NorthBound","&lt;=","&gt;=")&amp;Z160),COUNTIFS(Variables!$P$2:$P$19,IF(T160="NorthBound","&gt;=","&lt;=")&amp;Y160,Variables!$P$2:$P$19,IF(T160="NorthBound","&lt;=","&gt;=")&amp;Z160))</f>
        <v>12</v>
      </c>
      <c r="V160" s="196" t="str">
        <f t="shared" si="51"/>
        <v>https://d0f6bd738d7f1b3e5a7ca70fe4ff75f0.us-east-1.aws.found.io/app/kibana#/discover/Steve-Slow-Train-Analysis-(2080s-and-2083s)?_g=(refreshInterval:(display:Off,pause:!f,section:0,value:0),time:(from:'2017-07-02T00:47:24-0600',mode:absolute,to:'2017-07-02T03:38:04-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160" s="197" t="str">
        <f>IF(AA160&lt;VLOOKUP(AG160,Variables!$AC$3:$AD$8,2,FALSE),"Y","N")</f>
        <v>N</v>
      </c>
      <c r="X160" s="197">
        <f t="shared" si="65"/>
        <v>1</v>
      </c>
      <c r="Y160" s="197">
        <f t="shared" si="53"/>
        <v>23.2973</v>
      </c>
      <c r="Z160" s="197">
        <f t="shared" si="54"/>
        <v>1.6500000000000001E-2</v>
      </c>
      <c r="AA160" s="197">
        <f t="shared" si="55"/>
        <v>23.280799999999999</v>
      </c>
      <c r="AB160" s="54" t="e">
        <f>VLOOKUP(A160,Enforcements!$C$7:$K$13,8,0)</f>
        <v>#N/A</v>
      </c>
      <c r="AC160" s="51" t="e">
        <f>VLOOKUP(A160,Enforcements!$C$7:$E$13,3,0)</f>
        <v>#N/A</v>
      </c>
      <c r="AD160" s="206">
        <f t="shared" si="56"/>
        <v>246</v>
      </c>
      <c r="AE160" s="77" t="str">
        <f t="shared" si="57"/>
        <v>aws s3 cp s3://rtdc.mdm.uploadarchive.raw/RTDC4007/ "%USERPROFILE%\AppData\Local\Temp\OnboardLogs"\RTDC4007\2017-07-02 --exclude "*" --recursive --include "*20170702*" &amp; "%USERPROFILE%\Documents\GitHub\mrs-test-scripts\Headless Mode &amp; Sideloading\WalkAndUnGZ.bat" "%USERPROFILE%\AppData\Local\Temp\OnboardLogs"\RTDC4007\2017-07-02 &amp; aws s3 cp s3://rtdc.mdm.uploadarchive.raw/RTDC4007/ "%USERPROFILE%\AppData\Local\Temp\OnboardLogs"\RTDC4007\2017-07-03 --exclude "*" --recursive --include "*20170703*" &amp; "%USERPROFILE%\Documents\GitHub\mrs-test-scripts\Headless Mode &amp; Sideloading\WalkAndUnGZ.bat" "%USERPROFILE%\AppData\Local\Temp\OnboardLogs"\RTDC4007\2017-07-03</v>
      </c>
      <c r="AF160" s="74" t="str">
        <f t="shared" si="58"/>
        <v>"C:\Program Files (x86)\AstroGrep\AstroGrep.exe" /e /r /s /spath="%USERPROFILE%\AppData\Local\Temp\OnboardLogs" /stypes="app*4007*20170702*" /stext=" 08:.+((SYSTEM_STATE.+slice.+state.+changed )|(ment ac)|(multiple cpu faults)|(system.+state.+changed )|(\[timeout)|(PRM\|1\|D)|(kpr)|(kdp)|(train st.+moving)|(\|lc)|(penalty))"</v>
      </c>
      <c r="AG160" s="209" t="str">
        <f t="shared" si="59"/>
        <v>EC</v>
      </c>
      <c r="AH160" s="78" t="str">
        <f t="shared" si="60"/>
        <v>"%USERPROFILE%\Documents\GitHub\eaglep3\Utilities\RefineRTDCRunTimes.py" --tripid 246-01 --locoid 4007 --swversion DE.1.0.9.0 --startMP 204:232973 --initTime 2017-07-02T01:47:24 --startdatetime 2017-07-02T01:57:14 --delay 1 --endMP 204:165 --enddatetime 2017-07-02T02:38:04 --enforcementcount 0 &gt;&gt;C:\Users\stu\Documents\GitHub\eaglep3-reporting\EC\2017-07-01-refined-times.txt</v>
      </c>
      <c r="AI160" s="96" t="str">
        <f t="shared" si="61"/>
        <v>echo {"issue":{"subject":"","project_id":79,"tracker_id":40,"status_id":1,"priority_id":2,"assigned_to_id":23,"start_date":"2017-07-02","description":"","custom_fields":[{"id":1,"name":"Subdivision","value":"EC"},{"id":4,"name":"Milepost","value":"0.0165"},{"id":17,"name":"Train ID","value":"246-01"},{"id":16,"name":"Locomotive ID","value":"4007"},{"id":130,"name":"Impact","value":""},{"id":150,"name":"Time of Event (Mountain Time)","value":"02:38:04"},{"id":151,"name":"Denver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0" s="20"/>
      <c r="AK160" s="47"/>
      <c r="AL160" s="47"/>
      <c r="AM160" s="142" t="str">
        <f t="shared" si="62"/>
        <v>start /low /b %USERPROFILE%\Documents\GitHub\eaglep3\Utilities\DownloadLogsFromS3.py --loco 4007 --day 2017-07-02</v>
      </c>
      <c r="AN160" s="151" t="str">
        <f t="shared" si="63"/>
        <v>echo {"issue":{"subject":"","project_id":30,"tracker_id":4,"status_id":1,"priority_id":1,"assigned_to_id":10,"start_date":"2017-07-02","description":"","custom_fields":[{"id":30,"name":"Category","value":"Issue"},{"id":3,"name":"Functional Component","value":"Onboard"},{"id":31,"name":"Version","value":"N/A"},{"id":8,"name":"Reporting RR","value":"WABTEC"},{"id":27,"name":"Locomotive ID","value":"4007"},{"id":20,"name":"RR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UTC","value":"2017-07-02 08:38:04"},{"id":29,"name":"Sharepoint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0"/>
    </row>
    <row r="161" spans="1:91" x14ac:dyDescent="0.25">
      <c r="A161" s="32" t="s">
        <v>719</v>
      </c>
      <c r="B161" s="7">
        <v>4005</v>
      </c>
      <c r="C161" s="21" t="s">
        <v>202</v>
      </c>
      <c r="D161" s="21" t="s">
        <v>480</v>
      </c>
      <c r="E161" s="13">
        <v>42917.235393518517</v>
      </c>
      <c r="F161" s="13">
        <v>42917.236770833333</v>
      </c>
      <c r="G161" s="7">
        <v>1</v>
      </c>
      <c r="H161" s="21" t="s">
        <v>557</v>
      </c>
      <c r="I161" s="13">
        <v>42917.246122685188</v>
      </c>
      <c r="J161" s="7">
        <v>0</v>
      </c>
      <c r="K161" s="89" t="str">
        <f t="shared" si="48"/>
        <v>4005/4006</v>
      </c>
      <c r="L161" s="21" t="str">
        <f>VLOOKUP(A161,'Trips&amp;Operators'!$C$1:$G$99999,5,FALSE)</f>
        <v>ROCHA YAOTL</v>
      </c>
      <c r="M161" s="6">
        <f t="shared" si="49"/>
        <v>9.3518518551718444E-3</v>
      </c>
      <c r="N161" s="7">
        <f t="shared" si="64"/>
        <v>13.466666671447456</v>
      </c>
      <c r="O161" s="7"/>
      <c r="P161" s="7"/>
      <c r="Q161" s="22"/>
      <c r="R161" s="170"/>
      <c r="S161" s="213">
        <f t="shared" si="47"/>
        <v>1</v>
      </c>
      <c r="T161" s="195" t="str">
        <f t="shared" si="50"/>
        <v>Southbound</v>
      </c>
      <c r="U161" s="195">
        <f>IF(AG161="EC",COUNTIFS(Variables!$M$2:$M$19,IF(T161="NorthBound","&gt;=","&lt;=")&amp;Y161,Variables!$M$2:$M$19,IF(T161="NorthBound","&lt;=","&gt;=")&amp;Z161),COUNTIFS(Variables!$P$2:$P$19,IF(T161="NorthBound","&gt;=","&lt;=")&amp;Y161,Variables!$P$2:$P$19,IF(T161="NorthBound","&lt;=","&gt;=")&amp;Z161))</f>
        <v>1</v>
      </c>
      <c r="V161" s="196" t="str">
        <f t="shared" si="51"/>
        <v>https://d0f6bd738d7f1b3e5a7ca70fe4ff75f0.us-east-1.aws.found.io/app/kibana#/discover/Steve-Slow-Train-Analysis-(2080s-and-2083s)?_g=(refreshInterval:(display:Off,pause:!f,section:0,value:0),time:(from:'2017-07-01T04:38:58-0600',mode:absolute,to:'2017-07-01T06:54:25-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W161" s="197" t="str">
        <f>IF(AA161&lt;VLOOKUP(AG161,Variables!$AC$3:$AD$8,2,FALSE),"Y","N")</f>
        <v>N</v>
      </c>
      <c r="X161" s="197">
        <f t="shared" si="65"/>
        <v>1554</v>
      </c>
      <c r="Y161" s="197">
        <f t="shared" si="53"/>
        <v>5.8634000000000004</v>
      </c>
      <c r="Z161" s="197">
        <f t="shared" si="54"/>
        <v>6.7799999999999999E-2</v>
      </c>
      <c r="AA161" s="197">
        <f t="shared" si="55"/>
        <v>5.7956000000000003</v>
      </c>
      <c r="AB161" s="54" t="e">
        <f>VLOOKUP(A161,Enforcements!$C$7:$K$13,8,0)</f>
        <v>#N/A</v>
      </c>
      <c r="AC161" s="51" t="e">
        <f>VLOOKUP(A161,Enforcements!$C$7:$E$13,3,0)</f>
        <v>#N/A</v>
      </c>
      <c r="AD161" s="206">
        <f t="shared" si="56"/>
        <v>1800</v>
      </c>
      <c r="AE161" s="77" t="str">
        <f t="shared" si="57"/>
        <v>aws s3 cp s3://rtdc.mdm.uploadarchive.raw/RTDC4005/ "%USERPROFILE%\AppData\Local\Temp\OnboardLogs"\RTDC4005\2017-07-01 --exclude "*" --recursive --include "*20170701*" &amp; "%USERPROFILE%\Documents\GitHub\mrs-test-scripts\Headless Mode &amp; Sideloading\WalkAndUnGZ.bat" "%USERPROFILE%\AppData\Local\Temp\OnboardLogs"\RTDC4005\2017-07-01 &amp; aws s3 cp s3://rtdc.mdm.uploadarchive.raw/RTDC4005/ "%USERPROFILE%\AppData\Local\Temp\OnboardLogs"\RTDC4005\2017-07-02 --exclude "*" --recursive --include "*20170702*" &amp; "%USERPROFILE%\Documents\GitHub\mrs-test-scripts\Headless Mode &amp; Sideloading\WalkAndUnGZ.bat" "%USERPROFILE%\AppData\Local\Temp\OnboardLogs"\RTDC4005\2017-07-02</v>
      </c>
      <c r="AF161" s="74" t="str">
        <f t="shared" si="58"/>
        <v>"C:\Program Files (x86)\AstroGrep\AstroGrep.exe" /e /r /s /spath="%USERPROFILE%\AppData\Local\Temp\OnboardLogs" /stypes="app*4005*20170701*" /stext=" 11:.+((SYSTEM_STATE.+slice.+state.+changed )|(ment ac)|(multiple cpu faults)|(system.+state.+changed )|(\[timeout)|(PRM\|1\|D)|(kpr)|(kdp)|(train st.+moving)|(\|lc)|(penalty))"</v>
      </c>
      <c r="AG161" s="209" t="str">
        <f t="shared" si="59"/>
        <v>NW</v>
      </c>
      <c r="AH161" s="78" t="str">
        <f t="shared" si="60"/>
        <v>"%USERPROFILE%\Documents\GitHub\eaglep3\Utilities\RefineRTDCRunTimes.py" --tripid 1800-01 --locoid 4005 --swversion DE.1.0.9.0 --startMP 300:58634 --initTime 2017-07-01T05:38:58 --startdatetime 2017-07-01T05:40:57 --delay 1 --endMP 204:678 --enddatetime 2017-07-01T05:54:25 --enforcementcount 0 &gt;&gt;C:\Users\stu\Documents\GitHub\eaglep3-reporting\EC\2017-07-01-refined-times.txt</v>
      </c>
      <c r="AI161" s="96" t="str">
        <f t="shared" si="61"/>
        <v>echo {"issue":{"subject":"","project_id":79,"tracker_id":40,"status_id":1,"priority_id":2,"assigned_to_id":23,"start_date":"2017-07-01","description":"","custom_fields":[{"id":1,"name":"Subdivision","value":"NW"},{"id":4,"name":"Milepost","value":"0.0678"},{"id":17,"name":"Train ID","value":"1800-01"},{"id":16,"name":"Locomotive ID","value":"4005"},{"id":130,"name":"Impact","value":""},{"id":150,"name":"Time of Event (Mountain Time)","value":"05:54:25"},{"id":151,"name":"Denver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1" s="20"/>
      <c r="AK161" s="47"/>
      <c r="AL161" s="47"/>
      <c r="AM161" s="142" t="str">
        <f t="shared" si="62"/>
        <v>start /low /b %USERPROFILE%\Documents\GitHub\eaglep3\Utilities\DownloadLogsFromS3.py --loco 4005 --day 2017-07-01</v>
      </c>
      <c r="AN161" s="151" t="str">
        <f t="shared" si="63"/>
        <v>echo {"issue":{"subject":"","project_id":30,"tracker_id":4,"status_id":1,"priority_id":1,"assigned_to_id":10,"start_date":"2017-07-01","description":"","custom_fields":[{"id":30,"name":"Category","value":"Issue"},{"id":3,"name":"Functional Component","value":"Onboard"},{"id":31,"name":"Version","value":"N/A"},{"id":8,"name":"Reporting RR","value":"WABTEC"},{"id":27,"name":"Locomotive ID","value":"4005"},{"id":20,"name":"RR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UTC","value":"2017-07-01 11:54:25"},{"id":29,"name":"Sharepoint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1"/>
    </row>
    <row r="162" spans="1:91" x14ac:dyDescent="0.25">
      <c r="A162" s="32" t="s">
        <v>640</v>
      </c>
      <c r="B162" s="7">
        <v>4006</v>
      </c>
      <c r="C162" s="21" t="s">
        <v>202</v>
      </c>
      <c r="D162" s="21" t="s">
        <v>927</v>
      </c>
      <c r="E162" s="13">
        <v>42917.261435185188</v>
      </c>
      <c r="F162" s="13">
        <v>42917.264907407407</v>
      </c>
      <c r="G162" s="7">
        <v>1</v>
      </c>
      <c r="H162" s="21" t="s">
        <v>928</v>
      </c>
      <c r="I162" s="13">
        <v>42917.274421296293</v>
      </c>
      <c r="J162" s="7">
        <v>0</v>
      </c>
      <c r="K162" s="89" t="str">
        <f t="shared" si="48"/>
        <v>4005/4006</v>
      </c>
      <c r="L162" s="21" t="str">
        <f>VLOOKUP(A162,'Trips&amp;Operators'!$C$1:$G$99999,5,FALSE)</f>
        <v>ROCHA YAOTL</v>
      </c>
      <c r="M162" s="6">
        <f t="shared" si="49"/>
        <v>9.5138888864312321E-3</v>
      </c>
      <c r="N162" s="7">
        <f t="shared" si="64"/>
        <v>13.699999996460974</v>
      </c>
      <c r="O162" s="7"/>
      <c r="P162" s="7"/>
      <c r="Q162" s="22"/>
      <c r="R162" s="170"/>
      <c r="S162" s="213">
        <f t="shared" si="47"/>
        <v>1</v>
      </c>
      <c r="T162" s="195" t="str">
        <f t="shared" si="50"/>
        <v>NorthBound</v>
      </c>
      <c r="U162" s="195">
        <f>IF(AG162="EC",COUNTIFS(Variables!$M$2:$M$19,IF(T162="NorthBound","&gt;=","&lt;=")&amp;Y162,Variables!$M$2:$M$19,IF(T162="NorthBound","&lt;=","&gt;=")&amp;Z162),COUNTIFS(Variables!$P$2:$P$19,IF(T162="NorthBound","&gt;=","&lt;=")&amp;Y162,Variables!$P$2:$P$19,IF(T162="NorthBound","&lt;=","&gt;=")&amp;Z162))</f>
        <v>1</v>
      </c>
      <c r="V162" s="196" t="str">
        <f t="shared" si="51"/>
        <v>https://d0f6bd738d7f1b3e5a7ca70fe4ff75f0.us-east-1.aws.found.io/app/kibana#/discover/Steve-Slow-Train-Analysis-(2080s-and-2083s)?_g=(refreshInterval:(display:Off,pause:!f,section:0,value:0),time:(from:'2017-07-01T05:16:28-0600',mode:absolute,to:'2017-07-01T07:35:10-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W162" s="197" t="str">
        <f>IF(AA162&lt;VLOOKUP(AG162,Variables!$AC$3:$AD$8,2,FALSE),"Y","N")</f>
        <v>N</v>
      </c>
      <c r="X162" s="197">
        <f t="shared" si="65"/>
        <v>1</v>
      </c>
      <c r="Y162" s="197">
        <f t="shared" si="53"/>
        <v>9.5000000000000001E-2</v>
      </c>
      <c r="Z162" s="197">
        <f t="shared" si="54"/>
        <v>5.8075000000000001</v>
      </c>
      <c r="AA162" s="197">
        <f t="shared" si="55"/>
        <v>5.7125000000000004</v>
      </c>
      <c r="AB162" s="54" t="e">
        <f>VLOOKUP(A162,Enforcements!$C$7:$K$13,8,0)</f>
        <v>#N/A</v>
      </c>
      <c r="AC162" s="51" t="e">
        <f>VLOOKUP(A162,Enforcements!$C$7:$E$13,3,0)</f>
        <v>#N/A</v>
      </c>
      <c r="AD162" s="206">
        <f t="shared" si="56"/>
        <v>1801</v>
      </c>
      <c r="AE162" s="77" t="str">
        <f t="shared" si="57"/>
        <v>aws s3 cp s3://rtdc.mdm.uploadarchive.raw/RTDC4006/ "%USERPROFILE%\AppData\Local\Temp\OnboardLogs"\RTDC4006\2017-07-01 --exclude "*" --recursive --include "*20170701*" &amp; "%USERPROFILE%\Documents\GitHub\mrs-test-scripts\Headless Mode &amp; Sideloading\WalkAndUnGZ.bat" "%USERPROFILE%\AppData\Local\Temp\OnboardLogs"\RTDC4006\2017-07-01 &amp; aws s3 cp s3://rtdc.mdm.uploadarchive.raw/RTDC4006/ "%USERPROFILE%\AppData\Local\Temp\OnboardLogs"\RTDC4006\2017-07-02 --exclude "*" --recursive --include "*20170702*" &amp; "%USERPROFILE%\Documents\GitHub\mrs-test-scripts\Headless Mode &amp; Sideloading\WalkAndUnGZ.bat" "%USERPROFILE%\AppData\Local\Temp\OnboardLogs"\RTDC4006\2017-07-02</v>
      </c>
      <c r="AF162" s="74" t="str">
        <f t="shared" si="58"/>
        <v>"C:\Program Files (x86)\AstroGrep\AstroGrep.exe" /e /r /s /spath="%USERPROFILE%\AppData\Local\Temp\OnboardLogs" /stypes="app*4006*20170701*" /stext=" 12:.+((SYSTEM_STATE.+slice.+state.+changed )|(ment ac)|(multiple cpu faults)|(system.+state.+changed )|(\[timeout)|(PRM\|1\|D)|(kpr)|(kdp)|(train st.+moving)|(\|lc)|(penalty))"</v>
      </c>
      <c r="AG162" s="209" t="str">
        <f t="shared" si="59"/>
        <v>NW</v>
      </c>
      <c r="AH162" s="78" t="str">
        <f t="shared" si="60"/>
        <v>"%USERPROFILE%\Documents\GitHub\eaglep3\Utilities\RefineRTDCRunTimes.py" --tripid 1801-01 --locoid 4006 --swversion DE.1.0.9.0 --startMP 204:950 --initTime 2017-07-01T06:16:28 --startdatetime 2017-07-01T06:21:28 --delay 1 --endMP 300:58075 --enddatetime 2017-07-01T06:35:10 --enforcementcount 0 &gt;&gt;C:\Users\stu\Documents\GitHub\eaglep3-reporting\EC\2017-07-01-refined-times.txt</v>
      </c>
      <c r="AI162" s="96" t="str">
        <f t="shared" si="61"/>
        <v>echo {"issue":{"subject":"","project_id":79,"tracker_id":40,"status_id":1,"priority_id":2,"assigned_to_id":23,"start_date":"2017-07-01","description":"","custom_fields":[{"id":1,"name":"Subdivision","value":"NW"},{"id":4,"name":"Milepost","value":"5.8075"},{"id":17,"name":"Train ID","value":"1801-01"},{"id":16,"name":"Locomotive ID","value":"4006"},{"id":130,"name":"Impact","value":""},{"id":150,"name":"Time of Event (Mountain Time)","value":"06:35:10"},{"id":151,"name":"Denver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2" s="20"/>
      <c r="AK162" s="47"/>
      <c r="AL162" s="47"/>
      <c r="AM162" s="142" t="str">
        <f t="shared" si="62"/>
        <v>start /low /b %USERPROFILE%\Documents\GitHub\eaglep3\Utilities\DownloadLogsFromS3.py --loco 4006 --day 2017-07-01</v>
      </c>
      <c r="AN162" s="151" t="str">
        <f t="shared" si="63"/>
        <v>echo {"issue":{"subject":"","project_id":30,"tracker_id":4,"status_id":1,"priority_id":1,"assigned_to_id":10,"start_date":"2017-07-01","description":"","custom_fields":[{"id":30,"name":"Category","value":"Issue"},{"id":3,"name":"Functional Component","value":"Onboard"},{"id":31,"name":"Version","value":"N/A"},{"id":8,"name":"Reporting RR","value":"WABTEC"},{"id":27,"name":"Locomotive ID","value":"4006"},{"id":20,"name":"RR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UTC","value":"2017-07-01 12:35:10"},{"id":29,"name":"Sharepoint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2"/>
    </row>
    <row r="163" spans="1:91" s="20" customFormat="1" x14ac:dyDescent="0.25">
      <c r="A163" s="32" t="s">
        <v>726</v>
      </c>
      <c r="B163" s="7">
        <v>4005</v>
      </c>
      <c r="C163" s="21" t="s">
        <v>202</v>
      </c>
      <c r="D163" s="21" t="s">
        <v>624</v>
      </c>
      <c r="E163" s="13">
        <v>42917.27547453704</v>
      </c>
      <c r="F163" s="13">
        <v>42917.276886574073</v>
      </c>
      <c r="G163" s="7">
        <v>1</v>
      </c>
      <c r="H163" s="21" t="s">
        <v>929</v>
      </c>
      <c r="I163" s="13">
        <v>42917.287754629629</v>
      </c>
      <c r="J163" s="7">
        <v>0</v>
      </c>
      <c r="K163" s="89" t="str">
        <f t="shared" si="48"/>
        <v>4005/4006</v>
      </c>
      <c r="L163" s="21" t="str">
        <f>VLOOKUP(A163,'Trips&amp;Operators'!$C$1:$G$99999,5,FALSE)</f>
        <v>ROCHA YAOTL</v>
      </c>
      <c r="M163" s="6">
        <f t="shared" si="49"/>
        <v>1.0868055556784384E-2</v>
      </c>
      <c r="N163" s="7">
        <f t="shared" si="64"/>
        <v>15.650000001769513</v>
      </c>
      <c r="O163" s="7"/>
      <c r="P163" s="7"/>
      <c r="Q163" s="22"/>
      <c r="R163" s="170"/>
      <c r="S163" s="213">
        <f t="shared" si="47"/>
        <v>1</v>
      </c>
      <c r="T163" s="195" t="str">
        <f t="shared" si="50"/>
        <v>Southbound</v>
      </c>
      <c r="U163" s="195">
        <f>IF(AG163="EC",COUNTIFS(Variables!$M$2:$M$19,IF(T163="NorthBound","&gt;=","&lt;=")&amp;Y163,Variables!$M$2:$M$19,IF(T163="NorthBound","&lt;=","&gt;=")&amp;Z163),COUNTIFS(Variables!$P$2:$P$19,IF(T163="NorthBound","&gt;=","&lt;=")&amp;Y163,Variables!$P$2:$P$19,IF(T163="NorthBound","&lt;=","&gt;=")&amp;Z163))</f>
        <v>1</v>
      </c>
      <c r="V163" s="196" t="str">
        <f t="shared" si="51"/>
        <v>https://d0f6bd738d7f1b3e5a7ca70fe4ff75f0.us-east-1.aws.found.io/app/kibana#/discover/Steve-Slow-Train-Analysis-(2080s-and-2083s)?_g=(refreshInterval:(display:Off,pause:!f,section:0,value:0),time:(from:'2017-07-01T05:36:41-0600',mode:absolute,to:'2017-07-01T07:54:22-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W163" s="197" t="str">
        <f>IF(AA163&lt;VLOOKUP(AG163,Variables!$AC$3:$AD$8,2,FALSE),"Y","N")</f>
        <v>N</v>
      </c>
      <c r="X163" s="197">
        <f t="shared" si="65"/>
        <v>1</v>
      </c>
      <c r="Y163" s="197">
        <f t="shared" si="53"/>
        <v>5.8651</v>
      </c>
      <c r="Z163" s="197">
        <f t="shared" si="54"/>
        <v>6.3100000000000003E-2</v>
      </c>
      <c r="AA163" s="197">
        <f t="shared" si="55"/>
        <v>5.8019999999999996</v>
      </c>
      <c r="AB163" s="54" t="e">
        <f>VLOOKUP(A163,Enforcements!$C$7:$K$13,8,0)</f>
        <v>#N/A</v>
      </c>
      <c r="AC163" s="51" t="e">
        <f>VLOOKUP(A163,Enforcements!$C$7:$E$13,3,0)</f>
        <v>#N/A</v>
      </c>
      <c r="AD163" s="206">
        <f t="shared" si="56"/>
        <v>1802</v>
      </c>
      <c r="AE163" s="77" t="str">
        <f t="shared" si="57"/>
        <v>aws s3 cp s3://rtdc.mdm.uploadarchive.raw/RTDC4005/ "%USERPROFILE%\AppData\Local\Temp\OnboardLogs"\RTDC4005\2017-07-01 --exclude "*" --recursive --include "*20170701*" &amp; "%USERPROFILE%\Documents\GitHub\mrs-test-scripts\Headless Mode &amp; Sideloading\WalkAndUnGZ.bat" "%USERPROFILE%\AppData\Local\Temp\OnboardLogs"\RTDC4005\2017-07-01 &amp; aws s3 cp s3://rtdc.mdm.uploadarchive.raw/RTDC4005/ "%USERPROFILE%\AppData\Local\Temp\OnboardLogs"\RTDC4005\2017-07-02 --exclude "*" --recursive --include "*20170702*" &amp; "%USERPROFILE%\Documents\GitHub\mrs-test-scripts\Headless Mode &amp; Sideloading\WalkAndUnGZ.bat" "%USERPROFILE%\AppData\Local\Temp\OnboardLogs"\RTDC4005\2017-07-02</v>
      </c>
      <c r="AF163" s="74" t="str">
        <f t="shared" si="58"/>
        <v>"C:\Program Files (x86)\AstroGrep\AstroGrep.exe" /e /r /s /spath="%USERPROFILE%\AppData\Local\Temp\OnboardLogs" /stypes="app*4005*20170701*" /stext=" 12:.+((SYSTEM_STATE.+slice.+state.+changed )|(ment ac)|(multiple cpu faults)|(system.+state.+changed )|(\[timeout)|(PRM\|1\|D)|(kpr)|(kdp)|(train st.+moving)|(\|lc)|(penalty))"</v>
      </c>
      <c r="AG163" s="209" t="str">
        <f t="shared" si="59"/>
        <v>NW</v>
      </c>
      <c r="AH163" s="78" t="str">
        <f t="shared" si="60"/>
        <v>"%USERPROFILE%\Documents\GitHub\eaglep3\Utilities\RefineRTDCRunTimes.py" --tripid 1802-01 --locoid 4005 --swversion DE.1.0.9.0 --startMP 300:58651 --initTime 2017-07-01T06:36:41 --startdatetime 2017-07-01T06:38:43 --delay 1 --endMP 204:631 --enddatetime 2017-07-01T06:54:22 --enforcementcount 0 &gt;&gt;C:\Users\stu\Documents\GitHub\eaglep3-reporting\EC\2017-07-01-refined-times.txt</v>
      </c>
      <c r="AI163" s="96" t="str">
        <f t="shared" si="61"/>
        <v>echo {"issue":{"subject":"","project_id":79,"tracker_id":40,"status_id":1,"priority_id":2,"assigned_to_id":23,"start_date":"2017-07-01","description":"","custom_fields":[{"id":1,"name":"Subdivision","value":"NW"},{"id":4,"name":"Milepost","value":"0.0631"},{"id":17,"name":"Train ID","value":"1802-01"},{"id":16,"name":"Locomotive ID","value":"4005"},{"id":130,"name":"Impact","value":""},{"id":150,"name":"Time of Event (Mountain Time)","value":"06:54:22"},{"id":151,"name":"Denver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63" s="47"/>
      <c r="AL163" s="47"/>
      <c r="AM163" s="142" t="str">
        <f t="shared" si="62"/>
        <v>start /low /b %USERPROFILE%\Documents\GitHub\eaglep3\Utilities\DownloadLogsFromS3.py --loco 4005 --day 2017-07-01</v>
      </c>
      <c r="AN163" s="151" t="str">
        <f t="shared" si="63"/>
        <v>echo {"issue":{"subject":"","project_id":30,"tracker_id":4,"status_id":1,"priority_id":1,"assigned_to_id":10,"start_date":"2017-07-01","description":"","custom_fields":[{"id":30,"name":"Category","value":"Issue"},{"id":3,"name":"Functional Component","value":"Onboard"},{"id":31,"name":"Version","value":"N/A"},{"id":8,"name":"Reporting RR","value":"WABTEC"},{"id":27,"name":"Locomotive ID","value":"4005"},{"id":20,"name":"RR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UTC","value":"2017-07-01 12:54:22"},{"id":29,"name":"Sharepoint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3"/>
      <c r="AP163"/>
      <c r="AQ163"/>
      <c r="AR163"/>
      <c r="AS163"/>
      <c r="AT163"/>
      <c r="AU163"/>
      <c r="AV163"/>
      <c r="AW163"/>
      <c r="AX163"/>
      <c r="AY163"/>
      <c r="AZ163"/>
      <c r="BA163"/>
      <c r="BB163"/>
      <c r="BC163"/>
      <c r="BD163"/>
      <c r="BE163"/>
      <c r="BF163"/>
      <c r="BG163"/>
      <c r="BH163"/>
      <c r="BI163"/>
      <c r="BJ163"/>
      <c r="BK163"/>
      <c r="BL163"/>
      <c r="BM163"/>
      <c r="BN163"/>
      <c r="BO163"/>
      <c r="BP163"/>
      <c r="BQ163"/>
      <c r="BR163"/>
      <c r="BS163"/>
      <c r="BT163"/>
      <c r="BU163"/>
      <c r="BV163"/>
      <c r="BW163"/>
      <c r="BX163"/>
      <c r="BY163"/>
      <c r="BZ163"/>
      <c r="CA163"/>
      <c r="CB163"/>
      <c r="CC163"/>
      <c r="CD163"/>
      <c r="CE163"/>
      <c r="CF163"/>
      <c r="CG163"/>
      <c r="CH163"/>
      <c r="CI163"/>
      <c r="CJ163"/>
      <c r="CK163"/>
      <c r="CL163"/>
      <c r="CM163"/>
    </row>
    <row r="164" spans="1:91" x14ac:dyDescent="0.25">
      <c r="A164" s="32" t="s">
        <v>733</v>
      </c>
      <c r="B164" s="7">
        <v>4006</v>
      </c>
      <c r="C164" s="21" t="s">
        <v>202</v>
      </c>
      <c r="D164" s="21" t="s">
        <v>930</v>
      </c>
      <c r="E164" s="13">
        <v>42917.305115740739</v>
      </c>
      <c r="F164" s="13">
        <v>42917.306562500002</v>
      </c>
      <c r="G164" s="7">
        <v>1</v>
      </c>
      <c r="H164" s="21" t="s">
        <v>517</v>
      </c>
      <c r="I164" s="13">
        <v>42917.31591435185</v>
      </c>
      <c r="J164" s="7">
        <v>0</v>
      </c>
      <c r="K164" s="89" t="str">
        <f t="shared" si="48"/>
        <v>4005/4006</v>
      </c>
      <c r="L164" s="21" t="str">
        <f>VLOOKUP(A164,'Trips&amp;Operators'!$C$1:$G$99999,5,FALSE)</f>
        <v>ROCHA YAOTL</v>
      </c>
      <c r="M164" s="6">
        <f t="shared" si="49"/>
        <v>9.3518518478958867E-3</v>
      </c>
      <c r="N164" s="7">
        <f t="shared" si="64"/>
        <v>13.466666660970077</v>
      </c>
      <c r="O164" s="7"/>
      <c r="P164" s="7"/>
      <c r="Q164" s="22"/>
      <c r="R164" s="170"/>
      <c r="S164" s="213">
        <f t="shared" si="47"/>
        <v>1</v>
      </c>
      <c r="T164" s="195" t="str">
        <f t="shared" si="50"/>
        <v>NorthBound</v>
      </c>
      <c r="U164" s="195">
        <f>IF(AG164="EC",COUNTIFS(Variables!$M$2:$M$19,IF(T164="NorthBound","&gt;=","&lt;=")&amp;Y164,Variables!$M$2:$M$19,IF(T164="NorthBound","&lt;=","&gt;=")&amp;Z164),COUNTIFS(Variables!$P$2:$P$19,IF(T164="NorthBound","&gt;=","&lt;=")&amp;Y164,Variables!$P$2:$P$19,IF(T164="NorthBound","&lt;=","&gt;=")&amp;Z164))</f>
        <v>1</v>
      </c>
      <c r="V164" s="196" t="str">
        <f t="shared" si="51"/>
        <v>https://d0f6bd738d7f1b3e5a7ca70fe4ff75f0.us-east-1.aws.found.io/app/kibana#/discover/Steve-Slow-Train-Analysis-(2080s-and-2083s)?_g=(refreshInterval:(display:Off,pause:!f,section:0,value:0),time:(from:'2017-07-01T06:19:22-0600',mode:absolute,to:'2017-07-01T08:34:55-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W164" s="197" t="str">
        <f>IF(AA164&lt;VLOOKUP(AG164,Variables!$AC$3:$AD$8,2,FALSE),"Y","N")</f>
        <v>N</v>
      </c>
      <c r="X164" s="197">
        <f t="shared" si="65"/>
        <v>1</v>
      </c>
      <c r="Y164" s="197">
        <f t="shared" si="53"/>
        <v>9.4299999999999995E-2</v>
      </c>
      <c r="Z164" s="197">
        <f t="shared" si="54"/>
        <v>5.8949999999999996</v>
      </c>
      <c r="AA164" s="197">
        <f t="shared" si="55"/>
        <v>5.8007</v>
      </c>
      <c r="AB164" s="54" t="e">
        <f>VLOOKUP(A164,Enforcements!$C$7:$K$13,8,0)</f>
        <v>#N/A</v>
      </c>
      <c r="AC164" s="51" t="e">
        <f>VLOOKUP(A164,Enforcements!$C$7:$E$13,3,0)</f>
        <v>#N/A</v>
      </c>
      <c r="AD164" s="206">
        <f t="shared" si="56"/>
        <v>1803</v>
      </c>
      <c r="AE164" s="77" t="str">
        <f t="shared" si="57"/>
        <v>aws s3 cp s3://rtdc.mdm.uploadarchive.raw/RTDC4006/ "%USERPROFILE%\AppData\Local\Temp\OnboardLogs"\RTDC4006\2017-07-01 --exclude "*" --recursive --include "*20170701*" &amp; "%USERPROFILE%\Documents\GitHub\mrs-test-scripts\Headless Mode &amp; Sideloading\WalkAndUnGZ.bat" "%USERPROFILE%\AppData\Local\Temp\OnboardLogs"\RTDC4006\2017-07-01 &amp; aws s3 cp s3://rtdc.mdm.uploadarchive.raw/RTDC4006/ "%USERPROFILE%\AppData\Local\Temp\OnboardLogs"\RTDC4006\2017-07-02 --exclude "*" --recursive --include "*20170702*" &amp; "%USERPROFILE%\Documents\GitHub\mrs-test-scripts\Headless Mode &amp; Sideloading\WalkAndUnGZ.bat" "%USERPROFILE%\AppData\Local\Temp\OnboardLogs"\RTDC4006\2017-07-02</v>
      </c>
      <c r="AF164" s="74" t="str">
        <f t="shared" si="58"/>
        <v>"C:\Program Files (x86)\AstroGrep\AstroGrep.exe" /e /r /s /spath="%USERPROFILE%\AppData\Local\Temp\OnboardLogs" /stypes="app*4006*20170701*" /stext=" 13:.+((SYSTEM_STATE.+slice.+state.+changed )|(ment ac)|(multiple cpu faults)|(system.+state.+changed )|(\[timeout)|(PRM\|1\|D)|(kpr)|(kdp)|(train st.+moving)|(\|lc)|(penalty))"</v>
      </c>
      <c r="AG164" s="209" t="str">
        <f t="shared" si="59"/>
        <v>NW</v>
      </c>
      <c r="AH164" s="78" t="str">
        <f t="shared" si="60"/>
        <v>"%USERPROFILE%\Documents\GitHub\eaglep3\Utilities\RefineRTDCRunTimes.py" --tripid 1803-01 --locoid 4006 --swversion DE.1.0.9.0 --startMP 204:943 --initTime 2017-07-01T07:19:22 --startdatetime 2017-07-01T07:21:27 --delay 1 --endMP 300:58950 --enddatetime 2017-07-01T07:34:55 --enforcementcount 0 &gt;&gt;C:\Users\stu\Documents\GitHub\eaglep3-reporting\EC\2017-07-01-refined-times.txt</v>
      </c>
      <c r="AI164" s="96" t="str">
        <f t="shared" si="61"/>
        <v>echo {"issue":{"subject":"","project_id":79,"tracker_id":40,"status_id":1,"priority_id":2,"assigned_to_id":23,"start_date":"2017-07-01","description":"","custom_fields":[{"id":1,"name":"Subdivision","value":"NW"},{"id":4,"name":"Milepost","value":"5.895"},{"id":17,"name":"Train ID","value":"1803-01"},{"id":16,"name":"Locomotive ID","value":"4006"},{"id":130,"name":"Impact","value":""},{"id":150,"name":"Time of Event (Mountain Time)","value":"07:34:55"},{"id":151,"name":"Denver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4" s="20"/>
      <c r="AK164" s="47"/>
      <c r="AL164" s="47"/>
      <c r="AM164" s="142" t="str">
        <f t="shared" si="62"/>
        <v>start /low /b %USERPROFILE%\Documents\GitHub\eaglep3\Utilities\DownloadLogsFromS3.py --loco 4006 --day 2017-07-01</v>
      </c>
      <c r="AN164" s="151" t="str">
        <f t="shared" si="63"/>
        <v>echo {"issue":{"subject":"","project_id":30,"tracker_id":4,"status_id":1,"priority_id":1,"assigned_to_id":10,"start_date":"2017-07-01","description":"","custom_fields":[{"id":30,"name":"Category","value":"Issue"},{"id":3,"name":"Functional Component","value":"Onboard"},{"id":31,"name":"Version","value":"N/A"},{"id":8,"name":"Reporting RR","value":"WABTEC"},{"id":27,"name":"Locomotive ID","value":"4006"},{"id":20,"name":"RR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UTC","value":"2017-07-01 13:34:55"},{"id":29,"name":"Sharepoint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4"/>
    </row>
    <row r="165" spans="1:91" s="20" customFormat="1" x14ac:dyDescent="0.25">
      <c r="A165" s="32" t="s">
        <v>736</v>
      </c>
      <c r="B165" s="7">
        <v>4005</v>
      </c>
      <c r="C165" s="21" t="s">
        <v>202</v>
      </c>
      <c r="D165" s="21" t="s">
        <v>622</v>
      </c>
      <c r="E165" s="13">
        <v>42917.317858796298</v>
      </c>
      <c r="F165" s="13">
        <v>42917.319351851853</v>
      </c>
      <c r="G165" s="7">
        <v>1</v>
      </c>
      <c r="H165" s="21" t="s">
        <v>559</v>
      </c>
      <c r="I165" s="13">
        <v>42917.329756944448</v>
      </c>
      <c r="J165" s="7">
        <v>0</v>
      </c>
      <c r="K165" s="89" t="str">
        <f t="shared" si="48"/>
        <v>4005/4006</v>
      </c>
      <c r="L165" s="21" t="str">
        <f>VLOOKUP(A165,'Trips&amp;Operators'!$C$1:$G$99999,5,FALSE)</f>
        <v>ROCHA YAOTL</v>
      </c>
      <c r="M165" s="6">
        <f t="shared" si="49"/>
        <v>1.0405092594737653E-2</v>
      </c>
      <c r="N165" s="7">
        <f t="shared" si="64"/>
        <v>14.98333333642222</v>
      </c>
      <c r="O165" s="7"/>
      <c r="P165" s="7"/>
      <c r="Q165" s="22"/>
      <c r="R165" s="170"/>
      <c r="S165" s="213">
        <f t="shared" si="47"/>
        <v>1</v>
      </c>
      <c r="T165" s="195" t="str">
        <f t="shared" si="50"/>
        <v>Southbound</v>
      </c>
      <c r="U165" s="195">
        <f>IF(AG165="EC",COUNTIFS(Variables!$M$2:$M$19,IF(T165="NorthBound","&gt;=","&lt;=")&amp;Y165,Variables!$M$2:$M$19,IF(T165="NorthBound","&lt;=","&gt;=")&amp;Z165),COUNTIFS(Variables!$P$2:$P$19,IF(T165="NorthBound","&gt;=","&lt;=")&amp;Y165,Variables!$P$2:$P$19,IF(T165="NorthBound","&lt;=","&gt;=")&amp;Z165))</f>
        <v>1</v>
      </c>
      <c r="V165" s="196" t="str">
        <f t="shared" si="51"/>
        <v>https://d0f6bd738d7f1b3e5a7ca70fe4ff75f0.us-east-1.aws.found.io/app/kibana#/discover/Steve-Slow-Train-Analysis-(2080s-and-2083s)?_g=(refreshInterval:(display:Off,pause:!f,section:0,value:0),time:(from:'2017-07-01T06:37:43-0600',mode:absolute,to:'2017-07-01T08:54:51-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W165" s="197" t="str">
        <f>IF(AA165&lt;VLOOKUP(AG165,Variables!$AC$3:$AD$8,2,FALSE),"Y","N")</f>
        <v>N</v>
      </c>
      <c r="X165" s="197">
        <f t="shared" si="65"/>
        <v>1</v>
      </c>
      <c r="Y165" s="197">
        <f t="shared" si="53"/>
        <v>5.8630000000000004</v>
      </c>
      <c r="Z165" s="197">
        <f t="shared" si="54"/>
        <v>6.9099999999999995E-2</v>
      </c>
      <c r="AA165" s="197">
        <f t="shared" si="55"/>
        <v>5.7939000000000007</v>
      </c>
      <c r="AB165" s="54" t="e">
        <f>VLOOKUP(A165,Enforcements!$C$7:$K$13,8,0)</f>
        <v>#N/A</v>
      </c>
      <c r="AC165" s="51" t="e">
        <f>VLOOKUP(A165,Enforcements!$C$7:$E$13,3,0)</f>
        <v>#N/A</v>
      </c>
      <c r="AD165" s="206">
        <f t="shared" si="56"/>
        <v>1804</v>
      </c>
      <c r="AE165" s="77" t="str">
        <f t="shared" si="57"/>
        <v>aws s3 cp s3://rtdc.mdm.uploadarchive.raw/RTDC4005/ "%USERPROFILE%\AppData\Local\Temp\OnboardLogs"\RTDC4005\2017-07-01 --exclude "*" --recursive --include "*20170701*" &amp; "%USERPROFILE%\Documents\GitHub\mrs-test-scripts\Headless Mode &amp; Sideloading\WalkAndUnGZ.bat" "%USERPROFILE%\AppData\Local\Temp\OnboardLogs"\RTDC4005\2017-07-01 &amp; aws s3 cp s3://rtdc.mdm.uploadarchive.raw/RTDC4005/ "%USERPROFILE%\AppData\Local\Temp\OnboardLogs"\RTDC4005\2017-07-02 --exclude "*" --recursive --include "*20170702*" &amp; "%USERPROFILE%\Documents\GitHub\mrs-test-scripts\Headless Mode &amp; Sideloading\WalkAndUnGZ.bat" "%USERPROFILE%\AppData\Local\Temp\OnboardLogs"\RTDC4005\2017-07-02</v>
      </c>
      <c r="AF165" s="74" t="str">
        <f t="shared" si="58"/>
        <v>"C:\Program Files (x86)\AstroGrep\AstroGrep.exe" /e /r /s /spath="%USERPROFILE%\AppData\Local\Temp\OnboardLogs" /stypes="app*4005*20170701*" /stext=" 13:.+((SYSTEM_STATE.+slice.+state.+changed )|(ment ac)|(multiple cpu faults)|(system.+state.+changed )|(\[timeout)|(PRM\|1\|D)|(kpr)|(kdp)|(train st.+moving)|(\|lc)|(penalty))"</v>
      </c>
      <c r="AG165" s="209" t="str">
        <f t="shared" si="59"/>
        <v>NW</v>
      </c>
      <c r="AH165" s="78" t="str">
        <f t="shared" si="60"/>
        <v>"%USERPROFILE%\Documents\GitHub\eaglep3\Utilities\RefineRTDCRunTimes.py" --tripid 1804-01 --locoid 4005 --swversion DE.1.0.9.0 --startMP 300:58630 --initTime 2017-07-01T07:37:43 --startdatetime 2017-07-01T07:39:52 --delay 1 --endMP 204:691 --enddatetime 2017-07-01T07:54:51 --enforcementcount 0 &gt;&gt;C:\Users\stu\Documents\GitHub\eaglep3-reporting\EC\2017-07-01-refined-times.txt</v>
      </c>
      <c r="AI165" s="96" t="str">
        <f t="shared" si="61"/>
        <v>echo {"issue":{"subject":"","project_id":79,"tracker_id":40,"status_id":1,"priority_id":2,"assigned_to_id":23,"start_date":"2017-07-01","description":"","custom_fields":[{"id":1,"name":"Subdivision","value":"NW"},{"id":4,"name":"Milepost","value":"0.0691"},{"id":17,"name":"Train ID","value":"1804-01"},{"id":16,"name":"Locomotive ID","value":"4005"},{"id":130,"name":"Impact","value":""},{"id":150,"name":"Time of Event (Mountain Time)","value":"07:54:51"},{"id":151,"name":"Denver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65" s="47"/>
      <c r="AL165" s="47"/>
      <c r="AM165" s="142" t="str">
        <f t="shared" si="62"/>
        <v>start /low /b %USERPROFILE%\Documents\GitHub\eaglep3\Utilities\DownloadLogsFromS3.py --loco 4005 --day 2017-07-01</v>
      </c>
      <c r="AN165" s="151" t="str">
        <f t="shared" si="63"/>
        <v>echo {"issue":{"subject":"","project_id":30,"tracker_id":4,"status_id":1,"priority_id":1,"assigned_to_id":10,"start_date":"2017-07-01","description":"","custom_fields":[{"id":30,"name":"Category","value":"Issue"},{"id":3,"name":"Functional Component","value":"Onboard"},{"id":31,"name":"Version","value":"N/A"},{"id":8,"name":"Reporting RR","value":"WABTEC"},{"id":27,"name":"Locomotive ID","value":"4005"},{"id":20,"name":"RR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UTC","value":"2017-07-01 13:54:51"},{"id":29,"name":"Sharepoint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5"/>
      <c r="AP165"/>
      <c r="AQ165"/>
      <c r="AR165"/>
      <c r="AS165"/>
      <c r="AT165"/>
      <c r="AU165"/>
      <c r="AV165"/>
      <c r="AW165"/>
      <c r="AX165"/>
      <c r="AY165"/>
      <c r="AZ165"/>
      <c r="BA165"/>
      <c r="BB165"/>
      <c r="BC165"/>
      <c r="BD165"/>
      <c r="BE165"/>
      <c r="BF165"/>
      <c r="BG165"/>
      <c r="BH165"/>
      <c r="BI165"/>
      <c r="BJ165"/>
      <c r="BK165"/>
      <c r="BL165"/>
      <c r="BM165"/>
      <c r="BN165"/>
      <c r="BO165"/>
      <c r="BP165"/>
      <c r="BQ165"/>
      <c r="BR165"/>
      <c r="BS165"/>
      <c r="BT165"/>
      <c r="BU165"/>
      <c r="BV165"/>
      <c r="BW165"/>
      <c r="BX165"/>
      <c r="BY165"/>
      <c r="BZ165"/>
      <c r="CA165"/>
      <c r="CB165"/>
      <c r="CC165"/>
      <c r="CD165"/>
      <c r="CE165"/>
      <c r="CF165"/>
      <c r="CG165"/>
      <c r="CH165"/>
      <c r="CI165"/>
      <c r="CJ165"/>
      <c r="CK165"/>
      <c r="CL165"/>
      <c r="CM165"/>
    </row>
    <row r="166" spans="1:91" s="20" customFormat="1" x14ac:dyDescent="0.25">
      <c r="A166" s="32" t="s">
        <v>644</v>
      </c>
      <c r="B166" s="7">
        <v>4006</v>
      </c>
      <c r="C166" s="21" t="s">
        <v>202</v>
      </c>
      <c r="D166" s="21" t="s">
        <v>931</v>
      </c>
      <c r="E166" s="13">
        <v>42917.331574074073</v>
      </c>
      <c r="F166" s="13">
        <v>42917.348391203705</v>
      </c>
      <c r="G166" s="7">
        <v>1</v>
      </c>
      <c r="H166" s="21" t="s">
        <v>932</v>
      </c>
      <c r="I166" s="13">
        <v>42917.357997685183</v>
      </c>
      <c r="J166" s="7">
        <v>0</v>
      </c>
      <c r="K166" s="89" t="str">
        <f t="shared" si="48"/>
        <v>4005/4006</v>
      </c>
      <c r="L166" s="21" t="str">
        <f>VLOOKUP(A166,'Trips&amp;Operators'!$C$1:$G$99999,5,FALSE)</f>
        <v>ROCHA YAOTL</v>
      </c>
      <c r="M166" s="6">
        <f t="shared" si="49"/>
        <v>9.6064814788405783E-3</v>
      </c>
      <c r="N166" s="7">
        <f t="shared" si="64"/>
        <v>13.833333329530433</v>
      </c>
      <c r="O166" s="7"/>
      <c r="P166" s="7"/>
      <c r="Q166" s="22"/>
      <c r="R166" s="170"/>
      <c r="S166" s="213">
        <f t="shared" si="47"/>
        <v>1</v>
      </c>
      <c r="T166" s="195" t="str">
        <f t="shared" si="50"/>
        <v>NorthBound</v>
      </c>
      <c r="U166" s="195">
        <f>IF(AG166="EC",COUNTIFS(Variables!$M$2:$M$19,IF(T166="NorthBound","&gt;=","&lt;=")&amp;Y166,Variables!$M$2:$M$19,IF(T166="NorthBound","&lt;=","&gt;=")&amp;Z166),COUNTIFS(Variables!$P$2:$P$19,IF(T166="NorthBound","&gt;=","&lt;=")&amp;Y166,Variables!$P$2:$P$19,IF(T166="NorthBound","&lt;=","&gt;=")&amp;Z166))</f>
        <v>1</v>
      </c>
      <c r="V166" s="196" t="str">
        <f t="shared" si="51"/>
        <v>https://d0f6bd738d7f1b3e5a7ca70fe4ff75f0.us-east-1.aws.found.io/app/kibana#/discover/Steve-Slow-Train-Analysis-(2080s-and-2083s)?_g=(refreshInterval:(display:Off,pause:!f,section:0,value:0),time:(from:'2017-07-01T06:57:28-0600',mode:absolute,to:'2017-07-01T09:35:31-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W166" s="197" t="str">
        <f>IF(AA166&lt;VLOOKUP(AG166,Variables!$AC$3:$AD$8,2,FALSE),"Y","N")</f>
        <v>N</v>
      </c>
      <c r="X166" s="197">
        <f t="shared" si="65"/>
        <v>1</v>
      </c>
      <c r="Y166" s="197">
        <f t="shared" si="53"/>
        <v>9.4100000000000003E-2</v>
      </c>
      <c r="Z166" s="197">
        <f t="shared" si="54"/>
        <v>5.8963000000000001</v>
      </c>
      <c r="AA166" s="197">
        <f t="shared" si="55"/>
        <v>5.8022</v>
      </c>
      <c r="AB166" s="54" t="e">
        <f>VLOOKUP(A166,Enforcements!$C$7:$K$13,8,0)</f>
        <v>#N/A</v>
      </c>
      <c r="AC166" s="51" t="e">
        <f>VLOOKUP(A166,Enforcements!$C$7:$E$13,3,0)</f>
        <v>#N/A</v>
      </c>
      <c r="AD166" s="206">
        <f t="shared" si="56"/>
        <v>1805</v>
      </c>
      <c r="AE166" s="77" t="str">
        <f t="shared" si="57"/>
        <v>aws s3 cp s3://rtdc.mdm.uploadarchive.raw/RTDC4006/ "%USERPROFILE%\AppData\Local\Temp\OnboardLogs"\RTDC4006\2017-07-01 --exclude "*" --recursive --include "*20170701*" &amp; "%USERPROFILE%\Documents\GitHub\mrs-test-scripts\Headless Mode &amp; Sideloading\WalkAndUnGZ.bat" "%USERPROFILE%\AppData\Local\Temp\OnboardLogs"\RTDC4006\2017-07-01 &amp; aws s3 cp s3://rtdc.mdm.uploadarchive.raw/RTDC4006/ "%USERPROFILE%\AppData\Local\Temp\OnboardLogs"\RTDC4006\2017-07-02 --exclude "*" --recursive --include "*20170702*" &amp; "%USERPROFILE%\Documents\GitHub\mrs-test-scripts\Headless Mode &amp; Sideloading\WalkAndUnGZ.bat" "%USERPROFILE%\AppData\Local\Temp\OnboardLogs"\RTDC4006\2017-07-02</v>
      </c>
      <c r="AF166" s="74" t="str">
        <f t="shared" si="58"/>
        <v>"C:\Program Files (x86)\AstroGrep\AstroGrep.exe" /e /r /s /spath="%USERPROFILE%\AppData\Local\Temp\OnboardLogs" /stypes="app*4006*20170701*" /stext=" 14:.+((SYSTEM_STATE.+slice.+state.+changed )|(ment ac)|(multiple cpu faults)|(system.+state.+changed )|(\[timeout)|(PRM\|1\|D)|(kpr)|(kdp)|(train st.+moving)|(\|lc)|(penalty))"</v>
      </c>
      <c r="AG166" s="209" t="str">
        <f t="shared" si="59"/>
        <v>NW</v>
      </c>
      <c r="AH166" s="78" t="str">
        <f t="shared" si="60"/>
        <v>"%USERPROFILE%\Documents\GitHub\eaglep3\Utilities\RefineRTDCRunTimes.py" --tripid 1805-01 --locoid 4006 --swversion DE.1.0.9.0 --startMP 204:941 --initTime 2017-07-01T07:57:28 --startdatetime 2017-07-01T08:21:41 --delay 1 --endMP 300:58963 --enddatetime 2017-07-01T08:35:31 --enforcementcount 0 &gt;&gt;C:\Users\stu\Documents\GitHub\eaglep3-reporting\EC\2017-07-01-refined-times.txt</v>
      </c>
      <c r="AI166" s="96" t="str">
        <f t="shared" si="61"/>
        <v>echo {"issue":{"subject":"","project_id":79,"tracker_id":40,"status_id":1,"priority_id":2,"assigned_to_id":23,"start_date":"2017-07-01","description":"","custom_fields":[{"id":1,"name":"Subdivision","value":"NW"},{"id":4,"name":"Milepost","value":"5.8963"},{"id":17,"name":"Train ID","value":"1805-01"},{"id":16,"name":"Locomotive ID","value":"4006"},{"id":130,"name":"Impact","value":""},{"id":150,"name":"Time of Event (Mountain Time)","value":"08:35:31"},{"id":151,"name":"Denver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66" s="47"/>
      <c r="AL166" s="47"/>
      <c r="AM166" s="142" t="str">
        <f t="shared" si="62"/>
        <v>start /low /b %USERPROFILE%\Documents\GitHub\eaglep3\Utilities\DownloadLogsFromS3.py --loco 4006 --day 2017-07-01</v>
      </c>
      <c r="AN166" s="151" t="str">
        <f t="shared" si="63"/>
        <v>echo {"issue":{"subject":"","project_id":30,"tracker_id":4,"status_id":1,"priority_id":1,"assigned_to_id":10,"start_date":"2017-07-01","description":"","custom_fields":[{"id":30,"name":"Category","value":"Issue"},{"id":3,"name":"Functional Component","value":"Onboard"},{"id":31,"name":"Version","value":"N/A"},{"id":8,"name":"Reporting RR","value":"WABTEC"},{"id":27,"name":"Locomotive ID","value":"4006"},{"id":20,"name":"RR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UTC","value":"2017-07-01 14:35:31"},{"id":29,"name":"Sharepoint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6"/>
      <c r="AP166"/>
      <c r="AQ166"/>
      <c r="AR166"/>
      <c r="AS166"/>
      <c r="AT166"/>
      <c r="AU166"/>
      <c r="AV166"/>
      <c r="AW166"/>
      <c r="AX166"/>
      <c r="AY166"/>
      <c r="AZ166"/>
      <c r="BA166"/>
      <c r="BB166"/>
      <c r="BC166"/>
      <c r="BD166"/>
      <c r="BE166"/>
      <c r="BF166"/>
      <c r="BG166"/>
      <c r="BH166"/>
      <c r="BI166"/>
      <c r="BJ166"/>
      <c r="BK166"/>
      <c r="BL166"/>
      <c r="BM166"/>
      <c r="BN166"/>
      <c r="BO166"/>
      <c r="BP166"/>
      <c r="BQ166"/>
      <c r="BR166"/>
      <c r="BS166"/>
      <c r="BT166"/>
      <c r="BU166"/>
      <c r="BV166"/>
      <c r="BW166"/>
      <c r="BX166"/>
      <c r="BY166"/>
      <c r="BZ166"/>
      <c r="CA166"/>
      <c r="CB166"/>
      <c r="CC166"/>
      <c r="CD166"/>
      <c r="CE166"/>
      <c r="CF166"/>
      <c r="CG166"/>
      <c r="CH166"/>
      <c r="CI166"/>
      <c r="CJ166"/>
      <c r="CK166"/>
      <c r="CL166"/>
      <c r="CM166"/>
    </row>
    <row r="167" spans="1:91" s="20" customFormat="1" x14ac:dyDescent="0.25">
      <c r="A167" s="32" t="s">
        <v>742</v>
      </c>
      <c r="B167" s="7">
        <v>4005</v>
      </c>
      <c r="C167" s="21" t="s">
        <v>202</v>
      </c>
      <c r="D167" s="21" t="s">
        <v>933</v>
      </c>
      <c r="E167" s="13">
        <v>42917.359016203707</v>
      </c>
      <c r="F167" s="13">
        <v>42917.360868055555</v>
      </c>
      <c r="G167" s="7">
        <v>1</v>
      </c>
      <c r="H167" s="21" t="s">
        <v>934</v>
      </c>
      <c r="I167" s="13">
        <v>42917.371400462966</v>
      </c>
      <c r="J167" s="7">
        <v>0</v>
      </c>
      <c r="K167" s="89" t="str">
        <f t="shared" si="48"/>
        <v>4005/4006</v>
      </c>
      <c r="L167" s="21" t="str">
        <f>VLOOKUP(A167,'Trips&amp;Operators'!$C$1:$G$99999,5,FALSE)</f>
        <v>ROCHA YAOTL</v>
      </c>
      <c r="M167" s="6">
        <f t="shared" si="49"/>
        <v>1.0532407410209998E-2</v>
      </c>
      <c r="N167" s="7">
        <f t="shared" si="64"/>
        <v>15.166666670702398</v>
      </c>
      <c r="O167" s="7"/>
      <c r="P167" s="7"/>
      <c r="Q167" s="22"/>
      <c r="R167" s="170"/>
      <c r="S167" s="213">
        <f t="shared" ref="S167:S198" si="66">SUM(U167:U167)/IF(AG167="EC",12,1)</f>
        <v>1</v>
      </c>
      <c r="T167" s="195" t="str">
        <f t="shared" si="50"/>
        <v>Southbound</v>
      </c>
      <c r="U167" s="195">
        <f>IF(AG167="EC",COUNTIFS(Variables!$M$2:$M$19,IF(T167="NorthBound","&gt;=","&lt;=")&amp;Y167,Variables!$M$2:$M$19,IF(T167="NorthBound","&lt;=","&gt;=")&amp;Z167),COUNTIFS(Variables!$P$2:$P$19,IF(T167="NorthBound","&gt;=","&lt;=")&amp;Y167,Variables!$P$2:$P$19,IF(T167="NorthBound","&lt;=","&gt;=")&amp;Z167))</f>
        <v>1</v>
      </c>
      <c r="V167" s="196" t="str">
        <f t="shared" si="51"/>
        <v>https://d0f6bd738d7f1b3e5a7ca70fe4ff75f0.us-east-1.aws.found.io/app/kibana#/discover/Steve-Slow-Train-Analysis-(2080s-and-2083s)?_g=(refreshInterval:(display:Off,pause:!f,section:0,value:0),time:(from:'2017-07-01T07:36:59-0600',mode:absolute,to:'2017-07-01T09:54:49-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W167" s="197" t="str">
        <f>IF(AA167&lt;VLOOKUP(AG167,Variables!$AC$3:$AD$8,2,FALSE),"Y","N")</f>
        <v>N</v>
      </c>
      <c r="X167" s="197">
        <f t="shared" si="65"/>
        <v>1</v>
      </c>
      <c r="Y167" s="197">
        <f t="shared" si="53"/>
        <v>5.8640999999999996</v>
      </c>
      <c r="Z167" s="197">
        <f t="shared" si="54"/>
        <v>6.5000000000000002E-2</v>
      </c>
      <c r="AA167" s="197">
        <f t="shared" si="55"/>
        <v>5.7990999999999993</v>
      </c>
      <c r="AB167" s="54" t="e">
        <f>VLOOKUP(A167,Enforcements!$C$7:$K$13,8,0)</f>
        <v>#N/A</v>
      </c>
      <c r="AC167" s="51" t="e">
        <f>VLOOKUP(A167,Enforcements!$C$7:$E$13,3,0)</f>
        <v>#N/A</v>
      </c>
      <c r="AD167" s="206">
        <f t="shared" si="56"/>
        <v>1806</v>
      </c>
      <c r="AE167" s="77" t="str">
        <f t="shared" si="57"/>
        <v>aws s3 cp s3://rtdc.mdm.uploadarchive.raw/RTDC4005/ "%USERPROFILE%\AppData\Local\Temp\OnboardLogs"\RTDC4005\2017-07-01 --exclude "*" --recursive --include "*20170701*" &amp; "%USERPROFILE%\Documents\GitHub\mrs-test-scripts\Headless Mode &amp; Sideloading\WalkAndUnGZ.bat" "%USERPROFILE%\AppData\Local\Temp\OnboardLogs"\RTDC4005\2017-07-01 &amp; aws s3 cp s3://rtdc.mdm.uploadarchive.raw/RTDC4005/ "%USERPROFILE%\AppData\Local\Temp\OnboardLogs"\RTDC4005\2017-07-02 --exclude "*" --recursive --include "*20170702*" &amp; "%USERPROFILE%\Documents\GitHub\mrs-test-scripts\Headless Mode &amp; Sideloading\WalkAndUnGZ.bat" "%USERPROFILE%\AppData\Local\Temp\OnboardLogs"\RTDC4005\2017-07-02</v>
      </c>
      <c r="AF167" s="74" t="str">
        <f t="shared" si="58"/>
        <v>"C:\Program Files (x86)\AstroGrep\AstroGrep.exe" /e /r /s /spath="%USERPROFILE%\AppData\Local\Temp\OnboardLogs" /stypes="app*4005*20170701*" /stext=" 14:.+((SYSTEM_STATE.+slice.+state.+changed )|(ment ac)|(multiple cpu faults)|(system.+state.+changed )|(\[timeout)|(PRM\|1\|D)|(kpr)|(kdp)|(train st.+moving)|(\|lc)|(penalty))"</v>
      </c>
      <c r="AG167" s="209" t="str">
        <f t="shared" si="59"/>
        <v>NW</v>
      </c>
      <c r="AH167" s="78" t="str">
        <f t="shared" si="60"/>
        <v>"%USERPROFILE%\Documents\GitHub\eaglep3\Utilities\RefineRTDCRunTimes.py" --tripid 1806-01 --locoid 4005 --swversion DE.1.0.9.0 --startMP 300:58641 --initTime 2017-07-01T08:36:59 --startdatetime 2017-07-01T08:39:39 --delay 1 --endMP 204:650 --enddatetime 2017-07-01T08:54:49 --enforcementcount 0 &gt;&gt;C:\Users\stu\Documents\GitHub\eaglep3-reporting\EC\2017-07-01-refined-times.txt</v>
      </c>
      <c r="AI167" s="96" t="str">
        <f t="shared" si="61"/>
        <v>echo {"issue":{"subject":"","project_id":79,"tracker_id":40,"status_id":1,"priority_id":2,"assigned_to_id":23,"start_date":"2017-07-01","description":"","custom_fields":[{"id":1,"name":"Subdivision","value":"NW"},{"id":4,"name":"Milepost","value":"0.065"},{"id":17,"name":"Train ID","value":"1806-01"},{"id":16,"name":"Locomotive ID","value":"4005"},{"id":130,"name":"Impact","value":""},{"id":150,"name":"Time of Event (Mountain Time)","value":"08:54:49"},{"id":151,"name":"Denver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67" s="47"/>
      <c r="AL167" s="47"/>
      <c r="AM167" s="142" t="str">
        <f t="shared" si="62"/>
        <v>start /low /b %USERPROFILE%\Documents\GitHub\eaglep3\Utilities\DownloadLogsFromS3.py --loco 4005 --day 2017-07-01</v>
      </c>
      <c r="AN167" s="151" t="str">
        <f t="shared" si="63"/>
        <v>echo {"issue":{"subject":"","project_id":30,"tracker_id":4,"status_id":1,"priority_id":1,"assigned_to_id":10,"start_date":"2017-07-01","description":"","custom_fields":[{"id":30,"name":"Category","value":"Issue"},{"id":3,"name":"Functional Component","value":"Onboard"},{"id":31,"name":"Version","value":"N/A"},{"id":8,"name":"Reporting RR","value":"WABTEC"},{"id":27,"name":"Locomotive ID","value":"4005"},{"id":20,"name":"RR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UTC","value":"2017-07-01 14:54:49"},{"id":29,"name":"Sharepoint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7"/>
      <c r="AP167"/>
      <c r="AQ167"/>
      <c r="AR167"/>
      <c r="AS167"/>
      <c r="AT167"/>
      <c r="AU167"/>
      <c r="AV167"/>
      <c r="AW167"/>
      <c r="AX167"/>
      <c r="AY167"/>
      <c r="AZ167"/>
      <c r="BA167"/>
      <c r="BB167"/>
      <c r="BC167"/>
      <c r="BD167"/>
      <c r="BE167"/>
      <c r="BF167"/>
      <c r="BG167"/>
      <c r="BH167"/>
      <c r="BI167"/>
      <c r="BJ167"/>
      <c r="BK167"/>
      <c r="BL167"/>
      <c r="BM167"/>
      <c r="BN167"/>
      <c r="BO167"/>
      <c r="BP167"/>
      <c r="BQ167"/>
      <c r="BR167"/>
      <c r="BS167"/>
      <c r="BT167"/>
      <c r="BU167"/>
      <c r="BV167"/>
      <c r="BW167"/>
      <c r="BX167"/>
      <c r="BY167"/>
      <c r="BZ167"/>
      <c r="CA167"/>
      <c r="CB167"/>
      <c r="CC167"/>
      <c r="CD167"/>
      <c r="CE167"/>
      <c r="CF167"/>
      <c r="CG167"/>
      <c r="CH167"/>
      <c r="CI167"/>
      <c r="CJ167"/>
      <c r="CK167"/>
      <c r="CL167"/>
      <c r="CM167"/>
    </row>
    <row r="168" spans="1:91" s="20" customFormat="1" x14ac:dyDescent="0.25">
      <c r="A168" s="32" t="s">
        <v>747</v>
      </c>
      <c r="B168" s="7">
        <v>4006</v>
      </c>
      <c r="C168" s="21" t="s">
        <v>202</v>
      </c>
      <c r="D168" s="21" t="s">
        <v>935</v>
      </c>
      <c r="E168" s="13">
        <v>42917.373101851852</v>
      </c>
      <c r="F168" s="13">
        <v>42917.389988425923</v>
      </c>
      <c r="G168" s="7">
        <v>1</v>
      </c>
      <c r="H168" s="21" t="s">
        <v>936</v>
      </c>
      <c r="I168" s="13">
        <v>42917.399386574078</v>
      </c>
      <c r="J168" s="7">
        <v>0</v>
      </c>
      <c r="K168" s="89" t="str">
        <f t="shared" si="48"/>
        <v>4005/4006</v>
      </c>
      <c r="L168" s="21" t="str">
        <f>VLOOKUP(A168,'Trips&amp;Operators'!$C$1:$G$99999,5,FALSE)</f>
        <v>ROCHA YAOTL</v>
      </c>
      <c r="M168" s="6">
        <f t="shared" si="49"/>
        <v>9.3981481550144963E-3</v>
      </c>
      <c r="N168" s="7">
        <f t="shared" si="64"/>
        <v>13.533333343220875</v>
      </c>
      <c r="O168" s="7"/>
      <c r="P168" s="7"/>
      <c r="Q168" s="22"/>
      <c r="R168" s="170"/>
      <c r="S168" s="213">
        <f t="shared" si="66"/>
        <v>1</v>
      </c>
      <c r="T168" s="195" t="str">
        <f t="shared" si="50"/>
        <v>NorthBound</v>
      </c>
      <c r="U168" s="195">
        <f>IF(AG168="EC",COUNTIFS(Variables!$M$2:$M$19,IF(T168="NorthBound","&gt;=","&lt;=")&amp;Y168,Variables!$M$2:$M$19,IF(T168="NorthBound","&lt;=","&gt;=")&amp;Z168),COUNTIFS(Variables!$P$2:$P$19,IF(T168="NorthBound","&gt;=","&lt;=")&amp;Y168,Variables!$P$2:$P$19,IF(T168="NorthBound","&lt;=","&gt;=")&amp;Z168))</f>
        <v>1</v>
      </c>
      <c r="V168" s="196" t="str">
        <f t="shared" si="51"/>
        <v>https://d0f6bd738d7f1b3e5a7ca70fe4ff75f0.us-east-1.aws.found.io/app/kibana#/discover/Steve-Slow-Train-Analysis-(2080s-and-2083s)?_g=(refreshInterval:(display:Off,pause:!f,section:0,value:0),time:(from:'2017-07-01T07:57:16-0600',mode:absolute,to:'2017-07-01T10:35:07-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W168" s="197" t="str">
        <f>IF(AA168&lt;VLOOKUP(AG168,Variables!$AC$3:$AD$8,2,FALSE),"Y","N")</f>
        <v>N</v>
      </c>
      <c r="X168" s="197">
        <f t="shared" si="65"/>
        <v>1</v>
      </c>
      <c r="Y168" s="197">
        <f t="shared" si="53"/>
        <v>9.4399999999999998E-2</v>
      </c>
      <c r="Z168" s="197">
        <f t="shared" si="54"/>
        <v>5.8975999999999997</v>
      </c>
      <c r="AA168" s="197">
        <f t="shared" si="55"/>
        <v>5.8031999999999995</v>
      </c>
      <c r="AB168" s="54" t="e">
        <f>VLOOKUP(A168,Enforcements!$C$7:$K$13,8,0)</f>
        <v>#N/A</v>
      </c>
      <c r="AC168" s="51" t="e">
        <f>VLOOKUP(A168,Enforcements!$C$7:$E$13,3,0)</f>
        <v>#N/A</v>
      </c>
      <c r="AD168" s="206">
        <f t="shared" si="56"/>
        <v>1807</v>
      </c>
      <c r="AE168" s="77" t="str">
        <f t="shared" si="57"/>
        <v>aws s3 cp s3://rtdc.mdm.uploadarchive.raw/RTDC4006/ "%USERPROFILE%\AppData\Local\Temp\OnboardLogs"\RTDC4006\2017-07-01 --exclude "*" --recursive --include "*20170701*" &amp; "%USERPROFILE%\Documents\GitHub\mrs-test-scripts\Headless Mode &amp; Sideloading\WalkAndUnGZ.bat" "%USERPROFILE%\AppData\Local\Temp\OnboardLogs"\RTDC4006\2017-07-01 &amp; aws s3 cp s3://rtdc.mdm.uploadarchive.raw/RTDC4006/ "%USERPROFILE%\AppData\Local\Temp\OnboardLogs"\RTDC4006\2017-07-02 --exclude "*" --recursive --include "*20170702*" &amp; "%USERPROFILE%\Documents\GitHub\mrs-test-scripts\Headless Mode &amp; Sideloading\WalkAndUnGZ.bat" "%USERPROFILE%\AppData\Local\Temp\OnboardLogs"\RTDC4006\2017-07-02</v>
      </c>
      <c r="AF168" s="74" t="str">
        <f t="shared" si="58"/>
        <v>"C:\Program Files (x86)\AstroGrep\AstroGrep.exe" /e /r /s /spath="%USERPROFILE%\AppData\Local\Temp\OnboardLogs" /stypes="app*4006*20170701*" /stext=" 15:.+((SYSTEM_STATE.+slice.+state.+changed )|(ment ac)|(multiple cpu faults)|(system.+state.+changed )|(\[timeout)|(PRM\|1\|D)|(kpr)|(kdp)|(train st.+moving)|(\|lc)|(penalty))"</v>
      </c>
      <c r="AG168" s="209" t="str">
        <f t="shared" si="59"/>
        <v>NW</v>
      </c>
      <c r="AH168" s="78" t="str">
        <f t="shared" si="60"/>
        <v>"%USERPROFILE%\Documents\GitHub\eaglep3\Utilities\RefineRTDCRunTimes.py" --tripid 1807-01 --locoid 4006 --swversion DE.1.0.9.0 --startMP 204:944 --initTime 2017-07-01T08:57:16 --startdatetime 2017-07-01T09:21:35 --delay 1 --endMP 300:58976 --enddatetime 2017-07-01T09:35:07 --enforcementcount 0 &gt;&gt;C:\Users\stu\Documents\GitHub\eaglep3-reporting\EC\2017-07-01-refined-times.txt</v>
      </c>
      <c r="AI168" s="96" t="str">
        <f t="shared" si="61"/>
        <v>echo {"issue":{"subject":"","project_id":79,"tracker_id":40,"status_id":1,"priority_id":2,"assigned_to_id":23,"start_date":"2017-07-01","description":"","custom_fields":[{"id":1,"name":"Subdivision","value":"NW"},{"id":4,"name":"Milepost","value":"5.8976"},{"id":17,"name":"Train ID","value":"1807-01"},{"id":16,"name":"Locomotive ID","value":"4006"},{"id":130,"name":"Impact","value":""},{"id":150,"name":"Time of Event (Mountain Time)","value":"09:35:07"},{"id":151,"name":"Denver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68" s="47"/>
      <c r="AL168" s="47"/>
      <c r="AM168" s="142" t="str">
        <f t="shared" si="62"/>
        <v>start /low /b %USERPROFILE%\Documents\GitHub\eaglep3\Utilities\DownloadLogsFromS3.py --loco 4006 --day 2017-07-01</v>
      </c>
      <c r="AN168" s="151" t="str">
        <f t="shared" si="63"/>
        <v>echo {"issue":{"subject":"","project_id":30,"tracker_id":4,"status_id":1,"priority_id":1,"assigned_to_id":10,"start_date":"2017-07-01","description":"","custom_fields":[{"id":30,"name":"Category","value":"Issue"},{"id":3,"name":"Functional Component","value":"Onboard"},{"id":31,"name":"Version","value":"N/A"},{"id":8,"name":"Reporting RR","value":"WABTEC"},{"id":27,"name":"Locomotive ID","value":"4006"},{"id":20,"name":"RR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UTC","value":"2017-07-01 15:35:07"},{"id":29,"name":"Sharepoint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8"/>
      <c r="AP168"/>
      <c r="AQ168"/>
      <c r="AR168"/>
      <c r="AS168"/>
      <c r="AT168"/>
      <c r="AU168"/>
      <c r="AV168"/>
      <c r="AW168"/>
      <c r="AX168"/>
      <c r="AY168"/>
      <c r="AZ168"/>
      <c r="BA168"/>
      <c r="BB168"/>
      <c r="BC168"/>
      <c r="BD168"/>
      <c r="BE168"/>
      <c r="BF168"/>
      <c r="BG168"/>
      <c r="BH168"/>
      <c r="BI168"/>
      <c r="BJ168"/>
      <c r="BK168"/>
      <c r="BL168"/>
      <c r="BM168"/>
      <c r="BN168"/>
      <c r="BO168"/>
      <c r="BP168"/>
      <c r="BQ168"/>
      <c r="BR168"/>
      <c r="BS168"/>
      <c r="BT168"/>
      <c r="BU168"/>
      <c r="BV168"/>
      <c r="BW168"/>
      <c r="BX168"/>
      <c r="BY168"/>
      <c r="BZ168"/>
      <c r="CA168"/>
      <c r="CB168"/>
      <c r="CC168"/>
      <c r="CD168"/>
      <c r="CE168"/>
      <c r="CF168"/>
      <c r="CG168"/>
      <c r="CH168"/>
      <c r="CI168"/>
      <c r="CJ168"/>
      <c r="CK168"/>
      <c r="CL168"/>
      <c r="CM168"/>
    </row>
    <row r="169" spans="1:91" s="20" customFormat="1" x14ac:dyDescent="0.25">
      <c r="A169" s="32" t="s">
        <v>753</v>
      </c>
      <c r="B169" s="7">
        <v>4005</v>
      </c>
      <c r="C169" s="21" t="s">
        <v>202</v>
      </c>
      <c r="D169" s="21" t="s">
        <v>937</v>
      </c>
      <c r="E169" s="13">
        <v>42917.400393518517</v>
      </c>
      <c r="F169" s="13">
        <v>42917.401875000003</v>
      </c>
      <c r="G169" s="7">
        <v>1</v>
      </c>
      <c r="H169" s="21" t="s">
        <v>938</v>
      </c>
      <c r="I169" s="13">
        <v>42917.412766203706</v>
      </c>
      <c r="J169" s="7">
        <v>0</v>
      </c>
      <c r="K169" s="89" t="str">
        <f t="shared" si="48"/>
        <v>4005/4006</v>
      </c>
      <c r="L169" s="21" t="str">
        <f>VLOOKUP(A169,'Trips&amp;Operators'!$C$1:$G$99999,5,FALSE)</f>
        <v>ROCHA YAOTL</v>
      </c>
      <c r="M169" s="6">
        <f t="shared" si="49"/>
        <v>1.0891203703067731E-2</v>
      </c>
      <c r="N169" s="7">
        <f t="shared" si="64"/>
        <v>15.683333332417533</v>
      </c>
      <c r="O169" s="7"/>
      <c r="P169" s="7"/>
      <c r="Q169" s="22"/>
      <c r="R169" s="170"/>
      <c r="S169" s="213">
        <f t="shared" si="66"/>
        <v>1</v>
      </c>
      <c r="T169" s="195" t="str">
        <f t="shared" si="50"/>
        <v>Southbound</v>
      </c>
      <c r="U169" s="195">
        <f>IF(AG169="EC",COUNTIFS(Variables!$M$2:$M$19,IF(T169="NorthBound","&gt;=","&lt;=")&amp;Y169,Variables!$M$2:$M$19,IF(T169="NorthBound","&lt;=","&gt;=")&amp;Z169),COUNTIFS(Variables!$P$2:$P$19,IF(T169="NorthBound","&gt;=","&lt;=")&amp;Y169,Variables!$P$2:$P$19,IF(T169="NorthBound","&lt;=","&gt;=")&amp;Z169))</f>
        <v>1</v>
      </c>
      <c r="V169" s="196" t="str">
        <f t="shared" si="51"/>
        <v>https://d0f6bd738d7f1b3e5a7ca70fe4ff75f0.us-east-1.aws.found.io/app/kibana#/discover/Steve-Slow-Train-Analysis-(2080s-and-2083s)?_g=(refreshInterval:(display:Off,pause:!f,section:0,value:0),time:(from:'2017-07-01T08:36:34-0600',mode:absolute,to:'2017-07-01T10:54:23-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W169" s="197" t="str">
        <f>IF(AA169&lt;VLOOKUP(AG169,Variables!$AC$3:$AD$8,2,FALSE),"Y","N")</f>
        <v>N</v>
      </c>
      <c r="X169" s="197">
        <f t="shared" ref="X169:X200" si="67">VALUE(LEFT(AD169,4))-VALUE(LEFT(AD168,4))</f>
        <v>1</v>
      </c>
      <c r="Y169" s="197">
        <f t="shared" si="53"/>
        <v>5.8663999999999996</v>
      </c>
      <c r="Z169" s="197">
        <f t="shared" si="54"/>
        <v>6.5600000000000006E-2</v>
      </c>
      <c r="AA169" s="197">
        <f t="shared" si="55"/>
        <v>5.8007999999999997</v>
      </c>
      <c r="AB169" s="54" t="e">
        <f>VLOOKUP(A169,Enforcements!$C$7:$K$13,8,0)</f>
        <v>#N/A</v>
      </c>
      <c r="AC169" s="51" t="e">
        <f>VLOOKUP(A169,Enforcements!$C$7:$E$13,3,0)</f>
        <v>#N/A</v>
      </c>
      <c r="AD169" s="206">
        <f t="shared" si="56"/>
        <v>1808</v>
      </c>
      <c r="AE169" s="77" t="str">
        <f t="shared" si="57"/>
        <v>aws s3 cp s3://rtdc.mdm.uploadarchive.raw/RTDC4005/ "%USERPROFILE%\AppData\Local\Temp\OnboardLogs"\RTDC4005\2017-07-01 --exclude "*" --recursive --include "*20170701*" &amp; "%USERPROFILE%\Documents\GitHub\mrs-test-scripts\Headless Mode &amp; Sideloading\WalkAndUnGZ.bat" "%USERPROFILE%\AppData\Local\Temp\OnboardLogs"\RTDC4005\2017-07-01 &amp; aws s3 cp s3://rtdc.mdm.uploadarchive.raw/RTDC4005/ "%USERPROFILE%\AppData\Local\Temp\OnboardLogs"\RTDC4005\2017-07-02 --exclude "*" --recursive --include "*20170702*" &amp; "%USERPROFILE%\Documents\GitHub\mrs-test-scripts\Headless Mode &amp; Sideloading\WalkAndUnGZ.bat" "%USERPROFILE%\AppData\Local\Temp\OnboardLogs"\RTDC4005\2017-07-02</v>
      </c>
      <c r="AF169" s="74" t="str">
        <f t="shared" si="58"/>
        <v>"C:\Program Files (x86)\AstroGrep\AstroGrep.exe" /e /r /s /spath="%USERPROFILE%\AppData\Local\Temp\OnboardLogs" /stypes="app*4005*20170701*" /stext=" 15:.+((SYSTEM_STATE.+slice.+state.+changed )|(ment ac)|(multiple cpu faults)|(system.+state.+changed )|(\[timeout)|(PRM\|1\|D)|(kpr)|(kdp)|(train st.+moving)|(\|lc)|(penalty))"</v>
      </c>
      <c r="AG169" s="209" t="str">
        <f t="shared" si="59"/>
        <v>NW</v>
      </c>
      <c r="AH169" s="78" t="str">
        <f t="shared" si="60"/>
        <v>"%USERPROFILE%\Documents\GitHub\eaglep3\Utilities\RefineRTDCRunTimes.py" --tripid 1808-01 --locoid 4005 --swversion DE.1.0.9.0 --startMP 300:58664 --initTime 2017-07-01T09:36:34 --startdatetime 2017-07-01T09:38:42 --delay 1 --endMP 204:656 --enddatetime 2017-07-01T09:54:23 --enforcementcount 0 &gt;&gt;C:\Users\stu\Documents\GitHub\eaglep3-reporting\EC\2017-07-01-refined-times.txt</v>
      </c>
      <c r="AI169" s="96" t="str">
        <f t="shared" si="61"/>
        <v>echo {"issue":{"subject":"","project_id":79,"tracker_id":40,"status_id":1,"priority_id":2,"assigned_to_id":23,"start_date":"2017-07-01","description":"","custom_fields":[{"id":1,"name":"Subdivision","value":"NW"},{"id":4,"name":"Milepost","value":"0.0656"},{"id":17,"name":"Train ID","value":"1808-01"},{"id":16,"name":"Locomotive ID","value":"4005"},{"id":130,"name":"Impact","value":""},{"id":150,"name":"Time of Event (Mountain Time)","value":"09:54:23"},{"id":151,"name":"Denver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69" s="47"/>
      <c r="AL169" s="47"/>
      <c r="AM169" s="142" t="str">
        <f t="shared" si="62"/>
        <v>start /low /b %USERPROFILE%\Documents\GitHub\eaglep3\Utilities\DownloadLogsFromS3.py --loco 4005 --day 2017-07-01</v>
      </c>
      <c r="AN169" s="151" t="str">
        <f t="shared" si="63"/>
        <v>echo {"issue":{"subject":"","project_id":30,"tracker_id":4,"status_id":1,"priority_id":1,"assigned_to_id":10,"start_date":"2017-07-01","description":"","custom_fields":[{"id":30,"name":"Category","value":"Issue"},{"id":3,"name":"Functional Component","value":"Onboard"},{"id":31,"name":"Version","value":"N/A"},{"id":8,"name":"Reporting RR","value":"WABTEC"},{"id":27,"name":"Locomotive ID","value":"4005"},{"id":20,"name":"RR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UTC","value":"2017-07-01 15:54:23"},{"id":29,"name":"Sharepoint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9"/>
      <c r="AP169"/>
      <c r="AQ169"/>
      <c r="AR169"/>
      <c r="AS169"/>
      <c r="AT169"/>
      <c r="AU169"/>
      <c r="AV169"/>
      <c r="AW169"/>
      <c r="AX169"/>
      <c r="AY169"/>
      <c r="AZ169"/>
      <c r="BA169"/>
      <c r="BB169"/>
      <c r="BC169"/>
      <c r="BD169"/>
      <c r="BE169"/>
      <c r="BF169"/>
      <c r="BG169"/>
      <c r="BH169"/>
      <c r="BI169"/>
      <c r="BJ169"/>
      <c r="BK169"/>
      <c r="BL169"/>
      <c r="BM169"/>
      <c r="BN169"/>
      <c r="BO169"/>
      <c r="BP169"/>
      <c r="BQ169"/>
      <c r="BR169"/>
      <c r="BS169"/>
      <c r="BT169"/>
      <c r="BU169"/>
      <c r="BV169"/>
      <c r="BW169"/>
      <c r="BX169"/>
      <c r="BY169"/>
      <c r="BZ169"/>
      <c r="CA169"/>
      <c r="CB169"/>
      <c r="CC169"/>
      <c r="CD169"/>
      <c r="CE169"/>
      <c r="CF169"/>
      <c r="CG169"/>
      <c r="CH169"/>
      <c r="CI169"/>
      <c r="CJ169"/>
      <c r="CK169"/>
      <c r="CL169"/>
      <c r="CM169"/>
    </row>
    <row r="170" spans="1:91" s="20" customFormat="1" x14ac:dyDescent="0.25">
      <c r="A170" s="32" t="s">
        <v>758</v>
      </c>
      <c r="B170" s="7">
        <v>4006</v>
      </c>
      <c r="C170" s="21" t="s">
        <v>202</v>
      </c>
      <c r="D170" s="21" t="s">
        <v>939</v>
      </c>
      <c r="E170" s="13">
        <v>42917.414803240739</v>
      </c>
      <c r="F170" s="13">
        <v>42917.431527777779</v>
      </c>
      <c r="G170" s="7">
        <v>1</v>
      </c>
      <c r="H170" s="21" t="s">
        <v>940</v>
      </c>
      <c r="I170" s="13">
        <v>42917.440995370373</v>
      </c>
      <c r="J170" s="7">
        <v>0</v>
      </c>
      <c r="K170" s="89" t="str">
        <f t="shared" si="48"/>
        <v>4005/4006</v>
      </c>
      <c r="L170" s="21" t="str">
        <f>VLOOKUP(A170,'Trips&amp;Operators'!$C$1:$G$99999,5,FALSE)</f>
        <v>ROCHA YAOTL</v>
      </c>
      <c r="M170" s="6">
        <f t="shared" si="49"/>
        <v>9.4675925938645378E-3</v>
      </c>
      <c r="N170" s="7">
        <f t="shared" si="64"/>
        <v>13.633333335164934</v>
      </c>
      <c r="O170" s="7"/>
      <c r="P170" s="7"/>
      <c r="Q170" s="22"/>
      <c r="R170" s="170"/>
      <c r="S170" s="213">
        <f t="shared" si="66"/>
        <v>1</v>
      </c>
      <c r="T170" s="195" t="str">
        <f t="shared" si="50"/>
        <v>NorthBound</v>
      </c>
      <c r="U170" s="195">
        <f>IF(AG170="EC",COUNTIFS(Variables!$M$2:$M$19,IF(T170="NorthBound","&gt;=","&lt;=")&amp;Y170,Variables!$M$2:$M$19,IF(T170="NorthBound","&lt;=","&gt;=")&amp;Z170),COUNTIFS(Variables!$P$2:$P$19,IF(T170="NorthBound","&gt;=","&lt;=")&amp;Y170,Variables!$P$2:$P$19,IF(T170="NorthBound","&lt;=","&gt;=")&amp;Z170))</f>
        <v>1</v>
      </c>
      <c r="V170" s="196" t="str">
        <f t="shared" si="51"/>
        <v>https://d0f6bd738d7f1b3e5a7ca70fe4ff75f0.us-east-1.aws.found.io/app/kibana#/discover/Steve-Slow-Train-Analysis-(2080s-and-2083s)?_g=(refreshInterval:(display:Off,pause:!f,section:0,value:0),time:(from:'2017-07-01T08:57:19-0600',mode:absolute,to:'2017-07-01T11:35:02-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W170" s="197" t="str">
        <f>IF(AA170&lt;VLOOKUP(AG170,Variables!$AC$3:$AD$8,2,FALSE),"Y","N")</f>
        <v>N</v>
      </c>
      <c r="X170" s="197">
        <f t="shared" si="67"/>
        <v>1</v>
      </c>
      <c r="Y170" s="197">
        <f t="shared" si="53"/>
        <v>9.3399999999999997E-2</v>
      </c>
      <c r="Z170" s="197">
        <f t="shared" si="54"/>
        <v>5.899</v>
      </c>
      <c r="AA170" s="197">
        <f t="shared" si="55"/>
        <v>5.8056000000000001</v>
      </c>
      <c r="AB170" s="54" t="e">
        <f>VLOOKUP(A170,Enforcements!$C$7:$K$13,8,0)</f>
        <v>#N/A</v>
      </c>
      <c r="AC170" s="51" t="e">
        <f>VLOOKUP(A170,Enforcements!$C$7:$E$13,3,0)</f>
        <v>#N/A</v>
      </c>
      <c r="AD170" s="206">
        <f t="shared" si="56"/>
        <v>1809</v>
      </c>
      <c r="AE170" s="77" t="str">
        <f t="shared" si="57"/>
        <v>aws s3 cp s3://rtdc.mdm.uploadarchive.raw/RTDC4006/ "%USERPROFILE%\AppData\Local\Temp\OnboardLogs"\RTDC4006\2017-07-01 --exclude "*" --recursive --include "*20170701*" &amp; "%USERPROFILE%\Documents\GitHub\mrs-test-scripts\Headless Mode &amp; Sideloading\WalkAndUnGZ.bat" "%USERPROFILE%\AppData\Local\Temp\OnboardLogs"\RTDC4006\2017-07-01 &amp; aws s3 cp s3://rtdc.mdm.uploadarchive.raw/RTDC4006/ "%USERPROFILE%\AppData\Local\Temp\OnboardLogs"\RTDC4006\2017-07-02 --exclude "*" --recursive --include "*20170702*" &amp; "%USERPROFILE%\Documents\GitHub\mrs-test-scripts\Headless Mode &amp; Sideloading\WalkAndUnGZ.bat" "%USERPROFILE%\AppData\Local\Temp\OnboardLogs"\RTDC4006\2017-07-02</v>
      </c>
      <c r="AF170" s="74" t="str">
        <f t="shared" si="58"/>
        <v>"C:\Program Files (x86)\AstroGrep\AstroGrep.exe" /e /r /s /spath="%USERPROFILE%\AppData\Local\Temp\OnboardLogs" /stypes="app*4006*20170701*" /stext=" 16:.+((SYSTEM_STATE.+slice.+state.+changed )|(ment ac)|(multiple cpu faults)|(system.+state.+changed )|(\[timeout)|(PRM\|1\|D)|(kpr)|(kdp)|(train st.+moving)|(\|lc)|(penalty))"</v>
      </c>
      <c r="AG170" s="209" t="str">
        <f t="shared" si="59"/>
        <v>NW</v>
      </c>
      <c r="AH170" s="78" t="str">
        <f t="shared" si="60"/>
        <v>"%USERPROFILE%\Documents\GitHub\eaglep3\Utilities\RefineRTDCRunTimes.py" --tripid 1809-01 --locoid 4006 --swversion DE.1.0.9.0 --startMP 204:934 --initTime 2017-07-01T09:57:19 --startdatetime 2017-07-01T10:21:24 --delay 1 --endMP 300:58990 --enddatetime 2017-07-01T10:35:02 --enforcementcount 0 &gt;&gt;C:\Users\stu\Documents\GitHub\eaglep3-reporting\EC\2017-07-01-refined-times.txt</v>
      </c>
      <c r="AI170" s="96" t="str">
        <f t="shared" si="61"/>
        <v>echo {"issue":{"subject":"","project_id":79,"tracker_id":40,"status_id":1,"priority_id":2,"assigned_to_id":23,"start_date":"2017-07-01","description":"","custom_fields":[{"id":1,"name":"Subdivision","value":"NW"},{"id":4,"name":"Milepost","value":"5.899"},{"id":17,"name":"Train ID","value":"1809-01"},{"id":16,"name":"Locomotive ID","value":"4006"},{"id":130,"name":"Impact","value":""},{"id":150,"name":"Time of Event (Mountain Time)","value":"10:35:02"},{"id":151,"name":"Denver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70" s="47"/>
      <c r="AL170" s="47"/>
      <c r="AM170" s="142" t="str">
        <f t="shared" si="62"/>
        <v>start /low /b %USERPROFILE%\Documents\GitHub\eaglep3\Utilities\DownloadLogsFromS3.py --loco 4006 --day 2017-07-01</v>
      </c>
      <c r="AN170" s="151" t="str">
        <f t="shared" si="63"/>
        <v>echo {"issue":{"subject":"","project_id":30,"tracker_id":4,"status_id":1,"priority_id":1,"assigned_to_id":10,"start_date":"2017-07-01","description":"","custom_fields":[{"id":30,"name":"Category","value":"Issue"},{"id":3,"name":"Functional Component","value":"Onboard"},{"id":31,"name":"Version","value":"N/A"},{"id":8,"name":"Reporting RR","value":"WABTEC"},{"id":27,"name":"Locomotive ID","value":"4006"},{"id":20,"name":"RR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UTC","value":"2017-07-01 16:35:02"},{"id":29,"name":"Sharepoint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0"/>
      <c r="AP170"/>
      <c r="AQ170"/>
      <c r="AR170"/>
      <c r="AS170"/>
      <c r="AT170"/>
      <c r="AU170"/>
      <c r="AV170"/>
      <c r="AW170"/>
      <c r="AX170"/>
      <c r="AY170"/>
      <c r="AZ170"/>
      <c r="BA170"/>
      <c r="BB170"/>
      <c r="BC170"/>
      <c r="BD170"/>
      <c r="BE170"/>
      <c r="BF170"/>
      <c r="BG170"/>
      <c r="BH170"/>
      <c r="BI170"/>
      <c r="BJ170"/>
      <c r="BK170"/>
      <c r="BL170"/>
      <c r="BM170"/>
      <c r="BN170"/>
      <c r="BO170"/>
      <c r="BP170"/>
      <c r="BQ170"/>
      <c r="BR170"/>
      <c r="BS170"/>
      <c r="BT170"/>
      <c r="BU170"/>
      <c r="BV170"/>
      <c r="BW170"/>
      <c r="BX170"/>
      <c r="BY170"/>
      <c r="BZ170"/>
      <c r="CA170"/>
      <c r="CB170"/>
      <c r="CC170"/>
      <c r="CD170"/>
      <c r="CE170"/>
      <c r="CF170"/>
      <c r="CG170"/>
      <c r="CH170"/>
      <c r="CI170"/>
      <c r="CJ170"/>
      <c r="CK170"/>
      <c r="CL170"/>
      <c r="CM170"/>
    </row>
    <row r="171" spans="1:91" x14ac:dyDescent="0.25">
      <c r="A171" s="32" t="s">
        <v>763</v>
      </c>
      <c r="B171" s="7">
        <v>4005</v>
      </c>
      <c r="C171" s="21" t="s">
        <v>202</v>
      </c>
      <c r="D171" s="21" t="s">
        <v>941</v>
      </c>
      <c r="E171" s="13">
        <v>42917.442280092589</v>
      </c>
      <c r="F171" s="13">
        <v>42917.443935185183</v>
      </c>
      <c r="G171" s="7">
        <v>1</v>
      </c>
      <c r="H171" s="21" t="s">
        <v>630</v>
      </c>
      <c r="I171" s="13">
        <v>42917.454629629632</v>
      </c>
      <c r="J171" s="7">
        <v>0</v>
      </c>
      <c r="K171" s="89" t="str">
        <f t="shared" si="48"/>
        <v>4005/4006</v>
      </c>
      <c r="L171" s="21" t="str">
        <f>VLOOKUP(A171,'Trips&amp;Operators'!$C$1:$G$99999,5,FALSE)</f>
        <v>ROCHA YAOTL</v>
      </c>
      <c r="M171" s="6">
        <f t="shared" si="49"/>
        <v>1.0694444448745344E-2</v>
      </c>
      <c r="N171" s="7">
        <f t="shared" si="64"/>
        <v>15.400000006193295</v>
      </c>
      <c r="O171" s="7"/>
      <c r="P171" s="7"/>
      <c r="Q171" s="22"/>
      <c r="R171" s="170"/>
      <c r="S171" s="213">
        <f t="shared" si="66"/>
        <v>1</v>
      </c>
      <c r="T171" s="195" t="str">
        <f t="shared" si="50"/>
        <v>Southbound</v>
      </c>
      <c r="U171" s="195">
        <f>IF(AG171="EC",COUNTIFS(Variables!$M$2:$M$19,IF(T171="NorthBound","&gt;=","&lt;=")&amp;Y171,Variables!$M$2:$M$19,IF(T171="NorthBound","&lt;=","&gt;=")&amp;Z171),COUNTIFS(Variables!$P$2:$P$19,IF(T171="NorthBound","&gt;=","&lt;=")&amp;Y171,Variables!$P$2:$P$19,IF(T171="NorthBound","&lt;=","&gt;=")&amp;Z171))</f>
        <v>1</v>
      </c>
      <c r="V171" s="196" t="str">
        <f t="shared" si="51"/>
        <v>https://d0f6bd738d7f1b3e5a7ca70fe4ff75f0.us-east-1.aws.found.io/app/kibana#/discover/Steve-Slow-Train-Analysis-(2080s-and-2083s)?_g=(refreshInterval:(display:Off,pause:!f,section:0,value:0),time:(from:'2017-07-01T09:36:53-0600',mode:absolute,to:'2017-07-01T11:54:40-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W171" s="197" t="str">
        <f>IF(AA171&lt;VLOOKUP(AG171,Variables!$AC$3:$AD$8,2,FALSE),"Y","N")</f>
        <v>N</v>
      </c>
      <c r="X171" s="197">
        <f t="shared" si="67"/>
        <v>1</v>
      </c>
      <c r="Y171" s="197">
        <f t="shared" si="53"/>
        <v>5.867</v>
      </c>
      <c r="Z171" s="197">
        <f t="shared" si="54"/>
        <v>6.7500000000000004E-2</v>
      </c>
      <c r="AA171" s="197">
        <f t="shared" si="55"/>
        <v>5.7995000000000001</v>
      </c>
      <c r="AB171" s="54" t="e">
        <f>VLOOKUP(A171,Enforcements!$C$7:$K$13,8,0)</f>
        <v>#N/A</v>
      </c>
      <c r="AC171" s="51" t="e">
        <f>VLOOKUP(A171,Enforcements!$C$7:$E$13,3,0)</f>
        <v>#N/A</v>
      </c>
      <c r="AD171" s="206">
        <f t="shared" si="56"/>
        <v>1810</v>
      </c>
      <c r="AE171" s="77" t="str">
        <f t="shared" si="57"/>
        <v>aws s3 cp s3://rtdc.mdm.uploadarchive.raw/RTDC4005/ "%USERPROFILE%\AppData\Local\Temp\OnboardLogs"\RTDC4005\2017-07-01 --exclude "*" --recursive --include "*20170701*" &amp; "%USERPROFILE%\Documents\GitHub\mrs-test-scripts\Headless Mode &amp; Sideloading\WalkAndUnGZ.bat" "%USERPROFILE%\AppData\Local\Temp\OnboardLogs"\RTDC4005\2017-07-01 &amp; aws s3 cp s3://rtdc.mdm.uploadarchive.raw/RTDC4005/ "%USERPROFILE%\AppData\Local\Temp\OnboardLogs"\RTDC4005\2017-07-02 --exclude "*" --recursive --include "*20170702*" &amp; "%USERPROFILE%\Documents\GitHub\mrs-test-scripts\Headless Mode &amp; Sideloading\WalkAndUnGZ.bat" "%USERPROFILE%\AppData\Local\Temp\OnboardLogs"\RTDC4005\2017-07-02</v>
      </c>
      <c r="AF171" s="74" t="str">
        <f t="shared" si="58"/>
        <v>"C:\Program Files (x86)\AstroGrep\AstroGrep.exe" /e /r /s /spath="%USERPROFILE%\AppData\Local\Temp\OnboardLogs" /stypes="app*4005*20170701*" /stext=" 16:.+((SYSTEM_STATE.+slice.+state.+changed )|(ment ac)|(multiple cpu faults)|(system.+state.+changed )|(\[timeout)|(PRM\|1\|D)|(kpr)|(kdp)|(train st.+moving)|(\|lc)|(penalty))"</v>
      </c>
      <c r="AG171" s="209" t="str">
        <f t="shared" si="59"/>
        <v>NW</v>
      </c>
      <c r="AH171" s="78" t="str">
        <f t="shared" si="60"/>
        <v>"%USERPROFILE%\Documents\GitHub\eaglep3\Utilities\RefineRTDCRunTimes.py" --tripid 1810-01 --locoid 4005 --swversion DE.1.0.9.0 --startMP 300:58670 --initTime 2017-07-01T10:36:53 --startdatetime 2017-07-01T10:39:16 --delay 1 --endMP 204:675 --enddatetime 2017-07-01T10:54:40 --enforcementcount 0 &gt;&gt;C:\Users\stu\Documents\GitHub\eaglep3-reporting\EC\2017-07-01-refined-times.txt</v>
      </c>
      <c r="AI171" s="96" t="str">
        <f t="shared" si="61"/>
        <v>echo {"issue":{"subject":"","project_id":79,"tracker_id":40,"status_id":1,"priority_id":2,"assigned_to_id":23,"start_date":"2017-07-01","description":"","custom_fields":[{"id":1,"name":"Subdivision","value":"NW"},{"id":4,"name":"Milepost","value":"0.0675"},{"id":17,"name":"Train ID","value":"1810-01"},{"id":16,"name":"Locomotive ID","value":"4005"},{"id":130,"name":"Impact","value":""},{"id":150,"name":"Time of Event (Mountain Time)","value":"10:54:40"},{"id":151,"name":"Denver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1" s="20"/>
      <c r="AK171" s="47"/>
      <c r="AL171" s="47"/>
      <c r="AM171" s="142" t="str">
        <f t="shared" si="62"/>
        <v>start /low /b %USERPROFILE%\Documents\GitHub\eaglep3\Utilities\DownloadLogsFromS3.py --loco 4005 --day 2017-07-01</v>
      </c>
      <c r="AN171" s="151" t="str">
        <f t="shared" si="63"/>
        <v>echo {"issue":{"subject":"","project_id":30,"tracker_id":4,"status_id":1,"priority_id":1,"assigned_to_id":10,"start_date":"2017-07-01","description":"","custom_fields":[{"id":30,"name":"Category","value":"Issue"},{"id":3,"name":"Functional Component","value":"Onboard"},{"id":31,"name":"Version","value":"N/A"},{"id":8,"name":"Reporting RR","value":"WABTEC"},{"id":27,"name":"Locomotive ID","value":"4005"},{"id":20,"name":"RR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UTC","value":"2017-07-01 16:54:40"},{"id":29,"name":"Sharepoint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1"/>
    </row>
    <row r="172" spans="1:91" x14ac:dyDescent="0.25">
      <c r="A172" s="32" t="s">
        <v>770</v>
      </c>
      <c r="B172" s="7">
        <v>4006</v>
      </c>
      <c r="C172" s="21" t="s">
        <v>202</v>
      </c>
      <c r="D172" s="21" t="s">
        <v>942</v>
      </c>
      <c r="E172" s="13">
        <v>42917.469618055555</v>
      </c>
      <c r="F172" s="13">
        <v>42917.474930555552</v>
      </c>
      <c r="G172" s="7">
        <v>1</v>
      </c>
      <c r="H172" s="21" t="s">
        <v>561</v>
      </c>
      <c r="I172" s="13">
        <v>42917.485011574077</v>
      </c>
      <c r="J172" s="7">
        <v>0</v>
      </c>
      <c r="K172" s="89" t="str">
        <f t="shared" si="48"/>
        <v>4005/4006</v>
      </c>
      <c r="L172" s="21" t="str">
        <f>VLOOKUP(A172,'Trips&amp;Operators'!$C$1:$G$99999,5,FALSE)</f>
        <v>BROWN JACOB</v>
      </c>
      <c r="M172" s="6">
        <f t="shared" si="49"/>
        <v>1.008101852494292E-2</v>
      </c>
      <c r="N172" s="7">
        <f t="shared" si="64"/>
        <v>14.516666675917804</v>
      </c>
      <c r="O172" s="7"/>
      <c r="P172" s="7"/>
      <c r="Q172" s="22"/>
      <c r="R172" s="170"/>
      <c r="S172" s="213">
        <f t="shared" si="66"/>
        <v>1</v>
      </c>
      <c r="T172" s="195" t="str">
        <f t="shared" si="50"/>
        <v>NorthBound</v>
      </c>
      <c r="U172" s="195">
        <f>IF(AG172="EC",COUNTIFS(Variables!$M$2:$M$19,IF(T172="NorthBound","&gt;=","&lt;=")&amp;Y172,Variables!$M$2:$M$19,IF(T172="NorthBound","&lt;=","&gt;=")&amp;Z172),COUNTIFS(Variables!$P$2:$P$19,IF(T172="NorthBound","&gt;=","&lt;=")&amp;Y172,Variables!$P$2:$P$19,IF(T172="NorthBound","&lt;=","&gt;=")&amp;Z172))</f>
        <v>1</v>
      </c>
      <c r="V172" s="196" t="str">
        <f t="shared" si="51"/>
        <v>https://d0f6bd738d7f1b3e5a7ca70fe4ff75f0.us-east-1.aws.found.io/app/kibana#/discover/Steve-Slow-Train-Analysis-(2080s-and-2083s)?_g=(refreshInterval:(display:Off,pause:!f,section:0,value:0),time:(from:'2017-07-01T10:16:15-0600',mode:absolute,to:'2017-07-01T12:38:25-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W172" s="197" t="str">
        <f>IF(AA172&lt;VLOOKUP(AG172,Variables!$AC$3:$AD$8,2,FALSE),"Y","N")</f>
        <v>N</v>
      </c>
      <c r="X172" s="197">
        <f t="shared" si="67"/>
        <v>1</v>
      </c>
      <c r="Y172" s="197">
        <f t="shared" si="53"/>
        <v>9.6000000000000002E-2</v>
      </c>
      <c r="Z172" s="197">
        <f t="shared" si="54"/>
        <v>5.8954000000000004</v>
      </c>
      <c r="AA172" s="197">
        <f t="shared" si="55"/>
        <v>5.7994000000000003</v>
      </c>
      <c r="AB172" s="54" t="e">
        <f>VLOOKUP(A172,Enforcements!$C$7:$K$13,8,0)</f>
        <v>#N/A</v>
      </c>
      <c r="AC172" s="51" t="e">
        <f>VLOOKUP(A172,Enforcements!$C$7:$E$13,3,0)</f>
        <v>#N/A</v>
      </c>
      <c r="AD172" s="206">
        <f t="shared" si="56"/>
        <v>1811</v>
      </c>
      <c r="AE172" s="77" t="str">
        <f t="shared" si="57"/>
        <v>aws s3 cp s3://rtdc.mdm.uploadarchive.raw/RTDC4006/ "%USERPROFILE%\AppData\Local\Temp\OnboardLogs"\RTDC4006\2017-07-01 --exclude "*" --recursive --include "*20170701*" &amp; "%USERPROFILE%\Documents\GitHub\mrs-test-scripts\Headless Mode &amp; Sideloading\WalkAndUnGZ.bat" "%USERPROFILE%\AppData\Local\Temp\OnboardLogs"\RTDC4006\2017-07-01 &amp; aws s3 cp s3://rtdc.mdm.uploadarchive.raw/RTDC4006/ "%USERPROFILE%\AppData\Local\Temp\OnboardLogs"\RTDC4006\2017-07-02 --exclude "*" --recursive --include "*20170702*" &amp; "%USERPROFILE%\Documents\GitHub\mrs-test-scripts\Headless Mode &amp; Sideloading\WalkAndUnGZ.bat" "%USERPROFILE%\AppData\Local\Temp\OnboardLogs"\RTDC4006\2017-07-02</v>
      </c>
      <c r="AF172" s="74" t="str">
        <f t="shared" si="58"/>
        <v>"C:\Program Files (x86)\AstroGrep\AstroGrep.exe" /e /r /s /spath="%USERPROFILE%\AppData\Local\Temp\OnboardLogs" /stypes="app*4006*20170701*" /stext=" 17:.+((SYSTEM_STATE.+slice.+state.+changed )|(ment ac)|(multiple cpu faults)|(system.+state.+changed )|(\[timeout)|(PRM\|1\|D)|(kpr)|(kdp)|(train st.+moving)|(\|lc)|(penalty))"</v>
      </c>
      <c r="AG172" s="209" t="str">
        <f t="shared" si="59"/>
        <v>NW</v>
      </c>
      <c r="AH172" s="78" t="str">
        <f t="shared" si="60"/>
        <v>"%USERPROFILE%\Documents\GitHub\eaglep3\Utilities\RefineRTDCRunTimes.py" --tripid 1811-01 --locoid 4006 --swversion DE.1.0.9.0 --startMP 204:960 --initTime 2017-07-01T11:16:15 --startdatetime 2017-07-01T11:23:54 --delay 1 --endMP 300:58954 --enddatetime 2017-07-01T11:38:25 --enforcementcount 0 &gt;&gt;C:\Users\stu\Documents\GitHub\eaglep3-reporting\EC\2017-07-01-refined-times.txt</v>
      </c>
      <c r="AI172" s="96" t="str">
        <f t="shared" si="61"/>
        <v>echo {"issue":{"subject":"","project_id":79,"tracker_id":40,"status_id":1,"priority_id":2,"assigned_to_id":23,"start_date":"2017-07-01","description":"","custom_fields":[{"id":1,"name":"Subdivision","value":"NW"},{"id":4,"name":"Milepost","value":"5.8954"},{"id":17,"name":"Train ID","value":"1811-01"},{"id":16,"name":"Locomotive ID","value":"4006"},{"id":130,"name":"Impact","value":""},{"id":150,"name":"Time of Event (Mountain Time)","value":"11:38:25"},{"id":151,"name":"Denver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2" s="20"/>
      <c r="AK172" s="47"/>
      <c r="AL172" s="47"/>
      <c r="AM172" s="142" t="str">
        <f t="shared" si="62"/>
        <v>start /low /b %USERPROFILE%\Documents\GitHub\eaglep3\Utilities\DownloadLogsFromS3.py --loco 4006 --day 2017-07-01</v>
      </c>
      <c r="AN172" s="151" t="str">
        <f t="shared" si="63"/>
        <v>echo {"issue":{"subject":"","project_id":30,"tracker_id":4,"status_id":1,"priority_id":1,"assigned_to_id":10,"start_date":"2017-07-01","description":"","custom_fields":[{"id":30,"name":"Category","value":"Issue"},{"id":3,"name":"Functional Component","value":"Onboard"},{"id":31,"name":"Version","value":"N/A"},{"id":8,"name":"Reporting RR","value":"WABTEC"},{"id":27,"name":"Locomotive ID","value":"4006"},{"id":20,"name":"RR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UTC","value":"2017-07-01 17:38:25"},{"id":29,"name":"Sharepoint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2"/>
    </row>
    <row r="173" spans="1:91" x14ac:dyDescent="0.25">
      <c r="A173" s="32" t="s">
        <v>778</v>
      </c>
      <c r="B173" s="7">
        <v>4005</v>
      </c>
      <c r="C173" s="21" t="s">
        <v>202</v>
      </c>
      <c r="D173" s="21" t="s">
        <v>502</v>
      </c>
      <c r="E173" s="13">
        <v>42917.485856481479</v>
      </c>
      <c r="F173" s="13">
        <v>42917.487546296295</v>
      </c>
      <c r="G173" s="7">
        <v>2</v>
      </c>
      <c r="H173" s="21" t="s">
        <v>943</v>
      </c>
      <c r="I173" s="13">
        <v>42917.49695601852</v>
      </c>
      <c r="J173" s="7">
        <v>0</v>
      </c>
      <c r="K173" s="89" t="str">
        <f t="shared" si="48"/>
        <v>4005/4006</v>
      </c>
      <c r="L173" s="21" t="str">
        <f>VLOOKUP(A173,'Trips&amp;Operators'!$C$1:$G$99999,5,FALSE)</f>
        <v>BROWN JACOB</v>
      </c>
      <c r="M173" s="6">
        <f t="shared" si="49"/>
        <v>9.4097222245181911E-3</v>
      </c>
      <c r="N173" s="7">
        <f t="shared" si="64"/>
        <v>13.550000003306195</v>
      </c>
      <c r="O173" s="7"/>
      <c r="P173" s="7"/>
      <c r="Q173" s="22"/>
      <c r="R173" s="170"/>
      <c r="S173" s="213">
        <f t="shared" si="66"/>
        <v>1</v>
      </c>
      <c r="T173" s="195" t="str">
        <f t="shared" si="50"/>
        <v>Southbound</v>
      </c>
      <c r="U173" s="195">
        <f>IF(AG173="EC",COUNTIFS(Variables!$M$2:$M$19,IF(T173="NorthBound","&gt;=","&lt;=")&amp;Y173,Variables!$M$2:$M$19,IF(T173="NorthBound","&lt;=","&gt;=")&amp;Z173),COUNTIFS(Variables!$P$2:$P$19,IF(T173="NorthBound","&gt;=","&lt;=")&amp;Y173,Variables!$P$2:$P$19,IF(T173="NorthBound","&lt;=","&gt;=")&amp;Z173))</f>
        <v>1</v>
      </c>
      <c r="V173" s="196" t="str">
        <f t="shared" si="51"/>
        <v>https://d0f6bd738d7f1b3e5a7ca70fe4ff75f0.us-east-1.aws.found.io/app/kibana#/discover/Steve-Slow-Train-Analysis-(2080s-and-2083s)?_g=(refreshInterval:(display:Off,pause:!f,section:0,value:0),time:(from:'2017-07-01T10:39:38-0600',mode:absolute,to:'2017-07-01T12:55:37-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W173" s="197" t="str">
        <f>IF(AA173&lt;VLOOKUP(AG173,Variables!$AC$3:$AD$8,2,FALSE),"Y","N")</f>
        <v>N</v>
      </c>
      <c r="X173" s="197">
        <f t="shared" si="67"/>
        <v>1</v>
      </c>
      <c r="Y173" s="197">
        <f t="shared" si="53"/>
        <v>5.8638000000000003</v>
      </c>
      <c r="Z173" s="197">
        <f t="shared" si="54"/>
        <v>7.1999999999999995E-2</v>
      </c>
      <c r="AA173" s="197">
        <f t="shared" si="55"/>
        <v>5.7918000000000003</v>
      </c>
      <c r="AB173" s="54" t="e">
        <f>VLOOKUP(A173,Enforcements!$C$7:$K$13,8,0)</f>
        <v>#N/A</v>
      </c>
      <c r="AC173" s="51" t="e">
        <f>VLOOKUP(A173,Enforcements!$C$7:$E$13,3,0)</f>
        <v>#N/A</v>
      </c>
      <c r="AD173" s="206">
        <f t="shared" si="56"/>
        <v>1812</v>
      </c>
      <c r="AE173" s="77" t="str">
        <f t="shared" si="57"/>
        <v>aws s3 cp s3://rtdc.mdm.uploadarchive.raw/RTDC4005/ "%USERPROFILE%\AppData\Local\Temp\OnboardLogs"\RTDC4005\2017-07-01 --exclude "*" --recursive --include "*20170701*" &amp; "%USERPROFILE%\Documents\GitHub\mrs-test-scripts\Headless Mode &amp; Sideloading\WalkAndUnGZ.bat" "%USERPROFILE%\AppData\Local\Temp\OnboardLogs"\RTDC4005\2017-07-01 &amp; aws s3 cp s3://rtdc.mdm.uploadarchive.raw/RTDC4005/ "%USERPROFILE%\AppData\Local\Temp\OnboardLogs"\RTDC4005\2017-07-02 --exclude "*" --recursive --include "*20170702*" &amp; "%USERPROFILE%\Documents\GitHub\mrs-test-scripts\Headless Mode &amp; Sideloading\WalkAndUnGZ.bat" "%USERPROFILE%\AppData\Local\Temp\OnboardLogs"\RTDC4005\2017-07-02</v>
      </c>
      <c r="AF173" s="74" t="str">
        <f t="shared" si="58"/>
        <v>"C:\Program Files (x86)\AstroGrep\AstroGrep.exe" /e /r /s /spath="%USERPROFILE%\AppData\Local\Temp\OnboardLogs" /stypes="app*4005*20170701*" /stext=" 17:.+((SYSTEM_STATE.+slice.+state.+changed )|(ment ac)|(multiple cpu faults)|(system.+state.+changed )|(\[timeout)|(PRM\|1\|D)|(kpr)|(kdp)|(train st.+moving)|(\|lc)|(penalty))"</v>
      </c>
      <c r="AG173" s="209" t="str">
        <f t="shared" si="59"/>
        <v>NW</v>
      </c>
      <c r="AH173" s="78" t="str">
        <f t="shared" si="60"/>
        <v>"%USERPROFILE%\Documents\GitHub\eaglep3\Utilities\RefineRTDCRunTimes.py" --tripid 1812-01 --locoid 4005 --swversion DE.1.0.9.0 --startMP 300:58638 --initTime 2017-07-01T11:39:38 --startdatetime 2017-07-01T11:42:04 --delay 2 --endMP 204:720 --enddatetime 2017-07-01T11:55:37 --enforcementcount 0 &gt;&gt;C:\Users\stu\Documents\GitHub\eaglep3-reporting\EC\2017-07-01-refined-times.txt</v>
      </c>
      <c r="AI173" s="96" t="str">
        <f t="shared" si="61"/>
        <v>echo {"issue":{"subject":"","project_id":79,"tracker_id":40,"status_id":1,"priority_id":2,"assigned_to_id":23,"start_date":"2017-07-01","description":"","custom_fields":[{"id":1,"name":"Subdivision","value":"NW"},{"id":4,"name":"Milepost","value":"0.072"},{"id":17,"name":"Train ID","value":"1812-01"},{"id":16,"name":"Locomotive ID","value":"4005"},{"id":130,"name":"Impact","value":""},{"id":150,"name":"Time of Event (Mountain Time)","value":"11:55:37"},{"id":151,"name":"Denver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3" s="20"/>
      <c r="AK173" s="47"/>
      <c r="AL173" s="47"/>
      <c r="AM173" s="142" t="str">
        <f t="shared" si="62"/>
        <v>start /low /b %USERPROFILE%\Documents\GitHub\eaglep3\Utilities\DownloadLogsFromS3.py --loco 4005 --day 2017-07-01</v>
      </c>
      <c r="AN173" s="151" t="str">
        <f t="shared" si="63"/>
        <v>echo {"issue":{"subject":"","project_id":30,"tracker_id":4,"status_id":1,"priority_id":1,"assigned_to_id":10,"start_date":"2017-07-01","description":"","custom_fields":[{"id":30,"name":"Category","value":"Issue"},{"id":3,"name":"Functional Component","value":"Onboard"},{"id":31,"name":"Version","value":"N/A"},{"id":8,"name":"Reporting RR","value":"WABTEC"},{"id":27,"name":"Locomotive ID","value":"4005"},{"id":20,"name":"RR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UTC","value":"2017-07-01 17:55:37"},{"id":29,"name":"Sharepoint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3"/>
    </row>
    <row r="174" spans="1:91" x14ac:dyDescent="0.25">
      <c r="A174" s="32" t="s">
        <v>782</v>
      </c>
      <c r="B174" s="7">
        <v>4006</v>
      </c>
      <c r="C174" s="21" t="s">
        <v>202</v>
      </c>
      <c r="D174" s="21" t="s">
        <v>944</v>
      </c>
      <c r="E174" s="13">
        <v>42917.512465277781</v>
      </c>
      <c r="F174" s="13">
        <v>42917.514780092592</v>
      </c>
      <c r="G174" s="7">
        <v>2</v>
      </c>
      <c r="H174" s="21" t="s">
        <v>945</v>
      </c>
      <c r="I174" s="13">
        <v>42917.524652777778</v>
      </c>
      <c r="J174" s="7">
        <v>0</v>
      </c>
      <c r="K174" s="89" t="str">
        <f t="shared" si="48"/>
        <v>4005/4006</v>
      </c>
      <c r="L174" s="21" t="str">
        <f>VLOOKUP(A174,'Trips&amp;Operators'!$C$1:$G$99999,5,FALSE)</f>
        <v>BROWN JACOB</v>
      </c>
      <c r="M174" s="6">
        <f t="shared" si="49"/>
        <v>9.8726851865649223E-3</v>
      </c>
      <c r="N174" s="7">
        <f t="shared" si="64"/>
        <v>14.216666668653488</v>
      </c>
      <c r="O174" s="7"/>
      <c r="P174" s="7"/>
      <c r="Q174" s="22"/>
      <c r="R174" s="170"/>
      <c r="S174" s="213">
        <f t="shared" si="66"/>
        <v>1</v>
      </c>
      <c r="T174" s="195" t="str">
        <f t="shared" si="50"/>
        <v>NorthBound</v>
      </c>
      <c r="U174" s="195">
        <f>IF(AG174="EC",COUNTIFS(Variables!$M$2:$M$19,IF(T174="NorthBound","&gt;=","&lt;=")&amp;Y174,Variables!$M$2:$M$19,IF(T174="NorthBound","&lt;=","&gt;=")&amp;Z174),COUNTIFS(Variables!$P$2:$P$19,IF(T174="NorthBound","&gt;=","&lt;=")&amp;Y174,Variables!$P$2:$P$19,IF(T174="NorthBound","&lt;=","&gt;=")&amp;Z174))</f>
        <v>1</v>
      </c>
      <c r="V174" s="196" t="str">
        <f t="shared" si="51"/>
        <v>https://d0f6bd738d7f1b3e5a7ca70fe4ff75f0.us-east-1.aws.found.io/app/kibana#/discover/Steve-Slow-Train-Analysis-(2080s-and-2083s)?_g=(refreshInterval:(display:Off,pause:!f,section:0,value:0),time:(from:'2017-07-01T11:17:57-0600',mode:absolute,to:'2017-07-01T13:35:30-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W174" s="197" t="str">
        <f>IF(AA174&lt;VLOOKUP(AG174,Variables!$AC$3:$AD$8,2,FALSE),"Y","N")</f>
        <v>N</v>
      </c>
      <c r="X174" s="197">
        <f t="shared" si="67"/>
        <v>1</v>
      </c>
      <c r="Y174" s="197">
        <f t="shared" si="53"/>
        <v>0.1002</v>
      </c>
      <c r="Z174" s="197">
        <f t="shared" si="54"/>
        <v>5.8930999999999996</v>
      </c>
      <c r="AA174" s="197">
        <f t="shared" si="55"/>
        <v>5.7928999999999995</v>
      </c>
      <c r="AB174" s="54" t="e">
        <f>VLOOKUP(A174,Enforcements!$C$7:$K$13,8,0)</f>
        <v>#N/A</v>
      </c>
      <c r="AC174" s="51" t="e">
        <f>VLOOKUP(A174,Enforcements!$C$7:$E$13,3,0)</f>
        <v>#N/A</v>
      </c>
      <c r="AD174" s="206">
        <f t="shared" si="56"/>
        <v>1813</v>
      </c>
      <c r="AE174" s="77" t="str">
        <f t="shared" si="57"/>
        <v>aws s3 cp s3://rtdc.mdm.uploadarchive.raw/RTDC4006/ "%USERPROFILE%\AppData\Local\Temp\OnboardLogs"\RTDC4006\2017-07-01 --exclude "*" --recursive --include "*20170701*" &amp; "%USERPROFILE%\Documents\GitHub\mrs-test-scripts\Headless Mode &amp; Sideloading\WalkAndUnGZ.bat" "%USERPROFILE%\AppData\Local\Temp\OnboardLogs"\RTDC4006\2017-07-01 &amp; aws s3 cp s3://rtdc.mdm.uploadarchive.raw/RTDC4006/ "%USERPROFILE%\AppData\Local\Temp\OnboardLogs"\RTDC4006\2017-07-02 --exclude "*" --recursive --include "*20170702*" &amp; "%USERPROFILE%\Documents\GitHub\mrs-test-scripts\Headless Mode &amp; Sideloading\WalkAndUnGZ.bat" "%USERPROFILE%\AppData\Local\Temp\OnboardLogs"\RTDC4006\2017-07-02</v>
      </c>
      <c r="AF174" s="74" t="str">
        <f t="shared" si="58"/>
        <v>"C:\Program Files (x86)\AstroGrep\AstroGrep.exe" /e /r /s /spath="%USERPROFILE%\AppData\Local\Temp\OnboardLogs" /stypes="app*4006*20170701*" /stext=" 18:.+((SYSTEM_STATE.+slice.+state.+changed )|(ment ac)|(multiple cpu faults)|(system.+state.+changed )|(\[timeout)|(PRM\|1\|D)|(kpr)|(kdp)|(train st.+moving)|(\|lc)|(penalty))"</v>
      </c>
      <c r="AG174" s="209" t="str">
        <f t="shared" si="59"/>
        <v>NW</v>
      </c>
      <c r="AH174" s="78" t="str">
        <f t="shared" si="60"/>
        <v>"%USERPROFILE%\Documents\GitHub\eaglep3\Utilities\RefineRTDCRunTimes.py" --tripid 1813-01 --locoid 4006 --swversion DE.1.0.9.0 --startMP 204:1002 --initTime 2017-07-01T12:17:57 --startdatetime 2017-07-01T12:21:17 --delay 2 --endMP 300:58931 --enddatetime 2017-07-01T12:35:30 --enforcementcount 0 &gt;&gt;C:\Users\stu\Documents\GitHub\eaglep3-reporting\EC\2017-07-01-refined-times.txt</v>
      </c>
      <c r="AI174" s="96" t="str">
        <f t="shared" si="61"/>
        <v>echo {"issue":{"subject":"","project_id":79,"tracker_id":40,"status_id":1,"priority_id":2,"assigned_to_id":23,"start_date":"2017-07-01","description":"","custom_fields":[{"id":1,"name":"Subdivision","value":"NW"},{"id":4,"name":"Milepost","value":"5.8931"},{"id":17,"name":"Train ID","value":"1813-01"},{"id":16,"name":"Locomotive ID","value":"4006"},{"id":130,"name":"Impact","value":""},{"id":150,"name":"Time of Event (Mountain Time)","value":"12:35:30"},{"id":151,"name":"Denver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4" s="20"/>
      <c r="AK174" s="47"/>
      <c r="AL174" s="47"/>
      <c r="AM174" s="142" t="str">
        <f t="shared" si="62"/>
        <v>start /low /b %USERPROFILE%\Documents\GitHub\eaglep3\Utilities\DownloadLogsFromS3.py --loco 4006 --day 2017-07-01</v>
      </c>
      <c r="AN174" s="151" t="str">
        <f t="shared" si="63"/>
        <v>echo {"issue":{"subject":"","project_id":30,"tracker_id":4,"status_id":1,"priority_id":1,"assigned_to_id":10,"start_date":"2017-07-01","description":"","custom_fields":[{"id":30,"name":"Category","value":"Issue"},{"id":3,"name":"Functional Component","value":"Onboard"},{"id":31,"name":"Version","value":"N/A"},{"id":8,"name":"Reporting RR","value":"WABTEC"},{"id":27,"name":"Locomotive ID","value":"4006"},{"id":20,"name":"RR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UTC","value":"2017-07-01 18:35:30"},{"id":29,"name":"Sharepoint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4"/>
    </row>
    <row r="175" spans="1:91" x14ac:dyDescent="0.25">
      <c r="A175" s="32" t="s">
        <v>652</v>
      </c>
      <c r="B175" s="7">
        <v>4005</v>
      </c>
      <c r="C175" s="21" t="s">
        <v>202</v>
      </c>
      <c r="D175" s="21" t="s">
        <v>946</v>
      </c>
      <c r="E175" s="13">
        <v>42917.525775462964</v>
      </c>
      <c r="F175" s="13">
        <v>42917.526956018519</v>
      </c>
      <c r="G175" s="7">
        <v>1</v>
      </c>
      <c r="H175" s="21" t="s">
        <v>947</v>
      </c>
      <c r="I175" s="13">
        <v>42917.538113425922</v>
      </c>
      <c r="J175" s="7">
        <v>0</v>
      </c>
      <c r="K175" s="89" t="str">
        <f t="shared" si="48"/>
        <v>4005/4006</v>
      </c>
      <c r="L175" s="21" t="str">
        <f>VLOOKUP(A175,'Trips&amp;Operators'!$C$1:$G$99999,5,FALSE)</f>
        <v>BROWN JACOB</v>
      </c>
      <c r="M175" s="6">
        <f t="shared" si="49"/>
        <v>1.1157407403516117E-2</v>
      </c>
      <c r="N175" s="7">
        <f t="shared" si="64"/>
        <v>16.066666661063209</v>
      </c>
      <c r="O175" s="7"/>
      <c r="P175" s="7"/>
      <c r="Q175" s="22"/>
      <c r="R175" s="170"/>
      <c r="S175" s="213">
        <f t="shared" si="66"/>
        <v>1</v>
      </c>
      <c r="T175" s="195" t="str">
        <f t="shared" si="50"/>
        <v>Southbound</v>
      </c>
      <c r="U175" s="195">
        <f>IF(AG175="EC",COUNTIFS(Variables!$M$2:$M$19,IF(T175="NorthBound","&gt;=","&lt;=")&amp;Y175,Variables!$M$2:$M$19,IF(T175="NorthBound","&lt;=","&gt;=")&amp;Z175),COUNTIFS(Variables!$P$2:$P$19,IF(T175="NorthBound","&gt;=","&lt;=")&amp;Y175,Variables!$P$2:$P$19,IF(T175="NorthBound","&lt;=","&gt;=")&amp;Z175))</f>
        <v>1</v>
      </c>
      <c r="V175" s="196" t="str">
        <f t="shared" si="51"/>
        <v>https://d0f6bd738d7f1b3e5a7ca70fe4ff75f0.us-east-1.aws.found.io/app/kibana#/discover/Steve-Slow-Train-Analysis-(2080s-and-2083s)?_g=(refreshInterval:(display:Off,pause:!f,section:0,value:0),time:(from:'2017-07-01T11:37:07-0600',mode:absolute,to:'2017-07-01T13:54:53-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W175" s="197" t="str">
        <f>IF(AA175&lt;VLOOKUP(AG175,Variables!$AC$3:$AD$8,2,FALSE),"Y","N")</f>
        <v>N</v>
      </c>
      <c r="X175" s="197">
        <f t="shared" si="67"/>
        <v>1</v>
      </c>
      <c r="Y175" s="197">
        <f t="shared" si="53"/>
        <v>5.8615000000000004</v>
      </c>
      <c r="Z175" s="197">
        <f t="shared" si="54"/>
        <v>7.3999999999999996E-2</v>
      </c>
      <c r="AA175" s="197">
        <f t="shared" si="55"/>
        <v>5.7875000000000005</v>
      </c>
      <c r="AB175" s="54" t="e">
        <f>VLOOKUP(A175,Enforcements!$C$7:$K$13,8,0)</f>
        <v>#N/A</v>
      </c>
      <c r="AC175" s="51" t="e">
        <f>VLOOKUP(A175,Enforcements!$C$7:$E$13,3,0)</f>
        <v>#N/A</v>
      </c>
      <c r="AD175" s="206">
        <f t="shared" si="56"/>
        <v>1814</v>
      </c>
      <c r="AE175" s="77" t="str">
        <f t="shared" si="57"/>
        <v>aws s3 cp s3://rtdc.mdm.uploadarchive.raw/RTDC4005/ "%USERPROFILE%\AppData\Local\Temp\OnboardLogs"\RTDC4005\2017-07-01 --exclude "*" --recursive --include "*20170701*" &amp; "%USERPROFILE%\Documents\GitHub\mrs-test-scripts\Headless Mode &amp; Sideloading\WalkAndUnGZ.bat" "%USERPROFILE%\AppData\Local\Temp\OnboardLogs"\RTDC4005\2017-07-01 &amp; aws s3 cp s3://rtdc.mdm.uploadarchive.raw/RTDC4005/ "%USERPROFILE%\AppData\Local\Temp\OnboardLogs"\RTDC4005\2017-07-02 --exclude "*" --recursive --include "*20170702*" &amp; "%USERPROFILE%\Documents\GitHub\mrs-test-scripts\Headless Mode &amp; Sideloading\WalkAndUnGZ.bat" "%USERPROFILE%\AppData\Local\Temp\OnboardLogs"\RTDC4005\2017-07-02</v>
      </c>
      <c r="AF175" s="74" t="str">
        <f t="shared" si="58"/>
        <v>"C:\Program Files (x86)\AstroGrep\AstroGrep.exe" /e /r /s /spath="%USERPROFILE%\AppData\Local\Temp\OnboardLogs" /stypes="app*4005*20170701*" /stext=" 18:.+((SYSTEM_STATE.+slice.+state.+changed )|(ment ac)|(multiple cpu faults)|(system.+state.+changed )|(\[timeout)|(PRM\|1\|D)|(kpr)|(kdp)|(train st.+moving)|(\|lc)|(penalty))"</v>
      </c>
      <c r="AG175" s="209" t="str">
        <f t="shared" si="59"/>
        <v>NW</v>
      </c>
      <c r="AH175" s="78" t="str">
        <f t="shared" si="60"/>
        <v>"%USERPROFILE%\Documents\GitHub\eaglep3\Utilities\RefineRTDCRunTimes.py" --tripid 1814-01 --locoid 4005 --swversion DE.1.0.9.0 --startMP 300:58615 --initTime 2017-07-01T12:37:07 --startdatetime 2017-07-01T12:38:49 --delay 1 --endMP 204:740 --enddatetime 2017-07-01T12:54:53 --enforcementcount 0 &gt;&gt;C:\Users\stu\Documents\GitHub\eaglep3-reporting\EC\2017-07-01-refined-times.txt</v>
      </c>
      <c r="AI175" s="96" t="str">
        <f t="shared" si="61"/>
        <v>echo {"issue":{"subject":"","project_id":79,"tracker_id":40,"status_id":1,"priority_id":2,"assigned_to_id":23,"start_date":"2017-07-01","description":"","custom_fields":[{"id":1,"name":"Subdivision","value":"NW"},{"id":4,"name":"Milepost","value":"0.074"},{"id":17,"name":"Train ID","value":"1814-01"},{"id":16,"name":"Locomotive ID","value":"4005"},{"id":130,"name":"Impact","value":""},{"id":150,"name":"Time of Event (Mountain Time)","value":"12:54:53"},{"id":151,"name":"Denver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5" s="20"/>
      <c r="AK175" s="47"/>
      <c r="AL175" s="47"/>
      <c r="AM175" s="142" t="str">
        <f t="shared" si="62"/>
        <v>start /low /b %USERPROFILE%\Documents\GitHub\eaglep3\Utilities\DownloadLogsFromS3.py --loco 4005 --day 2017-07-01</v>
      </c>
      <c r="AN175" s="151" t="str">
        <f t="shared" si="63"/>
        <v>echo {"issue":{"subject":"","project_id":30,"tracker_id":4,"status_id":1,"priority_id":1,"assigned_to_id":10,"start_date":"2017-07-01","description":"","custom_fields":[{"id":30,"name":"Category","value":"Issue"},{"id":3,"name":"Functional Component","value":"Onboard"},{"id":31,"name":"Version","value":"N/A"},{"id":8,"name":"Reporting RR","value":"WABTEC"},{"id":27,"name":"Locomotive ID","value":"4005"},{"id":20,"name":"RR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UTC","value":"2017-07-01 18:54:53"},{"id":29,"name":"Sharepoint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5"/>
    </row>
    <row r="176" spans="1:91" x14ac:dyDescent="0.25">
      <c r="A176" s="32" t="s">
        <v>788</v>
      </c>
      <c r="B176" s="7">
        <v>4006</v>
      </c>
      <c r="C176" s="21" t="s">
        <v>202</v>
      </c>
      <c r="D176" s="21" t="s">
        <v>948</v>
      </c>
      <c r="E176" s="13">
        <v>42917.554618055554</v>
      </c>
      <c r="F176" s="13">
        <v>42917.556481481479</v>
      </c>
      <c r="G176" s="7">
        <v>2</v>
      </c>
      <c r="H176" s="21" t="s">
        <v>501</v>
      </c>
      <c r="I176" s="13">
        <v>42917.566030092596</v>
      </c>
      <c r="J176" s="7">
        <v>0</v>
      </c>
      <c r="K176" s="89" t="str">
        <f t="shared" si="48"/>
        <v>4005/4006</v>
      </c>
      <c r="L176" s="21" t="str">
        <f>VLOOKUP(A176,'Trips&amp;Operators'!$C$1:$G$99999,5,FALSE)</f>
        <v>BROWN JACOB</v>
      </c>
      <c r="M176" s="6">
        <f t="shared" si="49"/>
        <v>9.5486111167701893E-3</v>
      </c>
      <c r="N176" s="7">
        <f t="shared" si="64"/>
        <v>13.750000008149073</v>
      </c>
      <c r="O176" s="7"/>
      <c r="P176" s="7"/>
      <c r="Q176" s="22"/>
      <c r="R176" s="170"/>
      <c r="S176" s="213">
        <f t="shared" si="66"/>
        <v>1</v>
      </c>
      <c r="T176" s="195" t="str">
        <f t="shared" si="50"/>
        <v>NorthBound</v>
      </c>
      <c r="U176" s="195">
        <f>IF(AG176="EC",COUNTIFS(Variables!$M$2:$M$19,IF(T176="NorthBound","&gt;=","&lt;=")&amp;Y176,Variables!$M$2:$M$19,IF(T176="NorthBound","&lt;=","&gt;=")&amp;Z176),COUNTIFS(Variables!$P$2:$P$19,IF(T176="NorthBound","&gt;=","&lt;=")&amp;Y176,Variables!$P$2:$P$19,IF(T176="NorthBound","&lt;=","&gt;=")&amp;Z176))</f>
        <v>1</v>
      </c>
      <c r="V176" s="196" t="str">
        <f t="shared" si="51"/>
        <v>https://d0f6bd738d7f1b3e5a7ca70fe4ff75f0.us-east-1.aws.found.io/app/kibana#/discover/Steve-Slow-Train-Analysis-(2080s-and-2083s)?_g=(refreshInterval:(display:Off,pause:!f,section:0,value:0),time:(from:'2017-07-01T12:18:39-0600',mode:absolute,to:'2017-07-01T14:35:05-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W176" s="197" t="str">
        <f>IF(AA176&lt;VLOOKUP(AG176,Variables!$AC$3:$AD$8,2,FALSE),"Y","N")</f>
        <v>N</v>
      </c>
      <c r="X176" s="197">
        <f t="shared" si="67"/>
        <v>1</v>
      </c>
      <c r="Y176" s="197">
        <f t="shared" si="53"/>
        <v>0.10299999999999999</v>
      </c>
      <c r="Z176" s="197">
        <f t="shared" si="54"/>
        <v>5.8943000000000003</v>
      </c>
      <c r="AA176" s="197">
        <f t="shared" si="55"/>
        <v>5.7913000000000006</v>
      </c>
      <c r="AB176" s="54" t="e">
        <f>VLOOKUP(A176,Enforcements!$C$7:$K$13,8,0)</f>
        <v>#N/A</v>
      </c>
      <c r="AC176" s="51" t="e">
        <f>VLOOKUP(A176,Enforcements!$C$7:$E$13,3,0)</f>
        <v>#N/A</v>
      </c>
      <c r="AD176" s="206">
        <f t="shared" si="56"/>
        <v>1815</v>
      </c>
      <c r="AE176" s="77" t="str">
        <f t="shared" si="57"/>
        <v>aws s3 cp s3://rtdc.mdm.uploadarchive.raw/RTDC4006/ "%USERPROFILE%\AppData\Local\Temp\OnboardLogs"\RTDC4006\2017-07-01 --exclude "*" --recursive --include "*20170701*" &amp; "%USERPROFILE%\Documents\GitHub\mrs-test-scripts\Headless Mode &amp; Sideloading\WalkAndUnGZ.bat" "%USERPROFILE%\AppData\Local\Temp\OnboardLogs"\RTDC4006\2017-07-01 &amp; aws s3 cp s3://rtdc.mdm.uploadarchive.raw/RTDC4006/ "%USERPROFILE%\AppData\Local\Temp\OnboardLogs"\RTDC4006\2017-07-02 --exclude "*" --recursive --include "*20170702*" &amp; "%USERPROFILE%\Documents\GitHub\mrs-test-scripts\Headless Mode &amp; Sideloading\WalkAndUnGZ.bat" "%USERPROFILE%\AppData\Local\Temp\OnboardLogs"\RTDC4006\2017-07-02</v>
      </c>
      <c r="AF176" s="74" t="str">
        <f t="shared" si="58"/>
        <v>"C:\Program Files (x86)\AstroGrep\AstroGrep.exe" /e /r /s /spath="%USERPROFILE%\AppData\Local\Temp\OnboardLogs" /stypes="app*4006*20170701*" /stext=" 19:.+((SYSTEM_STATE.+slice.+state.+changed )|(ment ac)|(multiple cpu faults)|(system.+state.+changed )|(\[timeout)|(PRM\|1\|D)|(kpr)|(kdp)|(train st.+moving)|(\|lc)|(penalty))"</v>
      </c>
      <c r="AG176" s="209" t="str">
        <f t="shared" si="59"/>
        <v>NW</v>
      </c>
      <c r="AH176" s="78" t="str">
        <f t="shared" si="60"/>
        <v>"%USERPROFILE%\Documents\GitHub\eaglep3\Utilities\RefineRTDCRunTimes.py" --tripid 1815-01 --locoid 4006 --swversion DE.1.0.9.0 --startMP 204:1030 --initTime 2017-07-01T13:18:39 --startdatetime 2017-07-01T13:21:20 --delay 2 --endMP 300:58943 --enddatetime 2017-07-01T13:35:05 --enforcementcount 0 &gt;&gt;C:\Users\stu\Documents\GitHub\eaglep3-reporting\EC\2017-07-01-refined-times.txt</v>
      </c>
      <c r="AI176" s="96" t="str">
        <f t="shared" si="61"/>
        <v>echo {"issue":{"subject":"","project_id":79,"tracker_id":40,"status_id":1,"priority_id":2,"assigned_to_id":23,"start_date":"2017-07-01","description":"","custom_fields":[{"id":1,"name":"Subdivision","value":"NW"},{"id":4,"name":"Milepost","value":"5.8943"},{"id":17,"name":"Train ID","value":"1815-01"},{"id":16,"name":"Locomotive ID","value":"4006"},{"id":130,"name":"Impact","value":""},{"id":150,"name":"Time of Event (Mountain Time)","value":"13:35:05"},{"id":151,"name":"Denver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6" s="20"/>
      <c r="AK176" s="47"/>
      <c r="AL176" s="47"/>
      <c r="AM176" s="142" t="str">
        <f t="shared" si="62"/>
        <v>start /low /b %USERPROFILE%\Documents\GitHub\eaglep3\Utilities\DownloadLogsFromS3.py --loco 4006 --day 2017-07-01</v>
      </c>
      <c r="AN176" s="151" t="str">
        <f t="shared" si="63"/>
        <v>echo {"issue":{"subject":"","project_id":30,"tracker_id":4,"status_id":1,"priority_id":1,"assigned_to_id":10,"start_date":"2017-07-01","description":"","custom_fields":[{"id":30,"name":"Category","value":"Issue"},{"id":3,"name":"Functional Component","value":"Onboard"},{"id":31,"name":"Version","value":"N/A"},{"id":8,"name":"Reporting RR","value":"WABTEC"},{"id":27,"name":"Locomotive ID","value":"4006"},{"id":20,"name":"RR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UTC","value":"2017-07-01 19:35:05"},{"id":29,"name":"Sharepoint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6"/>
    </row>
    <row r="177" spans="1:91" x14ac:dyDescent="0.25">
      <c r="A177" s="32" t="s">
        <v>791</v>
      </c>
      <c r="B177" s="7">
        <v>4005</v>
      </c>
      <c r="C177" s="21" t="s">
        <v>202</v>
      </c>
      <c r="D177" s="21" t="s">
        <v>632</v>
      </c>
      <c r="E177" s="13">
        <v>42917.567094907405</v>
      </c>
      <c r="F177" s="13">
        <v>42917.568194444444</v>
      </c>
      <c r="G177" s="7">
        <v>1</v>
      </c>
      <c r="H177" s="21" t="s">
        <v>949</v>
      </c>
      <c r="I177" s="13">
        <v>42917.580092592594</v>
      </c>
      <c r="J177" s="7">
        <v>0</v>
      </c>
      <c r="K177" s="89" t="str">
        <f t="shared" si="48"/>
        <v>4005/4006</v>
      </c>
      <c r="L177" s="21" t="str">
        <f>VLOOKUP(A177,'Trips&amp;Operators'!$C$1:$G$99999,5,FALSE)</f>
        <v>BROWN JACOB</v>
      </c>
      <c r="M177" s="6">
        <f t="shared" si="49"/>
        <v>1.1898148150066845E-2</v>
      </c>
      <c r="N177" s="7">
        <f t="shared" si="64"/>
        <v>17.133333336096257</v>
      </c>
      <c r="O177" s="7"/>
      <c r="P177" s="7"/>
      <c r="Q177" s="22"/>
      <c r="R177" s="170"/>
      <c r="S177" s="213">
        <f t="shared" si="66"/>
        <v>1</v>
      </c>
      <c r="T177" s="195" t="str">
        <f t="shared" si="50"/>
        <v>Southbound</v>
      </c>
      <c r="U177" s="195">
        <f>IF(AG177="EC",COUNTIFS(Variables!$M$2:$M$19,IF(T177="NorthBound","&gt;=","&lt;=")&amp;Y177,Variables!$M$2:$M$19,IF(T177="NorthBound","&lt;=","&gt;=")&amp;Z177),COUNTIFS(Variables!$P$2:$P$19,IF(T177="NorthBound","&gt;=","&lt;=")&amp;Y177,Variables!$P$2:$P$19,IF(T177="NorthBound","&lt;=","&gt;=")&amp;Z177))</f>
        <v>1</v>
      </c>
      <c r="V177" s="196" t="str">
        <f t="shared" si="51"/>
        <v>https://d0f6bd738d7f1b3e5a7ca70fe4ff75f0.us-east-1.aws.found.io/app/kibana#/discover/Steve-Slow-Train-Analysis-(2080s-and-2083s)?_g=(refreshInterval:(display:Off,pause:!f,section:0,value:0),time:(from:'2017-07-01T12:36:37-0600',mode:absolute,to:'2017-07-01T14:55:20-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W177" s="197" t="str">
        <f>IF(AA177&lt;VLOOKUP(AG177,Variables!$AC$3:$AD$8,2,FALSE),"Y","N")</f>
        <v>N</v>
      </c>
      <c r="X177" s="197">
        <f t="shared" si="67"/>
        <v>1</v>
      </c>
      <c r="Y177" s="197">
        <f t="shared" si="53"/>
        <v>5.8628</v>
      </c>
      <c r="Z177" s="197">
        <f t="shared" si="54"/>
        <v>7.3599999999999999E-2</v>
      </c>
      <c r="AA177" s="197">
        <f t="shared" si="55"/>
        <v>5.7892000000000001</v>
      </c>
      <c r="AB177" s="54" t="e">
        <f>VLOOKUP(A177,Enforcements!$C$7:$K$13,8,0)</f>
        <v>#N/A</v>
      </c>
      <c r="AC177" s="51" t="e">
        <f>VLOOKUP(A177,Enforcements!$C$7:$E$13,3,0)</f>
        <v>#N/A</v>
      </c>
      <c r="AD177" s="206">
        <f t="shared" si="56"/>
        <v>1816</v>
      </c>
      <c r="AE177" s="77" t="str">
        <f t="shared" si="57"/>
        <v>aws s3 cp s3://rtdc.mdm.uploadarchive.raw/RTDC4005/ "%USERPROFILE%\AppData\Local\Temp\OnboardLogs"\RTDC4005\2017-07-01 --exclude "*" --recursive --include "*20170701*" &amp; "%USERPROFILE%\Documents\GitHub\mrs-test-scripts\Headless Mode &amp; Sideloading\WalkAndUnGZ.bat" "%USERPROFILE%\AppData\Local\Temp\OnboardLogs"\RTDC4005\2017-07-01 &amp; aws s3 cp s3://rtdc.mdm.uploadarchive.raw/RTDC4005/ "%USERPROFILE%\AppData\Local\Temp\OnboardLogs"\RTDC4005\2017-07-02 --exclude "*" --recursive --include "*20170702*" &amp; "%USERPROFILE%\Documents\GitHub\mrs-test-scripts\Headless Mode &amp; Sideloading\WalkAndUnGZ.bat" "%USERPROFILE%\AppData\Local\Temp\OnboardLogs"\RTDC4005\2017-07-02</v>
      </c>
      <c r="AF177" s="74" t="str">
        <f t="shared" si="58"/>
        <v>"C:\Program Files (x86)\AstroGrep\AstroGrep.exe" /e /r /s /spath="%USERPROFILE%\AppData\Local\Temp\OnboardLogs" /stypes="app*4005*20170701*" /stext=" 19:.+((SYSTEM_STATE.+slice.+state.+changed )|(ment ac)|(multiple cpu faults)|(system.+state.+changed )|(\[timeout)|(PRM\|1\|D)|(kpr)|(kdp)|(train st.+moving)|(\|lc)|(penalty))"</v>
      </c>
      <c r="AG177" s="209" t="str">
        <f t="shared" si="59"/>
        <v>NW</v>
      </c>
      <c r="AH177" s="78" t="str">
        <f t="shared" si="60"/>
        <v>"%USERPROFILE%\Documents\GitHub\eaglep3\Utilities\RefineRTDCRunTimes.py" --tripid 1816-01 --locoid 4005 --swversion DE.1.0.9.0 --startMP 300:58628 --initTime 2017-07-01T13:36:37 --startdatetime 2017-07-01T13:38:12 --delay 1 --endMP 204:736 --enddatetime 2017-07-01T13:55:20 --enforcementcount 0 &gt;&gt;C:\Users\stu\Documents\GitHub\eaglep3-reporting\EC\2017-07-01-refined-times.txt</v>
      </c>
      <c r="AI177" s="96" t="str">
        <f t="shared" si="61"/>
        <v>echo {"issue":{"subject":"","project_id":79,"tracker_id":40,"status_id":1,"priority_id":2,"assigned_to_id":23,"start_date":"2017-07-01","description":"","custom_fields":[{"id":1,"name":"Subdivision","value":"NW"},{"id":4,"name":"Milepost","value":"0.0736"},{"id":17,"name":"Train ID","value":"1816-01"},{"id":16,"name":"Locomotive ID","value":"4005"},{"id":130,"name":"Impact","value":""},{"id":150,"name":"Time of Event (Mountain Time)","value":"13:55:20"},{"id":151,"name":"Denver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7" s="20"/>
      <c r="AK177" s="47"/>
      <c r="AL177" s="47"/>
      <c r="AM177" s="142" t="str">
        <f t="shared" si="62"/>
        <v>start /low /b %USERPROFILE%\Documents\GitHub\eaglep3\Utilities\DownloadLogsFromS3.py --loco 4005 --day 2017-07-01</v>
      </c>
      <c r="AN177" s="151" t="str">
        <f t="shared" si="63"/>
        <v>echo {"issue":{"subject":"","project_id":30,"tracker_id":4,"status_id":1,"priority_id":1,"assigned_to_id":10,"start_date":"2017-07-01","description":"","custom_fields":[{"id":30,"name":"Category","value":"Issue"},{"id":3,"name":"Functional Component","value":"Onboard"},{"id":31,"name":"Version","value":"N/A"},{"id":8,"name":"Reporting RR","value":"WABTEC"},{"id":27,"name":"Locomotive ID","value":"4005"},{"id":20,"name":"RR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UTC","value":"2017-07-01 19:55:20"},{"id":29,"name":"Sharepoint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7"/>
    </row>
    <row r="178" spans="1:91" x14ac:dyDescent="0.25">
      <c r="A178" s="32" t="s">
        <v>796</v>
      </c>
      <c r="B178" s="7">
        <v>4006</v>
      </c>
      <c r="C178" s="21" t="s">
        <v>202</v>
      </c>
      <c r="D178" s="21" t="s">
        <v>950</v>
      </c>
      <c r="E178" s="13">
        <v>42917.585520833331</v>
      </c>
      <c r="F178" s="13">
        <v>42917.598113425927</v>
      </c>
      <c r="G178" s="7">
        <v>1</v>
      </c>
      <c r="H178" s="21" t="s">
        <v>951</v>
      </c>
      <c r="I178" s="13">
        <v>42917.607627314814</v>
      </c>
      <c r="J178" s="7">
        <v>0</v>
      </c>
      <c r="K178" s="89" t="str">
        <f t="shared" si="48"/>
        <v>4005/4006</v>
      </c>
      <c r="L178" s="21" t="str">
        <f>VLOOKUP(A178,'Trips&amp;Operators'!$C$1:$G$99999,5,FALSE)</f>
        <v>SAFIEF AEIMEN</v>
      </c>
      <c r="M178" s="6">
        <f t="shared" si="49"/>
        <v>9.5138888864312321E-3</v>
      </c>
      <c r="N178" s="7">
        <f t="shared" si="64"/>
        <v>13.699999996460974</v>
      </c>
      <c r="O178" s="7"/>
      <c r="P178" s="7"/>
      <c r="Q178" s="22"/>
      <c r="R178" s="170"/>
      <c r="S178" s="213">
        <f t="shared" si="66"/>
        <v>1</v>
      </c>
      <c r="T178" s="195" t="str">
        <f t="shared" si="50"/>
        <v>NorthBound</v>
      </c>
      <c r="U178" s="195">
        <f>IF(AG178="EC",COUNTIFS(Variables!$M$2:$M$19,IF(T178="NorthBound","&gt;=","&lt;=")&amp;Y178,Variables!$M$2:$M$19,IF(T178="NorthBound","&lt;=","&gt;=")&amp;Z178),COUNTIFS(Variables!$P$2:$P$19,IF(T178="NorthBound","&gt;=","&lt;=")&amp;Y178,Variables!$P$2:$P$19,IF(T178="NorthBound","&lt;=","&gt;=")&amp;Z178))</f>
        <v>1</v>
      </c>
      <c r="V178" s="196" t="str">
        <f t="shared" si="51"/>
        <v>https://d0f6bd738d7f1b3e5a7ca70fe4ff75f0.us-east-1.aws.found.io/app/kibana#/discover/Steve-Slow-Train-Analysis-(2080s-and-2083s)?_g=(refreshInterval:(display:Off,pause:!f,section:0,value:0),time:(from:'2017-07-01T13:03:09-0600',mode:absolute,to:'2017-07-01T15:34:59-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W178" s="197" t="str">
        <f>IF(AA178&lt;VLOOKUP(AG178,Variables!$AC$3:$AD$8,2,FALSE),"Y","N")</f>
        <v>N</v>
      </c>
      <c r="X178" s="197">
        <f t="shared" si="67"/>
        <v>1</v>
      </c>
      <c r="Y178" s="197">
        <f t="shared" si="53"/>
        <v>0.10199999999999999</v>
      </c>
      <c r="Z178" s="197">
        <f t="shared" si="54"/>
        <v>5.8912000000000004</v>
      </c>
      <c r="AA178" s="197">
        <f t="shared" si="55"/>
        <v>5.7892000000000001</v>
      </c>
      <c r="AB178" s="54" t="e">
        <f>VLOOKUP(A178,Enforcements!$C$7:$K$13,8,0)</f>
        <v>#N/A</v>
      </c>
      <c r="AC178" s="51" t="e">
        <f>VLOOKUP(A178,Enforcements!$C$7:$E$13,3,0)</f>
        <v>#N/A</v>
      </c>
      <c r="AD178" s="206">
        <f t="shared" si="56"/>
        <v>1817</v>
      </c>
      <c r="AE178" s="77" t="str">
        <f t="shared" si="57"/>
        <v>aws s3 cp s3://rtdc.mdm.uploadarchive.raw/RTDC4006/ "%USERPROFILE%\AppData\Local\Temp\OnboardLogs"\RTDC4006\2017-07-01 --exclude "*" --recursive --include "*20170701*" &amp; "%USERPROFILE%\Documents\GitHub\mrs-test-scripts\Headless Mode &amp; Sideloading\WalkAndUnGZ.bat" "%USERPROFILE%\AppData\Local\Temp\OnboardLogs"\RTDC4006\2017-07-01 &amp; aws s3 cp s3://rtdc.mdm.uploadarchive.raw/RTDC4006/ "%USERPROFILE%\AppData\Local\Temp\OnboardLogs"\RTDC4006\2017-07-02 --exclude "*" --recursive --include "*20170702*" &amp; "%USERPROFILE%\Documents\GitHub\mrs-test-scripts\Headless Mode &amp; Sideloading\WalkAndUnGZ.bat" "%USERPROFILE%\AppData\Local\Temp\OnboardLogs"\RTDC4006\2017-07-02</v>
      </c>
      <c r="AF178" s="74" t="str">
        <f t="shared" si="58"/>
        <v>"C:\Program Files (x86)\AstroGrep\AstroGrep.exe" /e /r /s /spath="%USERPROFILE%\AppData\Local\Temp\OnboardLogs" /stypes="app*4006*20170701*" /stext=" 20:.+((SYSTEM_STATE.+slice.+state.+changed )|(ment ac)|(multiple cpu faults)|(system.+state.+changed )|(\[timeout)|(PRM\|1\|D)|(kpr)|(kdp)|(train st.+moving)|(\|lc)|(penalty))"</v>
      </c>
      <c r="AG178" s="209" t="str">
        <f t="shared" si="59"/>
        <v>NW</v>
      </c>
      <c r="AH178" s="78" t="str">
        <f t="shared" si="60"/>
        <v>"%USERPROFILE%\Documents\GitHub\eaglep3\Utilities\RefineRTDCRunTimes.py" --tripid 1817-01 --locoid 4006 --swversion DE.1.0.9.0 --startMP 204:1020 --initTime 2017-07-01T14:03:09 --startdatetime 2017-07-01T14:21:17 --delay 1 --endMP 300:58912 --enddatetime 2017-07-01T14:34:59 --enforcementcount 0 &gt;&gt;C:\Users\stu\Documents\GitHub\eaglep3-reporting\EC\2017-07-01-refined-times.txt</v>
      </c>
      <c r="AI178" s="96" t="str">
        <f t="shared" si="61"/>
        <v>echo {"issue":{"subject":"","project_id":79,"tracker_id":40,"status_id":1,"priority_id":2,"assigned_to_id":23,"start_date":"2017-07-01","description":"","custom_fields":[{"id":1,"name":"Subdivision","value":"NW"},{"id":4,"name":"Milepost","value":"5.8912"},{"id":17,"name":"Train ID","value":"1817-01"},{"id":16,"name":"Locomotive ID","value":"4006"},{"id":130,"name":"Impact","value":""},{"id":150,"name":"Time of Event (Mountain Time)","value":"14:34:59"},{"id":151,"name":"Denver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8" s="20"/>
      <c r="AK178" s="47"/>
      <c r="AL178" s="47"/>
      <c r="AM178" s="142" t="str">
        <f t="shared" si="62"/>
        <v>start /low /b %USERPROFILE%\Documents\GitHub\eaglep3\Utilities\DownloadLogsFromS3.py --loco 4006 --day 2017-07-01</v>
      </c>
      <c r="AN178" s="151" t="str">
        <f t="shared" si="63"/>
        <v>echo {"issue":{"subject":"","project_id":30,"tracker_id":4,"status_id":1,"priority_id":1,"assigned_to_id":10,"start_date":"2017-07-01","description":"","custom_fields":[{"id":30,"name":"Category","value":"Issue"},{"id":3,"name":"Functional Component","value":"Onboard"},{"id":31,"name":"Version","value":"N/A"},{"id":8,"name":"Reporting RR","value":"WABTEC"},{"id":27,"name":"Locomotive ID","value":"4006"},{"id":20,"name":"RR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UTC","value":"2017-07-01 20:34:59"},{"id":29,"name":"Sharepoint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8"/>
    </row>
    <row r="179" spans="1:91" s="20" customFormat="1" x14ac:dyDescent="0.25">
      <c r="A179" s="32" t="s">
        <v>802</v>
      </c>
      <c r="B179" s="7">
        <v>4005</v>
      </c>
      <c r="C179" s="21" t="s">
        <v>202</v>
      </c>
      <c r="D179" s="21" t="s">
        <v>952</v>
      </c>
      <c r="E179" s="13">
        <v>42917.608773148146</v>
      </c>
      <c r="F179" s="13">
        <v>42917.61041666667</v>
      </c>
      <c r="G179" s="7">
        <v>1</v>
      </c>
      <c r="H179" s="21" t="s">
        <v>631</v>
      </c>
      <c r="I179" s="13">
        <v>42917.621793981481</v>
      </c>
      <c r="J179" s="7">
        <v>0</v>
      </c>
      <c r="K179" s="89" t="str">
        <f t="shared" si="48"/>
        <v>4005/4006</v>
      </c>
      <c r="L179" s="21" t="str">
        <f>VLOOKUP(A179,'Trips&amp;Operators'!$C$1:$G$99999,5,FALSE)</f>
        <v>SAFIEF AEIMEN</v>
      </c>
      <c r="M179" s="6">
        <f t="shared" si="49"/>
        <v>1.137731481139781E-2</v>
      </c>
      <c r="N179" s="7">
        <f t="shared" si="64"/>
        <v>16.383333328412846</v>
      </c>
      <c r="O179" s="7"/>
      <c r="P179" s="7"/>
      <c r="Q179" s="22"/>
      <c r="R179" s="170"/>
      <c r="S179" s="213">
        <f t="shared" si="66"/>
        <v>1</v>
      </c>
      <c r="T179" s="195" t="str">
        <f t="shared" si="50"/>
        <v>Southbound</v>
      </c>
      <c r="U179" s="195">
        <f>IF(AG179="EC",COUNTIFS(Variables!$M$2:$M$19,IF(T179="NorthBound","&gt;=","&lt;=")&amp;Y179,Variables!$M$2:$M$19,IF(T179="NorthBound","&lt;=","&gt;=")&amp;Z179),COUNTIFS(Variables!$P$2:$P$19,IF(T179="NorthBound","&gt;=","&lt;=")&amp;Y179,Variables!$P$2:$P$19,IF(T179="NorthBound","&lt;=","&gt;=")&amp;Z179))</f>
        <v>1</v>
      </c>
      <c r="V179" s="196" t="str">
        <f t="shared" si="51"/>
        <v>https://d0f6bd738d7f1b3e5a7ca70fe4ff75f0.us-east-1.aws.found.io/app/kibana#/discover/Steve-Slow-Train-Analysis-(2080s-and-2083s)?_g=(refreshInterval:(display:Off,pause:!f,section:0,value:0),time:(from:'2017-07-01T13:36:38-0600',mode:absolute,to:'2017-07-01T15:55:23-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W179" s="197" t="str">
        <f>IF(AA179&lt;VLOOKUP(AG179,Variables!$AC$3:$AD$8,2,FALSE),"Y","N")</f>
        <v>N</v>
      </c>
      <c r="X179" s="197">
        <f t="shared" si="67"/>
        <v>1</v>
      </c>
      <c r="Y179" s="197">
        <f t="shared" si="53"/>
        <v>5.8601999999999999</v>
      </c>
      <c r="Z179" s="197">
        <f t="shared" si="54"/>
        <v>6.9599999999999995E-2</v>
      </c>
      <c r="AA179" s="197">
        <f t="shared" si="55"/>
        <v>5.7905999999999995</v>
      </c>
      <c r="AB179" s="54" t="e">
        <f>VLOOKUP(A179,Enforcements!$C$7:$K$13,8,0)</f>
        <v>#N/A</v>
      </c>
      <c r="AC179" s="51" t="e">
        <f>VLOOKUP(A179,Enforcements!$C$7:$E$13,3,0)</f>
        <v>#N/A</v>
      </c>
      <c r="AD179" s="206">
        <f t="shared" si="56"/>
        <v>1818</v>
      </c>
      <c r="AE179" s="77" t="str">
        <f t="shared" si="57"/>
        <v>aws s3 cp s3://rtdc.mdm.uploadarchive.raw/RTDC4005/ "%USERPROFILE%\AppData\Local\Temp\OnboardLogs"\RTDC4005\2017-07-01 --exclude "*" --recursive --include "*20170701*" &amp; "%USERPROFILE%\Documents\GitHub\mrs-test-scripts\Headless Mode &amp; Sideloading\WalkAndUnGZ.bat" "%USERPROFILE%\AppData\Local\Temp\OnboardLogs"\RTDC4005\2017-07-01 &amp; aws s3 cp s3://rtdc.mdm.uploadarchive.raw/RTDC4005/ "%USERPROFILE%\AppData\Local\Temp\OnboardLogs"\RTDC4005\2017-07-02 --exclude "*" --recursive --include "*20170702*" &amp; "%USERPROFILE%\Documents\GitHub\mrs-test-scripts\Headless Mode &amp; Sideloading\WalkAndUnGZ.bat" "%USERPROFILE%\AppData\Local\Temp\OnboardLogs"\RTDC4005\2017-07-02</v>
      </c>
      <c r="AF179" s="74" t="str">
        <f t="shared" si="58"/>
        <v>"C:\Program Files (x86)\AstroGrep\AstroGrep.exe" /e /r /s /spath="%USERPROFILE%\AppData\Local\Temp\OnboardLogs" /stypes="app*4005*20170701*" /stext=" 20:.+((SYSTEM_STATE.+slice.+state.+changed )|(ment ac)|(multiple cpu faults)|(system.+state.+changed )|(\[timeout)|(PRM\|1\|D)|(kpr)|(kdp)|(train st.+moving)|(\|lc)|(penalty))"</v>
      </c>
      <c r="AG179" s="209" t="str">
        <f t="shared" si="59"/>
        <v>NW</v>
      </c>
      <c r="AH179" s="78" t="str">
        <f t="shared" si="60"/>
        <v>"%USERPROFILE%\Documents\GitHub\eaglep3\Utilities\RefineRTDCRunTimes.py" --tripid 1818-01 --locoid 4005 --swversion DE.1.0.9.0 --startMP 300:58602 --initTime 2017-07-01T14:36:38 --startdatetime 2017-07-01T14:39:00 --delay 1 --endMP 204:696 --enddatetime 2017-07-01T14:55:23 --enforcementcount 0 &gt;&gt;C:\Users\stu\Documents\GitHub\eaglep3-reporting\EC\2017-07-01-refined-times.txt</v>
      </c>
      <c r="AI179" s="96" t="str">
        <f t="shared" si="61"/>
        <v>echo {"issue":{"subject":"","project_id":79,"tracker_id":40,"status_id":1,"priority_id":2,"assigned_to_id":23,"start_date":"2017-07-01","description":"","custom_fields":[{"id":1,"name":"Subdivision","value":"NW"},{"id":4,"name":"Milepost","value":"0.0696"},{"id":17,"name":"Train ID","value":"1818-01"},{"id":16,"name":"Locomotive ID","value":"4005"},{"id":130,"name":"Impact","value":""},{"id":150,"name":"Time of Event (Mountain Time)","value":"14:55:23"},{"id":151,"name":"Denver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79" s="47"/>
      <c r="AL179" s="47"/>
      <c r="AM179" s="142" t="str">
        <f t="shared" si="62"/>
        <v>start /low /b %USERPROFILE%\Documents\GitHub\eaglep3\Utilities\DownloadLogsFromS3.py --loco 4005 --day 2017-07-01</v>
      </c>
      <c r="AN179" s="151" t="str">
        <f t="shared" si="63"/>
        <v>echo {"issue":{"subject":"","project_id":30,"tracker_id":4,"status_id":1,"priority_id":1,"assigned_to_id":10,"start_date":"2017-07-01","description":"","custom_fields":[{"id":30,"name":"Category","value":"Issue"},{"id":3,"name":"Functional Component","value":"Onboard"},{"id":31,"name":"Version","value":"N/A"},{"id":8,"name":"Reporting RR","value":"WABTEC"},{"id":27,"name":"Locomotive ID","value":"4005"},{"id":20,"name":"RR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UTC","value":"2017-07-01 20:55:23"},{"id":29,"name":"Sharepoint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9"/>
      <c r="AP179"/>
      <c r="AQ179"/>
      <c r="AR179"/>
      <c r="AS179"/>
      <c r="AT179"/>
      <c r="AU179"/>
      <c r="AV179"/>
      <c r="AW179"/>
      <c r="AX179"/>
      <c r="AY179"/>
      <c r="AZ179"/>
      <c r="BA179"/>
      <c r="BB179"/>
      <c r="BC179"/>
      <c r="BD179"/>
      <c r="BE179"/>
      <c r="BF179"/>
      <c r="BG179"/>
      <c r="BH179"/>
      <c r="BI179"/>
      <c r="BJ179"/>
      <c r="BK179"/>
      <c r="BL179"/>
      <c r="BM179"/>
      <c r="BN179"/>
      <c r="BO179"/>
      <c r="BP179"/>
      <c r="BQ179"/>
      <c r="BR179"/>
      <c r="BS179"/>
      <c r="BT179"/>
      <c r="BU179"/>
      <c r="BV179"/>
      <c r="BW179"/>
      <c r="BX179"/>
      <c r="BY179"/>
      <c r="BZ179"/>
      <c r="CA179"/>
      <c r="CB179"/>
      <c r="CC179"/>
      <c r="CD179"/>
      <c r="CE179"/>
      <c r="CF179"/>
      <c r="CG179"/>
      <c r="CH179"/>
      <c r="CI179"/>
      <c r="CJ179"/>
      <c r="CK179"/>
      <c r="CL179"/>
      <c r="CM179"/>
    </row>
    <row r="180" spans="1:91" s="20" customFormat="1" x14ac:dyDescent="0.25">
      <c r="A180" s="32" t="s">
        <v>805</v>
      </c>
      <c r="B180" s="7">
        <v>4006</v>
      </c>
      <c r="C180" s="21" t="s">
        <v>202</v>
      </c>
      <c r="D180" s="21" t="s">
        <v>554</v>
      </c>
      <c r="E180" s="13">
        <v>42917.62427083333</v>
      </c>
      <c r="F180" s="13">
        <v>42917.640057870369</v>
      </c>
      <c r="G180" s="7">
        <v>1</v>
      </c>
      <c r="H180" s="21" t="s">
        <v>953</v>
      </c>
      <c r="I180" s="13">
        <v>42917.649398148147</v>
      </c>
      <c r="J180" s="7">
        <v>0</v>
      </c>
      <c r="K180" s="89" t="str">
        <f t="shared" si="48"/>
        <v>4005/4006</v>
      </c>
      <c r="L180" s="21" t="str">
        <f>VLOOKUP(A180,'Trips&amp;Operators'!$C$1:$G$99999,5,FALSE)</f>
        <v>SAFIEF AEIMEN</v>
      </c>
      <c r="M180" s="6">
        <f t="shared" si="49"/>
        <v>9.340277778392192E-3</v>
      </c>
      <c r="N180" s="7">
        <f t="shared" si="64"/>
        <v>13.450000000884756</v>
      </c>
      <c r="O180" s="7"/>
      <c r="P180" s="7"/>
      <c r="Q180" s="22"/>
      <c r="R180" s="170"/>
      <c r="S180" s="213">
        <f t="shared" si="66"/>
        <v>1</v>
      </c>
      <c r="T180" s="195" t="str">
        <f t="shared" si="50"/>
        <v>NorthBound</v>
      </c>
      <c r="U180" s="195">
        <f>IF(AG180="EC",COUNTIFS(Variables!$M$2:$M$19,IF(T180="NorthBound","&gt;=","&lt;=")&amp;Y180,Variables!$M$2:$M$19,IF(T180="NorthBound","&lt;=","&gt;=")&amp;Z180),COUNTIFS(Variables!$P$2:$P$19,IF(T180="NorthBound","&gt;=","&lt;=")&amp;Y180,Variables!$P$2:$P$19,IF(T180="NorthBound","&lt;=","&gt;=")&amp;Z180))</f>
        <v>1</v>
      </c>
      <c r="V180" s="196" t="str">
        <f t="shared" si="51"/>
        <v>https://d0f6bd738d7f1b3e5a7ca70fe4ff75f0.us-east-1.aws.found.io/app/kibana#/discover/Steve-Slow-Train-Analysis-(2080s-and-2083s)?_g=(refreshInterval:(display:Off,pause:!f,section:0,value:0),time:(from:'2017-07-01T13:58:57-0600',mode:absolute,to:'2017-07-01T16:35:08-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W180" s="197" t="str">
        <f>IF(AA180&lt;VLOOKUP(AG180,Variables!$AC$3:$AD$8,2,FALSE),"Y","N")</f>
        <v>N</v>
      </c>
      <c r="X180" s="197">
        <f t="shared" si="67"/>
        <v>1</v>
      </c>
      <c r="Y180" s="197">
        <f t="shared" si="53"/>
        <v>9.9000000000000005E-2</v>
      </c>
      <c r="Z180" s="197">
        <f t="shared" si="54"/>
        <v>5.8914</v>
      </c>
      <c r="AA180" s="197">
        <f t="shared" si="55"/>
        <v>5.7923999999999998</v>
      </c>
      <c r="AB180" s="54" t="e">
        <f>VLOOKUP(A180,Enforcements!$C$7:$K$13,8,0)</f>
        <v>#N/A</v>
      </c>
      <c r="AC180" s="51" t="e">
        <f>VLOOKUP(A180,Enforcements!$C$7:$E$13,3,0)</f>
        <v>#N/A</v>
      </c>
      <c r="AD180" s="206">
        <f t="shared" si="56"/>
        <v>1819</v>
      </c>
      <c r="AE180" s="77" t="str">
        <f t="shared" si="57"/>
        <v>aws s3 cp s3://rtdc.mdm.uploadarchive.raw/RTDC4006/ "%USERPROFILE%\AppData\Local\Temp\OnboardLogs"\RTDC4006\2017-07-01 --exclude "*" --recursive --include "*20170701*" &amp; "%USERPROFILE%\Documents\GitHub\mrs-test-scripts\Headless Mode &amp; Sideloading\WalkAndUnGZ.bat" "%USERPROFILE%\AppData\Local\Temp\OnboardLogs"\RTDC4006\2017-07-01 &amp; aws s3 cp s3://rtdc.mdm.uploadarchive.raw/RTDC4006/ "%USERPROFILE%\AppData\Local\Temp\OnboardLogs"\RTDC4006\2017-07-02 --exclude "*" --recursive --include "*20170702*" &amp; "%USERPROFILE%\Documents\GitHub\mrs-test-scripts\Headless Mode &amp; Sideloading\WalkAndUnGZ.bat" "%USERPROFILE%\AppData\Local\Temp\OnboardLogs"\RTDC4006\2017-07-02</v>
      </c>
      <c r="AF180" s="74" t="str">
        <f t="shared" si="58"/>
        <v>"C:\Program Files (x86)\AstroGrep\AstroGrep.exe" /e /r /s /spath="%USERPROFILE%\AppData\Local\Temp\OnboardLogs" /stypes="app*4006*20170701*" /stext=" 21:.+((SYSTEM_STATE.+slice.+state.+changed )|(ment ac)|(multiple cpu faults)|(system.+state.+changed )|(\[timeout)|(PRM\|1\|D)|(kpr)|(kdp)|(train st.+moving)|(\|lc)|(penalty))"</v>
      </c>
      <c r="AG180" s="209" t="str">
        <f t="shared" si="59"/>
        <v>NW</v>
      </c>
      <c r="AH180" s="78" t="str">
        <f t="shared" si="60"/>
        <v>"%USERPROFILE%\Documents\GitHub\eaglep3\Utilities\RefineRTDCRunTimes.py" --tripid 1819-01 --locoid 4006 --swversion DE.1.0.9.0 --startMP 204:990 --initTime 2017-07-01T14:58:57 --startdatetime 2017-07-01T15:21:41 --delay 1 --endMP 300:58914 --enddatetime 2017-07-01T15:35:08 --enforcementcount 0 &gt;&gt;C:\Users\stu\Documents\GitHub\eaglep3-reporting\EC\2017-07-01-refined-times.txt</v>
      </c>
      <c r="AI180" s="96" t="str">
        <f t="shared" si="61"/>
        <v>echo {"issue":{"subject":"","project_id":79,"tracker_id":40,"status_id":1,"priority_id":2,"assigned_to_id":23,"start_date":"2017-07-01","description":"","custom_fields":[{"id":1,"name":"Subdivision","value":"NW"},{"id":4,"name":"Milepost","value":"5.8914"},{"id":17,"name":"Train ID","value":"1819-01"},{"id":16,"name":"Locomotive ID","value":"4006"},{"id":130,"name":"Impact","value":""},{"id":150,"name":"Time of Event (Mountain Time)","value":"15:35:08"},{"id":151,"name":"Denver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80" s="47"/>
      <c r="AL180" s="47"/>
      <c r="AM180" s="142" t="str">
        <f t="shared" si="62"/>
        <v>start /low /b %USERPROFILE%\Documents\GitHub\eaglep3\Utilities\DownloadLogsFromS3.py --loco 4006 --day 2017-07-01</v>
      </c>
      <c r="AN180" s="151" t="str">
        <f t="shared" si="63"/>
        <v>echo {"issue":{"subject":"","project_id":30,"tracker_id":4,"status_id":1,"priority_id":1,"assigned_to_id":10,"start_date":"2017-07-01","description":"","custom_fields":[{"id":30,"name":"Category","value":"Issue"},{"id":3,"name":"Functional Component","value":"Onboard"},{"id":31,"name":"Version","value":"N/A"},{"id":8,"name":"Reporting RR","value":"WABTEC"},{"id":27,"name":"Locomotive ID","value":"4006"},{"id":20,"name":"RR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UTC","value":"2017-07-01 21:35:08"},{"id":29,"name":"Sharepoint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0"/>
      <c r="AP180"/>
      <c r="AQ180"/>
      <c r="AR180"/>
      <c r="AS180"/>
      <c r="AT180"/>
      <c r="AU180"/>
      <c r="AV180"/>
      <c r="AW180"/>
      <c r="AX180"/>
      <c r="AY180"/>
      <c r="AZ180"/>
      <c r="BA180"/>
      <c r="BB180"/>
      <c r="BC180"/>
      <c r="BD180"/>
      <c r="BE180"/>
      <c r="BF180"/>
      <c r="BG180"/>
      <c r="BH180"/>
      <c r="BI180"/>
      <c r="BJ180"/>
      <c r="BK180"/>
      <c r="BL180"/>
      <c r="BM180"/>
      <c r="BN180"/>
      <c r="BO180"/>
      <c r="BP180"/>
      <c r="BQ180"/>
      <c r="BR180"/>
      <c r="BS180"/>
      <c r="BT180"/>
      <c r="BU180"/>
      <c r="BV180"/>
      <c r="BW180"/>
      <c r="BX180"/>
      <c r="BY180"/>
      <c r="BZ180"/>
      <c r="CA180"/>
      <c r="CB180"/>
      <c r="CC180"/>
      <c r="CD180"/>
      <c r="CE180"/>
      <c r="CF180"/>
      <c r="CG180"/>
      <c r="CH180"/>
      <c r="CI180"/>
      <c r="CJ180"/>
      <c r="CK180"/>
      <c r="CL180"/>
      <c r="CM180"/>
    </row>
    <row r="181" spans="1:91" x14ac:dyDescent="0.25">
      <c r="A181" s="32" t="s">
        <v>810</v>
      </c>
      <c r="B181" s="7">
        <v>4005</v>
      </c>
      <c r="C181" s="21" t="s">
        <v>202</v>
      </c>
      <c r="D181" s="21" t="s">
        <v>955</v>
      </c>
      <c r="E181" s="13">
        <v>42917.650578703702</v>
      </c>
      <c r="F181" s="13">
        <v>42917.652222222219</v>
      </c>
      <c r="G181" s="7">
        <v>1</v>
      </c>
      <c r="H181" s="21" t="s">
        <v>625</v>
      </c>
      <c r="I181" s="13">
        <v>42917.663310185184</v>
      </c>
      <c r="J181" s="7">
        <v>0</v>
      </c>
      <c r="K181" s="89" t="str">
        <f t="shared" si="48"/>
        <v>4005/4006</v>
      </c>
      <c r="L181" s="21" t="str">
        <f>VLOOKUP(A181,'Trips&amp;Operators'!$C$1:$G$99999,5,FALSE)</f>
        <v>SAFIEF AEIMEN</v>
      </c>
      <c r="M181" s="6">
        <f t="shared" si="49"/>
        <v>1.1087962964666076E-2</v>
      </c>
      <c r="N181" s="7">
        <f t="shared" si="64"/>
        <v>15.966666669119149</v>
      </c>
      <c r="O181" s="7"/>
      <c r="P181" s="7"/>
      <c r="Q181" s="22"/>
      <c r="R181" s="170"/>
      <c r="S181" s="213">
        <f t="shared" si="66"/>
        <v>1</v>
      </c>
      <c r="T181" s="195" t="str">
        <f t="shared" si="50"/>
        <v>Southbound</v>
      </c>
      <c r="U181" s="195">
        <f>IF(AG181="EC",COUNTIFS(Variables!$M$2:$M$19,IF(T181="NorthBound","&gt;=","&lt;=")&amp;Y181,Variables!$M$2:$M$19,IF(T181="NorthBound","&lt;=","&gt;=")&amp;Z181),COUNTIFS(Variables!$P$2:$P$19,IF(T181="NorthBound","&gt;=","&lt;=")&amp;Y181,Variables!$P$2:$P$19,IF(T181="NorthBound","&lt;=","&gt;=")&amp;Z181))</f>
        <v>1</v>
      </c>
      <c r="V181" s="196" t="str">
        <f t="shared" si="51"/>
        <v>https://d0f6bd738d7f1b3e5a7ca70fe4ff75f0.us-east-1.aws.found.io/app/kibana#/discover/Steve-Slow-Train-Analysis-(2080s-and-2083s)?_g=(refreshInterval:(display:Off,pause:!f,section:0,value:0),time:(from:'2017-07-01T14:36:50-0600',mode:absolute,to:'2017-07-01T16:55:10-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W181" s="197" t="str">
        <f>IF(AA181&lt;VLOOKUP(AG181,Variables!$AC$3:$AD$8,2,FALSE),"Y","N")</f>
        <v>N</v>
      </c>
      <c r="X181" s="197">
        <f t="shared" si="67"/>
        <v>1</v>
      </c>
      <c r="Y181" s="197">
        <f t="shared" si="53"/>
        <v>5.859</v>
      </c>
      <c r="Z181" s="197">
        <f t="shared" si="54"/>
        <v>7.0300000000000001E-2</v>
      </c>
      <c r="AA181" s="197">
        <f t="shared" si="55"/>
        <v>5.7887000000000004</v>
      </c>
      <c r="AB181" s="54" t="e">
        <f>VLOOKUP(A181,Enforcements!$C$7:$K$13,8,0)</f>
        <v>#N/A</v>
      </c>
      <c r="AC181" s="51" t="e">
        <f>VLOOKUP(A181,Enforcements!$C$7:$E$13,3,0)</f>
        <v>#N/A</v>
      </c>
      <c r="AD181" s="206">
        <f t="shared" si="56"/>
        <v>1820</v>
      </c>
      <c r="AE181" s="77" t="str">
        <f t="shared" si="57"/>
        <v>aws s3 cp s3://rtdc.mdm.uploadarchive.raw/RTDC4005/ "%USERPROFILE%\AppData\Local\Temp\OnboardLogs"\RTDC4005\2017-07-01 --exclude "*" --recursive --include "*20170701*" &amp; "%USERPROFILE%\Documents\GitHub\mrs-test-scripts\Headless Mode &amp; Sideloading\WalkAndUnGZ.bat" "%USERPROFILE%\AppData\Local\Temp\OnboardLogs"\RTDC4005\2017-07-01 &amp; aws s3 cp s3://rtdc.mdm.uploadarchive.raw/RTDC4005/ "%USERPROFILE%\AppData\Local\Temp\OnboardLogs"\RTDC4005\2017-07-02 --exclude "*" --recursive --include "*20170702*" &amp; "%USERPROFILE%\Documents\GitHub\mrs-test-scripts\Headless Mode &amp; Sideloading\WalkAndUnGZ.bat" "%USERPROFILE%\AppData\Local\Temp\OnboardLogs"\RTDC4005\2017-07-02</v>
      </c>
      <c r="AF181" s="74" t="str">
        <f t="shared" si="58"/>
        <v>"C:\Program Files (x86)\AstroGrep\AstroGrep.exe" /e /r /s /spath="%USERPROFILE%\AppData\Local\Temp\OnboardLogs" /stypes="app*4005*20170701*" /stext=" 21:.+((SYSTEM_STATE.+slice.+state.+changed )|(ment ac)|(multiple cpu faults)|(system.+state.+changed )|(\[timeout)|(PRM\|1\|D)|(kpr)|(kdp)|(train st.+moving)|(\|lc)|(penalty))"</v>
      </c>
      <c r="AG181" s="209" t="str">
        <f t="shared" si="59"/>
        <v>NW</v>
      </c>
      <c r="AH181" s="78" t="str">
        <f t="shared" si="60"/>
        <v>"%USERPROFILE%\Documents\GitHub\eaglep3\Utilities\RefineRTDCRunTimes.py" --tripid 1820-01 --locoid 4005 --swversion DE.1.0.9.0 --startMP 300:58590 --initTime 2017-07-01T15:36:50 --startdatetime 2017-07-01T15:39:12 --delay 1 --endMP 204:703 --enddatetime 2017-07-01T15:55:10 --enforcementcount 0 &gt;&gt;C:\Users\stu\Documents\GitHub\eaglep3-reporting\EC\2017-07-01-refined-times.txt</v>
      </c>
      <c r="AI181" s="96" t="str">
        <f t="shared" si="61"/>
        <v>echo {"issue":{"subject":"","project_id":79,"tracker_id":40,"status_id":1,"priority_id":2,"assigned_to_id":23,"start_date":"2017-07-01","description":"","custom_fields":[{"id":1,"name":"Subdivision","value":"NW"},{"id":4,"name":"Milepost","value":"0.0703"},{"id":17,"name":"Train ID","value":"1820-01"},{"id":16,"name":"Locomotive ID","value":"4005"},{"id":130,"name":"Impact","value":""},{"id":150,"name":"Time of Event (Mountain Time)","value":"15:55:10"},{"id":151,"name":"Denver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1" s="20"/>
      <c r="AK181" s="47"/>
      <c r="AL181" s="47"/>
      <c r="AM181" s="142" t="str">
        <f t="shared" si="62"/>
        <v>start /low /b %USERPROFILE%\Documents\GitHub\eaglep3\Utilities\DownloadLogsFromS3.py --loco 4005 --day 2017-07-01</v>
      </c>
      <c r="AN181" s="151" t="str">
        <f t="shared" si="63"/>
        <v>echo {"issue":{"subject":"","project_id":30,"tracker_id":4,"status_id":1,"priority_id":1,"assigned_to_id":10,"start_date":"2017-07-01","description":"","custom_fields":[{"id":30,"name":"Category","value":"Issue"},{"id":3,"name":"Functional Component","value":"Onboard"},{"id":31,"name":"Version","value":"N/A"},{"id":8,"name":"Reporting RR","value":"WABTEC"},{"id":27,"name":"Locomotive ID","value":"4005"},{"id":20,"name":"RR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UTC","value":"2017-07-01 21:55:10"},{"id":29,"name":"Sharepoint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1"/>
    </row>
    <row r="182" spans="1:91" x14ac:dyDescent="0.25">
      <c r="A182" s="32" t="s">
        <v>814</v>
      </c>
      <c r="B182" s="7">
        <v>4006</v>
      </c>
      <c r="C182" s="21" t="s">
        <v>202</v>
      </c>
      <c r="D182" s="21" t="s">
        <v>628</v>
      </c>
      <c r="E182" s="13">
        <v>42917.665555555555</v>
      </c>
      <c r="F182" s="13">
        <v>42917.681458333333</v>
      </c>
      <c r="G182" s="7">
        <v>1</v>
      </c>
      <c r="H182" s="21" t="s">
        <v>956</v>
      </c>
      <c r="I182" s="13">
        <v>42917.691145833334</v>
      </c>
      <c r="J182" s="7">
        <v>0</v>
      </c>
      <c r="K182" s="89" t="str">
        <f t="shared" si="48"/>
        <v>4005/4006</v>
      </c>
      <c r="L182" s="21" t="str">
        <f>VLOOKUP(A182,'Trips&amp;Operators'!$C$1:$G$99999,5,FALSE)</f>
        <v>SAFIEF AEIMEN</v>
      </c>
      <c r="M182" s="6">
        <f t="shared" si="49"/>
        <v>9.6875000017462298E-3</v>
      </c>
      <c r="N182" s="7">
        <f t="shared" si="64"/>
        <v>13.950000002514571</v>
      </c>
      <c r="O182" s="7"/>
      <c r="P182" s="7"/>
      <c r="Q182" s="22"/>
      <c r="R182" s="170"/>
      <c r="S182" s="213">
        <f t="shared" si="66"/>
        <v>1</v>
      </c>
      <c r="T182" s="195" t="str">
        <f t="shared" si="50"/>
        <v>NorthBound</v>
      </c>
      <c r="U182" s="195">
        <f>IF(AG182="EC",COUNTIFS(Variables!$M$2:$M$19,IF(T182="NorthBound","&gt;=","&lt;=")&amp;Y182,Variables!$M$2:$M$19,IF(T182="NorthBound","&lt;=","&gt;=")&amp;Z182),COUNTIFS(Variables!$P$2:$P$19,IF(T182="NorthBound","&gt;=","&lt;=")&amp;Y182,Variables!$P$2:$P$19,IF(T182="NorthBound","&lt;=","&gt;=")&amp;Z182))</f>
        <v>1</v>
      </c>
      <c r="V182" s="196" t="str">
        <f t="shared" si="51"/>
        <v>https://d0f6bd738d7f1b3e5a7ca70fe4ff75f0.us-east-1.aws.found.io/app/kibana#/discover/Steve-Slow-Train-Analysis-(2080s-and-2083s)?_g=(refreshInterval:(display:Off,pause:!f,section:0,value:0),time:(from:'2017-07-01T14:58:24-0600',mode:absolute,to:'2017-07-01T17:35:15-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W182" s="197" t="str">
        <f>IF(AA182&lt;VLOOKUP(AG182,Variables!$AC$3:$AD$8,2,FALSE),"Y","N")</f>
        <v>N</v>
      </c>
      <c r="X182" s="197">
        <f t="shared" si="67"/>
        <v>1</v>
      </c>
      <c r="Y182" s="197">
        <f t="shared" si="53"/>
        <v>9.8299999999999998E-2</v>
      </c>
      <c r="Z182" s="197">
        <f t="shared" si="54"/>
        <v>5.891</v>
      </c>
      <c r="AA182" s="197">
        <f t="shared" si="55"/>
        <v>5.7927</v>
      </c>
      <c r="AB182" s="54" t="e">
        <f>VLOOKUP(A182,Enforcements!$C$7:$K$13,8,0)</f>
        <v>#N/A</v>
      </c>
      <c r="AC182" s="51" t="e">
        <f>VLOOKUP(A182,Enforcements!$C$7:$E$13,3,0)</f>
        <v>#N/A</v>
      </c>
      <c r="AD182" s="206">
        <f t="shared" si="56"/>
        <v>1821</v>
      </c>
      <c r="AE182" s="77" t="str">
        <f t="shared" si="57"/>
        <v>aws s3 cp s3://rtdc.mdm.uploadarchive.raw/RTDC4006/ "%USERPROFILE%\AppData\Local\Temp\OnboardLogs"\RTDC4006\2017-07-01 --exclude "*" --recursive --include "*20170701*" &amp; "%USERPROFILE%\Documents\GitHub\mrs-test-scripts\Headless Mode &amp; Sideloading\WalkAndUnGZ.bat" "%USERPROFILE%\AppData\Local\Temp\OnboardLogs"\RTDC4006\2017-07-01 &amp; aws s3 cp s3://rtdc.mdm.uploadarchive.raw/RTDC4006/ "%USERPROFILE%\AppData\Local\Temp\OnboardLogs"\RTDC4006\2017-07-02 --exclude "*" --recursive --include "*20170702*" &amp; "%USERPROFILE%\Documents\GitHub\mrs-test-scripts\Headless Mode &amp; Sideloading\WalkAndUnGZ.bat" "%USERPROFILE%\AppData\Local\Temp\OnboardLogs"\RTDC4006\2017-07-02</v>
      </c>
      <c r="AF182" s="74" t="str">
        <f t="shared" si="58"/>
        <v>"C:\Program Files (x86)\AstroGrep\AstroGrep.exe" /e /r /s /spath="%USERPROFILE%\AppData\Local\Temp\OnboardLogs" /stypes="app*4006*20170701*" /stext=" 22:.+((SYSTEM_STATE.+slice.+state.+changed )|(ment ac)|(multiple cpu faults)|(system.+state.+changed )|(\[timeout)|(PRM\|1\|D)|(kpr)|(kdp)|(train st.+moving)|(\|lc)|(penalty))"</v>
      </c>
      <c r="AG182" s="209" t="str">
        <f t="shared" si="59"/>
        <v>NW</v>
      </c>
      <c r="AH182" s="78" t="str">
        <f t="shared" si="60"/>
        <v>"%USERPROFILE%\Documents\GitHub\eaglep3\Utilities\RefineRTDCRunTimes.py" --tripid 1821-01 --locoid 4006 --swversion DE.1.0.9.0 --startMP 204:983 --initTime 2017-07-01T15:58:24 --startdatetime 2017-07-01T16:21:18 --delay 1 --endMP 300:58910 --enddatetime 2017-07-01T16:35:15 --enforcementcount 0 &gt;&gt;C:\Users\stu\Documents\GitHub\eaglep3-reporting\EC\2017-07-01-refined-times.txt</v>
      </c>
      <c r="AI182" s="96" t="str">
        <f t="shared" si="61"/>
        <v>echo {"issue":{"subject":"","project_id":79,"tracker_id":40,"status_id":1,"priority_id":2,"assigned_to_id":23,"start_date":"2017-07-01","description":"","custom_fields":[{"id":1,"name":"Subdivision","value":"NW"},{"id":4,"name":"Milepost","value":"5.891"},{"id":17,"name":"Train ID","value":"1821-01"},{"id":16,"name":"Locomotive ID","value":"4006"},{"id":130,"name":"Impact","value":""},{"id":150,"name":"Time of Event (Mountain Time)","value":"16:35:15"},{"id":151,"name":"Denver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2" s="20"/>
      <c r="AK182" s="47"/>
      <c r="AL182" s="47"/>
      <c r="AM182" s="142" t="str">
        <f t="shared" si="62"/>
        <v>start /low /b %USERPROFILE%\Documents\GitHub\eaglep3\Utilities\DownloadLogsFromS3.py --loco 4006 --day 2017-07-01</v>
      </c>
      <c r="AN182" s="151" t="str">
        <f t="shared" si="63"/>
        <v>echo {"issue":{"subject":"","project_id":30,"tracker_id":4,"status_id":1,"priority_id":1,"assigned_to_id":10,"start_date":"2017-07-01","description":"","custom_fields":[{"id":30,"name":"Category","value":"Issue"},{"id":3,"name":"Functional Component","value":"Onboard"},{"id":31,"name":"Version","value":"N/A"},{"id":8,"name":"Reporting RR","value":"WABTEC"},{"id":27,"name":"Locomotive ID","value":"4006"},{"id":20,"name":"RR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UTC","value":"2017-07-01 22:35:15"},{"id":29,"name":"Sharepoint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2"/>
    </row>
    <row r="183" spans="1:91" s="20" customFormat="1" x14ac:dyDescent="0.25">
      <c r="A183" s="32" t="s">
        <v>818</v>
      </c>
      <c r="B183" s="7">
        <v>4005</v>
      </c>
      <c r="C183" s="21" t="s">
        <v>202</v>
      </c>
      <c r="D183" s="21" t="s">
        <v>957</v>
      </c>
      <c r="E183" s="13">
        <v>42917.692280092589</v>
      </c>
      <c r="F183" s="13">
        <v>42917.693958333337</v>
      </c>
      <c r="G183" s="7">
        <v>1</v>
      </c>
      <c r="H183" s="21" t="s">
        <v>958</v>
      </c>
      <c r="I183" s="13">
        <v>42917.704907407409</v>
      </c>
      <c r="J183" s="7">
        <v>0</v>
      </c>
      <c r="K183" s="89" t="str">
        <f t="shared" si="48"/>
        <v>4005/4006</v>
      </c>
      <c r="L183" s="21" t="str">
        <f>VLOOKUP(A183,'Trips&amp;Operators'!$C$1:$G$99999,5,FALSE)</f>
        <v>SAFIEF AEIMEN</v>
      </c>
      <c r="M183" s="6">
        <f t="shared" si="49"/>
        <v>1.0949074072414078E-2</v>
      </c>
      <c r="N183" s="7">
        <f t="shared" si="64"/>
        <v>15.766666664276272</v>
      </c>
      <c r="O183" s="7"/>
      <c r="P183" s="7"/>
      <c r="Q183" s="22"/>
      <c r="R183" s="170"/>
      <c r="S183" s="213">
        <f t="shared" si="66"/>
        <v>1</v>
      </c>
      <c r="T183" s="195" t="str">
        <f t="shared" si="50"/>
        <v>Southbound</v>
      </c>
      <c r="U183" s="195">
        <f>IF(AG183="EC",COUNTIFS(Variables!$M$2:$M$19,IF(T183="NorthBound","&gt;=","&lt;=")&amp;Y183,Variables!$M$2:$M$19,IF(T183="NorthBound","&lt;=","&gt;=")&amp;Z183),COUNTIFS(Variables!$P$2:$P$19,IF(T183="NorthBound","&gt;=","&lt;=")&amp;Y183,Variables!$P$2:$P$19,IF(T183="NorthBound","&lt;=","&gt;=")&amp;Z183))</f>
        <v>1</v>
      </c>
      <c r="V183" s="196" t="str">
        <f t="shared" si="51"/>
        <v>https://d0f6bd738d7f1b3e5a7ca70fe4ff75f0.us-east-1.aws.found.io/app/kibana#/discover/Steve-Slow-Train-Analysis-(2080s-and-2083s)?_g=(refreshInterval:(display:Off,pause:!f,section:0,value:0),time:(from:'2017-07-01T15:36:53-0600',mode:absolute,to:'2017-07-01T17:55:04-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W183" s="197" t="str">
        <f>IF(AA183&lt;VLOOKUP(AG183,Variables!$AC$3:$AD$8,2,FALSE),"Y","N")</f>
        <v>N</v>
      </c>
      <c r="X183" s="197">
        <f t="shared" si="67"/>
        <v>1</v>
      </c>
      <c r="Y183" s="197">
        <f t="shared" si="53"/>
        <v>5.8597999999999999</v>
      </c>
      <c r="Z183" s="197">
        <f t="shared" si="54"/>
        <v>6.7699999999999996E-2</v>
      </c>
      <c r="AA183" s="197">
        <f t="shared" si="55"/>
        <v>5.7920999999999996</v>
      </c>
      <c r="AB183" s="54" t="e">
        <f>VLOOKUP(A183,Enforcements!$C$7:$K$13,8,0)</f>
        <v>#N/A</v>
      </c>
      <c r="AC183" s="51" t="e">
        <f>VLOOKUP(A183,Enforcements!$C$7:$E$13,3,0)</f>
        <v>#N/A</v>
      </c>
      <c r="AD183" s="206">
        <f t="shared" si="56"/>
        <v>1822</v>
      </c>
      <c r="AE183" s="77" t="str">
        <f t="shared" si="57"/>
        <v>aws s3 cp s3://rtdc.mdm.uploadarchive.raw/RTDC4005/ "%USERPROFILE%\AppData\Local\Temp\OnboardLogs"\RTDC4005\2017-07-01 --exclude "*" --recursive --include "*20170701*" &amp; "%USERPROFILE%\Documents\GitHub\mrs-test-scripts\Headless Mode &amp; Sideloading\WalkAndUnGZ.bat" "%USERPROFILE%\AppData\Local\Temp\OnboardLogs"\RTDC4005\2017-07-01 &amp; aws s3 cp s3://rtdc.mdm.uploadarchive.raw/RTDC4005/ "%USERPROFILE%\AppData\Local\Temp\OnboardLogs"\RTDC4005\2017-07-02 --exclude "*" --recursive --include "*20170702*" &amp; "%USERPROFILE%\Documents\GitHub\mrs-test-scripts\Headless Mode &amp; Sideloading\WalkAndUnGZ.bat" "%USERPROFILE%\AppData\Local\Temp\OnboardLogs"\RTDC4005\2017-07-02</v>
      </c>
      <c r="AF183" s="74" t="str">
        <f t="shared" si="58"/>
        <v>"C:\Program Files (x86)\AstroGrep\AstroGrep.exe" /e /r /s /spath="%USERPROFILE%\AppData\Local\Temp\OnboardLogs" /stypes="app*4005*20170701*" /stext=" 22:.+((SYSTEM_STATE.+slice.+state.+changed )|(ment ac)|(multiple cpu faults)|(system.+state.+changed )|(\[timeout)|(PRM\|1\|D)|(kpr)|(kdp)|(train st.+moving)|(\|lc)|(penalty))"</v>
      </c>
      <c r="AG183" s="209" t="str">
        <f t="shared" si="59"/>
        <v>NW</v>
      </c>
      <c r="AH183" s="78" t="str">
        <f t="shared" si="60"/>
        <v>"%USERPROFILE%\Documents\GitHub\eaglep3\Utilities\RefineRTDCRunTimes.py" --tripid 1822-01 --locoid 4005 --swversion DE.1.0.9.0 --startMP 300:58598 --initTime 2017-07-01T16:36:53 --startdatetime 2017-07-01T16:39:18 --delay 1 --endMP 204:677 --enddatetime 2017-07-01T16:55:04 --enforcementcount 0 &gt;&gt;C:\Users\stu\Documents\GitHub\eaglep3-reporting\EC\2017-07-01-refined-times.txt</v>
      </c>
      <c r="AI183" s="96" t="str">
        <f t="shared" si="61"/>
        <v>echo {"issue":{"subject":"","project_id":79,"tracker_id":40,"status_id":1,"priority_id":2,"assigned_to_id":23,"start_date":"2017-07-01","description":"","custom_fields":[{"id":1,"name":"Subdivision","value":"NW"},{"id":4,"name":"Milepost","value":"0.0677"},{"id":17,"name":"Train ID","value":"1822-01"},{"id":16,"name":"Locomotive ID","value":"4005"},{"id":130,"name":"Impact","value":""},{"id":150,"name":"Time of Event (Mountain Time)","value":"16:55:04"},{"id":151,"name":"Denver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83" s="47"/>
      <c r="AL183" s="47"/>
      <c r="AM183" s="142" t="str">
        <f t="shared" si="62"/>
        <v>start /low /b %USERPROFILE%\Documents\GitHub\eaglep3\Utilities\DownloadLogsFromS3.py --loco 4005 --day 2017-07-01</v>
      </c>
      <c r="AN183" s="151" t="str">
        <f t="shared" si="63"/>
        <v>echo {"issue":{"subject":"","project_id":30,"tracker_id":4,"status_id":1,"priority_id":1,"assigned_to_id":10,"start_date":"2017-07-01","description":"","custom_fields":[{"id":30,"name":"Category","value":"Issue"},{"id":3,"name":"Functional Component","value":"Onboard"},{"id":31,"name":"Version","value":"N/A"},{"id":8,"name":"Reporting RR","value":"WABTEC"},{"id":27,"name":"Locomotive ID","value":"4005"},{"id":20,"name":"RR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UTC","value":"2017-07-01 22:55:04"},{"id":29,"name":"Sharepoint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3"/>
      <c r="AP183"/>
      <c r="AQ183"/>
      <c r="AR183"/>
      <c r="AS183"/>
      <c r="AT183"/>
      <c r="AU183"/>
      <c r="AV183"/>
      <c r="AW183"/>
      <c r="AX183"/>
      <c r="AY183"/>
      <c r="AZ183"/>
      <c r="BA183"/>
      <c r="BB183"/>
      <c r="BC183"/>
      <c r="BD183"/>
      <c r="BE183"/>
      <c r="BF183"/>
      <c r="BG183"/>
      <c r="BH183"/>
      <c r="BI183"/>
      <c r="BJ183"/>
      <c r="BK183"/>
      <c r="BL183"/>
      <c r="BM183"/>
      <c r="BN183"/>
      <c r="BO183"/>
      <c r="BP183"/>
      <c r="BQ183"/>
      <c r="BR183"/>
      <c r="BS183"/>
      <c r="BT183"/>
      <c r="BU183"/>
      <c r="BV183"/>
      <c r="BW183"/>
      <c r="BX183"/>
      <c r="BY183"/>
      <c r="BZ183"/>
      <c r="CA183"/>
      <c r="CB183"/>
      <c r="CC183"/>
      <c r="CD183"/>
      <c r="CE183"/>
      <c r="CF183"/>
      <c r="CG183"/>
      <c r="CH183"/>
      <c r="CI183"/>
      <c r="CJ183"/>
      <c r="CK183"/>
      <c r="CL183"/>
      <c r="CM183"/>
    </row>
    <row r="184" spans="1:91" s="20" customFormat="1" x14ac:dyDescent="0.25">
      <c r="A184" s="32" t="s">
        <v>821</v>
      </c>
      <c r="B184" s="7">
        <v>4006</v>
      </c>
      <c r="C184" s="21" t="s">
        <v>202</v>
      </c>
      <c r="D184" s="21" t="s">
        <v>560</v>
      </c>
      <c r="E184" s="13">
        <v>42917.707685185182</v>
      </c>
      <c r="F184" s="13">
        <v>42917.723136574074</v>
      </c>
      <c r="G184" s="7">
        <v>1</v>
      </c>
      <c r="H184" s="21" t="s">
        <v>959</v>
      </c>
      <c r="I184" s="13">
        <v>42917.732662037037</v>
      </c>
      <c r="J184" s="7">
        <v>0</v>
      </c>
      <c r="K184" s="89" t="str">
        <f t="shared" si="48"/>
        <v>4005/4006</v>
      </c>
      <c r="L184" s="21" t="str">
        <f>VLOOKUP(A184,'Trips&amp;Operators'!$C$1:$G$99999,5,FALSE)</f>
        <v>SAFIEF AEIMEN</v>
      </c>
      <c r="M184" s="6">
        <f t="shared" si="49"/>
        <v>9.5254629632108845E-3</v>
      </c>
      <c r="N184" s="7">
        <f t="shared" si="64"/>
        <v>13.716666667023674</v>
      </c>
      <c r="O184" s="7"/>
      <c r="P184" s="7"/>
      <c r="Q184" s="22"/>
      <c r="R184" s="170"/>
      <c r="S184" s="213">
        <f t="shared" si="66"/>
        <v>1</v>
      </c>
      <c r="T184" s="195" t="str">
        <f t="shared" si="50"/>
        <v>NorthBound</v>
      </c>
      <c r="U184" s="195">
        <f>IF(AG184="EC",COUNTIFS(Variables!$M$2:$M$19,IF(T184="NorthBound","&gt;=","&lt;=")&amp;Y184,Variables!$M$2:$M$19,IF(T184="NorthBound","&lt;=","&gt;=")&amp;Z184),COUNTIFS(Variables!$P$2:$P$19,IF(T184="NorthBound","&gt;=","&lt;=")&amp;Y184,Variables!$P$2:$P$19,IF(T184="NorthBound","&lt;=","&gt;=")&amp;Z184))</f>
        <v>1</v>
      </c>
      <c r="V184" s="196" t="str">
        <f t="shared" si="51"/>
        <v>https://d0f6bd738d7f1b3e5a7ca70fe4ff75f0.us-east-1.aws.found.io/app/kibana#/discover/Steve-Slow-Train-Analysis-(2080s-and-2083s)?_g=(refreshInterval:(display:Off,pause:!f,section:0,value:0),time:(from:'2017-07-01T15:59:04-0600',mode:absolute,to:'2017-07-01T18:35:02-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W184" s="197" t="str">
        <f>IF(AA184&lt;VLOOKUP(AG184,Variables!$AC$3:$AD$8,2,FALSE),"Y","N")</f>
        <v>N</v>
      </c>
      <c r="X184" s="197">
        <f t="shared" si="67"/>
        <v>1</v>
      </c>
      <c r="Y184" s="197">
        <f t="shared" si="53"/>
        <v>9.6699999999999994E-2</v>
      </c>
      <c r="Z184" s="197">
        <f t="shared" si="54"/>
        <v>5.8917999999999999</v>
      </c>
      <c r="AA184" s="197">
        <f t="shared" si="55"/>
        <v>5.7950999999999997</v>
      </c>
      <c r="AB184" s="54" t="e">
        <f>VLOOKUP(A184,Enforcements!$C$7:$K$13,8,0)</f>
        <v>#N/A</v>
      </c>
      <c r="AC184" s="51" t="e">
        <f>VLOOKUP(A184,Enforcements!$C$7:$E$13,3,0)</f>
        <v>#N/A</v>
      </c>
      <c r="AD184" s="206">
        <f t="shared" si="56"/>
        <v>1823</v>
      </c>
      <c r="AE184" s="77" t="str">
        <f t="shared" si="57"/>
        <v>aws s3 cp s3://rtdc.mdm.uploadarchive.raw/RTDC4006/ "%USERPROFILE%\AppData\Local\Temp\OnboardLogs"\RTDC4006\2017-07-01 --exclude "*" --recursive --include "*20170701*" &amp; "%USERPROFILE%\Documents\GitHub\mrs-test-scripts\Headless Mode &amp; Sideloading\WalkAndUnGZ.bat" "%USERPROFILE%\AppData\Local\Temp\OnboardLogs"\RTDC4006\2017-07-01 &amp; aws s3 cp s3://rtdc.mdm.uploadarchive.raw/RTDC4006/ "%USERPROFILE%\AppData\Local\Temp\OnboardLogs"\RTDC4006\2017-07-02 --exclude "*" --recursive --include "*20170702*" &amp; "%USERPROFILE%\Documents\GitHub\mrs-test-scripts\Headless Mode &amp; Sideloading\WalkAndUnGZ.bat" "%USERPROFILE%\AppData\Local\Temp\OnboardLogs"\RTDC4006\2017-07-02</v>
      </c>
      <c r="AF184" s="74" t="str">
        <f t="shared" si="58"/>
        <v>"C:\Program Files (x86)\AstroGrep\AstroGrep.exe" /e /r /s /spath="%USERPROFILE%\AppData\Local\Temp\OnboardLogs" /stypes="app*4006*20170701*" /stext=" 23:.+((SYSTEM_STATE.+slice.+state.+changed )|(ment ac)|(multiple cpu faults)|(system.+state.+changed )|(\[timeout)|(PRM\|1\|D)|(kpr)|(kdp)|(train st.+moving)|(\|lc)|(penalty))"</v>
      </c>
      <c r="AG184" s="209" t="str">
        <f t="shared" si="59"/>
        <v>NW</v>
      </c>
      <c r="AH184" s="78" t="str">
        <f t="shared" si="60"/>
        <v>"%USERPROFILE%\Documents\GitHub\eaglep3\Utilities\RefineRTDCRunTimes.py" --tripid 1823-01 --locoid 4006 --swversion DE.1.0.9.0 --startMP 204:967 --initTime 2017-07-01T16:59:04 --startdatetime 2017-07-01T17:21:19 --delay 1 --endMP 300:58918 --enddatetime 2017-07-01T17:35:02 --enforcementcount 0 &gt;&gt;C:\Users\stu\Documents\GitHub\eaglep3-reporting\EC\2017-07-01-refined-times.txt</v>
      </c>
      <c r="AI184" s="96" t="str">
        <f t="shared" si="61"/>
        <v>echo {"issue":{"subject":"","project_id":79,"tracker_id":40,"status_id":1,"priority_id":2,"assigned_to_id":23,"start_date":"2017-07-01","description":"","custom_fields":[{"id":1,"name":"Subdivision","value":"NW"},{"id":4,"name":"Milepost","value":"5.8918"},{"id":17,"name":"Train ID","value":"1823-01"},{"id":16,"name":"Locomotive ID","value":"4006"},{"id":130,"name":"Impact","value":""},{"id":150,"name":"Time of Event (Mountain Time)","value":"17:35:02"},{"id":151,"name":"Denver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84" s="47"/>
      <c r="AL184" s="47"/>
      <c r="AM184" s="142" t="str">
        <f t="shared" si="62"/>
        <v>start /low /b %USERPROFILE%\Documents\GitHub\eaglep3\Utilities\DownloadLogsFromS3.py --loco 4006 --day 2017-07-01</v>
      </c>
      <c r="AN184" s="151" t="str">
        <f t="shared" si="63"/>
        <v>echo {"issue":{"subject":"","project_id":30,"tracker_id":4,"status_id":1,"priority_id":1,"assigned_to_id":10,"start_date":"2017-07-01","description":"","custom_fields":[{"id":30,"name":"Category","value":"Issue"},{"id":3,"name":"Functional Component","value":"Onboard"},{"id":31,"name":"Version","value":"N/A"},{"id":8,"name":"Reporting RR","value":"WABTEC"},{"id":27,"name":"Locomotive ID","value":"4006"},{"id":20,"name":"RR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UTC","value":"2017-07-01 23:35:02"},{"id":29,"name":"Sharepoint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4"/>
      <c r="AP184"/>
      <c r="AQ184"/>
      <c r="AR184"/>
      <c r="AS184"/>
      <c r="AT184"/>
      <c r="AU184"/>
      <c r="AV184"/>
      <c r="AW184"/>
      <c r="AX184"/>
      <c r="AY184"/>
      <c r="AZ184"/>
      <c r="BA184"/>
      <c r="BB184"/>
      <c r="BC184"/>
      <c r="BD184"/>
      <c r="BE184"/>
      <c r="BF184"/>
      <c r="BG184"/>
      <c r="BH184"/>
      <c r="BI184"/>
      <c r="BJ184"/>
      <c r="BK184"/>
      <c r="BL184"/>
      <c r="BM184"/>
      <c r="BN184"/>
      <c r="BO184"/>
      <c r="BP184"/>
      <c r="BQ184"/>
      <c r="BR184"/>
      <c r="BS184"/>
      <c r="BT184"/>
      <c r="BU184"/>
      <c r="BV184"/>
      <c r="BW184"/>
      <c r="BX184"/>
      <c r="BY184"/>
      <c r="BZ184"/>
      <c r="CA184"/>
      <c r="CB184"/>
      <c r="CC184"/>
      <c r="CD184"/>
      <c r="CE184"/>
      <c r="CF184"/>
      <c r="CG184"/>
      <c r="CH184"/>
      <c r="CI184"/>
      <c r="CJ184"/>
      <c r="CK184"/>
      <c r="CL184"/>
      <c r="CM184"/>
    </row>
    <row r="185" spans="1:91" x14ac:dyDescent="0.25">
      <c r="A185" s="32" t="s">
        <v>826</v>
      </c>
      <c r="B185" s="7">
        <v>4005</v>
      </c>
      <c r="C185" s="21" t="s">
        <v>202</v>
      </c>
      <c r="D185" s="21" t="s">
        <v>960</v>
      </c>
      <c r="E185" s="13">
        <v>42917.733807870369</v>
      </c>
      <c r="F185" s="13">
        <v>42917.735543981478</v>
      </c>
      <c r="G185" s="7">
        <v>1</v>
      </c>
      <c r="H185" s="21" t="s">
        <v>627</v>
      </c>
      <c r="I185" s="13">
        <v>42917.74659722222</v>
      </c>
      <c r="J185" s="7">
        <v>0</v>
      </c>
      <c r="K185" s="89" t="str">
        <f t="shared" si="48"/>
        <v>4005/4006</v>
      </c>
      <c r="L185" s="21" t="str">
        <f>VLOOKUP(A185,'Trips&amp;Operators'!$C$1:$G$99999,5,FALSE)</f>
        <v>SAFIEF AEIMEN</v>
      </c>
      <c r="M185" s="6">
        <f t="shared" si="49"/>
        <v>1.1053240741603076E-2</v>
      </c>
      <c r="N185" s="7">
        <f t="shared" si="64"/>
        <v>15.91666666790843</v>
      </c>
      <c r="O185" s="7"/>
      <c r="P185" s="7"/>
      <c r="Q185" s="22"/>
      <c r="R185" s="170"/>
      <c r="S185" s="213">
        <f t="shared" si="66"/>
        <v>1</v>
      </c>
      <c r="T185" s="195" t="str">
        <f t="shared" si="50"/>
        <v>Southbound</v>
      </c>
      <c r="U185" s="195">
        <f>IF(AG185="EC",COUNTIFS(Variables!$M$2:$M$19,IF(T185="NorthBound","&gt;=","&lt;=")&amp;Y185,Variables!$M$2:$M$19,IF(T185="NorthBound","&lt;=","&gt;=")&amp;Z185),COUNTIFS(Variables!$P$2:$P$19,IF(T185="NorthBound","&gt;=","&lt;=")&amp;Y185,Variables!$P$2:$P$19,IF(T185="NorthBound","&lt;=","&gt;=")&amp;Z185))</f>
        <v>1</v>
      </c>
      <c r="V185" s="196" t="str">
        <f t="shared" si="51"/>
        <v>https://d0f6bd738d7f1b3e5a7ca70fe4ff75f0.us-east-1.aws.found.io/app/kibana#/discover/Steve-Slow-Train-Analysis-(2080s-and-2083s)?_g=(refreshInterval:(display:Off,pause:!f,section:0,value:0),time:(from:'2017-07-01T16:36:41-0600',mode:absolute,to:'2017-07-01T18:55:06-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W185" s="197" t="str">
        <f>IF(AA185&lt;VLOOKUP(AG185,Variables!$AC$3:$AD$8,2,FALSE),"Y","N")</f>
        <v>N</v>
      </c>
      <c r="X185" s="197">
        <f t="shared" si="67"/>
        <v>1</v>
      </c>
      <c r="Y185" s="197">
        <f t="shared" si="53"/>
        <v>5.8596000000000004</v>
      </c>
      <c r="Z185" s="197">
        <f t="shared" si="54"/>
        <v>6.6799999999999998E-2</v>
      </c>
      <c r="AA185" s="197">
        <f t="shared" si="55"/>
        <v>5.7928000000000006</v>
      </c>
      <c r="AB185" s="54" t="e">
        <f>VLOOKUP(A185,Enforcements!$C$7:$K$13,8,0)</f>
        <v>#N/A</v>
      </c>
      <c r="AC185" s="51" t="e">
        <f>VLOOKUP(A185,Enforcements!$C$7:$E$13,3,0)</f>
        <v>#N/A</v>
      </c>
      <c r="AD185" s="206">
        <f t="shared" si="56"/>
        <v>1824</v>
      </c>
      <c r="AE185" s="77" t="str">
        <f t="shared" si="57"/>
        <v>aws s3 cp s3://rtdc.mdm.uploadarchive.raw/RTDC4005/ "%USERPROFILE%\AppData\Local\Temp\OnboardLogs"\RTDC4005\2017-07-01 --exclude "*" --recursive --include "*20170701*" &amp; "%USERPROFILE%\Documents\GitHub\mrs-test-scripts\Headless Mode &amp; Sideloading\WalkAndUnGZ.bat" "%USERPROFILE%\AppData\Local\Temp\OnboardLogs"\RTDC4005\2017-07-01 &amp; aws s3 cp s3://rtdc.mdm.uploadarchive.raw/RTDC4005/ "%USERPROFILE%\AppData\Local\Temp\OnboardLogs"\RTDC4005\2017-07-02 --exclude "*" --recursive --include "*20170702*" &amp; "%USERPROFILE%\Documents\GitHub\mrs-test-scripts\Headless Mode &amp; Sideloading\WalkAndUnGZ.bat" "%USERPROFILE%\AppData\Local\Temp\OnboardLogs"\RTDC4005\2017-07-02</v>
      </c>
      <c r="AF185" s="74" t="str">
        <f t="shared" si="58"/>
        <v>"C:\Program Files (x86)\AstroGrep\AstroGrep.exe" /e /r /s /spath="%USERPROFILE%\AppData\Local\Temp\OnboardLogs" /stypes="app*4005*20170701*" /stext=" 23:.+((SYSTEM_STATE.+slice.+state.+changed )|(ment ac)|(multiple cpu faults)|(system.+state.+changed )|(\[timeout)|(PRM\|1\|D)|(kpr)|(kdp)|(train st.+moving)|(\|lc)|(penalty))"</v>
      </c>
      <c r="AG185" s="209" t="str">
        <f t="shared" si="59"/>
        <v>NW</v>
      </c>
      <c r="AH185" s="78" t="str">
        <f t="shared" si="60"/>
        <v>"%USERPROFILE%\Documents\GitHub\eaglep3\Utilities\RefineRTDCRunTimes.py" --tripid 1824-01 --locoid 4005 --swversion DE.1.0.9.0 --startMP 300:58596 --initTime 2017-07-01T17:36:41 --startdatetime 2017-07-01T17:39:11 --delay 1 --endMP 204:668 --enddatetime 2017-07-01T17:55:06 --enforcementcount 0 &gt;&gt;C:\Users\stu\Documents\GitHub\eaglep3-reporting\EC\2017-07-01-refined-times.txt</v>
      </c>
      <c r="AI185" s="96" t="str">
        <f t="shared" si="61"/>
        <v>echo {"issue":{"subject":"","project_id":79,"tracker_id":40,"status_id":1,"priority_id":2,"assigned_to_id":23,"start_date":"2017-07-01","description":"","custom_fields":[{"id":1,"name":"Subdivision","value":"NW"},{"id":4,"name":"Milepost","value":"0.0668"},{"id":17,"name":"Train ID","value":"1824-01"},{"id":16,"name":"Locomotive ID","value":"4005"},{"id":130,"name":"Impact","value":""},{"id":150,"name":"Time of Event (Mountain Time)","value":"17:55:06"},{"id":151,"name":"Denver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5" s="20"/>
      <c r="AK185" s="47"/>
      <c r="AL185" s="47"/>
      <c r="AM185" s="142" t="str">
        <f t="shared" si="62"/>
        <v>start /low /b %USERPROFILE%\Documents\GitHub\eaglep3\Utilities\DownloadLogsFromS3.py --loco 4005 --day 2017-07-01</v>
      </c>
      <c r="AN185" s="151" t="str">
        <f t="shared" si="63"/>
        <v>echo {"issue":{"subject":"","project_id":30,"tracker_id":4,"status_id":1,"priority_id":1,"assigned_to_id":10,"start_date":"2017-07-01","description":"","custom_fields":[{"id":30,"name":"Category","value":"Issue"},{"id":3,"name":"Functional Component","value":"Onboard"},{"id":31,"name":"Version","value":"N/A"},{"id":8,"name":"Reporting RR","value":"WABTEC"},{"id":27,"name":"Locomotive ID","value":"4005"},{"id":20,"name":"RR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UTC","value":"2017-07-01 23:55:06"},{"id":29,"name":"Sharepoint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5"/>
    </row>
    <row r="186" spans="1:91" x14ac:dyDescent="0.25">
      <c r="A186" s="32" t="s">
        <v>833</v>
      </c>
      <c r="B186" s="7">
        <v>4006</v>
      </c>
      <c r="C186" s="21" t="s">
        <v>202</v>
      </c>
      <c r="D186" s="21" t="s">
        <v>961</v>
      </c>
      <c r="E186" s="13">
        <v>42917.748912037037</v>
      </c>
      <c r="F186" s="13">
        <v>42917.765023148146</v>
      </c>
      <c r="G186" s="7">
        <v>1</v>
      </c>
      <c r="H186" s="21" t="s">
        <v>962</v>
      </c>
      <c r="I186" s="13">
        <v>42917.774884259263</v>
      </c>
      <c r="J186" s="7">
        <v>0</v>
      </c>
      <c r="K186" s="89" t="str">
        <f t="shared" si="48"/>
        <v>4005/4006</v>
      </c>
      <c r="L186" s="21" t="str">
        <f>VLOOKUP(A186,'Trips&amp;Operators'!$C$1:$G$99999,5,FALSE)</f>
        <v>SAFIEF AEIMEN</v>
      </c>
      <c r="M186" s="6">
        <f t="shared" si="49"/>
        <v>9.8611111170612276E-3</v>
      </c>
      <c r="N186" s="7">
        <f t="shared" si="64"/>
        <v>14.200000008568168</v>
      </c>
      <c r="O186" s="7"/>
      <c r="P186" s="7"/>
      <c r="Q186" s="22"/>
      <c r="R186" s="170"/>
      <c r="S186" s="213">
        <f t="shared" si="66"/>
        <v>1</v>
      </c>
      <c r="T186" s="195" t="str">
        <f t="shared" si="50"/>
        <v>NorthBound</v>
      </c>
      <c r="U186" s="195">
        <f>IF(AG186="EC",COUNTIFS(Variables!$M$2:$M$19,IF(T186="NorthBound","&gt;=","&lt;=")&amp;Y186,Variables!$M$2:$M$19,IF(T186="NorthBound","&lt;=","&gt;=")&amp;Z186),COUNTIFS(Variables!$P$2:$P$19,IF(T186="NorthBound","&gt;=","&lt;=")&amp;Y186,Variables!$P$2:$P$19,IF(T186="NorthBound","&lt;=","&gt;=")&amp;Z186))</f>
        <v>1</v>
      </c>
      <c r="V186" s="196" t="str">
        <f t="shared" si="51"/>
        <v>https://d0f6bd738d7f1b3e5a7ca70fe4ff75f0.us-east-1.aws.found.io/app/kibana#/discover/Steve-Slow-Train-Analysis-(2080s-and-2083s)?_g=(refreshInterval:(display:Off,pause:!f,section:0,value:0),time:(from:'2017-07-01T16:58:26-0600',mode:absolute,to:'2017-07-01T19:35:50-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W186" s="197" t="str">
        <f>IF(AA186&lt;VLOOKUP(AG186,Variables!$AC$3:$AD$8,2,FALSE),"Y","N")</f>
        <v>N</v>
      </c>
      <c r="X186" s="197">
        <f t="shared" si="67"/>
        <v>1</v>
      </c>
      <c r="Y186" s="197">
        <f t="shared" si="53"/>
        <v>9.6199999999999994E-2</v>
      </c>
      <c r="Z186" s="197">
        <f t="shared" si="54"/>
        <v>5.8920000000000003</v>
      </c>
      <c r="AA186" s="197">
        <f t="shared" si="55"/>
        <v>5.7958000000000007</v>
      </c>
      <c r="AB186" s="54" t="e">
        <f>VLOOKUP(A186,Enforcements!$C$7:$K$13,8,0)</f>
        <v>#N/A</v>
      </c>
      <c r="AC186" s="51" t="e">
        <f>VLOOKUP(A186,Enforcements!$C$7:$E$13,3,0)</f>
        <v>#N/A</v>
      </c>
      <c r="AD186" s="206">
        <f t="shared" si="56"/>
        <v>1825</v>
      </c>
      <c r="AE186" s="77" t="str">
        <f t="shared" si="57"/>
        <v>aws s3 cp s3://rtdc.mdm.uploadarchive.raw/RTDC4006/ "%USERPROFILE%\AppData\Local\Temp\OnboardLogs"\RTDC4006\2017-07-01 --exclude "*" --recursive --include "*20170701*" &amp; "%USERPROFILE%\Documents\GitHub\mrs-test-scripts\Headless Mode &amp; Sideloading\WalkAndUnGZ.bat" "%USERPROFILE%\AppData\Local\Temp\OnboardLogs"\RTDC4006\2017-07-01 &amp; aws s3 cp s3://rtdc.mdm.uploadarchive.raw/RTDC4006/ "%USERPROFILE%\AppData\Local\Temp\OnboardLogs"\RTDC4006\2017-07-02 --exclude "*" --recursive --include "*20170702*" &amp; "%USERPROFILE%\Documents\GitHub\mrs-test-scripts\Headless Mode &amp; Sideloading\WalkAndUnGZ.bat" "%USERPROFILE%\AppData\Local\Temp\OnboardLogs"\RTDC4006\2017-07-02</v>
      </c>
      <c r="AF186" s="74" t="str">
        <f t="shared" si="58"/>
        <v>"C:\Program Files (x86)\AstroGrep\AstroGrep.exe" /e /r /s /spath="%USERPROFILE%\AppData\Local\Temp\OnboardLogs" /stypes="app*4006*20170702*" /stext=" 00:.+((SYSTEM_STATE.+slice.+state.+changed )|(ment ac)|(multiple cpu faults)|(system.+state.+changed )|(\[timeout)|(PRM\|1\|D)|(kpr)|(kdp)|(train st.+moving)|(\|lc)|(penalty))"</v>
      </c>
      <c r="AG186" s="209" t="str">
        <f t="shared" si="59"/>
        <v>NW</v>
      </c>
      <c r="AH186" s="78" t="str">
        <f t="shared" si="60"/>
        <v>"%USERPROFILE%\Documents\GitHub\eaglep3\Utilities\RefineRTDCRunTimes.py" --tripid 1825-01 --locoid 4006 --swversion DE.1.0.9.0 --startMP 204:962 --initTime 2017-07-01T17:58:26 --startdatetime 2017-07-01T18:21:38 --delay 1 --endMP 300:58920 --enddatetime 2017-07-01T18:35:50 --enforcementcount 0 &gt;&gt;C:\Users\stu\Documents\GitHub\eaglep3-reporting\EC\2017-07-01-refined-times.txt</v>
      </c>
      <c r="AI186" s="96" t="str">
        <f t="shared" si="61"/>
        <v>echo {"issue":{"subject":"","project_id":79,"tracker_id":40,"status_id":1,"priority_id":2,"assigned_to_id":23,"start_date":"2017-07-01","description":"","custom_fields":[{"id":1,"name":"Subdivision","value":"NW"},{"id":4,"name":"Milepost","value":"5.892"},{"id":17,"name":"Train ID","value":"1825-01"},{"id":16,"name":"Locomotive ID","value":"4006"},{"id":130,"name":"Impact","value":""},{"id":150,"name":"Time of Event (Mountain Time)","value":"18:35:50"},{"id":151,"name":"Denver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6" s="20"/>
      <c r="AK186" s="47"/>
      <c r="AL186" s="47"/>
      <c r="AM186" s="142" t="str">
        <f t="shared" si="62"/>
        <v>start /low /b %USERPROFILE%\Documents\GitHub\eaglep3\Utilities\DownloadLogsFromS3.py --loco 4006 --day 2017-07-01</v>
      </c>
      <c r="AN186" s="151" t="str">
        <f t="shared" si="63"/>
        <v>echo {"issue":{"subject":"","project_id":30,"tracker_id":4,"status_id":1,"priority_id":1,"assigned_to_id":10,"start_date":"2017-07-02","description":"","custom_fields":[{"id":30,"name":"Category","value":"Issue"},{"id":3,"name":"Functional Component","value":"Onboard"},{"id":31,"name":"Version","value":"N/A"},{"id":8,"name":"Reporting RR","value":"WABTEC"},{"id":27,"name":"Locomotive ID","value":"4006"},{"id":20,"name":"RR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UTC","value":"2017-07-02 00:35:50"},{"id":29,"name":"Sharepoint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6"/>
    </row>
    <row r="187" spans="1:91" x14ac:dyDescent="0.25">
      <c r="A187" s="32" t="s">
        <v>837</v>
      </c>
      <c r="B187" s="7">
        <v>4005</v>
      </c>
      <c r="C187" s="21" t="s">
        <v>202</v>
      </c>
      <c r="D187" s="21" t="s">
        <v>960</v>
      </c>
      <c r="E187" s="13">
        <v>42917.776087962964</v>
      </c>
      <c r="F187" s="13">
        <v>42917.777615740742</v>
      </c>
      <c r="G187" s="7">
        <v>1</v>
      </c>
      <c r="H187" s="21" t="s">
        <v>963</v>
      </c>
      <c r="I187" s="13">
        <v>42917.78875</v>
      </c>
      <c r="J187" s="7">
        <v>0</v>
      </c>
      <c r="K187" s="89" t="str">
        <f t="shared" si="48"/>
        <v>4005/4006</v>
      </c>
      <c r="L187" s="21" t="str">
        <f>VLOOKUP(A187,'Trips&amp;Operators'!$C$1:$G$99999,5,FALSE)</f>
        <v>SAFIEF AEIMEN</v>
      </c>
      <c r="M187" s="6">
        <f t="shared" si="49"/>
        <v>1.113425925723277E-2</v>
      </c>
      <c r="N187" s="7">
        <f t="shared" si="64"/>
        <v>16.033333330415189</v>
      </c>
      <c r="O187" s="7"/>
      <c r="P187" s="7"/>
      <c r="Q187" s="22"/>
      <c r="R187" s="170"/>
      <c r="S187" s="213">
        <f t="shared" si="66"/>
        <v>1</v>
      </c>
      <c r="T187" s="195" t="str">
        <f t="shared" si="50"/>
        <v>Southbound</v>
      </c>
      <c r="U187" s="195">
        <f>IF(AG187="EC",COUNTIFS(Variables!$M$2:$M$19,IF(T187="NorthBound","&gt;=","&lt;=")&amp;Y187,Variables!$M$2:$M$19,IF(T187="NorthBound","&lt;=","&gt;=")&amp;Z187),COUNTIFS(Variables!$P$2:$P$19,IF(T187="NorthBound","&gt;=","&lt;=")&amp;Y187,Variables!$P$2:$P$19,IF(T187="NorthBound","&lt;=","&gt;=")&amp;Z187))</f>
        <v>1</v>
      </c>
      <c r="V187" s="196" t="str">
        <f t="shared" si="51"/>
        <v>https://d0f6bd738d7f1b3e5a7ca70fe4ff75f0.us-east-1.aws.found.io/app/kibana#/discover/Steve-Slow-Train-Analysis-(2080s-and-2083s)?_g=(refreshInterval:(display:Off,pause:!f,section:0,value:0),time:(from:'2017-07-01T17:37:34-0600',mode:absolute,to:'2017-07-01T19:55:48-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W187" s="197" t="str">
        <f>IF(AA187&lt;VLOOKUP(AG187,Variables!$AC$3:$AD$8,2,FALSE),"Y","N")</f>
        <v>N</v>
      </c>
      <c r="X187" s="197">
        <f t="shared" si="67"/>
        <v>1</v>
      </c>
      <c r="Y187" s="197">
        <f t="shared" si="53"/>
        <v>5.8596000000000004</v>
      </c>
      <c r="Z187" s="197">
        <f t="shared" si="54"/>
        <v>6.4299999999999996E-2</v>
      </c>
      <c r="AA187" s="197">
        <f t="shared" si="55"/>
        <v>5.7953000000000001</v>
      </c>
      <c r="AB187" s="54" t="e">
        <f>VLOOKUP(A187,Enforcements!$C$7:$K$13,8,0)</f>
        <v>#N/A</v>
      </c>
      <c r="AC187" s="51" t="e">
        <f>VLOOKUP(A187,Enforcements!$C$7:$E$13,3,0)</f>
        <v>#N/A</v>
      </c>
      <c r="AD187" s="206">
        <f t="shared" si="56"/>
        <v>1826</v>
      </c>
      <c r="AE187" s="77" t="str">
        <f t="shared" si="57"/>
        <v>aws s3 cp s3://rtdc.mdm.uploadarchive.raw/RTDC4005/ "%USERPROFILE%\AppData\Local\Temp\OnboardLogs"\RTDC4005\2017-07-01 --exclude "*" --recursive --include "*20170701*" &amp; "%USERPROFILE%\Documents\GitHub\mrs-test-scripts\Headless Mode &amp; Sideloading\WalkAndUnGZ.bat" "%USERPROFILE%\AppData\Local\Temp\OnboardLogs"\RTDC4005\2017-07-01 &amp; aws s3 cp s3://rtdc.mdm.uploadarchive.raw/RTDC4005/ "%USERPROFILE%\AppData\Local\Temp\OnboardLogs"\RTDC4005\2017-07-02 --exclude "*" --recursive --include "*20170702*" &amp; "%USERPROFILE%\Documents\GitHub\mrs-test-scripts\Headless Mode &amp; Sideloading\WalkAndUnGZ.bat" "%USERPROFILE%\AppData\Local\Temp\OnboardLogs"\RTDC4005\2017-07-02</v>
      </c>
      <c r="AF187" s="74" t="str">
        <f t="shared" si="58"/>
        <v>"C:\Program Files (x86)\AstroGrep\AstroGrep.exe" /e /r /s /spath="%USERPROFILE%\AppData\Local\Temp\OnboardLogs" /stypes="app*4005*20170702*" /stext=" 00:.+((SYSTEM_STATE.+slice.+state.+changed )|(ment ac)|(multiple cpu faults)|(system.+state.+changed )|(\[timeout)|(PRM\|1\|D)|(kpr)|(kdp)|(train st.+moving)|(\|lc)|(penalty))"</v>
      </c>
      <c r="AG187" s="209" t="str">
        <f t="shared" si="59"/>
        <v>NW</v>
      </c>
      <c r="AH187" s="78" t="str">
        <f t="shared" si="60"/>
        <v>"%USERPROFILE%\Documents\GitHub\eaglep3\Utilities\RefineRTDCRunTimes.py" --tripid 1826-01 --locoid 4005 --swversion DE.1.0.9.0 --startMP 300:58596 --initTime 2017-07-01T18:37:34 --startdatetime 2017-07-01T18:39:46 --delay 1 --endMP 204:643 --enddatetime 2017-07-01T18:55:48 --enforcementcount 0 &gt;&gt;C:\Users\stu\Documents\GitHub\eaglep3-reporting\EC\2017-07-01-refined-times.txt</v>
      </c>
      <c r="AI187" s="96" t="str">
        <f t="shared" si="61"/>
        <v>echo {"issue":{"subject":"","project_id":79,"tracker_id":40,"status_id":1,"priority_id":2,"assigned_to_id":23,"start_date":"2017-07-01","description":"","custom_fields":[{"id":1,"name":"Subdivision","value":"NW"},{"id":4,"name":"Milepost","value":"0.0643"},{"id":17,"name":"Train ID","value":"1826-01"},{"id":16,"name":"Locomotive ID","value":"4005"},{"id":130,"name":"Impact","value":""},{"id":150,"name":"Time of Event (Mountain Time)","value":"18:55:48"},{"id":151,"name":"Denver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7" s="20"/>
      <c r="AK187" s="47"/>
      <c r="AL187" s="47"/>
      <c r="AM187" s="142" t="str">
        <f t="shared" si="62"/>
        <v>start /low /b %USERPROFILE%\Documents\GitHub\eaglep3\Utilities\DownloadLogsFromS3.py --loco 4005 --day 2017-07-01</v>
      </c>
      <c r="AN187" s="151" t="str">
        <f t="shared" si="63"/>
        <v>echo {"issue":{"subject":"","project_id":30,"tracker_id":4,"status_id":1,"priority_id":1,"assigned_to_id":10,"start_date":"2017-07-02","description":"","custom_fields":[{"id":30,"name":"Category","value":"Issue"},{"id":3,"name":"Functional Component","value":"Onboard"},{"id":31,"name":"Version","value":"N/A"},{"id":8,"name":"Reporting RR","value":"WABTEC"},{"id":27,"name":"Locomotive ID","value":"4005"},{"id":20,"name":"RR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UTC","value":"2017-07-02 00:55:48"},{"id":29,"name":"Sharepoint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7"/>
    </row>
    <row r="188" spans="1:91" x14ac:dyDescent="0.25">
      <c r="A188" s="32" t="s">
        <v>843</v>
      </c>
      <c r="B188" s="7">
        <v>4006</v>
      </c>
      <c r="C188" s="21" t="s">
        <v>202</v>
      </c>
      <c r="D188" s="21" t="s">
        <v>633</v>
      </c>
      <c r="E188" s="13">
        <v>42917.79886574074</v>
      </c>
      <c r="F188" s="13">
        <v>42917.806493055556</v>
      </c>
      <c r="G188" s="7">
        <v>2</v>
      </c>
      <c r="H188" s="21" t="s">
        <v>951</v>
      </c>
      <c r="I188" s="13">
        <v>42917.81591435185</v>
      </c>
      <c r="J188" s="7">
        <v>0</v>
      </c>
      <c r="K188" s="89" t="str">
        <f t="shared" si="48"/>
        <v>4005/4006</v>
      </c>
      <c r="L188" s="21" t="str">
        <f>VLOOKUP(A188,'Trips&amp;Operators'!$C$1:$G$99999,5,FALSE)</f>
        <v>SAFIEF AEIMEN</v>
      </c>
      <c r="M188" s="6">
        <f t="shared" si="49"/>
        <v>9.4212962940218858E-3</v>
      </c>
      <c r="N188" s="7">
        <f t="shared" ref="N188:N212" si="68">24*60*SUM($M188:$M188)</f>
        <v>13.566666663391516</v>
      </c>
      <c r="O188" s="7"/>
      <c r="P188" s="7"/>
      <c r="Q188" s="22"/>
      <c r="R188" s="170"/>
      <c r="S188" s="213">
        <f t="shared" si="66"/>
        <v>1</v>
      </c>
      <c r="T188" s="195" t="str">
        <f t="shared" si="50"/>
        <v>NorthBound</v>
      </c>
      <c r="U188" s="195">
        <f>IF(AG188="EC",COUNTIFS(Variables!$M$2:$M$19,IF(T188="NorthBound","&gt;=","&lt;=")&amp;Y188,Variables!$M$2:$M$19,IF(T188="NorthBound","&lt;=","&gt;=")&amp;Z188),COUNTIFS(Variables!$P$2:$P$19,IF(T188="NorthBound","&gt;=","&lt;=")&amp;Y188,Variables!$P$2:$P$19,IF(T188="NorthBound","&lt;=","&gt;=")&amp;Z188))</f>
        <v>1</v>
      </c>
      <c r="V188" s="196" t="str">
        <f t="shared" si="51"/>
        <v>https://d0f6bd738d7f1b3e5a7ca70fe4ff75f0.us-east-1.aws.found.io/app/kibana#/discover/Steve-Slow-Train-Analysis-(2080s-and-2083s)?_g=(refreshInterval:(display:Off,pause:!f,section:0,value:0),time:(from:'2017-07-01T18:10:22-0600',mode:absolute,to:'2017-07-01T20:34:55-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W188" s="197" t="str">
        <f>IF(AA188&lt;VLOOKUP(AG188,Variables!$AC$3:$AD$8,2,FALSE),"Y","N")</f>
        <v>N</v>
      </c>
      <c r="X188" s="197">
        <f t="shared" si="67"/>
        <v>1</v>
      </c>
      <c r="Y188" s="197">
        <f t="shared" si="53"/>
        <v>9.64E-2</v>
      </c>
      <c r="Z188" s="197">
        <f t="shared" si="54"/>
        <v>5.8912000000000004</v>
      </c>
      <c r="AA188" s="197">
        <f t="shared" si="55"/>
        <v>5.7948000000000004</v>
      </c>
      <c r="AB188" s="54" t="e">
        <f>VLOOKUP(A188,Enforcements!$C$7:$K$13,8,0)</f>
        <v>#N/A</v>
      </c>
      <c r="AC188" s="51" t="e">
        <f>VLOOKUP(A188,Enforcements!$C$7:$E$13,3,0)</f>
        <v>#N/A</v>
      </c>
      <c r="AD188" s="206">
        <f t="shared" si="56"/>
        <v>1827</v>
      </c>
      <c r="AE188" s="77" t="str">
        <f t="shared" si="57"/>
        <v>aws s3 cp s3://rtdc.mdm.uploadarchive.raw/RTDC4006/ "%USERPROFILE%\AppData\Local\Temp\OnboardLogs"\RTDC4006\2017-07-01 --exclude "*" --recursive --include "*20170701*" &amp; "%USERPROFILE%\Documents\GitHub\mrs-test-scripts\Headless Mode &amp; Sideloading\WalkAndUnGZ.bat" "%USERPROFILE%\AppData\Local\Temp\OnboardLogs"\RTDC4006\2017-07-01 &amp; aws s3 cp s3://rtdc.mdm.uploadarchive.raw/RTDC4006/ "%USERPROFILE%\AppData\Local\Temp\OnboardLogs"\RTDC4006\2017-07-02 --exclude "*" --recursive --include "*20170702*" &amp; "%USERPROFILE%\Documents\GitHub\mrs-test-scripts\Headless Mode &amp; Sideloading\WalkAndUnGZ.bat" "%USERPROFILE%\AppData\Local\Temp\OnboardLogs"\RTDC4006\2017-07-02</v>
      </c>
      <c r="AF188" s="74" t="str">
        <f t="shared" si="58"/>
        <v>"C:\Program Files (x86)\AstroGrep\AstroGrep.exe" /e /r /s /spath="%USERPROFILE%\AppData\Local\Temp\OnboardLogs" /stypes="app*4006*20170702*" /stext=" 01:.+((SYSTEM_STATE.+slice.+state.+changed )|(ment ac)|(multiple cpu faults)|(system.+state.+changed )|(\[timeout)|(PRM\|1\|D)|(kpr)|(kdp)|(train st.+moving)|(\|lc)|(penalty))"</v>
      </c>
      <c r="AG188" s="209" t="str">
        <f t="shared" si="59"/>
        <v>NW</v>
      </c>
      <c r="AH188" s="78" t="str">
        <f t="shared" si="60"/>
        <v>"%USERPROFILE%\Documents\GitHub\eaglep3\Utilities\RefineRTDCRunTimes.py" --tripid 1827-01 --locoid 4006 --swversion DE.1.0.9.0 --startMP 204:964 --initTime 2017-07-01T19:10:22 --startdatetime 2017-07-01T19:21:21 --delay 2 --endMP 300:58912 --enddatetime 2017-07-01T19:34:55 --enforcementcount 0 &gt;&gt;C:\Users\stu\Documents\GitHub\eaglep3-reporting\EC\2017-07-01-refined-times.txt</v>
      </c>
      <c r="AI188" s="96" t="str">
        <f t="shared" si="61"/>
        <v>echo {"issue":{"subject":"","project_id":79,"tracker_id":40,"status_id":1,"priority_id":2,"assigned_to_id":23,"start_date":"2017-07-01","description":"","custom_fields":[{"id":1,"name":"Subdivision","value":"NW"},{"id":4,"name":"Milepost","value":"5.8912"},{"id":17,"name":"Train ID","value":"1827-01"},{"id":16,"name":"Locomotive ID","value":"4006"},{"id":130,"name":"Impact","value":""},{"id":150,"name":"Time of Event (Mountain Time)","value":"19:34:55"},{"id":151,"name":"Denver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8" s="20"/>
      <c r="AK188" s="47"/>
      <c r="AL188" s="47"/>
      <c r="AM188" s="142" t="str">
        <f t="shared" si="62"/>
        <v>start /low /b %USERPROFILE%\Documents\GitHub\eaglep3\Utilities\DownloadLogsFromS3.py --loco 4006 --day 2017-07-01</v>
      </c>
      <c r="AN188" s="151" t="str">
        <f t="shared" si="63"/>
        <v>echo {"issue":{"subject":"","project_id":30,"tracker_id":4,"status_id":1,"priority_id":1,"assigned_to_id":10,"start_date":"2017-07-02","description":"","custom_fields":[{"id":30,"name":"Category","value":"Issue"},{"id":3,"name":"Functional Component","value":"Onboard"},{"id":31,"name":"Version","value":"N/A"},{"id":8,"name":"Reporting RR","value":"WABTEC"},{"id":27,"name":"Locomotive ID","value":"4006"},{"id":20,"name":"RR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UTC","value":"2017-07-02 01:34:55"},{"id":29,"name":"Sharepoint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8"/>
    </row>
    <row r="189" spans="1:91" s="20" customFormat="1" x14ac:dyDescent="0.25">
      <c r="A189" s="32" t="s">
        <v>845</v>
      </c>
      <c r="B189" s="7">
        <v>4005</v>
      </c>
      <c r="C189" s="21" t="s">
        <v>202</v>
      </c>
      <c r="D189" s="21" t="s">
        <v>964</v>
      </c>
      <c r="E189" s="13">
        <v>42917.817337962966</v>
      </c>
      <c r="F189" s="13">
        <v>42917.819085648145</v>
      </c>
      <c r="G189" s="7">
        <v>1</v>
      </c>
      <c r="H189" s="21" t="s">
        <v>515</v>
      </c>
      <c r="I189" s="13">
        <v>42917.829976851855</v>
      </c>
      <c r="J189" s="7">
        <v>0</v>
      </c>
      <c r="K189" s="89" t="str">
        <f t="shared" si="48"/>
        <v>4005/4006</v>
      </c>
      <c r="L189" s="21" t="str">
        <f>VLOOKUP(A189,'Trips&amp;Operators'!$C$1:$G$99999,5,FALSE)</f>
        <v>SAFIEF AEIMEN</v>
      </c>
      <c r="M189" s="6">
        <f t="shared" si="49"/>
        <v>1.0891203710343689E-2</v>
      </c>
      <c r="N189" s="7">
        <f t="shared" si="68"/>
        <v>15.683333342894912</v>
      </c>
      <c r="O189" s="7"/>
      <c r="P189" s="7"/>
      <c r="Q189" s="22"/>
      <c r="R189" s="170"/>
      <c r="S189" s="213">
        <f t="shared" si="66"/>
        <v>1</v>
      </c>
      <c r="T189" s="195" t="str">
        <f t="shared" si="50"/>
        <v>Southbound</v>
      </c>
      <c r="U189" s="195">
        <f>IF(AG189="EC",COUNTIFS(Variables!$M$2:$M$19,IF(T189="NorthBound","&gt;=","&lt;=")&amp;Y189,Variables!$M$2:$M$19,IF(T189="NorthBound","&lt;=","&gt;=")&amp;Z189),COUNTIFS(Variables!$P$2:$P$19,IF(T189="NorthBound","&gt;=","&lt;=")&amp;Y189,Variables!$P$2:$P$19,IF(T189="NorthBound","&lt;=","&gt;=")&amp;Z189))</f>
        <v>1</v>
      </c>
      <c r="V189" s="196" t="str">
        <f t="shared" si="51"/>
        <v>https://d0f6bd738d7f1b3e5a7ca70fe4ff75f0.us-east-1.aws.found.io/app/kibana#/discover/Steve-Slow-Train-Analysis-(2080s-and-2083s)?_g=(refreshInterval:(display:Off,pause:!f,section:0,value:0),time:(from:'2017-07-01T18:36:58-0600',mode:absolute,to:'2017-07-01T20:55:10-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W189" s="197" t="str">
        <f>IF(AA189&lt;VLOOKUP(AG189,Variables!$AC$3:$AD$8,2,FALSE),"Y","N")</f>
        <v>N</v>
      </c>
      <c r="X189" s="197">
        <f t="shared" si="67"/>
        <v>1</v>
      </c>
      <c r="Y189" s="197">
        <f t="shared" si="53"/>
        <v>5.86</v>
      </c>
      <c r="Z189" s="197">
        <f t="shared" si="54"/>
        <v>6.8900000000000003E-2</v>
      </c>
      <c r="AA189" s="197">
        <f t="shared" si="55"/>
        <v>5.7911000000000001</v>
      </c>
      <c r="AB189" s="54" t="e">
        <f>VLOOKUP(A189,Enforcements!$C$7:$K$13,8,0)</f>
        <v>#N/A</v>
      </c>
      <c r="AC189" s="51" t="e">
        <f>VLOOKUP(A189,Enforcements!$C$7:$E$13,3,0)</f>
        <v>#N/A</v>
      </c>
      <c r="AD189" s="206">
        <f t="shared" si="56"/>
        <v>1828</v>
      </c>
      <c r="AE189" s="77" t="str">
        <f t="shared" si="57"/>
        <v>aws s3 cp s3://rtdc.mdm.uploadarchive.raw/RTDC4005/ "%USERPROFILE%\AppData\Local\Temp\OnboardLogs"\RTDC4005\2017-07-01 --exclude "*" --recursive --include "*20170701*" &amp; "%USERPROFILE%\Documents\GitHub\mrs-test-scripts\Headless Mode &amp; Sideloading\WalkAndUnGZ.bat" "%USERPROFILE%\AppData\Local\Temp\OnboardLogs"\RTDC4005\2017-07-01 &amp; aws s3 cp s3://rtdc.mdm.uploadarchive.raw/RTDC4005/ "%USERPROFILE%\AppData\Local\Temp\OnboardLogs"\RTDC4005\2017-07-02 --exclude "*" --recursive --include "*20170702*" &amp; "%USERPROFILE%\Documents\GitHub\mrs-test-scripts\Headless Mode &amp; Sideloading\WalkAndUnGZ.bat" "%USERPROFILE%\AppData\Local\Temp\OnboardLogs"\RTDC4005\2017-07-02</v>
      </c>
      <c r="AF189" s="74" t="str">
        <f t="shared" si="58"/>
        <v>"C:\Program Files (x86)\AstroGrep\AstroGrep.exe" /e /r /s /spath="%USERPROFILE%\AppData\Local\Temp\OnboardLogs" /stypes="app*4005*20170702*" /stext=" 01:.+((SYSTEM_STATE.+slice.+state.+changed )|(ment ac)|(multiple cpu faults)|(system.+state.+changed )|(\[timeout)|(PRM\|1\|D)|(kpr)|(kdp)|(train st.+moving)|(\|lc)|(penalty))"</v>
      </c>
      <c r="AG189" s="209" t="str">
        <f t="shared" si="59"/>
        <v>NW</v>
      </c>
      <c r="AH189" s="78" t="str">
        <f t="shared" si="60"/>
        <v>"%USERPROFILE%\Documents\GitHub\eaglep3\Utilities\RefineRTDCRunTimes.py" --tripid 1828-01 --locoid 4005 --swversion DE.1.0.9.0 --startMP 300:58600 --initTime 2017-07-01T19:36:58 --startdatetime 2017-07-01T19:39:29 --delay 1 --endMP 204:689 --enddatetime 2017-07-01T19:55:10 --enforcementcount 0 &gt;&gt;C:\Users\stu\Documents\GitHub\eaglep3-reporting\EC\2017-07-01-refined-times.txt</v>
      </c>
      <c r="AI189" s="96" t="str">
        <f t="shared" si="61"/>
        <v>echo {"issue":{"subject":"","project_id":79,"tracker_id":40,"status_id":1,"priority_id":2,"assigned_to_id":23,"start_date":"2017-07-01","description":"","custom_fields":[{"id":1,"name":"Subdivision","value":"NW"},{"id":4,"name":"Milepost","value":"0.0689"},{"id":17,"name":"Train ID","value":"1828-01"},{"id":16,"name":"Locomotive ID","value":"4005"},{"id":130,"name":"Impact","value":""},{"id":150,"name":"Time of Event (Mountain Time)","value":"19:55:10"},{"id":151,"name":"Denver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89" s="47"/>
      <c r="AL189" s="47"/>
      <c r="AM189" s="142" t="str">
        <f t="shared" si="62"/>
        <v>start /low /b %USERPROFILE%\Documents\GitHub\eaglep3\Utilities\DownloadLogsFromS3.py --loco 4005 --day 2017-07-01</v>
      </c>
      <c r="AN189" s="151" t="str">
        <f t="shared" si="63"/>
        <v>echo {"issue":{"subject":"","project_id":30,"tracker_id":4,"status_id":1,"priority_id":1,"assigned_to_id":10,"start_date":"2017-07-02","description":"","custom_fields":[{"id":30,"name":"Category","value":"Issue"},{"id":3,"name":"Functional Component","value":"Onboard"},{"id":31,"name":"Version","value":"N/A"},{"id":8,"name":"Reporting RR","value":"WABTEC"},{"id":27,"name":"Locomotive ID","value":"4005"},{"id":20,"name":"RR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UTC","value":"2017-07-02 01:55:10"},{"id":29,"name":"Sharepoint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9"/>
      <c r="AP189"/>
      <c r="AQ189"/>
      <c r="AR189"/>
      <c r="AS189"/>
      <c r="AT189"/>
      <c r="AU189"/>
      <c r="AV189"/>
      <c r="AW189"/>
      <c r="AX189"/>
      <c r="AY189"/>
      <c r="AZ189"/>
      <c r="BA189"/>
      <c r="BB189"/>
      <c r="BC189"/>
      <c r="BD189"/>
      <c r="BE189"/>
      <c r="BF189"/>
      <c r="BG189"/>
      <c r="BH189"/>
      <c r="BI189"/>
      <c r="BJ189"/>
      <c r="BK189"/>
      <c r="BL189"/>
      <c r="BM189"/>
      <c r="BN189"/>
      <c r="BO189"/>
      <c r="BP189"/>
      <c r="BQ189"/>
      <c r="BR189"/>
      <c r="BS189"/>
      <c r="BT189"/>
      <c r="BU189"/>
      <c r="BV189"/>
      <c r="BW189"/>
      <c r="BX189"/>
      <c r="BY189"/>
      <c r="BZ189"/>
      <c r="CA189"/>
      <c r="CB189"/>
      <c r="CC189"/>
      <c r="CD189"/>
      <c r="CE189"/>
      <c r="CF189"/>
      <c r="CG189"/>
      <c r="CH189"/>
      <c r="CI189"/>
      <c r="CJ189"/>
      <c r="CK189"/>
      <c r="CL189"/>
      <c r="CM189"/>
    </row>
    <row r="190" spans="1:91" x14ac:dyDescent="0.25">
      <c r="A190" s="32" t="s">
        <v>848</v>
      </c>
      <c r="B190" s="7">
        <v>4006</v>
      </c>
      <c r="C190" s="21" t="s">
        <v>202</v>
      </c>
      <c r="D190" s="21" t="s">
        <v>628</v>
      </c>
      <c r="E190" s="13">
        <v>42917.835312499999</v>
      </c>
      <c r="F190" s="13">
        <v>42917.848171296297</v>
      </c>
      <c r="G190" s="7">
        <v>1</v>
      </c>
      <c r="H190" s="21" t="s">
        <v>623</v>
      </c>
      <c r="I190" s="13">
        <v>42917.857928240737</v>
      </c>
      <c r="J190" s="7">
        <v>0</v>
      </c>
      <c r="K190" s="89" t="str">
        <f t="shared" si="48"/>
        <v>4005/4006</v>
      </c>
      <c r="L190" s="21" t="str">
        <f>VLOOKUP(A190,'Trips&amp;Operators'!$C$1:$G$99999,5,FALSE)</f>
        <v>SAFIEF AEIMEN</v>
      </c>
      <c r="M190" s="6">
        <f t="shared" si="49"/>
        <v>9.7569444405962713E-3</v>
      </c>
      <c r="N190" s="7">
        <f t="shared" si="68"/>
        <v>14.049999994458631</v>
      </c>
      <c r="O190" s="7"/>
      <c r="P190" s="7"/>
      <c r="Q190" s="22"/>
      <c r="R190" s="170"/>
      <c r="S190" s="213">
        <f t="shared" si="66"/>
        <v>1</v>
      </c>
      <c r="T190" s="195" t="str">
        <f t="shared" si="50"/>
        <v>NorthBound</v>
      </c>
      <c r="U190" s="195">
        <f>IF(AG190="EC",COUNTIFS(Variables!$M$2:$M$19,IF(T190="NorthBound","&gt;=","&lt;=")&amp;Y190,Variables!$M$2:$M$19,IF(T190="NorthBound","&lt;=","&gt;=")&amp;Z190),COUNTIFS(Variables!$P$2:$P$19,IF(T190="NorthBound","&gt;=","&lt;=")&amp;Y190,Variables!$P$2:$P$19,IF(T190="NorthBound","&lt;=","&gt;=")&amp;Z190))</f>
        <v>1</v>
      </c>
      <c r="V190" s="196" t="str">
        <f t="shared" si="51"/>
        <v>https://d0f6bd738d7f1b3e5a7ca70fe4ff75f0.us-east-1.aws.found.io/app/kibana#/discover/Steve-Slow-Train-Analysis-(2080s-and-2083s)?_g=(refreshInterval:(display:Off,pause:!f,section:0,value:0),time:(from:'2017-07-01T19:02:51-0600',mode:absolute,to:'2017-07-01T21:35:25-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W190" s="197" t="str">
        <f>IF(AA190&lt;VLOOKUP(AG190,Variables!$AC$3:$AD$8,2,FALSE),"Y","N")</f>
        <v>N</v>
      </c>
      <c r="X190" s="197">
        <f t="shared" si="67"/>
        <v>1</v>
      </c>
      <c r="Y190" s="197">
        <f t="shared" si="53"/>
        <v>9.8299999999999998E-2</v>
      </c>
      <c r="Z190" s="197">
        <f t="shared" si="54"/>
        <v>5.8921999999999999</v>
      </c>
      <c r="AA190" s="197">
        <f t="shared" si="55"/>
        <v>5.7938999999999998</v>
      </c>
      <c r="AB190" s="54" t="e">
        <f>VLOOKUP(A190,Enforcements!$C$7:$K$13,8,0)</f>
        <v>#N/A</v>
      </c>
      <c r="AC190" s="51" t="e">
        <f>VLOOKUP(A190,Enforcements!$C$7:$E$13,3,0)</f>
        <v>#N/A</v>
      </c>
      <c r="AD190" s="206">
        <f t="shared" si="56"/>
        <v>1829</v>
      </c>
      <c r="AE190" s="77" t="str">
        <f t="shared" si="57"/>
        <v>aws s3 cp s3://rtdc.mdm.uploadarchive.raw/RTDC4006/ "%USERPROFILE%\AppData\Local\Temp\OnboardLogs"\RTDC4006\2017-07-01 --exclude "*" --recursive --include "*20170701*" &amp; "%USERPROFILE%\Documents\GitHub\mrs-test-scripts\Headless Mode &amp; Sideloading\WalkAndUnGZ.bat" "%USERPROFILE%\AppData\Local\Temp\OnboardLogs"\RTDC4006\2017-07-01 &amp; aws s3 cp s3://rtdc.mdm.uploadarchive.raw/RTDC4006/ "%USERPROFILE%\AppData\Local\Temp\OnboardLogs"\RTDC4006\2017-07-02 --exclude "*" --recursive --include "*20170702*" &amp; "%USERPROFILE%\Documents\GitHub\mrs-test-scripts\Headless Mode &amp; Sideloading\WalkAndUnGZ.bat" "%USERPROFILE%\AppData\Local\Temp\OnboardLogs"\RTDC4006\2017-07-02</v>
      </c>
      <c r="AF190" s="74" t="str">
        <f t="shared" si="58"/>
        <v>"C:\Program Files (x86)\AstroGrep\AstroGrep.exe" /e /r /s /spath="%USERPROFILE%\AppData\Local\Temp\OnboardLogs" /stypes="app*4006*20170702*" /stext=" 02:.+((SYSTEM_STATE.+slice.+state.+changed )|(ment ac)|(multiple cpu faults)|(system.+state.+changed )|(\[timeout)|(PRM\|1\|D)|(kpr)|(kdp)|(train st.+moving)|(\|lc)|(penalty))"</v>
      </c>
      <c r="AG190" s="209" t="str">
        <f t="shared" si="59"/>
        <v>NW</v>
      </c>
      <c r="AH190" s="78" t="str">
        <f t="shared" si="60"/>
        <v>"%USERPROFILE%\Documents\GitHub\eaglep3\Utilities\RefineRTDCRunTimes.py" --tripid 1829-01 --locoid 4006 --swversion DE.1.0.9.0 --startMP 204:983 --initTime 2017-07-01T20:02:51 --startdatetime 2017-07-01T20:21:22 --delay 1 --endMP 300:58922 --enddatetime 2017-07-01T20:35:25 --enforcementcount 0 &gt;&gt;C:\Users\stu\Documents\GitHub\eaglep3-reporting\EC\2017-07-01-refined-times.txt</v>
      </c>
      <c r="AI190" s="96" t="str">
        <f t="shared" si="61"/>
        <v>echo {"issue":{"subject":"","project_id":79,"tracker_id":40,"status_id":1,"priority_id":2,"assigned_to_id":23,"start_date":"2017-07-01","description":"","custom_fields":[{"id":1,"name":"Subdivision","value":"NW"},{"id":4,"name":"Milepost","value":"5.8922"},{"id":17,"name":"Train ID","value":"1829-01"},{"id":16,"name":"Locomotive ID","value":"4006"},{"id":130,"name":"Impact","value":""},{"id":150,"name":"Time of Event (Mountain Time)","value":"20:35:25"},{"id":151,"name":"Denver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0" s="20"/>
      <c r="AK190" s="47"/>
      <c r="AL190" s="47"/>
      <c r="AM190" s="142" t="str">
        <f t="shared" si="62"/>
        <v>start /low /b %USERPROFILE%\Documents\GitHub\eaglep3\Utilities\DownloadLogsFromS3.py --loco 4006 --day 2017-07-01</v>
      </c>
      <c r="AN190" s="151" t="str">
        <f t="shared" si="63"/>
        <v>echo {"issue":{"subject":"","project_id":30,"tracker_id":4,"status_id":1,"priority_id":1,"assigned_to_id":10,"start_date":"2017-07-02","description":"","custom_fields":[{"id":30,"name":"Category","value":"Issue"},{"id":3,"name":"Functional Component","value":"Onboard"},{"id":31,"name":"Version","value":"N/A"},{"id":8,"name":"Reporting RR","value":"WABTEC"},{"id":27,"name":"Locomotive ID","value":"4006"},{"id":20,"name":"RR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UTC","value":"2017-07-02 02:35:25"},{"id":29,"name":"Sharepoint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0"/>
    </row>
    <row r="191" spans="1:91" x14ac:dyDescent="0.25">
      <c r="A191" s="32" t="s">
        <v>851</v>
      </c>
      <c r="B191" s="7">
        <v>4005</v>
      </c>
      <c r="C191" s="21" t="s">
        <v>202</v>
      </c>
      <c r="D191" s="21" t="s">
        <v>964</v>
      </c>
      <c r="E191" s="13">
        <v>42917.86109953704</v>
      </c>
      <c r="F191" s="13">
        <v>42917.862372685187</v>
      </c>
      <c r="G191" s="7">
        <v>1</v>
      </c>
      <c r="H191" s="21" t="s">
        <v>556</v>
      </c>
      <c r="I191" s="13">
        <v>42917.871736111112</v>
      </c>
      <c r="J191" s="7">
        <v>0</v>
      </c>
      <c r="K191" s="89" t="str">
        <f t="shared" si="48"/>
        <v>4005/4006</v>
      </c>
      <c r="L191" s="21" t="str">
        <f>VLOOKUP(A191,'Trips&amp;Operators'!$C$1:$G$99999,5,FALSE)</f>
        <v>SAFIEF AEIMEN</v>
      </c>
      <c r="M191" s="6">
        <f t="shared" si="49"/>
        <v>9.3634259246755391E-3</v>
      </c>
      <c r="N191" s="7">
        <f t="shared" si="68"/>
        <v>13.483333331532776</v>
      </c>
      <c r="O191" s="7"/>
      <c r="P191" s="7"/>
      <c r="Q191" s="22"/>
      <c r="R191" s="170"/>
      <c r="S191" s="213">
        <f t="shared" si="66"/>
        <v>1</v>
      </c>
      <c r="T191" s="195" t="str">
        <f t="shared" si="50"/>
        <v>Southbound</v>
      </c>
      <c r="U191" s="195">
        <f>IF(AG191="EC",COUNTIFS(Variables!$M$2:$M$19,IF(T191="NorthBound","&gt;=","&lt;=")&amp;Y191,Variables!$M$2:$M$19,IF(T191="NorthBound","&lt;=","&gt;=")&amp;Z191),COUNTIFS(Variables!$P$2:$P$19,IF(T191="NorthBound","&gt;=","&lt;=")&amp;Y191,Variables!$P$2:$P$19,IF(T191="NorthBound","&lt;=","&gt;=")&amp;Z191))</f>
        <v>1</v>
      </c>
      <c r="V191" s="196" t="str">
        <f t="shared" si="51"/>
        <v>https://d0f6bd738d7f1b3e5a7ca70fe4ff75f0.us-east-1.aws.found.io/app/kibana#/discover/Steve-Slow-Train-Analysis-(2080s-and-2083s)?_g=(refreshInterval:(display:Off,pause:!f,section:0,value:0),time:(from:'2017-07-01T19:39:59-0600',mode:absolute,to:'2017-07-01T21:55:18-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W191" s="197" t="str">
        <f>IF(AA191&lt;VLOOKUP(AG191,Variables!$AC$3:$AD$8,2,FALSE),"Y","N")</f>
        <v>N</v>
      </c>
      <c r="X191" s="197">
        <f t="shared" si="67"/>
        <v>1</v>
      </c>
      <c r="Y191" s="197">
        <f t="shared" si="53"/>
        <v>5.86</v>
      </c>
      <c r="Z191" s="197">
        <f t="shared" si="54"/>
        <v>6.8500000000000005E-2</v>
      </c>
      <c r="AA191" s="197">
        <f t="shared" si="55"/>
        <v>5.7915000000000001</v>
      </c>
      <c r="AB191" s="54" t="e">
        <f>VLOOKUP(A191,Enforcements!$C$7:$K$13,8,0)</f>
        <v>#N/A</v>
      </c>
      <c r="AC191" s="51" t="e">
        <f>VLOOKUP(A191,Enforcements!$C$7:$E$13,3,0)</f>
        <v>#N/A</v>
      </c>
      <c r="AD191" s="206">
        <f t="shared" si="56"/>
        <v>1830</v>
      </c>
      <c r="AE191" s="77" t="str">
        <f t="shared" si="57"/>
        <v>aws s3 cp s3://rtdc.mdm.uploadarchive.raw/RTDC4005/ "%USERPROFILE%\AppData\Local\Temp\OnboardLogs"\RTDC4005\2017-07-01 --exclude "*" --recursive --include "*20170701*" &amp; "%USERPROFILE%\Documents\GitHub\mrs-test-scripts\Headless Mode &amp; Sideloading\WalkAndUnGZ.bat" "%USERPROFILE%\AppData\Local\Temp\OnboardLogs"\RTDC4005\2017-07-01 &amp; aws s3 cp s3://rtdc.mdm.uploadarchive.raw/RTDC4005/ "%USERPROFILE%\AppData\Local\Temp\OnboardLogs"\RTDC4005\2017-07-02 --exclude "*" --recursive --include "*20170702*" &amp; "%USERPROFILE%\Documents\GitHub\mrs-test-scripts\Headless Mode &amp; Sideloading\WalkAndUnGZ.bat" "%USERPROFILE%\AppData\Local\Temp\OnboardLogs"\RTDC4005\2017-07-02</v>
      </c>
      <c r="AF191" s="74" t="str">
        <f t="shared" si="58"/>
        <v>"C:\Program Files (x86)\AstroGrep\AstroGrep.exe" /e /r /s /spath="%USERPROFILE%\AppData\Local\Temp\OnboardLogs" /stypes="app*4005*20170702*" /stext=" 02:.+((SYSTEM_STATE.+slice.+state.+changed )|(ment ac)|(multiple cpu faults)|(system.+state.+changed )|(\[timeout)|(PRM\|1\|D)|(kpr)|(kdp)|(train st.+moving)|(\|lc)|(penalty))"</v>
      </c>
      <c r="AG191" s="209" t="str">
        <f t="shared" si="59"/>
        <v>NW</v>
      </c>
      <c r="AH191" s="78" t="str">
        <f t="shared" si="60"/>
        <v>"%USERPROFILE%\Documents\GitHub\eaglep3\Utilities\RefineRTDCRunTimes.py" --tripid 1830-01 --locoid 4005 --swversion DE.1.0.9.0 --startMP 300:58600 --initTime 2017-07-01T20:39:59 --startdatetime 2017-07-01T20:41:49 --delay 1 --endMP 204:685 --enddatetime 2017-07-01T20:55:18 --enforcementcount 0 &gt;&gt;C:\Users\stu\Documents\GitHub\eaglep3-reporting\EC\2017-07-01-refined-times.txt</v>
      </c>
      <c r="AI191" s="96" t="str">
        <f t="shared" si="61"/>
        <v>echo {"issue":{"subject":"","project_id":79,"tracker_id":40,"status_id":1,"priority_id":2,"assigned_to_id":23,"start_date":"2017-07-01","description":"","custom_fields":[{"id":1,"name":"Subdivision","value":"NW"},{"id":4,"name":"Milepost","value":"0.0685"},{"id":17,"name":"Train ID","value":"1830-01"},{"id":16,"name":"Locomotive ID","value":"4005"},{"id":130,"name":"Impact","value":""},{"id":150,"name":"Time of Event (Mountain Time)","value":"20:55:18"},{"id":151,"name":"Denver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1" s="20"/>
      <c r="AK191" s="47"/>
      <c r="AL191" s="47"/>
      <c r="AM191" s="142" t="str">
        <f t="shared" si="62"/>
        <v>start /low /b %USERPROFILE%\Documents\GitHub\eaglep3\Utilities\DownloadLogsFromS3.py --loco 4005 --day 2017-07-01</v>
      </c>
      <c r="AN191" s="151" t="str">
        <f t="shared" si="63"/>
        <v>echo {"issue":{"subject":"","project_id":30,"tracker_id":4,"status_id":1,"priority_id":1,"assigned_to_id":10,"start_date":"2017-07-02","description":"","custom_fields":[{"id":30,"name":"Category","value":"Issue"},{"id":3,"name":"Functional Component","value":"Onboard"},{"id":31,"name":"Version","value":"N/A"},{"id":8,"name":"Reporting RR","value":"WABTEC"},{"id":27,"name":"Locomotive ID","value":"4005"},{"id":20,"name":"RR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UTC","value":"2017-07-02 02:55:18"},{"id":29,"name":"Sharepoint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1"/>
    </row>
    <row r="192" spans="1:91" x14ac:dyDescent="0.25">
      <c r="A192" s="32" t="s">
        <v>854</v>
      </c>
      <c r="B192" s="7">
        <v>4006</v>
      </c>
      <c r="C192" s="21" t="s">
        <v>202</v>
      </c>
      <c r="D192" s="21" t="s">
        <v>558</v>
      </c>
      <c r="E192" s="13">
        <v>42917.873842592591</v>
      </c>
      <c r="F192" s="13">
        <v>42917.889803240738</v>
      </c>
      <c r="G192" s="7">
        <v>1</v>
      </c>
      <c r="H192" s="21" t="s">
        <v>965</v>
      </c>
      <c r="I192" s="13">
        <v>42917.899548611109</v>
      </c>
      <c r="J192" s="7">
        <v>0</v>
      </c>
      <c r="K192" s="89" t="str">
        <f t="shared" si="48"/>
        <v>4005/4006</v>
      </c>
      <c r="L192" s="21" t="str">
        <f>VLOOKUP(A192,'Trips&amp;Operators'!$C$1:$G$99999,5,FALSE)</f>
        <v>SAFIEF AEIMEN</v>
      </c>
      <c r="M192" s="6">
        <f t="shared" si="49"/>
        <v>9.7453703710925765E-3</v>
      </c>
      <c r="N192" s="7">
        <f t="shared" si="68"/>
        <v>14.03333333437331</v>
      </c>
      <c r="O192" s="7"/>
      <c r="P192" s="7"/>
      <c r="Q192" s="22"/>
      <c r="R192" s="170"/>
      <c r="S192" s="213">
        <f t="shared" si="66"/>
        <v>1</v>
      </c>
      <c r="T192" s="195" t="str">
        <f t="shared" si="50"/>
        <v>NorthBound</v>
      </c>
      <c r="U192" s="195">
        <f>IF(AG192="EC",COUNTIFS(Variables!$M$2:$M$19,IF(T192="NorthBound","&gt;=","&lt;=")&amp;Y192,Variables!$M$2:$M$19,IF(T192="NorthBound","&lt;=","&gt;=")&amp;Z192),COUNTIFS(Variables!$P$2:$P$19,IF(T192="NorthBound","&gt;=","&lt;=")&amp;Y192,Variables!$P$2:$P$19,IF(T192="NorthBound","&lt;=","&gt;=")&amp;Z192))</f>
        <v>1</v>
      </c>
      <c r="V192" s="196" t="str">
        <f t="shared" si="51"/>
        <v>https://d0f6bd738d7f1b3e5a7ca70fe4ff75f0.us-east-1.aws.found.io/app/kibana#/discover/Steve-Slow-Train-Analysis-(2080s-and-2083s)?_g=(refreshInterval:(display:Off,pause:!f,section:0,value:0),time:(from:'2017-07-01T19:58:20-0600',mode:absolute,to:'2017-07-01T22:35:21-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W192" s="197" t="str">
        <f>IF(AA192&lt;VLOOKUP(AG192,Variables!$AC$3:$AD$8,2,FALSE),"Y","N")</f>
        <v>N</v>
      </c>
      <c r="X192" s="197">
        <f t="shared" si="67"/>
        <v>1</v>
      </c>
      <c r="Y192" s="197">
        <f t="shared" si="53"/>
        <v>9.7600000000000006E-2</v>
      </c>
      <c r="Z192" s="197">
        <f t="shared" si="54"/>
        <v>5.8907999999999996</v>
      </c>
      <c r="AA192" s="197">
        <f t="shared" si="55"/>
        <v>5.7931999999999997</v>
      </c>
      <c r="AB192" s="54" t="e">
        <f>VLOOKUP(A192,Enforcements!$C$7:$K$13,8,0)</f>
        <v>#N/A</v>
      </c>
      <c r="AC192" s="51" t="e">
        <f>VLOOKUP(A192,Enforcements!$C$7:$E$13,3,0)</f>
        <v>#N/A</v>
      </c>
      <c r="AD192" s="206">
        <f t="shared" si="56"/>
        <v>1831</v>
      </c>
      <c r="AE192" s="77" t="str">
        <f t="shared" si="57"/>
        <v>aws s3 cp s3://rtdc.mdm.uploadarchive.raw/RTDC4006/ "%USERPROFILE%\AppData\Local\Temp\OnboardLogs"\RTDC4006\2017-07-01 --exclude "*" --recursive --include "*20170701*" &amp; "%USERPROFILE%\Documents\GitHub\mrs-test-scripts\Headless Mode &amp; Sideloading\WalkAndUnGZ.bat" "%USERPROFILE%\AppData\Local\Temp\OnboardLogs"\RTDC4006\2017-07-01 &amp; aws s3 cp s3://rtdc.mdm.uploadarchive.raw/RTDC4006/ "%USERPROFILE%\AppData\Local\Temp\OnboardLogs"\RTDC4006\2017-07-02 --exclude "*" --recursive --include "*20170702*" &amp; "%USERPROFILE%\Documents\GitHub\mrs-test-scripts\Headless Mode &amp; Sideloading\WalkAndUnGZ.bat" "%USERPROFILE%\AppData\Local\Temp\OnboardLogs"\RTDC4006\2017-07-02</v>
      </c>
      <c r="AF192" s="74" t="str">
        <f t="shared" si="58"/>
        <v>"C:\Program Files (x86)\AstroGrep\AstroGrep.exe" /e /r /s /spath="%USERPROFILE%\AppData\Local\Temp\OnboardLogs" /stypes="app*4006*20170702*" /stext=" 03:.+((SYSTEM_STATE.+slice.+state.+changed )|(ment ac)|(multiple cpu faults)|(system.+state.+changed )|(\[timeout)|(PRM\|1\|D)|(kpr)|(kdp)|(train st.+moving)|(\|lc)|(penalty))"</v>
      </c>
      <c r="AG192" s="209" t="str">
        <f t="shared" si="59"/>
        <v>NW</v>
      </c>
      <c r="AH192" s="78" t="str">
        <f t="shared" si="60"/>
        <v>"%USERPROFILE%\Documents\GitHub\eaglep3\Utilities\RefineRTDCRunTimes.py" --tripid 1831-01 --locoid 4006 --swversion DE.1.0.9.0 --startMP 204:976 --initTime 2017-07-01T20:58:20 --startdatetime 2017-07-01T21:21:19 --delay 1 --endMP 300:58908 --enddatetime 2017-07-01T21:35:21 --enforcementcount 0 &gt;&gt;C:\Users\stu\Documents\GitHub\eaglep3-reporting\EC\2017-07-01-refined-times.txt</v>
      </c>
      <c r="AI192" s="96" t="str">
        <f t="shared" si="61"/>
        <v>echo {"issue":{"subject":"","project_id":79,"tracker_id":40,"status_id":1,"priority_id":2,"assigned_to_id":23,"start_date":"2017-07-01","description":"","custom_fields":[{"id":1,"name":"Subdivision","value":"NW"},{"id":4,"name":"Milepost","value":"5.8908"},{"id":17,"name":"Train ID","value":"1831-01"},{"id":16,"name":"Locomotive ID","value":"4006"},{"id":130,"name":"Impact","value":""},{"id":150,"name":"Time of Event (Mountain Time)","value":"21:35:21"},{"id":151,"name":"Denver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2" s="20"/>
      <c r="AK192" s="47"/>
      <c r="AL192" s="47"/>
      <c r="AM192" s="142" t="str">
        <f t="shared" si="62"/>
        <v>start /low /b %USERPROFILE%\Documents\GitHub\eaglep3\Utilities\DownloadLogsFromS3.py --loco 4006 --day 2017-07-01</v>
      </c>
      <c r="AN192" s="151" t="str">
        <f t="shared" si="63"/>
        <v>echo {"issue":{"subject":"","project_id":30,"tracker_id":4,"status_id":1,"priority_id":1,"assigned_to_id":10,"start_date":"2017-07-02","description":"","custom_fields":[{"id":30,"name":"Category","value":"Issue"},{"id":3,"name":"Functional Component","value":"Onboard"},{"id":31,"name":"Version","value":"N/A"},{"id":8,"name":"Reporting RR","value":"WABTEC"},{"id":27,"name":"Locomotive ID","value":"4006"},{"id":20,"name":"RR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UTC","value":"2017-07-02 03:35:21"},{"id":29,"name":"Sharepoint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2"/>
    </row>
    <row r="193" spans="1:91" s="20" customFormat="1" x14ac:dyDescent="0.25">
      <c r="A193" s="32" t="s">
        <v>857</v>
      </c>
      <c r="B193" s="7">
        <v>4005</v>
      </c>
      <c r="C193" s="21" t="s">
        <v>202</v>
      </c>
      <c r="D193" s="21" t="s">
        <v>966</v>
      </c>
      <c r="E193" s="13">
        <v>42917.900682870371</v>
      </c>
      <c r="F193" s="13">
        <v>42917.902604166666</v>
      </c>
      <c r="G193" s="7">
        <v>1</v>
      </c>
      <c r="H193" s="21" t="s">
        <v>629</v>
      </c>
      <c r="I193" s="13">
        <v>42917.913182870368</v>
      </c>
      <c r="J193" s="7">
        <v>0</v>
      </c>
      <c r="K193" s="89" t="str">
        <f t="shared" si="48"/>
        <v>4005/4006</v>
      </c>
      <c r="L193" s="21" t="str">
        <f>VLOOKUP(A193,'Trips&amp;Operators'!$C$1:$G$99999,5,FALSE)</f>
        <v>SAFIEF AEIMEN</v>
      </c>
      <c r="M193" s="6">
        <f t="shared" si="49"/>
        <v>1.0578703702776693E-2</v>
      </c>
      <c r="N193" s="7">
        <f t="shared" si="68"/>
        <v>15.233333331998438</v>
      </c>
      <c r="O193" s="7"/>
      <c r="P193" s="7"/>
      <c r="Q193" s="22"/>
      <c r="R193" s="170"/>
      <c r="S193" s="213">
        <f t="shared" si="66"/>
        <v>1</v>
      </c>
      <c r="T193" s="195" t="str">
        <f t="shared" si="50"/>
        <v>Southbound</v>
      </c>
      <c r="U193" s="195">
        <f>IF(AG193="EC",COUNTIFS(Variables!$M$2:$M$19,IF(T193="NorthBound","&gt;=","&lt;=")&amp;Y193,Variables!$M$2:$M$19,IF(T193="NorthBound","&lt;=","&gt;=")&amp;Z193),COUNTIFS(Variables!$P$2:$P$19,IF(T193="NorthBound","&gt;=","&lt;=")&amp;Y193,Variables!$P$2:$P$19,IF(T193="NorthBound","&lt;=","&gt;=")&amp;Z193))</f>
        <v>1</v>
      </c>
      <c r="V193" s="196" t="str">
        <f t="shared" si="51"/>
        <v>https://d0f6bd738d7f1b3e5a7ca70fe4ff75f0.us-east-1.aws.found.io/app/kibana#/discover/Steve-Slow-Train-Analysis-(2080s-and-2083s)?_g=(refreshInterval:(display:Off,pause:!f,section:0,value:0),time:(from:'2017-07-01T20:36:59-0600',mode:absolute,to:'2017-07-01T22:54:59-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W193" s="197" t="str">
        <f>IF(AA193&lt;VLOOKUP(AG193,Variables!$AC$3:$AD$8,2,FALSE),"Y","N")</f>
        <v>N</v>
      </c>
      <c r="X193" s="197">
        <f t="shared" si="67"/>
        <v>1</v>
      </c>
      <c r="Y193" s="197">
        <f t="shared" si="53"/>
        <v>5.8593999999999999</v>
      </c>
      <c r="Z193" s="197">
        <f t="shared" si="54"/>
        <v>6.9199999999999998E-2</v>
      </c>
      <c r="AA193" s="197">
        <f t="shared" si="55"/>
        <v>5.7901999999999996</v>
      </c>
      <c r="AB193" s="54" t="e">
        <f>VLOOKUP(A193,Enforcements!$C$7:$K$13,8,0)</f>
        <v>#N/A</v>
      </c>
      <c r="AC193" s="51" t="e">
        <f>VLOOKUP(A193,Enforcements!$C$7:$E$13,3,0)</f>
        <v>#N/A</v>
      </c>
      <c r="AD193" s="206">
        <f t="shared" si="56"/>
        <v>1832</v>
      </c>
      <c r="AE193" s="77" t="str">
        <f t="shared" si="57"/>
        <v>aws s3 cp s3://rtdc.mdm.uploadarchive.raw/RTDC4005/ "%USERPROFILE%\AppData\Local\Temp\OnboardLogs"\RTDC4005\2017-07-01 --exclude "*" --recursive --include "*20170701*" &amp; "%USERPROFILE%\Documents\GitHub\mrs-test-scripts\Headless Mode &amp; Sideloading\WalkAndUnGZ.bat" "%USERPROFILE%\AppData\Local\Temp\OnboardLogs"\RTDC4005\2017-07-01 &amp; aws s3 cp s3://rtdc.mdm.uploadarchive.raw/RTDC4005/ "%USERPROFILE%\AppData\Local\Temp\OnboardLogs"\RTDC4005\2017-07-02 --exclude "*" --recursive --include "*20170702*" &amp; "%USERPROFILE%\Documents\GitHub\mrs-test-scripts\Headless Mode &amp; Sideloading\WalkAndUnGZ.bat" "%USERPROFILE%\AppData\Local\Temp\OnboardLogs"\RTDC4005\2017-07-02</v>
      </c>
      <c r="AF193" s="74" t="str">
        <f t="shared" si="58"/>
        <v>"C:\Program Files (x86)\AstroGrep\AstroGrep.exe" /e /r /s /spath="%USERPROFILE%\AppData\Local\Temp\OnboardLogs" /stypes="app*4005*20170702*" /stext=" 03:.+((SYSTEM_STATE.+slice.+state.+changed )|(ment ac)|(multiple cpu faults)|(system.+state.+changed )|(\[timeout)|(PRM\|1\|D)|(kpr)|(kdp)|(train st.+moving)|(\|lc)|(penalty))"</v>
      </c>
      <c r="AG193" s="209" t="str">
        <f t="shared" si="59"/>
        <v>NW</v>
      </c>
      <c r="AH193" s="78" t="str">
        <f t="shared" si="60"/>
        <v>"%USERPROFILE%\Documents\GitHub\eaglep3\Utilities\RefineRTDCRunTimes.py" --tripid 1832-01 --locoid 4005 --swversion DE.1.0.9.0 --startMP 300:58594 --initTime 2017-07-01T21:36:59 --startdatetime 2017-07-01T21:39:45 --delay 1 --endMP 204:692 --enddatetime 2017-07-01T21:54:59 --enforcementcount 0 &gt;&gt;C:\Users\stu\Documents\GitHub\eaglep3-reporting\EC\2017-07-01-refined-times.txt</v>
      </c>
      <c r="AI193" s="96" t="str">
        <f t="shared" si="61"/>
        <v>echo {"issue":{"subject":"","project_id":79,"tracker_id":40,"status_id":1,"priority_id":2,"assigned_to_id":23,"start_date":"2017-07-01","description":"","custom_fields":[{"id":1,"name":"Subdivision","value":"NW"},{"id":4,"name":"Milepost","value":"0.0692"},{"id":17,"name":"Train ID","value":"1832-01"},{"id":16,"name":"Locomotive ID","value":"4005"},{"id":130,"name":"Impact","value":""},{"id":150,"name":"Time of Event (Mountain Time)","value":"21:54:59"},{"id":151,"name":"Denver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93" s="47"/>
      <c r="AL193" s="47"/>
      <c r="AM193" s="142" t="str">
        <f t="shared" si="62"/>
        <v>start /low /b %USERPROFILE%\Documents\GitHub\eaglep3\Utilities\DownloadLogsFromS3.py --loco 4005 --day 2017-07-01</v>
      </c>
      <c r="AN193" s="151" t="str">
        <f t="shared" si="63"/>
        <v>echo {"issue":{"subject":"","project_id":30,"tracker_id":4,"status_id":1,"priority_id":1,"assigned_to_id":10,"start_date":"2017-07-02","description":"","custom_fields":[{"id":30,"name":"Category","value":"Issue"},{"id":3,"name":"Functional Component","value":"Onboard"},{"id":31,"name":"Version","value":"N/A"},{"id":8,"name":"Reporting RR","value":"WABTEC"},{"id":27,"name":"Locomotive ID","value":"4005"},{"id":20,"name":"RR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UTC","value":"2017-07-02 03:54:59"},{"id":29,"name":"Sharepoint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3"/>
      <c r="AP193"/>
      <c r="AQ193"/>
      <c r="AR193"/>
      <c r="AS193"/>
      <c r="AT193"/>
      <c r="AU193"/>
      <c r="AV193"/>
      <c r="AW193"/>
      <c r="AX193"/>
      <c r="AY193"/>
      <c r="AZ193"/>
      <c r="BA193"/>
      <c r="BB193"/>
      <c r="BC193"/>
      <c r="BD193"/>
      <c r="BE193"/>
      <c r="BF193"/>
      <c r="BG193"/>
      <c r="BH193"/>
      <c r="BI193"/>
      <c r="BJ193"/>
      <c r="BK193"/>
      <c r="BL193"/>
      <c r="BM193"/>
      <c r="BN193"/>
      <c r="BO193"/>
      <c r="BP193"/>
      <c r="BQ193"/>
      <c r="BR193"/>
      <c r="BS193"/>
      <c r="BT193"/>
      <c r="BU193"/>
      <c r="BV193"/>
      <c r="BW193"/>
      <c r="BX193"/>
      <c r="BY193"/>
      <c r="BZ193"/>
      <c r="CA193"/>
      <c r="CB193"/>
      <c r="CC193"/>
      <c r="CD193"/>
      <c r="CE193"/>
      <c r="CF193"/>
      <c r="CG193"/>
      <c r="CH193"/>
      <c r="CI193"/>
      <c r="CJ193"/>
      <c r="CK193"/>
      <c r="CL193"/>
      <c r="CM193"/>
    </row>
    <row r="194" spans="1:91" x14ac:dyDescent="0.25">
      <c r="A194" s="32" t="s">
        <v>860</v>
      </c>
      <c r="B194" s="7">
        <v>4006</v>
      </c>
      <c r="C194" s="21" t="s">
        <v>202</v>
      </c>
      <c r="D194" s="21" t="s">
        <v>516</v>
      </c>
      <c r="E194" s="13">
        <v>42917.918599537035</v>
      </c>
      <c r="F194" s="13">
        <v>42917.931527777779</v>
      </c>
      <c r="G194" s="7">
        <v>2</v>
      </c>
      <c r="H194" s="21" t="s">
        <v>967</v>
      </c>
      <c r="I194" s="13">
        <v>42917.94159722222</v>
      </c>
      <c r="J194" s="7">
        <v>0</v>
      </c>
      <c r="K194" s="89" t="str">
        <f t="shared" si="48"/>
        <v>4005/4006</v>
      </c>
      <c r="L194" s="21" t="str">
        <f>VLOOKUP(A194,'Trips&amp;Operators'!$C$1:$G$99999,5,FALSE)</f>
        <v>DUNCAN SHEILA</v>
      </c>
      <c r="M194" s="6">
        <f t="shared" si="49"/>
        <v>1.006944444088731E-2</v>
      </c>
      <c r="N194" s="7">
        <f t="shared" si="68"/>
        <v>14.499999994877726</v>
      </c>
      <c r="O194" s="7"/>
      <c r="P194" s="7"/>
      <c r="Q194" s="22"/>
      <c r="R194" s="170"/>
      <c r="S194" s="213">
        <f t="shared" si="66"/>
        <v>1</v>
      </c>
      <c r="T194" s="195" t="str">
        <f t="shared" si="50"/>
        <v>NorthBound</v>
      </c>
      <c r="U194" s="195">
        <f>IF(AG194="EC",COUNTIFS(Variables!$M$2:$M$19,IF(T194="NorthBound","&gt;=","&lt;=")&amp;Y194,Variables!$M$2:$M$19,IF(T194="NorthBound","&lt;=","&gt;=")&amp;Z194),COUNTIFS(Variables!$P$2:$P$19,IF(T194="NorthBound","&gt;=","&lt;=")&amp;Y194,Variables!$P$2:$P$19,IF(T194="NorthBound","&lt;=","&gt;=")&amp;Z194))</f>
        <v>1</v>
      </c>
      <c r="V194" s="196" t="str">
        <f t="shared" si="51"/>
        <v>https://d0f6bd738d7f1b3e5a7ca70fe4ff75f0.us-east-1.aws.found.io/app/kibana#/discover/Steve-Slow-Train-Analysis-(2080s-and-2083s)?_g=(refreshInterval:(display:Off,pause:!f,section:0,value:0),time:(from:'2017-07-01T21:02:47-0600',mode:absolute,to:'2017-07-01T23:35:54-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W194" s="197" t="str">
        <f>IF(AA194&lt;VLOOKUP(AG194,Variables!$AC$3:$AD$8,2,FALSE),"Y","N")</f>
        <v>N</v>
      </c>
      <c r="X194" s="197">
        <f t="shared" si="67"/>
        <v>1</v>
      </c>
      <c r="Y194" s="197">
        <f t="shared" si="53"/>
        <v>9.6500000000000002E-2</v>
      </c>
      <c r="Z194" s="197">
        <f t="shared" si="54"/>
        <v>5.8936999999999999</v>
      </c>
      <c r="AA194" s="197">
        <f t="shared" si="55"/>
        <v>5.7972000000000001</v>
      </c>
      <c r="AB194" s="54" t="e">
        <f>VLOOKUP(A194,Enforcements!$C$7:$K$13,8,0)</f>
        <v>#N/A</v>
      </c>
      <c r="AC194" s="51" t="e">
        <f>VLOOKUP(A194,Enforcements!$C$7:$E$13,3,0)</f>
        <v>#N/A</v>
      </c>
      <c r="AD194" s="206">
        <f t="shared" si="56"/>
        <v>1833</v>
      </c>
      <c r="AE194" s="77" t="str">
        <f t="shared" si="57"/>
        <v>aws s3 cp s3://rtdc.mdm.uploadarchive.raw/RTDC4006/ "%USERPROFILE%\AppData\Local\Temp\OnboardLogs"\RTDC4006\2017-07-01 --exclude "*" --recursive --include "*20170701*" &amp; "%USERPROFILE%\Documents\GitHub\mrs-test-scripts\Headless Mode &amp; Sideloading\WalkAndUnGZ.bat" "%USERPROFILE%\AppData\Local\Temp\OnboardLogs"\RTDC4006\2017-07-01 &amp; aws s3 cp s3://rtdc.mdm.uploadarchive.raw/RTDC4006/ "%USERPROFILE%\AppData\Local\Temp\OnboardLogs"\RTDC4006\2017-07-02 --exclude "*" --recursive --include "*20170702*" &amp; "%USERPROFILE%\Documents\GitHub\mrs-test-scripts\Headless Mode &amp; Sideloading\WalkAndUnGZ.bat" "%USERPROFILE%\AppData\Local\Temp\OnboardLogs"\RTDC4006\2017-07-02</v>
      </c>
      <c r="AF194" s="74" t="str">
        <f t="shared" si="58"/>
        <v>"C:\Program Files (x86)\AstroGrep\AstroGrep.exe" /e /r /s /spath="%USERPROFILE%\AppData\Local\Temp\OnboardLogs" /stypes="app*4006*20170702*" /stext=" 04:.+((SYSTEM_STATE.+slice.+state.+changed )|(ment ac)|(multiple cpu faults)|(system.+state.+changed )|(\[timeout)|(PRM\|1\|D)|(kpr)|(kdp)|(train st.+moving)|(\|lc)|(penalty))"</v>
      </c>
      <c r="AG194" s="209" t="str">
        <f t="shared" si="59"/>
        <v>NW</v>
      </c>
      <c r="AH194" s="78" t="str">
        <f t="shared" si="60"/>
        <v>"%USERPROFILE%\Documents\GitHub\eaglep3\Utilities\RefineRTDCRunTimes.py" --tripid 1833-01 --locoid 4006 --swversion DE.1.0.9.0 --startMP 204:965 --initTime 2017-07-01T22:02:47 --startdatetime 2017-07-01T22:21:24 --delay 2 --endMP 300:58937 --enddatetime 2017-07-01T22:35:54 --enforcementcount 0 &gt;&gt;C:\Users\stu\Documents\GitHub\eaglep3-reporting\EC\2017-07-01-refined-times.txt</v>
      </c>
      <c r="AI194" s="96" t="str">
        <f t="shared" si="61"/>
        <v>echo {"issue":{"subject":"","project_id":79,"tracker_id":40,"status_id":1,"priority_id":2,"assigned_to_id":23,"start_date":"2017-07-01","description":"","custom_fields":[{"id":1,"name":"Subdivision","value":"NW"},{"id":4,"name":"Milepost","value":"5.8937"},{"id":17,"name":"Train ID","value":"1833-01"},{"id":16,"name":"Locomotive ID","value":"4006"},{"id":130,"name":"Impact","value":""},{"id":150,"name":"Time of Event (Mountain Time)","value":"22:35:54"},{"id":151,"name":"Denver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4" s="20"/>
      <c r="AK194" s="47"/>
      <c r="AL194" s="47"/>
      <c r="AM194" s="142" t="str">
        <f t="shared" si="62"/>
        <v>start /low /b %USERPROFILE%\Documents\GitHub\eaglep3\Utilities\DownloadLogsFromS3.py --loco 4006 --day 2017-07-01</v>
      </c>
      <c r="AN194" s="151" t="str">
        <f t="shared" si="63"/>
        <v>echo {"issue":{"subject":"","project_id":30,"tracker_id":4,"status_id":1,"priority_id":1,"assigned_to_id":10,"start_date":"2017-07-02","description":"","custom_fields":[{"id":30,"name":"Category","value":"Issue"},{"id":3,"name":"Functional Component","value":"Onboard"},{"id":31,"name":"Version","value":"N/A"},{"id":8,"name":"Reporting RR","value":"WABTEC"},{"id":27,"name":"Locomotive ID","value":"4006"},{"id":20,"name":"RR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UTC","value":"2017-07-02 04:35:54"},{"id":29,"name":"Sharepoint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4"/>
    </row>
    <row r="195" spans="1:91" x14ac:dyDescent="0.25">
      <c r="A195" s="32" t="s">
        <v>692</v>
      </c>
      <c r="B195" s="7">
        <v>4007</v>
      </c>
      <c r="C195" s="21" t="s">
        <v>202</v>
      </c>
      <c r="D195" s="21" t="s">
        <v>994</v>
      </c>
      <c r="E195" s="13">
        <v>42917.120023148149</v>
      </c>
      <c r="F195" s="13">
        <v>42917.123206018521</v>
      </c>
      <c r="G195" s="7">
        <v>4</v>
      </c>
      <c r="H195" s="21" t="s">
        <v>350</v>
      </c>
      <c r="I195" s="13">
        <v>42917.128761574073</v>
      </c>
      <c r="J195" s="7">
        <v>0</v>
      </c>
      <c r="K195" s="89" t="str">
        <f t="shared" si="48"/>
        <v>4007/4008</v>
      </c>
      <c r="L195" s="21" t="str">
        <f>VLOOKUP(A195,'Trips&amp;Operators'!$C$1:$G$99999,5,FALSE)</f>
        <v>MAELZER KURT</v>
      </c>
      <c r="M195" s="6">
        <f t="shared" si="49"/>
        <v>5.5555555518367328E-3</v>
      </c>
      <c r="N195" s="7">
        <f t="shared" si="68"/>
        <v>7.9999999946448952</v>
      </c>
      <c r="O195" s="7"/>
      <c r="P195" s="7"/>
      <c r="Q195" s="22"/>
      <c r="R195" s="170"/>
      <c r="S195" s="213">
        <f t="shared" si="66"/>
        <v>1</v>
      </c>
      <c r="T195" s="195" t="str">
        <f t="shared" si="50"/>
        <v>Southbound</v>
      </c>
      <c r="U195" s="195">
        <f>IF(AG195="EC",COUNTIFS(Variables!$M$2:$M$19,IF(T195="NorthBound","&gt;=","&lt;=")&amp;Y195,Variables!$M$2:$M$19,IF(T195="NorthBound","&lt;=","&gt;=")&amp;Z195),COUNTIFS(Variables!$P$2:$P$19,IF(T195="NorthBound","&gt;=","&lt;=")&amp;Y195,Variables!$P$2:$P$19,IF(T195="NorthBound","&lt;=","&gt;=")&amp;Z195))</f>
        <v>1</v>
      </c>
      <c r="V195" s="196" t="str">
        <f t="shared" si="51"/>
        <v>https://d0f6bd738d7f1b3e5a7ca70fe4ff75f0.us-east-1.aws.found.io/app/kibana#/discover/Steve-Slow-Train-Analysis-(2080s-and-2083s)?_g=(refreshInterval:(display:Off,pause:!f,section:0,value:0),time:(from:'2017-07-01T01:52:50-0600',mode:absolute,to:'2017-07-01T04:05:25-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195" s="197" t="str">
        <f>IF(AA195&lt;VLOOKUP(AG195,Variables!$AC$3:$AD$8,2,FALSE),"Y","N")</f>
        <v>Y</v>
      </c>
      <c r="X195" s="197">
        <f t="shared" si="67"/>
        <v>-1533</v>
      </c>
      <c r="Y195" s="197">
        <f t="shared" si="53"/>
        <v>2.2448000000000001</v>
      </c>
      <c r="Z195" s="197">
        <f t="shared" si="54"/>
        <v>1.43E-2</v>
      </c>
      <c r="AA195" s="197">
        <f t="shared" si="55"/>
        <v>2.2305000000000001</v>
      </c>
      <c r="AB195" s="54" t="e">
        <f>VLOOKUP(A195,Enforcements!$C$7:$K$13,8,0)</f>
        <v>#N/A</v>
      </c>
      <c r="AC195" s="51" t="e">
        <f>VLOOKUP(A195,Enforcements!$C$7:$E$13,3,0)</f>
        <v>#N/A</v>
      </c>
      <c r="AD195" s="206">
        <f t="shared" si="56"/>
        <v>300</v>
      </c>
      <c r="AE195" s="77" t="str">
        <f t="shared" si="57"/>
        <v>aws s3 cp s3://rtdc.mdm.uploadarchive.raw/RTDC4007/ "%USERPROFILE%\AppData\Local\Temp\OnboardLogs"\RTDC4007\2017-07-01 --exclude "*" --recursive --include "*20170701*" &amp; "%USERPROFILE%\Documents\GitHub\mrs-test-scripts\Headless Mode &amp; Sideloading\WalkAndUnGZ.bat" "%USERPROFILE%\AppData\Local\Temp\OnboardLogs"\RTDC4007\2017-07-01 &amp; aws s3 cp s3://rtdc.mdm.uploadarchive.raw/RTDC4007/ "%USERPROFILE%\AppData\Local\Temp\OnboardLogs"\RTDC4007\2017-07-02 --exclude "*" --recursive --include "*20170702*" &amp; "%USERPROFILE%\Documents\GitHub\mrs-test-scripts\Headless Mode &amp; Sideloading\WalkAndUnGZ.bat" "%USERPROFILE%\AppData\Local\Temp\OnboardLogs"\RTDC4007\2017-07-02</v>
      </c>
      <c r="AF195" s="74" t="str">
        <f t="shared" si="58"/>
        <v>"C:\Program Files (x86)\AstroGrep\AstroGrep.exe" /e /r /s /spath="%USERPROFILE%\AppData\Local\Temp\OnboardLogs" /stypes="app*4007*20170701*" /stext=" 09:.+((SYSTEM_STATE.+slice.+state.+changed )|(ment ac)|(multiple cpu faults)|(system.+state.+changed )|(\[timeout)|(PRM\|1\|D)|(kpr)|(kdp)|(train st.+moving)|(\|lc)|(penalty))"</v>
      </c>
      <c r="AG195" s="209" t="str">
        <f t="shared" si="59"/>
        <v>Other</v>
      </c>
      <c r="AH195" s="78" t="str">
        <f t="shared" si="60"/>
        <v>"%USERPROFILE%\Documents\GitHub\eaglep3\Utilities\RefineRTDCRunTimes.py" --tripid 300-01 --locoid 4007 --swversion DE.1.0.9.0 --startMP 300:22448 --initTime 2017-07-01T02:52:50 --startdatetime 2017-07-01T02:57:25 --delay 4 --endMP 204:143 --enddatetime 2017-07-01T03:05:25 --enforcementcount 0 &gt;&gt;C:\Users\stu\Documents\GitHub\eaglep3-reporting\EC\2017-07-01-refined-times.txt</v>
      </c>
      <c r="AI195" s="96" t="str">
        <f t="shared" si="61"/>
        <v>echo {"issue":{"subject":"","project_id":79,"tracker_id":40,"status_id":1,"priority_id":2,"assigned_to_id":23,"start_date":"2017-07-01","description":"","custom_fields":[{"id":1,"name":"Subdivision","value":"Other"},{"id":4,"name":"Milepost","value":"0.0143"},{"id":17,"name":"Train ID","value":"300-01"},{"id":16,"name":"Locomotive ID","value":"4007"},{"id":130,"name":"Impact","value":""},{"id":150,"name":"Time of Event (Mountain Time)","value":"03:05:25"},{"id":151,"name":"Denver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5" s="20"/>
      <c r="AK195" s="47"/>
      <c r="AL195" s="47"/>
      <c r="AM195" s="142" t="str">
        <f t="shared" si="62"/>
        <v>start /low /b %USERPROFILE%\Documents\GitHub\eaglep3\Utilities\DownloadLogsFromS3.py --loco 4007 --day 2017-07-01</v>
      </c>
      <c r="AN195" s="151" t="str">
        <f t="shared" si="63"/>
        <v>echo {"issue":{"subject":"","project_id":30,"tracker_id":4,"status_id":1,"priority_id":1,"assigned_to_id":10,"start_date":"2017-07-01","description":"","custom_fields":[{"id":30,"name":"Category","value":"Issue"},{"id":3,"name":"Functional Component","value":"Onboard"},{"id":31,"name":"Version","value":"N/A"},{"id":8,"name":"Reporting RR","value":"WABTEC"},{"id":27,"name":"Locomotive ID","value":"4007"},{"id":20,"name":"RR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UTC","value":"2017-07-01 09:05:25"},{"id":29,"name":"Sharepoint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5"/>
    </row>
    <row r="196" spans="1:91" x14ac:dyDescent="0.25">
      <c r="A196" s="32" t="s">
        <v>838</v>
      </c>
      <c r="B196" s="7">
        <v>4062</v>
      </c>
      <c r="C196" s="21" t="s">
        <v>202</v>
      </c>
      <c r="D196" s="21" t="s">
        <v>391</v>
      </c>
      <c r="E196" s="13">
        <v>42917.776585648149</v>
      </c>
      <c r="F196" s="13">
        <v>42917.778541666667</v>
      </c>
      <c r="G196" s="7">
        <v>1</v>
      </c>
      <c r="H196" s="21" t="s">
        <v>995</v>
      </c>
      <c r="I196" s="13">
        <v>42917.797175925924</v>
      </c>
      <c r="J196" s="7">
        <v>0</v>
      </c>
      <c r="K196" s="89" t="str">
        <f t="shared" si="48"/>
        <v>4061/4062</v>
      </c>
      <c r="L196" s="21" t="str">
        <f>VLOOKUP(A196,'Trips&amp;Operators'!$C$1:$G$99999,5,FALSE)</f>
        <v>BRUDER RICHARD</v>
      </c>
      <c r="M196" s="6">
        <f t="shared" si="49"/>
        <v>1.8634259256941732E-2</v>
      </c>
      <c r="N196" s="7">
        <f t="shared" si="68"/>
        <v>26.833333329996094</v>
      </c>
      <c r="O196" s="7"/>
      <c r="P196" s="7"/>
      <c r="Q196" s="22"/>
      <c r="R196" s="170"/>
      <c r="S196" s="213">
        <f t="shared" si="66"/>
        <v>1</v>
      </c>
      <c r="T196" s="195" t="str">
        <f t="shared" si="50"/>
        <v>NorthBound</v>
      </c>
      <c r="U196" s="195">
        <f>IF(AG196="EC",COUNTIFS(Variables!$M$2:$M$19,IF(T196="NorthBound","&gt;=","&lt;=")&amp;Y196,Variables!$M$2:$M$19,IF(T196="NorthBound","&lt;=","&gt;=")&amp;Z196),COUNTIFS(Variables!$P$2:$P$19,IF(T196="NorthBound","&gt;=","&lt;=")&amp;Y196,Variables!$P$2:$P$19,IF(T196="NorthBound","&lt;=","&gt;=")&amp;Z196))</f>
        <v>1</v>
      </c>
      <c r="V196" s="196" t="str">
        <f t="shared" si="51"/>
        <v>https://d0f6bd738d7f1b3e5a7ca70fe4ff75f0.us-east-1.aws.found.io/app/kibana#/discover/Steve-Slow-Train-Analysis-(2080s-and-2083s)?_g=(refreshInterval:(display:Off,pause:!f,section:0,value:0),time:(from:'2017-07-01T17:38:17-0600',mode:absolute,to:'2017-07-01T20:07:56-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4062%22')),sort:!(Time.ISO8601,asc))</v>
      </c>
      <c r="W196" s="197" t="str">
        <f>IF(AA196&lt;VLOOKUP(AG196,Variables!$AC$3:$AD$8,2,FALSE),"Y","N")</f>
        <v>Y</v>
      </c>
      <c r="X196" s="197">
        <f t="shared" si="67"/>
        <v>1</v>
      </c>
      <c r="Y196" s="197">
        <f t="shared" si="53"/>
        <v>4.6199999999999998E-2</v>
      </c>
      <c r="Z196" s="197">
        <f t="shared" si="54"/>
        <v>2.3300999999999998</v>
      </c>
      <c r="AA196" s="197">
        <f t="shared" si="55"/>
        <v>2.2839</v>
      </c>
      <c r="AB196" s="54" t="e">
        <f>VLOOKUP(A196,Enforcements!$C$7:$K$13,8,0)</f>
        <v>#N/A</v>
      </c>
      <c r="AC196" s="51" t="e">
        <f>VLOOKUP(A196,Enforcements!$C$7:$E$13,3,0)</f>
        <v>#N/A</v>
      </c>
      <c r="AD196" s="206">
        <f t="shared" si="56"/>
        <v>301</v>
      </c>
      <c r="AE196" s="77" t="str">
        <f t="shared" si="57"/>
        <v>aws s3 cp s3://rtdc.mdm.uploadarchive.raw/RTDC4062/ "%USERPROFILE%\AppData\Local\Temp\OnboardLogs"\RTDC4062\2017-07-01 --exclude "*" --recursive --include "*20170701*" &amp; "%USERPROFILE%\Documents\GitHub\mrs-test-scripts\Headless Mode &amp; Sideloading\WalkAndUnGZ.bat" "%USERPROFILE%\AppData\Local\Temp\OnboardLogs"\RTDC4062\2017-07-01 &amp; aws s3 cp s3://rtdc.mdm.uploadarchive.raw/RTDC4062/ "%USERPROFILE%\AppData\Local\Temp\OnboardLogs"\RTDC4062\2017-07-02 --exclude "*" --recursive --include "*20170702*" &amp; "%USERPROFILE%\Documents\GitHub\mrs-test-scripts\Headless Mode &amp; Sideloading\WalkAndUnGZ.bat" "%USERPROFILE%\AppData\Local\Temp\OnboardLogs"\RTDC4062\2017-07-02</v>
      </c>
      <c r="AF196" s="74" t="str">
        <f t="shared" si="58"/>
        <v>"C:\Program Files (x86)\AstroGrep\AstroGrep.exe" /e /r /s /spath="%USERPROFILE%\AppData\Local\Temp\OnboardLogs" /stypes="app*4062*20170702*" /stext=" 01:.+((SYSTEM_STATE.+slice.+state.+changed )|(ment ac)|(multiple cpu faults)|(system.+state.+changed )|(\[timeout)|(PRM\|1\|D)|(kpr)|(kdp)|(train st.+moving)|(\|lc)|(penalty))"</v>
      </c>
      <c r="AG196" s="209" t="str">
        <f t="shared" si="59"/>
        <v>Other</v>
      </c>
      <c r="AH196" s="78" t="str">
        <f t="shared" si="60"/>
        <v>"%USERPROFILE%\Documents\GitHub\eaglep3\Utilities\RefineRTDCRunTimes.py" --tripid 301-01 --locoid 4062 --swversion DE.1.0.9.0 --startMP 204:462 --initTime 2017-07-01T18:38:17 --startdatetime 2017-07-01T18:41:06 --delay 1 --endMP 300:23301 --enddatetime 2017-07-01T19:07:56 --enforcementcount 0 &gt;&gt;C:\Users\stu\Documents\GitHub\eaglep3-reporting\EC\2017-07-01-refined-times.txt</v>
      </c>
      <c r="AI196" s="96" t="str">
        <f t="shared" si="61"/>
        <v>echo {"issue":{"subject":"","project_id":79,"tracker_id":40,"status_id":1,"priority_id":2,"assigned_to_id":23,"start_date":"2017-07-01","description":"","custom_fields":[{"id":1,"name":"Subdivision","value":"Other"},{"id":4,"name":"Milepost","value":"2.3301"},{"id":17,"name":"Train ID","value":"301-01"},{"id":16,"name":"Locomotive ID","value":"4062"},{"id":130,"name":"Impact","value":""},{"id":150,"name":"Time of Event (Mountain Time)","value":"19:07:56"},{"id":151,"name":"Denver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6" s="20"/>
      <c r="AK196" s="47"/>
      <c r="AL196" s="47"/>
      <c r="AM196" s="142" t="str">
        <f t="shared" si="62"/>
        <v>start /low /b %USERPROFILE%\Documents\GitHub\eaglep3\Utilities\DownloadLogsFromS3.py --loco 4062 --day 2017-07-01</v>
      </c>
      <c r="AN196" s="151" t="str">
        <f t="shared" si="63"/>
        <v>echo {"issue":{"subject":"","project_id":30,"tracker_id":4,"status_id":1,"priority_id":1,"assigned_to_id":10,"start_date":"2017-07-02","description":"","custom_fields":[{"id":30,"name":"Category","value":"Issue"},{"id":3,"name":"Functional Component","value":"Onboard"},{"id":31,"name":"Version","value":"N/A"},{"id":8,"name":"Reporting RR","value":"WABTEC"},{"id":27,"name":"Locomotive ID","value":"4062"},{"id":20,"name":"RR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UTC","value":"2017-07-02 01:07:56"},{"id":29,"name":"Sharepoint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6"/>
    </row>
    <row r="197" spans="1:91" x14ac:dyDescent="0.25">
      <c r="A197" s="32" t="s">
        <v>694</v>
      </c>
      <c r="B197" s="7">
        <v>4017</v>
      </c>
      <c r="C197" s="21" t="s">
        <v>202</v>
      </c>
      <c r="D197" s="21" t="s">
        <v>996</v>
      </c>
      <c r="E197" s="13">
        <v>42917.136712962965</v>
      </c>
      <c r="F197" s="13">
        <v>42917.139884259261</v>
      </c>
      <c r="G197" s="7">
        <v>4</v>
      </c>
      <c r="H197" s="21" t="s">
        <v>349</v>
      </c>
      <c r="I197" s="13">
        <v>42917.144363425927</v>
      </c>
      <c r="J197" s="7">
        <v>0</v>
      </c>
      <c r="K197" s="89" t="str">
        <f t="shared" si="48"/>
        <v>4017/4018</v>
      </c>
      <c r="L197" s="21" t="str">
        <f>VLOOKUP(A197,'Trips&amp;Operators'!$C$1:$G$99999,5,FALSE)</f>
        <v>BEAM ROSS</v>
      </c>
      <c r="M197" s="6">
        <f t="shared" si="49"/>
        <v>4.4791666659875773E-3</v>
      </c>
      <c r="N197" s="7">
        <f t="shared" si="68"/>
        <v>6.4499999990221113</v>
      </c>
      <c r="O197" s="7"/>
      <c r="P197" s="7"/>
      <c r="Q197" s="22"/>
      <c r="R197" s="170"/>
      <c r="S197" s="213">
        <f t="shared" si="66"/>
        <v>1</v>
      </c>
      <c r="T197" s="195" t="str">
        <f t="shared" si="50"/>
        <v>Southbound</v>
      </c>
      <c r="U197" s="195">
        <f>IF(AG197="EC",COUNTIFS(Variables!$M$2:$M$19,IF(T197="NorthBound","&gt;=","&lt;=")&amp;Y197,Variables!$M$2:$M$19,IF(T197="NorthBound","&lt;=","&gt;=")&amp;Z197),COUNTIFS(Variables!$P$2:$P$19,IF(T197="NorthBound","&gt;=","&lt;=")&amp;Y197,Variables!$P$2:$P$19,IF(T197="NorthBound","&lt;=","&gt;=")&amp;Z197))</f>
        <v>1</v>
      </c>
      <c r="V197" s="196" t="str">
        <f t="shared" si="51"/>
        <v>https://d0f6bd738d7f1b3e5a7ca70fe4ff75f0.us-east-1.aws.found.io/app/kibana#/discover/Steve-Slow-Train-Analysis-(2080s-and-2083s)?_g=(refreshInterval:(display:Off,pause:!f,section:0,value:0),time:(from:'2017-07-01T02:16:52-0600',mode:absolute,to:'2017-07-01T04:27:53-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197" s="197" t="str">
        <f>IF(AA197&lt;VLOOKUP(AG197,Variables!$AC$3:$AD$8,2,FALSE),"Y","N")</f>
        <v>Y</v>
      </c>
      <c r="X197" s="197">
        <f t="shared" si="67"/>
        <v>1</v>
      </c>
      <c r="Y197" s="197">
        <f t="shared" si="53"/>
        <v>2.0312000000000001</v>
      </c>
      <c r="Z197" s="197">
        <f t="shared" si="54"/>
        <v>1.49E-2</v>
      </c>
      <c r="AA197" s="197">
        <f t="shared" si="55"/>
        <v>2.0163000000000002</v>
      </c>
      <c r="AB197" s="54" t="e">
        <f>VLOOKUP(A197,Enforcements!$C$7:$K$13,8,0)</f>
        <v>#N/A</v>
      </c>
      <c r="AC197" s="51" t="e">
        <f>VLOOKUP(A197,Enforcements!$C$7:$E$13,3,0)</f>
        <v>#N/A</v>
      </c>
      <c r="AD197" s="206">
        <f t="shared" si="56"/>
        <v>302</v>
      </c>
      <c r="AE197" s="77" t="str">
        <f t="shared" si="57"/>
        <v>aws s3 cp s3://rtdc.mdm.uploadarchive.raw/RTDC4017/ "%USERPROFILE%\AppData\Local\Temp\OnboardLogs"\RTDC4017\2017-07-01 --exclude "*" --recursive --include "*20170701*" &amp; "%USERPROFILE%\Documents\GitHub\mrs-test-scripts\Headless Mode &amp; Sideloading\WalkAndUnGZ.bat" "%USERPROFILE%\AppData\Local\Temp\OnboardLogs"\RTDC4017\2017-07-01 &amp; aws s3 cp s3://rtdc.mdm.uploadarchive.raw/RTDC4017/ "%USERPROFILE%\AppData\Local\Temp\OnboardLogs"\RTDC4017\2017-07-02 --exclude "*" --recursive --include "*20170702*" &amp; "%USERPROFILE%\Documents\GitHub\mrs-test-scripts\Headless Mode &amp; Sideloading\WalkAndUnGZ.bat" "%USERPROFILE%\AppData\Local\Temp\OnboardLogs"\RTDC4017\2017-07-02</v>
      </c>
      <c r="AF197" s="74" t="str">
        <f t="shared" si="58"/>
        <v>"C:\Program Files (x86)\AstroGrep\AstroGrep.exe" /e /r /s /spath="%USERPROFILE%\AppData\Local\Temp\OnboardLogs" /stypes="app*4017*20170701*" /stext=" 09:.+((SYSTEM_STATE.+slice.+state.+changed )|(ment ac)|(multiple cpu faults)|(system.+state.+changed )|(\[timeout)|(PRM\|1\|D)|(kpr)|(kdp)|(train st.+moving)|(\|lc)|(penalty))"</v>
      </c>
      <c r="AG197" s="209" t="str">
        <f t="shared" si="59"/>
        <v>Other</v>
      </c>
      <c r="AH197" s="78" t="str">
        <f t="shared" si="60"/>
        <v>"%USERPROFILE%\Documents\GitHub\eaglep3\Utilities\RefineRTDCRunTimes.py" --tripid 302-01 --locoid 4017 --swversion DE.1.0.9.0 --startMP 300:20312 --initTime 2017-07-01T03:16:52 --startdatetime 2017-07-01T03:21:26 --delay 4 --endMP 204:149 --enddatetime 2017-07-01T03:27:53 --enforcementcount 0 &gt;&gt;C:\Users\stu\Documents\GitHub\eaglep3-reporting\EC\2017-07-01-refined-times.txt</v>
      </c>
      <c r="AI197" s="96" t="str">
        <f t="shared" si="61"/>
        <v>echo {"issue":{"subject":"","project_id":79,"tracker_id":40,"status_id":1,"priority_id":2,"assigned_to_id":23,"start_date":"2017-07-01","description":"","custom_fields":[{"id":1,"name":"Subdivision","value":"Other"},{"id":4,"name":"Milepost","value":"0.0149"},{"id":17,"name":"Train ID","value":"302-01"},{"id":16,"name":"Locomotive ID","value":"4017"},{"id":130,"name":"Impact","value":""},{"id":150,"name":"Time of Event (Mountain Time)","value":"03:27:53"},{"id":151,"name":"Denver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7" s="20"/>
      <c r="AK197" s="47"/>
      <c r="AL197" s="47"/>
      <c r="AM197" s="142" t="str">
        <f t="shared" si="62"/>
        <v>start /low /b %USERPROFILE%\Documents\GitHub\eaglep3\Utilities\DownloadLogsFromS3.py --loco 4017 --day 2017-07-01</v>
      </c>
      <c r="AN197" s="151" t="str">
        <f t="shared" si="63"/>
        <v>echo {"issue":{"subject":"","project_id":30,"tracker_id":4,"status_id":1,"priority_id":1,"assigned_to_id":10,"start_date":"2017-07-01","description":"","custom_fields":[{"id":30,"name":"Category","value":"Issue"},{"id":3,"name":"Functional Component","value":"Onboard"},{"id":31,"name":"Version","value":"N/A"},{"id":8,"name":"Reporting RR","value":"WABTEC"},{"id":27,"name":"Locomotive ID","value":"4017"},{"id":20,"name":"RR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UTC","value":"2017-07-01 09:27:53"},{"id":29,"name":"Sharepoint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7"/>
    </row>
    <row r="198" spans="1:91" s="20" customFormat="1" x14ac:dyDescent="0.25">
      <c r="A198" s="32" t="s">
        <v>842</v>
      </c>
      <c r="B198" s="7">
        <v>4056</v>
      </c>
      <c r="C198" s="21" t="s">
        <v>202</v>
      </c>
      <c r="D198" s="21" t="s">
        <v>354</v>
      </c>
      <c r="E198" s="13">
        <v>42917.796412037038</v>
      </c>
      <c r="F198" s="13">
        <v>42917.798692129632</v>
      </c>
      <c r="G198" s="7">
        <v>2</v>
      </c>
      <c r="H198" s="21" t="s">
        <v>553</v>
      </c>
      <c r="I198" s="13">
        <v>42917.805115740739</v>
      </c>
      <c r="J198" s="7">
        <v>0</v>
      </c>
      <c r="K198" s="89" t="str">
        <f t="shared" si="48"/>
        <v>4055/4056</v>
      </c>
      <c r="L198" s="21" t="str">
        <f>VLOOKUP(A198,'Trips&amp;Operators'!$C$1:$G$99999,5,FALSE)</f>
        <v>DELGADO DIANAH</v>
      </c>
      <c r="M198" s="6">
        <f t="shared" si="49"/>
        <v>6.4236111065838486E-3</v>
      </c>
      <c r="N198" s="7">
        <f t="shared" si="68"/>
        <v>9.249999993480742</v>
      </c>
      <c r="O198" s="7"/>
      <c r="P198" s="7"/>
      <c r="Q198" s="22"/>
      <c r="R198" s="170"/>
      <c r="S198" s="213">
        <f t="shared" si="66"/>
        <v>1</v>
      </c>
      <c r="T198" s="195" t="str">
        <f t="shared" si="50"/>
        <v>NorthBound</v>
      </c>
      <c r="U198" s="195">
        <f>IF(AG198="EC",COUNTIFS(Variables!$M$2:$M$19,IF(T198="NorthBound","&gt;=","&lt;=")&amp;Y198,Variables!$M$2:$M$19,IF(T198="NorthBound","&lt;=","&gt;=")&amp;Z198),COUNTIFS(Variables!$P$2:$P$19,IF(T198="NorthBound","&gt;=","&lt;=")&amp;Y198,Variables!$P$2:$P$19,IF(T198="NorthBound","&lt;=","&gt;=")&amp;Z198))</f>
        <v>1</v>
      </c>
      <c r="V198" s="196" t="str">
        <f t="shared" si="51"/>
        <v>https://d0f6bd738d7f1b3e5a7ca70fe4ff75f0.us-east-1.aws.found.io/app/kibana#/discover/Steve-Slow-Train-Analysis-(2080s-and-2083s)?_g=(refreshInterval:(display:Off,pause:!f,section:0,value:0),time:(from:'2017-07-01T18:06:50-0600',mode:absolute,to:'2017-07-01T20:19:22-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4056%22')),sort:!(Time.ISO8601,asc))</v>
      </c>
      <c r="W198" s="197" t="str">
        <f>IF(AA198&lt;VLOOKUP(AG198,Variables!$AC$3:$AD$8,2,FALSE),"Y","N")</f>
        <v>Y</v>
      </c>
      <c r="X198" s="197">
        <f t="shared" si="67"/>
        <v>1</v>
      </c>
      <c r="Y198" s="197">
        <f t="shared" si="53"/>
        <v>4.53E-2</v>
      </c>
      <c r="Z198" s="197">
        <f t="shared" si="54"/>
        <v>2.3304</v>
      </c>
      <c r="AA198" s="197">
        <f t="shared" si="55"/>
        <v>2.2850999999999999</v>
      </c>
      <c r="AB198" s="54" t="e">
        <f>VLOOKUP(A198,Enforcements!$C$7:$K$13,8,0)</f>
        <v>#N/A</v>
      </c>
      <c r="AC198" s="51" t="e">
        <f>VLOOKUP(A198,Enforcements!$C$7:$E$13,3,0)</f>
        <v>#N/A</v>
      </c>
      <c r="AD198" s="206">
        <f t="shared" si="56"/>
        <v>303</v>
      </c>
      <c r="AE198" s="77" t="str">
        <f t="shared" si="57"/>
        <v>aws s3 cp s3://rtdc.mdm.uploadarchive.raw/RTDC4056/ "%USERPROFILE%\AppData\Local\Temp\OnboardLogs"\RTDC4056\2017-07-01 --exclude "*" --recursive --include "*20170701*" &amp; "%USERPROFILE%\Documents\GitHub\mrs-test-scripts\Headless Mode &amp; Sideloading\WalkAndUnGZ.bat" "%USERPROFILE%\AppData\Local\Temp\OnboardLogs"\RTDC4056\2017-07-01 &amp; aws s3 cp s3://rtdc.mdm.uploadarchive.raw/RTDC4056/ "%USERPROFILE%\AppData\Local\Temp\OnboardLogs"\RTDC4056\2017-07-02 --exclude "*" --recursive --include "*20170702*" &amp; "%USERPROFILE%\Documents\GitHub\mrs-test-scripts\Headless Mode &amp; Sideloading\WalkAndUnGZ.bat" "%USERPROFILE%\AppData\Local\Temp\OnboardLogs"\RTDC4056\2017-07-02</v>
      </c>
      <c r="AF198" s="74" t="str">
        <f t="shared" si="58"/>
        <v>"C:\Program Files (x86)\AstroGrep\AstroGrep.exe" /e /r /s /spath="%USERPROFILE%\AppData\Local\Temp\OnboardLogs" /stypes="app*4056*20170702*" /stext=" 01:.+((SYSTEM_STATE.+slice.+state.+changed )|(ment ac)|(multiple cpu faults)|(system.+state.+changed )|(\[timeout)|(PRM\|1\|D)|(kpr)|(kdp)|(train st.+moving)|(\|lc)|(penalty))"</v>
      </c>
      <c r="AG198" s="209" t="str">
        <f t="shared" si="59"/>
        <v>Other</v>
      </c>
      <c r="AH198" s="78" t="str">
        <f t="shared" si="60"/>
        <v>"%USERPROFILE%\Documents\GitHub\eaglep3\Utilities\RefineRTDCRunTimes.py" --tripid 303-01 --locoid 4056 --swversion DE.1.0.9.0 --startMP 204:453 --initTime 2017-07-01T19:06:50 --startdatetime 2017-07-01T19:10:07 --delay 2 --endMP 300:23304 --enddatetime 2017-07-01T19:19:22 --enforcementcount 0 &gt;&gt;C:\Users\stu\Documents\GitHub\eaglep3-reporting\EC\2017-07-01-refined-times.txt</v>
      </c>
      <c r="AI198" s="96" t="str">
        <f t="shared" si="61"/>
        <v>echo {"issue":{"subject":"","project_id":79,"tracker_id":40,"status_id":1,"priority_id":2,"assigned_to_id":23,"start_date":"2017-07-01","description":"","custom_fields":[{"id":1,"name":"Subdivision","value":"Other"},{"id":4,"name":"Milepost","value":"2.3304"},{"id":17,"name":"Train ID","value":"303-01"},{"id":16,"name":"Locomotive ID","value":"4056"},{"id":130,"name":"Impact","value":""},{"id":150,"name":"Time of Event (Mountain Time)","value":"19:19:22"},{"id":151,"name":"Denver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98" s="47"/>
      <c r="AL198" s="47"/>
      <c r="AM198" s="142" t="str">
        <f t="shared" si="62"/>
        <v>start /low /b %USERPROFILE%\Documents\GitHub\eaglep3\Utilities\DownloadLogsFromS3.py --loco 4056 --day 2017-07-01</v>
      </c>
      <c r="AN198" s="151" t="str">
        <f t="shared" si="63"/>
        <v>echo {"issue":{"subject":"","project_id":30,"tracker_id":4,"status_id":1,"priority_id":1,"assigned_to_id":10,"start_date":"2017-07-02","description":"","custom_fields":[{"id":30,"name":"Category","value":"Issue"},{"id":3,"name":"Functional Component","value":"Onboard"},{"id":31,"name":"Version","value":"N/A"},{"id":8,"name":"Reporting RR","value":"WABTEC"},{"id":27,"name":"Locomotive ID","value":"4056"},{"id":20,"name":"RR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UTC","value":"2017-07-02 01:19:22"},{"id":29,"name":"Sharepoint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8"/>
      <c r="AP198"/>
      <c r="AQ198"/>
      <c r="AR198"/>
      <c r="AS198"/>
      <c r="AT198"/>
      <c r="AU198"/>
      <c r="AV198"/>
      <c r="AW198"/>
      <c r="AX198"/>
      <c r="AY198"/>
      <c r="AZ198"/>
      <c r="BA198"/>
      <c r="BB198"/>
      <c r="BC198"/>
      <c r="BD198"/>
      <c r="BE198"/>
      <c r="BF198"/>
      <c r="BG198"/>
      <c r="BH198"/>
      <c r="BI198"/>
      <c r="BJ198"/>
      <c r="BK198"/>
      <c r="BL198"/>
      <c r="BM198"/>
      <c r="BN198"/>
      <c r="BO198"/>
      <c r="BP198"/>
      <c r="BQ198"/>
      <c r="BR198"/>
      <c r="BS198"/>
      <c r="BT198"/>
      <c r="BU198"/>
      <c r="BV198"/>
      <c r="BW198"/>
      <c r="BX198"/>
      <c r="BY198"/>
      <c r="BZ198"/>
      <c r="CA198"/>
      <c r="CB198"/>
      <c r="CC198"/>
      <c r="CD198"/>
      <c r="CE198"/>
      <c r="CF198"/>
      <c r="CG198"/>
      <c r="CH198"/>
      <c r="CI198"/>
      <c r="CJ198"/>
      <c r="CK198"/>
      <c r="CL198"/>
      <c r="CM198"/>
    </row>
    <row r="199" spans="1:91" x14ac:dyDescent="0.25">
      <c r="A199" s="32" t="s">
        <v>698</v>
      </c>
      <c r="B199" s="7">
        <v>4027</v>
      </c>
      <c r="C199" s="21" t="s">
        <v>202</v>
      </c>
      <c r="D199" s="21" t="s">
        <v>997</v>
      </c>
      <c r="E199" s="13">
        <v>42917.158784722225</v>
      </c>
      <c r="F199" s="13">
        <v>42917.162523148145</v>
      </c>
      <c r="G199" s="7">
        <v>5</v>
      </c>
      <c r="H199" s="21" t="s">
        <v>614</v>
      </c>
      <c r="I199" s="13">
        <v>42917.16847222222</v>
      </c>
      <c r="J199" s="7">
        <v>0</v>
      </c>
      <c r="K199" s="89" t="str">
        <f t="shared" si="48"/>
        <v>4027/4028</v>
      </c>
      <c r="L199" s="21" t="str">
        <f>VLOOKUP(A199,'Trips&amp;Operators'!$C$1:$G$99999,5,FALSE)</f>
        <v>DAVIS WENDY</v>
      </c>
      <c r="M199" s="6">
        <f t="shared" si="49"/>
        <v>5.9490740750334226E-3</v>
      </c>
      <c r="N199" s="7">
        <f t="shared" si="68"/>
        <v>8.5666666680481285</v>
      </c>
      <c r="O199" s="7"/>
      <c r="P199" s="7"/>
      <c r="Q199" s="22"/>
      <c r="R199" s="170"/>
      <c r="S199" s="213">
        <f t="shared" ref="S199:S218" si="69">SUM(U199:U199)/IF(AG199="EC",12,1)</f>
        <v>1</v>
      </c>
      <c r="T199" s="195" t="str">
        <f t="shared" si="50"/>
        <v>Southbound</v>
      </c>
      <c r="U199" s="195">
        <f>IF(AG199="EC",COUNTIFS(Variables!$M$2:$M$19,IF(T199="NorthBound","&gt;=","&lt;=")&amp;Y199,Variables!$M$2:$M$19,IF(T199="NorthBound","&lt;=","&gt;=")&amp;Z199),COUNTIFS(Variables!$P$2:$P$19,IF(T199="NorthBound","&gt;=","&lt;=")&amp;Y199,Variables!$P$2:$P$19,IF(T199="NorthBound","&lt;=","&gt;=")&amp;Z199))</f>
        <v>1</v>
      </c>
      <c r="V199" s="196" t="str">
        <f t="shared" si="51"/>
        <v>https://d0f6bd738d7f1b3e5a7ca70fe4ff75f0.us-east-1.aws.found.io/app/kibana#/discover/Steve-Slow-Train-Analysis-(2080s-and-2083s)?_g=(refreshInterval:(display:Off,pause:!f,section:0,value:0),time:(from:'2017-07-01T02:48:39-0600',mode:absolute,to:'2017-07-01T05:02:36-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199" s="197" t="str">
        <f>IF(AA199&lt;VLOOKUP(AG199,Variables!$AC$3:$AD$8,2,FALSE),"Y","N")</f>
        <v>Y</v>
      </c>
      <c r="X199" s="197">
        <f t="shared" si="67"/>
        <v>1</v>
      </c>
      <c r="Y199" s="197">
        <f t="shared" si="53"/>
        <v>2.3089</v>
      </c>
      <c r="Z199" s="197">
        <f t="shared" si="54"/>
        <v>1.6E-2</v>
      </c>
      <c r="AA199" s="197">
        <f t="shared" si="55"/>
        <v>2.2928999999999999</v>
      </c>
      <c r="AB199" s="54" t="e">
        <f>VLOOKUP(A199,Enforcements!$C$7:$K$13,8,0)</f>
        <v>#N/A</v>
      </c>
      <c r="AC199" s="51" t="e">
        <f>VLOOKUP(A199,Enforcements!$C$7:$E$13,3,0)</f>
        <v>#N/A</v>
      </c>
      <c r="AD199" s="206">
        <f t="shared" si="56"/>
        <v>304</v>
      </c>
      <c r="AE199" s="77" t="str">
        <f t="shared" si="57"/>
        <v>aws s3 cp s3://rtdc.mdm.uploadarchive.raw/RTDC4027/ "%USERPROFILE%\AppData\Local\Temp\OnboardLogs"\RTDC4027\2017-07-01 --exclude "*" --recursive --include "*20170701*" &amp; "%USERPROFILE%\Documents\GitHub\mrs-test-scripts\Headless Mode &amp; Sideloading\WalkAndUnGZ.bat" "%USERPROFILE%\AppData\Local\Temp\OnboardLogs"\RTDC4027\2017-07-01 &amp; aws s3 cp s3://rtdc.mdm.uploadarchive.raw/RTDC4027/ "%USERPROFILE%\AppData\Local\Temp\OnboardLogs"\RTDC4027\2017-07-02 --exclude "*" --recursive --include "*20170702*" &amp; "%USERPROFILE%\Documents\GitHub\mrs-test-scripts\Headless Mode &amp; Sideloading\WalkAndUnGZ.bat" "%USERPROFILE%\AppData\Local\Temp\OnboardLogs"\RTDC4027\2017-07-02</v>
      </c>
      <c r="AF199" s="74" t="str">
        <f t="shared" si="58"/>
        <v>"C:\Program Files (x86)\AstroGrep\AstroGrep.exe" /e /r /s /spath="%USERPROFILE%\AppData\Local\Temp\OnboardLogs" /stypes="app*4027*20170701*" /stext=" 10:.+((SYSTEM_STATE.+slice.+state.+changed )|(ment ac)|(multiple cpu faults)|(system.+state.+changed )|(\[timeout)|(PRM\|1\|D)|(kpr)|(kdp)|(train st.+moving)|(\|lc)|(penalty))"</v>
      </c>
      <c r="AG199" s="209" t="str">
        <f t="shared" si="59"/>
        <v>Other</v>
      </c>
      <c r="AH199" s="78" t="str">
        <f t="shared" si="60"/>
        <v>"%USERPROFILE%\Documents\GitHub\eaglep3\Utilities\RefineRTDCRunTimes.py" --tripid 304-01 --locoid 4027 --swversion DE.1.0.9.0 --startMP 300:23089 --initTime 2017-07-01T03:48:39 --startdatetime 2017-07-01T03:54:02 --delay 5 --endMP 204:160 --enddatetime 2017-07-01T04:02:36 --enforcementcount 0 &gt;&gt;C:\Users\stu\Documents\GitHub\eaglep3-reporting\EC\2017-07-01-refined-times.txt</v>
      </c>
      <c r="AI199" s="96" t="str">
        <f t="shared" si="61"/>
        <v>echo {"issue":{"subject":"","project_id":79,"tracker_id":40,"status_id":1,"priority_id":2,"assigned_to_id":23,"start_date":"2017-07-01","description":"","custom_fields":[{"id":1,"name":"Subdivision","value":"Other"},{"id":4,"name":"Milepost","value":"0.016"},{"id":17,"name":"Train ID","value":"304-01"},{"id":16,"name":"Locomotive ID","value":"4027"},{"id":130,"name":"Impact","value":""},{"id":150,"name":"Time of Event (Mountain Time)","value":"04:02:36"},{"id":151,"name":"Denver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9" s="20"/>
      <c r="AK199" s="47"/>
      <c r="AL199" s="47"/>
      <c r="AM199" s="142" t="str">
        <f t="shared" si="62"/>
        <v>start /low /b %USERPROFILE%\Documents\GitHub\eaglep3\Utilities\DownloadLogsFromS3.py --loco 4027 --day 2017-07-01</v>
      </c>
      <c r="AN199" s="151" t="str">
        <f t="shared" si="63"/>
        <v>echo {"issue":{"subject":"","project_id":30,"tracker_id":4,"status_id":1,"priority_id":1,"assigned_to_id":10,"start_date":"2017-07-01","description":"","custom_fields":[{"id":30,"name":"Category","value":"Issue"},{"id":3,"name":"Functional Component","value":"Onboard"},{"id":31,"name":"Version","value":"N/A"},{"id":8,"name":"Reporting RR","value":"WABTEC"},{"id":27,"name":"Locomotive ID","value":"4027"},{"id":20,"name":"RR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UTC","value":"2017-07-01 10:02:36"},{"id":29,"name":"Sharepoint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9"/>
    </row>
    <row r="200" spans="1:91" x14ac:dyDescent="0.25">
      <c r="A200" s="32" t="s">
        <v>846</v>
      </c>
      <c r="B200" s="7">
        <v>4030</v>
      </c>
      <c r="C200" s="21" t="s">
        <v>202</v>
      </c>
      <c r="D200" s="21" t="s">
        <v>490</v>
      </c>
      <c r="E200" s="13">
        <v>42917.818576388891</v>
      </c>
      <c r="F200" s="13">
        <v>42917.819884259261</v>
      </c>
      <c r="G200" s="7">
        <v>1</v>
      </c>
      <c r="H200" s="21" t="s">
        <v>555</v>
      </c>
      <c r="I200" s="13">
        <v>42917.824629629627</v>
      </c>
      <c r="J200" s="7">
        <v>0</v>
      </c>
      <c r="K200" s="89" t="str">
        <f t="shared" si="48"/>
        <v>4029/4030</v>
      </c>
      <c r="L200" s="21" t="str">
        <f>VLOOKUP(A200,'Trips&amp;Operators'!$C$1:$G$99999,5,FALSE)</f>
        <v>HOLCOMB KAMDEN</v>
      </c>
      <c r="M200" s="6">
        <f t="shared" si="49"/>
        <v>4.7453703664359637E-3</v>
      </c>
      <c r="N200" s="7">
        <f t="shared" si="68"/>
        <v>6.8333333276677877</v>
      </c>
      <c r="O200" s="7"/>
      <c r="P200" s="7"/>
      <c r="Q200" s="22"/>
      <c r="R200" s="170"/>
      <c r="S200" s="213">
        <f t="shared" si="69"/>
        <v>1</v>
      </c>
      <c r="T200" s="195" t="str">
        <f t="shared" si="50"/>
        <v>NorthBound</v>
      </c>
      <c r="U200" s="195">
        <f>IF(AG200="EC",COUNTIFS(Variables!$M$2:$M$19,IF(T200="NorthBound","&gt;=","&lt;=")&amp;Y200,Variables!$M$2:$M$19,IF(T200="NorthBound","&lt;=","&gt;=")&amp;Z200),COUNTIFS(Variables!$P$2:$P$19,IF(T200="NorthBound","&gt;=","&lt;=")&amp;Y200,Variables!$P$2:$P$19,IF(T200="NorthBound","&lt;=","&gt;=")&amp;Z200))</f>
        <v>1</v>
      </c>
      <c r="V200" s="196" t="str">
        <f t="shared" si="51"/>
        <v>https://d0f6bd738d7f1b3e5a7ca70fe4ff75f0.us-east-1.aws.found.io/app/kibana#/discover/Steve-Slow-Train-Analysis-(2080s-and-2083s)?_g=(refreshInterval:(display:Off,pause:!f,section:0,value:0),time:(from:'2017-07-01T18:38:45-0600',mode:absolute,to:'2017-07-01T20:47:28-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200" s="197" t="str">
        <f>IF(AA200&lt;VLOOKUP(AG200,Variables!$AC$3:$AD$8,2,FALSE),"Y","N")</f>
        <v>Y</v>
      </c>
      <c r="X200" s="197">
        <f t="shared" si="67"/>
        <v>1</v>
      </c>
      <c r="Y200" s="197">
        <f t="shared" si="53"/>
        <v>4.3700000000000003E-2</v>
      </c>
      <c r="Z200" s="197">
        <f t="shared" si="54"/>
        <v>2.3308</v>
      </c>
      <c r="AA200" s="197">
        <f t="shared" si="55"/>
        <v>2.2871000000000001</v>
      </c>
      <c r="AB200" s="54" t="e">
        <f>VLOOKUP(A200,Enforcements!$C$7:$K$13,8,0)</f>
        <v>#N/A</v>
      </c>
      <c r="AC200" s="51" t="e">
        <f>VLOOKUP(A200,Enforcements!$C$7:$E$13,3,0)</f>
        <v>#N/A</v>
      </c>
      <c r="AD200" s="206">
        <f t="shared" si="56"/>
        <v>305</v>
      </c>
      <c r="AE200" s="77" t="str">
        <f t="shared" si="57"/>
        <v>aws s3 cp s3://rtdc.mdm.uploadarchive.raw/RTDC4030/ "%USERPROFILE%\AppData\Local\Temp\OnboardLogs"\RTDC4030\2017-07-01 --exclude "*" --recursive --include "*20170701*" &amp; "%USERPROFILE%\Documents\GitHub\mrs-test-scripts\Headless Mode &amp; Sideloading\WalkAndUnGZ.bat" "%USERPROFILE%\AppData\Local\Temp\OnboardLogs"\RTDC4030\2017-07-01 &amp; aws s3 cp s3://rtdc.mdm.uploadarchive.raw/RTDC4030/ "%USERPROFILE%\AppData\Local\Temp\OnboardLogs"\RTDC4030\2017-07-02 --exclude "*" --recursive --include "*20170702*" &amp; "%USERPROFILE%\Documents\GitHub\mrs-test-scripts\Headless Mode &amp; Sideloading\WalkAndUnGZ.bat" "%USERPROFILE%\AppData\Local\Temp\OnboardLogs"\RTDC4030\2017-07-02</v>
      </c>
      <c r="AF200" s="74" t="str">
        <f t="shared" si="58"/>
        <v>"C:\Program Files (x86)\AstroGrep\AstroGrep.exe" /e /r /s /spath="%USERPROFILE%\AppData\Local\Temp\OnboardLogs" /stypes="app*4030*20170702*" /stext=" 01:.+((SYSTEM_STATE.+slice.+state.+changed )|(ment ac)|(multiple cpu faults)|(system.+state.+changed )|(\[timeout)|(PRM\|1\|D)|(kpr)|(kdp)|(train st.+moving)|(\|lc)|(penalty))"</v>
      </c>
      <c r="AG200" s="209" t="str">
        <f t="shared" si="59"/>
        <v>Other</v>
      </c>
      <c r="AH200" s="78" t="str">
        <f t="shared" si="60"/>
        <v>"%USERPROFILE%\Documents\GitHub\eaglep3\Utilities\RefineRTDCRunTimes.py" --tripid 305-01 --locoid 4030 --swversion DE.1.0.9.0 --startMP 204:437 --initTime 2017-07-01T19:38:45 --startdatetime 2017-07-01T19:40:38 --delay 1 --endMP 300:23308 --enddatetime 2017-07-01T19:47:28 --enforcementcount 0 &gt;&gt;C:\Users\stu\Documents\GitHub\eaglep3-reporting\EC\2017-07-01-refined-times.txt</v>
      </c>
      <c r="AI200" s="96" t="str">
        <f t="shared" si="61"/>
        <v>echo {"issue":{"subject":"","project_id":79,"tracker_id":40,"status_id":1,"priority_id":2,"assigned_to_id":23,"start_date":"2017-07-01","description":"","custom_fields":[{"id":1,"name":"Subdivision","value":"Other"},{"id":4,"name":"Milepost","value":"2.3308"},{"id":17,"name":"Train ID","value":"305-01"},{"id":16,"name":"Locomotive ID","value":"4030"},{"id":130,"name":"Impact","value":""},{"id":150,"name":"Time of Event (Mountain Time)","value":"19:47:28"},{"id":151,"name":"Denver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0" s="20"/>
      <c r="AK200" s="47"/>
      <c r="AL200" s="47"/>
      <c r="AM200" s="142" t="str">
        <f t="shared" si="62"/>
        <v>start /low /b %USERPROFILE%\Documents\GitHub\eaglep3\Utilities\DownloadLogsFromS3.py --loco 4030 --day 2017-07-01</v>
      </c>
      <c r="AN200" s="151" t="str">
        <f t="shared" si="63"/>
        <v>echo {"issue":{"subject":"","project_id":30,"tracker_id":4,"status_id":1,"priority_id":1,"assigned_to_id":10,"start_date":"2017-07-02","description":"","custom_fields":[{"id":30,"name":"Category","value":"Issue"},{"id":3,"name":"Functional Component","value":"Onboard"},{"id":31,"name":"Version","value":"N/A"},{"id":8,"name":"Reporting RR","value":"WABTEC"},{"id":27,"name":"Locomotive ID","value":"4030"},{"id":20,"name":"RR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UTC","value":"2017-07-02 01:47:28"},{"id":29,"name":"Sharepoint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0"/>
    </row>
    <row r="201" spans="1:91" x14ac:dyDescent="0.25">
      <c r="A201" s="32" t="s">
        <v>700</v>
      </c>
      <c r="B201" s="7">
        <v>4013</v>
      </c>
      <c r="C201" s="21" t="s">
        <v>202</v>
      </c>
      <c r="D201" s="21" t="s">
        <v>998</v>
      </c>
      <c r="E201" s="13">
        <v>42917.170902777776</v>
      </c>
      <c r="F201" s="13">
        <v>42917.174907407411</v>
      </c>
      <c r="G201" s="7">
        <v>5</v>
      </c>
      <c r="H201" s="21" t="s">
        <v>608</v>
      </c>
      <c r="I201" s="13">
        <v>42917.180532407408</v>
      </c>
      <c r="J201" s="7">
        <v>0</v>
      </c>
      <c r="K201" s="89" t="str">
        <f t="shared" si="48"/>
        <v>4013/4014</v>
      </c>
      <c r="L201" s="21" t="str">
        <f>VLOOKUP(A201,'Trips&amp;Operators'!$C$1:$G$99999,5,FALSE)</f>
        <v>GEBRETEKLE DAGNEW</v>
      </c>
      <c r="M201" s="6">
        <f t="shared" si="49"/>
        <v>5.6249999979627319E-3</v>
      </c>
      <c r="N201" s="7">
        <f t="shared" si="68"/>
        <v>8.0999999970663339</v>
      </c>
      <c r="O201" s="7"/>
      <c r="P201" s="7"/>
      <c r="Q201" s="22"/>
      <c r="R201" s="170"/>
      <c r="S201" s="213">
        <f t="shared" si="69"/>
        <v>1</v>
      </c>
      <c r="T201" s="195" t="str">
        <f t="shared" si="50"/>
        <v>Southbound</v>
      </c>
      <c r="U201" s="195">
        <f>IF(AG201="EC",COUNTIFS(Variables!$M$2:$M$19,IF(T201="NorthBound","&gt;=","&lt;=")&amp;Y201,Variables!$M$2:$M$19,IF(T201="NorthBound","&lt;=","&gt;=")&amp;Z201),COUNTIFS(Variables!$P$2:$P$19,IF(T201="NorthBound","&gt;=","&lt;=")&amp;Y201,Variables!$P$2:$P$19,IF(T201="NorthBound","&lt;=","&gt;=")&amp;Z201))</f>
        <v>1</v>
      </c>
      <c r="V201" s="196" t="str">
        <f t="shared" si="51"/>
        <v>https://d0f6bd738d7f1b3e5a7ca70fe4ff75f0.us-east-1.aws.found.io/app/kibana#/discover/Steve-Slow-Train-Analysis-(2080s-and-2083s)?_g=(refreshInterval:(display:Off,pause:!f,section:0,value:0),time:(from:'2017-07-01T03:06:06-0600',mode:absolute,to:'2017-07-01T05:19:58-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201" s="197" t="str">
        <f>IF(AA201&lt;VLOOKUP(AG201,Variables!$AC$3:$AD$8,2,FALSE),"Y","N")</f>
        <v>Y</v>
      </c>
      <c r="X201" s="197">
        <f t="shared" ref="X201:X218" si="70">VALUE(LEFT(AD201,4))-VALUE(LEFT(AD200,4))</f>
        <v>1</v>
      </c>
      <c r="Y201" s="197">
        <f t="shared" si="53"/>
        <v>2.3746999999999998</v>
      </c>
      <c r="Z201" s="197">
        <f t="shared" si="54"/>
        <v>1.67E-2</v>
      </c>
      <c r="AA201" s="197">
        <f t="shared" si="55"/>
        <v>2.3579999999999997</v>
      </c>
      <c r="AB201" s="54" t="e">
        <f>VLOOKUP(A201,Enforcements!$C$7:$K$13,8,0)</f>
        <v>#N/A</v>
      </c>
      <c r="AC201" s="51" t="e">
        <f>VLOOKUP(A201,Enforcements!$C$7:$E$13,3,0)</f>
        <v>#N/A</v>
      </c>
      <c r="AD201" s="206">
        <f t="shared" si="56"/>
        <v>306</v>
      </c>
      <c r="AE201" s="77" t="str">
        <f t="shared" si="57"/>
        <v>aws s3 cp s3://rtdc.mdm.uploadarchive.raw/RTDC4013/ "%USERPROFILE%\AppData\Local\Temp\OnboardLogs"\RTDC4013\2017-07-01 --exclude "*" --recursive --include "*20170701*" &amp; "%USERPROFILE%\Documents\GitHub\mrs-test-scripts\Headless Mode &amp; Sideloading\WalkAndUnGZ.bat" "%USERPROFILE%\AppData\Local\Temp\OnboardLogs"\RTDC4013\2017-07-01 &amp; aws s3 cp s3://rtdc.mdm.uploadarchive.raw/RTDC4013/ "%USERPROFILE%\AppData\Local\Temp\OnboardLogs"\RTDC4013\2017-07-02 --exclude "*" --recursive --include "*20170702*" &amp; "%USERPROFILE%\Documents\GitHub\mrs-test-scripts\Headless Mode &amp; Sideloading\WalkAndUnGZ.bat" "%USERPROFILE%\AppData\Local\Temp\OnboardLogs"\RTDC4013\2017-07-02</v>
      </c>
      <c r="AF201" s="74" t="str">
        <f t="shared" si="58"/>
        <v>"C:\Program Files (x86)\AstroGrep\AstroGrep.exe" /e /r /s /spath="%USERPROFILE%\AppData\Local\Temp\OnboardLogs" /stypes="app*4013*20170701*" /stext=" 10:.+((SYSTEM_STATE.+slice.+state.+changed )|(ment ac)|(multiple cpu faults)|(system.+state.+changed )|(\[timeout)|(PRM\|1\|D)|(kpr)|(kdp)|(train st.+moving)|(\|lc)|(penalty))"</v>
      </c>
      <c r="AG201" s="209" t="str">
        <f t="shared" si="59"/>
        <v>Other</v>
      </c>
      <c r="AH201" s="78" t="str">
        <f t="shared" si="60"/>
        <v>"%USERPROFILE%\Documents\GitHub\eaglep3\Utilities\RefineRTDCRunTimes.py" --tripid 306-01 --locoid 4013 --swversion DE.1.0.9.0 --startMP 300:23747 --initTime 2017-07-01T04:06:06 --startdatetime 2017-07-01T04:11:52 --delay 5 --endMP 204:167 --enddatetime 2017-07-01T04:19:58 --enforcementcount 0 &gt;&gt;C:\Users\stu\Documents\GitHub\eaglep3-reporting\EC\2017-07-01-refined-times.txt</v>
      </c>
      <c r="AI201" s="96" t="str">
        <f t="shared" si="61"/>
        <v>echo {"issue":{"subject":"","project_id":79,"tracker_id":40,"status_id":1,"priority_id":2,"assigned_to_id":23,"start_date":"2017-07-01","description":"","custom_fields":[{"id":1,"name":"Subdivision","value":"Other"},{"id":4,"name":"Milepost","value":"0.0167"},{"id":17,"name":"Train ID","value":"306-01"},{"id":16,"name":"Locomotive ID","value":"4013"},{"id":130,"name":"Impact","value":""},{"id":150,"name":"Time of Event (Mountain Time)","value":"04:19:58"},{"id":151,"name":"Denver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1" s="20"/>
      <c r="AK201" s="47"/>
      <c r="AL201" s="47"/>
      <c r="AM201" s="142" t="str">
        <f t="shared" si="62"/>
        <v>start /low /b %USERPROFILE%\Documents\GitHub\eaglep3\Utilities\DownloadLogsFromS3.py --loco 4013 --day 2017-07-01</v>
      </c>
      <c r="AN201" s="151" t="str">
        <f t="shared" si="63"/>
        <v>echo {"issue":{"subject":"","project_id":30,"tracker_id":4,"status_id":1,"priority_id":1,"assigned_to_id":10,"start_date":"2017-07-01","description":"","custom_fields":[{"id":30,"name":"Category","value":"Issue"},{"id":3,"name":"Functional Component","value":"Onboard"},{"id":31,"name":"Version","value":"N/A"},{"id":8,"name":"Reporting RR","value":"WABTEC"},{"id":27,"name":"Locomotive ID","value":"4013"},{"id":20,"name":"RR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UTC","value":"2017-07-01 10:19:58"},{"id":29,"name":"Sharepoint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1"/>
    </row>
    <row r="202" spans="1:91" s="20" customFormat="1" x14ac:dyDescent="0.25">
      <c r="A202" s="32" t="s">
        <v>871</v>
      </c>
      <c r="B202" s="7">
        <v>4018</v>
      </c>
      <c r="C202" s="21" t="s">
        <v>202</v>
      </c>
      <c r="D202" s="21" t="s">
        <v>925</v>
      </c>
      <c r="E202" s="13">
        <v>42918.048263888886</v>
      </c>
      <c r="F202" s="13">
        <v>42918.050092592595</v>
      </c>
      <c r="G202" s="7">
        <v>1</v>
      </c>
      <c r="H202" s="21" t="s">
        <v>555</v>
      </c>
      <c r="I202" s="13">
        <v>42918.058356481481</v>
      </c>
      <c r="J202" s="7">
        <v>0</v>
      </c>
      <c r="K202" s="89" t="str">
        <f t="shared" si="48"/>
        <v>4017/4018</v>
      </c>
      <c r="L202" s="21" t="str">
        <f>VLOOKUP(A202,'Trips&amp;Operators'!$C$1:$G$99999,5,FALSE)</f>
        <v>YANG JAN</v>
      </c>
      <c r="M202" s="6">
        <f t="shared" si="49"/>
        <v>8.2638888852670789E-3</v>
      </c>
      <c r="N202" s="7">
        <f t="shared" si="68"/>
        <v>11.899999994784594</v>
      </c>
      <c r="O202" s="7"/>
      <c r="P202" s="7"/>
      <c r="Q202" s="22"/>
      <c r="R202" s="170"/>
      <c r="S202" s="213">
        <f t="shared" si="69"/>
        <v>1</v>
      </c>
      <c r="T202" s="195" t="str">
        <f t="shared" si="50"/>
        <v>NorthBound</v>
      </c>
      <c r="U202" s="195">
        <f>IF(AG202="EC",COUNTIFS(Variables!$M$2:$M$19,IF(T202="NorthBound","&gt;=","&lt;=")&amp;Y202,Variables!$M$2:$M$19,IF(T202="NorthBound","&lt;=","&gt;=")&amp;Z202),COUNTIFS(Variables!$P$2:$P$19,IF(T202="NorthBound","&gt;=","&lt;=")&amp;Y202,Variables!$P$2:$P$19,IF(T202="NorthBound","&lt;=","&gt;=")&amp;Z202))</f>
        <v>1</v>
      </c>
      <c r="V202" s="196" t="str">
        <f t="shared" si="51"/>
        <v>https://d0f6bd738d7f1b3e5a7ca70fe4ff75f0.us-east-1.aws.found.io/app/kibana#/discover/Steve-Slow-Train-Analysis-(2080s-and-2083s)?_g=(refreshInterval:(display:Off,pause:!f,section:0,value:0),time:(from:'2017-07-02T00:09:30-0600',mode:absolute,to:'2017-07-02T02:24:02-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202" s="197" t="str">
        <f>IF(AA202&lt;VLOOKUP(AG202,Variables!$AC$3:$AD$8,2,FALSE),"Y","N")</f>
        <v>Y</v>
      </c>
      <c r="X202" s="197">
        <f t="shared" si="70"/>
        <v>1</v>
      </c>
      <c r="Y202" s="197">
        <f t="shared" si="53"/>
        <v>4.7699999999999999E-2</v>
      </c>
      <c r="Z202" s="197">
        <f t="shared" si="54"/>
        <v>2.3308</v>
      </c>
      <c r="AA202" s="197">
        <f t="shared" si="55"/>
        <v>2.2831000000000001</v>
      </c>
      <c r="AB202" s="54" t="e">
        <f>VLOOKUP(A202,Enforcements!$C$7:$K$13,8,0)</f>
        <v>#N/A</v>
      </c>
      <c r="AC202" s="51" t="e">
        <f>VLOOKUP(A202,Enforcements!$C$7:$E$13,3,0)</f>
        <v>#N/A</v>
      </c>
      <c r="AD202" s="206">
        <f t="shared" si="56"/>
        <v>307</v>
      </c>
      <c r="AE202" s="77" t="str">
        <f t="shared" si="57"/>
        <v>aws s3 cp s3://rtdc.mdm.uploadarchive.raw/RTDC4018/ "%USERPROFILE%\AppData\Local\Temp\OnboardLogs"\RTDC4018\2017-07-02 --exclude "*" --recursive --include "*20170702*" &amp; "%USERPROFILE%\Documents\GitHub\mrs-test-scripts\Headless Mode &amp; Sideloading\WalkAndUnGZ.bat" "%USERPROFILE%\AppData\Local\Temp\OnboardLogs"\RTDC4018\2017-07-02 &amp; aws s3 cp s3://rtdc.mdm.uploadarchive.raw/RTDC4018/ "%USERPROFILE%\AppData\Local\Temp\OnboardLogs"\RTDC4018\2017-07-03 --exclude "*" --recursive --include "*20170703*" &amp; "%USERPROFILE%\Documents\GitHub\mrs-test-scripts\Headless Mode &amp; Sideloading\WalkAndUnGZ.bat" "%USERPROFILE%\AppData\Local\Temp\OnboardLogs"\RTDC4018\2017-07-03</v>
      </c>
      <c r="AF202" s="74" t="str">
        <f t="shared" si="58"/>
        <v>"C:\Program Files (x86)\AstroGrep\AstroGrep.exe" /e /r /s /spath="%USERPROFILE%\AppData\Local\Temp\OnboardLogs" /stypes="app*4018*20170702*" /stext=" 07:.+((SYSTEM_STATE.+slice.+state.+changed )|(ment ac)|(multiple cpu faults)|(system.+state.+changed )|(\[timeout)|(PRM\|1\|D)|(kpr)|(kdp)|(train st.+moving)|(\|lc)|(penalty))"</v>
      </c>
      <c r="AG202" s="209" t="str">
        <f t="shared" si="59"/>
        <v>Other</v>
      </c>
      <c r="AH202" s="78" t="str">
        <f t="shared" si="60"/>
        <v>"%USERPROFILE%\Documents\GitHub\eaglep3\Utilities\RefineRTDCRunTimes.py" --tripid 307-01 --locoid 4018 --swversion DE.1.0.9.0 --startMP 204:477 --initTime 2017-07-02T01:09:30 --startdatetime 2017-07-02T01:12:08 --delay 1 --endMP 300:23308 --enddatetime 2017-07-02T01:24:02 --enforcementcount 0 &gt;&gt;C:\Users\stu\Documents\GitHub\eaglep3-reporting\EC\2017-07-01-refined-times.txt</v>
      </c>
      <c r="AI202" s="96" t="str">
        <f t="shared" si="61"/>
        <v>echo {"issue":{"subject":"","project_id":79,"tracker_id":40,"status_id":1,"priority_id":2,"assigned_to_id":23,"start_date":"2017-07-02","description":"","custom_fields":[{"id":1,"name":"Subdivision","value":"Other"},{"id":4,"name":"Milepost","value":"2.3308"},{"id":17,"name":"Train ID","value":"307-01"},{"id":16,"name":"Locomotive ID","value":"4018"},{"id":130,"name":"Impact","value":""},{"id":150,"name":"Time of Event (Mountain Time)","value":"01:24:02"},{"id":151,"name":"Denver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202" s="47"/>
      <c r="AL202" s="47"/>
      <c r="AM202" s="142" t="str">
        <f t="shared" si="62"/>
        <v>start /low /b %USERPROFILE%\Documents\GitHub\eaglep3\Utilities\DownloadLogsFromS3.py --loco 4018 --day 2017-07-02</v>
      </c>
      <c r="AN202" s="151" t="str">
        <f t="shared" si="63"/>
        <v>echo {"issue":{"subject":"","project_id":30,"tracker_id":4,"status_id":1,"priority_id":1,"assigned_to_id":10,"start_date":"2017-07-02","description":"","custom_fields":[{"id":30,"name":"Category","value":"Issue"},{"id":3,"name":"Functional Component","value":"Onboard"},{"id":31,"name":"Version","value":"N/A"},{"id":8,"name":"Reporting RR","value":"WABTEC"},{"id":27,"name":"Locomotive ID","value":"4018"},{"id":20,"name":"RR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UTC","value":"2017-07-02 07:24:02"},{"id":29,"name":"Sharepoint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2"/>
      <c r="AP202"/>
      <c r="AQ202"/>
      <c r="AR202"/>
      <c r="AS202"/>
      <c r="AT202"/>
      <c r="AU202"/>
      <c r="AV202"/>
      <c r="AW202"/>
      <c r="AX202"/>
      <c r="AY202"/>
      <c r="AZ202"/>
      <c r="BA202"/>
      <c r="BB202"/>
      <c r="BC202"/>
      <c r="BD202"/>
      <c r="BE202"/>
      <c r="BF202"/>
      <c r="BG202"/>
      <c r="BH202"/>
      <c r="BI202"/>
      <c r="BJ202"/>
      <c r="BK202"/>
      <c r="BL202"/>
      <c r="BM202"/>
      <c r="BN202"/>
      <c r="BO202"/>
      <c r="BP202"/>
      <c r="BQ202"/>
      <c r="BR202"/>
      <c r="BS202"/>
      <c r="BT202"/>
      <c r="BU202"/>
      <c r="BV202"/>
      <c r="BW202"/>
      <c r="BX202"/>
      <c r="BY202"/>
      <c r="BZ202"/>
      <c r="CA202"/>
      <c r="CB202"/>
      <c r="CC202"/>
      <c r="CD202"/>
      <c r="CE202"/>
      <c r="CF202"/>
      <c r="CG202"/>
      <c r="CH202"/>
      <c r="CI202"/>
      <c r="CJ202"/>
      <c r="CK202"/>
      <c r="CL202"/>
      <c r="CM202"/>
    </row>
    <row r="203" spans="1:91" x14ac:dyDescent="0.25">
      <c r="A203" s="32" t="s">
        <v>703</v>
      </c>
      <c r="B203" s="7">
        <v>4061</v>
      </c>
      <c r="C203" s="21" t="s">
        <v>202</v>
      </c>
      <c r="D203" s="21" t="s">
        <v>999</v>
      </c>
      <c r="E203" s="13">
        <v>42917.183449074073</v>
      </c>
      <c r="F203" s="13">
        <v>42917.186342592591</v>
      </c>
      <c r="G203" s="7">
        <v>4</v>
      </c>
      <c r="H203" s="21" t="s">
        <v>619</v>
      </c>
      <c r="I203" s="13">
        <v>42917.191712962966</v>
      </c>
      <c r="J203" s="7">
        <v>0</v>
      </c>
      <c r="K203" s="89" t="str">
        <f t="shared" si="48"/>
        <v>4061/4062</v>
      </c>
      <c r="L203" s="21" t="str">
        <f>VLOOKUP(A203,'Trips&amp;Operators'!$C$1:$G$99999,5,FALSE)</f>
        <v>LALONDE GREGORY</v>
      </c>
      <c r="M203" s="6">
        <f t="shared" si="49"/>
        <v>5.3703703742939979E-3</v>
      </c>
      <c r="N203" s="7">
        <f t="shared" si="68"/>
        <v>7.733333338983357</v>
      </c>
      <c r="O203" s="7"/>
      <c r="P203" s="7"/>
      <c r="Q203" s="22"/>
      <c r="R203" s="170"/>
      <c r="S203" s="213">
        <f t="shared" si="69"/>
        <v>1</v>
      </c>
      <c r="T203" s="195" t="str">
        <f t="shared" si="50"/>
        <v>Southbound</v>
      </c>
      <c r="U203" s="195">
        <f>IF(AG203="EC",COUNTIFS(Variables!$M$2:$M$19,IF(T203="NorthBound","&gt;=","&lt;=")&amp;Y203,Variables!$M$2:$M$19,IF(T203="NorthBound","&lt;=","&gt;=")&amp;Z203),COUNTIFS(Variables!$P$2:$P$19,IF(T203="NorthBound","&gt;=","&lt;=")&amp;Y203,Variables!$P$2:$P$19,IF(T203="NorthBound","&lt;=","&gt;=")&amp;Z203))</f>
        <v>1</v>
      </c>
      <c r="V203" s="196" t="str">
        <f t="shared" si="51"/>
        <v>https://d0f6bd738d7f1b3e5a7ca70fe4ff75f0.us-east-1.aws.found.io/app/kibana#/discover/Steve-Slow-Train-Analysis-(2080s-and-2083s)?_g=(refreshInterval:(display:Off,pause:!f,section:0,value:0),time:(from:'2017-07-01T03:24:10-0600',mode:absolute,to:'2017-07-01T05:36:04-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4061%22')),sort:!(Time.ISO8601,asc))</v>
      </c>
      <c r="W203" s="197" t="str">
        <f>IF(AA203&lt;VLOOKUP(AG203,Variables!$AC$3:$AD$8,2,FALSE),"Y","N")</f>
        <v>Y</v>
      </c>
      <c r="X203" s="197">
        <f t="shared" si="70"/>
        <v>1</v>
      </c>
      <c r="Y203" s="197">
        <f t="shared" si="53"/>
        <v>2.3424999999999998</v>
      </c>
      <c r="Z203" s="197">
        <f t="shared" si="54"/>
        <v>1.6500000000000001E-2</v>
      </c>
      <c r="AA203" s="197">
        <f t="shared" si="55"/>
        <v>2.3259999999999996</v>
      </c>
      <c r="AB203" s="54" t="e">
        <f>VLOOKUP(A203,Enforcements!$C$7:$K$13,8,0)</f>
        <v>#N/A</v>
      </c>
      <c r="AC203" s="51" t="e">
        <f>VLOOKUP(A203,Enforcements!$C$7:$E$13,3,0)</f>
        <v>#N/A</v>
      </c>
      <c r="AD203" s="206">
        <f t="shared" si="56"/>
        <v>308</v>
      </c>
      <c r="AE203" s="77" t="str">
        <f t="shared" si="57"/>
        <v>aws s3 cp s3://rtdc.mdm.uploadarchive.raw/RTDC4061/ "%USERPROFILE%\AppData\Local\Temp\OnboardLogs"\RTDC4061\2017-07-01 --exclude "*" --recursive --include "*20170701*" &amp; "%USERPROFILE%\Documents\GitHub\mrs-test-scripts\Headless Mode &amp; Sideloading\WalkAndUnGZ.bat" "%USERPROFILE%\AppData\Local\Temp\OnboardLogs"\RTDC4061\2017-07-01 &amp; aws s3 cp s3://rtdc.mdm.uploadarchive.raw/RTDC4061/ "%USERPROFILE%\AppData\Local\Temp\OnboardLogs"\RTDC4061\2017-07-02 --exclude "*" --recursive --include "*20170702*" &amp; "%USERPROFILE%\Documents\GitHub\mrs-test-scripts\Headless Mode &amp; Sideloading\WalkAndUnGZ.bat" "%USERPROFILE%\AppData\Local\Temp\OnboardLogs"\RTDC4061\2017-07-02</v>
      </c>
      <c r="AF203" s="74" t="str">
        <f t="shared" si="58"/>
        <v>"C:\Program Files (x86)\AstroGrep\AstroGrep.exe" /e /r /s /spath="%USERPROFILE%\AppData\Local\Temp\OnboardLogs" /stypes="app*4061*20170701*" /stext=" 10:.+((SYSTEM_STATE.+slice.+state.+changed )|(ment ac)|(multiple cpu faults)|(system.+state.+changed )|(\[timeout)|(PRM\|1\|D)|(kpr)|(kdp)|(train st.+moving)|(\|lc)|(penalty))"</v>
      </c>
      <c r="AG203" s="209" t="str">
        <f t="shared" si="59"/>
        <v>Other</v>
      </c>
      <c r="AH203" s="78" t="str">
        <f t="shared" si="60"/>
        <v>"%USERPROFILE%\Documents\GitHub\eaglep3\Utilities\RefineRTDCRunTimes.py" --tripid 308-01 --locoid 4061 --swversion DE.1.0.9.0 --startMP 300:23425 --initTime 2017-07-01T04:24:10 --startdatetime 2017-07-01T04:28:20 --delay 4 --endMP 204:165 --enddatetime 2017-07-01T04:36:04 --enforcementcount 0 &gt;&gt;C:\Users\stu\Documents\GitHub\eaglep3-reporting\EC\2017-07-01-refined-times.txt</v>
      </c>
      <c r="AI203" s="96" t="str">
        <f t="shared" si="61"/>
        <v>echo {"issue":{"subject":"","project_id":79,"tracker_id":40,"status_id":1,"priority_id":2,"assigned_to_id":23,"start_date":"2017-07-01","description":"","custom_fields":[{"id":1,"name":"Subdivision","value":"Other"},{"id":4,"name":"Milepost","value":"0.0165"},{"id":17,"name":"Train ID","value":"308-01"},{"id":16,"name":"Locomotive ID","value":"4061"},{"id":130,"name":"Impact","value":""},{"id":150,"name":"Time of Event (Mountain Time)","value":"04:36:04"},{"id":151,"name":"Denver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3" s="20"/>
      <c r="AK203" s="47"/>
      <c r="AL203" s="47"/>
      <c r="AM203" s="142" t="str">
        <f t="shared" si="62"/>
        <v>start /low /b %USERPROFILE%\Documents\GitHub\eaglep3\Utilities\DownloadLogsFromS3.py --loco 4061 --day 2017-07-01</v>
      </c>
      <c r="AN203" s="151" t="str">
        <f t="shared" si="63"/>
        <v>echo {"issue":{"subject":"","project_id":30,"tracker_id":4,"status_id":1,"priority_id":1,"assigned_to_id":10,"start_date":"2017-07-01","description":"","custom_fields":[{"id":30,"name":"Category","value":"Issue"},{"id":3,"name":"Functional Component","value":"Onboard"},{"id":31,"name":"Version","value":"N/A"},{"id":8,"name":"Reporting RR","value":"WABTEC"},{"id":27,"name":"Locomotive ID","value":"4061"},{"id":20,"name":"RR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UTC","value":"2017-07-01 10:36:04"},{"id":29,"name":"Sharepoint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3"/>
    </row>
    <row r="204" spans="1:91" x14ac:dyDescent="0.25">
      <c r="A204" s="32" t="s">
        <v>872</v>
      </c>
      <c r="B204" s="7">
        <v>4028</v>
      </c>
      <c r="C204" s="21" t="s">
        <v>202</v>
      </c>
      <c r="D204" s="21" t="s">
        <v>347</v>
      </c>
      <c r="E204" s="13">
        <v>42918.069537037038</v>
      </c>
      <c r="F204" s="13">
        <v>42918.070879629631</v>
      </c>
      <c r="G204" s="7">
        <v>1</v>
      </c>
      <c r="H204" s="21" t="s">
        <v>1000</v>
      </c>
      <c r="I204" s="13">
        <v>42918.079039351855</v>
      </c>
      <c r="J204" s="7">
        <v>0</v>
      </c>
      <c r="K204" s="89" t="str">
        <f t="shared" si="48"/>
        <v>4027/4028</v>
      </c>
      <c r="L204" s="21" t="str">
        <f>VLOOKUP(A204,'Trips&amp;Operators'!$C$1:$G$99999,5,FALSE)</f>
        <v>PERKINS DARREN</v>
      </c>
      <c r="M204" s="6">
        <f t="shared" si="49"/>
        <v>8.1597222233540379E-3</v>
      </c>
      <c r="N204" s="7">
        <f t="shared" si="68"/>
        <v>11.750000001629815</v>
      </c>
      <c r="O204" s="7"/>
      <c r="P204" s="7"/>
      <c r="Q204" s="22"/>
      <c r="R204" s="170"/>
      <c r="S204" s="213">
        <f t="shared" si="69"/>
        <v>1</v>
      </c>
      <c r="T204" s="195" t="str">
        <f t="shared" si="50"/>
        <v>NorthBound</v>
      </c>
      <c r="U204" s="195">
        <f>IF(AG204="EC",COUNTIFS(Variables!$M$2:$M$19,IF(T204="NorthBound","&gt;=","&lt;=")&amp;Y204,Variables!$M$2:$M$19,IF(T204="NorthBound","&lt;=","&gt;=")&amp;Z204),COUNTIFS(Variables!$P$2:$P$19,IF(T204="NorthBound","&gt;=","&lt;=")&amp;Y204,Variables!$P$2:$P$19,IF(T204="NorthBound","&lt;=","&gt;=")&amp;Z204))</f>
        <v>1</v>
      </c>
      <c r="V204" s="196" t="str">
        <f t="shared" si="51"/>
        <v>https://d0f6bd738d7f1b3e5a7ca70fe4ff75f0.us-east-1.aws.found.io/app/kibana#/discover/Steve-Slow-Train-Analysis-(2080s-and-2083s)?_g=(refreshInterval:(display:Off,pause:!f,section:0,value:0),time:(from:'2017-07-02T00:40:08-0600',mode:absolute,to:'2017-07-02T02:53:49-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204" s="197" t="str">
        <f>IF(AA204&lt;VLOOKUP(AG204,Variables!$AC$3:$AD$8,2,FALSE),"Y","N")</f>
        <v>Y</v>
      </c>
      <c r="X204" s="197">
        <f t="shared" si="70"/>
        <v>1</v>
      </c>
      <c r="Y204" s="197">
        <f t="shared" si="53"/>
        <v>4.4600000000000001E-2</v>
      </c>
      <c r="Z204" s="197">
        <f t="shared" si="54"/>
        <v>2.3315999999999999</v>
      </c>
      <c r="AA204" s="197">
        <f t="shared" si="55"/>
        <v>2.2869999999999999</v>
      </c>
      <c r="AB204" s="54" t="e">
        <f>VLOOKUP(A204,Enforcements!$C$7:$K$13,8,0)</f>
        <v>#N/A</v>
      </c>
      <c r="AC204" s="51" t="e">
        <f>VLOOKUP(A204,Enforcements!$C$7:$E$13,3,0)</f>
        <v>#N/A</v>
      </c>
      <c r="AD204" s="206">
        <f t="shared" si="56"/>
        <v>309</v>
      </c>
      <c r="AE204" s="77" t="str">
        <f t="shared" si="57"/>
        <v>aws s3 cp s3://rtdc.mdm.uploadarchive.raw/RTDC4028/ "%USERPROFILE%\AppData\Local\Temp\OnboardLogs"\RTDC4028\2017-07-02 --exclude "*" --recursive --include "*20170702*" &amp; "%USERPROFILE%\Documents\GitHub\mrs-test-scripts\Headless Mode &amp; Sideloading\WalkAndUnGZ.bat" "%USERPROFILE%\AppData\Local\Temp\OnboardLogs"\RTDC4028\2017-07-02 &amp; aws s3 cp s3://rtdc.mdm.uploadarchive.raw/RTDC4028/ "%USERPROFILE%\AppData\Local\Temp\OnboardLogs"\RTDC4028\2017-07-03 --exclude "*" --recursive --include "*20170703*" &amp; "%USERPROFILE%\Documents\GitHub\mrs-test-scripts\Headless Mode &amp; Sideloading\WalkAndUnGZ.bat" "%USERPROFILE%\AppData\Local\Temp\OnboardLogs"\RTDC4028\2017-07-03</v>
      </c>
      <c r="AF204" s="74" t="str">
        <f t="shared" si="58"/>
        <v>"C:\Program Files (x86)\AstroGrep\AstroGrep.exe" /e /r /s /spath="%USERPROFILE%\AppData\Local\Temp\OnboardLogs" /stypes="app*4028*20170702*" /stext=" 07:.+((SYSTEM_STATE.+slice.+state.+changed )|(ment ac)|(multiple cpu faults)|(system.+state.+changed )|(\[timeout)|(PRM\|1\|D)|(kpr)|(kdp)|(train st.+moving)|(\|lc)|(penalty))"</v>
      </c>
      <c r="AG204" s="209" t="str">
        <f t="shared" si="59"/>
        <v>Other</v>
      </c>
      <c r="AH204" s="78" t="str">
        <f t="shared" si="60"/>
        <v>"%USERPROFILE%\Documents\GitHub\eaglep3\Utilities\RefineRTDCRunTimes.py" --tripid 309-01 --locoid 4028 --swversion DE.1.0.9.0 --startMP 204:446 --initTime 2017-07-02T01:40:08 --startdatetime 2017-07-02T01:42:04 --delay 1 --endMP 300:23316 --enddatetime 2017-07-02T01:53:49 --enforcementcount 0 &gt;&gt;C:\Users\stu\Documents\GitHub\eaglep3-reporting\EC\2017-07-01-refined-times.txt</v>
      </c>
      <c r="AI204" s="96" t="str">
        <f t="shared" si="61"/>
        <v>echo {"issue":{"subject":"","project_id":79,"tracker_id":40,"status_id":1,"priority_id":2,"assigned_to_id":23,"start_date":"2017-07-02","description":"","custom_fields":[{"id":1,"name":"Subdivision","value":"Other"},{"id":4,"name":"Milepost","value":"2.3316"},{"id":17,"name":"Train ID","value":"309-01"},{"id":16,"name":"Locomotive ID","value":"4028"},{"id":130,"name":"Impact","value":""},{"id":150,"name":"Time of Event (Mountain Time)","value":"01:53:49"},{"id":151,"name":"Denver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4" s="20"/>
      <c r="AK204" s="47"/>
      <c r="AL204" s="47"/>
      <c r="AM204" s="142" t="str">
        <f t="shared" si="62"/>
        <v>start /low /b %USERPROFILE%\Documents\GitHub\eaglep3\Utilities\DownloadLogsFromS3.py --loco 4028 --day 2017-07-02</v>
      </c>
      <c r="AN204" s="151" t="str">
        <f t="shared" si="63"/>
        <v>echo {"issue":{"subject":"","project_id":30,"tracker_id":4,"status_id":1,"priority_id":1,"assigned_to_id":10,"start_date":"2017-07-02","description":"","custom_fields":[{"id":30,"name":"Category","value":"Issue"},{"id":3,"name":"Functional Component","value":"Onboard"},{"id":31,"name":"Version","value":"N/A"},{"id":8,"name":"Reporting RR","value":"WABTEC"},{"id":27,"name":"Locomotive ID","value":"4028"},{"id":20,"name":"RR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UTC","value":"2017-07-02 07:53:49"},{"id":29,"name":"Sharepoint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4"/>
    </row>
    <row r="205" spans="1:91" x14ac:dyDescent="0.25">
      <c r="A205" s="32" t="s">
        <v>707</v>
      </c>
      <c r="B205" s="7">
        <v>4055</v>
      </c>
      <c r="C205" s="21" t="s">
        <v>202</v>
      </c>
      <c r="D205" s="21" t="s">
        <v>1001</v>
      </c>
      <c r="E205" s="13">
        <v>42917.199247685188</v>
      </c>
      <c r="F205" s="13">
        <v>42917.202337962961</v>
      </c>
      <c r="G205" s="7">
        <v>4</v>
      </c>
      <c r="H205" s="21" t="s">
        <v>614</v>
      </c>
      <c r="I205" s="13">
        <v>42917.212384259263</v>
      </c>
      <c r="J205" s="7">
        <v>0</v>
      </c>
      <c r="K205" s="89" t="str">
        <f t="shared" ref="K205:K218" si="71">IF(ISEVEN(B205),(B205-1)&amp;"/"&amp;B205,B205&amp;"/"&amp;(B205+1))</f>
        <v>4055/4056</v>
      </c>
      <c r="L205" s="21" t="str">
        <f>VLOOKUP(A205,'Trips&amp;Operators'!$C$1:$G$99999,5,FALSE)</f>
        <v>DAVIDSON DAVID</v>
      </c>
      <c r="M205" s="6">
        <f t="shared" ref="M205:M218" si="72">I205-F205</f>
        <v>1.004629630187992E-2</v>
      </c>
      <c r="N205" s="7">
        <f t="shared" si="68"/>
        <v>14.466666674707085</v>
      </c>
      <c r="O205" s="7"/>
      <c r="P205" s="7"/>
      <c r="Q205" s="22"/>
      <c r="R205" s="170"/>
      <c r="S205" s="213">
        <f t="shared" si="69"/>
        <v>1</v>
      </c>
      <c r="T205" s="195" t="str">
        <f t="shared" ref="T205:T218" si="73">IF(ISEVEN(LEFT(AD205,4)),"Southbound","NorthBound")</f>
        <v>Southbound</v>
      </c>
      <c r="U205" s="195">
        <f>IF(AG205="EC",COUNTIFS(Variables!$M$2:$M$19,IF(T205="NorthBound","&gt;=","&lt;=")&amp;Y205,Variables!$M$2:$M$19,IF(T205="NorthBound","&lt;=","&gt;=")&amp;Z205),COUNTIFS(Variables!$P$2:$P$19,IF(T205="NorthBound","&gt;=","&lt;=")&amp;Y205,Variables!$P$2:$P$19,IF(T205="NorthBound","&lt;=","&gt;=")&amp;Z205))</f>
        <v>1</v>
      </c>
      <c r="V205" s="196" t="str">
        <f t="shared" ref="V205:V218" si="74">"https://d0f6bd738d7f1b3e5a7ca70fe4ff75f0.us-east-1.aws.found.io/app/kibana#/discover/Steve-Slow-Train-Analysis-(2080s-and-2083s)?_g="&amp;"(refreshInterval:(display:Off,pause:!f,section:0,value:0),time:(from:'"&amp;TEXT(E205-1/24,"yyyy-MM-DDThh:mm:ss")&amp;utc_offset&amp;"00"&amp;"',mode:absolute,to:'"&amp;TEXT(I205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205&amp;"%22')),sort:!(Time.ISO8601,asc))"</f>
        <v>https://d0f6bd738d7f1b3e5a7ca70fe4ff75f0.us-east-1.aws.found.io/app/kibana#/discover/Steve-Slow-Train-Analysis-(2080s-and-2083s)?_g=(refreshInterval:(display:Off,pause:!f,section:0,value:0),time:(from:'2017-07-01T03:46:55-0600',mode:absolute,to:'2017-07-01T06:05:50-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4055%22')),sort:!(Time.ISO8601,asc))</v>
      </c>
      <c r="W205" s="197" t="str">
        <f>IF(AA205&lt;VLOOKUP(AG205,Variables!$AC$3:$AD$8,2,FALSE),"Y","N")</f>
        <v>Y</v>
      </c>
      <c r="X205" s="197">
        <f t="shared" si="70"/>
        <v>1</v>
      </c>
      <c r="Y205" s="197">
        <f t="shared" ref="Y205:Y218" si="75">RIGHT(D205,LEN(D205)-4)/10000</f>
        <v>2.3340999999999998</v>
      </c>
      <c r="Z205" s="197">
        <f t="shared" ref="Z205:Z218" si="76">RIGHT(H205,LEN(H205)-4)/10000</f>
        <v>1.6E-2</v>
      </c>
      <c r="AA205" s="197">
        <f t="shared" ref="AA205:AA218" si="77">ABS(Z205-Y205)</f>
        <v>2.3180999999999998</v>
      </c>
      <c r="AB205" s="54" t="e">
        <f>VLOOKUP(A205,Enforcements!$C$7:$K$13,8,0)</f>
        <v>#N/A</v>
      </c>
      <c r="AC205" s="51" t="e">
        <f>VLOOKUP(A205,Enforcements!$C$7:$E$13,3,0)</f>
        <v>#N/A</v>
      </c>
      <c r="AD205" s="206">
        <f t="shared" ref="AD205:AD218" si="78">VALUE(LEFT(A205,LEN(A205)-3))</f>
        <v>310</v>
      </c>
      <c r="AE205" s="77" t="str">
        <f t="shared" ref="AE205:AE218" si="79">"aws s3 cp "&amp;s3_bucket&amp;"/RTDC"&amp;B205&amp;"/ "&amp;search_path&amp;"\RTDC"&amp;B205&amp;"\"&amp;TEXT(F205,"YYYY-MM-DD")&amp;" --exclude ""*"" --recursive --include ""*"&amp;TEXT(F205,"YYYYMMDD")&amp;"*"" &amp; """&amp;walkandungz&amp;""" "&amp;search_path&amp;"\RTDC"&amp;B205&amp;"\"&amp;TEXT(F205,"YYYY-MM-DD")
&amp;" &amp; "&amp;"aws s3 cp "&amp;s3_bucket&amp;"/RTDC"&amp;B205&amp;"/ "&amp;search_path&amp;"\RTDC"&amp;B205&amp;"\"&amp;TEXT(F205+1,"YYYY-MM-DD")&amp;" --exclude ""*"" --recursive --include ""*"&amp;TEXT(F205+1,"YYYYMMDD")&amp;"*"" &amp; """&amp;walkandungz&amp;""" "&amp;search_path&amp;"\RTDC"&amp;B205&amp;"\"&amp;TEXT(F205+1,"YYYY-MM-DD")</f>
        <v>aws s3 cp s3://rtdc.mdm.uploadarchive.raw/RTDC4055/ "%USERPROFILE%\AppData\Local\Temp\OnboardLogs"\RTDC4055\2017-07-01 --exclude "*" --recursive --include "*20170701*" &amp; "%USERPROFILE%\Documents\GitHub\mrs-test-scripts\Headless Mode &amp; Sideloading\WalkAndUnGZ.bat" "%USERPROFILE%\AppData\Local\Temp\OnboardLogs"\RTDC4055\2017-07-01 &amp; aws s3 cp s3://rtdc.mdm.uploadarchive.raw/RTDC4055/ "%USERPROFILE%\AppData\Local\Temp\OnboardLogs"\RTDC4055\2017-07-02 --exclude "*" --recursive --include "*20170702*" &amp; "%USERPROFILE%\Documents\GitHub\mrs-test-scripts\Headless Mode &amp; Sideloading\WalkAndUnGZ.bat" "%USERPROFILE%\AppData\Local\Temp\OnboardLogs"\RTDC4055\2017-07-02</v>
      </c>
      <c r="AF205" s="74" t="str">
        <f t="shared" ref="AF205:AF218" si="80">astrogrep_path&amp;" /e /r /s /spath="&amp;search_path&amp;" /stypes=""app*"&amp;B205&amp;"*"&amp;TEXT(I205-utc_offset/24,"YYYYMMDD")&amp;"*"" /stext="" "&amp;TEXT(I205-utc_offset/24,"HH")&amp;search_regexp&amp;""""</f>
        <v>"C:\Program Files (x86)\AstroGrep\AstroGrep.exe" /e /r /s /spath="%USERPROFILE%\AppData\Local\Temp\OnboardLogs" /stypes="app*4055*20170701*" /stext=" 11:.+((SYSTEM_STATE.+slice.+state.+changed )|(ment ac)|(multiple cpu faults)|(system.+state.+changed )|(\[timeout)|(PRM\|1\|D)|(kpr)|(kdp)|(train st.+moving)|(\|lc)|(penalty))"</v>
      </c>
      <c r="AG205" s="209" t="str">
        <f t="shared" ref="AG205:AG218" si="81">DetSubdiv(A205)</f>
        <v>Other</v>
      </c>
      <c r="AH205" s="78" t="str">
        <f t="shared" ref="AH205:AH218" si="82">refinertdcruntimes&amp;" --tripid "&amp;A205&amp;" --locoid "&amp;B205&amp;" --swversion "&amp;C205&amp;" --startMP "&amp;D205&amp;" --initTime "&amp;TEXT(E205,"yyyy-mm-ddTHH:MM:SS")&amp;" --startdatetime "&amp;TEXT(F205,"yyyy-mm-ddTHH:MM:SS")&amp;" --delay "&amp;G205&amp;" --endMP "&amp;H205&amp;" --enddatetime "&amp;TEXT(I205,"yyyy-mm-ddTHH:MM:SS")&amp;" --enforcementcount "&amp;J205&amp;IF(outputrefinedruntimes," &gt;&gt;"&amp;RefinedRTDCRunTimesOutputFile,"")</f>
        <v>"%USERPROFILE%\Documents\GitHub\eaglep3\Utilities\RefineRTDCRunTimes.py" --tripid 310-01 --locoid 4055 --swversion DE.1.0.9.0 --startMP 300:23341 --initTime 2017-07-01T04:46:55 --startdatetime 2017-07-01T04:51:22 --delay 4 --endMP 204:160 --enddatetime 2017-07-01T05:05:50 --enforcementcount 0 &gt;&gt;C:\Users\stu\Documents\GitHub\eaglep3-reporting\EC\2017-07-01-refined-times.txt</v>
      </c>
      <c r="AI205" s="96" t="str">
        <f t="shared" ref="AI205:AI218" si="83">"echo {""issue"":{""subject"":"""&amp;R205&amp;""",""project_id"":79,""tracker_id"":40,""status_id"":"&amp;redmine_status&amp;",""priority_id"":"&amp;redmine_priority&amp;",""assigned_to_id"":"&amp;redmine_assignee&amp;",""start_date"":"""&amp;TEXT(I205,"YYYY-mm-dd")&amp;""",""description"":"""&amp;AJ205&amp;""",""custom_fields"":[{""id"":1,""name"":""Subdivision"",""value"":"""&amp;AG205&amp;"""},{""id"":4,""name"":""Milepost"",""value"":"""&amp;Z205&amp;"""},{""id"":17,""name"":""Train ID"",""value"":"""&amp;A205&amp;"""},{""id"":16,""name"":""Locomotive ID"",""value"":"""&amp;B205&amp;"""},{""id"":130,""name"":""Impact"",""value"":"""&amp;AK205&amp;"""},{""id"":150,""name"":""Time of Event (Mountain Time)"",""value"":"""&amp;TEXT(I205,"hh:mm:ss")&amp;"""},{""id"":151,""name"":""Denver Issue ID"",""value"":"""&amp;"""},{""id"":178,""name"":""Operational Impact"",""value"":"""&amp;redmine_op_impact&amp;"""},{""id"":179,""name"":""Denver Segment Assigned"",""value"":"""&amp;AL205&amp;"""}]}}"&amp;"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{"issue":{"subject":"","project_id":79,"tracker_id":40,"status_id":1,"priority_id":2,"assigned_to_id":23,"start_date":"2017-07-01","description":"","custom_fields":[{"id":1,"name":"Subdivision","value":"Other"},{"id":4,"name":"Milepost","value":"0.016"},{"id":17,"name":"Train ID","value":"310-01"},{"id":16,"name":"Locomotive ID","value":"4055"},{"id":130,"name":"Impact","value":""},{"id":150,"name":"Time of Event (Mountain Time)","value":"05:05:50"},{"id":151,"name":"Denver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5" s="20"/>
      <c r="AK205" s="47"/>
      <c r="AL205" s="47"/>
      <c r="AM205" s="142" t="str">
        <f t="shared" ref="AM205:AM218" si="84">"start /low /b "&amp;dls3logs&amp;" --loco "&amp;B205&amp;" --day "&amp;TEXT(F205,"YYYY-MM-DD")</f>
        <v>start /low /b %USERPROFILE%\Documents\GitHub\eaglep3\Utilities\DownloadLogsFromS3.py --loco 4055 --day 2017-07-01</v>
      </c>
      <c r="AN205" s="151" t="str">
        <f t="shared" ref="AN205:AN218" si="85">"echo {""issue"":{""subject"":"""&amp;R205&amp;""",""project_id"":30,""tracker_id"":4,""status_id"":"&amp;redmine_status_wcr&amp;",""priority_id"":"&amp;redmine_priority_wcr&amp;",""assigned_to_id"":"&amp;redmine_assignee_wcr&amp;",""start_date"":"""&amp;TEXT(I205-utc_offset/24,"YYYY-mm-dd")&amp;""",""description"":"""&amp;AJ205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ID"",""value"":"""&amp;B205&amp;"""},{""id"":20,""name"":""RR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UTC"",""value"":"""&amp;TEXT(I205-utc_offset/24,"YYYY-MM-DD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{"issue":{"subject":"","project_id":30,"tracker_id":4,"status_id":1,"priority_id":1,"assigned_to_id":10,"start_date":"2017-07-01","description":"","custom_fields":[{"id":30,"name":"Category","value":"Issue"},{"id":3,"name":"Functional Component","value":"Onboard"},{"id":31,"name":"Version","value":"N/A"},{"id":8,"name":"Reporting RR","value":"WABTEC"},{"id":27,"name":"Locomotive ID","value":"4055"},{"id":20,"name":"RR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UTC","value":"2017-07-01 11:05:50"},{"id":29,"name":"Sharepoint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5"/>
    </row>
    <row r="206" spans="1:91" x14ac:dyDescent="0.25">
      <c r="A206" s="32" t="s">
        <v>873</v>
      </c>
      <c r="B206" s="7">
        <v>4014</v>
      </c>
      <c r="C206" s="21" t="s">
        <v>202</v>
      </c>
      <c r="D206" s="21" t="s">
        <v>198</v>
      </c>
      <c r="E206" s="13">
        <v>42918.091168981482</v>
      </c>
      <c r="F206" s="13">
        <v>42918.092187499999</v>
      </c>
      <c r="G206" s="7">
        <v>1</v>
      </c>
      <c r="H206" s="21" t="s">
        <v>1002</v>
      </c>
      <c r="I206" s="13">
        <v>42918.101446759261</v>
      </c>
      <c r="J206" s="7">
        <v>0</v>
      </c>
      <c r="K206" s="89" t="str">
        <f t="shared" si="71"/>
        <v>4013/4014</v>
      </c>
      <c r="L206" s="21" t="str">
        <f>VLOOKUP(A206,'Trips&amp;Operators'!$C$1:$G$99999,5,FALSE)</f>
        <v>FORTUNATO FRANK</v>
      </c>
      <c r="M206" s="6">
        <f t="shared" si="72"/>
        <v>9.2592592627624981E-3</v>
      </c>
      <c r="N206" s="7">
        <f t="shared" si="68"/>
        <v>13.333333338377997</v>
      </c>
      <c r="O206" s="7"/>
      <c r="P206" s="7"/>
      <c r="Q206" s="22"/>
      <c r="R206" s="170"/>
      <c r="S206" s="213">
        <f t="shared" si="69"/>
        <v>1</v>
      </c>
      <c r="T206" s="195" t="str">
        <f t="shared" si="73"/>
        <v>NorthBound</v>
      </c>
      <c r="U206" s="195">
        <f>IF(AG206="EC",COUNTIFS(Variables!$M$2:$M$19,IF(T206="NorthBound","&gt;=","&lt;=")&amp;Y206,Variables!$M$2:$M$19,IF(T206="NorthBound","&lt;=","&gt;=")&amp;Z206),COUNTIFS(Variables!$P$2:$P$19,IF(T206="NorthBound","&gt;=","&lt;=")&amp;Y206,Variables!$P$2:$P$19,IF(T206="NorthBound","&lt;=","&gt;=")&amp;Z206))</f>
        <v>1</v>
      </c>
      <c r="V206" s="196" t="str">
        <f t="shared" si="74"/>
        <v>https://d0f6bd738d7f1b3e5a7ca70fe4ff75f0.us-east-1.aws.found.io/app/kibana#/discover/Steve-Slow-Train-Analysis-(2080s-and-2083s)?_g=(refreshInterval:(display:Off,pause:!f,section:0,value:0),time:(from:'2017-07-02T01:11:17-0600',mode:absolute,to:'2017-07-02T03:26:05-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206" s="197" t="str">
        <f>IF(AA206&lt;VLOOKUP(AG206,Variables!$AC$3:$AD$8,2,FALSE),"Y","N")</f>
        <v>Y</v>
      </c>
      <c r="X206" s="197">
        <f t="shared" si="70"/>
        <v>1</v>
      </c>
      <c r="Y206" s="197">
        <f t="shared" si="75"/>
        <v>4.5699999999999998E-2</v>
      </c>
      <c r="Z206" s="197">
        <f t="shared" si="76"/>
        <v>2.3298999999999999</v>
      </c>
      <c r="AA206" s="197">
        <f t="shared" si="77"/>
        <v>2.2841999999999998</v>
      </c>
      <c r="AB206" s="54" t="e">
        <f>VLOOKUP(A206,Enforcements!$C$7:$K$13,8,0)</f>
        <v>#N/A</v>
      </c>
      <c r="AC206" s="51" t="e">
        <f>VLOOKUP(A206,Enforcements!$C$7:$E$13,3,0)</f>
        <v>#N/A</v>
      </c>
      <c r="AD206" s="206">
        <f t="shared" si="78"/>
        <v>311</v>
      </c>
      <c r="AE206" s="77" t="str">
        <f t="shared" si="79"/>
        <v>aws s3 cp s3://rtdc.mdm.uploadarchive.raw/RTDC4014/ "%USERPROFILE%\AppData\Local\Temp\OnboardLogs"\RTDC4014\2017-07-02 --exclude "*" --recursive --include "*20170702*" &amp; "%USERPROFILE%\Documents\GitHub\mrs-test-scripts\Headless Mode &amp; Sideloading\WalkAndUnGZ.bat" "%USERPROFILE%\AppData\Local\Temp\OnboardLogs"\RTDC4014\2017-07-02 &amp; aws s3 cp s3://rtdc.mdm.uploadarchive.raw/RTDC4014/ "%USERPROFILE%\AppData\Local\Temp\OnboardLogs"\RTDC4014\2017-07-03 --exclude "*" --recursive --include "*20170703*" &amp; "%USERPROFILE%\Documents\GitHub\mrs-test-scripts\Headless Mode &amp; Sideloading\WalkAndUnGZ.bat" "%USERPROFILE%\AppData\Local\Temp\OnboardLogs"\RTDC4014\2017-07-03</v>
      </c>
      <c r="AF206" s="74" t="str">
        <f t="shared" si="80"/>
        <v>"C:\Program Files (x86)\AstroGrep\AstroGrep.exe" /e /r /s /spath="%USERPROFILE%\AppData\Local\Temp\OnboardLogs" /stypes="app*4014*20170702*" /stext=" 08:.+((SYSTEM_STATE.+slice.+state.+changed )|(ment ac)|(multiple cpu faults)|(system.+state.+changed )|(\[timeout)|(PRM\|1\|D)|(kpr)|(kdp)|(train st.+moving)|(\|lc)|(penalty))"</v>
      </c>
      <c r="AG206" s="209" t="str">
        <f t="shared" si="81"/>
        <v>Other</v>
      </c>
      <c r="AH206" s="78" t="str">
        <f t="shared" si="82"/>
        <v>"%USERPROFILE%\Documents\GitHub\eaglep3\Utilities\RefineRTDCRunTimes.py" --tripid 311-01 --locoid 4014 --swversion DE.1.0.9.0 --startMP 204:457 --initTime 2017-07-02T02:11:17 --startdatetime 2017-07-02T02:12:45 --delay 1 --endMP 300:23299 --enddatetime 2017-07-02T02:26:05 --enforcementcount 0 &gt;&gt;C:\Users\stu\Documents\GitHub\eaglep3-reporting\EC\2017-07-01-refined-times.txt</v>
      </c>
      <c r="AI206" s="96" t="str">
        <f t="shared" si="83"/>
        <v>echo {"issue":{"subject":"","project_id":79,"tracker_id":40,"status_id":1,"priority_id":2,"assigned_to_id":23,"start_date":"2017-07-02","description":"","custom_fields":[{"id":1,"name":"Subdivision","value":"Other"},{"id":4,"name":"Milepost","value":"2.3299"},{"id":17,"name":"Train ID","value":"311-01"},{"id":16,"name":"Locomotive ID","value":"4014"},{"id":130,"name":"Impact","value":""},{"id":150,"name":"Time of Event (Mountain Time)","value":"02:26:05"},{"id":151,"name":"Denver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6" s="20"/>
      <c r="AK206" s="47"/>
      <c r="AL206" s="47"/>
      <c r="AM206" s="142" t="str">
        <f t="shared" si="84"/>
        <v>start /low /b %USERPROFILE%\Documents\GitHub\eaglep3\Utilities\DownloadLogsFromS3.py --loco 4014 --day 2017-07-02</v>
      </c>
      <c r="AN206" s="151" t="str">
        <f t="shared" si="85"/>
        <v>echo {"issue":{"subject":"","project_id":30,"tracker_id":4,"status_id":1,"priority_id":1,"assigned_to_id":10,"start_date":"2017-07-02","description":"","custom_fields":[{"id":30,"name":"Category","value":"Issue"},{"id":3,"name":"Functional Component","value":"Onboard"},{"id":31,"name":"Version","value":"N/A"},{"id":8,"name":"Reporting RR","value":"WABTEC"},{"id":27,"name":"Locomotive ID","value":"4014"},{"id":20,"name":"RR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UTC","value":"2017-07-02 08:26:05"},{"id":29,"name":"Sharepoint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6"/>
    </row>
    <row r="207" spans="1:91" x14ac:dyDescent="0.25">
      <c r="A207" s="32" t="s">
        <v>687</v>
      </c>
      <c r="B207" s="7">
        <v>4002</v>
      </c>
      <c r="C207" s="21" t="s">
        <v>202</v>
      </c>
      <c r="D207" s="21" t="s">
        <v>343</v>
      </c>
      <c r="E207" s="13">
        <v>42917.090254629627</v>
      </c>
      <c r="F207" s="13">
        <v>42917.09175925926</v>
      </c>
      <c r="G207" s="7">
        <v>1</v>
      </c>
      <c r="H207" s="21" t="s">
        <v>1003</v>
      </c>
      <c r="I207" s="13">
        <v>42917.099803240744</v>
      </c>
      <c r="J207" s="7">
        <v>0</v>
      </c>
      <c r="K207" s="89" t="str">
        <f t="shared" si="71"/>
        <v>4001/4002</v>
      </c>
      <c r="L207" s="21" t="str">
        <f>VLOOKUP(A207,'Trips&amp;Operators'!$C$1:$G$99999,5,FALSE)</f>
        <v>FORTUNATO FRANK</v>
      </c>
      <c r="M207" s="6">
        <f t="shared" si="72"/>
        <v>8.0439814846613444E-3</v>
      </c>
      <c r="N207" s="7">
        <f t="shared" si="68"/>
        <v>11.583333337912336</v>
      </c>
      <c r="O207" s="7"/>
      <c r="P207" s="7"/>
      <c r="Q207" s="22"/>
      <c r="R207" s="170"/>
      <c r="S207" s="213">
        <f t="shared" si="69"/>
        <v>1</v>
      </c>
      <c r="T207" s="195" t="str">
        <f t="shared" si="73"/>
        <v>NorthBound</v>
      </c>
      <c r="U207" s="195">
        <f>IF(AG207="EC",COUNTIFS(Variables!$M$2:$M$19,IF(T207="NorthBound","&gt;=","&lt;=")&amp;Y207,Variables!$M$2:$M$19,IF(T207="NorthBound","&lt;=","&gt;=")&amp;Z207),COUNTIFS(Variables!$P$2:$P$19,IF(T207="NorthBound","&gt;=","&lt;=")&amp;Y207,Variables!$P$2:$P$19,IF(T207="NorthBound","&lt;=","&gt;=")&amp;Z207))</f>
        <v>1</v>
      </c>
      <c r="V207" s="196" t="str">
        <f t="shared" si="74"/>
        <v>https://d0f6bd738d7f1b3e5a7ca70fe4ff75f0.us-east-1.aws.found.io/app/kibana#/discover/Steve-Slow-Train-Analysis-(2080s-and-2083s)?_g=(refreshInterval:(display:Off,pause:!f,section:0,value:0),time:(from:'2017-07-01T01:09:58-0600',mode:absolute,to:'2017-07-01T03:23:43-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207" s="197" t="str">
        <f>IF(AA207&lt;VLOOKUP(AG207,Variables!$AC$3:$AD$8,2,FALSE),"Y","N")</f>
        <v>Y</v>
      </c>
      <c r="X207" s="197">
        <f t="shared" si="70"/>
        <v>0</v>
      </c>
      <c r="Y207" s="197">
        <f t="shared" si="75"/>
        <v>4.4900000000000002E-2</v>
      </c>
      <c r="Z207" s="197">
        <f t="shared" si="76"/>
        <v>2.3294999999999999</v>
      </c>
      <c r="AA207" s="197">
        <f t="shared" si="77"/>
        <v>2.2845999999999997</v>
      </c>
      <c r="AB207" s="54" t="e">
        <f>VLOOKUP(A207,Enforcements!$C$7:$K$13,8,0)</f>
        <v>#N/A</v>
      </c>
      <c r="AC207" s="51" t="e">
        <f>VLOOKUP(A207,Enforcements!$C$7:$E$13,3,0)</f>
        <v>#N/A</v>
      </c>
      <c r="AD207" s="206">
        <f t="shared" si="78"/>
        <v>311</v>
      </c>
      <c r="AE207" s="77" t="str">
        <f t="shared" si="79"/>
        <v>aws s3 cp s3://rtdc.mdm.uploadarchive.raw/RTDC4002/ "%USERPROFILE%\AppData\Local\Temp\OnboardLogs"\RTDC4002\2017-07-01 --exclude "*" --recursive --include "*20170701*" &amp; "%USERPROFILE%\Documents\GitHub\mrs-test-scripts\Headless Mode &amp; Sideloading\WalkAndUnGZ.bat" "%USERPROFILE%\AppData\Local\Temp\OnboardLogs"\RTDC4002\2017-07-01 &amp; aws s3 cp s3://rtdc.mdm.uploadarchive.raw/RTDC4002/ "%USERPROFILE%\AppData\Local\Temp\OnboardLogs"\RTDC4002\2017-07-02 --exclude "*" --recursive --include "*20170702*" &amp; "%USERPROFILE%\Documents\GitHub\mrs-test-scripts\Headless Mode &amp; Sideloading\WalkAndUnGZ.bat" "%USERPROFILE%\AppData\Local\Temp\OnboardLogs"\RTDC4002\2017-07-02</v>
      </c>
      <c r="AF207" s="74" t="str">
        <f t="shared" si="80"/>
        <v>"C:\Program Files (x86)\AstroGrep\AstroGrep.exe" /e /r /s /spath="%USERPROFILE%\AppData\Local\Temp\OnboardLogs" /stypes="app*4002*20170701*" /stext=" 08:.+((SYSTEM_STATE.+slice.+state.+changed )|(ment ac)|(multiple cpu faults)|(system.+state.+changed )|(\[timeout)|(PRM\|1\|D)|(kpr)|(kdp)|(train st.+moving)|(\|lc)|(penalty))"</v>
      </c>
      <c r="AG207" s="209" t="str">
        <f t="shared" si="81"/>
        <v>Other</v>
      </c>
      <c r="AH207" s="78" t="str">
        <f t="shared" si="82"/>
        <v>"%USERPROFILE%\Documents\GitHub\eaglep3\Utilities\RefineRTDCRunTimes.py" --tripid 311-30 --locoid 4002 --swversion DE.1.0.9.0 --startMP 204:449 --initTime 2017-07-01T02:09:58 --startdatetime 2017-07-01T02:12:08 --delay 1 --endMP 300:23295 --enddatetime 2017-07-01T02:23:43 --enforcementcount 0 &gt;&gt;C:\Users\stu\Documents\GitHub\eaglep3-reporting\EC\2017-07-01-refined-times.txt</v>
      </c>
      <c r="AI207" s="96" t="str">
        <f t="shared" si="83"/>
        <v>echo {"issue":{"subject":"","project_id":79,"tracker_id":40,"status_id":1,"priority_id":2,"assigned_to_id":23,"start_date":"2017-07-01","description":"","custom_fields":[{"id":1,"name":"Subdivision","value":"Other"},{"id":4,"name":"Milepost","value":"2.3295"},{"id":17,"name":"Train ID","value":"311-30"},{"id":16,"name":"Locomotive ID","value":"4002"},{"id":130,"name":"Impact","value":""},{"id":150,"name":"Time of Event (Mountain Time)","value":"02:23:43"},{"id":151,"name":"Denver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7" s="20"/>
      <c r="AK207" s="47"/>
      <c r="AL207" s="47"/>
      <c r="AM207" s="142" t="str">
        <f t="shared" si="84"/>
        <v>start /low /b %USERPROFILE%\Documents\GitHub\eaglep3\Utilities\DownloadLogsFromS3.py --loco 4002 --day 2017-07-01</v>
      </c>
      <c r="AN207" s="151" t="str">
        <f t="shared" si="85"/>
        <v>echo {"issue":{"subject":"","project_id":30,"tracker_id":4,"status_id":1,"priority_id":1,"assigned_to_id":10,"start_date":"2017-07-01","description":"","custom_fields":[{"id":30,"name":"Category","value":"Issue"},{"id":3,"name":"Functional Component","value":"Onboard"},{"id":31,"name":"Version","value":"N/A"},{"id":8,"name":"Reporting RR","value":"WABTEC"},{"id":27,"name":"Locomotive ID","value":"4002"},{"id":20,"name":"RR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UTC","value":"2017-07-01 08:23:43"},{"id":29,"name":"Sharepoint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7"/>
    </row>
    <row r="208" spans="1:91" x14ac:dyDescent="0.25">
      <c r="A208" s="32" t="s">
        <v>713</v>
      </c>
      <c r="B208" s="7">
        <v>4029</v>
      </c>
      <c r="C208" s="21" t="s">
        <v>202</v>
      </c>
      <c r="D208" s="21" t="s">
        <v>1004</v>
      </c>
      <c r="E208" s="13">
        <v>42917.22084490741</v>
      </c>
      <c r="F208" s="13">
        <v>42917.225092592591</v>
      </c>
      <c r="G208" s="7">
        <v>6</v>
      </c>
      <c r="H208" s="21" t="s">
        <v>359</v>
      </c>
      <c r="I208" s="13">
        <v>42917.232893518521</v>
      </c>
      <c r="J208" s="7">
        <v>0</v>
      </c>
      <c r="K208" s="89" t="str">
        <f t="shared" si="71"/>
        <v>4029/4030</v>
      </c>
      <c r="L208" s="21" t="str">
        <f>VLOOKUP(A208,'Trips&amp;Operators'!$C$1:$G$99999,5,FALSE)</f>
        <v>GUZMAN DANNY</v>
      </c>
      <c r="M208" s="6">
        <f t="shared" si="72"/>
        <v>7.8009259304963052E-3</v>
      </c>
      <c r="N208" s="7">
        <f t="shared" si="68"/>
        <v>11.23333333991468</v>
      </c>
      <c r="O208" s="7"/>
      <c r="P208" s="7"/>
      <c r="Q208" s="22"/>
      <c r="R208" s="170"/>
      <c r="S208" s="213">
        <f t="shared" si="69"/>
        <v>1</v>
      </c>
      <c r="T208" s="195" t="str">
        <f t="shared" si="73"/>
        <v>Southbound</v>
      </c>
      <c r="U208" s="195">
        <f>IF(AG208="EC",COUNTIFS(Variables!$M$2:$M$19,IF(T208="NorthBound","&gt;=","&lt;=")&amp;Y208,Variables!$M$2:$M$19,IF(T208="NorthBound","&lt;=","&gt;=")&amp;Z208),COUNTIFS(Variables!$P$2:$P$19,IF(T208="NorthBound","&gt;=","&lt;=")&amp;Y208,Variables!$P$2:$P$19,IF(T208="NorthBound","&lt;=","&gt;=")&amp;Z208))</f>
        <v>1</v>
      </c>
      <c r="V208" s="196" t="str">
        <f t="shared" si="74"/>
        <v>https://d0f6bd738d7f1b3e5a7ca70fe4ff75f0.us-east-1.aws.found.io/app/kibana#/discover/Steve-Slow-Train-Analysis-(2080s-and-2083s)?_g=(refreshInterval:(display:Off,pause:!f,section:0,value:0),time:(from:'2017-07-01T04:18:01-0600',mode:absolute,to:'2017-07-01T06:35:22-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208" s="197" t="str">
        <f>IF(AA208&lt;VLOOKUP(AG208,Variables!$AC$3:$AD$8,2,FALSE),"Y","N")</f>
        <v>Y</v>
      </c>
      <c r="X208" s="197">
        <f t="shared" si="70"/>
        <v>1</v>
      </c>
      <c r="Y208" s="197">
        <f t="shared" si="75"/>
        <v>2.3456999999999999</v>
      </c>
      <c r="Z208" s="197">
        <f t="shared" si="76"/>
        <v>1.47E-2</v>
      </c>
      <c r="AA208" s="197">
        <f t="shared" si="77"/>
        <v>2.331</v>
      </c>
      <c r="AB208" s="54" t="e">
        <f>VLOOKUP(A208,Enforcements!$C$7:$K$13,8,0)</f>
        <v>#N/A</v>
      </c>
      <c r="AC208" s="51" t="e">
        <f>VLOOKUP(A208,Enforcements!$C$7:$E$13,3,0)</f>
        <v>#N/A</v>
      </c>
      <c r="AD208" s="206">
        <f t="shared" si="78"/>
        <v>312</v>
      </c>
      <c r="AE208" s="77" t="str">
        <f t="shared" si="79"/>
        <v>aws s3 cp s3://rtdc.mdm.uploadarchive.raw/RTDC4029/ "%USERPROFILE%\AppData\Local\Temp\OnboardLogs"\RTDC4029\2017-07-01 --exclude "*" --recursive --include "*20170701*" &amp; "%USERPROFILE%\Documents\GitHub\mrs-test-scripts\Headless Mode &amp; Sideloading\WalkAndUnGZ.bat" "%USERPROFILE%\AppData\Local\Temp\OnboardLogs"\RTDC4029\2017-07-01 &amp; aws s3 cp s3://rtdc.mdm.uploadarchive.raw/RTDC4029/ "%USERPROFILE%\AppData\Local\Temp\OnboardLogs"\RTDC4029\2017-07-02 --exclude "*" --recursive --include "*20170702*" &amp; "%USERPROFILE%\Documents\GitHub\mrs-test-scripts\Headless Mode &amp; Sideloading\WalkAndUnGZ.bat" "%USERPROFILE%\AppData\Local\Temp\OnboardLogs"\RTDC4029\2017-07-02</v>
      </c>
      <c r="AF208" s="74" t="str">
        <f t="shared" si="80"/>
        <v>"C:\Program Files (x86)\AstroGrep\AstroGrep.exe" /e /r /s /spath="%USERPROFILE%\AppData\Local\Temp\OnboardLogs" /stypes="app*4029*20170701*" /stext=" 11:.+((SYSTEM_STATE.+slice.+state.+changed )|(ment ac)|(multiple cpu faults)|(system.+state.+changed )|(\[timeout)|(PRM\|1\|D)|(kpr)|(kdp)|(train st.+moving)|(\|lc)|(penalty))"</v>
      </c>
      <c r="AG208" s="209" t="str">
        <f t="shared" si="81"/>
        <v>Other</v>
      </c>
      <c r="AH208" s="78" t="str">
        <f t="shared" si="82"/>
        <v>"%USERPROFILE%\Documents\GitHub\eaglep3\Utilities\RefineRTDCRunTimes.py" --tripid 312-01 --locoid 4029 --swversion DE.1.0.9.0 --startMP 300:23457 --initTime 2017-07-01T05:18:01 --startdatetime 2017-07-01T05:24:08 --delay 6 --endMP 204:147 --enddatetime 2017-07-01T05:35:22 --enforcementcount 0 &gt;&gt;C:\Users\stu\Documents\GitHub\eaglep3-reporting\EC\2017-07-01-refined-times.txt</v>
      </c>
      <c r="AI208" s="96" t="str">
        <f t="shared" si="83"/>
        <v>echo {"issue":{"subject":"","project_id":79,"tracker_id":40,"status_id":1,"priority_id":2,"assigned_to_id":23,"start_date":"2017-07-01","description":"","custom_fields":[{"id":1,"name":"Subdivision","value":"Other"},{"id":4,"name":"Milepost","value":"0.0147"},{"id":17,"name":"Train ID","value":"312-01"},{"id":16,"name":"Locomotive ID","value":"4029"},{"id":130,"name":"Impact","value":""},{"id":150,"name":"Time of Event (Mountain Time)","value":"05:35:22"},{"id":151,"name":"Denver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8" s="20"/>
      <c r="AK208" s="47"/>
      <c r="AL208" s="47"/>
      <c r="AM208" s="142" t="str">
        <f t="shared" si="84"/>
        <v>start /low /b %USERPROFILE%\Documents\GitHub\eaglep3\Utilities\DownloadLogsFromS3.py --loco 4029 --day 2017-07-01</v>
      </c>
      <c r="AN208" s="151" t="str">
        <f t="shared" si="85"/>
        <v>echo {"issue":{"subject":"","project_id":30,"tracker_id":4,"status_id":1,"priority_id":1,"assigned_to_id":10,"start_date":"2017-07-01","description":"","custom_fields":[{"id":30,"name":"Category","value":"Issue"},{"id":3,"name":"Functional Component","value":"Onboard"},{"id":31,"name":"Version","value":"N/A"},{"id":8,"name":"Reporting RR","value":"WABTEC"},{"id":27,"name":"Locomotive ID","value":"4029"},{"id":20,"name":"RR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UTC","value":"2017-07-01 11:35:22"},{"id":29,"name":"Sharepoint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8"/>
    </row>
    <row r="209" spans="1:91" x14ac:dyDescent="0.25">
      <c r="A209" s="32" t="s">
        <v>874</v>
      </c>
      <c r="B209" s="7">
        <v>4008</v>
      </c>
      <c r="C209" s="21" t="s">
        <v>202</v>
      </c>
      <c r="D209" s="21" t="s">
        <v>611</v>
      </c>
      <c r="E209" s="13">
        <v>42918.111840277779</v>
      </c>
      <c r="F209" s="13">
        <v>42918.114895833336</v>
      </c>
      <c r="G209" s="7">
        <v>1</v>
      </c>
      <c r="H209" s="21" t="s">
        <v>353</v>
      </c>
      <c r="I209" s="13">
        <v>42918.123090277775</v>
      </c>
      <c r="J209" s="7">
        <v>0</v>
      </c>
      <c r="K209" s="89" t="str">
        <f t="shared" si="71"/>
        <v>4007/4008</v>
      </c>
      <c r="L209" s="21" t="str">
        <f>VLOOKUP(A209,'Trips&amp;Operators'!$C$1:$G$99999,5,FALSE)</f>
        <v>LAMAR NEKESHA</v>
      </c>
      <c r="M209" s="6">
        <f t="shared" si="72"/>
        <v>8.1944444391410798E-3</v>
      </c>
      <c r="N209" s="7">
        <f t="shared" si="68"/>
        <v>11.799999992363155</v>
      </c>
      <c r="O209" s="7"/>
      <c r="P209" s="7"/>
      <c r="Q209" s="22"/>
      <c r="R209" s="170"/>
      <c r="S209" s="213">
        <f t="shared" si="69"/>
        <v>1</v>
      </c>
      <c r="T209" s="195" t="str">
        <f t="shared" si="73"/>
        <v>NorthBound</v>
      </c>
      <c r="U209" s="195">
        <f>IF(AG209="EC",COUNTIFS(Variables!$M$2:$M$19,IF(T209="NorthBound","&gt;=","&lt;=")&amp;Y209,Variables!$M$2:$M$19,IF(T209="NorthBound","&lt;=","&gt;=")&amp;Z209),COUNTIFS(Variables!$P$2:$P$19,IF(T209="NorthBound","&gt;=","&lt;=")&amp;Y209,Variables!$P$2:$P$19,IF(T209="NorthBound","&lt;=","&gt;=")&amp;Z209))</f>
        <v>1</v>
      </c>
      <c r="V209" s="196" t="str">
        <f t="shared" si="74"/>
        <v>https://d0f6bd738d7f1b3e5a7ca70fe4ff75f0.us-east-1.aws.found.io/app/kibana#/discover/Steve-Slow-Train-Analysis-(2080s-and-2083s)?_g=(refreshInterval:(display:Off,pause:!f,section:0,value:0),time:(from:'2017-07-02T01:41:03-0600',mode:absolute,to:'2017-07-02T03:57:15-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209" s="197" t="str">
        <f>IF(AA209&lt;VLOOKUP(AG209,Variables!$AC$3:$AD$8,2,FALSE),"Y","N")</f>
        <v>Y</v>
      </c>
      <c r="X209" s="197">
        <f t="shared" si="70"/>
        <v>1</v>
      </c>
      <c r="Y209" s="197">
        <f t="shared" si="75"/>
        <v>4.7800000000000002E-2</v>
      </c>
      <c r="Z209" s="197">
        <f t="shared" si="76"/>
        <v>2.3346</v>
      </c>
      <c r="AA209" s="197">
        <f t="shared" si="77"/>
        <v>2.2867999999999999</v>
      </c>
      <c r="AB209" s="54" t="e">
        <f>VLOOKUP(A209,Enforcements!$C$7:$K$13,8,0)</f>
        <v>#N/A</v>
      </c>
      <c r="AC209" s="51" t="e">
        <f>VLOOKUP(A209,Enforcements!$C$7:$E$13,3,0)</f>
        <v>#N/A</v>
      </c>
      <c r="AD209" s="206">
        <f t="shared" si="78"/>
        <v>313</v>
      </c>
      <c r="AE209" s="77" t="str">
        <f t="shared" si="79"/>
        <v>aws s3 cp s3://rtdc.mdm.uploadarchive.raw/RTDC4008/ "%USERPROFILE%\AppData\Local\Temp\OnboardLogs"\RTDC4008\2017-07-02 --exclude "*" --recursive --include "*20170702*" &amp; "%USERPROFILE%\Documents\GitHub\mrs-test-scripts\Headless Mode &amp; Sideloading\WalkAndUnGZ.bat" "%USERPROFILE%\AppData\Local\Temp\OnboardLogs"\RTDC4008\2017-07-02 &amp; aws s3 cp s3://rtdc.mdm.uploadarchive.raw/RTDC4008/ "%USERPROFILE%\AppData\Local\Temp\OnboardLogs"\RTDC4008\2017-07-03 --exclude "*" --recursive --include "*20170703*" &amp; "%USERPROFILE%\Documents\GitHub\mrs-test-scripts\Headless Mode &amp; Sideloading\WalkAndUnGZ.bat" "%USERPROFILE%\AppData\Local\Temp\OnboardLogs"\RTDC4008\2017-07-03</v>
      </c>
      <c r="AF209" s="74" t="str">
        <f t="shared" si="80"/>
        <v>"C:\Program Files (x86)\AstroGrep\AstroGrep.exe" /e /r /s /spath="%USERPROFILE%\AppData\Local\Temp\OnboardLogs" /stypes="app*4008*20170702*" /stext=" 08:.+((SYSTEM_STATE.+slice.+state.+changed )|(ment ac)|(multiple cpu faults)|(system.+state.+changed )|(\[timeout)|(PRM\|1\|D)|(kpr)|(kdp)|(train st.+moving)|(\|lc)|(penalty))"</v>
      </c>
      <c r="AG209" s="209" t="str">
        <f t="shared" si="81"/>
        <v>Other</v>
      </c>
      <c r="AH209" s="78" t="str">
        <f t="shared" si="82"/>
        <v>"%USERPROFILE%\Documents\GitHub\eaglep3\Utilities\RefineRTDCRunTimes.py" --tripid 313-01 --locoid 4008 --swversion DE.1.0.9.0 --startMP 204:478 --initTime 2017-07-02T02:41:03 --startdatetime 2017-07-02T02:45:27 --delay 1 --endMP 300:23346 --enddatetime 2017-07-02T02:57:15 --enforcementcount 0 &gt;&gt;C:\Users\stu\Documents\GitHub\eaglep3-reporting\EC\2017-07-01-refined-times.txt</v>
      </c>
      <c r="AI209" s="96" t="str">
        <f t="shared" si="83"/>
        <v>echo {"issue":{"subject":"","project_id":79,"tracker_id":40,"status_id":1,"priority_id":2,"assigned_to_id":23,"start_date":"2017-07-02","description":"","custom_fields":[{"id":1,"name":"Subdivision","value":"Other"},{"id":4,"name":"Milepost","value":"2.3346"},{"id":17,"name":"Train ID","value":"313-01"},{"id":16,"name":"Locomotive ID","value":"4008"},{"id":130,"name":"Impact","value":""},{"id":150,"name":"Time of Event (Mountain Time)","value":"02:57:15"},{"id":151,"name":"Denver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9" s="20"/>
      <c r="AK209" s="47"/>
      <c r="AL209" s="47"/>
      <c r="AM209" s="142" t="str">
        <f t="shared" si="84"/>
        <v>start /low /b %USERPROFILE%\Documents\GitHub\eaglep3\Utilities\DownloadLogsFromS3.py --loco 4008 --day 2017-07-02</v>
      </c>
      <c r="AN209" s="151" t="str">
        <f t="shared" si="85"/>
        <v>echo {"issue":{"subject":"","project_id":30,"tracker_id":4,"status_id":1,"priority_id":1,"assigned_to_id":10,"start_date":"2017-07-02","description":"","custom_fields":[{"id":30,"name":"Category","value":"Issue"},{"id":3,"name":"Functional Component","value":"Onboard"},{"id":31,"name":"Version","value":"N/A"},{"id":8,"name":"Reporting RR","value":"WABTEC"},{"id":27,"name":"Locomotive ID","value":"4008"},{"id":20,"name":"RR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UTC","value":"2017-07-02 08:57:15"},{"id":29,"name":"Sharepoint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9"/>
    </row>
    <row r="210" spans="1:91" x14ac:dyDescent="0.25">
      <c r="A210" s="32" t="s">
        <v>688</v>
      </c>
      <c r="B210" s="7">
        <v>4026</v>
      </c>
      <c r="C210" s="21" t="s">
        <v>202</v>
      </c>
      <c r="D210" s="21" t="s">
        <v>1005</v>
      </c>
      <c r="E210" s="13">
        <v>42917.110358796293</v>
      </c>
      <c r="F210" s="13">
        <v>42917.113136574073</v>
      </c>
      <c r="G210" s="7">
        <v>2</v>
      </c>
      <c r="H210" s="21" t="s">
        <v>353</v>
      </c>
      <c r="I210" s="13">
        <v>42917.120648148149</v>
      </c>
      <c r="J210" s="7">
        <v>0</v>
      </c>
      <c r="K210" s="89" t="str">
        <f t="shared" si="71"/>
        <v>4025/4026</v>
      </c>
      <c r="L210" s="21" t="str">
        <f>VLOOKUP(A210,'Trips&amp;Operators'!$C$1:$G$99999,5,FALSE)</f>
        <v>LAMAR NEKESHA</v>
      </c>
      <c r="M210" s="6">
        <f t="shared" si="72"/>
        <v>7.5115740764886141E-3</v>
      </c>
      <c r="N210" s="7">
        <f t="shared" si="68"/>
        <v>10.816666670143604</v>
      </c>
      <c r="O210" s="7"/>
      <c r="P210" s="7"/>
      <c r="Q210" s="22"/>
      <c r="R210" s="170"/>
      <c r="S210" s="213">
        <f t="shared" si="69"/>
        <v>1</v>
      </c>
      <c r="T210" s="195" t="str">
        <f t="shared" si="73"/>
        <v>NorthBound</v>
      </c>
      <c r="U210" s="195">
        <f>IF(AG210="EC",COUNTIFS(Variables!$M$2:$M$19,IF(T210="NorthBound","&gt;=","&lt;=")&amp;Y210,Variables!$M$2:$M$19,IF(T210="NorthBound","&lt;=","&gt;=")&amp;Z210),COUNTIFS(Variables!$P$2:$P$19,IF(T210="NorthBound","&gt;=","&lt;=")&amp;Y210,Variables!$P$2:$P$19,IF(T210="NorthBound","&lt;=","&gt;=")&amp;Z210))</f>
        <v>1</v>
      </c>
      <c r="V210" s="196" t="str">
        <f t="shared" si="74"/>
        <v>https://d0f6bd738d7f1b3e5a7ca70fe4ff75f0.us-east-1.aws.found.io/app/kibana#/discover/Steve-Slow-Train-Analysis-(2080s-and-2083s)?_g=(refreshInterval:(display:Off,pause:!f,section:0,value:0),time:(from:'2017-07-01T01:38:55-0600',mode:absolute,to:'2017-07-01T03:53:44-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210" s="197" t="str">
        <f>IF(AA210&lt;VLOOKUP(AG210,Variables!$AC$3:$AD$8,2,FALSE),"Y","N")</f>
        <v>Y</v>
      </c>
      <c r="X210" s="197">
        <f t="shared" si="70"/>
        <v>0</v>
      </c>
      <c r="Y210" s="197">
        <f t="shared" si="75"/>
        <v>5.0200000000000002E-2</v>
      </c>
      <c r="Z210" s="197">
        <f t="shared" si="76"/>
        <v>2.3346</v>
      </c>
      <c r="AA210" s="197">
        <f t="shared" si="77"/>
        <v>2.2844000000000002</v>
      </c>
      <c r="AB210" s="54" t="e">
        <f>VLOOKUP(A210,Enforcements!$C$7:$K$13,8,0)</f>
        <v>#N/A</v>
      </c>
      <c r="AC210" s="51" t="e">
        <f>VLOOKUP(A210,Enforcements!$C$7:$E$13,3,0)</f>
        <v>#N/A</v>
      </c>
      <c r="AD210" s="206">
        <f t="shared" si="78"/>
        <v>313</v>
      </c>
      <c r="AE210" s="77" t="str">
        <f t="shared" si="79"/>
        <v>aws s3 cp s3://rtdc.mdm.uploadarchive.raw/RTDC4026/ "%USERPROFILE%\AppData\Local\Temp\OnboardLogs"\RTDC4026\2017-07-01 --exclude "*" --recursive --include "*20170701*" &amp; "%USERPROFILE%\Documents\GitHub\mrs-test-scripts\Headless Mode &amp; Sideloading\WalkAndUnGZ.bat" "%USERPROFILE%\AppData\Local\Temp\OnboardLogs"\RTDC4026\2017-07-01 &amp; aws s3 cp s3://rtdc.mdm.uploadarchive.raw/RTDC4026/ "%USERPROFILE%\AppData\Local\Temp\OnboardLogs"\RTDC4026\2017-07-02 --exclude "*" --recursive --include "*20170702*" &amp; "%USERPROFILE%\Documents\GitHub\mrs-test-scripts\Headless Mode &amp; Sideloading\WalkAndUnGZ.bat" "%USERPROFILE%\AppData\Local\Temp\OnboardLogs"\RTDC4026\2017-07-02</v>
      </c>
      <c r="AF210" s="74" t="str">
        <f t="shared" si="80"/>
        <v>"C:\Program Files (x86)\AstroGrep\AstroGrep.exe" /e /r /s /spath="%USERPROFILE%\AppData\Local\Temp\OnboardLogs" /stypes="app*4026*20170701*" /stext=" 08:.+((SYSTEM_STATE.+slice.+state.+changed )|(ment ac)|(multiple cpu faults)|(system.+state.+changed )|(\[timeout)|(PRM\|1\|D)|(kpr)|(kdp)|(train st.+moving)|(\|lc)|(penalty))"</v>
      </c>
      <c r="AG210" s="209" t="str">
        <f t="shared" si="81"/>
        <v>Other</v>
      </c>
      <c r="AH210" s="78" t="str">
        <f t="shared" si="82"/>
        <v>"%USERPROFILE%\Documents\GitHub\eaglep3\Utilities\RefineRTDCRunTimes.py" --tripid 313-30 --locoid 4026 --swversion DE.1.0.9.0 --startMP 204:502 --initTime 2017-07-01T02:38:55 --startdatetime 2017-07-01T02:42:55 --delay 2 --endMP 300:23346 --enddatetime 2017-07-01T02:53:44 --enforcementcount 0 &gt;&gt;C:\Users\stu\Documents\GitHub\eaglep3-reporting\EC\2017-07-01-refined-times.txt</v>
      </c>
      <c r="AI210" s="96" t="str">
        <f t="shared" si="83"/>
        <v>echo {"issue":{"subject":"","project_id":79,"tracker_id":40,"status_id":1,"priority_id":2,"assigned_to_id":23,"start_date":"2017-07-01","description":"","custom_fields":[{"id":1,"name":"Subdivision","value":"Other"},{"id":4,"name":"Milepost","value":"2.3346"},{"id":17,"name":"Train ID","value":"313-30"},{"id":16,"name":"Locomotive ID","value":"4026"},{"id":130,"name":"Impact","value":""},{"id":150,"name":"Time of Event (Mountain Time)","value":"02:53:44"},{"id":151,"name":"Denver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0" s="20"/>
      <c r="AK210" s="47"/>
      <c r="AL210" s="47"/>
      <c r="AM210" s="142" t="str">
        <f t="shared" si="84"/>
        <v>start /low /b %USERPROFILE%\Documents\GitHub\eaglep3\Utilities\DownloadLogsFromS3.py --loco 4026 --day 2017-07-01</v>
      </c>
      <c r="AN210" s="151" t="str">
        <f t="shared" si="85"/>
        <v>echo {"issue":{"subject":"","project_id":30,"tracker_id":4,"status_id":1,"priority_id":1,"assigned_to_id":10,"start_date":"2017-07-01","description":"","custom_fields":[{"id":30,"name":"Category","value":"Issue"},{"id":3,"name":"Functional Component","value":"Onboard"},{"id":31,"name":"Version","value":"N/A"},{"id":8,"name":"Reporting RR","value":"WABTEC"},{"id":27,"name":"Locomotive ID","value":"4026"},{"id":20,"name":"RR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UTC","value":"2017-07-01 08:53:44"},{"id":29,"name":"Sharepoint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0"/>
    </row>
    <row r="211" spans="1:91" x14ac:dyDescent="0.25">
      <c r="A211" s="32" t="s">
        <v>714</v>
      </c>
      <c r="B211" s="7">
        <v>4006</v>
      </c>
      <c r="C211" s="21" t="s">
        <v>202</v>
      </c>
      <c r="D211" s="21" t="s">
        <v>971</v>
      </c>
      <c r="E211" s="13">
        <v>42917.225231481483</v>
      </c>
      <c r="F211" s="13">
        <v>42917.228715277779</v>
      </c>
      <c r="G211" s="7">
        <v>4</v>
      </c>
      <c r="H211" s="21" t="s">
        <v>481</v>
      </c>
      <c r="I211" s="13">
        <v>42917.233796296299</v>
      </c>
      <c r="J211" s="7">
        <v>0</v>
      </c>
      <c r="K211" s="89" t="str">
        <f t="shared" si="71"/>
        <v>4005/4006</v>
      </c>
      <c r="L211" s="21" t="str">
        <f>VLOOKUP(A211,'Trips&amp;Operators'!$C$1:$G$99999,5,FALSE)</f>
        <v>ROCHA YAOTL</v>
      </c>
      <c r="M211" s="6">
        <f t="shared" si="72"/>
        <v>5.0810185202863067E-3</v>
      </c>
      <c r="N211" s="7">
        <f t="shared" si="68"/>
        <v>7.3166666692122817</v>
      </c>
      <c r="O211" s="7"/>
      <c r="P211" s="7"/>
      <c r="Q211" s="22"/>
      <c r="R211" s="170"/>
      <c r="S211" s="213">
        <f t="shared" si="69"/>
        <v>0</v>
      </c>
      <c r="T211" s="195" t="str">
        <f t="shared" si="73"/>
        <v>NorthBound</v>
      </c>
      <c r="U211" s="195">
        <f>IF(AG211="EC",COUNTIFS(Variables!$M$2:$M$19,IF(T211="NorthBound","&gt;=","&lt;=")&amp;Y211,Variables!$M$2:$M$19,IF(T211="NorthBound","&lt;=","&gt;=")&amp;Z211),COUNTIFS(Variables!$P$2:$P$19,IF(T211="NorthBound","&gt;=","&lt;=")&amp;Y211,Variables!$P$2:$P$19,IF(T211="NorthBound","&lt;=","&gt;=")&amp;Z211))</f>
        <v>0</v>
      </c>
      <c r="V211" s="196" t="str">
        <f t="shared" si="74"/>
        <v>https://d0f6bd738d7f1b3e5a7ca70fe4ff75f0.us-east-1.aws.found.io/app/kibana#/discover/Steve-Slow-Train-Analysis-(2080s-and-2083s)?_g=(refreshInterval:(display:Off,pause:!f,section:0,value:0),time:(from:'2017-07-01T04:24:20-0600',mode:absolute,to:'2017-07-01T06:36:40-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W211" s="197" t="str">
        <f>IF(AA211&lt;VLOOKUP(AG211,Variables!$AC$3:$AD$8,2,FALSE),"Y","N")</f>
        <v>Y</v>
      </c>
      <c r="X211" s="197">
        <f t="shared" si="70"/>
        <v>1588</v>
      </c>
      <c r="Y211" s="197">
        <f t="shared" si="75"/>
        <v>3.0144000000000002</v>
      </c>
      <c r="Z211" s="197">
        <f t="shared" si="76"/>
        <v>5.8948</v>
      </c>
      <c r="AA211" s="197">
        <f t="shared" si="77"/>
        <v>2.8803999999999998</v>
      </c>
      <c r="AB211" s="54" t="e">
        <f>VLOOKUP(A211,Enforcements!$C$7:$K$13,8,0)</f>
        <v>#N/A</v>
      </c>
      <c r="AC211" s="51" t="e">
        <f>VLOOKUP(A211,Enforcements!$C$7:$E$13,3,0)</f>
        <v>#N/A</v>
      </c>
      <c r="AD211" s="206">
        <f t="shared" si="78"/>
        <v>1901</v>
      </c>
      <c r="AE211" s="77" t="str">
        <f t="shared" si="79"/>
        <v>aws s3 cp s3://rtdc.mdm.uploadarchive.raw/RTDC4006/ "%USERPROFILE%\AppData\Local\Temp\OnboardLogs"\RTDC4006\2017-07-01 --exclude "*" --recursive --include "*20170701*" &amp; "%USERPROFILE%\Documents\GitHub\mrs-test-scripts\Headless Mode &amp; Sideloading\WalkAndUnGZ.bat" "%USERPROFILE%\AppData\Local\Temp\OnboardLogs"\RTDC4006\2017-07-01 &amp; aws s3 cp s3://rtdc.mdm.uploadarchive.raw/RTDC4006/ "%USERPROFILE%\AppData\Local\Temp\OnboardLogs"\RTDC4006\2017-07-02 --exclude "*" --recursive --include "*20170702*" &amp; "%USERPROFILE%\Documents\GitHub\mrs-test-scripts\Headless Mode &amp; Sideloading\WalkAndUnGZ.bat" "%USERPROFILE%\AppData\Local\Temp\OnboardLogs"\RTDC4006\2017-07-02</v>
      </c>
      <c r="AF211" s="74" t="str">
        <f t="shared" si="80"/>
        <v>"C:\Program Files (x86)\AstroGrep\AstroGrep.exe" /e /r /s /spath="%USERPROFILE%\AppData\Local\Temp\OnboardLogs" /stypes="app*4006*20170701*" /stext=" 11:.+((SYSTEM_STATE.+slice.+state.+changed )|(ment ac)|(multiple cpu faults)|(system.+state.+changed )|(\[timeout)|(PRM\|1\|D)|(kpr)|(kdp)|(train st.+moving)|(\|lc)|(penalty))"</v>
      </c>
      <c r="AG211" s="209" t="str">
        <f t="shared" si="81"/>
        <v>Other</v>
      </c>
      <c r="AH211" s="78" t="str">
        <f t="shared" si="82"/>
        <v>"%USERPROFILE%\Documents\GitHub\eaglep3\Utilities\RefineRTDCRunTimes.py" --tripid 1901-01 --locoid 4006 --swversion DE.1.0.9.0 --startMP 300:30144 --initTime 2017-07-01T05:24:20 --startdatetime 2017-07-01T05:29:21 --delay 4 --endMP 300:58948 --enddatetime 2017-07-01T05:36:40 --enforcementcount 0 &gt;&gt;C:\Users\stu\Documents\GitHub\eaglep3-reporting\EC\2017-07-01-refined-times.txt</v>
      </c>
      <c r="AI211" s="96" t="str">
        <f t="shared" si="83"/>
        <v>echo {"issue":{"subject":"","project_id":79,"tracker_id":40,"status_id":1,"priority_id":2,"assigned_to_id":23,"start_date":"2017-07-01","description":"","custom_fields":[{"id":1,"name":"Subdivision","value":"Other"},{"id":4,"name":"Milepost","value":"5.8948"},{"id":17,"name":"Train ID","value":"1901-01"},{"id":16,"name":"Locomotive ID","value":"4006"},{"id":130,"name":"Impact","value":""},{"id":150,"name":"Time of Event (Mountain Time)","value":"05:36:40"},{"id":151,"name":"Denver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1" s="20"/>
      <c r="AK211" s="47"/>
      <c r="AL211" s="47"/>
      <c r="AM211" s="142" t="str">
        <f t="shared" si="84"/>
        <v>start /low /b %USERPROFILE%\Documents\GitHub\eaglep3\Utilities\DownloadLogsFromS3.py --loco 4006 --day 2017-07-01</v>
      </c>
      <c r="AN211" s="151" t="str">
        <f t="shared" si="85"/>
        <v>echo {"issue":{"subject":"","project_id":30,"tracker_id":4,"status_id":1,"priority_id":1,"assigned_to_id":10,"start_date":"2017-07-01","description":"","custom_fields":[{"id":30,"name":"Category","value":"Issue"},{"id":3,"name":"Functional Component","value":"Onboard"},{"id":31,"name":"Version","value":"N/A"},{"id":8,"name":"Reporting RR","value":"WABTEC"},{"id":27,"name":"Locomotive ID","value":"4006"},{"id":20,"name":"RR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UTC","value":"2017-07-01 11:36:40"},{"id":29,"name":"Sharepoint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1"/>
    </row>
    <row r="212" spans="1:91" x14ac:dyDescent="0.25">
      <c r="A212" s="32" t="s">
        <v>783</v>
      </c>
      <c r="B212" s="7">
        <v>4046</v>
      </c>
      <c r="C212" s="21" t="s">
        <v>202</v>
      </c>
      <c r="D212" s="21" t="s">
        <v>1006</v>
      </c>
      <c r="E212" s="13">
        <v>42917.514976851853</v>
      </c>
      <c r="F212" s="13">
        <v>42917.516932870371</v>
      </c>
      <c r="G212" s="7">
        <v>2</v>
      </c>
      <c r="H212" s="21" t="s">
        <v>1007</v>
      </c>
      <c r="I212" s="13">
        <v>42917.522361111114</v>
      </c>
      <c r="J212" s="7">
        <v>0</v>
      </c>
      <c r="K212" s="89" t="str">
        <f t="shared" si="71"/>
        <v>4045/4046</v>
      </c>
      <c r="L212" s="21" t="str">
        <f>VLOOKUP(A212,'Trips&amp;Operators'!$C$1:$G$99999,5,FALSE)</f>
        <v>DAVIDSON DAVID</v>
      </c>
      <c r="M212" s="6">
        <f t="shared" si="72"/>
        <v>5.4282407436403446E-3</v>
      </c>
      <c r="N212" s="7">
        <f t="shared" si="68"/>
        <v>7.8166666708420962</v>
      </c>
      <c r="O212" s="7"/>
      <c r="P212" s="7"/>
      <c r="Q212" s="22"/>
      <c r="R212" s="170"/>
      <c r="S212" s="213">
        <f t="shared" si="69"/>
        <v>0</v>
      </c>
      <c r="T212" s="195" t="str">
        <f t="shared" si="73"/>
        <v>Southbound</v>
      </c>
      <c r="U212" s="195">
        <f>IF(AG212="EC",COUNTIFS(Variables!$M$2:$M$19,IF(T212="NorthBound","&gt;=","&lt;=")&amp;Y212,Variables!$M$2:$M$19,IF(T212="NorthBound","&lt;=","&gt;=")&amp;Z212),COUNTIFS(Variables!$P$2:$P$19,IF(T212="NorthBound","&gt;=","&lt;=")&amp;Y212,Variables!$P$2:$P$19,IF(T212="NorthBound","&lt;=","&gt;=")&amp;Z212))</f>
        <v>0</v>
      </c>
      <c r="V212" s="196" t="str">
        <f t="shared" si="74"/>
        <v>https://d0f6bd738d7f1b3e5a7ca70fe4ff75f0.us-east-1.aws.found.io/app/kibana#/discover/Steve-Slow-Train-Analysis-(2080s-and-2083s)?_g=(refreshInterval:(display:Off,pause:!f,section:0,value:0),time:(from:'2017-07-01T11:21:34-0600',mode:absolute,to:'2017-07-01T13:32:12-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W212" s="197" t="str">
        <f>IF(AA212&lt;VLOOKUP(AG212,Variables!$AC$3:$AD$8,2,FALSE),"Y","N")</f>
        <v>Y</v>
      </c>
      <c r="X212" s="197">
        <f t="shared" si="70"/>
        <v>-1851</v>
      </c>
      <c r="Y212" s="197">
        <f t="shared" si="75"/>
        <v>0.12230000000000001</v>
      </c>
      <c r="Z212" s="197">
        <f t="shared" si="76"/>
        <v>2.4232999999999998</v>
      </c>
      <c r="AA212" s="197">
        <f t="shared" si="77"/>
        <v>2.3009999999999997</v>
      </c>
      <c r="AB212" s="54" t="e">
        <f>VLOOKUP(A212,Enforcements!$C$7:$K$13,8,0)</f>
        <v>#N/A</v>
      </c>
      <c r="AC212" s="51" t="e">
        <f>VLOOKUP(A212,Enforcements!$C$7:$E$13,3,0)</f>
        <v>#N/A</v>
      </c>
      <c r="AD212" s="206">
        <f t="shared" si="78"/>
        <v>50</v>
      </c>
      <c r="AE212" s="77" t="str">
        <f t="shared" si="79"/>
        <v>aws s3 cp s3://rtdc.mdm.uploadarchive.raw/RTDC4046/ "%USERPROFILE%\AppData\Local\Temp\OnboardLogs"\RTDC4046\2017-07-01 --exclude "*" --recursive --include "*20170701*" &amp; "%USERPROFILE%\Documents\GitHub\mrs-test-scripts\Headless Mode &amp; Sideloading\WalkAndUnGZ.bat" "%USERPROFILE%\AppData\Local\Temp\OnboardLogs"\RTDC4046\2017-07-01 &amp; aws s3 cp s3://rtdc.mdm.uploadarchive.raw/RTDC4046/ "%USERPROFILE%\AppData\Local\Temp\OnboardLogs"\RTDC4046\2017-07-02 --exclude "*" --recursive --include "*20170702*" &amp; "%USERPROFILE%\Documents\GitHub\mrs-test-scripts\Headless Mode &amp; Sideloading\WalkAndUnGZ.bat" "%USERPROFILE%\AppData\Local\Temp\OnboardLogs"\RTDC4046\2017-07-02</v>
      </c>
      <c r="AF212" s="74" t="str">
        <f t="shared" si="80"/>
        <v>"C:\Program Files (x86)\AstroGrep\AstroGrep.exe" /e /r /s /spath="%USERPROFILE%\AppData\Local\Temp\OnboardLogs" /stypes="app*4046*20170701*" /stext=" 18:.+((SYSTEM_STATE.+slice.+state.+changed )|(ment ac)|(multiple cpu faults)|(system.+state.+changed )|(\[timeout)|(PRM\|1\|D)|(kpr)|(kdp)|(train st.+moving)|(\|lc)|(penalty))"</v>
      </c>
      <c r="AG212" s="209" t="str">
        <f t="shared" si="81"/>
        <v>Shuttle/Test</v>
      </c>
      <c r="AH212" s="78" t="str">
        <f t="shared" si="82"/>
        <v>"%USERPROFILE%\Documents\GitHub\eaglep3\Utilities\RefineRTDCRunTimes.py" --tripid 50-01 --locoid 4046 --swversion DE.1.0.9.0 --startMP 204:1223 --initTime 2017-07-01T12:21:34 --startdatetime 2017-07-01T12:24:23 --delay 2 --endMP 300:24233 --enddatetime 2017-07-01T12:32:12 --enforcementcount 0 &gt;&gt;C:\Users\stu\Documents\GitHub\eaglep3-reporting\EC\2017-07-01-refined-times.txt</v>
      </c>
      <c r="AI212" s="96" t="str">
        <f t="shared" si="83"/>
        <v>echo {"issue":{"subject":"","project_id":79,"tracker_id":40,"status_id":1,"priority_id":2,"assigned_to_id":23,"start_date":"2017-07-01","description":"","custom_fields":[{"id":1,"name":"Subdivision","value":"Shuttle/Test"},{"id":4,"name":"Milepost","value":"2.4233"},{"id":17,"name":"Train ID","value":"50-01"},{"id":16,"name":"Locomotive ID","value":"4046"},{"id":130,"name":"Impact","value":""},{"id":150,"name":"Time of Event (Mountain Time)","value":"12:32:12"},{"id":151,"name":"Denver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2" s="20"/>
      <c r="AK212" s="47"/>
      <c r="AL212" s="47"/>
      <c r="AM212" s="142" t="str">
        <f t="shared" si="84"/>
        <v>start /low /b %USERPROFILE%\Documents\GitHub\eaglep3\Utilities\DownloadLogsFromS3.py --loco 4046 --day 2017-07-01</v>
      </c>
      <c r="AN212" s="151" t="str">
        <f t="shared" si="85"/>
        <v>echo {"issue":{"subject":"","project_id":30,"tracker_id":4,"status_id":1,"priority_id":1,"assigned_to_id":10,"start_date":"2017-07-01","description":"","custom_fields":[{"id":30,"name":"Category","value":"Issue"},{"id":3,"name":"Functional Component","value":"Onboard"},{"id":31,"name":"Version","value":"N/A"},{"id":8,"name":"Reporting RR","value":"WABTEC"},{"id":27,"name":"Locomotive ID","value":"4046"},{"id":20,"name":"RR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UTC","value":"2017-07-01 18:32:12"},{"id":29,"name":"Sharepoint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2"/>
    </row>
    <row r="213" spans="1:91" x14ac:dyDescent="0.25">
      <c r="A213" s="32" t="s">
        <v>664</v>
      </c>
      <c r="B213" s="7">
        <v>4050</v>
      </c>
      <c r="C213" s="21" t="s">
        <v>202</v>
      </c>
      <c r="D213" s="21" t="s">
        <v>1008</v>
      </c>
      <c r="E213" s="13">
        <v>42917.709131944444</v>
      </c>
      <c r="F213" s="13">
        <v>42917.754363425927</v>
      </c>
      <c r="G213" s="7">
        <v>1</v>
      </c>
      <c r="H213" s="21" t="s">
        <v>1009</v>
      </c>
      <c r="I213" s="13">
        <v>42917.754861111112</v>
      </c>
      <c r="J213" s="7">
        <v>0</v>
      </c>
      <c r="K213" s="89" t="str">
        <f t="shared" si="71"/>
        <v>4049/4050</v>
      </c>
      <c r="L213" s="21" t="str">
        <f>VLOOKUP(A213,'Trips&amp;Operators'!$C$1:$G$99999,5,FALSE)</f>
        <v>BERLING GARY</v>
      </c>
      <c r="M213" s="6">
        <f t="shared" si="72"/>
        <v>4.9768518510973081E-4</v>
      </c>
      <c r="N213" s="7"/>
      <c r="O213" s="7"/>
      <c r="P213" s="7">
        <f>24*60*SUM($M213:$M213)</f>
        <v>0.71666666655801237</v>
      </c>
      <c r="Q213" s="22"/>
      <c r="R213" s="170" t="s">
        <v>1039</v>
      </c>
      <c r="S213" s="213">
        <f t="shared" si="69"/>
        <v>0</v>
      </c>
      <c r="T213" s="195" t="str">
        <f t="shared" si="73"/>
        <v>NorthBound</v>
      </c>
      <c r="U213" s="195">
        <f>IF(AG213="EC",COUNTIFS(Variables!$M$2:$M$19,IF(T213="NorthBound","&gt;=","&lt;=")&amp;Y213,Variables!$M$2:$M$19,IF(T213="NorthBound","&lt;=","&gt;=")&amp;Z213),COUNTIFS(Variables!$P$2:$P$19,IF(T213="NorthBound","&gt;=","&lt;=")&amp;Y213,Variables!$P$2:$P$19,IF(T213="NorthBound","&lt;=","&gt;=")&amp;Z213))</f>
        <v>0</v>
      </c>
      <c r="V213" s="196" t="str">
        <f t="shared" si="74"/>
        <v>https://d0f6bd738d7f1b3e5a7ca70fe4ff75f0.us-east-1.aws.found.io/app/kibana#/discover/Steve-Slow-Train-Analysis-(2080s-and-2083s)?_g=(refreshInterval:(display:Off,pause:!f,section:0,value:0),time:(from:'2017-07-01T16:01:09-0600',mode:absolute,to:'2017-07-01T19:07:00-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4050%22')),sort:!(Time.ISO8601,asc))</v>
      </c>
      <c r="W213" s="197" t="str">
        <f>IF(AA213&lt;VLOOKUP(AG213,Variables!$AC$3:$AD$8,2,FALSE),"Y","N")</f>
        <v>Y</v>
      </c>
      <c r="X213" s="197">
        <f t="shared" si="70"/>
        <v>1</v>
      </c>
      <c r="Y213" s="197">
        <f t="shared" si="75"/>
        <v>0.15409999999999999</v>
      </c>
      <c r="Z213" s="197">
        <f t="shared" si="76"/>
        <v>0.17899999999999999</v>
      </c>
      <c r="AA213" s="197">
        <f t="shared" si="77"/>
        <v>2.4900000000000005E-2</v>
      </c>
      <c r="AB213" s="54" t="e">
        <f>VLOOKUP(A213,Enforcements!$C$7:$K$13,8,0)</f>
        <v>#N/A</v>
      </c>
      <c r="AC213" s="51" t="e">
        <f>VLOOKUP(A213,Enforcements!$C$7:$E$13,3,0)</f>
        <v>#N/A</v>
      </c>
      <c r="AD213" s="206">
        <f t="shared" si="78"/>
        <v>51</v>
      </c>
      <c r="AE213" s="77" t="str">
        <f t="shared" si="79"/>
        <v>aws s3 cp s3://rtdc.mdm.uploadarchive.raw/RTDC4050/ "%USERPROFILE%\AppData\Local\Temp\OnboardLogs"\RTDC4050\2017-07-01 --exclude "*" --recursive --include "*20170701*" &amp; "%USERPROFILE%\Documents\GitHub\mrs-test-scripts\Headless Mode &amp; Sideloading\WalkAndUnGZ.bat" "%USERPROFILE%\AppData\Local\Temp\OnboardLogs"\RTDC4050\2017-07-01 &amp; aws s3 cp s3://rtdc.mdm.uploadarchive.raw/RTDC4050/ "%USERPROFILE%\AppData\Local\Temp\OnboardLogs"\RTDC4050\2017-07-02 --exclude "*" --recursive --include "*20170702*" &amp; "%USERPROFILE%\Documents\GitHub\mrs-test-scripts\Headless Mode &amp; Sideloading\WalkAndUnGZ.bat" "%USERPROFILE%\AppData\Local\Temp\OnboardLogs"\RTDC4050\2017-07-02</v>
      </c>
      <c r="AF213" s="74" t="str">
        <f t="shared" si="80"/>
        <v>"C:\Program Files (x86)\AstroGrep\AstroGrep.exe" /e /r /s /spath="%USERPROFILE%\AppData\Local\Temp\OnboardLogs" /stypes="app*4050*20170702*" /stext=" 00:.+((SYSTEM_STATE.+slice.+state.+changed )|(ment ac)|(multiple cpu faults)|(system.+state.+changed )|(\[timeout)|(PRM\|1\|D)|(kpr)|(kdp)|(train st.+moving)|(\|lc)|(penalty))"</v>
      </c>
      <c r="AG213" s="209" t="str">
        <f t="shared" si="81"/>
        <v>Shuttle/Test</v>
      </c>
      <c r="AH213" s="78" t="str">
        <f t="shared" si="82"/>
        <v>"%USERPROFILE%\Documents\GitHub\eaglep3\Utilities\RefineRTDCRunTimes.py" --tripid 51-01 --locoid 4050 --swversion DE.1.0.9.0 --startMP 204:1541 --initTime 2017-07-01T17:01:09 --startdatetime 2017-07-01T18:06:17 --delay 1 --endMP 204:1790 --enddatetime 2017-07-01T18:07:00 --enforcementcount 0 &gt;&gt;C:\Users\stu\Documents\GitHub\eaglep3-reporting\EC\2017-07-01-refined-times.txt</v>
      </c>
      <c r="AI213" s="96" t="str">
        <f t="shared" si="83"/>
        <v>echo {"issue":{"subject":"Main 3 departure","project_id":79,"tracker_id":40,"status_id":1,"priority_id":2,"assigned_to_id":23,"start_date":"2017-07-01","description":"","custom_fields":[{"id":1,"name":"Subdivision","value":"Shuttle/Test"},{"id":4,"name":"Milepost","value":"0.179"},{"id":17,"name":"Train ID","value":"51-01"},{"id":16,"name":"Locomotive ID","value":"4050"},{"id":130,"name":"Impact","value":""},{"id":150,"name":"Time of Event (Mountain Time)","value":"18:07:00"},{"id":151,"name":"Denver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3" s="20"/>
      <c r="AK213" s="47"/>
      <c r="AL213" s="47"/>
      <c r="AM213" s="142" t="str">
        <f t="shared" si="84"/>
        <v>start /low /b %USERPROFILE%\Documents\GitHub\eaglep3\Utilities\DownloadLogsFromS3.py --loco 4050 --day 2017-07-01</v>
      </c>
      <c r="AN213" s="151" t="str">
        <f t="shared" si="85"/>
        <v>echo {"issue":{"subject":"Main 3 departure","project_id":30,"tracker_id":4,"status_id":1,"priority_id":1,"assigned_to_id":10,"start_date":"2017-07-02","description":"","custom_fields":[{"id":30,"name":"Category","value":"Issue"},{"id":3,"name":"Functional Component","value":"Onboard"},{"id":31,"name":"Version","value":"N/A"},{"id":8,"name":"Reporting RR","value":"WABTEC"},{"id":27,"name":"Locomotive ID","value":"4050"},{"id":20,"name":"RR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UTC","value":"2017-07-02 00:07:00"},{"id":29,"name":"Sharepoint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3"/>
    </row>
    <row r="214" spans="1:91" x14ac:dyDescent="0.25">
      <c r="A214" s="32" t="s">
        <v>689</v>
      </c>
      <c r="B214" s="7">
        <v>4045</v>
      </c>
      <c r="C214" s="21" t="s">
        <v>202</v>
      </c>
      <c r="D214" s="21" t="s">
        <v>1010</v>
      </c>
      <c r="E214" s="13">
        <v>42917.476030092592</v>
      </c>
      <c r="F214" s="13">
        <v>42917.479710648149</v>
      </c>
      <c r="G214" s="7">
        <v>5</v>
      </c>
      <c r="H214" s="21" t="s">
        <v>1011</v>
      </c>
      <c r="I214" s="13">
        <v>42917.484618055554</v>
      </c>
      <c r="J214" s="7">
        <v>0</v>
      </c>
      <c r="K214" s="89" t="str">
        <f t="shared" si="71"/>
        <v>4045/4046</v>
      </c>
      <c r="L214" s="21" t="str">
        <f>VLOOKUP(A214,'Trips&amp;Operators'!$C$1:$G$99999,5,FALSE)</f>
        <v>GRASTON MATHEU</v>
      </c>
      <c r="M214" s="6">
        <f t="shared" si="72"/>
        <v>4.907407404971309E-3</v>
      </c>
      <c r="N214" s="7">
        <f>24*60*SUM($M214:$M214)</f>
        <v>7.066666663158685</v>
      </c>
      <c r="O214" s="7"/>
      <c r="P214" s="7"/>
      <c r="Q214" s="22"/>
      <c r="R214" s="170"/>
      <c r="S214" s="213">
        <f t="shared" si="69"/>
        <v>0</v>
      </c>
      <c r="T214" s="195" t="str">
        <f t="shared" si="73"/>
        <v>NorthBound</v>
      </c>
      <c r="U214" s="195">
        <f>IF(AG214="EC",COUNTIFS(Variables!$M$2:$M$19,IF(T214="NorthBound","&gt;=","&lt;=")&amp;Y214,Variables!$M$2:$M$19,IF(T214="NorthBound","&lt;=","&gt;=")&amp;Z214),COUNTIFS(Variables!$P$2:$P$19,IF(T214="NorthBound","&gt;=","&lt;=")&amp;Y214,Variables!$P$2:$P$19,IF(T214="NorthBound","&lt;=","&gt;=")&amp;Z214))</f>
        <v>0</v>
      </c>
      <c r="V214" s="196" t="str">
        <f t="shared" si="74"/>
        <v>https://d0f6bd738d7f1b3e5a7ca70fe4ff75f0.us-east-1.aws.found.io/app/kibana#/discover/Steve-Slow-Train-Analysis-(2080s-and-2083s)?_g=(refreshInterval:(display:Off,pause:!f,section:0,value:0),time:(from:'2017-07-01T10:25:29-0600',mode:absolute,to:'2017-07-01T12:37:51-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W214" s="197" t="str">
        <f>IF(AA214&lt;VLOOKUP(AG214,Variables!$AC$3:$AD$8,2,FALSE),"Y","N")</f>
        <v>Y</v>
      </c>
      <c r="X214" s="197">
        <f t="shared" si="70"/>
        <v>4</v>
      </c>
      <c r="Y214" s="197">
        <f t="shared" si="75"/>
        <v>2.2551999999999999</v>
      </c>
      <c r="Z214" s="197">
        <f t="shared" si="76"/>
        <v>9.0800000000000006E-2</v>
      </c>
      <c r="AA214" s="197">
        <f t="shared" si="77"/>
        <v>2.1643999999999997</v>
      </c>
      <c r="AB214" s="54" t="e">
        <f>VLOOKUP(A214,Enforcements!$C$7:$K$13,8,0)</f>
        <v>#N/A</v>
      </c>
      <c r="AC214" s="51" t="e">
        <f>VLOOKUP(A214,Enforcements!$C$7:$E$13,3,0)</f>
        <v>#N/A</v>
      </c>
      <c r="AD214" s="206">
        <f t="shared" si="78"/>
        <v>55</v>
      </c>
      <c r="AE214" s="77" t="str">
        <f t="shared" si="79"/>
        <v>aws s3 cp s3://rtdc.mdm.uploadarchive.raw/RTDC4045/ "%USERPROFILE%\AppData\Local\Temp\OnboardLogs"\RTDC4045\2017-07-01 --exclude "*" --recursive --include "*20170701*" &amp; "%USERPROFILE%\Documents\GitHub\mrs-test-scripts\Headless Mode &amp; Sideloading\WalkAndUnGZ.bat" "%USERPROFILE%\AppData\Local\Temp\OnboardLogs"\RTDC4045\2017-07-01 &amp; aws s3 cp s3://rtdc.mdm.uploadarchive.raw/RTDC4045/ "%USERPROFILE%\AppData\Local\Temp\OnboardLogs"\RTDC4045\2017-07-02 --exclude "*" --recursive --include "*20170702*" &amp; "%USERPROFILE%\Documents\GitHub\mrs-test-scripts\Headless Mode &amp; Sideloading\WalkAndUnGZ.bat" "%USERPROFILE%\AppData\Local\Temp\OnboardLogs"\RTDC4045\2017-07-02</v>
      </c>
      <c r="AF214" s="74" t="str">
        <f t="shared" si="80"/>
        <v>"C:\Program Files (x86)\AstroGrep\AstroGrep.exe" /e /r /s /spath="%USERPROFILE%\AppData\Local\Temp\OnboardLogs" /stypes="app*4045*20170701*" /stext=" 17:.+((SYSTEM_STATE.+slice.+state.+changed )|(ment ac)|(multiple cpu faults)|(system.+state.+changed )|(\[timeout)|(PRM\|1\|D)|(kpr)|(kdp)|(train st.+moving)|(\|lc)|(penalty))"</v>
      </c>
      <c r="AG214" s="209" t="str">
        <f t="shared" si="81"/>
        <v>Shuttle/Test</v>
      </c>
      <c r="AH214" s="78" t="str">
        <f t="shared" si="82"/>
        <v>"%USERPROFILE%\Documents\GitHub\eaglep3\Utilities\RefineRTDCRunTimes.py" --tripid 55-01 --locoid 4045 --swversion DE.1.0.9.0 --startMP 300:22552 --initTime 2017-07-01T11:25:29 --startdatetime 2017-07-01T11:30:47 --delay 5 --endMP 204:908 --enddatetime 2017-07-01T11:37:51 --enforcementcount 0 &gt;&gt;C:\Users\stu\Documents\GitHub\eaglep3-reporting\EC\2017-07-01-refined-times.txt</v>
      </c>
      <c r="AI214" s="96" t="str">
        <f t="shared" si="83"/>
        <v>echo {"issue":{"subject":"","project_id":79,"tracker_id":40,"status_id":1,"priority_id":2,"assigned_to_id":23,"start_date":"2017-07-01","description":"","custom_fields":[{"id":1,"name":"Subdivision","value":"Shuttle/Test"},{"id":4,"name":"Milepost","value":"0.0908"},{"id":17,"name":"Train ID","value":"55-01"},{"id":16,"name":"Locomotive ID","value":"4045"},{"id":130,"name":"Impact","value":""},{"id":150,"name":"Time of Event (Mountain Time)","value":"11:37:51"},{"id":151,"name":"Denver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4" s="20"/>
      <c r="AK214" s="47"/>
      <c r="AL214" s="47"/>
      <c r="AM214" s="142" t="str">
        <f t="shared" si="84"/>
        <v>start /low /b %USERPROFILE%\Documents\GitHub\eaglep3\Utilities\DownloadLogsFromS3.py --loco 4045 --day 2017-07-01</v>
      </c>
      <c r="AN214" s="151" t="str">
        <f t="shared" si="85"/>
        <v>echo {"issue":{"subject":"","project_id":30,"tracker_id":4,"status_id":1,"priority_id":1,"assigned_to_id":10,"start_date":"2017-07-01","description":"","custom_fields":[{"id":30,"name":"Category","value":"Issue"},{"id":3,"name":"Functional Component","value":"Onboard"},{"id":31,"name":"Version","value":"N/A"},{"id":8,"name":"Reporting RR","value":"WABTEC"},{"id":27,"name":"Locomotive ID","value":"4045"},{"id":20,"name":"RR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UTC","value":"2017-07-01 17:37:51"},{"id":29,"name":"Sharepoint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4"/>
    </row>
    <row r="215" spans="1:91" x14ac:dyDescent="0.25">
      <c r="A215" s="32" t="s">
        <v>689</v>
      </c>
      <c r="B215" s="7">
        <v>4049</v>
      </c>
      <c r="C215" s="21" t="s">
        <v>202</v>
      </c>
      <c r="D215" s="21" t="s">
        <v>1012</v>
      </c>
      <c r="E215" s="13">
        <v>42917.113587962966</v>
      </c>
      <c r="F215" s="13">
        <v>42917.115844907406</v>
      </c>
      <c r="G215" s="7">
        <v>3</v>
      </c>
      <c r="H215" s="21" t="s">
        <v>1013</v>
      </c>
      <c r="I215" s="13">
        <v>42917.122233796297</v>
      </c>
      <c r="J215" s="7">
        <v>0</v>
      </c>
      <c r="K215" s="89" t="str">
        <f t="shared" si="71"/>
        <v>4049/4050</v>
      </c>
      <c r="L215" s="21" t="str">
        <f>VLOOKUP(A215,'Trips&amp;Operators'!$C$1:$G$99999,5,FALSE)</f>
        <v>GRASTON MATHEU</v>
      </c>
      <c r="M215" s="6">
        <f t="shared" si="72"/>
        <v>6.3888888907968067E-3</v>
      </c>
      <c r="N215" s="7">
        <f>24*60*SUM($M215:$M215)</f>
        <v>9.2000000027474016</v>
      </c>
      <c r="O215" s="7"/>
      <c r="P215" s="7"/>
      <c r="Q215" s="22"/>
      <c r="R215" s="170"/>
      <c r="S215" s="213">
        <f t="shared" si="69"/>
        <v>0</v>
      </c>
      <c r="T215" s="195" t="str">
        <f t="shared" si="73"/>
        <v>NorthBound</v>
      </c>
      <c r="U215" s="195">
        <f>IF(AG215="EC",COUNTIFS(Variables!$M$2:$M$19,IF(T215="NorthBound","&gt;=","&lt;=")&amp;Y215,Variables!$M$2:$M$19,IF(T215="NorthBound","&lt;=","&gt;=")&amp;Z215),COUNTIFS(Variables!$P$2:$P$19,IF(T215="NorthBound","&gt;=","&lt;=")&amp;Y215,Variables!$P$2:$P$19,IF(T215="NorthBound","&lt;=","&gt;=")&amp;Z215))</f>
        <v>0</v>
      </c>
      <c r="V215" s="196" t="str">
        <f t="shared" si="74"/>
        <v>https://d0f6bd738d7f1b3e5a7ca70fe4ff75f0.us-east-1.aws.found.io/app/kibana#/discover/Steve-Slow-Train-Analysis-(2080s-and-2083s)?_g=(refreshInterval:(display:Off,pause:!f,section:0,value:0),time:(from:'2017-07-01T01:43:34-0600',mode:absolute,to:'2017-07-01T03:56:01-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4049%22')),sort:!(Time.ISO8601,asc))</v>
      </c>
      <c r="W215" s="197" t="str">
        <f>IF(AA215&lt;VLOOKUP(AG215,Variables!$AC$3:$AD$8,2,FALSE),"Y","N")</f>
        <v>Y</v>
      </c>
      <c r="X215" s="197">
        <f t="shared" si="70"/>
        <v>0</v>
      </c>
      <c r="Y215" s="197">
        <f t="shared" si="75"/>
        <v>2.3494999999999999</v>
      </c>
      <c r="Z215" s="197">
        <f t="shared" si="76"/>
        <v>0.12180000000000001</v>
      </c>
      <c r="AA215" s="197">
        <f t="shared" si="77"/>
        <v>2.2277</v>
      </c>
      <c r="AB215" s="54" t="e">
        <f>VLOOKUP(A215,Enforcements!$C$7:$K$13,8,0)</f>
        <v>#N/A</v>
      </c>
      <c r="AC215" s="51" t="e">
        <f>VLOOKUP(A215,Enforcements!$C$7:$E$13,3,0)</f>
        <v>#N/A</v>
      </c>
      <c r="AD215" s="206">
        <f t="shared" si="78"/>
        <v>55</v>
      </c>
      <c r="AE215" s="77" t="str">
        <f t="shared" si="79"/>
        <v>aws s3 cp s3://rtdc.mdm.uploadarchive.raw/RTDC4049/ "%USERPROFILE%\AppData\Local\Temp\OnboardLogs"\RTDC4049\2017-07-01 --exclude "*" --recursive --include "*20170701*" &amp; "%USERPROFILE%\Documents\GitHub\mrs-test-scripts\Headless Mode &amp; Sideloading\WalkAndUnGZ.bat" "%USERPROFILE%\AppData\Local\Temp\OnboardLogs"\RTDC4049\2017-07-01 &amp; aws s3 cp s3://rtdc.mdm.uploadarchive.raw/RTDC4049/ "%USERPROFILE%\AppData\Local\Temp\OnboardLogs"\RTDC4049\2017-07-02 --exclude "*" --recursive --include "*20170702*" &amp; "%USERPROFILE%\Documents\GitHub\mrs-test-scripts\Headless Mode &amp; Sideloading\WalkAndUnGZ.bat" "%USERPROFILE%\AppData\Local\Temp\OnboardLogs"\RTDC4049\2017-07-02</v>
      </c>
      <c r="AF215" s="74" t="str">
        <f t="shared" si="80"/>
        <v>"C:\Program Files (x86)\AstroGrep\AstroGrep.exe" /e /r /s /spath="%USERPROFILE%\AppData\Local\Temp\OnboardLogs" /stypes="app*4049*20170701*" /stext=" 08:.+((SYSTEM_STATE.+slice.+state.+changed )|(ment ac)|(multiple cpu faults)|(system.+state.+changed )|(\[timeout)|(PRM\|1\|D)|(kpr)|(kdp)|(train st.+moving)|(\|lc)|(penalty))"</v>
      </c>
      <c r="AG215" s="209" t="str">
        <f t="shared" si="81"/>
        <v>Shuttle/Test</v>
      </c>
      <c r="AH215" s="78" t="str">
        <f t="shared" si="82"/>
        <v>"%USERPROFILE%\Documents\GitHub\eaglep3\Utilities\RefineRTDCRunTimes.py" --tripid 55-01 --locoid 4049 --swversion DE.1.0.9.0 --startMP 300:23495 --initTime 2017-07-01T02:43:34 --startdatetime 2017-07-01T02:46:49 --delay 3 --endMP 204:1218 --enddatetime 2017-07-01T02:56:01 --enforcementcount 0 &gt;&gt;C:\Users\stu\Documents\GitHub\eaglep3-reporting\EC\2017-07-01-refined-times.txt</v>
      </c>
      <c r="AI215" s="96" t="str">
        <f t="shared" si="83"/>
        <v>echo {"issue":{"subject":"","project_id":79,"tracker_id":40,"status_id":1,"priority_id":2,"assigned_to_id":23,"start_date":"2017-07-01","description":"","custom_fields":[{"id":1,"name":"Subdivision","value":"Shuttle/Test"},{"id":4,"name":"Milepost","value":"0.1218"},{"id":17,"name":"Train ID","value":"55-01"},{"id":16,"name":"Locomotive ID","value":"4049"},{"id":130,"name":"Impact","value":""},{"id":150,"name":"Time of Event (Mountain Time)","value":"02:56:01"},{"id":151,"name":"Denver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5" s="20"/>
      <c r="AK215" s="47"/>
      <c r="AL215" s="47"/>
      <c r="AM215" s="142" t="str">
        <f t="shared" si="84"/>
        <v>start /low /b %USERPROFILE%\Documents\GitHub\eaglep3\Utilities\DownloadLogsFromS3.py --loco 4049 --day 2017-07-01</v>
      </c>
      <c r="AN215" s="151" t="str">
        <f t="shared" si="85"/>
        <v>echo {"issue":{"subject":"","project_id":30,"tracker_id":4,"status_id":1,"priority_id":1,"assigned_to_id":10,"start_date":"2017-07-01","description":"","custom_fields":[{"id":30,"name":"Category","value":"Issue"},{"id":3,"name":"Functional Component","value":"Onboard"},{"id":31,"name":"Version","value":"N/A"},{"id":8,"name":"Reporting RR","value":"WABTEC"},{"id":27,"name":"Locomotive ID","value":"4049"},{"id":20,"name":"RR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UTC","value":"2017-07-01 08:56:01"},{"id":29,"name":"Sharepoint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5"/>
    </row>
    <row r="216" spans="1:91" x14ac:dyDescent="0.25">
      <c r="A216" s="32" t="s">
        <v>876</v>
      </c>
      <c r="B216" s="7">
        <v>4051</v>
      </c>
      <c r="C216" s="21" t="s">
        <v>202</v>
      </c>
      <c r="D216" s="21" t="s">
        <v>1014</v>
      </c>
      <c r="E216" s="13">
        <v>42918.112210648149</v>
      </c>
      <c r="F216" s="13">
        <v>42918.115393518521</v>
      </c>
      <c r="G216" s="7">
        <v>4</v>
      </c>
      <c r="H216" s="21" t="s">
        <v>626</v>
      </c>
      <c r="I216" s="13">
        <v>42918.122824074075</v>
      </c>
      <c r="J216" s="7">
        <v>0</v>
      </c>
      <c r="K216" s="89" t="str">
        <f t="shared" si="71"/>
        <v>4051/4052</v>
      </c>
      <c r="L216" s="21" t="str">
        <f>VLOOKUP(A216,'Trips&amp;Operators'!$C$1:$G$99999,5,FALSE)</f>
        <v>MAYBERRY BILL</v>
      </c>
      <c r="M216" s="6">
        <f t="shared" si="72"/>
        <v>7.4305555535829626E-3</v>
      </c>
      <c r="N216" s="7">
        <f>24*60*SUM($M216:$M216)</f>
        <v>10.699999997159466</v>
      </c>
      <c r="O216" s="7"/>
      <c r="P216" s="7"/>
      <c r="Q216" s="22"/>
      <c r="R216" s="170"/>
      <c r="S216" s="213">
        <f t="shared" si="69"/>
        <v>0</v>
      </c>
      <c r="T216" s="195" t="str">
        <f t="shared" si="73"/>
        <v>NorthBound</v>
      </c>
      <c r="U216" s="195">
        <f>IF(AG216="EC",COUNTIFS(Variables!$M$2:$M$19,IF(T216="NorthBound","&gt;=","&lt;=")&amp;Y216,Variables!$M$2:$M$19,IF(T216="NorthBound","&lt;=","&gt;=")&amp;Z216),COUNTIFS(Variables!$P$2:$P$19,IF(T216="NorthBound","&gt;=","&lt;=")&amp;Y216,Variables!$P$2:$P$19,IF(T216="NorthBound","&lt;=","&gt;=")&amp;Z216))</f>
        <v>0</v>
      </c>
      <c r="V216" s="196" t="str">
        <f t="shared" si="74"/>
        <v>https://d0f6bd738d7f1b3e5a7ca70fe4ff75f0.us-east-1.aws.found.io/app/kibana#/discover/Steve-Slow-Train-Analysis-(2080s-and-2083s)?_g=(refreshInterval:(display:Off,pause:!f,section:0,value:0),time:(from:'2017-07-02T01:41:35-0600',mode:absolute,to:'2017-07-02T03:56:52-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4051%22')),sort:!(Time.ISO8601,asc))</v>
      </c>
      <c r="W216" s="197" t="str">
        <f>IF(AA216&lt;VLOOKUP(AG216,Variables!$AC$3:$AD$8,2,FALSE),"Y","N")</f>
        <v>Y</v>
      </c>
      <c r="X216" s="197">
        <f t="shared" si="70"/>
        <v>0</v>
      </c>
      <c r="Y216" s="197">
        <f t="shared" si="75"/>
        <v>2.2292000000000001</v>
      </c>
      <c r="Z216" s="197">
        <f t="shared" si="76"/>
        <v>0.11559999999999999</v>
      </c>
      <c r="AA216" s="197">
        <f t="shared" si="77"/>
        <v>2.1135999999999999</v>
      </c>
      <c r="AB216" s="54" t="e">
        <f>VLOOKUP(A216,Enforcements!$C$7:$K$13,8,0)</f>
        <v>#N/A</v>
      </c>
      <c r="AC216" s="51" t="e">
        <f>VLOOKUP(A216,Enforcements!$C$7:$E$13,3,0)</f>
        <v>#N/A</v>
      </c>
      <c r="AD216" s="206">
        <f t="shared" si="78"/>
        <v>55</v>
      </c>
      <c r="AE216" s="77" t="str">
        <f t="shared" si="79"/>
        <v>aws s3 cp s3://rtdc.mdm.uploadarchive.raw/RTDC4051/ "%USERPROFILE%\AppData\Local\Temp\OnboardLogs"\RTDC4051\2017-07-02 --exclude "*" --recursive --include "*20170702*" &amp; "%USERPROFILE%\Documents\GitHub\mrs-test-scripts\Headless Mode &amp; Sideloading\WalkAndUnGZ.bat" "%USERPROFILE%\AppData\Local\Temp\OnboardLogs"\RTDC4051\2017-07-02 &amp; aws s3 cp s3://rtdc.mdm.uploadarchive.raw/RTDC4051/ "%USERPROFILE%\AppData\Local\Temp\OnboardLogs"\RTDC4051\2017-07-03 --exclude "*" --recursive --include "*20170703*" &amp; "%USERPROFILE%\Documents\GitHub\mrs-test-scripts\Headless Mode &amp; Sideloading\WalkAndUnGZ.bat" "%USERPROFILE%\AppData\Local\Temp\OnboardLogs"\RTDC4051\2017-07-03</v>
      </c>
      <c r="AF216" s="74" t="str">
        <f t="shared" si="80"/>
        <v>"C:\Program Files (x86)\AstroGrep\AstroGrep.exe" /e /r /s /spath="%USERPROFILE%\AppData\Local\Temp\OnboardLogs" /stypes="app*4051*20170702*" /stext=" 08:.+((SYSTEM_STATE.+slice.+state.+changed )|(ment ac)|(multiple cpu faults)|(system.+state.+changed )|(\[timeout)|(PRM\|1\|D)|(kpr)|(kdp)|(train st.+moving)|(\|lc)|(penalty))"</v>
      </c>
      <c r="AG216" s="209" t="str">
        <f t="shared" si="81"/>
        <v>Shuttle/Test</v>
      </c>
      <c r="AH216" s="78" t="str">
        <f t="shared" si="82"/>
        <v>"%USERPROFILE%\Documents\GitHub\eaglep3\Utilities\RefineRTDCRunTimes.py" --tripid 55-02 --locoid 4051 --swversion DE.1.0.9.0 --startMP 300:22292 --initTime 2017-07-02T02:41:35 --startdatetime 2017-07-02T02:46:10 --delay 4 --endMP 204:1156 --enddatetime 2017-07-02T02:56:52 --enforcementcount 0 &gt;&gt;C:\Users\stu\Documents\GitHub\eaglep3-reporting\EC\2017-07-01-refined-times.txt</v>
      </c>
      <c r="AI216" s="96" t="str">
        <f t="shared" si="83"/>
        <v>echo {"issue":{"subject":"","project_id":79,"tracker_id":40,"status_id":1,"priority_id":2,"assigned_to_id":23,"start_date":"2017-07-02","description":"","custom_fields":[{"id":1,"name":"Subdivision","value":"Shuttle/Test"},{"id":4,"name":"Milepost","value":"0.1156"},{"id":17,"name":"Train ID","value":"55-02"},{"id":16,"name":"Locomotive ID","value":"4051"},{"id":130,"name":"Impact","value":""},{"id":150,"name":"Time of Event (Mountain Time)","value":"02:56:52"},{"id":151,"name":"Denver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6" s="20"/>
      <c r="AK216" s="47"/>
      <c r="AL216" s="47"/>
      <c r="AM216" s="142" t="str">
        <f t="shared" si="84"/>
        <v>start /low /b %USERPROFILE%\Documents\GitHub\eaglep3\Utilities\DownloadLogsFromS3.py --loco 4051 --day 2017-07-02</v>
      </c>
      <c r="AN216" s="151" t="str">
        <f t="shared" si="85"/>
        <v>echo {"issue":{"subject":"","project_id":30,"tracker_id":4,"status_id":1,"priority_id":1,"assigned_to_id":10,"start_date":"2017-07-02","description":"","custom_fields":[{"id":30,"name":"Category","value":"Issue"},{"id":3,"name":"Functional Component","value":"Onboard"},{"id":31,"name":"Version","value":"N/A"},{"id":8,"name":"Reporting RR","value":"WABTEC"},{"id":27,"name":"Locomotive ID","value":"4051"},{"id":20,"name":"RR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UTC","value":"2017-07-02 08:56:52"},{"id":29,"name":"Sharepoint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6"/>
    </row>
    <row r="217" spans="1:91" s="20" customFormat="1" x14ac:dyDescent="0.25">
      <c r="A217" s="32" t="s">
        <v>830</v>
      </c>
      <c r="B217" s="7">
        <v>4015</v>
      </c>
      <c r="C217" s="21" t="s">
        <v>202</v>
      </c>
      <c r="D217" s="21" t="s">
        <v>1015</v>
      </c>
      <c r="E217" s="13">
        <v>42917.741782407407</v>
      </c>
      <c r="F217" s="13">
        <v>42917.74491898148</v>
      </c>
      <c r="G217" s="7">
        <v>4</v>
      </c>
      <c r="H217" s="21" t="s">
        <v>1016</v>
      </c>
      <c r="I217" s="13">
        <v>42917.763645833336</v>
      </c>
      <c r="J217" s="7">
        <v>0</v>
      </c>
      <c r="K217" s="89" t="str">
        <f t="shared" si="71"/>
        <v>4015/4016</v>
      </c>
      <c r="L217" s="21" t="str">
        <f>VLOOKUP(A217,'Trips&amp;Operators'!$C$1:$G$99999,5,FALSE)</f>
        <v>ZEWDU DEREJE</v>
      </c>
      <c r="M217" s="6">
        <f t="shared" si="72"/>
        <v>1.8726851856627036E-2</v>
      </c>
      <c r="N217" s="7">
        <f>24*60*SUM($M217:$M217)</f>
        <v>26.966666673542932</v>
      </c>
      <c r="O217" s="7"/>
      <c r="P217" s="7"/>
      <c r="Q217" s="22"/>
      <c r="R217" s="170"/>
      <c r="S217" s="213">
        <f t="shared" si="69"/>
        <v>1</v>
      </c>
      <c r="T217" s="195" t="str">
        <f t="shared" si="73"/>
        <v>Southbound</v>
      </c>
      <c r="U217" s="195">
        <f>IF(AG217="EC",COUNTIFS(Variables!$M$2:$M$19,IF(T217="NorthBound","&gt;=","&lt;=")&amp;Y217,Variables!$M$2:$M$19,IF(T217="NorthBound","&lt;=","&gt;=")&amp;Z217),COUNTIFS(Variables!$P$2:$P$19,IF(T217="NorthBound","&gt;=","&lt;=")&amp;Y217,Variables!$P$2:$P$19,IF(T217="NorthBound","&lt;=","&gt;=")&amp;Z217))</f>
        <v>1</v>
      </c>
      <c r="V217" s="196" t="str">
        <f t="shared" si="74"/>
        <v>https://d0f6bd738d7f1b3e5a7ca70fe4ff75f0.us-east-1.aws.found.io/app/kibana#/discover/Steve-Slow-Train-Analysis-(2080s-and-2083s)?_g=(refreshInterval:(display:Off,pause:!f,section:0,value:0),time:(from:'2017-07-01T16:48:10-0600',mode:absolute,to:'2017-07-01T19:19:39-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217" s="197" t="str">
        <f>IF(AA217&lt;VLOOKUP(AG217,Variables!$AC$3:$AD$8,2,FALSE),"Y","N")</f>
        <v>Y</v>
      </c>
      <c r="X217" s="197">
        <f t="shared" si="70"/>
        <v>15</v>
      </c>
      <c r="Y217" s="197">
        <f t="shared" si="75"/>
        <v>2.3197000000000001</v>
      </c>
      <c r="Z217" s="197">
        <f t="shared" si="76"/>
        <v>0.106</v>
      </c>
      <c r="AA217" s="197">
        <f t="shared" si="77"/>
        <v>2.2137000000000002</v>
      </c>
      <c r="AB217" s="54" t="e">
        <f>VLOOKUP(A217,Enforcements!$C$7:$K$13,8,0)</f>
        <v>#N/A</v>
      </c>
      <c r="AC217" s="51" t="e">
        <f>VLOOKUP(A217,Enforcements!$C$7:$E$13,3,0)</f>
        <v>#N/A</v>
      </c>
      <c r="AD217" s="206">
        <f t="shared" si="78"/>
        <v>70</v>
      </c>
      <c r="AE217" s="77" t="str">
        <f t="shared" si="79"/>
        <v>aws s3 cp s3://rtdc.mdm.uploadarchive.raw/RTDC4015/ "%USERPROFILE%\AppData\Local\Temp\OnboardLogs"\RTDC4015\2017-07-01 --exclude "*" --recursive --include "*20170701*" &amp; "%USERPROFILE%\Documents\GitHub\mrs-test-scripts\Headless Mode &amp; Sideloading\WalkAndUnGZ.bat" "%USERPROFILE%\AppData\Local\Temp\OnboardLogs"\RTDC4015\2017-07-01 &amp; aws s3 cp s3://rtdc.mdm.uploadarchive.raw/RTDC4015/ "%USERPROFILE%\AppData\Local\Temp\OnboardLogs"\RTDC4015\2017-07-02 --exclude "*" --recursive --include "*20170702*" &amp; "%USERPROFILE%\Documents\GitHub\mrs-test-scripts\Headless Mode &amp; Sideloading\WalkAndUnGZ.bat" "%USERPROFILE%\AppData\Local\Temp\OnboardLogs"\RTDC4015\2017-07-02</v>
      </c>
      <c r="AF217" s="74" t="str">
        <f t="shared" si="80"/>
        <v>"C:\Program Files (x86)\AstroGrep\AstroGrep.exe" /e /r /s /spath="%USERPROFILE%\AppData\Local\Temp\OnboardLogs" /stypes="app*4015*20170702*" /stext=" 00:.+((SYSTEM_STATE.+slice.+state.+changed )|(ment ac)|(multiple cpu faults)|(system.+state.+changed )|(\[timeout)|(PRM\|1\|D)|(kpr)|(kdp)|(train st.+moving)|(\|lc)|(penalty))"</v>
      </c>
      <c r="AG217" s="209" t="str">
        <f t="shared" si="81"/>
        <v>Shuttle/Test</v>
      </c>
      <c r="AH217" s="78" t="str">
        <f t="shared" si="82"/>
        <v>"%USERPROFILE%\Documents\GitHub\eaglep3\Utilities\RefineRTDCRunTimes.py" --tripid 70-01 --locoid 4015 --swversion DE.1.0.9.0 --startMP 300:23197 --initTime 2017-07-01T17:48:10 --startdatetime 2017-07-01T17:52:41 --delay 4 --endMP 204:1060 --enddatetime 2017-07-01T18:19:39 --enforcementcount 0 &gt;&gt;C:\Users\stu\Documents\GitHub\eaglep3-reporting\EC\2017-07-01-refined-times.txt</v>
      </c>
      <c r="AI217" s="96" t="str">
        <f t="shared" si="83"/>
        <v>echo {"issue":{"subject":"","project_id":79,"tracker_id":40,"status_id":1,"priority_id":2,"assigned_to_id":23,"start_date":"2017-07-01","description":"","custom_fields":[{"id":1,"name":"Subdivision","value":"Shuttle/Test"},{"id":4,"name":"Milepost","value":"0.106"},{"id":17,"name":"Train ID","value":"70-01"},{"id":16,"name":"Locomotive ID","value":"4015"},{"id":130,"name":"Impact","value":""},{"id":150,"name":"Time of Event (Mountain Time)","value":"18:19:39"},{"id":151,"name":"Denver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217" s="47"/>
      <c r="AL217" s="47"/>
      <c r="AM217" s="142" t="str">
        <f t="shared" si="84"/>
        <v>start /low /b %USERPROFILE%\Documents\GitHub\eaglep3\Utilities\DownloadLogsFromS3.py --loco 4015 --day 2017-07-01</v>
      </c>
      <c r="AN217" s="151" t="str">
        <f t="shared" si="85"/>
        <v>echo {"issue":{"subject":"","project_id":30,"tracker_id":4,"status_id":1,"priority_id":1,"assigned_to_id":10,"start_date":"2017-07-02","description":"","custom_fields":[{"id":30,"name":"Category","value":"Issue"},{"id":3,"name":"Functional Component","value":"Onboard"},{"id":31,"name":"Version","value":"N/A"},{"id":8,"name":"Reporting RR","value":"WABTEC"},{"id":27,"name":"Locomotive ID","value":"4015"},{"id":20,"name":"RR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UTC","value":"2017-07-02 00:19:39"},{"id":29,"name":"Sharepoint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7"/>
      <c r="AP217"/>
      <c r="AQ217"/>
      <c r="AR217"/>
      <c r="AS217"/>
      <c r="AT217"/>
      <c r="AU217"/>
      <c r="AV217"/>
      <c r="AW217"/>
      <c r="AX217"/>
      <c r="AY217"/>
      <c r="AZ217"/>
      <c r="BA217"/>
      <c r="BB217"/>
      <c r="BC217"/>
      <c r="BD217"/>
      <c r="BE217"/>
      <c r="BF217"/>
      <c r="BG217"/>
      <c r="BH217"/>
      <c r="BI217"/>
      <c r="BJ217"/>
      <c r="BK217"/>
      <c r="BL217"/>
      <c r="BM217"/>
      <c r="BN217"/>
      <c r="BO217"/>
      <c r="BP217"/>
      <c r="BQ217"/>
      <c r="BR217"/>
      <c r="BS217"/>
      <c r="BT217"/>
      <c r="BU217"/>
      <c r="BV217"/>
      <c r="BW217"/>
      <c r="BX217"/>
      <c r="BY217"/>
      <c r="BZ217"/>
      <c r="CA217"/>
      <c r="CB217"/>
      <c r="CC217"/>
      <c r="CD217"/>
      <c r="CE217"/>
      <c r="CF217"/>
      <c r="CG217"/>
      <c r="CH217"/>
      <c r="CI217"/>
      <c r="CJ217"/>
      <c r="CK217"/>
      <c r="CL217"/>
      <c r="CM217"/>
    </row>
    <row r="218" spans="1:91" x14ac:dyDescent="0.25">
      <c r="A218" s="32" t="s">
        <v>686</v>
      </c>
      <c r="B218" s="7">
        <v>4012</v>
      </c>
      <c r="C218" s="21" t="s">
        <v>202</v>
      </c>
      <c r="D218" s="21" t="s">
        <v>1017</v>
      </c>
      <c r="E218" s="13">
        <v>42917.082013888888</v>
      </c>
      <c r="F218" s="13">
        <v>42917.083611111113</v>
      </c>
      <c r="G218" s="7">
        <v>1</v>
      </c>
      <c r="H218" s="21" t="s">
        <v>621</v>
      </c>
      <c r="I218" s="13">
        <v>42917.094282407408</v>
      </c>
      <c r="J218" s="7">
        <v>0</v>
      </c>
      <c r="K218" s="89" t="str">
        <f t="shared" si="71"/>
        <v>4011/4012</v>
      </c>
      <c r="L218" s="21" t="str">
        <f>VLOOKUP(A218,'Trips&amp;Operators'!$C$1:$G$99999,5,FALSE)</f>
        <v>BIRENBAUM THOMAS</v>
      </c>
      <c r="M218" s="6">
        <f t="shared" si="72"/>
        <v>1.0671296295186039E-2</v>
      </c>
      <c r="N218" s="7">
        <f>24*60*SUM($M218:$M218)</f>
        <v>15.366666665067896</v>
      </c>
      <c r="O218" s="7"/>
      <c r="P218" s="7"/>
      <c r="Q218" s="22"/>
      <c r="R218" s="170"/>
      <c r="S218" s="213">
        <f t="shared" si="69"/>
        <v>1</v>
      </c>
      <c r="T218" s="195" t="str">
        <f t="shared" si="73"/>
        <v>NorthBound</v>
      </c>
      <c r="U218" s="195">
        <f>IF(AG218="EC",COUNTIFS(Variables!$M$2:$M$19,IF(T218="NorthBound","&gt;=","&lt;=")&amp;Y218,Variables!$M$2:$M$19,IF(T218="NorthBound","&lt;=","&gt;=")&amp;Z218),COUNTIFS(Variables!$P$2:$P$19,IF(T218="NorthBound","&gt;=","&lt;=")&amp;Y218,Variables!$P$2:$P$19,IF(T218="NorthBound","&lt;=","&gt;=")&amp;Z218))</f>
        <v>1</v>
      </c>
      <c r="V218" s="196" t="str">
        <f t="shared" si="74"/>
        <v>https://d0f6bd738d7f1b3e5a7ca70fe4ff75f0.us-east-1.aws.found.io/app/kibana#/discover/Steve-Slow-Train-Analysis-(2080s-and-2083s)?_g=(refreshInterval:(display:Off,pause:!f,section:0,value:0),time:(from:'2017-07-01T00:58:06-0600',mode:absolute,to:'2017-07-01T03:15:46-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218" s="197" t="str">
        <f>IF(AA218&lt;VLOOKUP(AG218,Variables!$AC$3:$AD$8,2,FALSE),"Y","N")</f>
        <v>Y</v>
      </c>
      <c r="X218" s="197">
        <f t="shared" si="70"/>
        <v>13</v>
      </c>
      <c r="Y218" s="197">
        <f t="shared" si="75"/>
        <v>6.7400000000000002E-2</v>
      </c>
      <c r="Z218" s="197">
        <f t="shared" si="76"/>
        <v>2.3285</v>
      </c>
      <c r="AA218" s="197">
        <f t="shared" si="77"/>
        <v>2.2610999999999999</v>
      </c>
      <c r="AB218" s="54" t="e">
        <f>VLOOKUP(A218,Enforcements!$C$7:$K$13,8,0)</f>
        <v>#N/A</v>
      </c>
      <c r="AC218" s="51" t="e">
        <f>VLOOKUP(A218,Enforcements!$C$7:$E$13,3,0)</f>
        <v>#N/A</v>
      </c>
      <c r="AD218" s="206">
        <f t="shared" si="78"/>
        <v>83</v>
      </c>
      <c r="AE218" s="77" t="str">
        <f t="shared" si="79"/>
        <v>aws s3 cp s3://rtdc.mdm.uploadarchive.raw/RTDC4012/ "%USERPROFILE%\AppData\Local\Temp\OnboardLogs"\RTDC4012\2017-07-01 --exclude "*" --recursive --include "*20170701*" &amp; "%USERPROFILE%\Documents\GitHub\mrs-test-scripts\Headless Mode &amp; Sideloading\WalkAndUnGZ.bat" "%USERPROFILE%\AppData\Local\Temp\OnboardLogs"\RTDC4012\2017-07-01 &amp; aws s3 cp s3://rtdc.mdm.uploadarchive.raw/RTDC4012/ "%USERPROFILE%\AppData\Local\Temp\OnboardLogs"\RTDC4012\2017-07-02 --exclude "*" --recursive --include "*20170702*" &amp; "%USERPROFILE%\Documents\GitHub\mrs-test-scripts\Headless Mode &amp; Sideloading\WalkAndUnGZ.bat" "%USERPROFILE%\AppData\Local\Temp\OnboardLogs"\RTDC4012\2017-07-02</v>
      </c>
      <c r="AF218" s="74" t="str">
        <f t="shared" si="80"/>
        <v>"C:\Program Files (x86)\AstroGrep\AstroGrep.exe" /e /r /s /spath="%USERPROFILE%\AppData\Local\Temp\OnboardLogs" /stypes="app*4012*20170701*" /stext=" 08:.+((SYSTEM_STATE.+slice.+state.+changed )|(ment ac)|(multiple cpu faults)|(system.+state.+changed )|(\[timeout)|(PRM\|1\|D)|(kpr)|(kdp)|(train st.+moving)|(\|lc)|(penalty))"</v>
      </c>
      <c r="AG218" s="209" t="str">
        <f t="shared" si="81"/>
        <v>Shuttle/Test</v>
      </c>
      <c r="AH218" s="78" t="str">
        <f t="shared" si="82"/>
        <v>"%USERPROFILE%\Documents\GitHub\eaglep3\Utilities\RefineRTDCRunTimes.py" --tripid 83-30 --locoid 4012 --swversion DE.1.0.9.0 --startMP 204:674 --initTime 2017-07-01T01:58:06 --startdatetime 2017-07-01T02:00:24 --delay 1 --endMP 300:23285 --enddatetime 2017-07-01T02:15:46 --enforcementcount 0 &gt;&gt;C:\Users\stu\Documents\GitHub\eaglep3-reporting\EC\2017-07-01-refined-times.txt</v>
      </c>
      <c r="AI218" s="96" t="str">
        <f t="shared" si="83"/>
        <v>echo {"issue":{"subject":"","project_id":79,"tracker_id":40,"status_id":1,"priority_id":2,"assigned_to_id":23,"start_date":"2017-07-01","description":"","custom_fields":[{"id":1,"name":"Subdivision","value":"Shuttle/Test"},{"id":4,"name":"Milepost","value":"2.3285"},{"id":17,"name":"Train ID","value":"83-30"},{"id":16,"name":"Locomotive ID","value":"4012"},{"id":130,"name":"Impact","value":""},{"id":150,"name":"Time of Event (Mountain Time)","value":"02:15:46"},{"id":151,"name":"Denver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8" s="20"/>
      <c r="AK218" s="47"/>
      <c r="AL218" s="47"/>
      <c r="AM218" s="142" t="str">
        <f t="shared" si="84"/>
        <v>start /low /b %USERPROFILE%\Documents\GitHub\eaglep3\Utilities\DownloadLogsFromS3.py --loco 4012 --day 2017-07-01</v>
      </c>
      <c r="AN218" s="151" t="str">
        <f t="shared" si="85"/>
        <v>echo {"issue":{"subject":"","project_id":30,"tracker_id":4,"status_id":1,"priority_id":1,"assigned_to_id":10,"start_date":"2017-07-01","description":"","custom_fields":[{"id":30,"name":"Category","value":"Issue"},{"id":3,"name":"Functional Component","value":"Onboard"},{"id":31,"name":"Version","value":"N/A"},{"id":8,"name":"Reporting RR","value":"WABTEC"},{"id":27,"name":"Locomotive ID","value":"4012"},{"id":20,"name":"RR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UTC","value":"2017-07-01 08:15:46"},{"id":29,"name":"Sharepoint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8"/>
    </row>
    <row r="219" spans="1:91" x14ac:dyDescent="0.25">
      <c r="A219"/>
      <c r="B219"/>
      <c r="C219"/>
      <c r="D219"/>
      <c r="E219"/>
      <c r="F219"/>
      <c r="G219"/>
      <c r="H219"/>
      <c r="I219"/>
      <c r="J219"/>
      <c r="K219"/>
      <c r="L219"/>
      <c r="M219"/>
      <c r="N219"/>
      <c r="O219"/>
      <c r="P219"/>
      <c r="R219"/>
      <c r="S219"/>
      <c r="T219"/>
      <c r="U219"/>
      <c r="V219"/>
      <c r="W219"/>
      <c r="X219"/>
      <c r="Y219"/>
      <c r="Z219"/>
      <c r="AA219"/>
      <c r="AB219"/>
      <c r="AC219"/>
      <c r="AD219"/>
      <c r="AE219"/>
      <c r="AF219"/>
      <c r="AG219"/>
      <c r="AH219"/>
      <c r="AI219"/>
      <c r="AM219"/>
      <c r="AO219"/>
    </row>
    <row r="220" spans="1:91" s="20" customFormat="1" x14ac:dyDescent="0.25">
      <c r="A220"/>
      <c r="B220"/>
      <c r="C220"/>
      <c r="D220"/>
      <c r="E220"/>
      <c r="F220"/>
      <c r="G220"/>
      <c r="H220"/>
      <c r="I220"/>
      <c r="J220"/>
      <c r="K220"/>
      <c r="L220"/>
      <c r="M220"/>
      <c r="N220"/>
      <c r="O220"/>
      <c r="P220"/>
      <c r="Q220"/>
      <c r="R220"/>
      <c r="S220"/>
      <c r="T220"/>
      <c r="U220"/>
      <c r="V220"/>
      <c r="W220"/>
      <c r="X220"/>
      <c r="Y220"/>
      <c r="Z220"/>
      <c r="AA220"/>
      <c r="AB220"/>
      <c r="AC220"/>
      <c r="AD220"/>
      <c r="AE220"/>
      <c r="AF220"/>
      <c r="AG220"/>
      <c r="AH220"/>
      <c r="AI220"/>
      <c r="AJ220"/>
      <c r="AK220"/>
      <c r="AL220"/>
      <c r="AM220"/>
      <c r="AN220"/>
      <c r="AO220"/>
      <c r="AP220"/>
      <c r="AQ220"/>
      <c r="AR220"/>
      <c r="AS220"/>
      <c r="AT220"/>
      <c r="AU220"/>
      <c r="AV220"/>
      <c r="AW220"/>
      <c r="AX220"/>
      <c r="AY220"/>
      <c r="AZ220"/>
      <c r="BA220"/>
      <c r="BB220"/>
      <c r="BC220"/>
      <c r="BD220"/>
      <c r="BE220"/>
      <c r="BF220"/>
      <c r="BG220"/>
      <c r="BH220"/>
      <c r="BI220"/>
      <c r="BJ220"/>
      <c r="BK220"/>
      <c r="BL220"/>
      <c r="BM220"/>
      <c r="BN220"/>
      <c r="BO220"/>
      <c r="BP220"/>
      <c r="BQ220"/>
      <c r="BR220"/>
      <c r="BS220"/>
      <c r="BT220"/>
      <c r="BU220"/>
      <c r="BV220"/>
      <c r="BW220"/>
      <c r="BX220"/>
      <c r="BY220"/>
      <c r="BZ220"/>
      <c r="CA220"/>
      <c r="CB220"/>
      <c r="CC220"/>
      <c r="CD220"/>
      <c r="CE220"/>
      <c r="CF220"/>
      <c r="CG220"/>
      <c r="CH220"/>
      <c r="CI220"/>
      <c r="CJ220"/>
      <c r="CK220"/>
      <c r="CL220"/>
      <c r="CM220"/>
    </row>
    <row r="221" spans="1:91" x14ac:dyDescent="0.25">
      <c r="A221"/>
      <c r="B221"/>
      <c r="C221"/>
      <c r="D221"/>
      <c r="E221"/>
      <c r="F221"/>
      <c r="G221"/>
      <c r="H221"/>
      <c r="I221"/>
      <c r="J221"/>
      <c r="K221"/>
      <c r="L221"/>
      <c r="M221"/>
      <c r="N221"/>
      <c r="O221"/>
      <c r="P221"/>
      <c r="R221"/>
      <c r="S221"/>
      <c r="T221"/>
      <c r="U221"/>
      <c r="V221"/>
      <c r="W221"/>
      <c r="X221"/>
      <c r="Y221"/>
      <c r="Z221"/>
      <c r="AA221"/>
      <c r="AB221"/>
      <c r="AC221"/>
      <c r="AD221"/>
      <c r="AE221"/>
      <c r="AF221"/>
      <c r="AG221"/>
      <c r="AH221"/>
      <c r="AI221"/>
      <c r="AM221"/>
      <c r="AO221"/>
    </row>
    <row r="222" spans="1:91" x14ac:dyDescent="0.25">
      <c r="A222"/>
      <c r="B222"/>
      <c r="C222"/>
      <c r="D222"/>
      <c r="E222"/>
      <c r="F222"/>
      <c r="G222"/>
      <c r="H222"/>
      <c r="I222"/>
      <c r="J222"/>
      <c r="K222"/>
      <c r="L222"/>
      <c r="M222"/>
      <c r="N222"/>
      <c r="O222"/>
      <c r="P222"/>
      <c r="R222"/>
      <c r="S222"/>
      <c r="T222"/>
      <c r="U222"/>
      <c r="V222"/>
      <c r="W222"/>
      <c r="X222"/>
      <c r="Y222"/>
      <c r="Z222"/>
      <c r="AA222"/>
      <c r="AB222"/>
      <c r="AC222"/>
      <c r="AD222"/>
      <c r="AE222"/>
      <c r="AF222"/>
      <c r="AG222"/>
      <c r="AH222"/>
      <c r="AI222"/>
      <c r="AM222"/>
      <c r="AO222"/>
    </row>
    <row r="223" spans="1:91" x14ac:dyDescent="0.25">
      <c r="A223"/>
      <c r="B223"/>
      <c r="C223"/>
      <c r="D223"/>
      <c r="E223"/>
      <c r="F223"/>
      <c r="G223"/>
      <c r="H223"/>
      <c r="I223"/>
      <c r="J223"/>
      <c r="K223"/>
      <c r="L223"/>
      <c r="M223"/>
      <c r="N223"/>
      <c r="O223"/>
      <c r="P223"/>
      <c r="R223"/>
      <c r="S223"/>
      <c r="T223"/>
      <c r="U223"/>
      <c r="V223"/>
      <c r="W223"/>
      <c r="X223"/>
      <c r="Y223"/>
      <c r="Z223"/>
      <c r="AA223"/>
      <c r="AB223"/>
      <c r="AC223"/>
      <c r="AD223"/>
      <c r="AE223"/>
      <c r="AF223"/>
      <c r="AG223"/>
      <c r="AH223"/>
      <c r="AI223"/>
      <c r="AM223"/>
      <c r="AO223"/>
    </row>
    <row r="224" spans="1:91" x14ac:dyDescent="0.25">
      <c r="A224"/>
      <c r="B224"/>
      <c r="C224"/>
      <c r="D224"/>
      <c r="E224"/>
      <c r="F224"/>
      <c r="G224"/>
      <c r="H224"/>
      <c r="I224"/>
      <c r="J224"/>
      <c r="K224"/>
      <c r="L224"/>
      <c r="M224"/>
      <c r="N224"/>
      <c r="O224"/>
      <c r="P224"/>
      <c r="R224"/>
      <c r="S224"/>
      <c r="T224"/>
      <c r="U224"/>
      <c r="V224"/>
      <c r="W224"/>
      <c r="X224"/>
      <c r="Y224"/>
      <c r="Z224"/>
      <c r="AA224"/>
      <c r="AB224"/>
      <c r="AC224"/>
      <c r="AD224"/>
      <c r="AE224"/>
      <c r="AF224"/>
      <c r="AG224"/>
      <c r="AH224"/>
      <c r="AI224"/>
      <c r="AM224"/>
      <c r="AO224"/>
    </row>
    <row r="225" spans="1:91" x14ac:dyDescent="0.25">
      <c r="A225"/>
      <c r="B225"/>
      <c r="C225"/>
      <c r="D225"/>
      <c r="E225"/>
      <c r="F225"/>
      <c r="G225"/>
      <c r="H225"/>
      <c r="I225"/>
      <c r="J225"/>
      <c r="K225"/>
      <c r="L225"/>
      <c r="M225"/>
      <c r="N225"/>
      <c r="O225"/>
      <c r="P225"/>
      <c r="R225"/>
      <c r="S225"/>
      <c r="T225"/>
      <c r="U225"/>
      <c r="V225"/>
      <c r="W225"/>
      <c r="X225"/>
      <c r="Y225"/>
      <c r="Z225"/>
      <c r="AA225"/>
      <c r="AB225"/>
      <c r="AC225"/>
      <c r="AD225"/>
      <c r="AE225"/>
      <c r="AF225"/>
      <c r="AG225"/>
      <c r="AH225"/>
      <c r="AI225"/>
      <c r="AM225"/>
      <c r="AO225"/>
    </row>
    <row r="226" spans="1:91" x14ac:dyDescent="0.25">
      <c r="A226"/>
      <c r="B226"/>
      <c r="C226"/>
      <c r="D226"/>
      <c r="E226"/>
      <c r="F226"/>
      <c r="G226"/>
      <c r="H226"/>
      <c r="I226"/>
      <c r="J226"/>
      <c r="K226"/>
      <c r="L226"/>
      <c r="M226"/>
      <c r="N226"/>
      <c r="O226"/>
      <c r="P226"/>
      <c r="R226"/>
      <c r="S226"/>
      <c r="T226"/>
      <c r="U226"/>
      <c r="V226"/>
      <c r="W226"/>
      <c r="X226"/>
      <c r="Y226"/>
      <c r="Z226"/>
      <c r="AA226"/>
      <c r="AB226"/>
      <c r="AC226"/>
      <c r="AD226"/>
      <c r="AE226"/>
      <c r="AF226"/>
      <c r="AG226"/>
      <c r="AH226"/>
      <c r="AI226"/>
      <c r="AM226"/>
      <c r="AO226"/>
    </row>
    <row r="227" spans="1:91" x14ac:dyDescent="0.25">
      <c r="A227"/>
      <c r="B227"/>
      <c r="C227"/>
      <c r="D227"/>
      <c r="E227"/>
      <c r="F227"/>
      <c r="G227"/>
      <c r="H227"/>
      <c r="I227"/>
      <c r="J227"/>
      <c r="K227"/>
      <c r="L227"/>
      <c r="M227"/>
      <c r="N227"/>
      <c r="O227"/>
      <c r="P227"/>
      <c r="R227"/>
      <c r="S227"/>
      <c r="T227"/>
      <c r="U227"/>
      <c r="V227"/>
      <c r="W227"/>
      <c r="X227"/>
      <c r="Y227"/>
      <c r="Z227"/>
      <c r="AA227"/>
      <c r="AB227"/>
      <c r="AC227"/>
      <c r="AD227"/>
      <c r="AE227"/>
      <c r="AF227"/>
      <c r="AG227"/>
      <c r="AH227"/>
      <c r="AI227"/>
      <c r="AM227"/>
      <c r="AO227"/>
    </row>
    <row r="228" spans="1:91" x14ac:dyDescent="0.25">
      <c r="A228"/>
      <c r="B228"/>
      <c r="C228"/>
      <c r="D228"/>
      <c r="E228"/>
      <c r="F228"/>
      <c r="G228"/>
      <c r="H228"/>
      <c r="I228"/>
      <c r="J228"/>
      <c r="K228"/>
      <c r="L228"/>
      <c r="M228"/>
      <c r="N228"/>
      <c r="O228"/>
      <c r="P228"/>
      <c r="R228"/>
      <c r="S228"/>
      <c r="T228"/>
      <c r="U228"/>
      <c r="V228"/>
      <c r="W228"/>
      <c r="X228"/>
      <c r="Y228"/>
      <c r="Z228"/>
      <c r="AA228"/>
      <c r="AB228"/>
      <c r="AC228"/>
      <c r="AD228"/>
      <c r="AE228"/>
      <c r="AF228"/>
      <c r="AG228"/>
      <c r="AH228"/>
      <c r="AI228"/>
      <c r="AM228"/>
      <c r="AO228"/>
    </row>
    <row r="229" spans="1:91" x14ac:dyDescent="0.25">
      <c r="A229"/>
      <c r="B229"/>
      <c r="C229"/>
      <c r="D229"/>
      <c r="E229"/>
      <c r="F229"/>
      <c r="G229"/>
      <c r="H229"/>
      <c r="I229"/>
      <c r="J229"/>
      <c r="K229"/>
      <c r="L229"/>
      <c r="M229"/>
      <c r="N229"/>
      <c r="O229"/>
      <c r="P229"/>
      <c r="R229"/>
      <c r="S229"/>
      <c r="T229"/>
      <c r="U229"/>
      <c r="V229"/>
      <c r="W229"/>
      <c r="X229"/>
      <c r="Y229"/>
      <c r="Z229"/>
      <c r="AA229"/>
      <c r="AB229"/>
      <c r="AC229"/>
      <c r="AD229"/>
      <c r="AE229"/>
      <c r="AF229"/>
      <c r="AG229"/>
      <c r="AH229"/>
      <c r="AI229"/>
      <c r="AM229"/>
      <c r="AO229"/>
    </row>
    <row r="230" spans="1:91" x14ac:dyDescent="0.25">
      <c r="A230"/>
      <c r="B230"/>
      <c r="C230"/>
      <c r="D230"/>
      <c r="E230"/>
      <c r="F230"/>
      <c r="G230"/>
      <c r="H230"/>
      <c r="I230"/>
      <c r="J230"/>
      <c r="K230"/>
      <c r="L230"/>
      <c r="M230"/>
      <c r="N230"/>
      <c r="O230"/>
      <c r="P230"/>
      <c r="R230"/>
      <c r="S230"/>
      <c r="T230"/>
      <c r="U230"/>
      <c r="V230"/>
      <c r="W230"/>
      <c r="X230"/>
      <c r="Y230"/>
      <c r="Z230"/>
      <c r="AA230"/>
      <c r="AB230"/>
      <c r="AC230"/>
      <c r="AD230"/>
      <c r="AE230"/>
      <c r="AF230"/>
      <c r="AG230"/>
      <c r="AH230"/>
      <c r="AI230"/>
      <c r="AM230"/>
      <c r="AO230"/>
    </row>
    <row r="231" spans="1:91" s="20" customFormat="1" x14ac:dyDescent="0.25">
      <c r="A231"/>
      <c r="B231"/>
      <c r="C231"/>
      <c r="D231"/>
      <c r="E231"/>
      <c r="F231"/>
      <c r="G231"/>
      <c r="H231"/>
      <c r="I231"/>
      <c r="J231"/>
      <c r="K231"/>
      <c r="L231"/>
      <c r="M231"/>
      <c r="N231"/>
      <c r="O231"/>
      <c r="P231"/>
      <c r="Q231"/>
      <c r="R231"/>
      <c r="S231"/>
      <c r="T231"/>
      <c r="U231"/>
      <c r="V231"/>
      <c r="W231"/>
      <c r="X231"/>
      <c r="Y231"/>
      <c r="Z231"/>
      <c r="AA231"/>
      <c r="AB231"/>
      <c r="AC231"/>
      <c r="AD231"/>
      <c r="AE231"/>
      <c r="AF231"/>
      <c r="AG231"/>
      <c r="AH231"/>
      <c r="AI231"/>
      <c r="AJ231"/>
      <c r="AK231"/>
      <c r="AL231"/>
      <c r="AM231"/>
      <c r="AN231"/>
      <c r="AO231"/>
      <c r="AP231"/>
      <c r="AQ231"/>
      <c r="AR231"/>
      <c r="AS231"/>
      <c r="AT231"/>
      <c r="AU231"/>
      <c r="AV231"/>
      <c r="AW231"/>
      <c r="AX231"/>
      <c r="AY231"/>
      <c r="AZ231"/>
      <c r="BA231"/>
      <c r="BB231"/>
      <c r="BC231"/>
      <c r="BD231"/>
      <c r="BE231"/>
      <c r="BF231"/>
      <c r="BG231"/>
      <c r="BH231"/>
      <c r="BI231"/>
      <c r="BJ231"/>
      <c r="BK231"/>
      <c r="BL231"/>
      <c r="BM231"/>
      <c r="BN231"/>
      <c r="BO231"/>
      <c r="BP231"/>
      <c r="BQ231"/>
      <c r="BR231"/>
      <c r="BS231"/>
      <c r="BT231"/>
      <c r="BU231"/>
      <c r="BV231"/>
      <c r="BW231"/>
      <c r="BX231"/>
      <c r="BY231"/>
      <c r="BZ231"/>
      <c r="CA231"/>
      <c r="CB231"/>
      <c r="CC231"/>
      <c r="CD231"/>
      <c r="CE231"/>
      <c r="CF231"/>
      <c r="CG231"/>
      <c r="CH231"/>
      <c r="CI231"/>
      <c r="CJ231"/>
      <c r="CK231"/>
      <c r="CL231"/>
      <c r="CM231"/>
    </row>
    <row r="232" spans="1:91" x14ac:dyDescent="0.25">
      <c r="A232"/>
      <c r="B232"/>
      <c r="C232"/>
      <c r="D232"/>
      <c r="E232"/>
      <c r="F232"/>
      <c r="G232"/>
      <c r="H232"/>
      <c r="I232"/>
      <c r="J232"/>
      <c r="K232"/>
      <c r="L232"/>
      <c r="M232"/>
      <c r="N232"/>
      <c r="O232"/>
      <c r="P232"/>
      <c r="R232"/>
      <c r="S232"/>
      <c r="T232"/>
      <c r="U232"/>
      <c r="V232"/>
      <c r="W232"/>
      <c r="X232"/>
      <c r="Y232"/>
      <c r="Z232"/>
      <c r="AA232"/>
      <c r="AB232"/>
      <c r="AC232"/>
      <c r="AD232"/>
      <c r="AE232"/>
      <c r="AF232"/>
      <c r="AG232"/>
      <c r="AH232"/>
      <c r="AI232"/>
      <c r="AM232"/>
      <c r="AO232"/>
    </row>
    <row r="233" spans="1:91" x14ac:dyDescent="0.25">
      <c r="A233"/>
      <c r="B233"/>
      <c r="C233"/>
      <c r="D233"/>
      <c r="E233"/>
      <c r="F233"/>
      <c r="G233"/>
      <c r="H233"/>
      <c r="I233"/>
      <c r="J233"/>
      <c r="K233"/>
      <c r="L233"/>
      <c r="M233"/>
      <c r="N233"/>
      <c r="O233"/>
      <c r="P233"/>
      <c r="R233"/>
      <c r="S233"/>
      <c r="T233"/>
      <c r="U233"/>
      <c r="V233"/>
      <c r="W233"/>
      <c r="X233"/>
      <c r="Y233"/>
      <c r="Z233"/>
      <c r="AA233"/>
      <c r="AB233"/>
      <c r="AC233"/>
      <c r="AD233"/>
      <c r="AE233"/>
      <c r="AF233"/>
      <c r="AG233"/>
      <c r="AH233"/>
      <c r="AI233"/>
      <c r="AM233"/>
      <c r="AO233"/>
    </row>
    <row r="234" spans="1:91" x14ac:dyDescent="0.25">
      <c r="A234"/>
      <c r="B234"/>
      <c r="C234"/>
      <c r="D234"/>
      <c r="E234"/>
      <c r="F234"/>
      <c r="G234"/>
      <c r="H234"/>
      <c r="I234"/>
      <c r="J234"/>
      <c r="K234"/>
      <c r="L234"/>
      <c r="M234"/>
      <c r="N234"/>
      <c r="O234"/>
      <c r="P234"/>
      <c r="R234"/>
      <c r="S234"/>
      <c r="T234"/>
      <c r="U234"/>
      <c r="V234"/>
      <c r="W234"/>
      <c r="X234"/>
      <c r="Y234"/>
      <c r="Z234"/>
      <c r="AA234"/>
      <c r="AB234"/>
      <c r="AC234"/>
      <c r="AD234"/>
      <c r="AE234"/>
      <c r="AF234"/>
      <c r="AG234"/>
      <c r="AH234"/>
      <c r="AI234"/>
      <c r="AM234"/>
      <c r="AO234"/>
    </row>
    <row r="235" spans="1:91" x14ac:dyDescent="0.25">
      <c r="A235"/>
      <c r="B235"/>
      <c r="C235"/>
      <c r="D235"/>
      <c r="E235"/>
      <c r="F235"/>
      <c r="G235"/>
      <c r="H235"/>
      <c r="I235"/>
      <c r="J235"/>
      <c r="K235"/>
      <c r="L235"/>
      <c r="M235"/>
      <c r="N235"/>
      <c r="O235"/>
      <c r="P235"/>
      <c r="R235"/>
      <c r="S235"/>
      <c r="T235"/>
      <c r="U235"/>
      <c r="V235"/>
      <c r="W235"/>
      <c r="X235"/>
      <c r="Y235"/>
      <c r="Z235"/>
      <c r="AA235"/>
      <c r="AB235"/>
      <c r="AC235"/>
      <c r="AD235"/>
      <c r="AE235"/>
      <c r="AF235"/>
      <c r="AG235"/>
      <c r="AH235"/>
      <c r="AI235"/>
      <c r="AM235"/>
      <c r="AO235"/>
    </row>
    <row r="236" spans="1:91" x14ac:dyDescent="0.25">
      <c r="A236"/>
      <c r="B236"/>
      <c r="C236"/>
      <c r="D236"/>
      <c r="E236"/>
      <c r="F236"/>
      <c r="G236"/>
      <c r="H236"/>
      <c r="I236"/>
      <c r="J236"/>
      <c r="K236"/>
      <c r="L236"/>
      <c r="M236"/>
      <c r="N236"/>
      <c r="O236"/>
      <c r="P236"/>
      <c r="R236"/>
      <c r="S236"/>
      <c r="T236"/>
      <c r="U236"/>
      <c r="V236"/>
      <c r="W236"/>
      <c r="X236"/>
      <c r="Y236"/>
      <c r="Z236"/>
      <c r="AA236"/>
      <c r="AB236"/>
      <c r="AC236"/>
      <c r="AD236"/>
      <c r="AE236"/>
      <c r="AF236"/>
      <c r="AG236"/>
      <c r="AH236"/>
      <c r="AI236"/>
      <c r="AM236"/>
      <c r="AO236"/>
    </row>
    <row r="237" spans="1:91" x14ac:dyDescent="0.25">
      <c r="A237"/>
      <c r="B237"/>
      <c r="C237"/>
      <c r="D237"/>
      <c r="E237"/>
      <c r="F237"/>
      <c r="G237"/>
      <c r="H237"/>
      <c r="I237"/>
      <c r="J237"/>
      <c r="K237"/>
      <c r="L237"/>
      <c r="M237"/>
      <c r="N237"/>
      <c r="O237"/>
      <c r="P237"/>
      <c r="R237"/>
      <c r="S237"/>
      <c r="T237"/>
      <c r="U237"/>
      <c r="V237"/>
      <c r="W237"/>
      <c r="X237"/>
      <c r="Y237"/>
      <c r="Z237"/>
      <c r="AA237"/>
      <c r="AB237"/>
      <c r="AC237"/>
      <c r="AD237"/>
      <c r="AE237"/>
      <c r="AF237"/>
      <c r="AG237"/>
      <c r="AH237"/>
      <c r="AI237"/>
      <c r="AM237"/>
      <c r="AO237"/>
    </row>
    <row r="238" spans="1:91" x14ac:dyDescent="0.25">
      <c r="A238"/>
      <c r="B238"/>
      <c r="C238"/>
      <c r="D238"/>
      <c r="E238"/>
      <c r="F238"/>
      <c r="G238"/>
      <c r="H238"/>
      <c r="I238"/>
      <c r="J238"/>
      <c r="K238"/>
      <c r="L238"/>
      <c r="M238"/>
      <c r="N238"/>
      <c r="O238"/>
      <c r="P238"/>
      <c r="R238"/>
      <c r="S238"/>
      <c r="T238"/>
      <c r="U238"/>
      <c r="V238"/>
      <c r="W238"/>
      <c r="X238"/>
      <c r="Y238"/>
      <c r="Z238"/>
      <c r="AA238"/>
      <c r="AB238"/>
      <c r="AC238"/>
      <c r="AD238"/>
      <c r="AE238"/>
      <c r="AF238"/>
      <c r="AG238"/>
      <c r="AH238"/>
      <c r="AI238"/>
      <c r="AM238"/>
      <c r="AO238"/>
    </row>
    <row r="239" spans="1:91" x14ac:dyDescent="0.25">
      <c r="A239"/>
      <c r="B239"/>
      <c r="C239"/>
      <c r="D239"/>
      <c r="E239"/>
      <c r="F239"/>
      <c r="G239"/>
      <c r="H239"/>
      <c r="I239"/>
      <c r="J239"/>
      <c r="K239"/>
      <c r="L239"/>
      <c r="M239"/>
      <c r="N239"/>
      <c r="O239"/>
      <c r="P239"/>
      <c r="R239"/>
      <c r="S239"/>
      <c r="T239"/>
      <c r="U239"/>
      <c r="V239"/>
      <c r="W239"/>
      <c r="X239"/>
      <c r="Y239"/>
      <c r="Z239"/>
      <c r="AA239"/>
      <c r="AB239"/>
      <c r="AC239"/>
      <c r="AD239"/>
      <c r="AE239"/>
      <c r="AF239"/>
      <c r="AG239"/>
      <c r="AH239"/>
      <c r="AI239"/>
      <c r="AM239"/>
      <c r="AO239"/>
    </row>
    <row r="240" spans="1:91" x14ac:dyDescent="0.25">
      <c r="A240"/>
      <c r="B240"/>
      <c r="C240"/>
      <c r="D240"/>
      <c r="E240"/>
      <c r="F240"/>
      <c r="G240"/>
      <c r="H240"/>
      <c r="I240"/>
      <c r="J240"/>
      <c r="K240"/>
      <c r="L240"/>
      <c r="M240"/>
      <c r="N240"/>
      <c r="O240"/>
      <c r="P240"/>
      <c r="R240"/>
      <c r="S240"/>
      <c r="T240"/>
      <c r="U240"/>
      <c r="V240"/>
      <c r="W240"/>
      <c r="X240"/>
      <c r="Y240"/>
      <c r="Z240"/>
      <c r="AA240"/>
      <c r="AB240"/>
      <c r="AC240"/>
      <c r="AD240"/>
      <c r="AE240"/>
      <c r="AF240"/>
      <c r="AG240"/>
      <c r="AH240"/>
      <c r="AI240"/>
      <c r="AM240"/>
      <c r="AO240"/>
    </row>
    <row r="241" spans="1:41" x14ac:dyDescent="0.25">
      <c r="A241"/>
      <c r="B241"/>
      <c r="C241"/>
      <c r="D241"/>
      <c r="E241"/>
      <c r="F241"/>
      <c r="G241"/>
      <c r="H241"/>
      <c r="I241"/>
      <c r="J241"/>
      <c r="K241"/>
      <c r="L241"/>
      <c r="M241"/>
      <c r="N241"/>
      <c r="O241"/>
      <c r="P241"/>
      <c r="R241"/>
      <c r="S241"/>
      <c r="T241"/>
      <c r="U241"/>
      <c r="V241"/>
      <c r="W241"/>
      <c r="X241"/>
      <c r="Y241"/>
      <c r="Z241"/>
      <c r="AA241"/>
      <c r="AB241"/>
      <c r="AC241"/>
      <c r="AD241"/>
      <c r="AE241"/>
      <c r="AF241"/>
      <c r="AG241"/>
      <c r="AH241"/>
      <c r="AI241"/>
      <c r="AM241"/>
      <c r="AO241"/>
    </row>
    <row r="242" spans="1:41" x14ac:dyDescent="0.25">
      <c r="A242"/>
      <c r="B242"/>
      <c r="C242"/>
      <c r="D242"/>
      <c r="E242"/>
      <c r="F242"/>
      <c r="G242"/>
      <c r="H242"/>
      <c r="I242"/>
      <c r="J242"/>
      <c r="K242"/>
      <c r="L242"/>
      <c r="M242"/>
      <c r="N242"/>
      <c r="O242"/>
      <c r="P242"/>
      <c r="R242"/>
      <c r="S242"/>
      <c r="T242"/>
      <c r="U242"/>
      <c r="V242"/>
      <c r="W242"/>
      <c r="X242"/>
      <c r="Y242"/>
      <c r="Z242"/>
      <c r="AA242"/>
      <c r="AB242"/>
      <c r="AC242"/>
      <c r="AD242"/>
      <c r="AE242"/>
      <c r="AF242"/>
      <c r="AG242"/>
      <c r="AH242"/>
      <c r="AI242"/>
      <c r="AM242"/>
      <c r="AO242"/>
    </row>
    <row r="243" spans="1:41" x14ac:dyDescent="0.25">
      <c r="A243"/>
      <c r="B243"/>
      <c r="C243"/>
      <c r="D243"/>
      <c r="E243"/>
      <c r="F243"/>
      <c r="G243"/>
      <c r="H243"/>
      <c r="I243"/>
      <c r="J243"/>
      <c r="K243"/>
      <c r="L243"/>
      <c r="M243"/>
      <c r="N243"/>
      <c r="O243"/>
      <c r="P243"/>
      <c r="R243"/>
      <c r="S243"/>
      <c r="T243"/>
      <c r="U243"/>
      <c r="V243"/>
      <c r="W243"/>
      <c r="X243"/>
      <c r="Y243"/>
      <c r="Z243"/>
      <c r="AA243"/>
      <c r="AB243"/>
      <c r="AC243"/>
      <c r="AD243"/>
      <c r="AE243"/>
      <c r="AF243"/>
      <c r="AG243"/>
      <c r="AH243"/>
      <c r="AI243"/>
      <c r="AM243"/>
      <c r="AO243"/>
    </row>
    <row r="244" spans="1:41" x14ac:dyDescent="0.25">
      <c r="A244"/>
      <c r="B244"/>
      <c r="C244"/>
      <c r="D244"/>
      <c r="E244"/>
      <c r="F244"/>
      <c r="G244"/>
      <c r="H244"/>
      <c r="I244"/>
      <c r="J244"/>
      <c r="K244"/>
      <c r="L244"/>
      <c r="M244"/>
      <c r="N244"/>
      <c r="O244"/>
      <c r="P244"/>
      <c r="R244"/>
      <c r="S244"/>
      <c r="T244"/>
      <c r="U244"/>
      <c r="V244"/>
      <c r="W244"/>
      <c r="X244"/>
      <c r="Y244"/>
      <c r="Z244"/>
      <c r="AA244"/>
      <c r="AB244"/>
      <c r="AC244"/>
      <c r="AD244"/>
      <c r="AE244"/>
      <c r="AF244"/>
      <c r="AG244"/>
      <c r="AH244"/>
      <c r="AI244"/>
      <c r="AM244"/>
      <c r="AO244"/>
    </row>
    <row r="245" spans="1:41" x14ac:dyDescent="0.25">
      <c r="A245"/>
      <c r="B245"/>
      <c r="C245"/>
      <c r="D245"/>
      <c r="E245"/>
      <c r="F245"/>
      <c r="G245"/>
      <c r="H245"/>
      <c r="I245"/>
      <c r="J245"/>
      <c r="K245"/>
      <c r="L245"/>
      <c r="M245"/>
      <c r="N245"/>
      <c r="O245"/>
      <c r="P245"/>
      <c r="R245"/>
      <c r="S245"/>
      <c r="T245"/>
      <c r="U245"/>
      <c r="V245"/>
      <c r="W245"/>
      <c r="X245"/>
      <c r="Y245"/>
      <c r="Z245"/>
      <c r="AA245"/>
      <c r="AB245"/>
      <c r="AC245"/>
      <c r="AD245"/>
      <c r="AE245"/>
      <c r="AF245"/>
      <c r="AG245"/>
      <c r="AH245"/>
      <c r="AI245"/>
      <c r="AM245"/>
      <c r="AO245"/>
    </row>
    <row r="246" spans="1:41" x14ac:dyDescent="0.25">
      <c r="A246"/>
      <c r="B246"/>
      <c r="C246"/>
      <c r="D246"/>
      <c r="E246"/>
      <c r="F246"/>
      <c r="G246"/>
      <c r="H246"/>
      <c r="I246"/>
      <c r="J246"/>
      <c r="K246"/>
      <c r="L246"/>
      <c r="M246"/>
      <c r="N246"/>
      <c r="O246"/>
      <c r="P246"/>
      <c r="R246"/>
      <c r="S246"/>
      <c r="T246"/>
      <c r="U246"/>
      <c r="V246"/>
      <c r="W246"/>
      <c r="X246"/>
      <c r="Y246"/>
      <c r="Z246"/>
      <c r="AA246"/>
      <c r="AB246"/>
      <c r="AC246"/>
      <c r="AD246"/>
      <c r="AE246"/>
      <c r="AF246"/>
      <c r="AG246"/>
      <c r="AH246"/>
      <c r="AI246"/>
      <c r="AM246"/>
      <c r="AO246"/>
    </row>
    <row r="247" spans="1:41" x14ac:dyDescent="0.25">
      <c r="A247"/>
      <c r="B247"/>
      <c r="C247"/>
      <c r="D247"/>
      <c r="E247"/>
      <c r="F247"/>
      <c r="G247"/>
      <c r="H247"/>
      <c r="I247"/>
      <c r="J247"/>
      <c r="K247"/>
      <c r="L247"/>
      <c r="M247"/>
      <c r="N247"/>
      <c r="O247"/>
      <c r="P247"/>
      <c r="R247"/>
      <c r="S247"/>
      <c r="T247"/>
      <c r="U247"/>
      <c r="V247"/>
      <c r="W247"/>
      <c r="X247"/>
      <c r="Y247"/>
      <c r="Z247"/>
      <c r="AA247"/>
      <c r="AB247"/>
      <c r="AC247"/>
      <c r="AD247"/>
      <c r="AE247"/>
      <c r="AF247"/>
      <c r="AG247"/>
      <c r="AH247"/>
      <c r="AI247"/>
      <c r="AM247"/>
      <c r="AO247"/>
    </row>
    <row r="248" spans="1:41" x14ac:dyDescent="0.25">
      <c r="A248"/>
      <c r="B248"/>
      <c r="C248"/>
      <c r="D248"/>
      <c r="E248"/>
      <c r="F248"/>
      <c r="G248"/>
      <c r="H248"/>
      <c r="I248"/>
      <c r="J248"/>
      <c r="K248"/>
      <c r="L248"/>
      <c r="M248"/>
      <c r="N248"/>
      <c r="O248"/>
      <c r="P248"/>
      <c r="R248"/>
      <c r="S248"/>
      <c r="T248"/>
      <c r="U248"/>
      <c r="V248"/>
      <c r="W248"/>
      <c r="X248"/>
      <c r="Y248"/>
      <c r="Z248"/>
      <c r="AA248"/>
      <c r="AB248"/>
      <c r="AC248"/>
      <c r="AD248"/>
      <c r="AE248"/>
      <c r="AF248"/>
      <c r="AG248"/>
      <c r="AH248"/>
      <c r="AI248"/>
      <c r="AM248"/>
      <c r="AO248"/>
    </row>
    <row r="249" spans="1:41" x14ac:dyDescent="0.25">
      <c r="A249"/>
      <c r="B249"/>
      <c r="C249"/>
      <c r="D249"/>
      <c r="E249"/>
      <c r="F249"/>
      <c r="G249"/>
      <c r="H249"/>
      <c r="I249"/>
      <c r="J249"/>
      <c r="K249"/>
      <c r="L249"/>
      <c r="M249"/>
      <c r="N249"/>
      <c r="O249"/>
      <c r="P249"/>
      <c r="R249"/>
      <c r="S249"/>
      <c r="T249"/>
      <c r="U249"/>
      <c r="V249"/>
      <c r="W249"/>
      <c r="X249"/>
      <c r="Y249"/>
      <c r="Z249"/>
      <c r="AA249"/>
      <c r="AB249"/>
      <c r="AC249"/>
      <c r="AD249"/>
      <c r="AE249"/>
      <c r="AF249"/>
      <c r="AG249"/>
      <c r="AH249"/>
      <c r="AI249"/>
      <c r="AM249"/>
      <c r="AO249"/>
    </row>
    <row r="250" spans="1:41" x14ac:dyDescent="0.25">
      <c r="A250"/>
      <c r="B250"/>
      <c r="C250"/>
      <c r="D250"/>
      <c r="E250"/>
      <c r="F250"/>
      <c r="G250"/>
      <c r="H250"/>
      <c r="I250"/>
      <c r="J250"/>
      <c r="K250"/>
      <c r="L250"/>
      <c r="M250"/>
      <c r="N250"/>
      <c r="O250"/>
      <c r="P250"/>
      <c r="R250"/>
      <c r="S250"/>
      <c r="T250"/>
      <c r="U250"/>
      <c r="V250"/>
      <c r="W250"/>
      <c r="X250"/>
      <c r="Y250"/>
      <c r="Z250"/>
      <c r="AA250"/>
      <c r="AB250"/>
      <c r="AC250"/>
      <c r="AD250"/>
      <c r="AE250"/>
      <c r="AF250"/>
      <c r="AG250"/>
      <c r="AH250"/>
      <c r="AI250"/>
      <c r="AM250"/>
      <c r="AO250"/>
    </row>
    <row r="251" spans="1:41" x14ac:dyDescent="0.25">
      <c r="A251"/>
      <c r="B251"/>
      <c r="C251"/>
      <c r="D251"/>
      <c r="E251"/>
      <c r="F251"/>
      <c r="G251"/>
      <c r="H251"/>
      <c r="I251"/>
      <c r="J251"/>
      <c r="K251"/>
      <c r="L251"/>
      <c r="M251"/>
      <c r="N251"/>
      <c r="O251"/>
      <c r="P251"/>
      <c r="R251"/>
      <c r="S251"/>
      <c r="T251"/>
      <c r="U251"/>
      <c r="V251"/>
      <c r="W251"/>
      <c r="X251"/>
      <c r="Y251"/>
      <c r="Z251"/>
      <c r="AA251"/>
      <c r="AB251"/>
      <c r="AC251"/>
      <c r="AD251"/>
      <c r="AE251"/>
      <c r="AF251"/>
      <c r="AG251"/>
      <c r="AH251"/>
      <c r="AI251"/>
      <c r="AM251"/>
      <c r="AO251"/>
    </row>
    <row r="252" spans="1:41" x14ac:dyDescent="0.25">
      <c r="A252"/>
      <c r="B252"/>
      <c r="C252"/>
      <c r="D252"/>
      <c r="E252"/>
      <c r="F252"/>
      <c r="G252"/>
      <c r="H252"/>
      <c r="I252"/>
      <c r="J252"/>
      <c r="K252"/>
      <c r="L252"/>
      <c r="M252"/>
      <c r="N252"/>
      <c r="O252"/>
      <c r="P252"/>
      <c r="R252"/>
      <c r="S252"/>
      <c r="T252"/>
      <c r="U252"/>
      <c r="V252"/>
      <c r="W252"/>
      <c r="X252"/>
      <c r="Y252"/>
      <c r="Z252"/>
      <c r="AA252"/>
      <c r="AB252"/>
      <c r="AC252"/>
      <c r="AD252"/>
      <c r="AE252"/>
      <c r="AF252"/>
      <c r="AG252"/>
      <c r="AH252"/>
      <c r="AI252"/>
      <c r="AM252"/>
      <c r="AO252"/>
    </row>
    <row r="253" spans="1:41" x14ac:dyDescent="0.25">
      <c r="A253"/>
      <c r="B253"/>
      <c r="C253"/>
      <c r="D253"/>
      <c r="E253"/>
      <c r="F253"/>
      <c r="G253"/>
      <c r="H253"/>
      <c r="I253"/>
      <c r="J253"/>
      <c r="K253"/>
      <c r="L253"/>
      <c r="M253"/>
      <c r="N253"/>
      <c r="O253"/>
      <c r="P253"/>
      <c r="R253"/>
      <c r="S253"/>
      <c r="T253"/>
      <c r="U253"/>
      <c r="V253"/>
      <c r="W253"/>
      <c r="X253"/>
      <c r="Y253"/>
      <c r="Z253"/>
      <c r="AA253"/>
      <c r="AB253"/>
      <c r="AC253"/>
      <c r="AD253"/>
      <c r="AE253"/>
      <c r="AF253"/>
      <c r="AG253"/>
      <c r="AH253"/>
      <c r="AI253"/>
      <c r="AM253"/>
      <c r="AO253"/>
    </row>
    <row r="254" spans="1:41" x14ac:dyDescent="0.25">
      <c r="A254"/>
      <c r="B254"/>
      <c r="C254"/>
      <c r="D254"/>
      <c r="E254"/>
      <c r="F254"/>
      <c r="G254"/>
      <c r="H254"/>
      <c r="I254"/>
      <c r="J254"/>
      <c r="K254"/>
      <c r="L254"/>
      <c r="M254"/>
      <c r="N254"/>
      <c r="O254"/>
      <c r="P254"/>
      <c r="R254"/>
      <c r="S254"/>
      <c r="T254"/>
      <c r="U254"/>
      <c r="V254"/>
      <c r="W254"/>
      <c r="X254"/>
      <c r="Y254"/>
      <c r="Z254"/>
      <c r="AA254"/>
      <c r="AB254"/>
      <c r="AC254"/>
      <c r="AD254"/>
      <c r="AE254"/>
      <c r="AF254"/>
      <c r="AG254"/>
      <c r="AH254"/>
      <c r="AI254"/>
      <c r="AM254"/>
      <c r="AO254"/>
    </row>
    <row r="255" spans="1:41" x14ac:dyDescent="0.25">
      <c r="A255"/>
      <c r="B255"/>
      <c r="C255"/>
      <c r="D255"/>
      <c r="E255"/>
      <c r="F255"/>
      <c r="G255"/>
      <c r="H255"/>
      <c r="I255"/>
      <c r="J255"/>
      <c r="K255"/>
      <c r="L255"/>
      <c r="M255"/>
      <c r="N255"/>
      <c r="O255"/>
      <c r="P255"/>
      <c r="R255"/>
      <c r="S255"/>
      <c r="T255"/>
      <c r="U255"/>
      <c r="V255"/>
      <c r="W255"/>
      <c r="X255"/>
      <c r="Y255"/>
      <c r="Z255"/>
      <c r="AA255"/>
      <c r="AB255"/>
      <c r="AC255"/>
      <c r="AD255"/>
      <c r="AE255"/>
      <c r="AF255"/>
      <c r="AG255"/>
      <c r="AH255"/>
      <c r="AI255"/>
      <c r="AM255"/>
      <c r="AO255"/>
    </row>
    <row r="256" spans="1:41" x14ac:dyDescent="0.25">
      <c r="A256"/>
      <c r="B256"/>
      <c r="C256"/>
      <c r="D256"/>
      <c r="E256"/>
      <c r="F256"/>
      <c r="G256"/>
      <c r="H256"/>
      <c r="I256"/>
      <c r="J256"/>
      <c r="K256"/>
      <c r="L256"/>
      <c r="M256"/>
      <c r="N256"/>
      <c r="O256"/>
      <c r="P256"/>
      <c r="R256"/>
      <c r="S256"/>
      <c r="T256"/>
      <c r="U256"/>
      <c r="V256"/>
      <c r="W256"/>
      <c r="X256"/>
      <c r="Y256"/>
      <c r="Z256"/>
      <c r="AA256"/>
      <c r="AB256"/>
      <c r="AC256"/>
      <c r="AD256"/>
      <c r="AE256"/>
      <c r="AF256"/>
      <c r="AG256"/>
      <c r="AH256"/>
      <c r="AI256"/>
      <c r="AM256"/>
      <c r="AO256"/>
    </row>
    <row r="257" spans="1:41" x14ac:dyDescent="0.25">
      <c r="A257"/>
      <c r="B257"/>
      <c r="C257"/>
      <c r="D257"/>
      <c r="E257"/>
      <c r="F257"/>
      <c r="G257"/>
      <c r="H257"/>
      <c r="I257"/>
      <c r="J257"/>
      <c r="K257"/>
      <c r="L257"/>
      <c r="M257"/>
      <c r="N257"/>
      <c r="O257"/>
      <c r="P257"/>
      <c r="R257"/>
      <c r="S257"/>
      <c r="T257"/>
      <c r="U257"/>
      <c r="V257"/>
      <c r="W257"/>
      <c r="X257"/>
      <c r="Y257"/>
      <c r="Z257"/>
      <c r="AA257"/>
      <c r="AB257"/>
      <c r="AC257"/>
      <c r="AD257"/>
      <c r="AE257"/>
      <c r="AF257"/>
      <c r="AG257"/>
      <c r="AH257"/>
      <c r="AI257"/>
      <c r="AM257"/>
      <c r="AO257"/>
    </row>
    <row r="258" spans="1:41" x14ac:dyDescent="0.25">
      <c r="A258"/>
      <c r="B258"/>
      <c r="C258"/>
      <c r="D258"/>
      <c r="E258"/>
      <c r="F258"/>
      <c r="G258"/>
      <c r="H258"/>
      <c r="I258"/>
      <c r="J258"/>
      <c r="K258"/>
      <c r="L258"/>
      <c r="M258"/>
      <c r="N258"/>
      <c r="O258"/>
      <c r="P258"/>
      <c r="R258"/>
      <c r="S258"/>
      <c r="T258"/>
      <c r="U258"/>
      <c r="V258"/>
      <c r="W258"/>
      <c r="X258"/>
      <c r="Y258"/>
      <c r="Z258"/>
      <c r="AA258"/>
      <c r="AB258"/>
      <c r="AC258"/>
      <c r="AD258"/>
      <c r="AE258"/>
      <c r="AF258"/>
      <c r="AG258"/>
      <c r="AH258"/>
      <c r="AI258"/>
      <c r="AM258"/>
      <c r="AO258"/>
    </row>
    <row r="259" spans="1:41" x14ac:dyDescent="0.25">
      <c r="A259"/>
      <c r="B259"/>
      <c r="C259"/>
      <c r="D259"/>
      <c r="E259"/>
      <c r="F259"/>
      <c r="G259"/>
      <c r="H259"/>
      <c r="I259"/>
      <c r="J259"/>
      <c r="K259"/>
      <c r="L259"/>
      <c r="M259"/>
      <c r="N259"/>
      <c r="O259"/>
      <c r="P259"/>
      <c r="R259"/>
      <c r="S259"/>
      <c r="T259"/>
      <c r="U259"/>
      <c r="V259"/>
      <c r="W259"/>
      <c r="X259"/>
      <c r="Y259"/>
      <c r="Z259"/>
      <c r="AA259"/>
      <c r="AB259"/>
      <c r="AC259"/>
      <c r="AD259"/>
      <c r="AE259"/>
      <c r="AF259"/>
      <c r="AG259"/>
      <c r="AH259"/>
      <c r="AI259"/>
      <c r="AM259"/>
      <c r="AO259"/>
    </row>
    <row r="260" spans="1:41" x14ac:dyDescent="0.25">
      <c r="A260"/>
      <c r="B260"/>
      <c r="C260"/>
      <c r="D260"/>
      <c r="E260"/>
      <c r="F260"/>
      <c r="G260"/>
      <c r="H260"/>
      <c r="I260"/>
      <c r="J260"/>
      <c r="K260"/>
      <c r="L260"/>
      <c r="M260"/>
      <c r="N260"/>
      <c r="O260"/>
      <c r="P260"/>
      <c r="R260"/>
      <c r="S260"/>
      <c r="T260"/>
      <c r="U260"/>
      <c r="V260"/>
      <c r="W260"/>
      <c r="X260"/>
      <c r="Y260"/>
      <c r="Z260"/>
      <c r="AA260"/>
      <c r="AB260"/>
      <c r="AC260"/>
      <c r="AD260"/>
      <c r="AE260"/>
      <c r="AF260"/>
      <c r="AG260"/>
      <c r="AH260"/>
      <c r="AI260"/>
      <c r="AM260"/>
      <c r="AO260"/>
    </row>
    <row r="261" spans="1:41" x14ac:dyDescent="0.25">
      <c r="A261"/>
      <c r="B261"/>
      <c r="C261"/>
      <c r="D261"/>
      <c r="E261"/>
      <c r="F261"/>
      <c r="G261"/>
      <c r="H261"/>
      <c r="I261"/>
      <c r="J261"/>
      <c r="K261"/>
      <c r="L261"/>
      <c r="M261"/>
      <c r="N261"/>
      <c r="O261"/>
      <c r="P261"/>
      <c r="R261"/>
      <c r="S261"/>
      <c r="T261"/>
      <c r="U261"/>
      <c r="V261"/>
      <c r="W261"/>
      <c r="X261"/>
      <c r="Y261"/>
      <c r="Z261"/>
      <c r="AA261"/>
      <c r="AB261"/>
      <c r="AC261"/>
      <c r="AD261"/>
      <c r="AE261"/>
      <c r="AF261"/>
      <c r="AG261"/>
      <c r="AH261"/>
      <c r="AI261"/>
      <c r="AM261"/>
      <c r="AO261"/>
    </row>
    <row r="262" spans="1:41" x14ac:dyDescent="0.25">
      <c r="A262"/>
      <c r="B262"/>
      <c r="C262"/>
      <c r="D262"/>
      <c r="E262"/>
      <c r="F262"/>
      <c r="G262"/>
      <c r="H262"/>
      <c r="I262"/>
      <c r="J262"/>
      <c r="K262"/>
      <c r="L262"/>
      <c r="M262"/>
      <c r="N262"/>
      <c r="O262"/>
      <c r="P262"/>
      <c r="R262"/>
      <c r="S262"/>
      <c r="T262"/>
      <c r="U262"/>
      <c r="V262"/>
      <c r="W262"/>
      <c r="X262"/>
      <c r="Y262"/>
      <c r="Z262"/>
      <c r="AA262"/>
      <c r="AB262"/>
      <c r="AC262"/>
      <c r="AD262"/>
      <c r="AE262"/>
      <c r="AF262"/>
      <c r="AG262"/>
      <c r="AH262"/>
      <c r="AI262"/>
      <c r="AM262"/>
      <c r="AO262"/>
    </row>
    <row r="263" spans="1:41" x14ac:dyDescent="0.25">
      <c r="A263"/>
      <c r="B263"/>
      <c r="C263"/>
      <c r="D263"/>
      <c r="E263"/>
      <c r="F263"/>
      <c r="G263"/>
      <c r="H263"/>
      <c r="I263"/>
      <c r="J263"/>
      <c r="K263"/>
      <c r="L263"/>
      <c r="M263"/>
      <c r="N263"/>
      <c r="O263"/>
      <c r="P263"/>
      <c r="R263"/>
      <c r="S263"/>
      <c r="T263"/>
      <c r="U263"/>
      <c r="V263"/>
      <c r="W263"/>
      <c r="X263"/>
      <c r="Y263"/>
      <c r="Z263"/>
      <c r="AA263"/>
      <c r="AB263"/>
      <c r="AC263"/>
      <c r="AD263"/>
      <c r="AE263"/>
      <c r="AF263"/>
      <c r="AG263"/>
      <c r="AH263"/>
      <c r="AI263"/>
      <c r="AM263"/>
      <c r="AO263"/>
    </row>
    <row r="264" spans="1:41" x14ac:dyDescent="0.25">
      <c r="A264"/>
      <c r="B264"/>
      <c r="C264"/>
      <c r="D264"/>
      <c r="E264"/>
      <c r="F264"/>
      <c r="G264"/>
      <c r="H264"/>
      <c r="I264"/>
      <c r="J264"/>
      <c r="K264"/>
      <c r="L264"/>
      <c r="M264"/>
      <c r="N264"/>
      <c r="O264"/>
      <c r="P264"/>
      <c r="R264"/>
      <c r="S264"/>
      <c r="T264"/>
      <c r="U264"/>
      <c r="V264"/>
      <c r="W264"/>
      <c r="X264"/>
      <c r="Y264"/>
      <c r="Z264"/>
      <c r="AA264"/>
      <c r="AB264"/>
      <c r="AC264"/>
      <c r="AD264"/>
      <c r="AE264"/>
      <c r="AF264"/>
      <c r="AG264"/>
      <c r="AH264"/>
      <c r="AI264"/>
      <c r="AM264"/>
      <c r="AO264"/>
    </row>
    <row r="265" spans="1:41" x14ac:dyDescent="0.25">
      <c r="A265"/>
      <c r="B265"/>
      <c r="C265"/>
      <c r="D265"/>
      <c r="E265"/>
      <c r="F265"/>
      <c r="G265"/>
      <c r="H265"/>
      <c r="I265"/>
      <c r="J265"/>
      <c r="K265"/>
      <c r="L265"/>
      <c r="M265"/>
      <c r="N265"/>
      <c r="O265"/>
      <c r="P265"/>
      <c r="R265"/>
      <c r="S265"/>
      <c r="T265"/>
      <c r="U265"/>
      <c r="V265"/>
      <c r="W265"/>
      <c r="X265"/>
      <c r="Y265"/>
      <c r="Z265"/>
      <c r="AA265"/>
      <c r="AB265"/>
      <c r="AC265"/>
      <c r="AD265"/>
      <c r="AE265"/>
      <c r="AF265"/>
      <c r="AG265"/>
      <c r="AH265"/>
      <c r="AI265"/>
      <c r="AM265"/>
      <c r="AO265"/>
    </row>
    <row r="266" spans="1:41" x14ac:dyDescent="0.25">
      <c r="A266"/>
      <c r="B266"/>
      <c r="C266"/>
      <c r="D266"/>
      <c r="E266"/>
      <c r="F266"/>
      <c r="G266"/>
      <c r="H266"/>
      <c r="I266"/>
      <c r="J266"/>
      <c r="K266"/>
      <c r="L266"/>
      <c r="M266"/>
      <c r="N266"/>
      <c r="O266"/>
      <c r="P266"/>
      <c r="R266"/>
      <c r="S266"/>
      <c r="T266"/>
      <c r="U266"/>
      <c r="V266"/>
      <c r="W266"/>
      <c r="X266"/>
      <c r="Y266"/>
      <c r="Z266"/>
      <c r="AA266"/>
      <c r="AB266"/>
      <c r="AC266"/>
      <c r="AD266"/>
      <c r="AE266"/>
      <c r="AF266"/>
      <c r="AG266"/>
      <c r="AH266"/>
      <c r="AI266"/>
      <c r="AM266"/>
      <c r="AO266"/>
    </row>
    <row r="267" spans="1:41" x14ac:dyDescent="0.25">
      <c r="A267"/>
      <c r="B267"/>
      <c r="C267"/>
      <c r="D267"/>
      <c r="E267"/>
      <c r="F267"/>
      <c r="G267"/>
      <c r="H267"/>
      <c r="I267"/>
      <c r="J267"/>
      <c r="K267"/>
      <c r="L267"/>
      <c r="M267"/>
      <c r="N267"/>
      <c r="O267"/>
      <c r="P267"/>
      <c r="R267"/>
      <c r="S267"/>
      <c r="T267"/>
      <c r="U267"/>
      <c r="V267"/>
      <c r="W267"/>
      <c r="X267"/>
      <c r="Y267"/>
      <c r="Z267"/>
      <c r="AA267"/>
      <c r="AB267"/>
      <c r="AC267"/>
      <c r="AD267"/>
      <c r="AE267"/>
      <c r="AF267"/>
      <c r="AG267"/>
      <c r="AH267"/>
      <c r="AI267"/>
      <c r="AM267"/>
      <c r="AO267"/>
    </row>
    <row r="268" spans="1:41" x14ac:dyDescent="0.25">
      <c r="A268"/>
      <c r="B268"/>
      <c r="C268"/>
      <c r="D268"/>
      <c r="E268"/>
      <c r="F268"/>
      <c r="G268"/>
      <c r="H268"/>
      <c r="I268"/>
      <c r="J268"/>
      <c r="K268"/>
      <c r="L268"/>
      <c r="M268"/>
      <c r="N268"/>
      <c r="O268"/>
      <c r="P268"/>
      <c r="R268"/>
      <c r="S268"/>
      <c r="T268"/>
      <c r="U268"/>
      <c r="V268"/>
      <c r="W268"/>
      <c r="X268"/>
      <c r="Y268"/>
      <c r="Z268"/>
      <c r="AA268"/>
      <c r="AB268"/>
      <c r="AC268"/>
      <c r="AD268"/>
      <c r="AE268"/>
      <c r="AF268"/>
      <c r="AG268"/>
      <c r="AH268"/>
      <c r="AI268"/>
      <c r="AM268"/>
      <c r="AO268"/>
    </row>
    <row r="269" spans="1:41" x14ac:dyDescent="0.25">
      <c r="A269"/>
      <c r="B269"/>
      <c r="C269"/>
      <c r="D269"/>
      <c r="E269"/>
      <c r="F269"/>
      <c r="G269"/>
      <c r="H269"/>
      <c r="I269"/>
      <c r="J269"/>
      <c r="K269"/>
      <c r="L269"/>
      <c r="M269"/>
      <c r="N269"/>
      <c r="O269"/>
      <c r="P269"/>
      <c r="R269"/>
      <c r="S269"/>
      <c r="T269"/>
      <c r="U269"/>
      <c r="V269"/>
      <c r="W269"/>
      <c r="X269"/>
      <c r="Y269"/>
      <c r="Z269"/>
      <c r="AA269"/>
      <c r="AB269"/>
      <c r="AC269"/>
      <c r="AD269"/>
      <c r="AE269"/>
      <c r="AF269"/>
      <c r="AG269"/>
      <c r="AH269"/>
      <c r="AI269"/>
      <c r="AM269"/>
      <c r="AO269"/>
    </row>
    <row r="270" spans="1:41" x14ac:dyDescent="0.25">
      <c r="A270"/>
      <c r="B270"/>
      <c r="C270"/>
      <c r="D270"/>
      <c r="E270"/>
      <c r="F270"/>
      <c r="G270"/>
      <c r="H270"/>
      <c r="I270"/>
      <c r="J270"/>
      <c r="K270"/>
      <c r="L270"/>
      <c r="M270"/>
      <c r="N270"/>
      <c r="O270"/>
      <c r="P270"/>
      <c r="R270"/>
      <c r="S270"/>
      <c r="T270"/>
      <c r="U270"/>
      <c r="V270"/>
      <c r="W270"/>
      <c r="X270"/>
      <c r="Y270"/>
      <c r="Z270"/>
      <c r="AA270"/>
      <c r="AB270"/>
      <c r="AC270"/>
      <c r="AD270"/>
      <c r="AE270"/>
      <c r="AF270"/>
      <c r="AG270"/>
      <c r="AH270"/>
      <c r="AI270"/>
      <c r="AM270"/>
      <c r="AO270"/>
    </row>
    <row r="271" spans="1:41" x14ac:dyDescent="0.25">
      <c r="A271"/>
      <c r="B271"/>
      <c r="C271"/>
      <c r="D271"/>
      <c r="E271"/>
      <c r="F271"/>
      <c r="G271"/>
      <c r="H271"/>
      <c r="I271"/>
      <c r="J271"/>
      <c r="K271"/>
      <c r="L271"/>
      <c r="M271"/>
      <c r="N271"/>
      <c r="O271"/>
      <c r="P271"/>
      <c r="R271"/>
      <c r="S271"/>
      <c r="T271"/>
      <c r="U271"/>
      <c r="V271"/>
      <c r="W271"/>
      <c r="X271"/>
      <c r="Y271"/>
      <c r="Z271"/>
      <c r="AA271"/>
      <c r="AB271"/>
      <c r="AC271"/>
      <c r="AD271"/>
      <c r="AE271"/>
      <c r="AF271"/>
      <c r="AG271"/>
      <c r="AH271"/>
      <c r="AI271"/>
      <c r="AM271"/>
      <c r="AO271"/>
    </row>
    <row r="272" spans="1:41" x14ac:dyDescent="0.25">
      <c r="A272"/>
      <c r="B272"/>
      <c r="C272"/>
      <c r="D272"/>
      <c r="E272"/>
      <c r="F272"/>
      <c r="G272"/>
      <c r="H272"/>
      <c r="I272"/>
      <c r="J272"/>
      <c r="K272"/>
      <c r="L272"/>
      <c r="M272"/>
      <c r="N272"/>
      <c r="O272"/>
      <c r="P272"/>
      <c r="R272"/>
      <c r="S272"/>
      <c r="T272"/>
      <c r="U272"/>
      <c r="V272"/>
      <c r="W272"/>
      <c r="X272"/>
      <c r="Y272"/>
      <c r="Z272"/>
      <c r="AA272"/>
      <c r="AB272"/>
      <c r="AC272"/>
      <c r="AD272"/>
      <c r="AE272"/>
      <c r="AF272"/>
      <c r="AG272"/>
      <c r="AH272"/>
      <c r="AI272"/>
      <c r="AM272"/>
      <c r="AO272"/>
    </row>
    <row r="273" spans="1:41" x14ac:dyDescent="0.25">
      <c r="A273"/>
      <c r="B273"/>
      <c r="C273"/>
      <c r="D273"/>
      <c r="E273"/>
      <c r="F273"/>
      <c r="G273"/>
      <c r="H273"/>
      <c r="I273"/>
      <c r="J273"/>
      <c r="K273"/>
      <c r="L273"/>
      <c r="M273"/>
      <c r="N273"/>
      <c r="O273"/>
      <c r="P273"/>
      <c r="R273"/>
      <c r="S273"/>
      <c r="T273"/>
      <c r="U273"/>
      <c r="V273"/>
      <c r="W273"/>
      <c r="X273"/>
      <c r="Y273"/>
      <c r="Z273"/>
      <c r="AA273"/>
      <c r="AB273"/>
      <c r="AC273"/>
      <c r="AD273"/>
      <c r="AE273"/>
      <c r="AF273"/>
      <c r="AG273"/>
      <c r="AH273"/>
      <c r="AI273"/>
      <c r="AM273"/>
      <c r="AO273"/>
    </row>
    <row r="274" spans="1:41" x14ac:dyDescent="0.25">
      <c r="A274"/>
      <c r="B274"/>
      <c r="C274"/>
      <c r="D274"/>
      <c r="E274"/>
      <c r="F274"/>
      <c r="G274"/>
      <c r="H274"/>
      <c r="I274"/>
      <c r="J274"/>
      <c r="K274"/>
      <c r="L274"/>
      <c r="M274"/>
      <c r="N274"/>
      <c r="O274"/>
      <c r="P274"/>
      <c r="R274"/>
      <c r="S274"/>
      <c r="T274"/>
      <c r="U274"/>
      <c r="V274"/>
      <c r="W274"/>
      <c r="X274"/>
      <c r="Y274"/>
      <c r="Z274"/>
      <c r="AA274"/>
      <c r="AB274"/>
      <c r="AC274"/>
      <c r="AD274"/>
      <c r="AE274"/>
      <c r="AF274"/>
      <c r="AG274"/>
      <c r="AH274"/>
      <c r="AI274"/>
      <c r="AM274"/>
      <c r="AO274"/>
    </row>
    <row r="275" spans="1:41" x14ac:dyDescent="0.25">
      <c r="A275"/>
      <c r="B275"/>
      <c r="C275"/>
      <c r="D275"/>
      <c r="E275"/>
      <c r="F275"/>
      <c r="G275"/>
      <c r="H275"/>
      <c r="I275"/>
      <c r="J275"/>
      <c r="K275"/>
      <c r="L275"/>
      <c r="M275"/>
      <c r="N275"/>
      <c r="O275"/>
      <c r="P275"/>
      <c r="R275"/>
      <c r="S275"/>
      <c r="T275"/>
      <c r="U275"/>
      <c r="V275"/>
      <c r="W275"/>
      <c r="X275"/>
      <c r="Y275"/>
      <c r="Z275"/>
      <c r="AA275"/>
      <c r="AB275"/>
      <c r="AC275"/>
      <c r="AD275"/>
      <c r="AE275"/>
      <c r="AF275"/>
      <c r="AG275"/>
      <c r="AH275"/>
      <c r="AI275"/>
      <c r="AM275"/>
      <c r="AO275"/>
    </row>
  </sheetData>
  <autoFilter ref="A12:AG271"/>
  <sortState ref="A13:AN233">
    <sortCondition ref="AG13:AG233"/>
    <sortCondition ref="AD13:AD233"/>
  </sortState>
  <mergeCells count="1">
    <mergeCell ref="A11:P11"/>
  </mergeCells>
  <conditionalFormatting sqref="W11:W12 W276:X1048576 W13:X218">
    <cfRule type="cellIs" dxfId="10" priority="415" operator="equal">
      <formula>"Y"</formula>
    </cfRule>
  </conditionalFormatting>
  <conditionalFormatting sqref="X276:X1048576 X13:X218">
    <cfRule type="cellIs" dxfId="9" priority="398" operator="greaterThan">
      <formula>1</formula>
    </cfRule>
  </conditionalFormatting>
  <conditionalFormatting sqref="X276:X1048576 X12:X218">
    <cfRule type="cellIs" dxfId="8" priority="395" operator="equal">
      <formula>0</formula>
    </cfRule>
  </conditionalFormatting>
  <conditionalFormatting sqref="A13:S218">
    <cfRule type="expression" dxfId="7" priority="389" stopIfTrue="1">
      <formula>$P13&gt;0</formula>
    </cfRule>
    <cfRule type="expression" dxfId="6" priority="390" stopIfTrue="1">
      <formula>$O13&gt;0</formula>
    </cfRule>
  </conditionalFormatting>
  <pageMargins left="0.7" right="0.7" top="0.75" bottom="0.75" header="0.3" footer="0.3"/>
  <pageSetup scale="10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2]!DailyMorningStuff_Runs">
                <anchor moveWithCells="1" sizeWithCells="1">
                  <from>
                    <xdr:col>24</xdr:col>
                    <xdr:colOff>552450</xdr:colOff>
                    <xdr:row>2</xdr:row>
                    <xdr:rowOff>38100</xdr:rowOff>
                  </from>
                  <to>
                    <xdr:col>26</xdr:col>
                    <xdr:colOff>466725</xdr:colOff>
                    <xdr:row>4</xdr:row>
                    <xdr:rowOff>190500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391" stopIfTrue="1" id="{07B64F47-9FD1-48B1-84DC-90BBCF0B8697}">
            <xm:f>IF($AG13="EC",OR($N13&gt;Variables!$C$2,$N13&lt;Variables!$C$5),OR($N13&gt;Variables!$D$2,$N13&lt;Variables!$D$5))</xm:f>
            <x14:dxf>
              <fill>
                <patternFill>
                  <bgColor theme="5" tint="0.79998168889431442"/>
                </patternFill>
              </fill>
            </x14:dxf>
          </x14:cfRule>
          <xm:sqref>A13:S218</xm:sqref>
        </x14:conditionalFormatting>
        <x14:conditionalFormatting xmlns:xm="http://schemas.microsoft.com/office/excel/2006/main">
          <x14:cfRule type="expression" priority="74" stopIfTrue="1" id="{44578D0A-3CE8-4388-A6D0-8700858490EC}">
            <xm:f>IF($AG13="EC",OR($N13&gt;Variables!#REF!,$N13&lt;Variables!#REF!),OR($N13&gt;Variables!#REF!,$N13&lt;Variables!#REF!))</xm:f>
            <x14:dxf>
              <fill>
                <patternFill>
                  <bgColor theme="5" tint="0.79998168889431442"/>
                </patternFill>
              </fill>
            </x14:dxf>
          </x14:cfRule>
          <xm:sqref>A13:S218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'Redmine List Values'!$A$2:$A$7</xm:f>
          </x14:formula1>
          <xm:sqref>AK13:AK218</xm:sqref>
        </x14:dataValidation>
        <x14:dataValidation type="list" allowBlank="1" showInputMessage="1" showErrorMessage="1">
          <x14:formula1>
            <xm:f>'Redmine List Values'!$C$2:$C$15</xm:f>
          </x14:formula1>
          <xm:sqref>AL13:AL218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pageSetUpPr fitToPage="1"/>
  </sheetPr>
  <dimension ref="A1:AF74"/>
  <sheetViews>
    <sheetView topLeftCell="A2" zoomScaleNormal="100" workbookViewId="0">
      <selection activeCell="A2" sqref="A2"/>
    </sheetView>
  </sheetViews>
  <sheetFormatPr defaultRowHeight="15" x14ac:dyDescent="0.25"/>
  <cols>
    <col min="1" max="1" width="18.28515625" style="8" bestFit="1" customWidth="1"/>
    <col min="2" max="2" width="13.85546875" customWidth="1"/>
    <col min="3" max="3" width="7" customWidth="1"/>
    <col min="4" max="4" width="12.85546875" style="113" customWidth="1"/>
    <col min="5" max="5" width="13.140625" style="113" customWidth="1"/>
    <col min="6" max="6" width="5.7109375" style="113" customWidth="1"/>
    <col min="7" max="7" width="5.85546875" style="113" customWidth="1"/>
    <col min="8" max="8" width="7.85546875" style="113" customWidth="1"/>
    <col min="9" max="9" width="9" style="113" customWidth="1"/>
    <col min="10" max="10" width="11.5703125" style="113" hidden="1" customWidth="1"/>
    <col min="11" max="11" width="9.140625" style="113" customWidth="1"/>
    <col min="12" max="12" width="4.85546875" style="113" customWidth="1"/>
    <col min="13" max="13" width="7.85546875" style="2" customWidth="1"/>
    <col min="14" max="14" width="16" style="112" customWidth="1"/>
    <col min="15" max="15" width="4.42578125" style="172" customWidth="1"/>
    <col min="16" max="16" width="30.42578125" style="113" customWidth="1"/>
    <col min="17" max="17" width="5" hidden="1" customWidth="1"/>
    <col min="18" max="18" width="5.5703125" style="75" customWidth="1"/>
    <col min="19" max="19" width="5.5703125" style="82" customWidth="1"/>
    <col min="20" max="20" width="6" style="72" customWidth="1"/>
    <col min="21" max="21" width="5.140625" customWidth="1"/>
    <col min="22" max="22" width="18.5703125" style="43" customWidth="1"/>
    <col min="23" max="23" width="5.28515625" customWidth="1"/>
    <col min="24" max="24" width="6.5703125" style="2" hidden="1" customWidth="1"/>
    <col min="25" max="25" width="5" customWidth="1"/>
    <col min="26" max="26" width="5" style="157" customWidth="1"/>
    <col min="27" max="27" width="5.28515625" customWidth="1"/>
    <col min="28" max="28" width="5.5703125" customWidth="1"/>
    <col min="29" max="29" width="5.28515625" style="115" customWidth="1"/>
    <col min="30" max="30" width="6.7109375" customWidth="1"/>
    <col min="31" max="31" width="9.140625" style="142"/>
  </cols>
  <sheetData>
    <row r="1" spans="1:32" s="20" customFormat="1" ht="15.75" hidden="1" thickBot="1" x14ac:dyDescent="0.3">
      <c r="A1" s="8"/>
      <c r="D1" s="113"/>
      <c r="E1" s="113"/>
      <c r="F1" s="113"/>
      <c r="G1" s="113"/>
      <c r="H1" s="113"/>
      <c r="I1" s="113"/>
      <c r="J1" s="113"/>
      <c r="K1" s="113"/>
      <c r="L1" s="113"/>
      <c r="M1" s="2"/>
      <c r="N1" s="112"/>
      <c r="O1" s="172"/>
      <c r="P1" s="113"/>
      <c r="R1" s="75"/>
      <c r="S1" s="82"/>
      <c r="T1" s="72"/>
      <c r="V1" s="43"/>
      <c r="X1" s="2"/>
      <c r="Z1" s="157"/>
      <c r="AC1" s="115"/>
      <c r="AE1" s="142"/>
    </row>
    <row r="2" spans="1:32" s="20" customFormat="1" x14ac:dyDescent="0.25">
      <c r="A2" s="8"/>
      <c r="D2" s="113"/>
      <c r="E2" s="113"/>
      <c r="F2" s="113"/>
      <c r="G2" s="113"/>
      <c r="H2" s="113"/>
      <c r="I2" s="113"/>
      <c r="J2" s="113"/>
      <c r="K2" s="113"/>
      <c r="L2" s="124" t="s">
        <v>80</v>
      </c>
      <c r="M2" s="108"/>
      <c r="N2" s="125"/>
      <c r="O2" s="200">
        <f>COUNTIF($O$7:$O$276,"=Y")</f>
        <v>6</v>
      </c>
      <c r="P2" s="110"/>
      <c r="R2" s="75"/>
      <c r="S2" s="82"/>
      <c r="T2" s="72"/>
      <c r="V2" s="43"/>
      <c r="X2" s="2"/>
      <c r="Z2" s="157"/>
      <c r="AC2" s="116"/>
      <c r="AE2" s="142"/>
    </row>
    <row r="3" spans="1:32" s="20" customFormat="1" ht="15.75" thickBot="1" x14ac:dyDescent="0.3">
      <c r="A3" s="8"/>
      <c r="D3" s="113"/>
      <c r="E3" s="113"/>
      <c r="F3" s="113"/>
      <c r="G3" s="113"/>
      <c r="H3" s="113"/>
      <c r="I3" s="113"/>
      <c r="J3" s="113"/>
      <c r="K3" s="113"/>
      <c r="L3" s="126" t="s">
        <v>81</v>
      </c>
      <c r="M3" s="109"/>
      <c r="N3" s="127"/>
      <c r="O3" s="201">
        <f>COUNTA($O$7:$O$276)-O2</f>
        <v>33</v>
      </c>
      <c r="P3" s="110"/>
      <c r="R3" s="75"/>
      <c r="S3" s="82"/>
      <c r="T3" s="72"/>
      <c r="V3" s="43"/>
      <c r="X3" s="2"/>
      <c r="Z3" s="157"/>
      <c r="AC3" s="116"/>
      <c r="AE3" s="142"/>
    </row>
    <row r="4" spans="1:32" s="20" customFormat="1" x14ac:dyDescent="0.25">
      <c r="A4" s="8"/>
      <c r="D4" s="113"/>
      <c r="E4" s="113"/>
      <c r="F4" s="113"/>
      <c r="G4" s="113"/>
      <c r="H4" s="113"/>
      <c r="I4" s="113"/>
      <c r="J4" s="113"/>
      <c r="K4" s="113"/>
      <c r="L4" s="113"/>
      <c r="M4" s="2"/>
      <c r="N4" s="112"/>
      <c r="O4" s="172"/>
      <c r="P4" s="113"/>
      <c r="R4" s="75"/>
      <c r="S4" s="82"/>
      <c r="T4" s="72"/>
      <c r="V4" s="43"/>
      <c r="X4" s="2"/>
      <c r="Z4" s="157"/>
      <c r="AC4" s="116"/>
      <c r="AE4" s="142"/>
    </row>
    <row r="5" spans="1:32" s="10" customFormat="1" ht="15" customHeight="1" x14ac:dyDescent="0.25">
      <c r="A5" s="216" t="str">
        <f>"Eagle P3 Braking Events - "&amp;TEXT(Variables!$A$2,"YYYY-mm-dd")</f>
        <v>Eagle P3 Braking Events - 2017-07-01</v>
      </c>
      <c r="B5" s="216"/>
      <c r="C5" s="216"/>
      <c r="D5" s="216"/>
      <c r="E5" s="216"/>
      <c r="F5" s="216"/>
      <c r="G5" s="216"/>
      <c r="H5" s="216"/>
      <c r="I5" s="216"/>
      <c r="J5" s="216"/>
      <c r="K5" s="216"/>
      <c r="L5" s="216"/>
      <c r="M5" s="216"/>
      <c r="N5" s="216"/>
      <c r="O5" s="216"/>
      <c r="P5" s="128"/>
      <c r="R5" s="80"/>
      <c r="S5" s="83"/>
      <c r="T5" s="85"/>
      <c r="V5" s="44"/>
      <c r="X5" s="207"/>
      <c r="AC5" s="117"/>
      <c r="AE5" s="144"/>
    </row>
    <row r="6" spans="1:32" s="107" customFormat="1" ht="69.75" customHeight="1" x14ac:dyDescent="0.2">
      <c r="A6" s="97" t="s">
        <v>38</v>
      </c>
      <c r="B6" s="98" t="s">
        <v>37</v>
      </c>
      <c r="C6" s="98" t="s">
        <v>36</v>
      </c>
      <c r="D6" s="114" t="s">
        <v>35</v>
      </c>
      <c r="E6" s="114" t="s">
        <v>34</v>
      </c>
      <c r="F6" s="114" t="s">
        <v>33</v>
      </c>
      <c r="G6" s="114" t="s">
        <v>32</v>
      </c>
      <c r="H6" s="114" t="s">
        <v>31</v>
      </c>
      <c r="I6" s="114" t="s">
        <v>149</v>
      </c>
      <c r="J6" s="114" t="s">
        <v>30</v>
      </c>
      <c r="K6" s="114" t="s">
        <v>29</v>
      </c>
      <c r="L6" s="114" t="s">
        <v>28</v>
      </c>
      <c r="M6" s="99" t="s">
        <v>150</v>
      </c>
      <c r="N6" s="129" t="s">
        <v>47</v>
      </c>
      <c r="O6" s="202" t="s">
        <v>27</v>
      </c>
      <c r="P6" s="114" t="s">
        <v>24</v>
      </c>
      <c r="Q6" s="100"/>
      <c r="R6" s="101" t="s">
        <v>89</v>
      </c>
      <c r="S6" s="102" t="s">
        <v>55</v>
      </c>
      <c r="T6" s="103" t="s">
        <v>88</v>
      </c>
      <c r="U6" s="98" t="s">
        <v>83</v>
      </c>
      <c r="V6" s="104" t="s">
        <v>84</v>
      </c>
      <c r="W6" s="100" t="s">
        <v>463</v>
      </c>
      <c r="X6" s="208" t="s">
        <v>456</v>
      </c>
      <c r="Y6" s="105" t="s">
        <v>143</v>
      </c>
      <c r="Z6" s="158" t="s">
        <v>144</v>
      </c>
      <c r="AA6" s="106" t="s">
        <v>117</v>
      </c>
      <c r="AB6" s="106" t="s">
        <v>145</v>
      </c>
      <c r="AC6" s="118" t="s">
        <v>169</v>
      </c>
      <c r="AD6" s="107" t="s">
        <v>186</v>
      </c>
      <c r="AE6" s="143" t="s">
        <v>195</v>
      </c>
    </row>
    <row r="7" spans="1:32" s="1" customFormat="1" x14ac:dyDescent="0.25">
      <c r="A7" s="31">
        <v>42917.693472222221</v>
      </c>
      <c r="B7" s="30" t="s">
        <v>339</v>
      </c>
      <c r="C7" s="30" t="s">
        <v>661</v>
      </c>
      <c r="D7" s="30" t="s">
        <v>49</v>
      </c>
      <c r="E7" s="30" t="s">
        <v>187</v>
      </c>
      <c r="F7" s="42">
        <v>0</v>
      </c>
      <c r="G7" s="42">
        <v>215</v>
      </c>
      <c r="H7" s="42">
        <v>26976</v>
      </c>
      <c r="I7" s="42">
        <v>27357</v>
      </c>
      <c r="J7" s="30" t="s">
        <v>188</v>
      </c>
      <c r="K7" s="42">
        <v>27053</v>
      </c>
      <c r="L7" s="131" t="s">
        <v>50</v>
      </c>
      <c r="M7" s="132">
        <f t="shared" ref="M7:M45" si="0">CONVERT((I7-K7)/10000,"mi","ft")*IF(L7="Increasing Mileposts (1)",-1,1)</f>
        <v>-160.512</v>
      </c>
      <c r="N7" s="133" t="str">
        <f>VLOOKUP(C7,'Trips&amp;Operators'!$C$1:$G$99999,5,FALSE)</f>
        <v>LOPES KIMBERLY</v>
      </c>
      <c r="O7" s="203" t="s">
        <v>180</v>
      </c>
      <c r="P7" s="134" t="s">
        <v>482</v>
      </c>
      <c r="Q7" s="30"/>
      <c r="R7" s="81" t="str">
        <f>VLOOKUP(C7,'Train Runs'!$A$13:$AE$9930,31,0)</f>
        <v>aws s3 cp s3://rtdc.mdm.uploadarchive.raw/RTDC4028/ "%USERPROFILE%\AppData\Local\Temp\OnboardLogs"\RTDC4028\2017-07-01 --exclude "*" --recursive --include "*20170701*" &amp; "%USERPROFILE%\Documents\GitHub\mrs-test-scripts\Headless Mode &amp; Sideloading\WalkAndUnGZ.bat" "%USERPROFILE%\AppData\Local\Temp\OnboardLogs"\RTDC4028\2017-07-01 &amp; aws s3 cp s3://rtdc.mdm.uploadarchive.raw/RTDC4028/ "%USERPROFILE%\AppData\Local\Temp\OnboardLogs"\RTDC4028\2017-07-02 --exclude "*" --recursive --include "*20170702*" &amp; "%USERPROFILE%\Documents\GitHub\mrs-test-scripts\Headless Mode &amp; Sideloading\WalkAndUnGZ.bat" "%USERPROFILE%\AppData\Local\Temp\OnboardLogs"\RTDC4028\2017-07-02</v>
      </c>
      <c r="S7" s="84" t="str">
        <f>VLOOKUP(C7,'Train Runs'!$A$13:$AE$9930,22,0)</f>
        <v>https://d0f6bd738d7f1b3e5a7ca70fe4ff75f0.us-east-1.aws.found.io/app/kibana#/discover/Steve-Slow-Train-Analysis-(2080s-and-2083s)?_g=(refreshInterval:(display:Off,pause:!f,section:0,value:0),time:(from:'2017-07-01T15:22:22-0600',mode:absolute,to:'2017-07-01T18:07:52-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T7" s="86" t="str">
        <f t="shared" ref="T7:T45" si="1">astrogrep_path&amp;" /e /r /s /spath="&amp;search_path&amp;" /stypes=""*"&amp;U7&amp;"*"&amp;TEXT(A7-utc_offset/24,"YYYYMMDD")&amp;LEFT(TEXT(A7-utc_offset/24,"HH"),1)&amp;"*"" /stext="" "&amp;TEXT(A7-utc_offset/24,"HH")&amp;search_regexp&amp;""""</f>
        <v>"C:\Program Files (x86)\AstroGrep\AstroGrep.exe" /e /r /s /spath="%USERPROFILE%\AppData\Local\Temp\OnboardLogs" /stypes="*4028*201707012*" /stext=" 22:.+((SYSTEM_STATE.+slice.+state.+changed )|(ment ac)|(multiple cpu faults)|(system.+state.+changed )|(\[timeout)|(PRM\|1\|D)|(kpr)|(kdp)|(train st.+moving)|(\|lc)|(penalty))"</v>
      </c>
      <c r="U7" s="9" t="str">
        <f t="shared" ref="U7:U45" si="2">MID(B7,13,4)</f>
        <v>4028</v>
      </c>
      <c r="V7" s="31">
        <f t="shared" ref="V7:V45" si="3">A7-utc_offset/24</f>
        <v>42917.943472222221</v>
      </c>
      <c r="W7" s="45" t="str">
        <f t="shared" ref="W7:W45" si="4">DetSubdiv(C7)</f>
        <v>EC</v>
      </c>
      <c r="X7" s="22">
        <f t="shared" ref="X7:X45" si="5">VALUE(LEFT(C7,LEN(C7)-3))</f>
        <v>203</v>
      </c>
      <c r="Y7" s="96" t="str">
        <f t="shared" ref="Y7:Y45" si="6">"echo {""issue"":{""subject"":"""&amp;P7&amp;""",""project_id"":79,""tracker_id"":40,""status_id"":"&amp;redmine_status&amp;",""priority_id"":"&amp;redmine_priority&amp;",""assigned_to_id"":"&amp;redmine_assignee&amp;",""start_date"":"""&amp;TEXT(A7,"YYYY-mm-dd")&amp;""",""description"":"""&amp;Z7&amp;""",""custom_fields"":[{""id"":1,""name"":""Subdivision"",""value"":"""&amp;W7&amp;"""},{""id"":4,""name"":""Milepost"",""value"":"""&amp;K7/10000&amp;"""},{""id"":17,""name"":""Train ID"",""value"":"""&amp;C7&amp;"""},{""id"":16,""name"":""Locomotive ID"",""value"":"""&amp;U7&amp;"""},{""id"":130,""name"":""Impact"",""value"":"""&amp;AA7&amp;"""},{""id"":150,""name"":""Time of Event (Mountain Time)"",""value"":"""&amp;TEXT(A7,"hh:mm:ss")&amp;"""},{""id"":151,""name"":""Denver Issue ID"",""value"":"""&amp;"""},{""id"":178,""name"":""Operational Impact"",""value"":"""&amp;redmine_op_impact&amp;"""},{""id"":179,""name"":""Denver Segment Assigned"",""value"":"""&amp;AB7&amp;"""}]}}"&amp;" | curl -X POST -H ""Content-Type: application/json"" -H ""X-Redmine-API-Key: "&amp;redm_api_key&amp;""" "&amp;redm_url&amp;" --data @-"</f>
        <v>echo {"issue":{"subject":"Early arrival","project_id":79,"tracker_id":40,"status_id":1,"priority_id":2,"assigned_to_id":23,"start_date":"2017-07-01","description":"","custom_fields":[{"id":1,"name":"Subdivision","value":"EC"},{"id":4,"name":"Milepost","value":"2.7053"},{"id":17,"name":"Train ID","value":"203-01"},{"id":16,"name":"Locomotive ID","value":"4028"},{"id":130,"name":"Impact","value":""},{"id":150,"name":"Time of Event (Mountain Time)","value":"16:38:36"},{"id":151,"name":"Denver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7" s="159"/>
      <c r="AA7" s="47"/>
      <c r="AB7" s="47"/>
      <c r="AC7" s="115" t="str">
        <f t="shared" ref="AC7:AC45" si="7">"grep -hrE -A400 ""Enforcement Action"" "&amp;"/c/Users/stu/AppData/Local/Temp/OnboardLogs"&amp;"/RTDC"&amp;U7&amp;" --include=""*"&amp;U7&amp;"*"&amp;TEXT(A7-utc_offset/24,"YYYYMMDD")&amp;LEFT(TEXT(A7-utc_offset/24,"HH"),1)&amp;"*"" | grep -E ""((Enforcement Ac)|(PRM))"" -"</f>
        <v>grep -hrE -A400 "Enforcement Action" /c/Users/stu/AppData/Local/Temp/OnboardLogs/RTDC4028 --include="*4028*201707012*" | grep -E "((Enforcement Ac)|(PRM))" -</v>
      </c>
      <c r="AD7" s="1" t="str">
        <f>"grep -hSE ""Enforcement Action"" "&amp;search_path&amp;"\RTDC"&amp;U7&amp;"\*"&amp;U7&amp;"*"&amp;TEXT(A7-utc_offset/24,"YYYYMMDD")&amp;LEFT(TEXT(A7-utc_offset/24,"HH"),1)&amp;"* &gt;&gt; "&amp;TEXT(Variables!$A$2,"YYYY-MM-DD")&amp;"-SliceDisagreementCheck.txt"</f>
        <v>grep -hSE "Enforcement Action" "%USERPROFILE%\AppData\Local\Temp\OnboardLogs"\RTDC4028\*4028*201707012* &gt;&gt; 2017-07-01-SliceDisagreementCheck.txt</v>
      </c>
      <c r="AE7" s="145" t="str">
        <f t="shared" ref="AE7" si="8">"start /low /b "&amp;dls3logs&amp;" --loco "&amp;U7&amp;" --day "&amp;TEXT(V7,"YYYY-MM-DD")</f>
        <v>start /low /b %USERPROFILE%\Documents\GitHub\eaglep3\Utilities\DownloadLogsFromS3.py --loco 4028 --day 2017-07-01</v>
      </c>
    </row>
    <row r="8" spans="1:32" s="1" customFormat="1" x14ac:dyDescent="0.25">
      <c r="A8" s="31">
        <v>42917.541979166665</v>
      </c>
      <c r="B8" s="30" t="s">
        <v>368</v>
      </c>
      <c r="C8" s="30" t="s">
        <v>653</v>
      </c>
      <c r="D8" s="30" t="s">
        <v>96</v>
      </c>
      <c r="E8" s="30" t="s">
        <v>187</v>
      </c>
      <c r="F8" s="42">
        <v>150</v>
      </c>
      <c r="G8" s="42">
        <v>200</v>
      </c>
      <c r="H8" s="42">
        <v>27087</v>
      </c>
      <c r="I8" s="42">
        <v>26689</v>
      </c>
      <c r="J8" s="30" t="s">
        <v>188</v>
      </c>
      <c r="K8" s="42">
        <v>27350</v>
      </c>
      <c r="L8" s="131" t="s">
        <v>51</v>
      </c>
      <c r="M8" s="132">
        <f t="shared" si="0"/>
        <v>-349.00800000000004</v>
      </c>
      <c r="N8" s="133" t="str">
        <f>VLOOKUP(C8,'Trips&amp;Operators'!$C$1:$G$99999,5,FALSE)</f>
        <v>BRANDNER MELINDA</v>
      </c>
      <c r="O8" s="203" t="s">
        <v>180</v>
      </c>
      <c r="P8" s="134" t="s">
        <v>482</v>
      </c>
      <c r="Q8" s="30"/>
      <c r="R8" s="81" t="str">
        <f>VLOOKUP(C8,'Train Runs'!$A$13:$AE$9930,31,0)</f>
        <v>aws s3 cp s3://rtdc.mdm.uploadarchive.raw/RTDC4013/ "%USERPROFILE%\AppData\Local\Temp\OnboardLogs"\RTDC4013\2017-07-01 --exclude "*" --recursive --include "*20170701*" &amp; "%USERPROFILE%\Documents\GitHub\mrs-test-scripts\Headless Mode &amp; Sideloading\WalkAndUnGZ.bat" "%USERPROFILE%\AppData\Local\Temp\OnboardLogs"\RTDC4013\2017-07-01 &amp; aws s3 cp s3://rtdc.mdm.uploadarchive.raw/RTDC4013/ "%USERPROFILE%\AppData\Local\Temp\OnboardLogs"\RTDC4013\2017-07-02 --exclude "*" --recursive --include "*20170702*" &amp; "%USERPROFILE%\Documents\GitHub\mrs-test-scripts\Headless Mode &amp; Sideloading\WalkAndUnGZ.bat" "%USERPROFILE%\AppData\Local\Temp\OnboardLogs"\RTDC4013\2017-07-02</v>
      </c>
      <c r="S8" s="84" t="str">
        <f>VLOOKUP(C8,'Train Runs'!$A$13:$AE$9930,22,0)</f>
        <v>https://d0f6bd738d7f1b3e5a7ca70fe4ff75f0.us-east-1.aws.found.io/app/kibana#/discover/Steve-Slow-Train-Analysis-(2080s-and-2083s)?_g=(refreshInterval:(display:Off,pause:!f,section:0,value:0),time:(from:'2017-07-01T11:23:22-0600',mode:absolute,to:'2017-07-01T14:08:21-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T8" s="86" t="str">
        <f t="shared" si="1"/>
        <v>"C:\Program Files (x86)\AstroGrep\AstroGrep.exe" /e /r /s /spath="%USERPROFILE%\AppData\Local\Temp\OnboardLogs" /stypes="*4013*201707011*" /stext=" 19:.+((SYSTEM_STATE.+slice.+state.+changed )|(ment ac)|(multiple cpu faults)|(system.+state.+changed )|(\[timeout)|(PRM\|1\|D)|(kpr)|(kdp)|(train st.+moving)|(\|lc)|(penalty))"</v>
      </c>
      <c r="U8" s="9" t="str">
        <f t="shared" si="2"/>
        <v>4013</v>
      </c>
      <c r="V8" s="31">
        <f t="shared" si="3"/>
        <v>42917.791979166665</v>
      </c>
      <c r="W8" s="45" t="str">
        <f t="shared" si="4"/>
        <v>EC</v>
      </c>
      <c r="X8" s="22">
        <f t="shared" si="5"/>
        <v>164</v>
      </c>
      <c r="Y8" s="96" t="str">
        <f t="shared" si="6"/>
        <v>echo {"issue":{"subject":"Early arrival","project_id":79,"tracker_id":40,"status_id":1,"priority_id":2,"assigned_to_id":23,"start_date":"2017-07-01","description":"","custom_fields":[{"id":1,"name":"Subdivision","value":"EC"},{"id":4,"name":"Milepost","value":"2.735"},{"id":17,"name":"Train ID","value":"164-01"},{"id":16,"name":"Locomotive ID","value":"4013"},{"id":130,"name":"Impact","value":""},{"id":150,"name":"Time of Event (Mountain Time)","value":"13:00:27"},{"id":151,"name":"Denver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8" s="159"/>
      <c r="AA8" s="47"/>
      <c r="AB8" s="47"/>
      <c r="AC8" s="115" t="str">
        <f t="shared" si="7"/>
        <v>grep -hrE -A400 "Enforcement Action" /c/Users/stu/AppData/Local/Temp/OnboardLogs/RTDC4013 --include="*4013*201707011*" | grep -E "((Enforcement Ac)|(PRM))" -</v>
      </c>
      <c r="AD8" s="1" t="str">
        <f>"grep -hSE ""Enforcement Action"" "&amp;search_path&amp;"\RTDC"&amp;U8&amp;"\*"&amp;U8&amp;"*"&amp;TEXT(A8-utc_offset/24,"YYYYMMDD")&amp;LEFT(TEXT(A8-utc_offset/24,"HH"),1)&amp;"* &gt;&gt; "&amp;TEXT(Variables!$A$2,"YYYY-MM-DD")&amp;"-SliceDisagreementCheck.txt"</f>
        <v>grep -hSE "Enforcement Action" "%USERPROFILE%\AppData\Local\Temp\OnboardLogs"\RTDC4013\*4013*201707011* &gt;&gt; 2017-07-01-SliceDisagreementCheck.txt</v>
      </c>
      <c r="AE8" s="145" t="str">
        <f t="shared" ref="AE8:AE45" si="9">"start /low /b "&amp;dls3logs&amp;" --loco "&amp;U8&amp;" --day "&amp;TEXT(V8,"YYYY-MM-DD")</f>
        <v>start /low /b %USERPROFILE%\Documents\GitHub\eaglep3\Utilities\DownloadLogsFromS3.py --loco 4013 --day 2017-07-01</v>
      </c>
    </row>
    <row r="9" spans="1:32" s="1" customFormat="1" x14ac:dyDescent="0.25">
      <c r="A9" s="31">
        <v>42917.727835648147</v>
      </c>
      <c r="B9" s="30" t="s">
        <v>474</v>
      </c>
      <c r="C9" s="30" t="s">
        <v>663</v>
      </c>
      <c r="D9" s="30" t="s">
        <v>49</v>
      </c>
      <c r="E9" s="30" t="s">
        <v>187</v>
      </c>
      <c r="F9" s="42">
        <v>0</v>
      </c>
      <c r="G9" s="42">
        <v>192</v>
      </c>
      <c r="H9" s="42">
        <v>31011</v>
      </c>
      <c r="I9" s="42">
        <v>30841</v>
      </c>
      <c r="J9" s="30" t="s">
        <v>188</v>
      </c>
      <c r="K9" s="42">
        <v>30970</v>
      </c>
      <c r="L9" s="131" t="s">
        <v>51</v>
      </c>
      <c r="M9" s="132">
        <f t="shared" si="0"/>
        <v>-68.111999999999995</v>
      </c>
      <c r="N9" s="133" t="str">
        <f>VLOOKUP(C9,'Trips&amp;Operators'!$C$1:$G$99999,5,FALSE)</f>
        <v>STEWART MICHAEL</v>
      </c>
      <c r="O9" s="203" t="s">
        <v>180</v>
      </c>
      <c r="P9" s="134" t="s">
        <v>482</v>
      </c>
      <c r="Q9" s="30"/>
      <c r="R9" s="81" t="str">
        <f>VLOOKUP(C9,'Train Runs'!$A$13:$AE$9930,31,0)</f>
        <v>aws s3 cp s3://rtdc.mdm.uploadarchive.raw/RTDC4017/ "%USERPROFILE%\AppData\Local\Temp\OnboardLogs"\RTDC4017\2017-07-01 --exclude "*" --recursive --include "*20170701*" &amp; "%USERPROFILE%\Documents\GitHub\mrs-test-scripts\Headless Mode &amp; Sideloading\WalkAndUnGZ.bat" "%USERPROFILE%\AppData\Local\Temp\OnboardLogs"\RTDC4017\2017-07-01 &amp; aws s3 cp s3://rtdc.mdm.uploadarchive.raw/RTDC4017/ "%USERPROFILE%\AppData\Local\Temp\OnboardLogs"\RTDC4017\2017-07-02 --exclude "*" --recursive --include "*20170702*" &amp; "%USERPROFILE%\Documents\GitHub\mrs-test-scripts\Headless Mode &amp; Sideloading\WalkAndUnGZ.bat" "%USERPROFILE%\AppData\Local\Temp\OnboardLogs"\RTDC4017\2017-07-02</v>
      </c>
      <c r="S9" s="84" t="str">
        <f>VLOOKUP(C9,'Train Runs'!$A$13:$AE$9930,22,0)</f>
        <v>https://d0f6bd738d7f1b3e5a7ca70fe4ff75f0.us-east-1.aws.found.io/app/kibana#/discover/Steve-Slow-Train-Analysis-(2080s-and-2083s)?_g=(refreshInterval:(display:Off,pause:!f,section:0,value:0),time:(from:'2017-07-01T15:53:54-0600',mode:absolute,to:'2017-07-01T18:37:18-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T9" s="86" t="str">
        <f t="shared" si="1"/>
        <v>"C:\Program Files (x86)\AstroGrep\AstroGrep.exe" /e /r /s /spath="%USERPROFILE%\AppData\Local\Temp\OnboardLogs" /stypes="*4017*201707012*" /stext=" 23:.+((SYSTEM_STATE.+slice.+state.+changed )|(ment ac)|(multiple cpu faults)|(system.+state.+changed )|(\[timeout)|(PRM\|1\|D)|(kpr)|(kdp)|(train st.+moving)|(\|lc)|(penalty))"</v>
      </c>
      <c r="U9" s="9" t="str">
        <f t="shared" si="2"/>
        <v>4017</v>
      </c>
      <c r="V9" s="31">
        <f t="shared" si="3"/>
        <v>42917.977835648147</v>
      </c>
      <c r="W9" s="45" t="str">
        <f t="shared" si="4"/>
        <v>EC</v>
      </c>
      <c r="X9" s="22">
        <f t="shared" si="5"/>
        <v>200</v>
      </c>
      <c r="Y9" s="96" t="str">
        <f t="shared" si="6"/>
        <v>echo {"issue":{"subject":"Early arrival","project_id":79,"tracker_id":40,"status_id":1,"priority_id":2,"assigned_to_id":23,"start_date":"2017-07-01","description":"","custom_fields":[{"id":1,"name":"Subdivision","value":"EC"},{"id":4,"name":"Milepost","value":"3.097"},{"id":17,"name":"Train ID","value":"200-01"},{"id":16,"name":"Locomotive ID","value":"4017"},{"id":130,"name":"Impact","value":""},{"id":150,"name":"Time of Event (Mountain Time)","value":"17:28:05"},{"id":151,"name":"Denver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9" s="159"/>
      <c r="AA9" s="47"/>
      <c r="AB9" s="47"/>
      <c r="AC9" s="115" t="str">
        <f t="shared" si="7"/>
        <v>grep -hrE -A400 "Enforcement Action" /c/Users/stu/AppData/Local/Temp/OnboardLogs/RTDC4017 --include="*4017*201707012*" | grep -E "((Enforcement Ac)|(PRM))" -</v>
      </c>
      <c r="AD9" s="1" t="str">
        <f>"grep -hSE ""Enforcement Action"" "&amp;search_path&amp;"\RTDC"&amp;U9&amp;"\*"&amp;U9&amp;"*"&amp;TEXT(A9-utc_offset/24,"YYYYMMDD")&amp;LEFT(TEXT(A9-utc_offset/24,"HH"),1)&amp;"* &gt;&gt; "&amp;TEXT(Variables!$A$2,"YYYY-MM-DD")&amp;"-SliceDisagreementCheck.txt"</f>
        <v>grep -hSE "Enforcement Action" "%USERPROFILE%\AppData\Local\Temp\OnboardLogs"\RTDC4017\*4017*201707012* &gt;&gt; 2017-07-01-SliceDisagreementCheck.txt</v>
      </c>
      <c r="AE9" s="145" t="str">
        <f t="shared" si="9"/>
        <v>start /low /b %USERPROFILE%\Documents\GitHub\eaglep3\Utilities\DownloadLogsFromS3.py --loco 4017 --day 2017-07-01</v>
      </c>
    </row>
    <row r="10" spans="1:32" s="1" customFormat="1" x14ac:dyDescent="0.25">
      <c r="A10" s="31">
        <v>42917.361921296295</v>
      </c>
      <c r="B10" s="30" t="s">
        <v>474</v>
      </c>
      <c r="C10" s="30" t="s">
        <v>645</v>
      </c>
      <c r="D10" s="30" t="s">
        <v>49</v>
      </c>
      <c r="E10" s="30" t="s">
        <v>187</v>
      </c>
      <c r="F10" s="42">
        <v>250</v>
      </c>
      <c r="G10" s="42">
        <v>367</v>
      </c>
      <c r="H10" s="42">
        <v>35777</v>
      </c>
      <c r="I10" s="42">
        <v>34752</v>
      </c>
      <c r="J10" s="30" t="s">
        <v>188</v>
      </c>
      <c r="K10" s="42">
        <v>33257</v>
      </c>
      <c r="L10" s="131" t="s">
        <v>51</v>
      </c>
      <c r="M10" s="132">
        <f t="shared" si="0"/>
        <v>789.36</v>
      </c>
      <c r="N10" s="133" t="str">
        <f>VLOOKUP(C10,'Trips&amp;Operators'!$C$1:$G$99999,5,FALSE)</f>
        <v>BEAM ROSS</v>
      </c>
      <c r="O10" s="203" t="s">
        <v>180</v>
      </c>
      <c r="P10" s="134" t="s">
        <v>482</v>
      </c>
      <c r="Q10" s="30"/>
      <c r="R10" s="81" t="str">
        <f>VLOOKUP(C10,'Train Runs'!$A$13:$AE$9930,31,0)</f>
        <v>aws s3 cp s3://rtdc.mdm.uploadarchive.raw/RTDC4017/ "%USERPROFILE%\AppData\Local\Temp\OnboardLogs"\RTDC4017\2017-07-01 --exclude "*" --recursive --include "*20170701*" &amp; "%USERPROFILE%\Documents\GitHub\mrs-test-scripts\Headless Mode &amp; Sideloading\WalkAndUnGZ.bat" "%USERPROFILE%\AppData\Local\Temp\OnboardLogs"\RTDC4017\2017-07-01 &amp; aws s3 cp s3://rtdc.mdm.uploadarchive.raw/RTDC4017/ "%USERPROFILE%\AppData\Local\Temp\OnboardLogs"\RTDC4017\2017-07-02 --exclude "*" --recursive --include "*20170702*" &amp; "%USERPROFILE%\Documents\GitHub\mrs-test-scripts\Headless Mode &amp; Sideloading\WalkAndUnGZ.bat" "%USERPROFILE%\AppData\Local\Temp\OnboardLogs"\RTDC4017\2017-07-02</v>
      </c>
      <c r="S10" s="84" t="str">
        <f>VLOOKUP(C10,'Train Runs'!$A$13:$AE$9930,22,0)</f>
        <v>https://d0f6bd738d7f1b3e5a7ca70fe4ff75f0.us-east-1.aws.found.io/app/kibana#/discover/Steve-Slow-Train-Analysis-(2080s-and-2083s)?_g=(refreshInterval:(display:Off,pause:!f,section:0,value:0),time:(from:'2017-07-01T06:57:13-0600',mode:absolute,to:'2017-07-01T09:50:37-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T10" s="86" t="str">
        <f t="shared" si="1"/>
        <v>"C:\Program Files (x86)\AstroGrep\AstroGrep.exe" /e /r /s /spath="%USERPROFILE%\AppData\Local\Temp\OnboardLogs" /stypes="*4017*201707011*" /stext=" 14:.+((SYSTEM_STATE.+slice.+state.+changed )|(ment ac)|(multiple cpu faults)|(system.+state.+changed )|(\[timeout)|(PRM\|1\|D)|(kpr)|(kdp)|(train st.+moving)|(\|lc)|(penalty))"</v>
      </c>
      <c r="U10" s="9" t="str">
        <f t="shared" si="2"/>
        <v>4017</v>
      </c>
      <c r="V10" s="31">
        <f t="shared" si="3"/>
        <v>42917.611921296295</v>
      </c>
      <c r="W10" s="45" t="str">
        <f t="shared" si="4"/>
        <v>EC</v>
      </c>
      <c r="X10" s="22">
        <f t="shared" si="5"/>
        <v>130</v>
      </c>
      <c r="Y10" s="96" t="str">
        <f t="shared" si="6"/>
        <v>echo {"issue":{"subject":"Early arrival","project_id":79,"tracker_id":40,"status_id":1,"priority_id":2,"assigned_to_id":23,"start_date":"2017-07-01","description":"","custom_fields":[{"id":1,"name":"Subdivision","value":"EC"},{"id":4,"name":"Milepost","value":"3.3257"},{"id":17,"name":"Train ID","value":"130-01"},{"id":16,"name":"Locomotive ID","value":"4017"},{"id":130,"name":"Impact","value":""},{"id":150,"name":"Time of Event (Mountain Time)","value":"08:41:10"},{"id":151,"name":"Denver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0" s="159"/>
      <c r="AA10" s="47"/>
      <c r="AB10" s="47"/>
      <c r="AC10" s="115" t="str">
        <f t="shared" si="7"/>
        <v>grep -hrE -A400 "Enforcement Action" /c/Users/stu/AppData/Local/Temp/OnboardLogs/RTDC4017 --include="*4017*201707011*" | grep -E "((Enforcement Ac)|(PRM))" -</v>
      </c>
      <c r="AD10" s="1" t="str">
        <f>"grep -hSE ""Enforcement Action"" "&amp;search_path&amp;"\RTDC"&amp;U10&amp;"\*"&amp;U10&amp;"*"&amp;TEXT(A10-utc_offset/24,"YYYYMMDD")&amp;LEFT(TEXT(A10-utc_offset/24,"HH"),1)&amp;"* &gt;&gt; "&amp;TEXT(Variables!$A$2,"YYYY-MM-DD")&amp;"-SliceDisagreementCheck.txt"</f>
        <v>grep -hSE "Enforcement Action" "%USERPROFILE%\AppData\Local\Temp\OnboardLogs"\RTDC4017\*4017*201707011* &gt;&gt; 2017-07-01-SliceDisagreementCheck.txt</v>
      </c>
      <c r="AE10" s="145" t="str">
        <f t="shared" si="9"/>
        <v>start /low /b %USERPROFILE%\Documents\GitHub\eaglep3\Utilities\DownloadLogsFromS3.py --loco 4017 --day 2017-07-01</v>
      </c>
    </row>
    <row r="11" spans="1:32" s="1" customFormat="1" x14ac:dyDescent="0.25">
      <c r="A11" s="31">
        <v>42917.332337962966</v>
      </c>
      <c r="B11" s="30" t="s">
        <v>339</v>
      </c>
      <c r="C11" s="30" t="s">
        <v>643</v>
      </c>
      <c r="D11" s="30" t="s">
        <v>49</v>
      </c>
      <c r="E11" s="30" t="s">
        <v>187</v>
      </c>
      <c r="F11" s="42">
        <v>0</v>
      </c>
      <c r="G11" s="42">
        <v>553</v>
      </c>
      <c r="H11" s="42">
        <v>56357</v>
      </c>
      <c r="I11" s="42">
        <v>58863</v>
      </c>
      <c r="J11" s="30" t="s">
        <v>188</v>
      </c>
      <c r="K11" s="42">
        <v>58118</v>
      </c>
      <c r="L11" s="131" t="s">
        <v>50</v>
      </c>
      <c r="M11" s="132">
        <f t="shared" si="0"/>
        <v>-393.36</v>
      </c>
      <c r="N11" s="133" t="str">
        <f>VLOOKUP(C11,'Trips&amp;Operators'!$C$1:$G$99999,5,FALSE)</f>
        <v>DAVIS WENDY</v>
      </c>
      <c r="O11" s="203" t="s">
        <v>180</v>
      </c>
      <c r="P11" s="134" t="s">
        <v>482</v>
      </c>
      <c r="Q11" s="30"/>
      <c r="R11" s="81" t="str">
        <f>VLOOKUP(C11,'Train Runs'!$A$13:$AE$9930,31,0)</f>
        <v>aws s3 cp s3://rtdc.mdm.uploadarchive.raw/RTDC4028/ "%USERPROFILE%\AppData\Local\Temp\OnboardLogs"\RTDC4028\2017-07-01 --exclude "*" --recursive --include "*20170701*" &amp; "%USERPROFILE%\Documents\GitHub\mrs-test-scripts\Headless Mode &amp; Sideloading\WalkAndUnGZ.bat" "%USERPROFILE%\AppData\Local\Temp\OnboardLogs"\RTDC4028\2017-07-01 &amp; aws s3 cp s3://rtdc.mdm.uploadarchive.raw/RTDC4028/ "%USERPROFILE%\AppData\Local\Temp\OnboardLogs"\RTDC4028\2017-07-02 --exclude "*" --recursive --include "*20170702*" &amp; "%USERPROFILE%\Documents\GitHub\mrs-test-scripts\Headless Mode &amp; Sideloading\WalkAndUnGZ.bat" "%USERPROFILE%\AppData\Local\Temp\OnboardLogs"\RTDC4028\2017-07-02</v>
      </c>
      <c r="S11" s="84" t="str">
        <f>VLOOKUP(C11,'Train Runs'!$A$13:$AE$9930,22,0)</f>
        <v>https://d0f6bd738d7f1b3e5a7ca70fe4ff75f0.us-east-1.aws.found.io/app/kibana#/discover/Steve-Slow-Train-Analysis-(2080s-and-2083s)?_g=(refreshInterval:(display:Off,pause:!f,section:0,value:0),time:(from:'2017-07-01T06:39:18-0600',mode:absolute,to:'2017-07-01T09:24:48-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T11" s="86" t="str">
        <f t="shared" si="1"/>
        <v>"C:\Program Files (x86)\AstroGrep\AstroGrep.exe" /e /r /s /spath="%USERPROFILE%\AppData\Local\Temp\OnboardLogs" /stypes="*4028*201707011*" /stext=" 13:.+((SYSTEM_STATE.+slice.+state.+changed )|(ment ac)|(multiple cpu faults)|(system.+state.+changed )|(\[timeout)|(PRM\|1\|D)|(kpr)|(kdp)|(train st.+moving)|(\|lc)|(penalty))"</v>
      </c>
      <c r="U11" s="9" t="str">
        <f t="shared" si="2"/>
        <v>4028</v>
      </c>
      <c r="V11" s="31">
        <f t="shared" si="3"/>
        <v>42917.582337962966</v>
      </c>
      <c r="W11" s="45" t="str">
        <f t="shared" si="4"/>
        <v>EC</v>
      </c>
      <c r="X11" s="22">
        <f t="shared" si="5"/>
        <v>133</v>
      </c>
      <c r="Y11" s="96" t="str">
        <f t="shared" si="6"/>
        <v>echo {"issue":{"subject":"Early arrival","project_id":79,"tracker_id":40,"status_id":1,"priority_id":2,"assigned_to_id":23,"start_date":"2017-07-01","description":"","custom_fields":[{"id":1,"name":"Subdivision","value":"EC"},{"id":4,"name":"Milepost","value":"5.8118"},{"id":17,"name":"Train ID","value":"133-01"},{"id":16,"name":"Locomotive ID","value":"4028"},{"id":130,"name":"Impact","value":""},{"id":150,"name":"Time of Event (Mountain Time)","value":"07:58:34"},{"id":151,"name":"Denver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1" s="159"/>
      <c r="AA11" s="47"/>
      <c r="AB11" s="47"/>
      <c r="AC11" s="115" t="str">
        <f t="shared" si="7"/>
        <v>grep -hrE -A400 "Enforcement Action" /c/Users/stu/AppData/Local/Temp/OnboardLogs/RTDC4028 --include="*4028*201707011*" | grep -E "((Enforcement Ac)|(PRM))" -</v>
      </c>
      <c r="AD11" s="1" t="str">
        <f>"grep -hSE ""Enforcement Action"" "&amp;search_path&amp;"\RTDC"&amp;U11&amp;"\*"&amp;U11&amp;"*"&amp;TEXT(A11-utc_offset/24,"YYYYMMDD")&amp;LEFT(TEXT(A11-utc_offset/24,"HH"),1)&amp;"* &gt;&gt; "&amp;TEXT(Variables!$A$2,"YYYY-MM-DD")&amp;"-SliceDisagreementCheck.txt"</f>
        <v>grep -hSE "Enforcement Action" "%USERPROFILE%\AppData\Local\Temp\OnboardLogs"\RTDC4028\*4028*201707011* &gt;&gt; 2017-07-01-SliceDisagreementCheck.txt</v>
      </c>
      <c r="AE11" s="145" t="str">
        <f t="shared" si="9"/>
        <v>start /low /b %USERPROFILE%\Documents\GitHub\eaglep3\Utilities\DownloadLogsFromS3.py --loco 4028 --day 2017-07-01</v>
      </c>
    </row>
    <row r="12" spans="1:32" s="1" customFormat="1" x14ac:dyDescent="0.25">
      <c r="A12" s="31">
        <v>42917.515682870369</v>
      </c>
      <c r="B12" s="30" t="s">
        <v>649</v>
      </c>
      <c r="C12" s="30" t="s">
        <v>650</v>
      </c>
      <c r="D12" s="30" t="s">
        <v>49</v>
      </c>
      <c r="E12" s="30" t="s">
        <v>187</v>
      </c>
      <c r="F12" s="42">
        <v>280</v>
      </c>
      <c r="G12" s="42">
        <v>338</v>
      </c>
      <c r="H12" s="42">
        <v>58620</v>
      </c>
      <c r="I12" s="42">
        <v>57780</v>
      </c>
      <c r="J12" s="30" t="s">
        <v>188</v>
      </c>
      <c r="K12" s="42">
        <v>58301</v>
      </c>
      <c r="L12" s="131" t="s">
        <v>51</v>
      </c>
      <c r="M12" s="132">
        <f t="shared" si="0"/>
        <v>-275.08800000000002</v>
      </c>
      <c r="N12" s="133" t="str">
        <f>VLOOKUP(C12,'Trips&amp;Operators'!$C$1:$G$99999,5,FALSE)</f>
        <v>GUZMAN DANNY</v>
      </c>
      <c r="O12" s="203" t="s">
        <v>180</v>
      </c>
      <c r="P12" s="134" t="s">
        <v>482</v>
      </c>
      <c r="Q12" s="30"/>
      <c r="R12" s="81" t="str">
        <f>VLOOKUP(C12,'Train Runs'!$A$13:$AE$9930,31,0)</f>
        <v>aws s3 cp s3://rtdc.mdm.uploadarchive.raw/RTDC4029/ "%USERPROFILE%\AppData\Local\Temp\OnboardLogs"\RTDC4029\2017-07-01 --exclude "*" --recursive --include "*20170701*" &amp; "%USERPROFILE%\Documents\GitHub\mrs-test-scripts\Headless Mode &amp; Sideloading\WalkAndUnGZ.bat" "%USERPROFILE%\AppData\Local\Temp\OnboardLogs"\RTDC4029\2017-07-01 &amp; aws s3 cp s3://rtdc.mdm.uploadarchive.raw/RTDC4029/ "%USERPROFILE%\AppData\Local\Temp\OnboardLogs"\RTDC4029\2017-07-02 --exclude "*" --recursive --include "*20170702*" &amp; "%USERPROFILE%\Documents\GitHub\mrs-test-scripts\Headless Mode &amp; Sideloading\WalkAndUnGZ.bat" "%USERPROFILE%\AppData\Local\Temp\OnboardLogs"\RTDC4029\2017-07-02</v>
      </c>
      <c r="S12" s="84" t="str">
        <f>VLOOKUP(C12,'Train Runs'!$A$13:$AE$9930,22,0)</f>
        <v>https://d0f6bd738d7f1b3e5a7ca70fe4ff75f0.us-east-1.aws.found.io/app/kibana#/discover/Steve-Slow-Train-Analysis-(2080s-and-2083s)?_g=(refreshInterval:(display:Off,pause:!f,section:0,value:0),time:(from:'2017-07-01T10:40:23-0600',mode:absolute,to:'2017-07-01T13:37:00-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T12" s="86" t="str">
        <f t="shared" si="1"/>
        <v>"C:\Program Files (x86)\AstroGrep\AstroGrep.exe" /e /r /s /spath="%USERPROFILE%\AppData\Local\Temp\OnboardLogs" /stypes="*4029*201707011*" /stext=" 18:.+((SYSTEM_STATE.+slice.+state.+changed )|(ment ac)|(multiple cpu faults)|(system.+state.+changed )|(\[timeout)|(PRM\|1\|D)|(kpr)|(kdp)|(train st.+moving)|(\|lc)|(penalty))"</v>
      </c>
      <c r="U12" s="9" t="str">
        <f t="shared" si="2"/>
        <v>4029</v>
      </c>
      <c r="V12" s="31">
        <f t="shared" si="3"/>
        <v>42917.765682870369</v>
      </c>
      <c r="W12" s="45" t="str">
        <f t="shared" si="4"/>
        <v>EC</v>
      </c>
      <c r="X12" s="22">
        <f t="shared" si="5"/>
        <v>160</v>
      </c>
      <c r="Y12" s="96" t="str">
        <f t="shared" si="6"/>
        <v>echo {"issue":{"subject":"Early arrival","project_id":79,"tracker_id":40,"status_id":1,"priority_id":2,"assigned_to_id":23,"start_date":"2017-07-01","description":"","custom_fields":[{"id":1,"name":"Subdivision","value":"EC"},{"id":4,"name":"Milepost","value":"5.8301"},{"id":17,"name":"Train ID","value":"160-01"},{"id":16,"name":"Locomotive ID","value":"4029"},{"id":130,"name":"Impact","value":""},{"id":150,"name":"Time of Event (Mountain Time)","value":"12:22:35"},{"id":151,"name":"Denver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2" s="159"/>
      <c r="AA12" s="47"/>
      <c r="AB12" s="47"/>
      <c r="AC12" s="115" t="str">
        <f t="shared" si="7"/>
        <v>grep -hrE -A400 "Enforcement Action" /c/Users/stu/AppData/Local/Temp/OnboardLogs/RTDC4029 --include="*4029*201707011*" | grep -E "((Enforcement Ac)|(PRM))" -</v>
      </c>
      <c r="AD12" s="1" t="str">
        <f>"grep -hSE ""Enforcement Action"" "&amp;search_path&amp;"\RTDC"&amp;U12&amp;"\*"&amp;U12&amp;"*"&amp;TEXT(A12-utc_offset/24,"YYYYMMDD")&amp;LEFT(TEXT(A12-utc_offset/24,"HH"),1)&amp;"* &gt;&gt; "&amp;TEXT(Variables!$A$2,"YYYY-MM-DD")&amp;"-SliceDisagreementCheck.txt"</f>
        <v>grep -hSE "Enforcement Action" "%USERPROFILE%\AppData\Local\Temp\OnboardLogs"\RTDC4029\*4029*201707011* &gt;&gt; 2017-07-01-SliceDisagreementCheck.txt</v>
      </c>
      <c r="AE12" s="145" t="str">
        <f t="shared" si="9"/>
        <v>start /low /b %USERPROFILE%\Documents\GitHub\eaglep3\Utilities\DownloadLogsFromS3.py --loco 4029 --day 2017-07-01</v>
      </c>
    </row>
    <row r="13" spans="1:32" s="1" customFormat="1" x14ac:dyDescent="0.25">
      <c r="A13" s="31">
        <v>42918.011064814818</v>
      </c>
      <c r="B13" s="30" t="s">
        <v>339</v>
      </c>
      <c r="C13" s="30" t="s">
        <v>671</v>
      </c>
      <c r="D13" s="30" t="s">
        <v>49</v>
      </c>
      <c r="E13" s="30" t="s">
        <v>187</v>
      </c>
      <c r="F13" s="42">
        <v>410</v>
      </c>
      <c r="G13" s="42">
        <v>497</v>
      </c>
      <c r="H13" s="42">
        <v>62164</v>
      </c>
      <c r="I13" s="42">
        <v>76460</v>
      </c>
      <c r="J13" s="30" t="s">
        <v>188</v>
      </c>
      <c r="K13" s="42">
        <v>63069</v>
      </c>
      <c r="L13" s="131" t="s">
        <v>50</v>
      </c>
      <c r="M13" s="132">
        <f t="shared" si="0"/>
        <v>-7070.4480000000003</v>
      </c>
      <c r="N13" s="133" t="str">
        <f>VLOOKUP(C13,'Trips&amp;Operators'!$C$1:$G$99999,5,FALSE)</f>
        <v>PERKINS DARREN</v>
      </c>
      <c r="O13" s="203" t="s">
        <v>180</v>
      </c>
      <c r="P13" s="134" t="s">
        <v>482</v>
      </c>
      <c r="Q13" s="30"/>
      <c r="R13" s="81" t="str">
        <f>VLOOKUP(C13,'Train Runs'!$A$13:$AE$9930,31,0)</f>
        <v>aws s3 cp s3://rtdc.mdm.uploadarchive.raw/RTDC4028/ "%USERPROFILE%\AppData\Local\Temp\OnboardLogs"\RTDC4028\2017-07-02 --exclude "*" --recursive --include "*20170702*" &amp; "%USERPROFILE%\Documents\GitHub\mrs-test-scripts\Headless Mode &amp; Sideloading\WalkAndUnGZ.bat" "%USERPROFILE%\AppData\Local\Temp\OnboardLogs"\RTDC4028\2017-07-02 &amp; aws s3 cp s3://rtdc.mdm.uploadarchive.raw/RTDC4028/ "%USERPROFILE%\AppData\Local\Temp\OnboardLogs"\RTDC4028\2017-07-03 --exclude "*" --recursive --include "*20170703*" &amp; "%USERPROFILE%\Documents\GitHub\mrs-test-scripts\Headless Mode &amp; Sideloading\WalkAndUnGZ.bat" "%USERPROFILE%\AppData\Local\Temp\OnboardLogs"\RTDC4028\2017-07-03</v>
      </c>
      <c r="S13" s="84" t="str">
        <f>VLOOKUP(C13,'Train Runs'!$A$13:$AE$9930,22,0)</f>
        <v>https://d0f6bd738d7f1b3e5a7ca70fe4ff75f0.us-east-1.aws.found.io/app/kibana#/discover/Steve-Slow-Train-Analysis-(2080s-and-2083s)?_g=(refreshInterval:(display:Off,pause:!f,section:0,value:0),time:(from:'2017-07-01T22:44:32-0600',mode:absolute,to:'2017-07-02T01:36:09-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T13" s="86" t="str">
        <f t="shared" si="1"/>
        <v>"C:\Program Files (x86)\AstroGrep\AstroGrep.exe" /e /r /s /spath="%USERPROFILE%\AppData\Local\Temp\OnboardLogs" /stypes="*4028*201707020*" /stext=" 06:.+((SYSTEM_STATE.+slice.+state.+changed )|(ment ac)|(multiple cpu faults)|(system.+state.+changed )|(\[timeout)|(PRM\|1\|D)|(kpr)|(kdp)|(train st.+moving)|(\|lc)|(penalty))"</v>
      </c>
      <c r="U13" s="9" t="str">
        <f t="shared" si="2"/>
        <v>4028</v>
      </c>
      <c r="V13" s="31">
        <f t="shared" si="3"/>
        <v>42918.261064814818</v>
      </c>
      <c r="W13" s="45" t="str">
        <f t="shared" si="4"/>
        <v>EC</v>
      </c>
      <c r="X13" s="22">
        <f t="shared" si="5"/>
        <v>241</v>
      </c>
      <c r="Y13" s="96" t="str">
        <f t="shared" si="6"/>
        <v>echo {"issue":{"subject":"Early arrival","project_id":79,"tracker_id":40,"status_id":1,"priority_id":2,"assigned_to_id":23,"start_date":"2017-07-02","description":"","custom_fields":[{"id":1,"name":"Subdivision","value":"EC"},{"id":4,"name":"Milepost","value":"6.3069"},{"id":17,"name":"Train ID","value":"241-01"},{"id":16,"name":"Locomotive ID","value":"4028"},{"id":130,"name":"Impact","value":""},{"id":150,"name":"Time of Event (Mountain Time)","value":"00:15:56"},{"id":151,"name":"Denver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3" s="159"/>
      <c r="AA13" s="47"/>
      <c r="AB13" s="47"/>
      <c r="AC13" s="115" t="str">
        <f t="shared" si="7"/>
        <v>grep -hrE -A400 "Enforcement Action" /c/Users/stu/AppData/Local/Temp/OnboardLogs/RTDC4028 --include="*4028*201707020*" | grep -E "((Enforcement Ac)|(PRM))" -</v>
      </c>
      <c r="AD13" s="1" t="str">
        <f>"grep -hSE ""Enforcement Action"" "&amp;search_path&amp;"\RTDC"&amp;U13&amp;"\*"&amp;U13&amp;"*"&amp;TEXT(A13-utc_offset/24,"YYYYMMDD")&amp;LEFT(TEXT(A13-utc_offset/24,"HH"),1)&amp;"* &gt;&gt; "&amp;TEXT(Variables!$A$2,"YYYY-MM-DD")&amp;"-SliceDisagreementCheck.txt"</f>
        <v>grep -hSE "Enforcement Action" "%USERPROFILE%\AppData\Local\Temp\OnboardLogs"\RTDC4028\*4028*201707020* &gt;&gt; 2017-07-01-SliceDisagreementCheck.txt</v>
      </c>
      <c r="AE13" s="145" t="str">
        <f t="shared" si="9"/>
        <v>start /low /b %USERPROFILE%\Documents\GitHub\eaglep3\Utilities\DownloadLogsFromS3.py --loco 4028 --day 2017-07-02</v>
      </c>
    </row>
    <row r="14" spans="1:32" x14ac:dyDescent="0.25">
      <c r="A14" s="31">
        <v>42917.973194444443</v>
      </c>
      <c r="B14" s="30" t="s">
        <v>397</v>
      </c>
      <c r="C14" s="30" t="s">
        <v>669</v>
      </c>
      <c r="D14" s="30" t="s">
        <v>49</v>
      </c>
      <c r="E14" s="30" t="s">
        <v>187</v>
      </c>
      <c r="F14" s="42">
        <v>0</v>
      </c>
      <c r="G14" s="42">
        <v>778</v>
      </c>
      <c r="H14" s="42">
        <v>108129</v>
      </c>
      <c r="I14" s="42">
        <v>111821</v>
      </c>
      <c r="J14" s="30" t="s">
        <v>188</v>
      </c>
      <c r="K14" s="42">
        <v>108954</v>
      </c>
      <c r="L14" s="131" t="s">
        <v>50</v>
      </c>
      <c r="M14" s="132">
        <f t="shared" si="0"/>
        <v>-1513.7760000000001</v>
      </c>
      <c r="N14" s="133" t="str">
        <f>VLOOKUP(C14,'Trips&amp;Operators'!$C$1:$G$99999,5,FALSE)</f>
        <v>LAMAR NEKESHA</v>
      </c>
      <c r="O14" s="203" t="s">
        <v>180</v>
      </c>
      <c r="P14" s="134" t="s">
        <v>482</v>
      </c>
      <c r="Q14" s="30"/>
      <c r="R14" s="81" t="str">
        <f>VLOOKUP(C14,'Train Runs'!$A$13:$AE$9930,31,0)</f>
        <v>aws s3 cp s3://rtdc.mdm.uploadarchive.raw/RTDC4008/ "%USERPROFILE%\AppData\Local\Temp\OnboardLogs"\RTDC4008\2017-07-01 --exclude "*" --recursive --include "*20170701*" &amp; "%USERPROFILE%\Documents\GitHub\mrs-test-scripts\Headless Mode &amp; Sideloading\WalkAndUnGZ.bat" "%USERPROFILE%\AppData\Local\Temp\OnboardLogs"\RTDC4008\2017-07-01 &amp; aws s3 cp s3://rtdc.mdm.uploadarchive.raw/RTDC4008/ "%USERPROFILE%\AppData\Local\Temp\OnboardLogs"\RTDC4008\2017-07-02 --exclude "*" --recursive --include "*20170702*" &amp; "%USERPROFILE%\Documents\GitHub\mrs-test-scripts\Headless Mode &amp; Sideloading\WalkAndUnGZ.bat" "%USERPROFILE%\AppData\Local\Temp\OnboardLogs"\RTDC4008\2017-07-02</v>
      </c>
      <c r="S14" s="84" t="str">
        <f>VLOOKUP(C14,'Train Runs'!$A$13:$AE$9930,22,0)</f>
        <v>https://d0f6bd738d7f1b3e5a7ca70fe4ff75f0.us-east-1.aws.found.io/app/kibana#/discover/Steve-Slow-Train-Analysis-(2080s-and-2083s)?_g=(refreshInterval:(display:Off,pause:!f,section:0,value:0),time:(from:'2017-07-01T21:55:18-0600',mode:absolute,to:'2017-07-02T00:37:37-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T14" s="86" t="str">
        <f t="shared" si="1"/>
        <v>"C:\Program Files (x86)\AstroGrep\AstroGrep.exe" /e /r /s /spath="%USERPROFILE%\AppData\Local\Temp\OnboardLogs" /stypes="*4008*201707020*" /stext=" 05:.+((SYSTEM_STATE.+slice.+state.+changed )|(ment ac)|(multiple cpu faults)|(system.+state.+changed )|(\[timeout)|(PRM\|1\|D)|(kpr)|(kdp)|(train st.+moving)|(\|lc)|(penalty))"</v>
      </c>
      <c r="U14" s="9" t="str">
        <f t="shared" si="2"/>
        <v>4008</v>
      </c>
      <c r="V14" s="31">
        <f t="shared" si="3"/>
        <v>42918.223194444443</v>
      </c>
      <c r="W14" s="45" t="str">
        <f t="shared" si="4"/>
        <v>EC</v>
      </c>
      <c r="X14" s="22">
        <f t="shared" si="5"/>
        <v>237</v>
      </c>
      <c r="Y14" s="96" t="str">
        <f t="shared" si="6"/>
        <v>echo {"issue":{"subject":"Early arrival","project_id":79,"tracker_id":40,"status_id":1,"priority_id":2,"assigned_to_id":23,"start_date":"2017-07-01","description":"","custom_fields":[{"id":1,"name":"Subdivision","value":"EC"},{"id":4,"name":"Milepost","value":"10.8954"},{"id":17,"name":"Train ID","value":"237-01"},{"id":16,"name":"Locomotive ID","value":"4008"},{"id":130,"name":"Impact","value":""},{"id":150,"name":"Time of Event (Mountain Time)","value":"23:21:24"},{"id":151,"name":"Denver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4" s="159"/>
      <c r="AA14" s="47"/>
      <c r="AB14" s="47"/>
      <c r="AC14" s="115" t="str">
        <f t="shared" si="7"/>
        <v>grep -hrE -A400 "Enforcement Action" /c/Users/stu/AppData/Local/Temp/OnboardLogs/RTDC4008 --include="*4008*201707020*" | grep -E "((Enforcement Ac)|(PRM))" -</v>
      </c>
      <c r="AD14" s="1" t="str">
        <f>"grep -hSE ""Enforcement Action"" "&amp;search_path&amp;"\RTDC"&amp;U14&amp;"\*"&amp;U14&amp;"*"&amp;TEXT(A14-utc_offset/24,"YYYYMMDD")&amp;LEFT(TEXT(A14-utc_offset/24,"HH"),1)&amp;"* &gt;&gt; "&amp;TEXT(Variables!$A$2,"YYYY-MM-DD")&amp;"-SliceDisagreementCheck.txt"</f>
        <v>grep -hSE "Enforcement Action" "%USERPROFILE%\AppData\Local\Temp\OnboardLogs"\RTDC4008\*4008*201707020* &gt;&gt; 2017-07-01-SliceDisagreementCheck.txt</v>
      </c>
      <c r="AE14" s="145" t="str">
        <f t="shared" si="9"/>
        <v>start /low /b %USERPROFILE%\Documents\GitHub\eaglep3\Utilities\DownloadLogsFromS3.py --loco 4008 --day 2017-07-02</v>
      </c>
      <c r="AF14" s="1"/>
    </row>
    <row r="15" spans="1:32" x14ac:dyDescent="0.25">
      <c r="A15" s="31">
        <v>42917.460462962961</v>
      </c>
      <c r="B15" s="30" t="s">
        <v>646</v>
      </c>
      <c r="C15" s="30" t="s">
        <v>647</v>
      </c>
      <c r="D15" s="30" t="s">
        <v>96</v>
      </c>
      <c r="E15" s="30" t="s">
        <v>200</v>
      </c>
      <c r="F15" s="42">
        <v>200</v>
      </c>
      <c r="G15" s="42">
        <v>259</v>
      </c>
      <c r="H15" s="42">
        <v>5425</v>
      </c>
      <c r="I15" s="42">
        <v>6082</v>
      </c>
      <c r="J15" s="30" t="s">
        <v>201</v>
      </c>
      <c r="K15" s="42">
        <v>4677</v>
      </c>
      <c r="L15" s="131" t="s">
        <v>50</v>
      </c>
      <c r="M15" s="132">
        <f t="shared" si="0"/>
        <v>-741.84</v>
      </c>
      <c r="N15" s="133" t="str">
        <f>VLOOKUP(C15,'Trips&amp;Operators'!$C$1:$G$99999,5,FALSE)</f>
        <v>GUZMAN DANNY</v>
      </c>
      <c r="O15" s="203" t="s">
        <v>180</v>
      </c>
      <c r="P15" s="134"/>
      <c r="Q15" s="30"/>
      <c r="R15" s="81" t="str">
        <f>VLOOKUP(C15,'Train Runs'!$A$13:$AE$9930,31,0)</f>
        <v>aws s3 cp s3://rtdc.mdm.uploadarchive.raw/RTDC4030/ "%USERPROFILE%\AppData\Local\Temp\OnboardLogs"\RTDC4030\2017-07-01 --exclude "*" --recursive --include "*20170701*" &amp; "%USERPROFILE%\Documents\GitHub\mrs-test-scripts\Headless Mode &amp; Sideloading\WalkAndUnGZ.bat" "%USERPROFILE%\AppData\Local\Temp\OnboardLogs"\RTDC4030\2017-07-01 &amp; aws s3 cp s3://rtdc.mdm.uploadarchive.raw/RTDC4030/ "%USERPROFILE%\AppData\Local\Temp\OnboardLogs"\RTDC4030\2017-07-02 --exclude "*" --recursive --include "*20170702*" &amp; "%USERPROFILE%\Documents\GitHub\mrs-test-scripts\Headless Mode &amp; Sideloading\WalkAndUnGZ.bat" "%USERPROFILE%\AppData\Local\Temp\OnboardLogs"\RTDC4030\2017-07-02</v>
      </c>
      <c r="S15" s="84" t="str">
        <f>VLOOKUP(C15,'Train Runs'!$A$13:$AE$9930,22,0)</f>
        <v>https://d0f6bd738d7f1b3e5a7ca70fe4ff75f0.us-east-1.aws.found.io/app/kibana#/discover/Steve-Slow-Train-Analysis-(2080s-and-2083s)?_g=(refreshInterval:(display:Off,pause:!f,section:0,value:0),time:(from:'2017-07-01T09:52:56-0600',mode:absolute,to:'2017-07-01T12:37:24-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T15" s="86" t="str">
        <f t="shared" si="1"/>
        <v>"C:\Program Files (x86)\AstroGrep\AstroGrep.exe" /e /r /s /spath="%USERPROFILE%\AppData\Local\Temp\OnboardLogs" /stypes="*4030*201707011*" /stext=" 17:.+((SYSTEM_STATE.+slice.+state.+changed )|(ment ac)|(multiple cpu faults)|(system.+state.+changed )|(\[timeout)|(PRM\|1\|D)|(kpr)|(kdp)|(train st.+moving)|(\|lc)|(penalty))"</v>
      </c>
      <c r="U15" s="9" t="str">
        <f t="shared" si="2"/>
        <v>4030</v>
      </c>
      <c r="V15" s="31">
        <f t="shared" si="3"/>
        <v>42917.710462962961</v>
      </c>
      <c r="W15" s="45" t="str">
        <f t="shared" si="4"/>
        <v>EC</v>
      </c>
      <c r="X15" s="22">
        <f t="shared" si="5"/>
        <v>159</v>
      </c>
      <c r="Y15" s="96" t="str">
        <f t="shared" si="6"/>
        <v>echo {"issue":{"subject":"","project_id":79,"tracker_id":40,"status_id":1,"priority_id":2,"assigned_to_id":23,"start_date":"2017-07-01","description":"","custom_fields":[{"id":1,"name":"Subdivision","value":"EC"},{"id":4,"name":"Milepost","value":"0.4677"},{"id":17,"name":"Train ID","value":"159-01"},{"id":16,"name":"Locomotive ID","value":"4030"},{"id":130,"name":"Impact","value":""},{"id":150,"name":"Time of Event (Mountain Time)","value":"11:03:04"},{"id":151,"name":"Denver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5" s="159"/>
      <c r="AA15" s="47"/>
      <c r="AB15" s="47"/>
      <c r="AC15" s="115" t="str">
        <f t="shared" si="7"/>
        <v>grep -hrE -A400 "Enforcement Action" /c/Users/stu/AppData/Local/Temp/OnboardLogs/RTDC4030 --include="*4030*201707011*" | grep -E "((Enforcement Ac)|(PRM))" -</v>
      </c>
      <c r="AD15" s="1" t="str">
        <f>"grep -hSE ""Enforcement Action"" "&amp;search_path&amp;"\RTDC"&amp;U15&amp;"\*"&amp;U15&amp;"*"&amp;TEXT(A15-utc_offset/24,"YYYYMMDD")&amp;LEFT(TEXT(A15-utc_offset/24,"HH"),1)&amp;"* &gt;&gt; "&amp;TEXT(Variables!$A$2,"YYYY-MM-DD")&amp;"-SliceDisagreementCheck.txt"</f>
        <v>grep -hSE "Enforcement Action" "%USERPROFILE%\AppData\Local\Temp\OnboardLogs"\RTDC4030\*4030*201707011* &gt;&gt; 2017-07-01-SliceDisagreementCheck.txt</v>
      </c>
      <c r="AE15" s="145" t="str">
        <f t="shared" si="9"/>
        <v>start /low /b %USERPROFILE%\Documents\GitHub\eaglep3\Utilities\DownloadLogsFromS3.py --loco 4030 --day 2017-07-01</v>
      </c>
      <c r="AF15" s="1"/>
    </row>
    <row r="16" spans="1:32" x14ac:dyDescent="0.25">
      <c r="A16" s="31">
        <v>42917.634236111109</v>
      </c>
      <c r="B16" s="30" t="s">
        <v>483</v>
      </c>
      <c r="C16" s="30" t="s">
        <v>658</v>
      </c>
      <c r="D16" s="30" t="s">
        <v>49</v>
      </c>
      <c r="E16" s="30" t="s">
        <v>200</v>
      </c>
      <c r="F16" s="42">
        <v>300</v>
      </c>
      <c r="G16" s="42">
        <v>509</v>
      </c>
      <c r="H16" s="42">
        <v>24639</v>
      </c>
      <c r="I16" s="42">
        <v>23160</v>
      </c>
      <c r="J16" s="30" t="s">
        <v>201</v>
      </c>
      <c r="K16" s="42">
        <v>21848</v>
      </c>
      <c r="L16" s="131" t="s">
        <v>51</v>
      </c>
      <c r="M16" s="132">
        <f t="shared" si="0"/>
        <v>692.7360000000001</v>
      </c>
      <c r="N16" s="133" t="str">
        <f>VLOOKUP(C16,'Trips&amp;Operators'!$C$1:$G$99999,5,FALSE)</f>
        <v>NEWELL JAMES</v>
      </c>
      <c r="O16" s="203" t="s">
        <v>180</v>
      </c>
      <c r="P16" s="134"/>
      <c r="Q16" s="30"/>
      <c r="R16" s="81" t="str">
        <f>VLOOKUP(C16,'Train Runs'!$A$13:$AE$9930,31,0)</f>
        <v>aws s3 cp s3://rtdc.mdm.uploadarchive.raw/RTDC4007/ "%USERPROFILE%\AppData\Local\Temp\OnboardLogs"\RTDC4007\2017-07-01 --exclude "*" --recursive --include "*20170701*" &amp; "%USERPROFILE%\Documents\GitHub\mrs-test-scripts\Headless Mode &amp; Sideloading\WalkAndUnGZ.bat" "%USERPROFILE%\AppData\Local\Temp\OnboardLogs"\RTDC4007\2017-07-01 &amp; aws s3 cp s3://rtdc.mdm.uploadarchive.raw/RTDC4007/ "%USERPROFILE%\AppData\Local\Temp\OnboardLogs"\RTDC4007\2017-07-02 --exclude "*" --recursive --include "*20170702*" &amp; "%USERPROFILE%\Documents\GitHub\mrs-test-scripts\Headless Mode &amp; Sideloading\WalkAndUnGZ.bat" "%USERPROFILE%\AppData\Local\Temp\OnboardLogs"\RTDC4007\2017-07-02</v>
      </c>
      <c r="S16" s="84" t="str">
        <f>VLOOKUP(C16,'Train Runs'!$A$13:$AE$9930,22,0)</f>
        <v>https://d0f6bd738d7f1b3e5a7ca70fe4ff75f0.us-east-1.aws.found.io/app/kibana#/discover/Steve-Slow-Train-Analysis-(2080s-and-2083s)?_g=(refreshInterval:(display:Off,pause:!f,section:0,value:0),time:(from:'2017-07-01T13:25:37-0600',mode:absolute,to:'2017-07-01T16:19:57-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T16" s="86" t="str">
        <f t="shared" si="1"/>
        <v>"C:\Program Files (x86)\AstroGrep\AstroGrep.exe" /e /r /s /spath="%USERPROFILE%\AppData\Local\Temp\OnboardLogs" /stypes="*4007*201707012*" /stext=" 21:.+((SYSTEM_STATE.+slice.+state.+changed )|(ment ac)|(multiple cpu faults)|(system.+state.+changed )|(\[timeout)|(PRM\|1\|D)|(kpr)|(kdp)|(train st.+moving)|(\|lc)|(penalty))"</v>
      </c>
      <c r="U16" s="9" t="str">
        <f t="shared" si="2"/>
        <v>4007</v>
      </c>
      <c r="V16" s="31">
        <f t="shared" si="3"/>
        <v>42917.884236111109</v>
      </c>
      <c r="W16" s="45" t="str">
        <f t="shared" si="4"/>
        <v>EC</v>
      </c>
      <c r="X16" s="22">
        <f t="shared" si="5"/>
        <v>182</v>
      </c>
      <c r="Y16" s="96" t="str">
        <f t="shared" si="6"/>
        <v>echo {"issue":{"subject":"","project_id":79,"tracker_id":40,"status_id":1,"priority_id":2,"assigned_to_id":23,"start_date":"2017-07-01","description":"","custom_fields":[{"id":1,"name":"Subdivision","value":"EC"},{"id":4,"name":"Milepost","value":"2.1848"},{"id":17,"name":"Train ID","value":"182-01"},{"id":16,"name":"Locomotive ID","value":"4007"},{"id":130,"name":"Impact","value":""},{"id":150,"name":"Time of Event (Mountain Time)","value":"15:13:18"},{"id":151,"name":"Denver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6" s="159"/>
      <c r="AA16" s="47"/>
      <c r="AB16" s="47"/>
      <c r="AC16" s="115" t="str">
        <f t="shared" si="7"/>
        <v>grep -hrE -A400 "Enforcement Action" /c/Users/stu/AppData/Local/Temp/OnboardLogs/RTDC4007 --include="*4007*201707012*" | grep -E "((Enforcement Ac)|(PRM))" -</v>
      </c>
      <c r="AD16" s="1" t="str">
        <f>"grep -hSE ""Enforcement Action"" "&amp;search_path&amp;"\RTDC"&amp;U16&amp;"\*"&amp;U16&amp;"*"&amp;TEXT(A16-utc_offset/24,"YYYYMMDD")&amp;LEFT(TEXT(A16-utc_offset/24,"HH"),1)&amp;"* &gt;&gt; "&amp;TEXT(Variables!$A$2,"YYYY-MM-DD")&amp;"-SliceDisagreementCheck.txt"</f>
        <v>grep -hSE "Enforcement Action" "%USERPROFILE%\AppData\Local\Temp\OnboardLogs"\RTDC4007\*4007*201707012* &gt;&gt; 2017-07-01-SliceDisagreementCheck.txt</v>
      </c>
      <c r="AE16" s="145" t="str">
        <f t="shared" si="9"/>
        <v>start /low /b %USERPROFILE%\Documents\GitHub\eaglep3\Utilities\DownloadLogsFromS3.py --loco 4007 --day 2017-07-01</v>
      </c>
      <c r="AF16" s="1"/>
    </row>
    <row r="17" spans="1:32" x14ac:dyDescent="0.25">
      <c r="A17" s="31">
        <v>42917.816168981481</v>
      </c>
      <c r="B17" s="30" t="s">
        <v>368</v>
      </c>
      <c r="C17" s="30" t="s">
        <v>667</v>
      </c>
      <c r="D17" s="30" t="s">
        <v>96</v>
      </c>
      <c r="E17" s="30" t="s">
        <v>200</v>
      </c>
      <c r="F17" s="42">
        <v>700</v>
      </c>
      <c r="G17" s="42">
        <v>750</v>
      </c>
      <c r="H17" s="42">
        <v>180392</v>
      </c>
      <c r="I17" s="42">
        <v>176764</v>
      </c>
      <c r="J17" s="30" t="s">
        <v>201</v>
      </c>
      <c r="K17" s="42">
        <v>183829</v>
      </c>
      <c r="L17" s="131" t="s">
        <v>51</v>
      </c>
      <c r="M17" s="132">
        <f t="shared" si="0"/>
        <v>-3730.32</v>
      </c>
      <c r="N17" s="133" t="str">
        <f>VLOOKUP(C17,'Trips&amp;Operators'!$C$1:$G$99999,5,FALSE)</f>
        <v>FORTUNATO FRANK</v>
      </c>
      <c r="O17" s="203" t="s">
        <v>180</v>
      </c>
      <c r="P17" s="134"/>
      <c r="Q17" s="30"/>
      <c r="R17" s="81" t="str">
        <f>VLOOKUP(C17,'Train Runs'!$A$13:$AE$9930,31,0)</f>
        <v>aws s3 cp s3://rtdc.mdm.uploadarchive.raw/RTDC4013/ "%USERPROFILE%\AppData\Local\Temp\OnboardLogs"\RTDC4013\2017-07-01 --exclude "*" --recursive --include "*20170701*" &amp; "%USERPROFILE%\Documents\GitHub\mrs-test-scripts\Headless Mode &amp; Sideloading\WalkAndUnGZ.bat" "%USERPROFILE%\AppData\Local\Temp\OnboardLogs"\RTDC4013\2017-07-01 &amp; aws s3 cp s3://rtdc.mdm.uploadarchive.raw/RTDC4013/ "%USERPROFILE%\AppData\Local\Temp\OnboardLogs"\RTDC4013\2017-07-02 --exclude "*" --recursive --include "*20170702*" &amp; "%USERPROFILE%\Documents\GitHub\mrs-test-scripts\Headless Mode &amp; Sideloading\WalkAndUnGZ.bat" "%USERPROFILE%\AppData\Local\Temp\OnboardLogs"\RTDC4013\2017-07-02</v>
      </c>
      <c r="S17" s="84" t="str">
        <f>VLOOKUP(C17,'Train Runs'!$A$13:$AE$9930,22,0)</f>
        <v>https://d0f6bd738d7f1b3e5a7ca70fe4ff75f0.us-east-1.aws.found.io/app/kibana#/discover/Steve-Slow-Train-Analysis-(2080s-and-2083s)?_g=(refreshInterval:(display:Off,pause:!f,section:0,value:0),time:(from:'2017-07-01T18:13:19-0600',mode:absolute,to:'2017-07-01T21:07:23-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T17" s="86" t="str">
        <f t="shared" si="1"/>
        <v>"C:\Program Files (x86)\AstroGrep\AstroGrep.exe" /e /r /s /spath="%USERPROFILE%\AppData\Local\Temp\OnboardLogs" /stypes="*4013*201707020*" /stext=" 01:.+((SYSTEM_STATE.+slice.+state.+changed )|(ment ac)|(multiple cpu faults)|(system.+state.+changed )|(\[timeout)|(PRM\|1\|D)|(kpr)|(kdp)|(train st.+moving)|(\|lc)|(penalty))"</v>
      </c>
      <c r="U17" s="9" t="str">
        <f t="shared" si="2"/>
        <v>4013</v>
      </c>
      <c r="V17" s="31">
        <f t="shared" si="3"/>
        <v>42918.066168981481</v>
      </c>
      <c r="W17" s="45" t="str">
        <f t="shared" si="4"/>
        <v>EC</v>
      </c>
      <c r="X17" s="22">
        <f t="shared" si="5"/>
        <v>220</v>
      </c>
      <c r="Y17" s="96" t="str">
        <f t="shared" si="6"/>
        <v>echo {"issue":{"subject":"","project_id":79,"tracker_id":40,"status_id":1,"priority_id":2,"assigned_to_id":23,"start_date":"2017-07-01","description":"","custom_fields":[{"id":1,"name":"Subdivision","value":"EC"},{"id":4,"name":"Milepost","value":"18.3829"},{"id":17,"name":"Train ID","value":"220-01"},{"id":16,"name":"Locomotive ID","value":"4013"},{"id":130,"name":"Impact","value":""},{"id":150,"name":"Time of Event (Mountain Time)","value":"19:35:17"},{"id":151,"name":"Denver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7" s="159"/>
      <c r="AA17" s="47"/>
      <c r="AB17" s="47"/>
      <c r="AC17" s="115" t="str">
        <f t="shared" si="7"/>
        <v>grep -hrE -A400 "Enforcement Action" /c/Users/stu/AppData/Local/Temp/OnboardLogs/RTDC4013 --include="*4013*201707020*" | grep -E "((Enforcement Ac)|(PRM))" -</v>
      </c>
      <c r="AD17" s="1" t="str">
        <f>"grep -hSE ""Enforcement Action"" "&amp;search_path&amp;"\RTDC"&amp;U17&amp;"\*"&amp;U17&amp;"*"&amp;TEXT(A17-utc_offset/24,"YYYYMMDD")&amp;LEFT(TEXT(A17-utc_offset/24,"HH"),1)&amp;"* &gt;&gt; "&amp;TEXT(Variables!$A$2,"YYYY-MM-DD")&amp;"-SliceDisagreementCheck.txt"</f>
        <v>grep -hSE "Enforcement Action" "%USERPROFILE%\AppData\Local\Temp\OnboardLogs"\RTDC4013\*4013*201707020* &gt;&gt; 2017-07-01-SliceDisagreementCheck.txt</v>
      </c>
      <c r="AE17" s="145" t="str">
        <f t="shared" si="9"/>
        <v>start /low /b %USERPROFILE%\Documents\GitHub\eaglep3\Utilities\DownloadLogsFromS3.py --loco 4013 --day 2017-07-02</v>
      </c>
      <c r="AF17" s="1"/>
    </row>
    <row r="18" spans="1:32" x14ac:dyDescent="0.25">
      <c r="A18" s="31">
        <v>42917.555671296293</v>
      </c>
      <c r="B18" s="30" t="s">
        <v>646</v>
      </c>
      <c r="C18" s="30" t="s">
        <v>655</v>
      </c>
      <c r="D18" s="30" t="s">
        <v>49</v>
      </c>
      <c r="E18" s="30" t="s">
        <v>200</v>
      </c>
      <c r="F18" s="42">
        <v>150</v>
      </c>
      <c r="G18" s="42">
        <v>394</v>
      </c>
      <c r="H18" s="42">
        <v>229357</v>
      </c>
      <c r="I18" s="42">
        <v>230485</v>
      </c>
      <c r="J18" s="30" t="s">
        <v>201</v>
      </c>
      <c r="K18" s="42">
        <v>232080</v>
      </c>
      <c r="L18" s="131" t="s">
        <v>50</v>
      </c>
      <c r="M18" s="132">
        <f t="shared" si="0"/>
        <v>842.16</v>
      </c>
      <c r="N18" s="133" t="str">
        <f>VLOOKUP(C18,'Trips&amp;Operators'!$C$1:$G$99999,5,FALSE)</f>
        <v>HOLCOMB KAMDEN</v>
      </c>
      <c r="O18" s="203" t="s">
        <v>180</v>
      </c>
      <c r="P18" s="134"/>
      <c r="Q18" s="30"/>
      <c r="R18" s="81" t="str">
        <f>VLOOKUP(C18,'Train Runs'!$A$13:$AE$9930,31,0)</f>
        <v>aws s3 cp s3://rtdc.mdm.uploadarchive.raw/RTDC4030/ "%USERPROFILE%\AppData\Local\Temp\OnboardLogs"\RTDC4030\2017-07-01 --exclude "*" --recursive --include "*20170701*" &amp; "%USERPROFILE%\Documents\GitHub\mrs-test-scripts\Headless Mode &amp; Sideloading\WalkAndUnGZ.bat" "%USERPROFILE%\AppData\Local\Temp\OnboardLogs"\RTDC4030\2017-07-01 &amp; aws s3 cp s3://rtdc.mdm.uploadarchive.raw/RTDC4030/ "%USERPROFILE%\AppData\Local\Temp\OnboardLogs"\RTDC4030\2017-07-02 --exclude "*" --recursive --include "*20170702*" &amp; "%USERPROFILE%\Documents\GitHub\mrs-test-scripts\Headless Mode &amp; Sideloading\WalkAndUnGZ.bat" "%USERPROFILE%\AppData\Local\Temp\OnboardLogs"\RTDC4030\2017-07-02</v>
      </c>
      <c r="S18" s="84" t="str">
        <f>VLOOKUP(C18,'Train Runs'!$A$13:$AE$9930,22,0)</f>
        <v>https://d0f6bd738d7f1b3e5a7ca70fe4ff75f0.us-east-1.aws.found.io/app/kibana#/discover/Steve-Slow-Train-Analysis-(2080s-and-2083s)?_g=(refreshInterval:(display:Off,pause:!f,section:0,value:0),time:(from:'2017-07-01T11:40:31-0600',mode:absolute,to:'2017-07-01T14:22:16-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T18" s="86" t="str">
        <f t="shared" si="1"/>
        <v>"C:\Program Files (x86)\AstroGrep\AstroGrep.exe" /e /r /s /spath="%USERPROFILE%\AppData\Local\Temp\OnboardLogs" /stypes="*4030*201707011*" /stext=" 19:.+((SYSTEM_STATE.+slice.+state.+changed )|(ment ac)|(multiple cpu faults)|(system.+state.+changed )|(\[timeout)|(PRM\|1\|D)|(kpr)|(kdp)|(train st.+moving)|(\|lc)|(penalty))"</v>
      </c>
      <c r="U18" s="9" t="str">
        <f t="shared" si="2"/>
        <v>4030</v>
      </c>
      <c r="V18" s="31">
        <f t="shared" si="3"/>
        <v>42917.805671296293</v>
      </c>
      <c r="W18" s="45" t="str">
        <f t="shared" si="4"/>
        <v>EC</v>
      </c>
      <c r="X18" s="22">
        <f t="shared" si="5"/>
        <v>173</v>
      </c>
      <c r="Y18" s="96" t="str">
        <f t="shared" si="6"/>
        <v>echo {"issue":{"subject":"","project_id":79,"tracker_id":40,"status_id":1,"priority_id":2,"assigned_to_id":23,"start_date":"2017-07-01","description":"","custom_fields":[{"id":1,"name":"Subdivision","value":"EC"},{"id":4,"name":"Milepost","value":"23.208"},{"id":17,"name":"Train ID","value":"173-01"},{"id":16,"name":"Locomotive ID","value":"4030"},{"id":130,"name":"Impact","value":""},{"id":150,"name":"Time of Event (Mountain Time)","value":"13:20:10"},{"id":151,"name":"Denver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8" s="159"/>
      <c r="AA18" s="47"/>
      <c r="AB18" s="47"/>
      <c r="AC18" s="115" t="str">
        <f t="shared" si="7"/>
        <v>grep -hrE -A400 "Enforcement Action" /c/Users/stu/AppData/Local/Temp/OnboardLogs/RTDC4030 --include="*4030*201707011*" | grep -E "((Enforcement Ac)|(PRM))" -</v>
      </c>
      <c r="AD18" s="1" t="str">
        <f>"grep -hSE ""Enforcement Action"" "&amp;search_path&amp;"\RTDC"&amp;U18&amp;"\*"&amp;U18&amp;"*"&amp;TEXT(A18-utc_offset/24,"YYYYMMDD")&amp;LEFT(TEXT(A18-utc_offset/24,"HH"),1)&amp;"* &gt;&gt; "&amp;TEXT(Variables!$A$2,"YYYY-MM-DD")&amp;"-SliceDisagreementCheck.txt"</f>
        <v>grep -hSE "Enforcement Action" "%USERPROFILE%\AppData\Local\Temp\OnboardLogs"\RTDC4030\*4030*201707011* &gt;&gt; 2017-07-01-SliceDisagreementCheck.txt</v>
      </c>
      <c r="AE18" s="145" t="str">
        <f t="shared" si="9"/>
        <v>start /low /b %USERPROFILE%\Documents\GitHub\eaglep3\Utilities\DownloadLogsFromS3.py --loco 4030 --day 2017-07-01</v>
      </c>
      <c r="AF18" s="1"/>
    </row>
    <row r="19" spans="1:32" x14ac:dyDescent="0.25">
      <c r="A19" s="31">
        <v>42917.774340277778</v>
      </c>
      <c r="B19" s="30" t="s">
        <v>646</v>
      </c>
      <c r="C19" s="30" t="s">
        <v>665</v>
      </c>
      <c r="D19" s="30" t="s">
        <v>49</v>
      </c>
      <c r="E19" s="30" t="s">
        <v>200</v>
      </c>
      <c r="F19" s="42">
        <v>150</v>
      </c>
      <c r="G19" s="42">
        <v>381</v>
      </c>
      <c r="H19" s="42">
        <v>229076</v>
      </c>
      <c r="I19" s="42">
        <v>229981</v>
      </c>
      <c r="J19" s="30" t="s">
        <v>201</v>
      </c>
      <c r="K19" s="42">
        <v>232107</v>
      </c>
      <c r="L19" s="131" t="s">
        <v>50</v>
      </c>
      <c r="M19" s="132">
        <f t="shared" si="0"/>
        <v>1122.528</v>
      </c>
      <c r="N19" s="133" t="str">
        <f>VLOOKUP(C19,'Trips&amp;Operators'!$C$1:$G$99999,5,FALSE)</f>
        <v>HOLCOMB KAMDEN</v>
      </c>
      <c r="O19" s="203" t="s">
        <v>180</v>
      </c>
      <c r="P19" s="134"/>
      <c r="Q19" s="30"/>
      <c r="R19" s="81" t="str">
        <f>VLOOKUP(C19,'Train Runs'!$A$13:$AE$9930,31,0)</f>
        <v>aws s3 cp s3://rtdc.mdm.uploadarchive.raw/RTDC4030/ "%USERPROFILE%\AppData\Local\Temp\OnboardLogs"\RTDC4030\2017-07-01 --exclude "*" --recursive --include "*20170701*" &amp; "%USERPROFILE%\Documents\GitHub\mrs-test-scripts\Headless Mode &amp; Sideloading\WalkAndUnGZ.bat" "%USERPROFILE%\AppData\Local\Temp\OnboardLogs"\RTDC4030\2017-07-01 &amp; aws s3 cp s3://rtdc.mdm.uploadarchive.raw/RTDC4030/ "%USERPROFILE%\AppData\Local\Temp\OnboardLogs"\RTDC4030\2017-07-02 --exclude "*" --recursive --include "*20170702*" &amp; "%USERPROFILE%\Documents\GitHub\mrs-test-scripts\Headless Mode &amp; Sideloading\WalkAndUnGZ.bat" "%USERPROFILE%\AppData\Local\Temp\OnboardLogs"\RTDC4030\2017-07-02</v>
      </c>
      <c r="S19" s="84" t="str">
        <f>VLOOKUP(C19,'Train Runs'!$A$13:$AE$9930,22,0)</f>
        <v>https://d0f6bd738d7f1b3e5a7ca70fe4ff75f0.us-east-1.aws.found.io/app/kibana#/discover/Steve-Slow-Train-Analysis-(2080s-and-2083s)?_g=(refreshInterval:(display:Off,pause:!f,section:0,value:0),time:(from:'2017-07-01T16:55:44-0600',mode:absolute,to:'2017-07-01T19:37:08-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T19" s="86" t="str">
        <f t="shared" si="1"/>
        <v>"C:\Program Files (x86)\AstroGrep\AstroGrep.exe" /e /r /s /spath="%USERPROFILE%\AppData\Local\Temp\OnboardLogs" /stypes="*4030*201707020*" /stext=" 00:.+((SYSTEM_STATE.+slice.+state.+changed )|(ment ac)|(multiple cpu faults)|(system.+state.+changed )|(\[timeout)|(PRM\|1\|D)|(kpr)|(kdp)|(train st.+moving)|(\|lc)|(penalty))"</v>
      </c>
      <c r="U19" s="9" t="str">
        <f t="shared" si="2"/>
        <v>4030</v>
      </c>
      <c r="V19" s="31">
        <f t="shared" si="3"/>
        <v>42918.024340277778</v>
      </c>
      <c r="W19" s="45" t="str">
        <f t="shared" si="4"/>
        <v>EC</v>
      </c>
      <c r="X19" s="22">
        <f t="shared" si="5"/>
        <v>215</v>
      </c>
      <c r="Y19" s="96" t="str">
        <f t="shared" si="6"/>
        <v>echo {"issue":{"subject":"","project_id":79,"tracker_id":40,"status_id":1,"priority_id":2,"assigned_to_id":23,"start_date":"2017-07-01","description":"","custom_fields":[{"id":1,"name":"Subdivision","value":"EC"},{"id":4,"name":"Milepost","value":"23.2107"},{"id":17,"name":"Train ID","value":"215-01"},{"id":16,"name":"Locomotive ID","value":"4030"},{"id":130,"name":"Impact","value":""},{"id":150,"name":"Time of Event (Mountain Time)","value":"18:35:03"},{"id":151,"name":"Denver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9" s="159"/>
      <c r="AA19" s="47"/>
      <c r="AB19" s="47"/>
      <c r="AC19" s="115" t="str">
        <f t="shared" si="7"/>
        <v>grep -hrE -A400 "Enforcement Action" /c/Users/stu/AppData/Local/Temp/OnboardLogs/RTDC4030 --include="*4030*201707020*" | grep -E "((Enforcement Ac)|(PRM))" -</v>
      </c>
      <c r="AD19" s="1" t="str">
        <f>"grep -hSE ""Enforcement Action"" "&amp;search_path&amp;"\RTDC"&amp;U19&amp;"\*"&amp;U19&amp;"*"&amp;TEXT(A19-utc_offset/24,"YYYYMMDD")&amp;LEFT(TEXT(A19-utc_offset/24,"HH"),1)&amp;"* &gt;&gt; "&amp;TEXT(Variables!$A$2,"YYYY-MM-DD")&amp;"-SliceDisagreementCheck.txt"</f>
        <v>grep -hSE "Enforcement Action" "%USERPROFILE%\AppData\Local\Temp\OnboardLogs"\RTDC4030\*4030*201707020* &gt;&gt; 2017-07-01-SliceDisagreementCheck.txt</v>
      </c>
      <c r="AE19" s="145" t="str">
        <f t="shared" si="9"/>
        <v>start /low /b %USERPROFILE%\Documents\GitHub\eaglep3\Utilities\DownloadLogsFromS3.py --loco 4030 --day 2017-07-02</v>
      </c>
      <c r="AF19" s="1"/>
    </row>
    <row r="20" spans="1:32" x14ac:dyDescent="0.25">
      <c r="A20" s="31">
        <v>42917.978113425925</v>
      </c>
      <c r="B20" s="30" t="s">
        <v>368</v>
      </c>
      <c r="C20" s="30" t="s">
        <v>670</v>
      </c>
      <c r="D20" s="30" t="s">
        <v>96</v>
      </c>
      <c r="E20" s="30" t="s">
        <v>200</v>
      </c>
      <c r="F20" s="42">
        <v>350</v>
      </c>
      <c r="G20" s="42">
        <v>409</v>
      </c>
      <c r="H20" s="42">
        <v>229790</v>
      </c>
      <c r="I20" s="42">
        <v>228750</v>
      </c>
      <c r="J20" s="30" t="s">
        <v>201</v>
      </c>
      <c r="K20" s="42">
        <v>232107</v>
      </c>
      <c r="L20" s="131" t="s">
        <v>51</v>
      </c>
      <c r="M20" s="132">
        <f t="shared" si="0"/>
        <v>-1772.4960000000001</v>
      </c>
      <c r="N20" s="133" t="str">
        <f>VLOOKUP(C20,'Trips&amp;Operators'!$C$1:$G$99999,5,FALSE)</f>
        <v>FORTUNATO FRANK</v>
      </c>
      <c r="O20" s="203" t="s">
        <v>180</v>
      </c>
      <c r="P20" s="134"/>
      <c r="Q20" s="30"/>
      <c r="R20" s="81" t="str">
        <f>VLOOKUP(C20,'Train Runs'!$A$13:$AE$9930,31,0)</f>
        <v>aws s3 cp s3://rtdc.mdm.uploadarchive.raw/RTDC4013/ "%USERPROFILE%\AppData\Local\Temp\OnboardLogs"\RTDC4013\2017-07-01 --exclude "*" --recursive --include "*20170701*" &amp; "%USERPROFILE%\Documents\GitHub\mrs-test-scripts\Headless Mode &amp; Sideloading\WalkAndUnGZ.bat" "%USERPROFILE%\AppData\Local\Temp\OnboardLogs"\RTDC4013\2017-07-01 &amp; aws s3 cp s3://rtdc.mdm.uploadarchive.raw/RTDC4013/ "%USERPROFILE%\AppData\Local\Temp\OnboardLogs"\RTDC4013\2017-07-02 --exclude "*" --recursive --include "*20170702*" &amp; "%USERPROFILE%\Documents\GitHub\mrs-test-scripts\Headless Mode &amp; Sideloading\WalkAndUnGZ.bat" "%USERPROFILE%\AppData\Local\Temp\OnboardLogs"\RTDC4013\2017-07-02</v>
      </c>
      <c r="S20" s="84" t="str">
        <f>VLOOKUP(C20,'Train Runs'!$A$13:$AE$9930,22,0)</f>
        <v>https://d0f6bd738d7f1b3e5a7ca70fe4ff75f0.us-east-1.aws.found.io/app/kibana#/discover/Steve-Slow-Train-Analysis-(2080s-and-2083s)?_g=(refreshInterval:(display:Off,pause:!f,section:0,value:0),time:(from:'2017-07-01T22:09:13-0600',mode:absolute,to:'2017-07-02T01:07:03-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T20" s="86" t="str">
        <f t="shared" si="1"/>
        <v>"C:\Program Files (x86)\AstroGrep\AstroGrep.exe" /e /r /s /spath="%USERPROFILE%\AppData\Local\Temp\OnboardLogs" /stypes="*4013*201707020*" /stext=" 05:.+((SYSTEM_STATE.+slice.+state.+changed )|(ment ac)|(multiple cpu faults)|(system.+state.+changed )|(\[timeout)|(PRM\|1\|D)|(kpr)|(kdp)|(train st.+moving)|(\|lc)|(penalty))"</v>
      </c>
      <c r="U20" s="9" t="str">
        <f t="shared" si="2"/>
        <v>4013</v>
      </c>
      <c r="V20" s="31">
        <f t="shared" si="3"/>
        <v>42918.228113425925</v>
      </c>
      <c r="W20" s="45" t="str">
        <f t="shared" si="4"/>
        <v>EC</v>
      </c>
      <c r="X20" s="22">
        <f t="shared" si="5"/>
        <v>236</v>
      </c>
      <c r="Y20" s="96" t="str">
        <f t="shared" si="6"/>
        <v>echo {"issue":{"subject":"","project_id":79,"tracker_id":40,"status_id":1,"priority_id":2,"assigned_to_id":23,"start_date":"2017-07-01","description":"","custom_fields":[{"id":1,"name":"Subdivision","value":"EC"},{"id":4,"name":"Milepost","value":"23.2107"},{"id":17,"name":"Train ID","value":"236-01"},{"id":16,"name":"Locomotive ID","value":"4013"},{"id":130,"name":"Impact","value":""},{"id":150,"name":"Time of Event (Mountain Time)","value":"23:28:29"},{"id":151,"name":"Denver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0" s="159"/>
      <c r="AA20" s="47"/>
      <c r="AB20" s="47"/>
      <c r="AC20" s="115" t="str">
        <f t="shared" si="7"/>
        <v>grep -hrE -A400 "Enforcement Action" /c/Users/stu/AppData/Local/Temp/OnboardLogs/RTDC4013 --include="*4013*201707020*" | grep -E "((Enforcement Ac)|(PRM))" -</v>
      </c>
      <c r="AD20" s="1" t="str">
        <f>"grep -hSE ""Enforcement Action"" "&amp;search_path&amp;"\RTDC"&amp;U20&amp;"\*"&amp;U20&amp;"*"&amp;TEXT(A20-utc_offset/24,"YYYYMMDD")&amp;LEFT(TEXT(A20-utc_offset/24,"HH"),1)&amp;"* &gt;&gt; "&amp;TEXT(Variables!$A$2,"YYYY-MM-DD")&amp;"-SliceDisagreementCheck.txt"</f>
        <v>grep -hSE "Enforcement Action" "%USERPROFILE%\AppData\Local\Temp\OnboardLogs"\RTDC4013\*4013*201707020* &gt;&gt; 2017-07-01-SliceDisagreementCheck.txt</v>
      </c>
      <c r="AE20" s="145" t="str">
        <f t="shared" si="9"/>
        <v>start /low /b %USERPROFILE%\Documents\GitHub\eaglep3\Utilities\DownloadLogsFromS3.py --loco 4013 --day 2017-07-02</v>
      </c>
      <c r="AF20" s="1"/>
    </row>
    <row r="21" spans="1:32" x14ac:dyDescent="0.25">
      <c r="A21" s="31">
        <v>42917.500081018516</v>
      </c>
      <c r="B21" s="30" t="s">
        <v>641</v>
      </c>
      <c r="C21" s="30" t="s">
        <v>648</v>
      </c>
      <c r="D21" s="30" t="s">
        <v>49</v>
      </c>
      <c r="E21" s="30" t="s">
        <v>361</v>
      </c>
      <c r="F21" s="42">
        <v>0</v>
      </c>
      <c r="G21" s="42">
        <v>280</v>
      </c>
      <c r="H21" s="42">
        <v>22124</v>
      </c>
      <c r="I21" s="42">
        <v>21512</v>
      </c>
      <c r="J21" s="30" t="s">
        <v>362</v>
      </c>
      <c r="K21" s="42">
        <v>20632</v>
      </c>
      <c r="L21" s="131" t="s">
        <v>51</v>
      </c>
      <c r="M21" s="132">
        <f t="shared" si="0"/>
        <v>464.64</v>
      </c>
      <c r="N21" s="133" t="str">
        <f>VLOOKUP(C21,'Trips&amp;Operators'!$C$1:$G$99999,5,FALSE)</f>
        <v>DAVIDSON DAVID</v>
      </c>
      <c r="O21" s="203" t="s">
        <v>408</v>
      </c>
      <c r="P21" s="134" t="s">
        <v>1037</v>
      </c>
      <c r="Q21" s="30"/>
      <c r="R21" s="81" t="str">
        <f>VLOOKUP(C21,'Train Runs'!$A$13:$AE$9930,31,0)</f>
        <v>aws s3 cp s3://rtdc.mdm.uploadarchive.raw/RTDC4055/ "%USERPROFILE%\AppData\Local\Temp\OnboardLogs"\RTDC4055\2017-07-01 --exclude "*" --recursive --include "*20170701*" &amp; "%USERPROFILE%\Documents\GitHub\mrs-test-scripts\Headless Mode &amp; Sideloading\WalkAndUnGZ.bat" "%USERPROFILE%\AppData\Local\Temp\OnboardLogs"\RTDC4055\2017-07-01 &amp; aws s3 cp s3://rtdc.mdm.uploadarchive.raw/RTDC4055/ "%USERPROFILE%\AppData\Local\Temp\OnboardLogs"\RTDC4055\2017-07-02 --exclude "*" --recursive --include "*20170702*" &amp; "%USERPROFILE%\Documents\GitHub\mrs-test-scripts\Headless Mode &amp; Sideloading\WalkAndUnGZ.bat" "%USERPROFILE%\AppData\Local\Temp\OnboardLogs"\RTDC4055\2017-07-02</v>
      </c>
      <c r="S21" s="84" t="str">
        <f>VLOOKUP(C21,'Train Runs'!$A$13:$AE$9930,22,0)</f>
        <v>https://d0f6bd738d7f1b3e5a7ca70fe4ff75f0.us-east-1.aws.found.io/app/kibana#/discover/Steve-Slow-Train-Analysis-(2080s-and-2083s)?_g=(refreshInterval:(display:Off,pause:!f,section:0,value:0),time:(from:'2017-07-01T11:02:31-0600',mode:absolute,to:'2017-07-01T13:10:27-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4055%22')),sort:!(Time.ISO8601,asc))</v>
      </c>
      <c r="T21" s="86" t="str">
        <f t="shared" si="1"/>
        <v>"C:\Program Files (x86)\AstroGrep\AstroGrep.exe" /e /r /s /spath="%USERPROFILE%\AppData\Local\Temp\OnboardLogs" /stypes="*4055*201707011*" /stext=" 18:.+((SYSTEM_STATE.+slice.+state.+changed )|(ment ac)|(multiple cpu faults)|(system.+state.+changed )|(\[timeout)|(PRM\|1\|D)|(kpr)|(kdp)|(train st.+moving)|(\|lc)|(penalty))"</v>
      </c>
      <c r="U21" s="9" t="str">
        <f t="shared" si="2"/>
        <v>4055</v>
      </c>
      <c r="V21" s="31">
        <f t="shared" si="3"/>
        <v>42917.750081018516</v>
      </c>
      <c r="W21" s="45" t="str">
        <f t="shared" si="4"/>
        <v>EC</v>
      </c>
      <c r="X21" s="22">
        <f t="shared" si="5"/>
        <v>156</v>
      </c>
      <c r="Y21" s="96" t="str">
        <f t="shared" si="6"/>
        <v>echo {"issue":{"subject":"Minor onboard in-route failure caused comm outage","project_id":79,"tracker_id":40,"status_id":1,"priority_id":2,"assigned_to_id":23,"start_date":"2017-07-01","description":"","custom_fields":[{"id":1,"name":"Subdivision","value":"EC"},{"id":4,"name":"Milepost","value":"2.0632"},{"id":17,"name":"Train ID","value":"156-01"},{"id":16,"name":"Locomotive ID","value":"4055"},{"id":130,"name":"Impact","value":""},{"id":150,"name":"Time of Event (Mountain Time)","value":"12:00:07"},{"id":151,"name":"Denver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1" s="159"/>
      <c r="AA21" s="47"/>
      <c r="AB21" s="47"/>
      <c r="AC21" s="115" t="str">
        <f t="shared" si="7"/>
        <v>grep -hrE -A400 "Enforcement Action" /c/Users/stu/AppData/Local/Temp/OnboardLogs/RTDC4055 --include="*4055*201707011*" | grep -E "((Enforcement Ac)|(PRM))" -</v>
      </c>
      <c r="AD21" s="1" t="str">
        <f>"grep -hSE ""Enforcement Action"" "&amp;search_path&amp;"\RTDC"&amp;U21&amp;"\*"&amp;U21&amp;"*"&amp;TEXT(A21-utc_offset/24,"YYYYMMDD")&amp;LEFT(TEXT(A21-utc_offset/24,"HH"),1)&amp;"* &gt;&gt; "&amp;TEXT(Variables!$A$2,"YYYY-MM-DD")&amp;"-SliceDisagreementCheck.txt"</f>
        <v>grep -hSE "Enforcement Action" "%USERPROFILE%\AppData\Local\Temp\OnboardLogs"\RTDC4055\*4055*201707011* &gt;&gt; 2017-07-01-SliceDisagreementCheck.txt</v>
      </c>
      <c r="AE21" s="145" t="str">
        <f t="shared" si="9"/>
        <v>start /low /b %USERPROFILE%\Documents\GitHub\eaglep3\Utilities\DownloadLogsFromS3.py --loco 4055 --day 2017-07-01</v>
      </c>
      <c r="AF21" s="1"/>
    </row>
    <row r="22" spans="1:32" x14ac:dyDescent="0.25">
      <c r="A22" s="31">
        <v>42917.502870370372</v>
      </c>
      <c r="B22" s="30" t="s">
        <v>641</v>
      </c>
      <c r="C22" s="30" t="s">
        <v>648</v>
      </c>
      <c r="D22" s="30" t="s">
        <v>96</v>
      </c>
      <c r="E22" s="30" t="s">
        <v>361</v>
      </c>
      <c r="F22" s="42">
        <v>200</v>
      </c>
      <c r="G22" s="42">
        <v>251</v>
      </c>
      <c r="H22" s="42">
        <v>18260</v>
      </c>
      <c r="I22" s="42">
        <v>18008</v>
      </c>
      <c r="J22" s="30" t="s">
        <v>362</v>
      </c>
      <c r="K22" s="42">
        <v>20632</v>
      </c>
      <c r="L22" s="131" t="s">
        <v>51</v>
      </c>
      <c r="M22" s="132">
        <f t="shared" si="0"/>
        <v>-1385.4720000000002</v>
      </c>
      <c r="N22" s="133" t="str">
        <f>VLOOKUP(C22,'Trips&amp;Operators'!$C$1:$G$99999,5,FALSE)</f>
        <v>DAVIDSON DAVID</v>
      </c>
      <c r="O22" s="203" t="s">
        <v>180</v>
      </c>
      <c r="P22" s="134" t="s">
        <v>1038</v>
      </c>
      <c r="Q22" s="30"/>
      <c r="R22" s="81" t="str">
        <f>VLOOKUP(C22,'Train Runs'!$A$13:$AE$9930,31,0)</f>
        <v>aws s3 cp s3://rtdc.mdm.uploadarchive.raw/RTDC4055/ "%USERPROFILE%\AppData\Local\Temp\OnboardLogs"\RTDC4055\2017-07-01 --exclude "*" --recursive --include "*20170701*" &amp; "%USERPROFILE%\Documents\GitHub\mrs-test-scripts\Headless Mode &amp; Sideloading\WalkAndUnGZ.bat" "%USERPROFILE%\AppData\Local\Temp\OnboardLogs"\RTDC4055\2017-07-01 &amp; aws s3 cp s3://rtdc.mdm.uploadarchive.raw/RTDC4055/ "%USERPROFILE%\AppData\Local\Temp\OnboardLogs"\RTDC4055\2017-07-02 --exclude "*" --recursive --include "*20170702*" &amp; "%USERPROFILE%\Documents\GitHub\mrs-test-scripts\Headless Mode &amp; Sideloading\WalkAndUnGZ.bat" "%USERPROFILE%\AppData\Local\Temp\OnboardLogs"\RTDC4055\2017-07-02</v>
      </c>
      <c r="S22" s="84" t="str">
        <f>VLOOKUP(C22,'Train Runs'!$A$13:$AE$9930,22,0)</f>
        <v>https://d0f6bd738d7f1b3e5a7ca70fe4ff75f0.us-east-1.aws.found.io/app/kibana#/discover/Steve-Slow-Train-Analysis-(2080s-and-2083s)?_g=(refreshInterval:(display:Off,pause:!f,section:0,value:0),time:(from:'2017-07-01T11:02:31-0600',mode:absolute,to:'2017-07-01T13:10:27-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4055%22')),sort:!(Time.ISO8601,asc))</v>
      </c>
      <c r="T22" s="86" t="str">
        <f t="shared" si="1"/>
        <v>"C:\Program Files (x86)\AstroGrep\AstroGrep.exe" /e /r /s /spath="%USERPROFILE%\AppData\Local\Temp\OnboardLogs" /stypes="*4055*201707011*" /stext=" 18:.+((SYSTEM_STATE.+slice.+state.+changed )|(ment ac)|(multiple cpu faults)|(system.+state.+changed )|(\[timeout)|(PRM\|1\|D)|(kpr)|(kdp)|(train st.+moving)|(\|lc)|(penalty))"</v>
      </c>
      <c r="U22" s="9" t="str">
        <f t="shared" si="2"/>
        <v>4055</v>
      </c>
      <c r="V22" s="31">
        <f t="shared" si="3"/>
        <v>42917.752870370372</v>
      </c>
      <c r="W22" s="45" t="str">
        <f t="shared" si="4"/>
        <v>EC</v>
      </c>
      <c r="X22" s="22">
        <f t="shared" si="5"/>
        <v>156</v>
      </c>
      <c r="Y22" s="96" t="str">
        <f t="shared" si="6"/>
        <v>echo {"issue":{"subject":"Overspeed","project_id":79,"tracker_id":40,"status_id":1,"priority_id":2,"assigned_to_id":23,"start_date":"2017-07-01","description":"","custom_fields":[{"id":1,"name":"Subdivision","value":"EC"},{"id":4,"name":"Milepost","value":"2.0632"},{"id":17,"name":"Train ID","value":"156-01"},{"id":16,"name":"Locomotive ID","value":"4055"},{"id":130,"name":"Impact","value":""},{"id":150,"name":"Time of Event (Mountain Time)","value":"12:04:08"},{"id":151,"name":"Denver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2" s="159"/>
      <c r="AA22" s="47"/>
      <c r="AB22" s="47"/>
      <c r="AC22" s="115" t="str">
        <f t="shared" si="7"/>
        <v>grep -hrE -A400 "Enforcement Action" /c/Users/stu/AppData/Local/Temp/OnboardLogs/RTDC4055 --include="*4055*201707011*" | grep -E "((Enforcement Ac)|(PRM))" -</v>
      </c>
      <c r="AD22" s="1" t="str">
        <f>"grep -hSE ""Enforcement Action"" "&amp;search_path&amp;"\RTDC"&amp;U22&amp;"\*"&amp;U22&amp;"*"&amp;TEXT(A22-utc_offset/24,"YYYYMMDD")&amp;LEFT(TEXT(A22-utc_offset/24,"HH"),1)&amp;"* &gt;&gt; "&amp;TEXT(Variables!$A$2,"YYYY-MM-DD")&amp;"-SliceDisagreementCheck.txt"</f>
        <v>grep -hSE "Enforcement Action" "%USERPROFILE%\AppData\Local\Temp\OnboardLogs"\RTDC4055\*4055*201707011* &gt;&gt; 2017-07-01-SliceDisagreementCheck.txt</v>
      </c>
      <c r="AE22" s="145" t="str">
        <f t="shared" si="9"/>
        <v>start /low /b %USERPROFILE%\Documents\GitHub\eaglep3\Utilities\DownloadLogsFromS3.py --loco 4055 --day 2017-07-01</v>
      </c>
      <c r="AF22" s="1"/>
    </row>
    <row r="23" spans="1:32" x14ac:dyDescent="0.25">
      <c r="A23" s="31">
        <v>42917.195439814815</v>
      </c>
      <c r="B23" s="30" t="s">
        <v>339</v>
      </c>
      <c r="C23" s="30" t="s">
        <v>634</v>
      </c>
      <c r="D23" s="30" t="s">
        <v>49</v>
      </c>
      <c r="E23" s="30" t="s">
        <v>361</v>
      </c>
      <c r="F23" s="42">
        <v>0</v>
      </c>
      <c r="G23" s="42">
        <v>401</v>
      </c>
      <c r="H23" s="42">
        <v>149516</v>
      </c>
      <c r="I23" s="42">
        <v>151562</v>
      </c>
      <c r="J23" s="30" t="s">
        <v>362</v>
      </c>
      <c r="K23" s="42">
        <v>149694</v>
      </c>
      <c r="L23" s="131" t="s">
        <v>50</v>
      </c>
      <c r="M23" s="132">
        <f t="shared" si="0"/>
        <v>-986.30399999999997</v>
      </c>
      <c r="N23" s="133" t="str">
        <f>VLOOKUP(C23,'Trips&amp;Operators'!$C$1:$G$99999,5,FALSE)</f>
        <v>DAVIS WENDY</v>
      </c>
      <c r="O23" s="203" t="s">
        <v>408</v>
      </c>
      <c r="P23" s="134" t="s">
        <v>1035</v>
      </c>
      <c r="Q23" s="30"/>
      <c r="R23" s="81" t="str">
        <f>VLOOKUP(C23,'Train Runs'!$A$13:$AE$9930,31,0)</f>
        <v>aws s3 cp s3://rtdc.mdm.uploadarchive.raw/RTDC4028/ "%USERPROFILE%\AppData\Local\Temp\OnboardLogs"\RTDC4028\2017-07-01 --exclude "*" --recursive --include "*20170701*" &amp; "%USERPROFILE%\Documents\GitHub\mrs-test-scripts\Headless Mode &amp; Sideloading\WalkAndUnGZ.bat" "%USERPROFILE%\AppData\Local\Temp\OnboardLogs"\RTDC4028\2017-07-01 &amp; aws s3 cp s3://rtdc.mdm.uploadarchive.raw/RTDC4028/ "%USERPROFILE%\AppData\Local\Temp\OnboardLogs"\RTDC4028\2017-07-02 --exclude "*" --recursive --include "*20170702*" &amp; "%USERPROFILE%\Documents\GitHub\mrs-test-scripts\Headless Mode &amp; Sideloading\WalkAndUnGZ.bat" "%USERPROFILE%\AppData\Local\Temp\OnboardLogs"\RTDC4028\2017-07-02</v>
      </c>
      <c r="S23" s="84" t="str">
        <f>VLOOKUP(C23,'Train Runs'!$A$13:$AE$9930,22,0)</f>
        <v>https://d0f6bd738d7f1b3e5a7ca70fe4ff75f0.us-east-1.aws.found.io/app/kibana#/discover/Steve-Slow-Train-Analysis-(2080s-and-2083s)?_g=(refreshInterval:(display:Off,pause:!f,section:0,value:0),time:(from:'2017-07-01T03:05:13-0600',mode:absolute,to:'2017-07-01T05:41:25-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T23" s="86" t="str">
        <f t="shared" si="1"/>
        <v>"C:\Program Files (x86)\AstroGrep\AstroGrep.exe" /e /r /s /spath="%USERPROFILE%\AppData\Local\Temp\OnboardLogs" /stypes="*4028*201707011*" /stext=" 10:.+((SYSTEM_STATE.+slice.+state.+changed )|(ment ac)|(multiple cpu faults)|(system.+state.+changed )|(\[timeout)|(PRM\|1\|D)|(kpr)|(kdp)|(train st.+moving)|(\|lc)|(penalty))"</v>
      </c>
      <c r="U23" s="9" t="str">
        <f t="shared" si="2"/>
        <v>4028</v>
      </c>
      <c r="V23" s="31">
        <f t="shared" si="3"/>
        <v>42917.445439814815</v>
      </c>
      <c r="W23" s="45" t="str">
        <f t="shared" si="4"/>
        <v>EC</v>
      </c>
      <c r="X23" s="22">
        <f t="shared" si="5"/>
        <v>105</v>
      </c>
      <c r="Y23" s="96" t="str">
        <f t="shared" si="6"/>
        <v>echo {"issue":{"subject":"Premature downgrade at EC1497RH 143-1T 1N","project_id":79,"tracker_id":40,"status_id":1,"priority_id":2,"assigned_to_id":23,"start_date":"2017-07-01","description":"04:41:03 - signal dropped from 270 to 0 while train was 100 ft away, do logs show anything unusual?","custom_fields":[{"id":1,"name":"Subdivision","value":"EC"},{"id":4,"name":"Milepost","value":"14.9694"},{"id":17,"name":"Train ID","value":"105-01"},{"id":16,"name":"Locomotive ID","value":"4028"},{"id":130,"name":"Impact","value":"Enforcement"},{"id":150,"name":"Time of Event (Mountain Time)","value":"04:41:26"},{"id":151,"name":"Denver Issue ID","value":""},{"id":178,"name":"Operational Impact","value":"Yes"},{"id":179,"name":"Denver Segment Assigned","value":"Signal"}]}} | curl -X POST -H "Content-Type: application/json" -H "X-Redmine-API-Key: d6333d4a04012a730768444271f8ca06482dae87" https://secure.xorail.net/redmine/issues.json --data @-</v>
      </c>
      <c r="Z23" s="159" t="s">
        <v>1036</v>
      </c>
      <c r="AA23" s="47" t="s">
        <v>120</v>
      </c>
      <c r="AB23" s="47" t="s">
        <v>125</v>
      </c>
      <c r="AC23" s="115" t="str">
        <f t="shared" si="7"/>
        <v>grep -hrE -A400 "Enforcement Action" /c/Users/stu/AppData/Local/Temp/OnboardLogs/RTDC4028 --include="*4028*201707011*" | grep -E "((Enforcement Ac)|(PRM))" -</v>
      </c>
      <c r="AD23" s="1" t="str">
        <f>"grep -hSE ""Enforcement Action"" "&amp;search_path&amp;"\RTDC"&amp;U23&amp;"\*"&amp;U23&amp;"*"&amp;TEXT(A23-utc_offset/24,"YYYYMMDD")&amp;LEFT(TEXT(A23-utc_offset/24,"HH"),1)&amp;"* &gt;&gt; "&amp;TEXT(Variables!$A$2,"YYYY-MM-DD")&amp;"-SliceDisagreementCheck.txt"</f>
        <v>grep -hSE "Enforcement Action" "%USERPROFILE%\AppData\Local\Temp\OnboardLogs"\RTDC4028\*4028*201707011* &gt;&gt; 2017-07-01-SliceDisagreementCheck.txt</v>
      </c>
      <c r="AE23" s="145" t="str">
        <f t="shared" si="9"/>
        <v>start /low /b %USERPROFILE%\Documents\GitHub\eaglep3\Utilities\DownloadLogsFromS3.py --loco 4028 --day 2017-07-01</v>
      </c>
      <c r="AF23" s="1"/>
    </row>
    <row r="24" spans="1:32" x14ac:dyDescent="0.25">
      <c r="A24" s="31">
        <v>42918.08452546296</v>
      </c>
      <c r="B24" s="30" t="s">
        <v>483</v>
      </c>
      <c r="C24" s="30" t="s">
        <v>673</v>
      </c>
      <c r="D24" s="30" t="s">
        <v>49</v>
      </c>
      <c r="E24" s="30" t="s">
        <v>361</v>
      </c>
      <c r="F24" s="42">
        <v>0</v>
      </c>
      <c r="G24" s="42">
        <v>759</v>
      </c>
      <c r="H24" s="42">
        <v>205168</v>
      </c>
      <c r="I24" s="42">
        <v>201123</v>
      </c>
      <c r="J24" s="30" t="s">
        <v>362</v>
      </c>
      <c r="K24" s="42">
        <v>204340</v>
      </c>
      <c r="L24" s="131" t="s">
        <v>51</v>
      </c>
      <c r="M24" s="132">
        <f t="shared" si="0"/>
        <v>-1698.576</v>
      </c>
      <c r="N24" s="133" t="str">
        <f>VLOOKUP(C24,'Trips&amp;Operators'!$C$1:$G$99999,5,FALSE)</f>
        <v>LAMAR NEKESHA</v>
      </c>
      <c r="O24" s="203" t="s">
        <v>408</v>
      </c>
      <c r="P24" s="134" t="s">
        <v>492</v>
      </c>
      <c r="Q24" s="30"/>
      <c r="R24" s="81" t="str">
        <f>VLOOKUP(C24,'Train Runs'!$A$13:$AE$9930,31,0)</f>
        <v>aws s3 cp s3://rtdc.mdm.uploadarchive.raw/RTDC4007/ "%USERPROFILE%\AppData\Local\Temp\OnboardLogs"\RTDC4007\2017-07-02 --exclude "*" --recursive --include "*20170702*" &amp; "%USERPROFILE%\Documents\GitHub\mrs-test-scripts\Headless Mode &amp; Sideloading\WalkAndUnGZ.bat" "%USERPROFILE%\AppData\Local\Temp\OnboardLogs"\RTDC4007\2017-07-02 &amp; aws s3 cp s3://rtdc.mdm.uploadarchive.raw/RTDC4007/ "%USERPROFILE%\AppData\Local\Temp\OnboardLogs"\RTDC4007\2017-07-03 --exclude "*" --recursive --include "*20170703*" &amp; "%USERPROFILE%\Documents\GitHub\mrs-test-scripts\Headless Mode &amp; Sideloading\WalkAndUnGZ.bat" "%USERPROFILE%\AppData\Local\Temp\OnboardLogs"\RTDC4007\2017-07-03</v>
      </c>
      <c r="S24" s="84" t="str">
        <f>VLOOKUP(C24,'Train Runs'!$A$13:$AE$9930,22,0)</f>
        <v>https://d0f6bd738d7f1b3e5a7ca70fe4ff75f0.us-east-1.aws.found.io/app/kibana#/discover/Steve-Slow-Train-Analysis-(2080s-and-2083s)?_g=(refreshInterval:(display:Off,pause:!f,section:0,value:0),time:(from:'2017-07-02T00:47:24-0600',mode:absolute,to:'2017-07-02T03:38:04-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T24" s="86" t="str">
        <f t="shared" si="1"/>
        <v>"C:\Program Files (x86)\AstroGrep\AstroGrep.exe" /e /r /s /spath="%USERPROFILE%\AppData\Local\Temp\OnboardLogs" /stypes="*4007*201707020*" /stext=" 08:.+((SYSTEM_STATE.+slice.+state.+changed )|(ment ac)|(multiple cpu faults)|(system.+state.+changed )|(\[timeout)|(PRM\|1\|D)|(kpr)|(kdp)|(train st.+moving)|(\|lc)|(penalty))"</v>
      </c>
      <c r="U24" s="9" t="str">
        <f t="shared" si="2"/>
        <v>4007</v>
      </c>
      <c r="V24" s="31">
        <f t="shared" si="3"/>
        <v>42918.33452546296</v>
      </c>
      <c r="W24" s="45" t="str">
        <f t="shared" si="4"/>
        <v>EC</v>
      </c>
      <c r="X24" s="22">
        <f t="shared" si="5"/>
        <v>246</v>
      </c>
      <c r="Y24" s="96" t="str">
        <f t="shared" si="6"/>
        <v>echo {"issue":{"subject":"Wi-MAX data drop","project_id":79,"tracker_id":40,"status_id":1,"priority_id":2,"assigned_to_id":23,"start_date":"2017-07-02","description":"","custom_fields":[{"id":1,"name":"Subdivision","value":"EC"},{"id":4,"name":"Milepost","value":"20.434"},{"id":17,"name":"Train ID","value":"246-01"},{"id":16,"name":"Locomotive ID","value":"4007"},{"id":130,"name":"Impact","value":""},{"id":150,"name":"Time of Event (Mountain Time)","value":"02:01:43"},{"id":151,"name":"Denver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4" s="159"/>
      <c r="AA24" s="47"/>
      <c r="AB24" s="47"/>
      <c r="AC24" s="115" t="str">
        <f t="shared" si="7"/>
        <v>grep -hrE -A400 "Enforcement Action" /c/Users/stu/AppData/Local/Temp/OnboardLogs/RTDC4007 --include="*4007*201707020*" | grep -E "((Enforcement Ac)|(PRM))" -</v>
      </c>
      <c r="AD24" s="1" t="str">
        <f>"grep -hSE ""Enforcement Action"" "&amp;search_path&amp;"\RTDC"&amp;U24&amp;"\*"&amp;U24&amp;"*"&amp;TEXT(A24-utc_offset/24,"YYYYMMDD")&amp;LEFT(TEXT(A24-utc_offset/24,"HH"),1)&amp;"* &gt;&gt; "&amp;TEXT(Variables!$A$2,"YYYY-MM-DD")&amp;"-SliceDisagreementCheck.txt"</f>
        <v>grep -hSE "Enforcement Action" "%USERPROFILE%\AppData\Local\Temp\OnboardLogs"\RTDC4007\*4007*201707020* &gt;&gt; 2017-07-01-SliceDisagreementCheck.txt</v>
      </c>
      <c r="AE24" s="145" t="str">
        <f t="shared" si="9"/>
        <v>start /low /b %USERPROFILE%\Documents\GitHub\eaglep3\Utilities\DownloadLogsFromS3.py --loco 4007 --day 2017-07-02</v>
      </c>
      <c r="AF24" s="1"/>
    </row>
    <row r="25" spans="1:32" x14ac:dyDescent="0.25">
      <c r="A25" s="31">
        <v>42917.262731481482</v>
      </c>
      <c r="B25" s="30" t="s">
        <v>562</v>
      </c>
      <c r="C25" s="30" t="s">
        <v>638</v>
      </c>
      <c r="D25" s="30" t="s">
        <v>96</v>
      </c>
      <c r="E25" s="30" t="s">
        <v>636</v>
      </c>
      <c r="F25" s="42">
        <v>0</v>
      </c>
      <c r="G25" s="42">
        <v>444</v>
      </c>
      <c r="H25" s="42">
        <v>11729</v>
      </c>
      <c r="I25" s="42">
        <v>10179</v>
      </c>
      <c r="J25" s="30" t="s">
        <v>637</v>
      </c>
      <c r="K25" s="42">
        <v>17100</v>
      </c>
      <c r="L25" s="131" t="s">
        <v>51</v>
      </c>
      <c r="M25" s="132">
        <f t="shared" si="0"/>
        <v>-3654.288</v>
      </c>
      <c r="N25" s="133" t="str">
        <f>VLOOKUP(C25,'Trips&amp;Operators'!$C$1:$G$99999,5,FALSE)</f>
        <v>LALONDE GREGORY</v>
      </c>
      <c r="O25" s="203" t="s">
        <v>408</v>
      </c>
      <c r="P25" s="134" t="s">
        <v>492</v>
      </c>
      <c r="Q25" s="30"/>
      <c r="R25" s="81" t="str">
        <f>VLOOKUP(C25,'Train Runs'!$A$13:$AE$9930,31,0)</f>
        <v>aws s3 cp s3://rtdc.mdm.uploadarchive.raw/RTDC4061/ "%USERPROFILE%\AppData\Local\Temp\OnboardLogs"\RTDC4061\2017-07-01 --exclude "*" --recursive --include "*20170701*" &amp; "%USERPROFILE%\Documents\GitHub\mrs-test-scripts\Headless Mode &amp; Sideloading\WalkAndUnGZ.bat" "%USERPROFILE%\AppData\Local\Temp\OnboardLogs"\RTDC4061\2017-07-01 &amp; aws s3 cp s3://rtdc.mdm.uploadarchive.raw/RTDC4061/ "%USERPROFILE%\AppData\Local\Temp\OnboardLogs"\RTDC4061\2017-07-02 --exclude "*" --recursive --include "*20170702*" &amp; "%USERPROFILE%\Documents\GitHub\mrs-test-scripts\Headless Mode &amp; Sideloading\WalkAndUnGZ.bat" "%USERPROFILE%\AppData\Local\Temp\OnboardLogs"\RTDC4061\2017-07-02</v>
      </c>
      <c r="S25" s="84" t="str">
        <f>VLOOKUP(C25,'Train Runs'!$A$13:$AE$9930,22,0)</f>
        <v>https://d0f6bd738d7f1b3e5a7ca70fe4ff75f0.us-east-1.aws.found.io/app/kibana#/discover/Steve-Slow-Train-Analysis-(2080s-and-2083s)?_g=(refreshInterval:(display:Off,pause:!f,section:0,value:0),time:(from:'2017-07-01T04:22:47-0600',mode:absolute,to:'2017-07-01T07:22:51-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4061%22')),sort:!(Time.ISO8601,asc))</v>
      </c>
      <c r="T25" s="86" t="str">
        <f t="shared" si="1"/>
        <v>"C:\Program Files (x86)\AstroGrep\AstroGrep.exe" /e /r /s /spath="%USERPROFILE%\AppData\Local\Temp\OnboardLogs" /stypes="*4061*201707011*" /stext=" 12:.+((SYSTEM_STATE.+slice.+state.+changed )|(ment ac)|(multiple cpu faults)|(system.+state.+changed )|(\[timeout)|(PRM\|1\|D)|(kpr)|(kdp)|(train st.+moving)|(\|lc)|(penalty))"</v>
      </c>
      <c r="U25" s="9" t="str">
        <f t="shared" si="2"/>
        <v>4061</v>
      </c>
      <c r="V25" s="31">
        <f t="shared" si="3"/>
        <v>42917.512731481482</v>
      </c>
      <c r="W25" s="45" t="str">
        <f t="shared" si="4"/>
        <v>EC</v>
      </c>
      <c r="X25" s="22">
        <f t="shared" si="5"/>
        <v>110</v>
      </c>
      <c r="Y25" s="96" t="str">
        <f t="shared" si="6"/>
        <v>echo {"issue":{"subject":"Wi-MAX data drop","project_id":79,"tracker_id":40,"status_id":1,"priority_id":2,"assigned_to_id":23,"start_date":"2017-07-01","description":"","custom_fields":[{"id":1,"name":"Subdivision","value":"EC"},{"id":4,"name":"Milepost","value":"1.71"},{"id":17,"name":"Train ID","value":"110-01"},{"id":16,"name":"Locomotive ID","value":"4061"},{"id":130,"name":"Impact","value":""},{"id":150,"name":"Time of Event (Mountain Time)","value":"06:18:20"},{"id":151,"name":"Denver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5" s="159"/>
      <c r="AA25" s="47"/>
      <c r="AB25" s="47"/>
      <c r="AC25" s="115" t="str">
        <f t="shared" si="7"/>
        <v>grep -hrE -A400 "Enforcement Action" /c/Users/stu/AppData/Local/Temp/OnboardLogs/RTDC4061 --include="*4061*201707011*" | grep -E "((Enforcement Ac)|(PRM))" -</v>
      </c>
      <c r="AD25" s="1" t="str">
        <f>"grep -hSE ""Enforcement Action"" "&amp;search_path&amp;"\RTDC"&amp;U25&amp;"\*"&amp;U25&amp;"*"&amp;TEXT(A25-utc_offset/24,"YYYYMMDD")&amp;LEFT(TEXT(A25-utc_offset/24,"HH"),1)&amp;"* &gt;&gt; "&amp;TEXT(Variables!$A$2,"YYYY-MM-DD")&amp;"-SliceDisagreementCheck.txt"</f>
        <v>grep -hSE "Enforcement Action" "%USERPROFILE%\AppData\Local\Temp\OnboardLogs"\RTDC4061\*4061*201707011* &gt;&gt; 2017-07-01-SliceDisagreementCheck.txt</v>
      </c>
      <c r="AE25" s="145" t="str">
        <f t="shared" si="9"/>
        <v>start /low /b %USERPROFILE%\Documents\GitHub\eaglep3\Utilities\DownloadLogsFromS3.py --loco 4061 --day 2017-07-01</v>
      </c>
      <c r="AF25" s="1"/>
    </row>
    <row r="26" spans="1:32" x14ac:dyDescent="0.25">
      <c r="A26" s="31">
        <v>42918.084351851852</v>
      </c>
      <c r="B26" s="30" t="s">
        <v>368</v>
      </c>
      <c r="C26" s="30" t="s">
        <v>672</v>
      </c>
      <c r="D26" s="30" t="s">
        <v>96</v>
      </c>
      <c r="E26" s="30" t="s">
        <v>636</v>
      </c>
      <c r="F26" s="42">
        <v>0</v>
      </c>
      <c r="G26" s="42">
        <v>420</v>
      </c>
      <c r="H26" s="42">
        <v>13681</v>
      </c>
      <c r="I26" s="42">
        <v>12356</v>
      </c>
      <c r="J26" s="30" t="s">
        <v>637</v>
      </c>
      <c r="K26" s="42">
        <v>17100</v>
      </c>
      <c r="L26" s="131" t="s">
        <v>51</v>
      </c>
      <c r="M26" s="132">
        <f t="shared" si="0"/>
        <v>-2504.8319999999999</v>
      </c>
      <c r="N26" s="133" t="str">
        <f>VLOOKUP(C26,'Trips&amp;Operators'!$C$1:$G$99999,5,FALSE)</f>
        <v>FORTUNATO FRANK</v>
      </c>
      <c r="O26" s="203" t="s">
        <v>408</v>
      </c>
      <c r="P26" s="134" t="s">
        <v>492</v>
      </c>
      <c r="Q26" s="30"/>
      <c r="R26" s="81" t="str">
        <f>VLOOKUP(C26,'Train Runs'!$A$13:$AE$9930,31,0)</f>
        <v>aws s3 cp s3://rtdc.mdm.uploadarchive.raw/RTDC4013/ "%USERPROFILE%\AppData\Local\Temp\OnboardLogs"\RTDC4013\2017-07-02 --exclude "*" --recursive --include "*20170702*" &amp; "%USERPROFILE%\Documents\GitHub\mrs-test-scripts\Headless Mode &amp; Sideloading\WalkAndUnGZ.bat" "%USERPROFILE%\AppData\Local\Temp\OnboardLogs"\RTDC4013\2017-07-02 &amp; aws s3 cp s3://rtdc.mdm.uploadarchive.raw/RTDC4013/ "%USERPROFILE%\AppData\Local\Temp\OnboardLogs"\RTDC4013\2017-07-03 --exclude "*" --recursive --include "*20170703*" &amp; "%USERPROFILE%\Documents\GitHub\mrs-test-scripts\Headless Mode &amp; Sideloading\WalkAndUnGZ.bat" "%USERPROFILE%\AppData\Local\Temp\OnboardLogs"\RTDC4013\2017-07-03</v>
      </c>
      <c r="S26" s="84" t="str">
        <f>VLOOKUP(C26,'Train Runs'!$A$13:$AE$9930,22,0)</f>
        <v>https://d0f6bd738d7f1b3e5a7ca70fe4ff75f0.us-east-1.aws.found.io/app/kibana#/discover/Steve-Slow-Train-Analysis-(2080s-and-2083s)?_g=(refreshInterval:(display:Off,pause:!f,section:0,value:0),time:(from:'2017-07-02T00:09:49-0600',mode:absolute,to:'2017-07-02T03:07:12-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T26" s="86" t="str">
        <f t="shared" si="1"/>
        <v>"C:\Program Files (x86)\AstroGrep\AstroGrep.exe" /e /r /s /spath="%USERPROFILE%\AppData\Local\Temp\OnboardLogs" /stypes="*4013*201707020*" /stext=" 08:.+((SYSTEM_STATE.+slice.+state.+changed )|(ment ac)|(multiple cpu faults)|(system.+state.+changed )|(\[timeout)|(PRM\|1\|D)|(kpr)|(kdp)|(train st.+moving)|(\|lc)|(penalty))"</v>
      </c>
      <c r="U26" s="9" t="str">
        <f t="shared" si="2"/>
        <v>4013</v>
      </c>
      <c r="V26" s="31">
        <f t="shared" si="3"/>
        <v>42918.334351851852</v>
      </c>
      <c r="W26" s="45" t="str">
        <f t="shared" si="4"/>
        <v>EC</v>
      </c>
      <c r="X26" s="22">
        <f t="shared" si="5"/>
        <v>244</v>
      </c>
      <c r="Y26" s="96" t="str">
        <f t="shared" si="6"/>
        <v>echo {"issue":{"subject":"Wi-MAX data drop","project_id":79,"tracker_id":40,"status_id":1,"priority_id":2,"assigned_to_id":23,"start_date":"2017-07-02","description":"","custom_fields":[{"id":1,"name":"Subdivision","value":"EC"},{"id":4,"name":"Milepost","value":"1.71"},{"id":17,"name":"Train ID","value":"244-01"},{"id":16,"name":"Locomotive ID","value":"4013"},{"id":130,"name":"Impact","value":""},{"id":150,"name":"Time of Event (Mountain Time)","value":"02:01:28"},{"id":151,"name":"Denver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6" s="159"/>
      <c r="AA26" s="47"/>
      <c r="AB26" s="47"/>
      <c r="AC26" s="115" t="str">
        <f t="shared" si="7"/>
        <v>grep -hrE -A400 "Enforcement Action" /c/Users/stu/AppData/Local/Temp/OnboardLogs/RTDC4013 --include="*4013*201707020*" | grep -E "((Enforcement Ac)|(PRM))" -</v>
      </c>
      <c r="AD26" s="1" t="str">
        <f>"grep -hSE ""Enforcement Action"" "&amp;search_path&amp;"\RTDC"&amp;U26&amp;"\*"&amp;U26&amp;"*"&amp;TEXT(A26-utc_offset/24,"YYYYMMDD")&amp;LEFT(TEXT(A26-utc_offset/24,"HH"),1)&amp;"* &gt;&gt; "&amp;TEXT(Variables!$A$2,"YYYY-MM-DD")&amp;"-SliceDisagreementCheck.txt"</f>
        <v>grep -hSE "Enforcement Action" "%USERPROFILE%\AppData\Local\Temp\OnboardLogs"\RTDC4013\*4013*201707020* &gt;&gt; 2017-07-01-SliceDisagreementCheck.txt</v>
      </c>
      <c r="AE26" s="145" t="str">
        <f t="shared" si="9"/>
        <v>start /low /b %USERPROFILE%\Documents\GitHub\eaglep3\Utilities\DownloadLogsFromS3.py --loco 4013 --day 2017-07-02</v>
      </c>
      <c r="AF26" s="1"/>
    </row>
    <row r="27" spans="1:32" x14ac:dyDescent="0.25">
      <c r="A27" s="31">
        <v>42917.223599537036</v>
      </c>
      <c r="B27" s="30" t="s">
        <v>340</v>
      </c>
      <c r="C27" s="30" t="s">
        <v>635</v>
      </c>
      <c r="D27" s="30" t="s">
        <v>49</v>
      </c>
      <c r="E27" s="30" t="s">
        <v>636</v>
      </c>
      <c r="F27" s="42">
        <v>0</v>
      </c>
      <c r="G27" s="42">
        <v>420</v>
      </c>
      <c r="H27" s="42">
        <v>157774</v>
      </c>
      <c r="I27" s="42">
        <v>155854</v>
      </c>
      <c r="J27" s="30" t="s">
        <v>637</v>
      </c>
      <c r="K27" s="42">
        <v>156300</v>
      </c>
      <c r="L27" s="131" t="s">
        <v>51</v>
      </c>
      <c r="M27" s="132">
        <f t="shared" si="0"/>
        <v>-235.488</v>
      </c>
      <c r="N27" s="133" t="str">
        <f>VLOOKUP(C27,'Trips&amp;Operators'!$C$1:$G$99999,5,FALSE)</f>
        <v>DAVIS WENDY</v>
      </c>
      <c r="O27" s="203" t="s">
        <v>408</v>
      </c>
      <c r="P27" s="134" t="s">
        <v>492</v>
      </c>
      <c r="Q27" s="30"/>
      <c r="R27" s="81" t="str">
        <f>VLOOKUP(C27,'Train Runs'!$A$13:$AE$9930,31,0)</f>
        <v>aws s3 cp s3://rtdc.mdm.uploadarchive.raw/RTDC4027/ "%USERPROFILE%\AppData\Local\Temp\OnboardLogs"\RTDC4027\2017-07-01 --exclude "*" --recursive --include "*20170701*" &amp; "%USERPROFILE%\Documents\GitHub\mrs-test-scripts\Headless Mode &amp; Sideloading\WalkAndUnGZ.bat" "%USERPROFILE%\AppData\Local\Temp\OnboardLogs"\RTDC4027\2017-07-01 &amp; aws s3 cp s3://rtdc.mdm.uploadarchive.raw/RTDC4027/ "%USERPROFILE%\AppData\Local\Temp\OnboardLogs"\RTDC4027\2017-07-02 --exclude "*" --recursive --include "*20170702*" &amp; "%USERPROFILE%\Documents\GitHub\mrs-test-scripts\Headless Mode &amp; Sideloading\WalkAndUnGZ.bat" "%USERPROFILE%\AppData\Local\Temp\OnboardLogs"\RTDC4027\2017-07-02</v>
      </c>
      <c r="S27" s="84" t="str">
        <f>VLOOKUP(C27,'Train Runs'!$A$13:$AE$9930,22,0)</f>
        <v>https://d0f6bd738d7f1b3e5a7ca70fe4ff75f0.us-east-1.aws.found.io/app/kibana#/discover/Steve-Slow-Train-Analysis-(2080s-and-2083s)?_g=(refreshInterval:(display:Off,pause:!f,section:0,value:0),time:(from:'2017-07-01T04:08:07-0600',mode:absolute,to:'2017-07-01T06:22:45-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T27" s="86" t="str">
        <f t="shared" si="1"/>
        <v>"C:\Program Files (x86)\AstroGrep\AstroGrep.exe" /e /r /s /spath="%USERPROFILE%\AppData\Local\Temp\OnboardLogs" /stypes="*4027*201707011*" /stext=" 11:.+((SYSTEM_STATE.+slice.+state.+changed )|(ment ac)|(multiple cpu faults)|(system.+state.+changed )|(\[timeout)|(PRM\|1\|D)|(kpr)|(kdp)|(train st.+moving)|(\|lc)|(penalty))"</v>
      </c>
      <c r="U27" s="9" t="str">
        <f t="shared" si="2"/>
        <v>4027</v>
      </c>
      <c r="V27" s="31">
        <f t="shared" si="3"/>
        <v>42917.473599537036</v>
      </c>
      <c r="W27" s="45" t="str">
        <f t="shared" si="4"/>
        <v>EC</v>
      </c>
      <c r="X27" s="22">
        <f t="shared" si="5"/>
        <v>106</v>
      </c>
      <c r="Y27" s="96" t="str">
        <f t="shared" si="6"/>
        <v>echo {"issue":{"subject":"Wi-MAX data drop","project_id":79,"tracker_id":40,"status_id":1,"priority_id":2,"assigned_to_id":23,"start_date":"2017-07-01","description":"","custom_fields":[{"id":1,"name":"Subdivision","value":"EC"},{"id":4,"name":"Milepost","value":"15.63"},{"id":17,"name":"Train ID","value":"106-01"},{"id":16,"name":"Locomotive ID","value":"4027"},{"id":130,"name":"Impact","value":""},{"id":150,"name":"Time of Event (Mountain Time)","value":"05:21:59"},{"id":151,"name":"Denver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7" s="159"/>
      <c r="AA27" s="47"/>
      <c r="AB27" s="47"/>
      <c r="AC27" s="115" t="str">
        <f t="shared" si="7"/>
        <v>grep -hrE -A400 "Enforcement Action" /c/Users/stu/AppData/Local/Temp/OnboardLogs/RTDC4027 --include="*4027*201707011*" | grep -E "((Enforcement Ac)|(PRM))" -</v>
      </c>
      <c r="AD27" s="1" t="str">
        <f>"grep -hSE ""Enforcement Action"" "&amp;search_path&amp;"\RTDC"&amp;U27&amp;"\*"&amp;U27&amp;"*"&amp;TEXT(A27-utc_offset/24,"YYYYMMDD")&amp;LEFT(TEXT(A27-utc_offset/24,"HH"),1)&amp;"* &gt;&gt; "&amp;TEXT(Variables!$A$2,"YYYY-MM-DD")&amp;"-SliceDisagreementCheck.txt"</f>
        <v>grep -hSE "Enforcement Action" "%USERPROFILE%\AppData\Local\Temp\OnboardLogs"\RTDC4027\*4027*201707011* &gt;&gt; 2017-07-01-SliceDisagreementCheck.txt</v>
      </c>
      <c r="AE27" s="145" t="str">
        <f t="shared" si="9"/>
        <v>start /low /b %USERPROFILE%\Documents\GitHub\eaglep3\Utilities\DownloadLogsFromS3.py --loco 4027 --day 2017-07-01</v>
      </c>
      <c r="AF27" s="1"/>
    </row>
    <row r="28" spans="1:32" x14ac:dyDescent="0.25">
      <c r="A28" s="31">
        <v>42917.289074074077</v>
      </c>
      <c r="B28" s="30" t="s">
        <v>641</v>
      </c>
      <c r="C28" s="30" t="s">
        <v>642</v>
      </c>
      <c r="D28" s="30" t="s">
        <v>49</v>
      </c>
      <c r="E28" s="30" t="s">
        <v>181</v>
      </c>
      <c r="F28" s="42">
        <v>0</v>
      </c>
      <c r="G28" s="42">
        <v>75</v>
      </c>
      <c r="H28" s="42">
        <v>367</v>
      </c>
      <c r="I28" s="42">
        <v>287</v>
      </c>
      <c r="J28" s="30" t="s">
        <v>182</v>
      </c>
      <c r="K28" s="42">
        <v>1</v>
      </c>
      <c r="L28" s="131" t="s">
        <v>51</v>
      </c>
      <c r="M28" s="132">
        <f t="shared" si="0"/>
        <v>151.00800000000001</v>
      </c>
      <c r="N28" s="133" t="str">
        <f>VLOOKUP(C28,'Trips&amp;Operators'!$C$1:$G$99999,5,FALSE)</f>
        <v>DAVIDSON DAVID</v>
      </c>
      <c r="O28" s="203" t="s">
        <v>180</v>
      </c>
      <c r="P28" s="134"/>
      <c r="Q28" s="30"/>
      <c r="R28" s="81" t="str">
        <f>VLOOKUP(C28,'Train Runs'!$A$13:$AE$9930,31,0)</f>
        <v>aws s3 cp s3://rtdc.mdm.uploadarchive.raw/RTDC4055/ "%USERPROFILE%\AppData\Local\Temp\OnboardLogs"\RTDC4055\2017-07-01 --exclude "*" --recursive --include "*20170701*" &amp; "%USERPROFILE%\Documents\GitHub\mrs-test-scripts\Headless Mode &amp; Sideloading\WalkAndUnGZ.bat" "%USERPROFILE%\AppData\Local\Temp\OnboardLogs"\RTDC4055\2017-07-01 &amp; aws s3 cp s3://rtdc.mdm.uploadarchive.raw/RTDC4055/ "%USERPROFILE%\AppData\Local\Temp\OnboardLogs"\RTDC4055\2017-07-02 --exclude "*" --recursive --include "*20170702*" &amp; "%USERPROFILE%\Documents\GitHub\mrs-test-scripts\Headless Mode &amp; Sideloading\WalkAndUnGZ.bat" "%USERPROFILE%\AppData\Local\Temp\OnboardLogs"\RTDC4055\2017-07-02</v>
      </c>
      <c r="S28" s="84" t="str">
        <f>VLOOKUP(C28,'Train Runs'!$A$13:$AE$9930,22,0)</f>
        <v>https://d0f6bd738d7f1b3e5a7ca70fe4ff75f0.us-east-1.aws.found.io/app/kibana#/discover/Steve-Slow-Train-Analysis-(2080s-and-2083s)?_g=(refreshInterval:(display:Off,pause:!f,section:0,value:0),time:(from:'2017-07-01T04:55:09-0600',mode:absolute,to:'2017-07-01T07:57:01-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4055%22')),sort:!(Time.ISO8601,asc))</v>
      </c>
      <c r="T28" s="86" t="str">
        <f t="shared" si="1"/>
        <v>"C:\Program Files (x86)\AstroGrep\AstroGrep.exe" /e /r /s /spath="%USERPROFILE%\AppData\Local\Temp\OnboardLogs" /stypes="*4055*201707011*" /stext=" 12:.+((SYSTEM_STATE.+slice.+state.+changed )|(ment ac)|(multiple cpu faults)|(system.+state.+changed )|(\[timeout)|(PRM\|1\|D)|(kpr)|(kdp)|(train st.+moving)|(\|lc)|(penalty))"</v>
      </c>
      <c r="U28" s="9" t="str">
        <f t="shared" si="2"/>
        <v>4055</v>
      </c>
      <c r="V28" s="31">
        <f t="shared" si="3"/>
        <v>42917.539074074077</v>
      </c>
      <c r="W28" s="45" t="str">
        <f t="shared" si="4"/>
        <v>EC</v>
      </c>
      <c r="X28" s="22">
        <f t="shared" si="5"/>
        <v>114</v>
      </c>
      <c r="Y28" s="96" t="str">
        <f t="shared" si="6"/>
        <v>echo {"issue":{"subject":"","project_id":79,"tracker_id":40,"status_id":1,"priority_id":2,"assigned_to_id":23,"start_date":"2017-07-01","description":"","custom_fields":[{"id":1,"name":"Subdivision","value":"EC"},{"id":4,"name":"Milepost","value":"0.0001"},{"id":17,"name":"Train ID","value":"114-01"},{"id":16,"name":"Locomotive ID","value":"4055"},{"id":130,"name":"Impact","value":""},{"id":150,"name":"Time of Event (Mountain Time)","value":"06:56:16"},{"id":151,"name":"Denver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8" s="159"/>
      <c r="AA28" s="47"/>
      <c r="AB28" s="47"/>
      <c r="AC28" s="115" t="str">
        <f t="shared" si="7"/>
        <v>grep -hrE -A400 "Enforcement Action" /c/Users/stu/AppData/Local/Temp/OnboardLogs/RTDC4055 --include="*4055*201707011*" | grep -E "((Enforcement Ac)|(PRM))" -</v>
      </c>
      <c r="AD28" s="1" t="str">
        <f>"grep -hSE ""Enforcement Action"" "&amp;search_path&amp;"\RTDC"&amp;U28&amp;"\*"&amp;U28&amp;"*"&amp;TEXT(A28-utc_offset/24,"YYYYMMDD")&amp;LEFT(TEXT(A28-utc_offset/24,"HH"),1)&amp;"* &gt;&gt; "&amp;TEXT(Variables!$A$2,"YYYY-MM-DD")&amp;"-SliceDisagreementCheck.txt"</f>
        <v>grep -hSE "Enforcement Action" "%USERPROFILE%\AppData\Local\Temp\OnboardLogs"\RTDC4055\*4055*201707011* &gt;&gt; 2017-07-01-SliceDisagreementCheck.txt</v>
      </c>
      <c r="AE28" s="145" t="str">
        <f t="shared" si="9"/>
        <v>start /low /b %USERPROFILE%\Documents\GitHub\eaglep3\Utilities\DownloadLogsFromS3.py --loco 4055 --day 2017-07-01</v>
      </c>
      <c r="AF28" s="1"/>
    </row>
    <row r="29" spans="1:32" x14ac:dyDescent="0.25">
      <c r="A29" s="31">
        <v>42917.289606481485</v>
      </c>
      <c r="B29" s="30" t="s">
        <v>641</v>
      </c>
      <c r="C29" s="30" t="s">
        <v>642</v>
      </c>
      <c r="D29" s="30" t="s">
        <v>49</v>
      </c>
      <c r="E29" s="30" t="s">
        <v>181</v>
      </c>
      <c r="F29" s="42">
        <v>0</v>
      </c>
      <c r="G29" s="42">
        <v>28</v>
      </c>
      <c r="H29" s="42">
        <v>283</v>
      </c>
      <c r="I29" s="42">
        <v>229</v>
      </c>
      <c r="J29" s="30" t="s">
        <v>182</v>
      </c>
      <c r="K29" s="42">
        <v>1</v>
      </c>
      <c r="L29" s="131" t="s">
        <v>51</v>
      </c>
      <c r="M29" s="132">
        <f t="shared" si="0"/>
        <v>120.384</v>
      </c>
      <c r="N29" s="133" t="str">
        <f>VLOOKUP(C29,'Trips&amp;Operators'!$C$1:$G$99999,5,FALSE)</f>
        <v>DAVIDSON DAVID</v>
      </c>
      <c r="O29" s="203" t="s">
        <v>180</v>
      </c>
      <c r="P29" s="134"/>
      <c r="Q29" s="30"/>
      <c r="R29" s="81" t="str">
        <f>VLOOKUP(C29,'Train Runs'!$A$13:$AE$9930,31,0)</f>
        <v>aws s3 cp s3://rtdc.mdm.uploadarchive.raw/RTDC4055/ "%USERPROFILE%\AppData\Local\Temp\OnboardLogs"\RTDC4055\2017-07-01 --exclude "*" --recursive --include "*20170701*" &amp; "%USERPROFILE%\Documents\GitHub\mrs-test-scripts\Headless Mode &amp; Sideloading\WalkAndUnGZ.bat" "%USERPROFILE%\AppData\Local\Temp\OnboardLogs"\RTDC4055\2017-07-01 &amp; aws s3 cp s3://rtdc.mdm.uploadarchive.raw/RTDC4055/ "%USERPROFILE%\AppData\Local\Temp\OnboardLogs"\RTDC4055\2017-07-02 --exclude "*" --recursive --include "*20170702*" &amp; "%USERPROFILE%\Documents\GitHub\mrs-test-scripts\Headless Mode &amp; Sideloading\WalkAndUnGZ.bat" "%USERPROFILE%\AppData\Local\Temp\OnboardLogs"\RTDC4055\2017-07-02</v>
      </c>
      <c r="S29" s="84" t="str">
        <f>VLOOKUP(C29,'Train Runs'!$A$13:$AE$9930,22,0)</f>
        <v>https://d0f6bd738d7f1b3e5a7ca70fe4ff75f0.us-east-1.aws.found.io/app/kibana#/discover/Steve-Slow-Train-Analysis-(2080s-and-2083s)?_g=(refreshInterval:(display:Off,pause:!f,section:0,value:0),time:(from:'2017-07-01T04:55:09-0600',mode:absolute,to:'2017-07-01T07:57:01-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4055%22')),sort:!(Time.ISO8601,asc))</v>
      </c>
      <c r="T29" s="86" t="str">
        <f t="shared" si="1"/>
        <v>"C:\Program Files (x86)\AstroGrep\AstroGrep.exe" /e /r /s /spath="%USERPROFILE%\AppData\Local\Temp\OnboardLogs" /stypes="*4055*201707011*" /stext=" 12:.+((SYSTEM_STATE.+slice.+state.+changed )|(ment ac)|(multiple cpu faults)|(system.+state.+changed )|(\[timeout)|(PRM\|1\|D)|(kpr)|(kdp)|(train st.+moving)|(\|lc)|(penalty))"</v>
      </c>
      <c r="U29" s="9" t="str">
        <f t="shared" si="2"/>
        <v>4055</v>
      </c>
      <c r="V29" s="31">
        <f t="shared" si="3"/>
        <v>42917.539606481485</v>
      </c>
      <c r="W29" s="45" t="str">
        <f t="shared" si="4"/>
        <v>EC</v>
      </c>
      <c r="X29" s="22">
        <f t="shared" si="5"/>
        <v>114</v>
      </c>
      <c r="Y29" s="96" t="str">
        <f t="shared" si="6"/>
        <v>echo {"issue":{"subject":"","project_id":79,"tracker_id":40,"status_id":1,"priority_id":2,"assigned_to_id":23,"start_date":"2017-07-01","description":"","custom_fields":[{"id":1,"name":"Subdivision","value":"EC"},{"id":4,"name":"Milepost","value":"0.0001"},{"id":17,"name":"Train ID","value":"114-01"},{"id":16,"name":"Locomotive ID","value":"4055"},{"id":130,"name":"Impact","value":""},{"id":150,"name":"Time of Event (Mountain Time)","value":"06:57:02"},{"id":151,"name":"Denver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9" s="159"/>
      <c r="AA29" s="47"/>
      <c r="AB29" s="47"/>
      <c r="AC29" s="115" t="str">
        <f t="shared" si="7"/>
        <v>grep -hrE -A400 "Enforcement Action" /c/Users/stu/AppData/Local/Temp/OnboardLogs/RTDC4055 --include="*4055*201707011*" | grep -E "((Enforcement Ac)|(PRM))" -</v>
      </c>
      <c r="AD29" s="1" t="str">
        <f>"grep -hSE ""Enforcement Action"" "&amp;search_path&amp;"\RTDC"&amp;U29&amp;"\*"&amp;U29&amp;"*"&amp;TEXT(A29-utc_offset/24,"YYYYMMDD")&amp;LEFT(TEXT(A29-utc_offset/24,"HH"),1)&amp;"* &gt;&gt; "&amp;TEXT(Variables!$A$2,"YYYY-MM-DD")&amp;"-SliceDisagreementCheck.txt"</f>
        <v>grep -hSE "Enforcement Action" "%USERPROFILE%\AppData\Local\Temp\OnboardLogs"\RTDC4055\*4055*201707011* &gt;&gt; 2017-07-01-SliceDisagreementCheck.txt</v>
      </c>
      <c r="AE29" s="145" t="str">
        <f t="shared" si="9"/>
        <v>start /low /b %USERPROFILE%\Documents\GitHub\eaglep3\Utilities\DownloadLogsFromS3.py --loco 4055 --day 2017-07-01</v>
      </c>
      <c r="AF29" s="1"/>
    </row>
    <row r="30" spans="1:32" x14ac:dyDescent="0.25">
      <c r="A30" s="31">
        <v>42917.547465277778</v>
      </c>
      <c r="B30" s="30" t="s">
        <v>368</v>
      </c>
      <c r="C30" s="30" t="s">
        <v>653</v>
      </c>
      <c r="D30" s="30" t="s">
        <v>49</v>
      </c>
      <c r="E30" s="30" t="s">
        <v>181</v>
      </c>
      <c r="F30" s="42">
        <v>0</v>
      </c>
      <c r="G30" s="42">
        <v>47</v>
      </c>
      <c r="H30" s="42">
        <v>145</v>
      </c>
      <c r="I30" s="42">
        <v>107</v>
      </c>
      <c r="J30" s="30" t="s">
        <v>182</v>
      </c>
      <c r="K30" s="42">
        <v>1</v>
      </c>
      <c r="L30" s="131" t="s">
        <v>51</v>
      </c>
      <c r="M30" s="132">
        <f t="shared" si="0"/>
        <v>55.968000000000004</v>
      </c>
      <c r="N30" s="133" t="str">
        <f>VLOOKUP(C30,'Trips&amp;Operators'!$C$1:$G$99999,5,FALSE)</f>
        <v>BRANDNER MELINDA</v>
      </c>
      <c r="O30" s="203" t="s">
        <v>180</v>
      </c>
      <c r="P30" s="134"/>
      <c r="Q30" s="30"/>
      <c r="R30" s="81" t="str">
        <f>VLOOKUP(C30,'Train Runs'!$A$13:$AE$9930,31,0)</f>
        <v>aws s3 cp s3://rtdc.mdm.uploadarchive.raw/RTDC4013/ "%USERPROFILE%\AppData\Local\Temp\OnboardLogs"\RTDC4013\2017-07-01 --exclude "*" --recursive --include "*20170701*" &amp; "%USERPROFILE%\Documents\GitHub\mrs-test-scripts\Headless Mode &amp; Sideloading\WalkAndUnGZ.bat" "%USERPROFILE%\AppData\Local\Temp\OnboardLogs"\RTDC4013\2017-07-01 &amp; aws s3 cp s3://rtdc.mdm.uploadarchive.raw/RTDC4013/ "%USERPROFILE%\AppData\Local\Temp\OnboardLogs"\RTDC4013\2017-07-02 --exclude "*" --recursive --include "*20170702*" &amp; "%USERPROFILE%\Documents\GitHub\mrs-test-scripts\Headless Mode &amp; Sideloading\WalkAndUnGZ.bat" "%USERPROFILE%\AppData\Local\Temp\OnboardLogs"\RTDC4013\2017-07-02</v>
      </c>
      <c r="S30" s="84" t="str">
        <f>VLOOKUP(C30,'Train Runs'!$A$13:$AE$9930,22,0)</f>
        <v>https://d0f6bd738d7f1b3e5a7ca70fe4ff75f0.us-east-1.aws.found.io/app/kibana#/discover/Steve-Slow-Train-Analysis-(2080s-and-2083s)?_g=(refreshInterval:(display:Off,pause:!f,section:0,value:0),time:(from:'2017-07-01T11:23:22-0600',mode:absolute,to:'2017-07-01T14:08:21-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T30" s="86" t="str">
        <f t="shared" si="1"/>
        <v>"C:\Program Files (x86)\AstroGrep\AstroGrep.exe" /e /r /s /spath="%USERPROFILE%\AppData\Local\Temp\OnboardLogs" /stypes="*4013*201707011*" /stext=" 19:.+((SYSTEM_STATE.+slice.+state.+changed )|(ment ac)|(multiple cpu faults)|(system.+state.+changed )|(\[timeout)|(PRM\|1\|D)|(kpr)|(kdp)|(train st.+moving)|(\|lc)|(penalty))"</v>
      </c>
      <c r="U30" s="9" t="str">
        <f t="shared" si="2"/>
        <v>4013</v>
      </c>
      <c r="V30" s="31">
        <f t="shared" si="3"/>
        <v>42917.797465277778</v>
      </c>
      <c r="W30" s="45" t="str">
        <f t="shared" si="4"/>
        <v>EC</v>
      </c>
      <c r="X30" s="22">
        <f t="shared" si="5"/>
        <v>164</v>
      </c>
      <c r="Y30" s="96" t="str">
        <f t="shared" si="6"/>
        <v>echo {"issue":{"subject":"","project_id":79,"tracker_id":40,"status_id":1,"priority_id":2,"assigned_to_id":23,"start_date":"2017-07-01","description":"","custom_fields":[{"id":1,"name":"Subdivision","value":"EC"},{"id":4,"name":"Milepost","value":"0.0001"},{"id":17,"name":"Train ID","value":"164-01"},{"id":16,"name":"Locomotive ID","value":"4013"},{"id":130,"name":"Impact","value":""},{"id":150,"name":"Time of Event (Mountain Time)","value":"13:08:21"},{"id":151,"name":"Denver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0" s="159"/>
      <c r="AA30" s="47"/>
      <c r="AB30" s="47"/>
      <c r="AC30" s="115" t="str">
        <f t="shared" si="7"/>
        <v>grep -hrE -A400 "Enforcement Action" /c/Users/stu/AppData/Local/Temp/OnboardLogs/RTDC4013 --include="*4013*201707011*" | grep -E "((Enforcement Ac)|(PRM))" -</v>
      </c>
      <c r="AD30" s="1" t="str">
        <f>"grep -hSE ""Enforcement Action"" "&amp;search_path&amp;"\RTDC"&amp;U30&amp;"\*"&amp;U30&amp;"*"&amp;TEXT(A30-utc_offset/24,"YYYYMMDD")&amp;LEFT(TEXT(A30-utc_offset/24,"HH"),1)&amp;"* &gt;&gt; "&amp;TEXT(Variables!$A$2,"YYYY-MM-DD")&amp;"-SliceDisagreementCheck.txt"</f>
        <v>grep -hSE "Enforcement Action" "%USERPROFILE%\AppData\Local\Temp\OnboardLogs"\RTDC4013\*4013*201707011* &gt;&gt; 2017-07-01-SliceDisagreementCheck.txt</v>
      </c>
      <c r="AE30" s="145" t="str">
        <f t="shared" si="9"/>
        <v>start /low /b %USERPROFILE%\Documents\GitHub\eaglep3\Utilities\DownloadLogsFromS3.py --loco 4013 --day 2017-07-01</v>
      </c>
      <c r="AF30" s="1"/>
    </row>
    <row r="31" spans="1:32" s="20" customFormat="1" x14ac:dyDescent="0.25">
      <c r="A31" s="31">
        <v>42917.555578703701</v>
      </c>
      <c r="B31" s="30" t="s">
        <v>562</v>
      </c>
      <c r="C31" s="30" t="s">
        <v>654</v>
      </c>
      <c r="D31" s="30" t="s">
        <v>49</v>
      </c>
      <c r="E31" s="30" t="s">
        <v>181</v>
      </c>
      <c r="F31" s="42">
        <v>0</v>
      </c>
      <c r="G31" s="42">
        <v>54</v>
      </c>
      <c r="H31" s="42">
        <v>211</v>
      </c>
      <c r="I31" s="42">
        <v>156</v>
      </c>
      <c r="J31" s="30" t="s">
        <v>182</v>
      </c>
      <c r="K31" s="42">
        <v>1</v>
      </c>
      <c r="L31" s="131" t="s">
        <v>51</v>
      </c>
      <c r="M31" s="132">
        <f t="shared" si="0"/>
        <v>81.84</v>
      </c>
      <c r="N31" s="133" t="str">
        <f>VLOOKUP(C31,'Trips&amp;Operators'!$C$1:$G$99999,5,FALSE)</f>
        <v>BRUDER RICHARD</v>
      </c>
      <c r="O31" s="203" t="s">
        <v>180</v>
      </c>
      <c r="P31" s="134"/>
      <c r="Q31" s="30"/>
      <c r="R31" s="81" t="str">
        <f>VLOOKUP(C31,'Train Runs'!$A$13:$AE$9930,31,0)</f>
        <v>aws s3 cp s3://rtdc.mdm.uploadarchive.raw/RTDC4061/ "%USERPROFILE%\AppData\Local\Temp\OnboardLogs"\RTDC4061\2017-07-01 --exclude "*" --recursive --include "*20170701*" &amp; "%USERPROFILE%\Documents\GitHub\mrs-test-scripts\Headless Mode &amp; Sideloading\WalkAndUnGZ.bat" "%USERPROFILE%\AppData\Local\Temp\OnboardLogs"\RTDC4061\2017-07-01 &amp; aws s3 cp s3://rtdc.mdm.uploadarchive.raw/RTDC4061/ "%USERPROFILE%\AppData\Local\Temp\OnboardLogs"\RTDC4061\2017-07-02 --exclude "*" --recursive --include "*20170702*" &amp; "%USERPROFILE%\Documents\GitHub\mrs-test-scripts\Headless Mode &amp; Sideloading\WalkAndUnGZ.bat" "%USERPROFILE%\AppData\Local\Temp\OnboardLogs"\RTDC4061\2017-07-02</v>
      </c>
      <c r="S31" s="84" t="str">
        <f>VLOOKUP(C31,'Train Runs'!$A$13:$AE$9930,22,0)</f>
        <v>https://d0f6bd738d7f1b3e5a7ca70fe4ff75f0.us-east-1.aws.found.io/app/kibana#/discover/Steve-Slow-Train-Analysis-(2080s-and-2083s)?_g=(refreshInterval:(display:Off,pause:!f,section:0,value:0),time:(from:'2017-07-01T11:36:53-0600',mode:absolute,to:'2017-07-01T14:20:02-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4061%22')),sort:!(Time.ISO8601,asc))</v>
      </c>
      <c r="T31" s="86" t="str">
        <f t="shared" si="1"/>
        <v>"C:\Program Files (x86)\AstroGrep\AstroGrep.exe" /e /r /s /spath="%USERPROFILE%\AppData\Local\Temp\OnboardLogs" /stypes="*4061*201707011*" /stext=" 19:.+((SYSTEM_STATE.+slice.+state.+changed )|(ment ac)|(multiple cpu faults)|(system.+state.+changed )|(\[timeout)|(PRM\|1\|D)|(kpr)|(kdp)|(train st.+moving)|(\|lc)|(penalty))"</v>
      </c>
      <c r="U31" s="9" t="str">
        <f t="shared" si="2"/>
        <v>4061</v>
      </c>
      <c r="V31" s="31">
        <f t="shared" si="3"/>
        <v>42917.805578703701</v>
      </c>
      <c r="W31" s="45" t="str">
        <f t="shared" si="4"/>
        <v>EC</v>
      </c>
      <c r="X31" s="22">
        <f t="shared" si="5"/>
        <v>166</v>
      </c>
      <c r="Y31" s="96" t="str">
        <f t="shared" si="6"/>
        <v>echo {"issue":{"subject":"","project_id":79,"tracker_id":40,"status_id":1,"priority_id":2,"assigned_to_id":23,"start_date":"2017-07-01","description":"","custom_fields":[{"id":1,"name":"Subdivision","value":"EC"},{"id":4,"name":"Milepost","value":"0.0001"},{"id":17,"name":"Train ID","value":"166-01"},{"id":16,"name":"Locomotive ID","value":"4061"},{"id":130,"name":"Impact","value":""},{"id":150,"name":"Time of Event (Mountain Time)","value":"13:20:02"},{"id":151,"name":"Denver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1" s="159"/>
      <c r="AA31" s="47"/>
      <c r="AB31" s="47"/>
      <c r="AC31" s="115" t="str">
        <f t="shared" si="7"/>
        <v>grep -hrE -A400 "Enforcement Action" /c/Users/stu/AppData/Local/Temp/OnboardLogs/RTDC4061 --include="*4061*201707011*" | grep -E "((Enforcement Ac)|(PRM))" -</v>
      </c>
      <c r="AD31" s="1" t="str">
        <f>"grep -hSE ""Enforcement Action"" "&amp;search_path&amp;"\RTDC"&amp;U31&amp;"\*"&amp;U31&amp;"*"&amp;TEXT(A31-utc_offset/24,"YYYYMMDD")&amp;LEFT(TEXT(A31-utc_offset/24,"HH"),1)&amp;"* &gt;&gt; "&amp;TEXT(Variables!$A$2,"YYYY-MM-DD")&amp;"-SliceDisagreementCheck.txt"</f>
        <v>grep -hSE "Enforcement Action" "%USERPROFILE%\AppData\Local\Temp\OnboardLogs"\RTDC4061\*4061*201707011* &gt;&gt; 2017-07-01-SliceDisagreementCheck.txt</v>
      </c>
      <c r="AE31" s="145" t="str">
        <f t="shared" si="9"/>
        <v>start /low /b %USERPROFILE%\Documents\GitHub\eaglep3\Utilities\DownloadLogsFromS3.py --loco 4061 --day 2017-07-01</v>
      </c>
      <c r="AF31" s="1"/>
    </row>
    <row r="32" spans="1:32" x14ac:dyDescent="0.25">
      <c r="A32" s="31">
        <v>42917.619525462964</v>
      </c>
      <c r="B32" s="30" t="s">
        <v>368</v>
      </c>
      <c r="C32" s="30" t="s">
        <v>657</v>
      </c>
      <c r="D32" s="30" t="s">
        <v>49</v>
      </c>
      <c r="E32" s="30" t="s">
        <v>181</v>
      </c>
      <c r="F32" s="42">
        <v>0</v>
      </c>
      <c r="G32" s="42">
        <v>62</v>
      </c>
      <c r="H32" s="42">
        <v>181</v>
      </c>
      <c r="I32" s="42">
        <v>114</v>
      </c>
      <c r="J32" s="30" t="s">
        <v>182</v>
      </c>
      <c r="K32" s="42">
        <v>1</v>
      </c>
      <c r="L32" s="131" t="s">
        <v>51</v>
      </c>
      <c r="M32" s="132">
        <f t="shared" si="0"/>
        <v>59.664000000000001</v>
      </c>
      <c r="N32" s="133" t="str">
        <f>VLOOKUP(C32,'Trips&amp;Operators'!$C$1:$G$99999,5,FALSE)</f>
        <v>BRANDNER MELINDA</v>
      </c>
      <c r="O32" s="203" t="s">
        <v>180</v>
      </c>
      <c r="P32" s="134"/>
      <c r="Q32" s="30"/>
      <c r="R32" s="81" t="str">
        <f>VLOOKUP(C32,'Train Runs'!$A$13:$AE$9930,31,0)</f>
        <v>aws s3 cp s3://rtdc.mdm.uploadarchive.raw/RTDC4013/ "%USERPROFILE%\AppData\Local\Temp\OnboardLogs"\RTDC4013\2017-07-01 --exclude "*" --recursive --include "*20170701*" &amp; "%USERPROFILE%\Documents\GitHub\mrs-test-scripts\Headless Mode &amp; Sideloading\WalkAndUnGZ.bat" "%USERPROFILE%\AppData\Local\Temp\OnboardLogs"\RTDC4013\2017-07-01 &amp; aws s3 cp s3://rtdc.mdm.uploadarchive.raw/RTDC4013/ "%USERPROFILE%\AppData\Local\Temp\OnboardLogs"\RTDC4013\2017-07-02 --exclude "*" --recursive --include "*20170702*" &amp; "%USERPROFILE%\Documents\GitHub\mrs-test-scripts\Headless Mode &amp; Sideloading\WalkAndUnGZ.bat" "%USERPROFILE%\AppData\Local\Temp\OnboardLogs"\RTDC4013\2017-07-02</v>
      </c>
      <c r="S32" s="84" t="str">
        <f>VLOOKUP(C32,'Train Runs'!$A$13:$AE$9930,22,0)</f>
        <v>https://d0f6bd738d7f1b3e5a7ca70fe4ff75f0.us-east-1.aws.found.io/app/kibana#/discover/Steve-Slow-Train-Analysis-(2080s-and-2083s)?_g=(refreshInterval:(display:Off,pause:!f,section:0,value:0),time:(from:'2017-07-01T13:10:48-0600',mode:absolute,to:'2017-07-01T15:52:07-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T32" s="86" t="str">
        <f t="shared" si="1"/>
        <v>"C:\Program Files (x86)\AstroGrep\AstroGrep.exe" /e /r /s /spath="%USERPROFILE%\AppData\Local\Temp\OnboardLogs" /stypes="*4013*201707012*" /stext=" 20:.+((SYSTEM_STATE.+slice.+state.+changed )|(ment ac)|(multiple cpu faults)|(system.+state.+changed )|(\[timeout)|(PRM\|1\|D)|(kpr)|(kdp)|(train st.+moving)|(\|lc)|(penalty))"</v>
      </c>
      <c r="U32" s="9" t="str">
        <f t="shared" si="2"/>
        <v>4013</v>
      </c>
      <c r="V32" s="31">
        <f t="shared" si="3"/>
        <v>42917.869525462964</v>
      </c>
      <c r="W32" s="45" t="str">
        <f t="shared" si="4"/>
        <v>EC</v>
      </c>
      <c r="X32" s="22">
        <f t="shared" si="5"/>
        <v>178</v>
      </c>
      <c r="Y32" s="96" t="str">
        <f t="shared" si="6"/>
        <v>echo {"issue":{"subject":"","project_id":79,"tracker_id":40,"status_id":1,"priority_id":2,"assigned_to_id":23,"start_date":"2017-07-01","description":"","custom_fields":[{"id":1,"name":"Subdivision","value":"EC"},{"id":4,"name":"Milepost","value":"0.0001"},{"id":17,"name":"Train ID","value":"178-01"},{"id":16,"name":"Locomotive ID","value":"4013"},{"id":130,"name":"Impact","value":""},{"id":150,"name":"Time of Event (Mountain Time)","value":"14:52:07"},{"id":151,"name":"Denver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2" s="159"/>
      <c r="AA32" s="47"/>
      <c r="AB32" s="47"/>
      <c r="AC32" s="115" t="str">
        <f t="shared" si="7"/>
        <v>grep -hrE -A400 "Enforcement Action" /c/Users/stu/AppData/Local/Temp/OnboardLogs/RTDC4013 --include="*4013*201707012*" | grep -E "((Enforcement Ac)|(PRM))" -</v>
      </c>
      <c r="AD32" s="1" t="str">
        <f>"grep -hSE ""Enforcement Action"" "&amp;search_path&amp;"\RTDC"&amp;U32&amp;"\*"&amp;U32&amp;"*"&amp;TEXT(A32-utc_offset/24,"YYYYMMDD")&amp;LEFT(TEXT(A32-utc_offset/24,"HH"),1)&amp;"* &gt;&gt; "&amp;TEXT(Variables!$A$2,"YYYY-MM-DD")&amp;"-SliceDisagreementCheck.txt"</f>
        <v>grep -hSE "Enforcement Action" "%USERPROFILE%\AppData\Local\Temp\OnboardLogs"\RTDC4013\*4013*201707012* &gt;&gt; 2017-07-01-SliceDisagreementCheck.txt</v>
      </c>
      <c r="AE32" s="145" t="str">
        <f t="shared" si="9"/>
        <v>start /low /b %USERPROFILE%\Documents\GitHub\eaglep3\Utilities\DownloadLogsFromS3.py --loco 4013 --day 2017-07-01</v>
      </c>
      <c r="AF32" s="1"/>
    </row>
    <row r="33" spans="1:32" x14ac:dyDescent="0.25">
      <c r="A33" s="31">
        <v>42917.68068287037</v>
      </c>
      <c r="B33" s="30" t="s">
        <v>340</v>
      </c>
      <c r="C33" s="30" t="s">
        <v>660</v>
      </c>
      <c r="D33" s="30" t="s">
        <v>49</v>
      </c>
      <c r="E33" s="30" t="s">
        <v>181</v>
      </c>
      <c r="F33" s="42">
        <v>0</v>
      </c>
      <c r="G33" s="42">
        <v>48</v>
      </c>
      <c r="H33" s="42">
        <v>154</v>
      </c>
      <c r="I33" s="42">
        <v>121</v>
      </c>
      <c r="J33" s="30" t="s">
        <v>182</v>
      </c>
      <c r="K33" s="42">
        <v>1</v>
      </c>
      <c r="L33" s="131" t="s">
        <v>51</v>
      </c>
      <c r="M33" s="132">
        <f t="shared" si="0"/>
        <v>63.36</v>
      </c>
      <c r="N33" s="133" t="str">
        <f>VLOOKUP(C33,'Trips&amp;Operators'!$C$1:$G$99999,5,FALSE)</f>
        <v>LOPES KIMBERLY</v>
      </c>
      <c r="O33" s="203" t="s">
        <v>180</v>
      </c>
      <c r="P33" s="134"/>
      <c r="Q33" s="30"/>
      <c r="R33" s="81" t="str">
        <f>VLOOKUP(C33,'Train Runs'!$A$13:$AE$9930,31,0)</f>
        <v>aws s3 cp s3://rtdc.mdm.uploadarchive.raw/RTDC4027/ "%USERPROFILE%\AppData\Local\Temp\OnboardLogs"\RTDC4027\2017-07-01 --exclude "*" --recursive --include "*20170701*" &amp; "%USERPROFILE%\Documents\GitHub\mrs-test-scripts\Headless Mode &amp; Sideloading\WalkAndUnGZ.bat" "%USERPROFILE%\AppData\Local\Temp\OnboardLogs"\RTDC4027\2017-07-01 &amp; aws s3 cp s3://rtdc.mdm.uploadarchive.raw/RTDC4027/ "%USERPROFILE%\AppData\Local\Temp\OnboardLogs"\RTDC4027\2017-07-02 --exclude "*" --recursive --include "*20170702*" &amp; "%USERPROFILE%\Documents\GitHub\mrs-test-scripts\Headless Mode &amp; Sideloading\WalkAndUnGZ.bat" "%USERPROFILE%\AppData\Local\Temp\OnboardLogs"\RTDC4027\2017-07-02</v>
      </c>
      <c r="S33" s="84" t="str">
        <f>VLOOKUP(C33,'Train Runs'!$A$13:$AE$9930,22,0)</f>
        <v>https://d0f6bd738d7f1b3e5a7ca70fe4ff75f0.us-east-1.aws.found.io/app/kibana#/discover/Steve-Slow-Train-Analysis-(2080s-and-2083s)?_g=(refreshInterval:(display:Off,pause:!f,section:0,value:0),time:(from:'2017-07-01T14:35:43-0600',mode:absolute,to:'2017-07-01T17:20:11-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T33" s="86" t="str">
        <f t="shared" si="1"/>
        <v>"C:\Program Files (x86)\AstroGrep\AstroGrep.exe" /e /r /s /spath="%USERPROFILE%\AppData\Local\Temp\OnboardLogs" /stypes="*4027*201707012*" /stext=" 22:.+((SYSTEM_STATE.+slice.+state.+changed )|(ment ac)|(multiple cpu faults)|(system.+state.+changed )|(\[timeout)|(PRM\|1\|D)|(kpr)|(kdp)|(train st.+moving)|(\|lc)|(penalty))"</v>
      </c>
      <c r="U33" s="9" t="str">
        <f t="shared" si="2"/>
        <v>4027</v>
      </c>
      <c r="V33" s="31">
        <f t="shared" si="3"/>
        <v>42917.93068287037</v>
      </c>
      <c r="W33" s="45" t="str">
        <f t="shared" si="4"/>
        <v>EC</v>
      </c>
      <c r="X33" s="22">
        <f t="shared" si="5"/>
        <v>190</v>
      </c>
      <c r="Y33" s="96" t="str">
        <f t="shared" si="6"/>
        <v>echo {"issue":{"subject":"","project_id":79,"tracker_id":40,"status_id":1,"priority_id":2,"assigned_to_id":23,"start_date":"2017-07-01","description":"","custom_fields":[{"id":1,"name":"Subdivision","value":"EC"},{"id":4,"name":"Milepost","value":"0.0001"},{"id":17,"name":"Train ID","value":"190-01"},{"id":16,"name":"Locomotive ID","value":"4027"},{"id":130,"name":"Impact","value":""},{"id":150,"name":"Time of Event (Mountain Time)","value":"16:20:11"},{"id":151,"name":"Denver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3" s="159"/>
      <c r="AA33" s="47"/>
      <c r="AB33" s="47"/>
      <c r="AC33" s="115" t="str">
        <f t="shared" si="7"/>
        <v>grep -hrE -A400 "Enforcement Action" /c/Users/stu/AppData/Local/Temp/OnboardLogs/RTDC4027 --include="*4027*201707012*" | grep -E "((Enforcement Ac)|(PRM))" -</v>
      </c>
      <c r="AD33" s="1" t="str">
        <f>"grep -hSE ""Enforcement Action"" "&amp;search_path&amp;"\RTDC"&amp;U33&amp;"\*"&amp;U33&amp;"*"&amp;TEXT(A33-utc_offset/24,"YYYYMMDD")&amp;LEFT(TEXT(A33-utc_offset/24,"HH"),1)&amp;"* &gt;&gt; "&amp;TEXT(Variables!$A$2,"YYYY-MM-DD")&amp;"-SliceDisagreementCheck.txt"</f>
        <v>grep -hSE "Enforcement Action" "%USERPROFILE%\AppData\Local\Temp\OnboardLogs"\RTDC4027\*4027*201707012* &gt;&gt; 2017-07-01-SliceDisagreementCheck.txt</v>
      </c>
      <c r="AE33" s="145" t="str">
        <f t="shared" si="9"/>
        <v>start /low /b %USERPROFILE%\Documents\GitHub\eaglep3\Utilities\DownloadLogsFromS3.py --loco 4027 --day 2017-07-01</v>
      </c>
      <c r="AF33" s="1"/>
    </row>
    <row r="34" spans="1:32" x14ac:dyDescent="0.25">
      <c r="A34" s="31">
        <v>42917.580347222225</v>
      </c>
      <c r="B34" s="30" t="s">
        <v>374</v>
      </c>
      <c r="C34" s="30" t="s">
        <v>656</v>
      </c>
      <c r="D34" s="30" t="s">
        <v>49</v>
      </c>
      <c r="E34" s="30" t="s">
        <v>181</v>
      </c>
      <c r="F34" s="42">
        <v>0</v>
      </c>
      <c r="G34" s="42">
        <v>60</v>
      </c>
      <c r="H34" s="42">
        <v>233286</v>
      </c>
      <c r="I34" s="42">
        <v>233339</v>
      </c>
      <c r="J34" s="30" t="s">
        <v>182</v>
      </c>
      <c r="K34" s="42">
        <v>233491</v>
      </c>
      <c r="L34" s="131" t="s">
        <v>50</v>
      </c>
      <c r="M34" s="132">
        <f t="shared" si="0"/>
        <v>80.256</v>
      </c>
      <c r="N34" s="133" t="str">
        <f>VLOOKUP(C34,'Trips&amp;Operators'!$C$1:$G$99999,5,FALSE)</f>
        <v>BRANDNER MELINDA</v>
      </c>
      <c r="O34" s="203" t="s">
        <v>180</v>
      </c>
      <c r="P34" s="134"/>
      <c r="Q34" s="30"/>
      <c r="R34" s="81" t="str">
        <f>VLOOKUP(C34,'Train Runs'!$A$13:$AE$9930,31,0)</f>
        <v>aws s3 cp s3://rtdc.mdm.uploadarchive.raw/RTDC4014/ "%USERPROFILE%\AppData\Local\Temp\OnboardLogs"\RTDC4014\2017-07-01 --exclude "*" --recursive --include "*20170701*" &amp; "%USERPROFILE%\Documents\GitHub\mrs-test-scripts\Headless Mode &amp; Sideloading\WalkAndUnGZ.bat" "%USERPROFILE%\AppData\Local\Temp\OnboardLogs"\RTDC4014\2017-07-01 &amp; aws s3 cp s3://rtdc.mdm.uploadarchive.raw/RTDC4014/ "%USERPROFILE%\AppData\Local\Temp\OnboardLogs"\RTDC4014\2017-07-02 --exclude "*" --recursive --include "*20170702*" &amp; "%USERPROFILE%\Documents\GitHub\mrs-test-scripts\Headless Mode &amp; Sideloading\WalkAndUnGZ.bat" "%USERPROFILE%\AppData\Local\Temp\OnboardLogs"\RTDC4014\2017-07-02</v>
      </c>
      <c r="S34" s="84" t="str">
        <f>VLOOKUP(C34,'Train Runs'!$A$13:$AE$9930,22,0)</f>
        <v>https://d0f6bd738d7f1b3e5a7ca70fe4ff75f0.us-east-1.aws.found.io/app/kibana#/discover/Steve-Slow-Train-Analysis-(2080s-and-2083s)?_g=(refreshInterval:(display:Off,pause:!f,section:0,value:0),time:(from:'2017-07-01T12:10:44-0600',mode:absolute,to:'2017-07-01T14:55:41-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T34" s="86" t="str">
        <f t="shared" si="1"/>
        <v>"C:\Program Files (x86)\AstroGrep\AstroGrep.exe" /e /r /s /spath="%USERPROFILE%\AppData\Local\Temp\OnboardLogs" /stypes="*4014*201707011*" /stext=" 19:.+((SYSTEM_STATE.+slice.+state.+changed )|(ment ac)|(multiple cpu faults)|(system.+state.+changed )|(\[timeout)|(PRM\|1\|D)|(kpr)|(kdp)|(train st.+moving)|(\|lc)|(penalty))"</v>
      </c>
      <c r="U34" s="9" t="str">
        <f t="shared" si="2"/>
        <v>4014</v>
      </c>
      <c r="V34" s="31">
        <f t="shared" si="3"/>
        <v>42917.830347222225</v>
      </c>
      <c r="W34" s="45" t="str">
        <f t="shared" si="4"/>
        <v>EC</v>
      </c>
      <c r="X34" s="22">
        <f t="shared" si="5"/>
        <v>177</v>
      </c>
      <c r="Y34" s="96" t="str">
        <f t="shared" si="6"/>
        <v>echo {"issue":{"subject":"","project_id":79,"tracker_id":40,"status_id":1,"priority_id":2,"assigned_to_id":23,"start_date":"2017-07-01","description":"","custom_fields":[{"id":1,"name":"Subdivision","value":"EC"},{"id":4,"name":"Milepost","value":"23.3491"},{"id":17,"name":"Train ID","value":"177-01"},{"id":16,"name":"Locomotive ID","value":"4014"},{"id":130,"name":"Impact","value":""},{"id":150,"name":"Time of Event (Mountain Time)","value":"13:55:42"},{"id":151,"name":"Denver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4" s="159"/>
      <c r="AA34" s="47"/>
      <c r="AB34" s="47"/>
      <c r="AC34" s="115" t="str">
        <f t="shared" si="7"/>
        <v>grep -hrE -A400 "Enforcement Action" /c/Users/stu/AppData/Local/Temp/OnboardLogs/RTDC4014 --include="*4014*201707011*" | grep -E "((Enforcement Ac)|(PRM))" -</v>
      </c>
      <c r="AD34" s="1" t="str">
        <f>"grep -hSE ""Enforcement Action"" "&amp;search_path&amp;"\RTDC"&amp;U34&amp;"\*"&amp;U34&amp;"*"&amp;TEXT(A34-utc_offset/24,"YYYYMMDD")&amp;LEFT(TEXT(A34-utc_offset/24,"HH"),1)&amp;"* &gt;&gt; "&amp;TEXT(Variables!$A$2,"YYYY-MM-DD")&amp;"-SliceDisagreementCheck.txt"</f>
        <v>grep -hSE "Enforcement Action" "%USERPROFILE%\AppData\Local\Temp\OnboardLogs"\RTDC4014\*4014*201707011* &gt;&gt; 2017-07-01-SliceDisagreementCheck.txt</v>
      </c>
      <c r="AE34" s="145" t="str">
        <f t="shared" si="9"/>
        <v>start /low /b %USERPROFILE%\Documents\GitHub\eaglep3\Utilities\DownloadLogsFromS3.py --loco 4014 --day 2017-07-01</v>
      </c>
      <c r="AF34" s="1"/>
    </row>
    <row r="35" spans="1:32" x14ac:dyDescent="0.25">
      <c r="A35" s="31">
        <v>42917.651898148149</v>
      </c>
      <c r="B35" s="30" t="s">
        <v>374</v>
      </c>
      <c r="C35" s="30" t="s">
        <v>659</v>
      </c>
      <c r="D35" s="30" t="s">
        <v>49</v>
      </c>
      <c r="E35" s="30" t="s">
        <v>181</v>
      </c>
      <c r="F35" s="42">
        <v>0</v>
      </c>
      <c r="G35" s="42">
        <v>64</v>
      </c>
      <c r="H35" s="42">
        <v>233257</v>
      </c>
      <c r="I35" s="42">
        <v>233323</v>
      </c>
      <c r="J35" s="30" t="s">
        <v>182</v>
      </c>
      <c r="K35" s="42">
        <v>233491</v>
      </c>
      <c r="L35" s="131" t="s">
        <v>50</v>
      </c>
      <c r="M35" s="132">
        <f t="shared" si="0"/>
        <v>88.703999999999994</v>
      </c>
      <c r="N35" s="133" t="str">
        <f>VLOOKUP(C35,'Trips&amp;Operators'!$C$1:$G$99999,5,FALSE)</f>
        <v>BRANDNER MELINDA</v>
      </c>
      <c r="O35" s="203" t="s">
        <v>180</v>
      </c>
      <c r="P35" s="134"/>
      <c r="Q35" s="30"/>
      <c r="R35" s="81" t="str">
        <f>VLOOKUP(C35,'Train Runs'!$A$13:$AE$9930,31,0)</f>
        <v>aws s3 cp s3://rtdc.mdm.uploadarchive.raw/RTDC4014/ "%USERPROFILE%\AppData\Local\Temp\OnboardLogs"\RTDC4014\2017-07-01 --exclude "*" --recursive --include "*20170701*" &amp; "%USERPROFILE%\Documents\GitHub\mrs-test-scripts\Headless Mode &amp; Sideloading\WalkAndUnGZ.bat" "%USERPROFILE%\AppData\Local\Temp\OnboardLogs"\RTDC4014\2017-07-01 &amp; aws s3 cp s3://rtdc.mdm.uploadarchive.raw/RTDC4014/ "%USERPROFILE%\AppData\Local\Temp\OnboardLogs"\RTDC4014\2017-07-02 --exclude "*" --recursive --include "*20170702*" &amp; "%USERPROFILE%\Documents\GitHub\mrs-test-scripts\Headless Mode &amp; Sideloading\WalkAndUnGZ.bat" "%USERPROFILE%\AppData\Local\Temp\OnboardLogs"\RTDC4014\2017-07-02</v>
      </c>
      <c r="S35" s="84" t="str">
        <f>VLOOKUP(C35,'Train Runs'!$A$13:$AE$9930,22,0)</f>
        <v>https://d0f6bd738d7f1b3e5a7ca70fe4ff75f0.us-east-1.aws.found.io/app/kibana#/discover/Steve-Slow-Train-Analysis-(2080s-and-2083s)?_g=(refreshInterval:(display:Off,pause:!f,section:0,value:0),time:(from:'2017-07-01T13:54:59-0600',mode:absolute,to:'2017-07-01T16:38:43-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T35" s="86" t="str">
        <f t="shared" si="1"/>
        <v>"C:\Program Files (x86)\AstroGrep\AstroGrep.exe" /e /r /s /spath="%USERPROFILE%\AppData\Local\Temp\OnboardLogs" /stypes="*4014*201707012*" /stext=" 21:.+((SYSTEM_STATE.+slice.+state.+changed )|(ment ac)|(multiple cpu faults)|(system.+state.+changed )|(\[timeout)|(PRM\|1\|D)|(kpr)|(kdp)|(train st.+moving)|(\|lc)|(penalty))"</v>
      </c>
      <c r="U35" s="9" t="str">
        <f t="shared" si="2"/>
        <v>4014</v>
      </c>
      <c r="V35" s="31">
        <f t="shared" si="3"/>
        <v>42917.901898148149</v>
      </c>
      <c r="W35" s="45" t="str">
        <f t="shared" si="4"/>
        <v>EC</v>
      </c>
      <c r="X35" s="22">
        <f t="shared" si="5"/>
        <v>191</v>
      </c>
      <c r="Y35" s="96" t="str">
        <f t="shared" si="6"/>
        <v>echo {"issue":{"subject":"","project_id":79,"tracker_id":40,"status_id":1,"priority_id":2,"assigned_to_id":23,"start_date":"2017-07-01","description":"","custom_fields":[{"id":1,"name":"Subdivision","value":"EC"},{"id":4,"name":"Milepost","value":"23.3491"},{"id":17,"name":"Train ID","value":"191-01"},{"id":16,"name":"Locomotive ID","value":"4014"},{"id":130,"name":"Impact","value":""},{"id":150,"name":"Time of Event (Mountain Time)","value":"15:38:44"},{"id":151,"name":"Denver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5" s="159"/>
      <c r="AA35" s="47"/>
      <c r="AB35" s="47"/>
      <c r="AC35" s="115" t="str">
        <f t="shared" si="7"/>
        <v>grep -hrE -A400 "Enforcement Action" /c/Users/stu/AppData/Local/Temp/OnboardLogs/RTDC4014 --include="*4014*201707012*" | grep -E "((Enforcement Ac)|(PRM))" -</v>
      </c>
      <c r="AD35" s="1" t="str">
        <f>"grep -hSE ""Enforcement Action"" "&amp;search_path&amp;"\RTDC"&amp;U35&amp;"\*"&amp;U35&amp;"*"&amp;TEXT(A35-utc_offset/24,"YYYYMMDD")&amp;LEFT(TEXT(A35-utc_offset/24,"HH"),1)&amp;"* &gt;&gt; "&amp;TEXT(Variables!$A$2,"YYYY-MM-DD")&amp;"-SliceDisagreementCheck.txt"</f>
        <v>grep -hSE "Enforcement Action" "%USERPROFILE%\AppData\Local\Temp\OnboardLogs"\RTDC4014\*4014*201707012* &gt;&gt; 2017-07-01-SliceDisagreementCheck.txt</v>
      </c>
      <c r="AE35" s="145" t="str">
        <f t="shared" si="9"/>
        <v>start /low /b %USERPROFILE%\Documents\GitHub\eaglep3\Utilities\DownloadLogsFromS3.py --loco 4014 --day 2017-07-01</v>
      </c>
      <c r="AF35" s="1"/>
    </row>
    <row r="36" spans="1:32" x14ac:dyDescent="0.25">
      <c r="A36" s="31">
        <v>42917.702986111108</v>
      </c>
      <c r="B36" s="30" t="s">
        <v>646</v>
      </c>
      <c r="C36" s="30" t="s">
        <v>662</v>
      </c>
      <c r="D36" s="30" t="s">
        <v>49</v>
      </c>
      <c r="E36" s="30" t="s">
        <v>181</v>
      </c>
      <c r="F36" s="42">
        <v>0</v>
      </c>
      <c r="G36" s="42">
        <v>55</v>
      </c>
      <c r="H36" s="42">
        <v>233226</v>
      </c>
      <c r="I36" s="42">
        <v>233288</v>
      </c>
      <c r="J36" s="30" t="s">
        <v>182</v>
      </c>
      <c r="K36" s="42">
        <v>233491</v>
      </c>
      <c r="L36" s="131" t="s">
        <v>50</v>
      </c>
      <c r="M36" s="132">
        <f t="shared" si="0"/>
        <v>107.184</v>
      </c>
      <c r="N36" s="133" t="str">
        <f>VLOOKUP(C36,'Trips&amp;Operators'!$C$1:$G$99999,5,FALSE)</f>
        <v>HOLCOMB KAMDEN</v>
      </c>
      <c r="O36" s="203" t="s">
        <v>180</v>
      </c>
      <c r="P36" s="134"/>
      <c r="Q36" s="30"/>
      <c r="R36" s="81" t="str">
        <f>VLOOKUP(C36,'Train Runs'!$A$13:$AE$9930,31,0)</f>
        <v>aws s3 cp s3://rtdc.mdm.uploadarchive.raw/RTDC4030/ "%USERPROFILE%\AppData\Local\Temp\OnboardLogs"\RTDC4030\2017-07-01 --exclude "*" --recursive --include "*20170701*" &amp; "%USERPROFILE%\Documents\GitHub\mrs-test-scripts\Headless Mode &amp; Sideloading\WalkAndUnGZ.bat" "%USERPROFILE%\AppData\Local\Temp\OnboardLogs"\RTDC4030\2017-07-01 &amp; aws s3 cp s3://rtdc.mdm.uploadarchive.raw/RTDC4030/ "%USERPROFILE%\AppData\Local\Temp\OnboardLogs"\RTDC4030\2017-07-02 --exclude "*" --recursive --include "*20170702*" &amp; "%USERPROFILE%\Documents\GitHub\mrs-test-scripts\Headless Mode &amp; Sideloading\WalkAndUnGZ.bat" "%USERPROFILE%\AppData\Local\Temp\OnboardLogs"\RTDC4030\2017-07-02</v>
      </c>
      <c r="S36" s="84" t="str">
        <f>VLOOKUP(C36,'Train Runs'!$A$13:$AE$9930,22,0)</f>
        <v>https://d0f6bd738d7f1b3e5a7ca70fe4ff75f0.us-east-1.aws.found.io/app/kibana#/discover/Steve-Slow-Train-Analysis-(2080s-and-2083s)?_g=(refreshInterval:(display:Off,pause:!f,section:0,value:0),time:(from:'2017-07-01T15:07:52-0600',mode:absolute,to:'2017-07-01T17:52:18-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T36" s="86" t="str">
        <f t="shared" si="1"/>
        <v>"C:\Program Files (x86)\AstroGrep\AstroGrep.exe" /e /r /s /spath="%USERPROFILE%\AppData\Local\Temp\OnboardLogs" /stypes="*4030*201707012*" /stext=" 22:.+((SYSTEM_STATE.+slice.+state.+changed )|(ment ac)|(multiple cpu faults)|(system.+state.+changed )|(\[timeout)|(PRM\|1\|D)|(kpr)|(kdp)|(train st.+moving)|(\|lc)|(penalty))"</v>
      </c>
      <c r="U36" s="9" t="str">
        <f t="shared" si="2"/>
        <v>4030</v>
      </c>
      <c r="V36" s="31">
        <f t="shared" si="3"/>
        <v>42917.952986111108</v>
      </c>
      <c r="W36" s="45" t="str">
        <f t="shared" si="4"/>
        <v>EC</v>
      </c>
      <c r="X36" s="22">
        <f t="shared" si="5"/>
        <v>201</v>
      </c>
      <c r="Y36" s="96" t="str">
        <f t="shared" si="6"/>
        <v>echo {"issue":{"subject":"","project_id":79,"tracker_id":40,"status_id":1,"priority_id":2,"assigned_to_id":23,"start_date":"2017-07-01","description":"","custom_fields":[{"id":1,"name":"Subdivision","value":"EC"},{"id":4,"name":"Milepost","value":"23.3491"},{"id":17,"name":"Train ID","value":"201-01"},{"id":16,"name":"Locomotive ID","value":"4030"},{"id":130,"name":"Impact","value":""},{"id":150,"name":"Time of Event (Mountain Time)","value":"16:52:18"},{"id":151,"name":"Denver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6" s="159"/>
      <c r="AA36" s="47"/>
      <c r="AB36" s="47"/>
      <c r="AC36" s="115" t="str">
        <f t="shared" si="7"/>
        <v>grep -hrE -A400 "Enforcement Action" /c/Users/stu/AppData/Local/Temp/OnboardLogs/RTDC4030 --include="*4030*201707012*" | grep -E "((Enforcement Ac)|(PRM))" -</v>
      </c>
      <c r="AD36" s="1" t="str">
        <f>"grep -hSE ""Enforcement Action"" "&amp;search_path&amp;"\RTDC"&amp;U36&amp;"\*"&amp;U36&amp;"*"&amp;TEXT(A36-utc_offset/24,"YYYYMMDD")&amp;LEFT(TEXT(A36-utc_offset/24,"HH"),1)&amp;"* &gt;&gt; "&amp;TEXT(Variables!$A$2,"YYYY-MM-DD")&amp;"-SliceDisagreementCheck.txt"</f>
        <v>grep -hSE "Enforcement Action" "%USERPROFILE%\AppData\Local\Temp\OnboardLogs"\RTDC4030\*4030*201707012* &gt;&gt; 2017-07-01-SliceDisagreementCheck.txt</v>
      </c>
      <c r="AE36" s="145" t="str">
        <f t="shared" si="9"/>
        <v>start /low /b %USERPROFILE%\Documents\GitHub\eaglep3\Utilities\DownloadLogsFromS3.py --loco 4030 --day 2017-07-01</v>
      </c>
      <c r="AF36" s="1"/>
    </row>
    <row r="37" spans="1:32" x14ac:dyDescent="0.25">
      <c r="A37" s="31">
        <v>42917.713807870372</v>
      </c>
      <c r="B37" s="30" t="s">
        <v>339</v>
      </c>
      <c r="C37" s="30" t="s">
        <v>661</v>
      </c>
      <c r="D37" s="30" t="s">
        <v>49</v>
      </c>
      <c r="E37" s="30" t="s">
        <v>181</v>
      </c>
      <c r="F37" s="42">
        <v>0</v>
      </c>
      <c r="G37" s="42">
        <v>50</v>
      </c>
      <c r="H37" s="42">
        <v>233336</v>
      </c>
      <c r="I37" s="42">
        <v>233361</v>
      </c>
      <c r="J37" s="30" t="s">
        <v>182</v>
      </c>
      <c r="K37" s="42">
        <v>233491</v>
      </c>
      <c r="L37" s="131" t="s">
        <v>50</v>
      </c>
      <c r="M37" s="132">
        <f t="shared" si="0"/>
        <v>68.64</v>
      </c>
      <c r="N37" s="133" t="str">
        <f>VLOOKUP(C37,'Trips&amp;Operators'!$C$1:$G$99999,5,FALSE)</f>
        <v>LOPES KIMBERLY</v>
      </c>
      <c r="O37" s="203" t="s">
        <v>180</v>
      </c>
      <c r="P37" s="134"/>
      <c r="Q37" s="30"/>
      <c r="R37" s="81" t="str">
        <f>VLOOKUP(C37,'Train Runs'!$A$13:$AE$9930,31,0)</f>
        <v>aws s3 cp s3://rtdc.mdm.uploadarchive.raw/RTDC4028/ "%USERPROFILE%\AppData\Local\Temp\OnboardLogs"\RTDC4028\2017-07-01 --exclude "*" --recursive --include "*20170701*" &amp; "%USERPROFILE%\Documents\GitHub\mrs-test-scripts\Headless Mode &amp; Sideloading\WalkAndUnGZ.bat" "%USERPROFILE%\AppData\Local\Temp\OnboardLogs"\RTDC4028\2017-07-01 &amp; aws s3 cp s3://rtdc.mdm.uploadarchive.raw/RTDC4028/ "%USERPROFILE%\AppData\Local\Temp\OnboardLogs"\RTDC4028\2017-07-02 --exclude "*" --recursive --include "*20170702*" &amp; "%USERPROFILE%\Documents\GitHub\mrs-test-scripts\Headless Mode &amp; Sideloading\WalkAndUnGZ.bat" "%USERPROFILE%\AppData\Local\Temp\OnboardLogs"\RTDC4028\2017-07-02</v>
      </c>
      <c r="S37" s="84" t="str">
        <f>VLOOKUP(C37,'Train Runs'!$A$13:$AE$9930,22,0)</f>
        <v>https://d0f6bd738d7f1b3e5a7ca70fe4ff75f0.us-east-1.aws.found.io/app/kibana#/discover/Steve-Slow-Train-Analysis-(2080s-and-2083s)?_g=(refreshInterval:(display:Off,pause:!f,section:0,value:0),time:(from:'2017-07-01T15:22:22-0600',mode:absolute,to:'2017-07-01T18:07:52-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T37" s="86" t="str">
        <f t="shared" si="1"/>
        <v>"C:\Program Files (x86)\AstroGrep\AstroGrep.exe" /e /r /s /spath="%USERPROFILE%\AppData\Local\Temp\OnboardLogs" /stypes="*4028*201707012*" /stext=" 23:.+((SYSTEM_STATE.+slice.+state.+changed )|(ment ac)|(multiple cpu faults)|(system.+state.+changed )|(\[timeout)|(PRM\|1\|D)|(kpr)|(kdp)|(train st.+moving)|(\|lc)|(penalty))"</v>
      </c>
      <c r="U37" s="9" t="str">
        <f t="shared" si="2"/>
        <v>4028</v>
      </c>
      <c r="V37" s="31">
        <f t="shared" si="3"/>
        <v>42917.963807870372</v>
      </c>
      <c r="W37" s="45" t="str">
        <f t="shared" si="4"/>
        <v>EC</v>
      </c>
      <c r="X37" s="22">
        <f t="shared" si="5"/>
        <v>203</v>
      </c>
      <c r="Y37" s="96" t="str">
        <f t="shared" si="6"/>
        <v>echo {"issue":{"subject":"","project_id":79,"tracker_id":40,"status_id":1,"priority_id":2,"assigned_to_id":23,"start_date":"2017-07-01","description":"","custom_fields":[{"id":1,"name":"Subdivision","value":"EC"},{"id":4,"name":"Milepost","value":"23.3491"},{"id":17,"name":"Train ID","value":"203-01"},{"id":16,"name":"Locomotive ID","value":"4028"},{"id":130,"name":"Impact","value":""},{"id":150,"name":"Time of Event (Mountain Time)","value":"17:07:53"},{"id":151,"name":"Denver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7" s="159"/>
      <c r="AA37" s="47"/>
      <c r="AB37" s="47"/>
      <c r="AC37" s="115" t="str">
        <f t="shared" si="7"/>
        <v>grep -hrE -A400 "Enforcement Action" /c/Users/stu/AppData/Local/Temp/OnboardLogs/RTDC4028 --include="*4028*201707012*" | grep -E "((Enforcement Ac)|(PRM))" -</v>
      </c>
      <c r="AD37" s="1" t="str">
        <f>"grep -hSE ""Enforcement Action"" "&amp;search_path&amp;"\RTDC"&amp;U37&amp;"\*"&amp;U37&amp;"*"&amp;TEXT(A37-utc_offset/24,"YYYYMMDD")&amp;LEFT(TEXT(A37-utc_offset/24,"HH"),1)&amp;"* &gt;&gt; "&amp;TEXT(Variables!$A$2,"YYYY-MM-DD")&amp;"-SliceDisagreementCheck.txt"</f>
        <v>grep -hSE "Enforcement Action" "%USERPROFILE%\AppData\Local\Temp\OnboardLogs"\RTDC4028\*4028*201707012* &gt;&gt; 2017-07-01-SliceDisagreementCheck.txt</v>
      </c>
      <c r="AE37" s="145" t="str">
        <f t="shared" si="9"/>
        <v>start /low /b %USERPROFILE%\Documents\GitHub\eaglep3\Utilities\DownloadLogsFromS3.py --loco 4028 --day 2017-07-01</v>
      </c>
      <c r="AF37" s="1"/>
    </row>
    <row r="38" spans="1:32" x14ac:dyDescent="0.25">
      <c r="A38" s="31">
        <v>42917.775787037041</v>
      </c>
      <c r="B38" s="30" t="s">
        <v>646</v>
      </c>
      <c r="C38" s="30" t="s">
        <v>665</v>
      </c>
      <c r="D38" s="30" t="s">
        <v>49</v>
      </c>
      <c r="E38" s="30" t="s">
        <v>181</v>
      </c>
      <c r="F38" s="42">
        <v>0</v>
      </c>
      <c r="G38" s="42">
        <v>52</v>
      </c>
      <c r="H38" s="42">
        <v>233297</v>
      </c>
      <c r="I38" s="42">
        <v>233338</v>
      </c>
      <c r="J38" s="30" t="s">
        <v>182</v>
      </c>
      <c r="K38" s="42">
        <v>233491</v>
      </c>
      <c r="L38" s="131" t="s">
        <v>50</v>
      </c>
      <c r="M38" s="132">
        <f t="shared" si="0"/>
        <v>80.784000000000006</v>
      </c>
      <c r="N38" s="133" t="str">
        <f>VLOOKUP(C38,'Trips&amp;Operators'!$C$1:$G$99999,5,FALSE)</f>
        <v>HOLCOMB KAMDEN</v>
      </c>
      <c r="O38" s="203" t="s">
        <v>180</v>
      </c>
      <c r="P38" s="134"/>
      <c r="Q38" s="30"/>
      <c r="R38" s="81" t="str">
        <f>VLOOKUP(C38,'Train Runs'!$A$13:$AE$9930,31,0)</f>
        <v>aws s3 cp s3://rtdc.mdm.uploadarchive.raw/RTDC4030/ "%USERPROFILE%\AppData\Local\Temp\OnboardLogs"\RTDC4030\2017-07-01 --exclude "*" --recursive --include "*20170701*" &amp; "%USERPROFILE%\Documents\GitHub\mrs-test-scripts\Headless Mode &amp; Sideloading\WalkAndUnGZ.bat" "%USERPROFILE%\AppData\Local\Temp\OnboardLogs"\RTDC4030\2017-07-01 &amp; aws s3 cp s3://rtdc.mdm.uploadarchive.raw/RTDC4030/ "%USERPROFILE%\AppData\Local\Temp\OnboardLogs"\RTDC4030\2017-07-02 --exclude "*" --recursive --include "*20170702*" &amp; "%USERPROFILE%\Documents\GitHub\mrs-test-scripts\Headless Mode &amp; Sideloading\WalkAndUnGZ.bat" "%USERPROFILE%\AppData\Local\Temp\OnboardLogs"\RTDC4030\2017-07-02</v>
      </c>
      <c r="S38" s="84" t="str">
        <f>VLOOKUP(C38,'Train Runs'!$A$13:$AE$9930,22,0)</f>
        <v>https://d0f6bd738d7f1b3e5a7ca70fe4ff75f0.us-east-1.aws.found.io/app/kibana#/discover/Steve-Slow-Train-Analysis-(2080s-and-2083s)?_g=(refreshInterval:(display:Off,pause:!f,section:0,value:0),time:(from:'2017-07-01T16:55:44-0600',mode:absolute,to:'2017-07-01T19:37:08-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T38" s="86" t="str">
        <f t="shared" si="1"/>
        <v>"C:\Program Files (x86)\AstroGrep\AstroGrep.exe" /e /r /s /spath="%USERPROFILE%\AppData\Local\Temp\OnboardLogs" /stypes="*4030*201707020*" /stext=" 00:.+((SYSTEM_STATE.+slice.+state.+changed )|(ment ac)|(multiple cpu faults)|(system.+state.+changed )|(\[timeout)|(PRM\|1\|D)|(kpr)|(kdp)|(train st.+moving)|(\|lc)|(penalty))"</v>
      </c>
      <c r="U38" s="9" t="str">
        <f t="shared" si="2"/>
        <v>4030</v>
      </c>
      <c r="V38" s="31">
        <f t="shared" si="3"/>
        <v>42918.025787037041</v>
      </c>
      <c r="W38" s="45" t="str">
        <f t="shared" si="4"/>
        <v>EC</v>
      </c>
      <c r="X38" s="22">
        <f t="shared" si="5"/>
        <v>215</v>
      </c>
      <c r="Y38" s="96" t="str">
        <f t="shared" si="6"/>
        <v>echo {"issue":{"subject":"","project_id":79,"tracker_id":40,"status_id":1,"priority_id":2,"assigned_to_id":23,"start_date":"2017-07-01","description":"","custom_fields":[{"id":1,"name":"Subdivision","value":"EC"},{"id":4,"name":"Milepost","value":"23.3491"},{"id":17,"name":"Train ID","value":"215-01"},{"id":16,"name":"Locomotive ID","value":"4030"},{"id":130,"name":"Impact","value":""},{"id":150,"name":"Time of Event (Mountain Time)","value":"18:37:08"},{"id":151,"name":"Denver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8" s="159"/>
      <c r="AA38" s="47"/>
      <c r="AB38" s="47"/>
      <c r="AC38" s="115" t="str">
        <f t="shared" si="7"/>
        <v>grep -hrE -A400 "Enforcement Action" /c/Users/stu/AppData/Local/Temp/OnboardLogs/RTDC4030 --include="*4030*201707020*" | grep -E "((Enforcement Ac)|(PRM))" -</v>
      </c>
      <c r="AD38" s="1" t="str">
        <f>"grep -hSE ""Enforcement Action"" "&amp;search_path&amp;"\RTDC"&amp;U38&amp;"\*"&amp;U38&amp;"*"&amp;TEXT(A38-utc_offset/24,"YYYYMMDD")&amp;LEFT(TEXT(A38-utc_offset/24,"HH"),1)&amp;"* &gt;&gt; "&amp;TEXT(Variables!$A$2,"YYYY-MM-DD")&amp;"-SliceDisagreementCheck.txt"</f>
        <v>grep -hSE "Enforcement Action" "%USERPROFILE%\AppData\Local\Temp\OnboardLogs"\RTDC4030\*4030*201707020* &gt;&gt; 2017-07-01-SliceDisagreementCheck.txt</v>
      </c>
      <c r="AE38" s="145" t="str">
        <f t="shared" si="9"/>
        <v>start /low /b %USERPROFILE%\Documents\GitHub\eaglep3\Utilities\DownloadLogsFromS3.py --loco 4030 --day 2017-07-02</v>
      </c>
      <c r="AF38" s="1"/>
    </row>
    <row r="39" spans="1:32" x14ac:dyDescent="0.25">
      <c r="A39" s="31">
        <v>42917.786087962966</v>
      </c>
      <c r="B39" s="30" t="s">
        <v>339</v>
      </c>
      <c r="C39" s="30" t="s">
        <v>666</v>
      </c>
      <c r="D39" s="30" t="s">
        <v>49</v>
      </c>
      <c r="E39" s="30" t="s">
        <v>181</v>
      </c>
      <c r="F39" s="42">
        <v>0</v>
      </c>
      <c r="G39" s="42">
        <v>94</v>
      </c>
      <c r="H39" s="42">
        <v>233238</v>
      </c>
      <c r="I39" s="42">
        <v>233337</v>
      </c>
      <c r="J39" s="30" t="s">
        <v>182</v>
      </c>
      <c r="K39" s="42">
        <v>233491</v>
      </c>
      <c r="L39" s="131" t="s">
        <v>50</v>
      </c>
      <c r="M39" s="132">
        <f t="shared" si="0"/>
        <v>81.311999999999998</v>
      </c>
      <c r="N39" s="133" t="str">
        <f>VLOOKUP(C39,'Trips&amp;Operators'!$C$1:$G$99999,5,FALSE)</f>
        <v>PERKINS DARREN</v>
      </c>
      <c r="O39" s="203" t="s">
        <v>180</v>
      </c>
      <c r="P39" s="134"/>
      <c r="Q39" s="30"/>
      <c r="R39" s="81" t="str">
        <f>VLOOKUP(C39,'Train Runs'!$A$13:$AE$9930,31,0)</f>
        <v>aws s3 cp s3://rtdc.mdm.uploadarchive.raw/RTDC4028/ "%USERPROFILE%\AppData\Local\Temp\OnboardLogs"\RTDC4028\2017-07-01 --exclude "*" --recursive --include "*20170701*" &amp; "%USERPROFILE%\Documents\GitHub\mrs-test-scripts\Headless Mode &amp; Sideloading\WalkAndUnGZ.bat" "%USERPROFILE%\AppData\Local\Temp\OnboardLogs"\RTDC4028\2017-07-01 &amp; aws s3 cp s3://rtdc.mdm.uploadarchive.raw/RTDC4028/ "%USERPROFILE%\AppData\Local\Temp\OnboardLogs"\RTDC4028\2017-07-02 --exclude "*" --recursive --include "*20170702*" &amp; "%USERPROFILE%\Documents\GitHub\mrs-test-scripts\Headless Mode &amp; Sideloading\WalkAndUnGZ.bat" "%USERPROFILE%\AppData\Local\Temp\OnboardLogs"\RTDC4028\2017-07-02</v>
      </c>
      <c r="S39" s="84" t="str">
        <f>VLOOKUP(C39,'Train Runs'!$A$13:$AE$9930,22,0)</f>
        <v>https://d0f6bd738d7f1b3e5a7ca70fe4ff75f0.us-east-1.aws.found.io/app/kibana#/discover/Steve-Slow-Train-Analysis-(2080s-and-2083s)?_g=(refreshInterval:(display:Off,pause:!f,section:0,value:0),time:(from:'2017-07-01T17:08:16-0600',mode:absolute,to:'2017-07-01T19:51:57-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T39" s="86" t="str">
        <f t="shared" si="1"/>
        <v>"C:\Program Files (x86)\AstroGrep\AstroGrep.exe" /e /r /s /spath="%USERPROFILE%\AppData\Local\Temp\OnboardLogs" /stypes="*4028*201707020*" /stext=" 00:.+((SYSTEM_STATE.+slice.+state.+changed )|(ment ac)|(multiple cpu faults)|(system.+state.+changed )|(\[timeout)|(PRM\|1\|D)|(kpr)|(kdp)|(train st.+moving)|(\|lc)|(penalty))"</v>
      </c>
      <c r="U39" s="9" t="str">
        <f t="shared" si="2"/>
        <v>4028</v>
      </c>
      <c r="V39" s="31">
        <f t="shared" si="3"/>
        <v>42918.036087962966</v>
      </c>
      <c r="W39" s="45" t="str">
        <f t="shared" si="4"/>
        <v>EC</v>
      </c>
      <c r="X39" s="22">
        <f t="shared" si="5"/>
        <v>217</v>
      </c>
      <c r="Y39" s="96" t="str">
        <f t="shared" si="6"/>
        <v>echo {"issue":{"subject":"","project_id":79,"tracker_id":40,"status_id":1,"priority_id":2,"assigned_to_id":23,"start_date":"2017-07-01","description":"","custom_fields":[{"id":1,"name":"Subdivision","value":"EC"},{"id":4,"name":"Milepost","value":"23.3491"},{"id":17,"name":"Train ID","value":"217-01"},{"id":16,"name":"Locomotive ID","value":"4028"},{"id":130,"name":"Impact","value":""},{"id":150,"name":"Time of Event (Mountain Time)","value":"18:51:58"},{"id":151,"name":"Denver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9" s="159"/>
      <c r="AA39" s="47"/>
      <c r="AB39" s="47"/>
      <c r="AC39" s="115" t="str">
        <f t="shared" si="7"/>
        <v>grep -hrE -A400 "Enforcement Action" /c/Users/stu/AppData/Local/Temp/OnboardLogs/RTDC4028 --include="*4028*201707020*" | grep -E "((Enforcement Ac)|(PRM))" -</v>
      </c>
      <c r="AD39" s="1" t="str">
        <f>"grep -hSE ""Enforcement Action"" "&amp;search_path&amp;"\RTDC"&amp;U39&amp;"\*"&amp;U39&amp;"*"&amp;TEXT(A39-utc_offset/24,"YYYYMMDD")&amp;LEFT(TEXT(A39-utc_offset/24,"HH"),1)&amp;"* &gt;&gt; "&amp;TEXT(Variables!$A$2,"YYYY-MM-DD")&amp;"-SliceDisagreementCheck.txt"</f>
        <v>grep -hSE "Enforcement Action" "%USERPROFILE%\AppData\Local\Temp\OnboardLogs"\RTDC4028\*4028*201707020* &gt;&gt; 2017-07-01-SliceDisagreementCheck.txt</v>
      </c>
      <c r="AE39" s="145" t="str">
        <f t="shared" si="9"/>
        <v>start /low /b %USERPROFILE%\Documents\GitHub\eaglep3\Utilities\DownloadLogsFromS3.py --loco 4028 --day 2017-07-02</v>
      </c>
      <c r="AF39" s="1"/>
    </row>
    <row r="40" spans="1:32" x14ac:dyDescent="0.25">
      <c r="A40" s="31">
        <v>42917.858020833337</v>
      </c>
      <c r="B40" s="30" t="s">
        <v>339</v>
      </c>
      <c r="C40" s="30" t="s">
        <v>668</v>
      </c>
      <c r="D40" s="30" t="s">
        <v>49</v>
      </c>
      <c r="E40" s="30" t="s">
        <v>181</v>
      </c>
      <c r="F40" s="42">
        <v>0</v>
      </c>
      <c r="G40" s="42">
        <v>160</v>
      </c>
      <c r="H40" s="42">
        <v>232800</v>
      </c>
      <c r="I40" s="42">
        <v>233048</v>
      </c>
      <c r="J40" s="30" t="s">
        <v>182</v>
      </c>
      <c r="K40" s="42">
        <v>233491</v>
      </c>
      <c r="L40" s="131" t="s">
        <v>50</v>
      </c>
      <c r="M40" s="132">
        <f t="shared" si="0"/>
        <v>233.904</v>
      </c>
      <c r="N40" s="133" t="str">
        <f>VLOOKUP(C40,'Trips&amp;Operators'!$C$1:$G$99999,5,FALSE)</f>
        <v>PERKINS DARREN</v>
      </c>
      <c r="O40" s="203" t="s">
        <v>180</v>
      </c>
      <c r="P40" s="134"/>
      <c r="Q40" s="30"/>
      <c r="R40" s="81" t="str">
        <f>VLOOKUP(C40,'Train Runs'!$A$13:$AE$9930,31,0)</f>
        <v>aws s3 cp s3://rtdc.mdm.uploadarchive.raw/RTDC4028/ "%USERPROFILE%\AppData\Local\Temp\OnboardLogs"\RTDC4028\2017-07-01 --exclude "*" --recursive --include "*20170701*" &amp; "%USERPROFILE%\Documents\GitHub\mrs-test-scripts\Headless Mode &amp; Sideloading\WalkAndUnGZ.bat" "%USERPROFILE%\AppData\Local\Temp\OnboardLogs"\RTDC4028\2017-07-01 &amp; aws s3 cp s3://rtdc.mdm.uploadarchive.raw/RTDC4028/ "%USERPROFILE%\AppData\Local\Temp\OnboardLogs"\RTDC4028\2017-07-02 --exclude "*" --recursive --include "*20170702*" &amp; "%USERPROFILE%\Documents\GitHub\mrs-test-scripts\Headless Mode &amp; Sideloading\WalkAndUnGZ.bat" "%USERPROFILE%\AppData\Local\Temp\OnboardLogs"\RTDC4028\2017-07-02</v>
      </c>
      <c r="S40" s="84" t="str">
        <f>VLOOKUP(C40,'Train Runs'!$A$13:$AE$9930,22,0)</f>
        <v>https://d0f6bd738d7f1b3e5a7ca70fe4ff75f0.us-east-1.aws.found.io/app/kibana#/discover/Steve-Slow-Train-Analysis-(2080s-and-2083s)?_g=(refreshInterval:(display:Off,pause:!f,section:0,value:0),time:(from:'2017-07-01T18:53:21-0600',mode:absolute,to:'2017-07-01T21:35:33-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T40" s="86" t="str">
        <f t="shared" si="1"/>
        <v>"C:\Program Files (x86)\AstroGrep\AstroGrep.exe" /e /r /s /spath="%USERPROFILE%\AppData\Local\Temp\OnboardLogs" /stypes="*4028*201707020*" /stext=" 02:.+((SYSTEM_STATE.+slice.+state.+changed )|(ment ac)|(multiple cpu faults)|(system.+state.+changed )|(\[timeout)|(PRM\|1\|D)|(kpr)|(kdp)|(train st.+moving)|(\|lc)|(penalty))"</v>
      </c>
      <c r="U40" s="9" t="str">
        <f t="shared" si="2"/>
        <v>4028</v>
      </c>
      <c r="V40" s="31">
        <f t="shared" si="3"/>
        <v>42918.108020833337</v>
      </c>
      <c r="W40" s="45" t="str">
        <f t="shared" si="4"/>
        <v>EC</v>
      </c>
      <c r="X40" s="22">
        <f t="shared" si="5"/>
        <v>225</v>
      </c>
      <c r="Y40" s="96" t="str">
        <f t="shared" si="6"/>
        <v>echo {"issue":{"subject":"","project_id":79,"tracker_id":40,"status_id":1,"priority_id":2,"assigned_to_id":23,"start_date":"2017-07-01","description":"","custom_fields":[{"id":1,"name":"Subdivision","value":"EC"},{"id":4,"name":"Milepost","value":"23.3491"},{"id":17,"name":"Train ID","value":"225-01"},{"id":16,"name":"Locomotive ID","value":"4028"},{"id":130,"name":"Impact","value":""},{"id":150,"name":"Time of Event (Mountain Time)","value":"20:35:33"},{"id":151,"name":"Denver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0" s="159"/>
      <c r="AA40" s="47"/>
      <c r="AB40" s="47"/>
      <c r="AC40" s="115" t="str">
        <f t="shared" si="7"/>
        <v>grep -hrE -A400 "Enforcement Action" /c/Users/stu/AppData/Local/Temp/OnboardLogs/RTDC4028 --include="*4028*201707020*" | grep -E "((Enforcement Ac)|(PRM))" -</v>
      </c>
      <c r="AD40" s="1" t="str">
        <f>"grep -hSE ""Enforcement Action"" "&amp;search_path&amp;"\RTDC"&amp;U40&amp;"\*"&amp;U40&amp;"*"&amp;TEXT(A40-utc_offset/24,"YYYYMMDD")&amp;LEFT(TEXT(A40-utc_offset/24,"HH"),1)&amp;"* &gt;&gt; "&amp;TEXT(Variables!$A$2,"YYYY-MM-DD")&amp;"-SliceDisagreementCheck.txt"</f>
        <v>grep -hSE "Enforcement Action" "%USERPROFILE%\AppData\Local\Temp\OnboardLogs"\RTDC4028\*4028*201707020* &gt;&gt; 2017-07-01-SliceDisagreementCheck.txt</v>
      </c>
      <c r="AE40" s="145" t="str">
        <f t="shared" si="9"/>
        <v>start /low /b %USERPROFILE%\Documents\GitHub\eaglep3\Utilities\DownloadLogsFromS3.py --loco 4028 --day 2017-07-02</v>
      </c>
      <c r="AF40" s="1"/>
    </row>
    <row r="41" spans="1:32" x14ac:dyDescent="0.25">
      <c r="A41" s="31">
        <v>42917.268599537034</v>
      </c>
      <c r="B41" s="30" t="s">
        <v>639</v>
      </c>
      <c r="C41" s="30" t="s">
        <v>640</v>
      </c>
      <c r="D41" s="30" t="s">
        <v>96</v>
      </c>
      <c r="E41" s="30" t="s">
        <v>200</v>
      </c>
      <c r="F41" s="42">
        <v>300</v>
      </c>
      <c r="G41" s="42">
        <v>359</v>
      </c>
      <c r="H41" s="42">
        <v>23750</v>
      </c>
      <c r="I41" s="42">
        <v>24824</v>
      </c>
      <c r="J41" s="30" t="s">
        <v>201</v>
      </c>
      <c r="K41" s="42">
        <v>21299</v>
      </c>
      <c r="L41" s="131" t="s">
        <v>50</v>
      </c>
      <c r="M41" s="132">
        <f t="shared" si="0"/>
        <v>-1861.2</v>
      </c>
      <c r="N41" s="133" t="str">
        <f>VLOOKUP(C41,'Trips&amp;Operators'!$C$1:$G$99999,5,FALSE)</f>
        <v>ROCHA YAOTL</v>
      </c>
      <c r="O41" s="203" t="s">
        <v>180</v>
      </c>
      <c r="P41" s="134"/>
      <c r="Q41" s="30"/>
      <c r="R41" s="81" t="str">
        <f>VLOOKUP(C41,'Train Runs'!$A$13:$AE$9930,31,0)</f>
        <v>aws s3 cp s3://rtdc.mdm.uploadarchive.raw/RTDC4006/ "%USERPROFILE%\AppData\Local\Temp\OnboardLogs"\RTDC4006\2017-07-01 --exclude "*" --recursive --include "*20170701*" &amp; "%USERPROFILE%\Documents\GitHub\mrs-test-scripts\Headless Mode &amp; Sideloading\WalkAndUnGZ.bat" "%USERPROFILE%\AppData\Local\Temp\OnboardLogs"\RTDC4006\2017-07-01 &amp; aws s3 cp s3://rtdc.mdm.uploadarchive.raw/RTDC4006/ "%USERPROFILE%\AppData\Local\Temp\OnboardLogs"\RTDC4006\2017-07-02 --exclude "*" --recursive --include "*20170702*" &amp; "%USERPROFILE%\Documents\GitHub\mrs-test-scripts\Headless Mode &amp; Sideloading\WalkAndUnGZ.bat" "%USERPROFILE%\AppData\Local\Temp\OnboardLogs"\RTDC4006\2017-07-02</v>
      </c>
      <c r="S41" s="84" t="str">
        <f>VLOOKUP(C41,'Train Runs'!$A$13:$AE$9930,22,0)</f>
        <v>https://d0f6bd738d7f1b3e5a7ca70fe4ff75f0.us-east-1.aws.found.io/app/kibana#/discover/Steve-Slow-Train-Analysis-(2080s-and-2083s)?_g=(refreshInterval:(display:Off,pause:!f,section:0,value:0),time:(from:'2017-07-01T05:16:28-0600',mode:absolute,to:'2017-07-01T07:35:10-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T41" s="86" t="str">
        <f t="shared" si="1"/>
        <v>"C:\Program Files (x86)\AstroGrep\AstroGrep.exe" /e /r /s /spath="%USERPROFILE%\AppData\Local\Temp\OnboardLogs" /stypes="*4006*201707011*" /stext=" 12:.+((SYSTEM_STATE.+slice.+state.+changed )|(ment ac)|(multiple cpu faults)|(system.+state.+changed )|(\[timeout)|(PRM\|1\|D)|(kpr)|(kdp)|(train st.+moving)|(\|lc)|(penalty))"</v>
      </c>
      <c r="U41" s="9" t="str">
        <f t="shared" si="2"/>
        <v>4006</v>
      </c>
      <c r="V41" s="31">
        <f t="shared" si="3"/>
        <v>42917.518599537034</v>
      </c>
      <c r="W41" s="45" t="str">
        <f t="shared" si="4"/>
        <v>NW</v>
      </c>
      <c r="X41" s="22">
        <f t="shared" si="5"/>
        <v>1801</v>
      </c>
      <c r="Y41" s="96" t="str">
        <f t="shared" si="6"/>
        <v>echo {"issue":{"subject":"","project_id":79,"tracker_id":40,"status_id":1,"priority_id":2,"assigned_to_id":23,"start_date":"2017-07-01","description":"","custom_fields":[{"id":1,"name":"Subdivision","value":"NW"},{"id":4,"name":"Milepost","value":"2.1299"},{"id":17,"name":"Train ID","value":"1801-01"},{"id":16,"name":"Locomotive ID","value":"4006"},{"id":130,"name":"Impact","value":""},{"id":150,"name":"Time of Event (Mountain Time)","value":"06:26:47"},{"id":151,"name":"Denver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1" s="159"/>
      <c r="AA41" s="47"/>
      <c r="AB41" s="47"/>
      <c r="AC41" s="115" t="str">
        <f t="shared" si="7"/>
        <v>grep -hrE -A400 "Enforcement Action" /c/Users/stu/AppData/Local/Temp/OnboardLogs/RTDC4006 --include="*4006*201707011*" | grep -E "((Enforcement Ac)|(PRM))" -</v>
      </c>
      <c r="AD41" s="1" t="str">
        <f>"grep -hSE ""Enforcement Action"" "&amp;search_path&amp;"\RTDC"&amp;U41&amp;"\*"&amp;U41&amp;"*"&amp;TEXT(A41-utc_offset/24,"YYYYMMDD")&amp;LEFT(TEXT(A41-utc_offset/24,"HH"),1)&amp;"* &gt;&gt; "&amp;TEXT(Variables!$A$2,"YYYY-MM-DD")&amp;"-SliceDisagreementCheck.txt"</f>
        <v>grep -hSE "Enforcement Action" "%USERPROFILE%\AppData\Local\Temp\OnboardLogs"\RTDC4006\*4006*201707011* &gt;&gt; 2017-07-01-SliceDisagreementCheck.txt</v>
      </c>
      <c r="AE41" s="145" t="str">
        <f t="shared" si="9"/>
        <v>start /low /b %USERPROFILE%\Documents\GitHub\eaglep3\Utilities\DownloadLogsFromS3.py --loco 4006 --day 2017-07-01</v>
      </c>
      <c r="AF41" s="1"/>
    </row>
    <row r="42" spans="1:32" x14ac:dyDescent="0.25">
      <c r="A42" s="31">
        <v>42917.538124999999</v>
      </c>
      <c r="B42" s="30" t="s">
        <v>651</v>
      </c>
      <c r="C42" s="30" t="s">
        <v>652</v>
      </c>
      <c r="D42" s="30" t="s">
        <v>49</v>
      </c>
      <c r="E42" s="30" t="s">
        <v>181</v>
      </c>
      <c r="F42" s="42">
        <v>0</v>
      </c>
      <c r="G42" s="42">
        <v>54</v>
      </c>
      <c r="H42" s="42">
        <v>762</v>
      </c>
      <c r="I42" s="42">
        <v>708</v>
      </c>
      <c r="J42" s="30" t="s">
        <v>182</v>
      </c>
      <c r="K42" s="42">
        <v>575</v>
      </c>
      <c r="L42" s="131" t="s">
        <v>51</v>
      </c>
      <c r="M42" s="132">
        <f t="shared" si="0"/>
        <v>70.224000000000004</v>
      </c>
      <c r="N42" s="133" t="str">
        <f>VLOOKUP(C42,'Trips&amp;Operators'!$C$1:$G$99999,5,FALSE)</f>
        <v>BROWN JACOB</v>
      </c>
      <c r="O42" s="203" t="s">
        <v>180</v>
      </c>
      <c r="P42" s="134"/>
      <c r="Q42" s="30"/>
      <c r="R42" s="81" t="str">
        <f>VLOOKUP(C42,'Train Runs'!$A$13:$AE$9930,31,0)</f>
        <v>aws s3 cp s3://rtdc.mdm.uploadarchive.raw/RTDC4005/ "%USERPROFILE%\AppData\Local\Temp\OnboardLogs"\RTDC4005\2017-07-01 --exclude "*" --recursive --include "*20170701*" &amp; "%USERPROFILE%\Documents\GitHub\mrs-test-scripts\Headless Mode &amp; Sideloading\WalkAndUnGZ.bat" "%USERPROFILE%\AppData\Local\Temp\OnboardLogs"\RTDC4005\2017-07-01 &amp; aws s3 cp s3://rtdc.mdm.uploadarchive.raw/RTDC4005/ "%USERPROFILE%\AppData\Local\Temp\OnboardLogs"\RTDC4005\2017-07-02 --exclude "*" --recursive --include "*20170702*" &amp; "%USERPROFILE%\Documents\GitHub\mrs-test-scripts\Headless Mode &amp; Sideloading\WalkAndUnGZ.bat" "%USERPROFILE%\AppData\Local\Temp\OnboardLogs"\RTDC4005\2017-07-02</v>
      </c>
      <c r="S42" s="84" t="str">
        <f>VLOOKUP(C42,'Train Runs'!$A$13:$AE$9930,22,0)</f>
        <v>https://d0f6bd738d7f1b3e5a7ca70fe4ff75f0.us-east-1.aws.found.io/app/kibana#/discover/Steve-Slow-Train-Analysis-(2080s-and-2083s)?_g=(refreshInterval:(display:Off,pause:!f,section:0,value:0),time:(from:'2017-07-01T11:37:07-0600',mode:absolute,to:'2017-07-01T13:54:53-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T42" s="86" t="str">
        <f t="shared" si="1"/>
        <v>"C:\Program Files (x86)\AstroGrep\AstroGrep.exe" /e /r /s /spath="%USERPROFILE%\AppData\Local\Temp\OnboardLogs" /stypes="*4005*201707011*" /stext=" 18:.+((SYSTEM_STATE.+slice.+state.+changed )|(ment ac)|(multiple cpu faults)|(system.+state.+changed )|(\[timeout)|(PRM\|1\|D)|(kpr)|(kdp)|(train st.+moving)|(\|lc)|(penalty))"</v>
      </c>
      <c r="U42" s="9" t="str">
        <f t="shared" si="2"/>
        <v>4005</v>
      </c>
      <c r="V42" s="31">
        <f t="shared" si="3"/>
        <v>42917.788124999999</v>
      </c>
      <c r="W42" s="45" t="str">
        <f t="shared" si="4"/>
        <v>NW</v>
      </c>
      <c r="X42" s="22">
        <f t="shared" si="5"/>
        <v>1814</v>
      </c>
      <c r="Y42" s="96" t="str">
        <f t="shared" si="6"/>
        <v>echo {"issue":{"subject":"","project_id":79,"tracker_id":40,"status_id":1,"priority_id":2,"assigned_to_id":23,"start_date":"2017-07-01","description":"","custom_fields":[{"id":1,"name":"Subdivision","value":"NW"},{"id":4,"name":"Milepost","value":"0.0575"},{"id":17,"name":"Train ID","value":"1814-01"},{"id":16,"name":"Locomotive ID","value":"4005"},{"id":130,"name":"Impact","value":""},{"id":150,"name":"Time of Event (Mountain Time)","value":"12:54:54"},{"id":151,"name":"Denver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2" s="159"/>
      <c r="AA42" s="47"/>
      <c r="AB42" s="47"/>
      <c r="AC42" s="115" t="str">
        <f t="shared" si="7"/>
        <v>grep -hrE -A400 "Enforcement Action" /c/Users/stu/AppData/Local/Temp/OnboardLogs/RTDC4005 --include="*4005*201707011*" | grep -E "((Enforcement Ac)|(PRM))" -</v>
      </c>
      <c r="AD42" s="1" t="str">
        <f>"grep -hSE ""Enforcement Action"" "&amp;search_path&amp;"\RTDC"&amp;U42&amp;"\*"&amp;U42&amp;"*"&amp;TEXT(A42-utc_offset/24,"YYYYMMDD")&amp;LEFT(TEXT(A42-utc_offset/24,"HH"),1)&amp;"* &gt;&gt; "&amp;TEXT(Variables!$A$2,"YYYY-MM-DD")&amp;"-SliceDisagreementCheck.txt"</f>
        <v>grep -hSE "Enforcement Action" "%USERPROFILE%\AppData\Local\Temp\OnboardLogs"\RTDC4005\*4005*201707011* &gt;&gt; 2017-07-01-SliceDisagreementCheck.txt</v>
      </c>
      <c r="AE42" s="145" t="str">
        <f t="shared" si="9"/>
        <v>start /low /b %USERPROFILE%\Documents\GitHub\eaglep3\Utilities\DownloadLogsFromS3.py --loco 4005 --day 2017-07-01</v>
      </c>
      <c r="AF42" s="1"/>
    </row>
    <row r="43" spans="1:32" x14ac:dyDescent="0.25">
      <c r="A43" s="31">
        <v>42917.357997685183</v>
      </c>
      <c r="B43" s="30" t="s">
        <v>639</v>
      </c>
      <c r="C43" s="30" t="s">
        <v>644</v>
      </c>
      <c r="D43" s="30" t="s">
        <v>49</v>
      </c>
      <c r="E43" s="30" t="s">
        <v>181</v>
      </c>
      <c r="F43" s="42">
        <v>0</v>
      </c>
      <c r="G43" s="42">
        <v>29</v>
      </c>
      <c r="H43" s="42">
        <v>58980</v>
      </c>
      <c r="I43" s="42">
        <v>58993</v>
      </c>
      <c r="J43" s="30" t="s">
        <v>182</v>
      </c>
      <c r="K43" s="42">
        <v>59048</v>
      </c>
      <c r="L43" s="131" t="s">
        <v>50</v>
      </c>
      <c r="M43" s="132">
        <f t="shared" si="0"/>
        <v>29.04</v>
      </c>
      <c r="N43" s="133" t="str">
        <f>VLOOKUP(C43,'Trips&amp;Operators'!$C$1:$G$99999,5,FALSE)</f>
        <v>ROCHA YAOTL</v>
      </c>
      <c r="O43" s="203" t="s">
        <v>180</v>
      </c>
      <c r="P43" s="134"/>
      <c r="Q43" s="30"/>
      <c r="R43" s="81" t="str">
        <f>VLOOKUP(C43,'Train Runs'!$A$13:$AE$9930,31,0)</f>
        <v>aws s3 cp s3://rtdc.mdm.uploadarchive.raw/RTDC4006/ "%USERPROFILE%\AppData\Local\Temp\OnboardLogs"\RTDC4006\2017-07-01 --exclude "*" --recursive --include "*20170701*" &amp; "%USERPROFILE%\Documents\GitHub\mrs-test-scripts\Headless Mode &amp; Sideloading\WalkAndUnGZ.bat" "%USERPROFILE%\AppData\Local\Temp\OnboardLogs"\RTDC4006\2017-07-01 &amp; aws s3 cp s3://rtdc.mdm.uploadarchive.raw/RTDC4006/ "%USERPROFILE%\AppData\Local\Temp\OnboardLogs"\RTDC4006\2017-07-02 --exclude "*" --recursive --include "*20170702*" &amp; "%USERPROFILE%\Documents\GitHub\mrs-test-scripts\Headless Mode &amp; Sideloading\WalkAndUnGZ.bat" "%USERPROFILE%\AppData\Local\Temp\OnboardLogs"\RTDC4006\2017-07-02</v>
      </c>
      <c r="S43" s="84" t="str">
        <f>VLOOKUP(C43,'Train Runs'!$A$13:$AE$9930,22,0)</f>
        <v>https://d0f6bd738d7f1b3e5a7ca70fe4ff75f0.us-east-1.aws.found.io/app/kibana#/discover/Steve-Slow-Train-Analysis-(2080s-and-2083s)?_g=(refreshInterval:(display:Off,pause:!f,section:0,value:0),time:(from:'2017-07-01T06:57:28-0600',mode:absolute,to:'2017-07-01T09:35:31-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T43" s="86" t="str">
        <f t="shared" si="1"/>
        <v>"C:\Program Files (x86)\AstroGrep\AstroGrep.exe" /e /r /s /spath="%USERPROFILE%\AppData\Local\Temp\OnboardLogs" /stypes="*4006*201707011*" /stext=" 14:.+((SYSTEM_STATE.+slice.+state.+changed )|(ment ac)|(multiple cpu faults)|(system.+state.+changed )|(\[timeout)|(PRM\|1\|D)|(kpr)|(kdp)|(train st.+moving)|(\|lc)|(penalty))"</v>
      </c>
      <c r="U43" s="9" t="str">
        <f t="shared" si="2"/>
        <v>4006</v>
      </c>
      <c r="V43" s="31">
        <f t="shared" si="3"/>
        <v>42917.607997685183</v>
      </c>
      <c r="W43" s="45" t="str">
        <f t="shared" si="4"/>
        <v>NW</v>
      </c>
      <c r="X43" s="22">
        <f t="shared" si="5"/>
        <v>1805</v>
      </c>
      <c r="Y43" s="96" t="str">
        <f t="shared" si="6"/>
        <v>echo {"issue":{"subject":"","project_id":79,"tracker_id":40,"status_id":1,"priority_id":2,"assigned_to_id":23,"start_date":"2017-07-01","description":"","custom_fields":[{"id":1,"name":"Subdivision","value":"NW"},{"id":4,"name":"Milepost","value":"5.9048"},{"id":17,"name":"Train ID","value":"1805-01"},{"id":16,"name":"Locomotive ID","value":"4006"},{"id":130,"name":"Impact","value":""},{"id":150,"name":"Time of Event (Mountain Time)","value":"08:35:31"},{"id":151,"name":"Denver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3" s="159"/>
      <c r="AA43" s="47"/>
      <c r="AB43" s="47"/>
      <c r="AC43" s="115" t="str">
        <f t="shared" si="7"/>
        <v>grep -hrE -A400 "Enforcement Action" /c/Users/stu/AppData/Local/Temp/OnboardLogs/RTDC4006 --include="*4006*201707011*" | grep -E "((Enforcement Ac)|(PRM))" -</v>
      </c>
      <c r="AD43" s="1" t="str">
        <f>"grep -hSE ""Enforcement Action"" "&amp;search_path&amp;"\RTDC"&amp;U43&amp;"\*"&amp;U43&amp;"*"&amp;TEXT(A43-utc_offset/24,"YYYYMMDD")&amp;LEFT(TEXT(A43-utc_offset/24,"HH"),1)&amp;"* &gt;&gt; "&amp;TEXT(Variables!$A$2,"YYYY-MM-DD")&amp;"-SliceDisagreementCheck.txt"</f>
        <v>grep -hSE "Enforcement Action" "%USERPROFILE%\AppData\Local\Temp\OnboardLogs"\RTDC4006\*4006*201707011* &gt;&gt; 2017-07-01-SliceDisagreementCheck.txt</v>
      </c>
      <c r="AE43" s="145" t="str">
        <f t="shared" si="9"/>
        <v>start /low /b %USERPROFILE%\Documents\GitHub\eaglep3\Utilities\DownloadLogsFromS3.py --loco 4006 --day 2017-07-01</v>
      </c>
      <c r="AF43" s="1"/>
    </row>
    <row r="44" spans="1:32" x14ac:dyDescent="0.25">
      <c r="A44" s="31">
        <v>42917.754513888889</v>
      </c>
      <c r="B44" s="30" t="s">
        <v>396</v>
      </c>
      <c r="C44" s="30" t="s">
        <v>664</v>
      </c>
      <c r="D44" s="30" t="s">
        <v>96</v>
      </c>
      <c r="E44" s="30" t="s">
        <v>361</v>
      </c>
      <c r="F44" s="42">
        <v>0</v>
      </c>
      <c r="G44" s="42">
        <v>30</v>
      </c>
      <c r="H44" s="42">
        <v>1727</v>
      </c>
      <c r="I44" s="42">
        <v>1781</v>
      </c>
      <c r="J44" s="30" t="s">
        <v>362</v>
      </c>
      <c r="K44" s="42">
        <v>1692</v>
      </c>
      <c r="L44" s="131" t="s">
        <v>50</v>
      </c>
      <c r="M44" s="132">
        <f t="shared" si="0"/>
        <v>-46.991999999999997</v>
      </c>
      <c r="N44" s="133" t="str">
        <f>VLOOKUP(C44,'Trips&amp;Operators'!$C$1:$G$99999,5,FALSE)</f>
        <v>BERLING GARY</v>
      </c>
      <c r="O44" s="203" t="s">
        <v>180</v>
      </c>
      <c r="P44" s="134"/>
      <c r="Q44" s="30"/>
      <c r="R44" s="81" t="str">
        <f>VLOOKUP(C44,'Train Runs'!$A$13:$AE$9930,31,0)</f>
        <v>aws s3 cp s3://rtdc.mdm.uploadarchive.raw/RTDC4050/ "%USERPROFILE%\AppData\Local\Temp\OnboardLogs"\RTDC4050\2017-07-01 --exclude "*" --recursive --include "*20170701*" &amp; "%USERPROFILE%\Documents\GitHub\mrs-test-scripts\Headless Mode &amp; Sideloading\WalkAndUnGZ.bat" "%USERPROFILE%\AppData\Local\Temp\OnboardLogs"\RTDC4050\2017-07-01 &amp; aws s3 cp s3://rtdc.mdm.uploadarchive.raw/RTDC4050/ "%USERPROFILE%\AppData\Local\Temp\OnboardLogs"\RTDC4050\2017-07-02 --exclude "*" --recursive --include "*20170702*" &amp; "%USERPROFILE%\Documents\GitHub\mrs-test-scripts\Headless Mode &amp; Sideloading\WalkAndUnGZ.bat" "%USERPROFILE%\AppData\Local\Temp\OnboardLogs"\RTDC4050\2017-07-02</v>
      </c>
      <c r="S44" s="84" t="str">
        <f>VLOOKUP(C44,'Train Runs'!$A$13:$AE$9930,22,0)</f>
        <v>https://d0f6bd738d7f1b3e5a7ca70fe4ff75f0.us-east-1.aws.found.io/app/kibana#/discover/Steve-Slow-Train-Analysis-(2080s-and-2083s)?_g=(refreshInterval:(display:Off,pause:!f,section:0,value:0),time:(from:'2017-07-01T16:01:09-0600',mode:absolute,to:'2017-07-01T19:07:00-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4050%22')),sort:!(Time.ISO8601,asc))</v>
      </c>
      <c r="T44" s="86" t="str">
        <f t="shared" si="1"/>
        <v>"C:\Program Files (x86)\AstroGrep\AstroGrep.exe" /e /r /s /spath="%USERPROFILE%\AppData\Local\Temp\OnboardLogs" /stypes="*4050*201707020*" /stext=" 00:.+((SYSTEM_STATE.+slice.+state.+changed )|(ment ac)|(multiple cpu faults)|(system.+state.+changed )|(\[timeout)|(PRM\|1\|D)|(kpr)|(kdp)|(train st.+moving)|(\|lc)|(penalty))"</v>
      </c>
      <c r="U44" s="9" t="str">
        <f t="shared" si="2"/>
        <v>4050</v>
      </c>
      <c r="V44" s="31">
        <f t="shared" si="3"/>
        <v>42918.004513888889</v>
      </c>
      <c r="W44" s="45" t="str">
        <f t="shared" si="4"/>
        <v>Shuttle/Test</v>
      </c>
      <c r="X44" s="22">
        <f t="shared" si="5"/>
        <v>51</v>
      </c>
      <c r="Y44" s="96" t="str">
        <f t="shared" si="6"/>
        <v>echo {"issue":{"subject":"","project_id":79,"tracker_id":40,"status_id":1,"priority_id":2,"assigned_to_id":23,"start_date":"2017-07-01","description":"","custom_fields":[{"id":1,"name":"Subdivision","value":"Shuttle/Test"},{"id":4,"name":"Milepost","value":"0.1692"},{"id":17,"name":"Train ID","value":"51-01"},{"id":16,"name":"Locomotive ID","value":"4050"},{"id":130,"name":"Impact","value":""},{"id":150,"name":"Time of Event (Mountain Time)","value":"18:06:30"},{"id":151,"name":"Denver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4" s="159"/>
      <c r="AA44" s="47"/>
      <c r="AB44" s="47"/>
      <c r="AC44" s="115" t="str">
        <f t="shared" si="7"/>
        <v>grep -hrE -A400 "Enforcement Action" /c/Users/stu/AppData/Local/Temp/OnboardLogs/RTDC4050 --include="*4050*201707020*" | grep -E "((Enforcement Ac)|(PRM))" -</v>
      </c>
      <c r="AD44" s="1" t="str">
        <f>"grep -hSE ""Enforcement Action"" "&amp;search_path&amp;"\RTDC"&amp;U44&amp;"\*"&amp;U44&amp;"*"&amp;TEXT(A44-utc_offset/24,"YYYYMMDD")&amp;LEFT(TEXT(A44-utc_offset/24,"HH"),1)&amp;"* &gt;&gt; "&amp;TEXT(Variables!$A$2,"YYYY-MM-DD")&amp;"-SliceDisagreementCheck.txt"</f>
        <v>grep -hSE "Enforcement Action" "%USERPROFILE%\AppData\Local\Temp\OnboardLogs"\RTDC4050\*4050*201707020* &gt;&gt; 2017-07-01-SliceDisagreementCheck.txt</v>
      </c>
      <c r="AE44" s="145" t="str">
        <f t="shared" si="9"/>
        <v>start /low /b %USERPROFILE%\Documents\GitHub\eaglep3\Utilities\DownloadLogsFromS3.py --loco 4050 --day 2017-07-02</v>
      </c>
      <c r="AF44" s="1"/>
    </row>
    <row r="45" spans="1:32" x14ac:dyDescent="0.25">
      <c r="A45" s="31">
        <v>42917.754872685182</v>
      </c>
      <c r="B45" s="30" t="s">
        <v>396</v>
      </c>
      <c r="C45" s="30" t="s">
        <v>664</v>
      </c>
      <c r="D45" s="30" t="s">
        <v>96</v>
      </c>
      <c r="E45" s="30" t="s">
        <v>361</v>
      </c>
      <c r="F45" s="42">
        <v>0</v>
      </c>
      <c r="G45" s="42">
        <v>27</v>
      </c>
      <c r="H45" s="42">
        <v>1792</v>
      </c>
      <c r="I45" s="42">
        <v>1823</v>
      </c>
      <c r="J45" s="30" t="s">
        <v>362</v>
      </c>
      <c r="K45" s="42">
        <v>1692</v>
      </c>
      <c r="L45" s="131" t="s">
        <v>50</v>
      </c>
      <c r="M45" s="132">
        <f t="shared" si="0"/>
        <v>-69.168000000000006</v>
      </c>
      <c r="N45" s="133" t="str">
        <f>VLOOKUP(C45,'Trips&amp;Operators'!$C$1:$G$99999,5,FALSE)</f>
        <v>BERLING GARY</v>
      </c>
      <c r="O45" s="203" t="s">
        <v>180</v>
      </c>
      <c r="P45" s="134"/>
      <c r="Q45" s="30"/>
      <c r="R45" s="81" t="str">
        <f>VLOOKUP(C45,'Train Runs'!$A$13:$AE$9930,31,0)</f>
        <v>aws s3 cp s3://rtdc.mdm.uploadarchive.raw/RTDC4050/ "%USERPROFILE%\AppData\Local\Temp\OnboardLogs"\RTDC4050\2017-07-01 --exclude "*" --recursive --include "*20170701*" &amp; "%USERPROFILE%\Documents\GitHub\mrs-test-scripts\Headless Mode &amp; Sideloading\WalkAndUnGZ.bat" "%USERPROFILE%\AppData\Local\Temp\OnboardLogs"\RTDC4050\2017-07-01 &amp; aws s3 cp s3://rtdc.mdm.uploadarchive.raw/RTDC4050/ "%USERPROFILE%\AppData\Local\Temp\OnboardLogs"\RTDC4050\2017-07-02 --exclude "*" --recursive --include "*20170702*" &amp; "%USERPROFILE%\Documents\GitHub\mrs-test-scripts\Headless Mode &amp; Sideloading\WalkAndUnGZ.bat" "%USERPROFILE%\AppData\Local\Temp\OnboardLogs"\RTDC4050\2017-07-02</v>
      </c>
      <c r="S45" s="84" t="str">
        <f>VLOOKUP(C45,'Train Runs'!$A$13:$AE$9930,22,0)</f>
        <v>https://d0f6bd738d7f1b3e5a7ca70fe4ff75f0.us-east-1.aws.found.io/app/kibana#/discover/Steve-Slow-Train-Analysis-(2080s-and-2083s)?_g=(refreshInterval:(display:Off,pause:!f,section:0,value:0),time:(from:'2017-07-01T16:01:09-0600',mode:absolute,to:'2017-07-01T19:07:00-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4050%22')),sort:!(Time.ISO8601,asc))</v>
      </c>
      <c r="T45" s="86" t="str">
        <f t="shared" si="1"/>
        <v>"C:\Program Files (x86)\AstroGrep\AstroGrep.exe" /e /r /s /spath="%USERPROFILE%\AppData\Local\Temp\OnboardLogs" /stypes="*4050*201707020*" /stext=" 00:.+((SYSTEM_STATE.+slice.+state.+changed )|(ment ac)|(multiple cpu faults)|(system.+state.+changed )|(\[timeout)|(PRM\|1\|D)|(kpr)|(kdp)|(train st.+moving)|(\|lc)|(penalty))"</v>
      </c>
      <c r="U45" s="9" t="str">
        <f t="shared" si="2"/>
        <v>4050</v>
      </c>
      <c r="V45" s="31">
        <f t="shared" si="3"/>
        <v>42918.004872685182</v>
      </c>
      <c r="W45" s="45" t="str">
        <f t="shared" si="4"/>
        <v>Shuttle/Test</v>
      </c>
      <c r="X45" s="22">
        <f t="shared" si="5"/>
        <v>51</v>
      </c>
      <c r="Y45" s="96" t="str">
        <f t="shared" si="6"/>
        <v>echo {"issue":{"subject":"","project_id":79,"tracker_id":40,"status_id":1,"priority_id":2,"assigned_to_id":23,"start_date":"2017-07-01","description":"","custom_fields":[{"id":1,"name":"Subdivision","value":"Shuttle/Test"},{"id":4,"name":"Milepost","value":"0.1692"},{"id":17,"name":"Train ID","value":"51-01"},{"id":16,"name":"Locomotive ID","value":"4050"},{"id":130,"name":"Impact","value":""},{"id":150,"name":"Time of Event (Mountain Time)","value":"18:07:01"},{"id":151,"name":"Denver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5" s="159"/>
      <c r="AA45" s="47"/>
      <c r="AB45" s="47"/>
      <c r="AC45" s="115" t="str">
        <f t="shared" si="7"/>
        <v>grep -hrE -A400 "Enforcement Action" /c/Users/stu/AppData/Local/Temp/OnboardLogs/RTDC4050 --include="*4050*201707020*" | grep -E "((Enforcement Ac)|(PRM))" -</v>
      </c>
      <c r="AD45" s="1" t="str">
        <f>"grep -hSE ""Enforcement Action"" "&amp;search_path&amp;"\RTDC"&amp;U45&amp;"\*"&amp;U45&amp;"*"&amp;TEXT(A45-utc_offset/24,"YYYYMMDD")&amp;LEFT(TEXT(A45-utc_offset/24,"HH"),1)&amp;"* &gt;&gt; "&amp;TEXT(Variables!$A$2,"YYYY-MM-DD")&amp;"-SliceDisagreementCheck.txt"</f>
        <v>grep -hSE "Enforcement Action" "%USERPROFILE%\AppData\Local\Temp\OnboardLogs"\RTDC4050\*4050*201707020* &gt;&gt; 2017-07-01-SliceDisagreementCheck.txt</v>
      </c>
      <c r="AE45" s="145" t="str">
        <f t="shared" si="9"/>
        <v>start /low /b %USERPROFILE%\Documents\GitHub\eaglep3\Utilities\DownloadLogsFromS3.py --loco 4050 --day 2017-07-02</v>
      </c>
      <c r="AF45" s="1"/>
    </row>
    <row r="46" spans="1:32" x14ac:dyDescent="0.25">
      <c r="A46"/>
      <c r="D46"/>
      <c r="E46"/>
      <c r="F46"/>
      <c r="G46"/>
      <c r="H46"/>
      <c r="I46"/>
      <c r="J46"/>
      <c r="K46"/>
      <c r="L46"/>
      <c r="M46"/>
      <c r="N46"/>
      <c r="O46"/>
      <c r="P46"/>
      <c r="R46"/>
      <c r="S46"/>
      <c r="T46"/>
      <c r="V46"/>
      <c r="X46"/>
      <c r="Z46"/>
      <c r="AC46"/>
      <c r="AE46"/>
    </row>
    <row r="47" spans="1:32" x14ac:dyDescent="0.25">
      <c r="A47"/>
      <c r="D47"/>
      <c r="E47"/>
      <c r="F47"/>
      <c r="G47"/>
      <c r="H47"/>
      <c r="I47"/>
      <c r="J47"/>
      <c r="K47"/>
      <c r="L47"/>
      <c r="M47"/>
      <c r="N47"/>
      <c r="O47"/>
      <c r="P47"/>
      <c r="R47"/>
      <c r="S47"/>
      <c r="T47"/>
      <c r="V47"/>
      <c r="X47"/>
      <c r="Z47"/>
      <c r="AC47"/>
      <c r="AE47"/>
    </row>
    <row r="48" spans="1:32" x14ac:dyDescent="0.25">
      <c r="A48"/>
      <c r="D48"/>
      <c r="E48"/>
      <c r="F48"/>
      <c r="G48"/>
      <c r="H48"/>
      <c r="I48"/>
      <c r="J48"/>
      <c r="K48"/>
      <c r="L48"/>
      <c r="M48"/>
      <c r="N48"/>
      <c r="O48"/>
      <c r="P48"/>
      <c r="R48"/>
      <c r="S48"/>
      <c r="T48"/>
      <c r="V48"/>
      <c r="X48"/>
      <c r="Z48"/>
      <c r="AC48"/>
      <c r="AE48"/>
    </row>
    <row r="49" spans="1:31" x14ac:dyDescent="0.25">
      <c r="A49"/>
      <c r="D49"/>
      <c r="E49"/>
      <c r="F49"/>
      <c r="G49"/>
      <c r="H49"/>
      <c r="I49"/>
      <c r="J49"/>
      <c r="K49"/>
      <c r="L49"/>
      <c r="M49"/>
      <c r="N49"/>
      <c r="O49"/>
      <c r="P49"/>
      <c r="R49"/>
      <c r="S49"/>
      <c r="T49"/>
      <c r="V49"/>
      <c r="X49"/>
      <c r="Z49"/>
      <c r="AC49"/>
      <c r="AE49"/>
    </row>
    <row r="50" spans="1:31" x14ac:dyDescent="0.25">
      <c r="A50"/>
      <c r="D50"/>
      <c r="E50"/>
      <c r="F50"/>
      <c r="G50"/>
      <c r="H50"/>
      <c r="I50"/>
      <c r="J50"/>
      <c r="K50"/>
      <c r="L50"/>
      <c r="M50"/>
      <c r="N50"/>
      <c r="O50"/>
      <c r="P50"/>
      <c r="R50"/>
      <c r="S50"/>
      <c r="T50"/>
      <c r="V50"/>
      <c r="X50"/>
      <c r="Z50"/>
      <c r="AC50"/>
      <c r="AE50"/>
    </row>
    <row r="51" spans="1:31" x14ac:dyDescent="0.25">
      <c r="A51"/>
      <c r="D51"/>
      <c r="E51"/>
      <c r="F51"/>
      <c r="G51"/>
      <c r="H51"/>
      <c r="I51"/>
      <c r="J51"/>
      <c r="K51"/>
      <c r="L51"/>
      <c r="M51"/>
      <c r="N51"/>
      <c r="O51"/>
      <c r="P51"/>
      <c r="R51"/>
      <c r="S51"/>
      <c r="T51"/>
      <c r="V51"/>
      <c r="X51"/>
      <c r="Z51"/>
      <c r="AC51"/>
      <c r="AE51"/>
    </row>
    <row r="52" spans="1:31" x14ac:dyDescent="0.25">
      <c r="A52"/>
      <c r="D52"/>
      <c r="E52"/>
      <c r="F52"/>
      <c r="G52"/>
      <c r="H52"/>
      <c r="I52"/>
      <c r="J52"/>
      <c r="K52"/>
      <c r="L52"/>
      <c r="M52"/>
      <c r="N52"/>
      <c r="O52"/>
      <c r="P52"/>
      <c r="R52"/>
      <c r="S52"/>
      <c r="T52"/>
      <c r="V52"/>
      <c r="X52"/>
      <c r="Z52"/>
      <c r="AC52"/>
      <c r="AE52"/>
    </row>
    <row r="53" spans="1:31" x14ac:dyDescent="0.25">
      <c r="A53"/>
      <c r="D53"/>
      <c r="E53"/>
      <c r="F53"/>
      <c r="G53"/>
      <c r="H53"/>
      <c r="I53"/>
      <c r="J53"/>
      <c r="K53"/>
      <c r="L53"/>
      <c r="M53"/>
      <c r="N53"/>
      <c r="O53"/>
      <c r="P53"/>
      <c r="R53"/>
      <c r="S53"/>
      <c r="T53"/>
      <c r="V53"/>
      <c r="X53"/>
      <c r="Z53"/>
      <c r="AC53"/>
      <c r="AE53"/>
    </row>
    <row r="54" spans="1:31" x14ac:dyDescent="0.25">
      <c r="A54"/>
      <c r="D54"/>
      <c r="E54"/>
      <c r="F54"/>
      <c r="G54"/>
      <c r="H54"/>
      <c r="I54"/>
      <c r="J54"/>
      <c r="K54"/>
      <c r="L54"/>
      <c r="M54"/>
      <c r="N54"/>
      <c r="O54"/>
      <c r="P54"/>
      <c r="R54"/>
      <c r="S54"/>
      <c r="T54"/>
      <c r="V54"/>
      <c r="X54"/>
      <c r="Z54"/>
      <c r="AC54"/>
      <c r="AE54"/>
    </row>
    <row r="55" spans="1:31" x14ac:dyDescent="0.25">
      <c r="A55"/>
      <c r="D55"/>
      <c r="E55"/>
      <c r="F55"/>
      <c r="G55"/>
      <c r="H55"/>
      <c r="I55"/>
      <c r="J55"/>
      <c r="K55"/>
      <c r="L55"/>
      <c r="M55"/>
      <c r="N55"/>
      <c r="O55"/>
      <c r="P55"/>
      <c r="R55"/>
      <c r="S55"/>
      <c r="T55"/>
      <c r="V55"/>
      <c r="X55"/>
      <c r="Z55"/>
      <c r="AC55"/>
      <c r="AE55"/>
    </row>
    <row r="56" spans="1:31" x14ac:dyDescent="0.25">
      <c r="A56"/>
      <c r="D56"/>
      <c r="E56"/>
      <c r="F56"/>
      <c r="G56"/>
      <c r="H56"/>
      <c r="I56"/>
      <c r="J56"/>
      <c r="K56"/>
      <c r="L56"/>
      <c r="M56"/>
      <c r="N56"/>
      <c r="O56"/>
      <c r="P56"/>
      <c r="R56"/>
      <c r="S56"/>
      <c r="T56"/>
      <c r="V56"/>
      <c r="X56"/>
      <c r="Z56"/>
      <c r="AC56"/>
      <c r="AE56"/>
    </row>
    <row r="57" spans="1:31" x14ac:dyDescent="0.25">
      <c r="A57"/>
      <c r="D57"/>
      <c r="E57"/>
      <c r="F57"/>
      <c r="G57"/>
      <c r="H57"/>
      <c r="I57"/>
      <c r="J57"/>
      <c r="K57"/>
      <c r="L57"/>
      <c r="M57"/>
      <c r="N57"/>
      <c r="O57"/>
      <c r="P57"/>
      <c r="R57"/>
      <c r="S57"/>
      <c r="T57"/>
      <c r="V57"/>
      <c r="X57"/>
      <c r="Z57"/>
      <c r="AC57"/>
      <c r="AE57"/>
    </row>
    <row r="58" spans="1:31" x14ac:dyDescent="0.25">
      <c r="A58"/>
      <c r="D58"/>
      <c r="E58"/>
      <c r="F58"/>
      <c r="G58"/>
      <c r="H58"/>
      <c r="I58"/>
      <c r="J58"/>
      <c r="K58"/>
      <c r="L58"/>
      <c r="M58"/>
      <c r="N58"/>
      <c r="O58"/>
      <c r="P58"/>
      <c r="R58"/>
      <c r="S58"/>
      <c r="T58"/>
      <c r="V58"/>
      <c r="X58"/>
      <c r="Z58"/>
      <c r="AC58"/>
      <c r="AE58"/>
    </row>
    <row r="59" spans="1:31" x14ac:dyDescent="0.25">
      <c r="A59"/>
      <c r="D59"/>
      <c r="E59"/>
      <c r="F59"/>
      <c r="G59"/>
      <c r="H59"/>
      <c r="I59"/>
      <c r="J59"/>
      <c r="K59"/>
      <c r="L59"/>
      <c r="M59"/>
      <c r="N59"/>
      <c r="O59"/>
      <c r="P59"/>
      <c r="R59"/>
      <c r="S59"/>
      <c r="T59"/>
      <c r="V59"/>
      <c r="X59"/>
      <c r="Z59"/>
      <c r="AC59"/>
      <c r="AE59"/>
    </row>
    <row r="60" spans="1:31" x14ac:dyDescent="0.25">
      <c r="A60"/>
      <c r="D60"/>
      <c r="E60"/>
      <c r="F60"/>
      <c r="G60"/>
      <c r="H60"/>
      <c r="I60"/>
      <c r="J60"/>
      <c r="K60"/>
      <c r="L60"/>
      <c r="M60"/>
      <c r="N60"/>
      <c r="O60"/>
      <c r="P60"/>
      <c r="R60"/>
      <c r="S60"/>
      <c r="T60"/>
      <c r="V60"/>
      <c r="X60"/>
      <c r="Z60"/>
      <c r="AC60"/>
      <c r="AE60"/>
    </row>
    <row r="61" spans="1:31" x14ac:dyDescent="0.25">
      <c r="A61"/>
      <c r="D61"/>
      <c r="E61"/>
      <c r="F61"/>
      <c r="G61"/>
      <c r="H61"/>
      <c r="I61"/>
      <c r="J61"/>
      <c r="K61"/>
      <c r="L61"/>
      <c r="M61"/>
      <c r="N61"/>
      <c r="O61"/>
      <c r="P61"/>
      <c r="R61"/>
      <c r="S61"/>
      <c r="T61"/>
      <c r="V61"/>
      <c r="X61"/>
      <c r="Z61"/>
      <c r="AC61"/>
      <c r="AE61"/>
    </row>
    <row r="62" spans="1:31" x14ac:dyDescent="0.25">
      <c r="A62"/>
      <c r="D62"/>
      <c r="E62"/>
      <c r="F62"/>
      <c r="G62"/>
      <c r="H62"/>
      <c r="I62"/>
      <c r="J62"/>
      <c r="K62"/>
      <c r="L62"/>
      <c r="M62"/>
      <c r="N62"/>
      <c r="O62"/>
      <c r="P62"/>
      <c r="R62"/>
      <c r="S62"/>
      <c r="T62"/>
      <c r="V62"/>
      <c r="X62"/>
      <c r="Z62"/>
      <c r="AC62"/>
      <c r="AE62"/>
    </row>
    <row r="63" spans="1:31" x14ac:dyDescent="0.25">
      <c r="A63"/>
      <c r="D63"/>
      <c r="E63"/>
      <c r="F63"/>
      <c r="G63"/>
      <c r="H63"/>
      <c r="I63"/>
      <c r="J63"/>
      <c r="K63"/>
      <c r="L63"/>
      <c r="M63"/>
      <c r="N63"/>
      <c r="O63"/>
      <c r="P63"/>
      <c r="R63"/>
      <c r="S63"/>
      <c r="T63"/>
      <c r="V63"/>
      <c r="X63"/>
      <c r="Z63"/>
      <c r="AC63"/>
      <c r="AE63"/>
    </row>
    <row r="64" spans="1:31" x14ac:dyDescent="0.25">
      <c r="A64"/>
      <c r="D64"/>
      <c r="E64"/>
      <c r="F64"/>
      <c r="G64"/>
      <c r="H64"/>
      <c r="I64"/>
      <c r="J64"/>
      <c r="K64"/>
      <c r="L64"/>
      <c r="M64"/>
      <c r="N64"/>
      <c r="O64"/>
      <c r="P64"/>
      <c r="R64"/>
      <c r="S64"/>
      <c r="T64"/>
      <c r="V64"/>
      <c r="X64"/>
      <c r="Z64"/>
      <c r="AC64"/>
      <c r="AE64"/>
    </row>
    <row r="65" spans="1:31" x14ac:dyDescent="0.25">
      <c r="A65"/>
      <c r="D65"/>
      <c r="E65"/>
      <c r="F65"/>
      <c r="G65"/>
      <c r="H65"/>
      <c r="I65"/>
      <c r="J65"/>
      <c r="K65"/>
      <c r="L65"/>
      <c r="M65"/>
      <c r="N65"/>
      <c r="O65"/>
      <c r="P65"/>
      <c r="R65"/>
      <c r="S65"/>
      <c r="T65"/>
      <c r="V65"/>
      <c r="X65"/>
      <c r="Z65"/>
      <c r="AC65"/>
      <c r="AE65"/>
    </row>
    <row r="66" spans="1:31" x14ac:dyDescent="0.25">
      <c r="A66"/>
      <c r="D66"/>
      <c r="E66"/>
      <c r="F66"/>
      <c r="G66"/>
      <c r="H66"/>
      <c r="I66"/>
      <c r="J66"/>
      <c r="K66"/>
      <c r="L66"/>
      <c r="M66"/>
      <c r="N66"/>
      <c r="O66"/>
      <c r="P66"/>
      <c r="R66"/>
      <c r="S66"/>
      <c r="T66"/>
      <c r="V66"/>
      <c r="X66"/>
      <c r="Z66"/>
      <c r="AC66"/>
      <c r="AE66"/>
    </row>
    <row r="67" spans="1:31" x14ac:dyDescent="0.25">
      <c r="A67"/>
      <c r="D67"/>
      <c r="E67"/>
      <c r="F67"/>
      <c r="G67"/>
      <c r="H67"/>
      <c r="I67"/>
      <c r="J67"/>
      <c r="K67"/>
      <c r="L67"/>
      <c r="M67"/>
      <c r="N67"/>
      <c r="O67"/>
      <c r="P67"/>
      <c r="R67"/>
      <c r="S67"/>
      <c r="T67"/>
      <c r="V67"/>
      <c r="X67"/>
      <c r="Z67"/>
      <c r="AC67"/>
      <c r="AE67"/>
    </row>
    <row r="68" spans="1:31" x14ac:dyDescent="0.25">
      <c r="A68"/>
      <c r="D68"/>
      <c r="E68"/>
      <c r="F68"/>
      <c r="G68"/>
      <c r="H68"/>
      <c r="I68"/>
      <c r="J68"/>
      <c r="K68"/>
      <c r="L68"/>
      <c r="M68"/>
      <c r="N68"/>
      <c r="O68"/>
      <c r="P68"/>
      <c r="R68"/>
      <c r="S68"/>
      <c r="T68"/>
      <c r="V68"/>
      <c r="X68"/>
      <c r="Z68"/>
      <c r="AC68"/>
      <c r="AE68"/>
    </row>
    <row r="69" spans="1:31" x14ac:dyDescent="0.25">
      <c r="A69"/>
      <c r="D69"/>
      <c r="E69"/>
      <c r="F69"/>
      <c r="G69"/>
      <c r="H69"/>
      <c r="I69"/>
      <c r="J69"/>
      <c r="K69"/>
      <c r="L69"/>
      <c r="M69"/>
      <c r="N69"/>
      <c r="O69"/>
      <c r="P69"/>
      <c r="R69"/>
      <c r="S69"/>
      <c r="T69"/>
      <c r="V69"/>
      <c r="X69"/>
      <c r="Z69"/>
      <c r="AC69"/>
      <c r="AE69"/>
    </row>
    <row r="70" spans="1:31" x14ac:dyDescent="0.25">
      <c r="A70"/>
      <c r="D70"/>
      <c r="E70"/>
      <c r="F70"/>
      <c r="G70"/>
      <c r="H70"/>
      <c r="I70"/>
      <c r="J70"/>
      <c r="K70"/>
      <c r="L70"/>
      <c r="M70"/>
      <c r="N70"/>
      <c r="O70"/>
      <c r="P70"/>
      <c r="R70"/>
      <c r="S70"/>
      <c r="T70"/>
      <c r="V70"/>
      <c r="X70"/>
      <c r="Z70"/>
      <c r="AC70"/>
      <c r="AE70"/>
    </row>
    <row r="71" spans="1:31" x14ac:dyDescent="0.25">
      <c r="A71"/>
      <c r="D71"/>
      <c r="E71"/>
      <c r="F71"/>
      <c r="G71"/>
      <c r="H71"/>
      <c r="I71"/>
      <c r="J71"/>
      <c r="K71"/>
      <c r="L71"/>
      <c r="M71"/>
      <c r="N71"/>
      <c r="O71"/>
      <c r="P71"/>
      <c r="R71"/>
      <c r="S71"/>
      <c r="T71"/>
      <c r="V71"/>
      <c r="X71"/>
      <c r="Z71"/>
      <c r="AC71"/>
      <c r="AE71"/>
    </row>
    <row r="72" spans="1:31" x14ac:dyDescent="0.25">
      <c r="A72"/>
      <c r="D72"/>
      <c r="E72"/>
      <c r="F72"/>
      <c r="G72"/>
      <c r="H72"/>
      <c r="I72"/>
      <c r="J72"/>
      <c r="K72"/>
      <c r="L72"/>
      <c r="M72"/>
      <c r="N72"/>
      <c r="O72"/>
      <c r="P72"/>
      <c r="R72"/>
      <c r="S72"/>
      <c r="T72"/>
      <c r="V72"/>
      <c r="X72"/>
      <c r="Z72"/>
      <c r="AC72"/>
      <c r="AE72"/>
    </row>
    <row r="73" spans="1:31" x14ac:dyDescent="0.25">
      <c r="A73"/>
      <c r="D73"/>
      <c r="E73"/>
      <c r="F73"/>
      <c r="G73"/>
      <c r="H73"/>
      <c r="I73"/>
      <c r="J73"/>
      <c r="K73"/>
      <c r="L73"/>
      <c r="M73"/>
      <c r="N73"/>
      <c r="O73"/>
      <c r="P73"/>
      <c r="R73"/>
      <c r="S73"/>
      <c r="T73"/>
      <c r="V73"/>
      <c r="X73"/>
      <c r="Z73"/>
      <c r="AC73"/>
      <c r="AE73"/>
    </row>
    <row r="74" spans="1:31" x14ac:dyDescent="0.25">
      <c r="A74"/>
      <c r="D74"/>
      <c r="E74"/>
      <c r="F74"/>
      <c r="G74"/>
      <c r="H74"/>
      <c r="I74"/>
      <c r="J74"/>
      <c r="K74"/>
      <c r="L74"/>
      <c r="M74"/>
      <c r="N74"/>
      <c r="O74"/>
      <c r="P74"/>
      <c r="R74"/>
      <c r="S74"/>
      <c r="T74"/>
      <c r="V74"/>
      <c r="X74"/>
      <c r="Z74"/>
      <c r="AC74"/>
      <c r="AE74"/>
    </row>
  </sheetData>
  <autoFilter ref="A6:AC74">
    <sortState ref="A7:AC74">
      <sortCondition ref="W7:W45"/>
      <sortCondition ref="E7:E45"/>
      <sortCondition ref="K7:K45"/>
      <sortCondition ref="F7:F45"/>
    </sortState>
  </autoFilter>
  <sortState ref="A7:AE54">
    <sortCondition ref="W7:W54"/>
    <sortCondition ref="E7:E54"/>
    <sortCondition ref="K7:K54"/>
    <sortCondition ref="C7:C54"/>
    <sortCondition ref="F7:F54"/>
  </sortState>
  <mergeCells count="1">
    <mergeCell ref="A5:O5"/>
  </mergeCells>
  <conditionalFormatting sqref="O6:P6 R6 O75:O1048576 O7:O45">
    <cfRule type="cellIs" dxfId="3" priority="36" operator="equal">
      <formula>"Y"</formula>
    </cfRule>
  </conditionalFormatting>
  <conditionalFormatting sqref="O2:O3">
    <cfRule type="cellIs" dxfId="2" priority="27" operator="equal">
      <formula>"Y"</formula>
    </cfRule>
  </conditionalFormatting>
  <conditionalFormatting sqref="A7:P45">
    <cfRule type="expression" dxfId="1" priority="20">
      <formula>$O7="Y"</formula>
    </cfRule>
  </conditionalFormatting>
  <pageMargins left="0.7" right="0.7" top="0.75" bottom="0.75" header="0.3" footer="0.3"/>
  <pageSetup scale="26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2]!DailyMorningStuff_Enforcements">
                <anchor moveWithCells="1" sizeWithCells="1">
                  <from>
                    <xdr:col>15</xdr:col>
                    <xdr:colOff>352425</xdr:colOff>
                    <xdr:row>1</xdr:row>
                    <xdr:rowOff>28575</xdr:rowOff>
                  </from>
                  <to>
                    <xdr:col>15</xdr:col>
                    <xdr:colOff>1152525</xdr:colOff>
                    <xdr:row>3</xdr:row>
                    <xdr:rowOff>66675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'Redmine List Values'!$A$2:$A$7</xm:f>
          </x14:formula1>
          <xm:sqref>AA7:AA45</xm:sqref>
        </x14:dataValidation>
        <x14:dataValidation type="list" allowBlank="1" showInputMessage="1" showErrorMessage="1">
          <x14:formula1>
            <xm:f>'Redmine List Values'!$C$2:$C$15</xm:f>
          </x14:formula1>
          <xm:sqref>AB7:AB45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J100"/>
  <sheetViews>
    <sheetView zoomScaleNormal="100" workbookViewId="0">
      <selection activeCell="A3" sqref="A3:A6"/>
    </sheetView>
  </sheetViews>
  <sheetFormatPr defaultRowHeight="15" x14ac:dyDescent="0.25"/>
  <cols>
    <col min="1" max="1" width="9.140625" style="172"/>
    <col min="2" max="2" width="9.140625" style="2" customWidth="1"/>
    <col min="3" max="3" width="8" style="88" bestFit="1" customWidth="1"/>
    <col min="4" max="4" width="9.85546875" style="139" bestFit="1" customWidth="1"/>
    <col min="5" max="5" width="50.85546875" bestFit="1" customWidth="1"/>
    <col min="6" max="6" width="20.42578125" bestFit="1" customWidth="1"/>
    <col min="7" max="7" width="13.5703125" customWidth="1"/>
    <col min="8" max="8" width="14.7109375" customWidth="1"/>
    <col min="9" max="10" width="9.140625" customWidth="1"/>
  </cols>
  <sheetData>
    <row r="1" spans="1:10" s="20" customFormat="1" x14ac:dyDescent="0.25">
      <c r="A1" s="172"/>
      <c r="B1" s="217" t="str">
        <f>"Trips that did not appear in PTC Data "&amp;TEXT(Variables!$A$2,"YYYY-mm-dd")</f>
        <v>Trips that did not appear in PTC Data 2017-07-01</v>
      </c>
      <c r="C1" s="217"/>
      <c r="D1" s="217"/>
      <c r="E1" s="217"/>
      <c r="F1" s="217"/>
    </row>
    <row r="2" spans="1:10" s="23" customFormat="1" ht="45" x14ac:dyDescent="0.25">
      <c r="A2" s="199" t="s">
        <v>148</v>
      </c>
      <c r="B2" s="90" t="s">
        <v>58</v>
      </c>
      <c r="C2" s="87" t="s">
        <v>59</v>
      </c>
      <c r="D2" s="152" t="s">
        <v>60</v>
      </c>
      <c r="E2" s="23" t="s">
        <v>56</v>
      </c>
      <c r="F2" s="23" t="s">
        <v>57</v>
      </c>
      <c r="G2" s="23" t="s">
        <v>61</v>
      </c>
      <c r="H2" s="28" t="s">
        <v>62</v>
      </c>
      <c r="I2" s="28" t="s">
        <v>102</v>
      </c>
    </row>
    <row r="3" spans="1:10" x14ac:dyDescent="0.25">
      <c r="A3" s="195"/>
      <c r="B3" s="42" t="str">
        <f>A3&amp;"-"&amp;IF(DAY(Variables!$A$2)&lt;10,0,"")&amp;DAY(Variables!$A$2)</f>
        <v>-01</v>
      </c>
      <c r="C3" s="135"/>
      <c r="D3" s="153"/>
      <c r="E3" s="30"/>
      <c r="F3" s="21" t="e">
        <f>VLOOKUP(B3,'Trips&amp;Operators'!$C$2:$E$10000,3,FALSE)</f>
        <v>#N/A</v>
      </c>
      <c r="G3" s="21" t="e">
        <f>VLOOKUP(B3,'Trips&amp;Operators'!$C$1:$F$10000,4,FALSE)</f>
        <v>#N/A</v>
      </c>
      <c r="H3" s="29" t="e">
        <f>VLOOKUP(B3,'Trips&amp;Operators'!$C$1:$H$10000,5,FALSE)</f>
        <v>#N/A</v>
      </c>
      <c r="I3" s="45" t="str">
        <f t="shared" ref="I3:I23" si="0">"https://d0f6bd738d7f1b3e5a7ca70fe4ff75f0.us-east-1.aws.found.io/app/kibana#/discover/Steve-Slow-Train-Analysis-(2080s-and-2083s)?_g="&amp;"(refreshInterval:(display:Off,pause:!f,section:0,value:0),time:(from:now-7d,mode:quick,to:now))&amp;_a=(columns:!('Locomotive%20ID','Data.Train%20ID','Message%20ID'),filters:!(),"&amp;"index:'emp_*',interval:auto,query:(query_string:(analyze_wildcard:!t,query:%22"&amp;B3&amp;"%22)),sort:!(Time.ISO8601,asc))"</f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-01%22)),sort:!(Time.ISO8601,asc))</v>
      </c>
      <c r="J3" s="30" t="e">
        <f>VLOOKUP(B3,'Train Runs'!$A$13:$A$99927,1,FALSE)</f>
        <v>#N/A</v>
      </c>
    </row>
    <row r="4" spans="1:10" x14ac:dyDescent="0.25">
      <c r="A4" s="195"/>
      <c r="B4" s="42" t="str">
        <f>A4&amp;"-"&amp;IF(DAY(Variables!$A$2)&lt;10,0,"")&amp;DAY(Variables!$A$2)</f>
        <v>-01</v>
      </c>
      <c r="C4" s="135"/>
      <c r="D4" s="153"/>
      <c r="E4" s="30"/>
      <c r="F4" s="21" t="e">
        <f>VLOOKUP(B4,'Trips&amp;Operators'!$C$2:$E$10000,3,FALSE)</f>
        <v>#N/A</v>
      </c>
      <c r="G4" s="21" t="e">
        <f>VLOOKUP(B4,'Trips&amp;Operators'!$C$1:$F$10000,4,FALSE)</f>
        <v>#N/A</v>
      </c>
      <c r="H4" s="29" t="e">
        <f>VLOOKUP(B4,'Trips&amp;Operators'!$C$1:$H$10000,5,FALSE)</f>
        <v>#N/A</v>
      </c>
      <c r="I4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-01%22)),sort:!(Time.ISO8601,asc))</v>
      </c>
      <c r="J4" s="30" t="e">
        <f>VLOOKUP(B4,'Train Runs'!$A$13:$A$99927,1,FALSE)</f>
        <v>#N/A</v>
      </c>
    </row>
    <row r="5" spans="1:10" x14ac:dyDescent="0.25">
      <c r="A5" s="195"/>
      <c r="B5" s="42" t="str">
        <f>A5&amp;"-"&amp;IF(DAY(Variables!$A$2)&lt;10,0,"")&amp;DAY(Variables!$A$2)</f>
        <v>-01</v>
      </c>
      <c r="C5" s="135"/>
      <c r="D5" s="153"/>
      <c r="E5" s="30"/>
      <c r="F5" s="21" t="e">
        <f>VLOOKUP(B5,'Trips&amp;Operators'!$C$2:$E$10000,3,FALSE)</f>
        <v>#N/A</v>
      </c>
      <c r="G5" s="21" t="e">
        <f>VLOOKUP(B5,'Trips&amp;Operators'!$C$1:$F$10000,4,FALSE)</f>
        <v>#N/A</v>
      </c>
      <c r="H5" s="29" t="e">
        <f>VLOOKUP(B5,'Trips&amp;Operators'!$C$1:$H$10000,5,FALSE)</f>
        <v>#N/A</v>
      </c>
      <c r="I5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-01%22)),sort:!(Time.ISO8601,asc))</v>
      </c>
      <c r="J5" s="30" t="e">
        <f>VLOOKUP(B5,'Train Runs'!$A$13:$A$99927,1,FALSE)</f>
        <v>#N/A</v>
      </c>
    </row>
    <row r="6" spans="1:10" x14ac:dyDescent="0.25">
      <c r="A6" s="195"/>
      <c r="B6" s="42" t="str">
        <f>A6&amp;"-"&amp;IF(DAY(Variables!$A$2)&lt;10,0,"")&amp;DAY(Variables!$A$2)</f>
        <v>-01</v>
      </c>
      <c r="C6" s="135"/>
      <c r="D6" s="153"/>
      <c r="E6" s="30"/>
      <c r="F6" s="21" t="e">
        <f>VLOOKUP(B6,'Trips&amp;Operators'!$C$2:$E$10000,3,FALSE)</f>
        <v>#N/A</v>
      </c>
      <c r="G6" s="21" t="e">
        <f>VLOOKUP(B6,'Trips&amp;Operators'!$C$1:$F$10000,4,FALSE)</f>
        <v>#N/A</v>
      </c>
      <c r="H6" s="29" t="e">
        <f>VLOOKUP(B6,'Trips&amp;Operators'!$C$1:$H$10000,5,FALSE)</f>
        <v>#N/A</v>
      </c>
      <c r="I6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-01%22)),sort:!(Time.ISO8601,asc))</v>
      </c>
      <c r="J6" s="30" t="e">
        <f>VLOOKUP(B6,'Train Runs'!$A$13:$A$99927,1,FALSE)</f>
        <v>#N/A</v>
      </c>
    </row>
    <row r="7" spans="1:10" x14ac:dyDescent="0.25">
      <c r="A7" s="195"/>
      <c r="B7" s="42" t="str">
        <f>A7&amp;"-"&amp;IF(DAY(Variables!$A$2)&lt;10,0,"")&amp;DAY(Variables!$A$2)</f>
        <v>-01</v>
      </c>
      <c r="C7" s="135"/>
      <c r="D7" s="153"/>
      <c r="E7" s="30"/>
      <c r="F7" s="21" t="e">
        <f>VLOOKUP(B7,'Trips&amp;Operators'!$C$2:$E$10000,3,FALSE)</f>
        <v>#N/A</v>
      </c>
      <c r="G7" s="21" t="e">
        <f>VLOOKUP(B7,'Trips&amp;Operators'!$C$1:$F$10000,4,FALSE)</f>
        <v>#N/A</v>
      </c>
      <c r="H7" s="29" t="e">
        <f>VLOOKUP(B7,'Trips&amp;Operators'!$C$1:$H$10000,5,FALSE)</f>
        <v>#N/A</v>
      </c>
      <c r="I7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-01%22)),sort:!(Time.ISO8601,asc))</v>
      </c>
      <c r="J7" s="30" t="e">
        <f>VLOOKUP(B7,'Train Runs'!$A$13:$A$99927,1,FALSE)</f>
        <v>#N/A</v>
      </c>
    </row>
    <row r="8" spans="1:10" x14ac:dyDescent="0.25">
      <c r="A8" s="195"/>
      <c r="B8" s="42" t="str">
        <f>A8&amp;"-"&amp;IF(DAY(Variables!$A$2)&lt;10,0,"")&amp;DAY(Variables!$A$2)</f>
        <v>-01</v>
      </c>
      <c r="C8" s="135"/>
      <c r="D8" s="153"/>
      <c r="E8" s="30"/>
      <c r="F8" s="21" t="e">
        <f>VLOOKUP(B8,'Trips&amp;Operators'!$C$2:$E$10000,3,FALSE)</f>
        <v>#N/A</v>
      </c>
      <c r="G8" s="21" t="e">
        <f>VLOOKUP(B8,'Trips&amp;Operators'!$C$1:$F$10000,4,FALSE)</f>
        <v>#N/A</v>
      </c>
      <c r="H8" s="29" t="e">
        <f>VLOOKUP(B8,'Trips&amp;Operators'!$C$1:$H$10000,5,FALSE)</f>
        <v>#N/A</v>
      </c>
      <c r="I8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-01%22)),sort:!(Time.ISO8601,asc))</v>
      </c>
      <c r="J8" s="30" t="e">
        <f>VLOOKUP(B8,'Train Runs'!$A$13:$A$99927,1,FALSE)</f>
        <v>#N/A</v>
      </c>
    </row>
    <row r="9" spans="1:10" x14ac:dyDescent="0.25">
      <c r="A9" s="195"/>
      <c r="B9" s="42" t="str">
        <f>A9&amp;"-"&amp;IF(DAY(Variables!$A$2)&lt;10,0,"")&amp;DAY(Variables!$A$2)</f>
        <v>-01</v>
      </c>
      <c r="C9" s="135"/>
      <c r="D9" s="153"/>
      <c r="E9" s="30"/>
      <c r="F9" s="21" t="e">
        <f>VLOOKUP(B9,'Trips&amp;Operators'!$C$2:$E$10000,3,FALSE)</f>
        <v>#N/A</v>
      </c>
      <c r="G9" s="21" t="e">
        <f>VLOOKUP(B9,'Trips&amp;Operators'!$C$1:$F$10000,4,FALSE)</f>
        <v>#N/A</v>
      </c>
      <c r="H9" s="29" t="e">
        <f>VLOOKUP(B9,'Trips&amp;Operators'!$C$1:$H$10000,5,FALSE)</f>
        <v>#N/A</v>
      </c>
      <c r="I9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-01%22)),sort:!(Time.ISO8601,asc))</v>
      </c>
      <c r="J9" s="30" t="e">
        <f>VLOOKUP(B9,'Train Runs'!$A$13:$A$99927,1,FALSE)</f>
        <v>#N/A</v>
      </c>
    </row>
    <row r="10" spans="1:10" x14ac:dyDescent="0.25">
      <c r="A10" s="195"/>
      <c r="B10" s="42" t="str">
        <f>A10&amp;"-"&amp;IF(DAY(Variables!$A$2)&lt;10,0,"")&amp;DAY(Variables!$A$2)</f>
        <v>-01</v>
      </c>
      <c r="C10" s="135"/>
      <c r="D10" s="153"/>
      <c r="E10" s="30"/>
      <c r="F10" s="21" t="e">
        <f>VLOOKUP(B10,'Trips&amp;Operators'!$C$2:$E$10000,3,FALSE)</f>
        <v>#N/A</v>
      </c>
      <c r="G10" s="21" t="e">
        <f>VLOOKUP(B10,'Trips&amp;Operators'!$C$1:$F$10000,4,FALSE)</f>
        <v>#N/A</v>
      </c>
      <c r="H10" s="29" t="e">
        <f>VLOOKUP(B10,'Trips&amp;Operators'!$C$1:$H$10000,5,FALSE)</f>
        <v>#N/A</v>
      </c>
      <c r="I10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-01%22)),sort:!(Time.ISO8601,asc))</v>
      </c>
      <c r="J10" s="30" t="e">
        <f>VLOOKUP(B10,'Train Runs'!$A$13:$A$99927,1,FALSE)</f>
        <v>#N/A</v>
      </c>
    </row>
    <row r="11" spans="1:10" x14ac:dyDescent="0.25">
      <c r="A11" s="195"/>
      <c r="B11" s="42" t="str">
        <f>A11&amp;"-"&amp;IF(DAY(Variables!$A$2)&lt;10,0,"")&amp;DAY(Variables!$A$2)</f>
        <v>-01</v>
      </c>
      <c r="C11" s="135"/>
      <c r="D11" s="153"/>
      <c r="E11" s="30"/>
      <c r="F11" s="21" t="e">
        <f>VLOOKUP(B11,'Trips&amp;Operators'!$C$2:$E$10000,3,FALSE)</f>
        <v>#N/A</v>
      </c>
      <c r="G11" s="21" t="e">
        <f>VLOOKUP(B11,'Trips&amp;Operators'!$C$1:$F$10000,4,FALSE)</f>
        <v>#N/A</v>
      </c>
      <c r="H11" s="29" t="e">
        <f>VLOOKUP(B11,'Trips&amp;Operators'!$C$1:$H$10000,5,FALSE)</f>
        <v>#N/A</v>
      </c>
      <c r="I11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-01%22)),sort:!(Time.ISO8601,asc))</v>
      </c>
      <c r="J11" s="30" t="e">
        <f>VLOOKUP(B11,'Train Runs'!$A$13:$A$99927,1,FALSE)</f>
        <v>#N/A</v>
      </c>
    </row>
    <row r="12" spans="1:10" x14ac:dyDescent="0.25">
      <c r="A12" s="195"/>
      <c r="B12" s="42" t="str">
        <f>A12&amp;"-"&amp;IF(DAY(Variables!$A$2)&lt;10,0,"")&amp;DAY(Variables!$A$2)</f>
        <v>-01</v>
      </c>
      <c r="C12" s="135"/>
      <c r="D12" s="153"/>
      <c r="E12" s="30"/>
      <c r="F12" s="21" t="e">
        <f>VLOOKUP(B12,'Trips&amp;Operators'!$C$2:$E$10000,3,FALSE)</f>
        <v>#N/A</v>
      </c>
      <c r="G12" s="21" t="e">
        <f>VLOOKUP(B12,'Trips&amp;Operators'!$C$1:$F$10000,4,FALSE)</f>
        <v>#N/A</v>
      </c>
      <c r="H12" s="29" t="e">
        <f>VLOOKUP(B12,'Trips&amp;Operators'!$C$1:$H$10000,5,FALSE)</f>
        <v>#N/A</v>
      </c>
      <c r="I12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-01%22)),sort:!(Time.ISO8601,asc))</v>
      </c>
      <c r="J12" s="30" t="e">
        <f>VLOOKUP(B12,'Train Runs'!$A$13:$A$99927,1,FALSE)</f>
        <v>#N/A</v>
      </c>
    </row>
    <row r="13" spans="1:10" x14ac:dyDescent="0.25">
      <c r="A13" s="195"/>
      <c r="B13" s="42" t="str">
        <f>A13&amp;"-"&amp;IF(DAY(Variables!$A$2)&lt;10,0,"")&amp;DAY(Variables!$A$2)</f>
        <v>-01</v>
      </c>
      <c r="C13" s="135"/>
      <c r="D13" s="153"/>
      <c r="E13" s="30"/>
      <c r="F13" s="21" t="e">
        <f>VLOOKUP(B13,'Trips&amp;Operators'!$C$2:$E$10000,3,FALSE)</f>
        <v>#N/A</v>
      </c>
      <c r="G13" s="21" t="e">
        <f>VLOOKUP(B13,'Trips&amp;Operators'!$C$1:$F$10000,4,FALSE)</f>
        <v>#N/A</v>
      </c>
      <c r="H13" s="29" t="e">
        <f>VLOOKUP(B13,'Trips&amp;Operators'!$C$1:$H$10000,5,FALSE)</f>
        <v>#N/A</v>
      </c>
      <c r="I13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-01%22)),sort:!(Time.ISO8601,asc))</v>
      </c>
      <c r="J13" s="30" t="e">
        <f>VLOOKUP(B13,'Train Runs'!$A$13:$A$99927,1,FALSE)</f>
        <v>#N/A</v>
      </c>
    </row>
    <row r="14" spans="1:10" x14ac:dyDescent="0.25">
      <c r="A14" s="195"/>
      <c r="B14" s="42" t="str">
        <f>A14&amp;"-"&amp;IF(DAY(Variables!$A$2)&lt;10,0,"")&amp;DAY(Variables!$A$2)</f>
        <v>-01</v>
      </c>
      <c r="C14" s="135"/>
      <c r="D14" s="153"/>
      <c r="E14" s="30"/>
      <c r="F14" s="21" t="e">
        <f>VLOOKUP(B14,'Trips&amp;Operators'!$C$2:$E$10000,3,FALSE)</f>
        <v>#N/A</v>
      </c>
      <c r="G14" s="21" t="e">
        <f>VLOOKUP(B14,'Trips&amp;Operators'!$C$1:$F$10000,4,FALSE)</f>
        <v>#N/A</v>
      </c>
      <c r="H14" s="29" t="e">
        <f>VLOOKUP(B14,'Trips&amp;Operators'!$C$1:$H$10000,5,FALSE)</f>
        <v>#N/A</v>
      </c>
      <c r="I14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-01%22)),sort:!(Time.ISO8601,asc))</v>
      </c>
      <c r="J14" s="30" t="e">
        <f>VLOOKUP(B14,'Train Runs'!$A$13:$A$99927,1,FALSE)</f>
        <v>#N/A</v>
      </c>
    </row>
    <row r="15" spans="1:10" x14ac:dyDescent="0.25">
      <c r="A15" s="195"/>
      <c r="B15" s="42" t="str">
        <f>A15&amp;"-"&amp;IF(DAY(Variables!$A$2)&lt;10,0,"")&amp;DAY(Variables!$A$2)</f>
        <v>-01</v>
      </c>
      <c r="C15" s="135"/>
      <c r="D15" s="153"/>
      <c r="E15" s="30"/>
      <c r="F15" s="21" t="e">
        <f>VLOOKUP(B15,'Trips&amp;Operators'!$C$2:$E$10000,3,FALSE)</f>
        <v>#N/A</v>
      </c>
      <c r="G15" s="21" t="e">
        <f>VLOOKUP(B15,'Trips&amp;Operators'!$C$1:$F$10000,4,FALSE)</f>
        <v>#N/A</v>
      </c>
      <c r="H15" s="29" t="e">
        <f>VLOOKUP(B15,'Trips&amp;Operators'!$C$1:$H$10000,5,FALSE)</f>
        <v>#N/A</v>
      </c>
      <c r="I15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-01%22)),sort:!(Time.ISO8601,asc))</v>
      </c>
      <c r="J15" s="30" t="e">
        <f>VLOOKUP(B15,'Train Runs'!$A$13:$A$99927,1,FALSE)</f>
        <v>#N/A</v>
      </c>
    </row>
    <row r="16" spans="1:10" x14ac:dyDescent="0.25">
      <c r="A16" s="195"/>
      <c r="B16" s="42" t="str">
        <f>A16&amp;"-"&amp;IF(DAY(Variables!$A$2)&lt;10,0,"")&amp;DAY(Variables!$A$2)</f>
        <v>-01</v>
      </c>
      <c r="C16" s="135"/>
      <c r="D16" s="153"/>
      <c r="E16" s="30"/>
      <c r="F16" s="21" t="e">
        <f>VLOOKUP(B16,'Trips&amp;Operators'!$C$2:$E$10000,3,FALSE)</f>
        <v>#N/A</v>
      </c>
      <c r="G16" s="21" t="e">
        <f>VLOOKUP(B16,'Trips&amp;Operators'!$C$1:$F$10000,4,FALSE)</f>
        <v>#N/A</v>
      </c>
      <c r="H16" s="29" t="e">
        <f>VLOOKUP(B16,'Trips&amp;Operators'!$C$1:$H$10000,5,FALSE)</f>
        <v>#N/A</v>
      </c>
      <c r="I16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-01%22)),sort:!(Time.ISO8601,asc))</v>
      </c>
      <c r="J16" s="30" t="e">
        <f>VLOOKUP(B16,'Train Runs'!$A$13:$A$99927,1,FALSE)</f>
        <v>#N/A</v>
      </c>
    </row>
    <row r="17" spans="1:10" x14ac:dyDescent="0.25">
      <c r="A17" s="195"/>
      <c r="B17" s="42" t="str">
        <f>A17&amp;"-"&amp;IF(DAY(Variables!$A$2)&lt;10,0,"")&amp;DAY(Variables!$A$2)</f>
        <v>-01</v>
      </c>
      <c r="C17" s="135"/>
      <c r="D17" s="153"/>
      <c r="E17" s="30"/>
      <c r="F17" s="21" t="e">
        <f>VLOOKUP(B17,'Trips&amp;Operators'!$C$2:$E$10000,3,FALSE)</f>
        <v>#N/A</v>
      </c>
      <c r="G17" s="21" t="e">
        <f>VLOOKUP(B17,'Trips&amp;Operators'!$C$1:$F$10000,4,FALSE)</f>
        <v>#N/A</v>
      </c>
      <c r="H17" s="29" t="e">
        <f>VLOOKUP(B17,'Trips&amp;Operators'!$C$1:$H$10000,5,FALSE)</f>
        <v>#N/A</v>
      </c>
      <c r="I17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-01%22)),sort:!(Time.ISO8601,asc))</v>
      </c>
      <c r="J17" s="30" t="e">
        <f>VLOOKUP(B17,'Train Runs'!$A$13:$A$99927,1,FALSE)</f>
        <v>#N/A</v>
      </c>
    </row>
    <row r="18" spans="1:10" x14ac:dyDescent="0.25">
      <c r="A18" s="195"/>
      <c r="B18" s="42" t="str">
        <f>A18&amp;"-"&amp;IF(DAY(Variables!$A$2)&lt;10,0,"")&amp;DAY(Variables!$A$2)</f>
        <v>-01</v>
      </c>
      <c r="C18" s="135"/>
      <c r="D18" s="153"/>
      <c r="E18" s="30"/>
      <c r="F18" s="21" t="e">
        <f>VLOOKUP(B18,'Trips&amp;Operators'!$C$2:$E$10000,3,FALSE)</f>
        <v>#N/A</v>
      </c>
      <c r="G18" s="21" t="e">
        <f>VLOOKUP(B18,'Trips&amp;Operators'!$C$1:$F$10000,4,FALSE)</f>
        <v>#N/A</v>
      </c>
      <c r="H18" s="29" t="e">
        <f>VLOOKUP(B18,'Trips&amp;Operators'!$C$1:$H$10000,5,FALSE)</f>
        <v>#N/A</v>
      </c>
      <c r="I18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-01%22)),sort:!(Time.ISO8601,asc))</v>
      </c>
      <c r="J18" s="30" t="e">
        <f>VLOOKUP(B18,'Train Runs'!$A$13:$A$99927,1,FALSE)</f>
        <v>#N/A</v>
      </c>
    </row>
    <row r="19" spans="1:10" x14ac:dyDescent="0.25">
      <c r="A19" s="195"/>
      <c r="B19" s="42" t="str">
        <f>A19&amp;"-"&amp;IF(DAY(Variables!$A$2)&lt;10,0,"")&amp;DAY(Variables!$A$2)</f>
        <v>-01</v>
      </c>
      <c r="C19" s="135"/>
      <c r="D19" s="153"/>
      <c r="E19" s="30"/>
      <c r="F19" s="21" t="e">
        <f>VLOOKUP(B19,'Trips&amp;Operators'!$C$2:$E$10000,3,FALSE)</f>
        <v>#N/A</v>
      </c>
      <c r="G19" s="21" t="e">
        <f>VLOOKUP(B19,'Trips&amp;Operators'!$C$1:$F$10000,4,FALSE)</f>
        <v>#N/A</v>
      </c>
      <c r="H19" s="29" t="e">
        <f>VLOOKUP(B19,'Trips&amp;Operators'!$C$1:$H$10000,5,FALSE)</f>
        <v>#N/A</v>
      </c>
      <c r="I19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-01%22)),sort:!(Time.ISO8601,asc))</v>
      </c>
      <c r="J19" s="30" t="e">
        <f>VLOOKUP(B19,'Train Runs'!$A$13:$A$99927,1,FALSE)</f>
        <v>#N/A</v>
      </c>
    </row>
    <row r="20" spans="1:10" x14ac:dyDescent="0.25">
      <c r="A20" s="195"/>
      <c r="B20" s="42" t="str">
        <f>A20&amp;"-"&amp;IF(DAY(Variables!$A$2)&lt;10,0,"")&amp;DAY(Variables!$A$2)</f>
        <v>-01</v>
      </c>
      <c r="C20" s="135"/>
      <c r="D20" s="153"/>
      <c r="E20" s="30"/>
      <c r="F20" s="21" t="e">
        <f>VLOOKUP(B20,'Trips&amp;Operators'!$C$2:$E$10000,3,FALSE)</f>
        <v>#N/A</v>
      </c>
      <c r="G20" s="21" t="e">
        <f>VLOOKUP(B20,'Trips&amp;Operators'!$C$1:$F$10000,4,FALSE)</f>
        <v>#N/A</v>
      </c>
      <c r="H20" s="29" t="e">
        <f>VLOOKUP(B20,'Trips&amp;Operators'!$C$1:$H$10000,5,FALSE)</f>
        <v>#N/A</v>
      </c>
      <c r="I20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-01%22)),sort:!(Time.ISO8601,asc))</v>
      </c>
      <c r="J20" s="30" t="e">
        <f>VLOOKUP(B20,'Train Runs'!$A$13:$A$99927,1,FALSE)</f>
        <v>#N/A</v>
      </c>
    </row>
    <row r="21" spans="1:10" x14ac:dyDescent="0.25">
      <c r="A21" s="195"/>
      <c r="B21" s="42" t="str">
        <f>A21&amp;"-"&amp;IF(DAY(Variables!$A$2)&lt;10,0,"")&amp;DAY(Variables!$A$2)</f>
        <v>-01</v>
      </c>
      <c r="C21" s="135"/>
      <c r="D21" s="153"/>
      <c r="E21" s="30"/>
      <c r="F21" s="21" t="e">
        <f>VLOOKUP(B21,'Trips&amp;Operators'!$C$2:$E$10000,3,FALSE)</f>
        <v>#N/A</v>
      </c>
      <c r="G21" s="21" t="e">
        <f>VLOOKUP(B21,'Trips&amp;Operators'!$C$1:$F$10000,4,FALSE)</f>
        <v>#N/A</v>
      </c>
      <c r="H21" s="29" t="e">
        <f>VLOOKUP(B21,'Trips&amp;Operators'!$C$1:$H$10000,5,FALSE)</f>
        <v>#N/A</v>
      </c>
      <c r="I21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-01%22)),sort:!(Time.ISO8601,asc))</v>
      </c>
      <c r="J21" s="30" t="e">
        <f>VLOOKUP(B21,'Train Runs'!$A$13:$A$99927,1,FALSE)</f>
        <v>#N/A</v>
      </c>
    </row>
    <row r="22" spans="1:10" x14ac:dyDescent="0.25">
      <c r="A22" s="195"/>
      <c r="B22" s="42" t="str">
        <f>A22&amp;"-"&amp;IF(DAY(Variables!$A$2)&lt;10,0,"")&amp;DAY(Variables!$A$2)</f>
        <v>-01</v>
      </c>
      <c r="C22" s="135"/>
      <c r="D22" s="153"/>
      <c r="E22" s="30"/>
      <c r="F22" s="21" t="e">
        <f>VLOOKUP(B22,'Trips&amp;Operators'!$C$2:$E$10000,3,FALSE)</f>
        <v>#N/A</v>
      </c>
      <c r="G22" s="21" t="e">
        <f>VLOOKUP(B22,'Trips&amp;Operators'!$C$1:$F$10000,4,FALSE)</f>
        <v>#N/A</v>
      </c>
      <c r="H22" s="29" t="e">
        <f>VLOOKUP(B22,'Trips&amp;Operators'!$C$1:$H$10000,5,FALSE)</f>
        <v>#N/A</v>
      </c>
      <c r="I22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-01%22)),sort:!(Time.ISO8601,asc))</v>
      </c>
      <c r="J22" s="30" t="e">
        <f>VLOOKUP(B22,'Train Runs'!$A$13:$A$99927,1,FALSE)</f>
        <v>#N/A</v>
      </c>
    </row>
    <row r="23" spans="1:10" x14ac:dyDescent="0.25">
      <c r="A23" s="195"/>
      <c r="B23" s="42" t="str">
        <f>A23&amp;"-"&amp;IF(DAY(Variables!$A$2)&lt;10,0,"")&amp;DAY(Variables!$A$2)</f>
        <v>-01</v>
      </c>
      <c r="C23" s="135"/>
      <c r="D23" s="153"/>
      <c r="E23" s="30"/>
      <c r="F23" s="21" t="e">
        <f>VLOOKUP(B23,'Trips&amp;Operators'!$C$2:$E$10000,3,FALSE)</f>
        <v>#N/A</v>
      </c>
      <c r="G23" s="21" t="e">
        <f>VLOOKUP(B23,'Trips&amp;Operators'!$C$1:$F$10000,4,FALSE)</f>
        <v>#N/A</v>
      </c>
      <c r="H23" s="29" t="e">
        <f>VLOOKUP(B23,'Trips&amp;Operators'!$C$1:$H$10000,5,FALSE)</f>
        <v>#N/A</v>
      </c>
      <c r="I23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-01%22)),sort:!(Time.ISO8601,asc))</v>
      </c>
      <c r="J23" s="30" t="e">
        <f>VLOOKUP(B23,'Train Runs'!$A$13:$A$99927,1,FALSE)</f>
        <v>#N/A</v>
      </c>
    </row>
    <row r="24" spans="1:10" x14ac:dyDescent="0.25">
      <c r="A24" s="195"/>
      <c r="B24" s="42" t="str">
        <f>A24&amp;"-"&amp;IF(DAY(Variables!$A$2)&lt;10,0,"")&amp;DAY(Variables!$A$2)</f>
        <v>-01</v>
      </c>
      <c r="C24" s="135"/>
      <c r="D24" s="153"/>
      <c r="E24" s="30"/>
      <c r="F24" s="21" t="e">
        <f>VLOOKUP(B24,'Trips&amp;Operators'!$C$2:$E$10000,3,FALSE)</f>
        <v>#N/A</v>
      </c>
      <c r="G24" s="21" t="e">
        <f>VLOOKUP(B24,'Trips&amp;Operators'!$C$1:$F$10000,4,FALSE)</f>
        <v>#N/A</v>
      </c>
      <c r="H24" s="29" t="e">
        <f>VLOOKUP(B24,'Trips&amp;Operators'!$C$1:$H$10000,5,FALSE)</f>
        <v>#N/A</v>
      </c>
      <c r="I24" s="45" t="str">
        <f t="shared" ref="I24:I44" si="1">"https://d0f6bd738d7f1b3e5a7ca70fe4ff75f0.us-east-1.aws.found.io/app/kibana#/discover/Steve-Slow-Train-Analysis-(2080s-and-2083s)?_g="&amp;"(refreshInterval:(display:Off,pause:!f,section:0,value:0),time:(from:now-7d,mode:quick,to:now))&amp;_a=(columns:!('Locomotive%20ID','Data.Train%20ID','Message%20ID'),filters:!(),"&amp;"index:'emp_*',interval:auto,query:(query_string:(analyze_wildcard:!t,query:%22"&amp;B24&amp;"%22)),sort:!(Time.ISO8601,asc))"</f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-01%22)),sort:!(Time.ISO8601,asc))</v>
      </c>
      <c r="J24" s="30" t="e">
        <f>VLOOKUP(B24,'Train Runs'!$A$13:$A$99927,1,FALSE)</f>
        <v>#N/A</v>
      </c>
    </row>
    <row r="25" spans="1:10" x14ac:dyDescent="0.25">
      <c r="A25" s="195"/>
      <c r="B25" s="42" t="str">
        <f>A25&amp;"-"&amp;IF(DAY(Variables!$A$2)&lt;10,0,"")&amp;DAY(Variables!$A$2)</f>
        <v>-01</v>
      </c>
      <c r="C25" s="135"/>
      <c r="D25" s="153"/>
      <c r="E25" s="30"/>
      <c r="F25" s="21" t="e">
        <f>VLOOKUP(B25,'Trips&amp;Operators'!$C$2:$E$10000,3,FALSE)</f>
        <v>#N/A</v>
      </c>
      <c r="G25" s="21" t="e">
        <f>VLOOKUP(B25,'Trips&amp;Operators'!$C$1:$F$10000,4,FALSE)</f>
        <v>#N/A</v>
      </c>
      <c r="H25" s="29" t="e">
        <f>VLOOKUP(B25,'Trips&amp;Operators'!$C$1:$H$10000,5,FALSE)</f>
        <v>#N/A</v>
      </c>
      <c r="I25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-01%22)),sort:!(Time.ISO8601,asc))</v>
      </c>
      <c r="J25" s="30" t="e">
        <f>VLOOKUP(B25,'Train Runs'!$A$13:$A$99927,1,FALSE)</f>
        <v>#N/A</v>
      </c>
    </row>
    <row r="26" spans="1:10" x14ac:dyDescent="0.25">
      <c r="A26" s="195"/>
      <c r="B26" s="42" t="str">
        <f>A26&amp;"-"&amp;IF(DAY(Variables!$A$2)&lt;10,0,"")&amp;DAY(Variables!$A$2)</f>
        <v>-01</v>
      </c>
      <c r="C26" s="135"/>
      <c r="D26" s="153"/>
      <c r="E26" s="30"/>
      <c r="F26" s="21" t="e">
        <f>VLOOKUP(B26,'Trips&amp;Operators'!$C$2:$E$10000,3,FALSE)</f>
        <v>#N/A</v>
      </c>
      <c r="G26" s="21" t="e">
        <f>VLOOKUP(B26,'Trips&amp;Operators'!$C$1:$F$10000,4,FALSE)</f>
        <v>#N/A</v>
      </c>
      <c r="H26" s="29" t="e">
        <f>VLOOKUP(B26,'Trips&amp;Operators'!$C$1:$H$10000,5,FALSE)</f>
        <v>#N/A</v>
      </c>
      <c r="I26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-01%22)),sort:!(Time.ISO8601,asc))</v>
      </c>
      <c r="J26" s="30" t="e">
        <f>VLOOKUP(B26,'Train Runs'!$A$13:$A$99927,1,FALSE)</f>
        <v>#N/A</v>
      </c>
    </row>
    <row r="27" spans="1:10" x14ac:dyDescent="0.25">
      <c r="A27" s="195"/>
      <c r="B27" s="42" t="str">
        <f>A27&amp;"-"&amp;IF(DAY(Variables!$A$2)&lt;10,0,"")&amp;DAY(Variables!$A$2)</f>
        <v>-01</v>
      </c>
      <c r="C27" s="135"/>
      <c r="D27" s="153"/>
      <c r="E27" s="30"/>
      <c r="F27" s="21" t="e">
        <f>VLOOKUP(B27,'Trips&amp;Operators'!$C$2:$E$10000,3,FALSE)</f>
        <v>#N/A</v>
      </c>
      <c r="G27" s="21" t="e">
        <f>VLOOKUP(B27,'Trips&amp;Operators'!$C$1:$F$10000,4,FALSE)</f>
        <v>#N/A</v>
      </c>
      <c r="H27" s="29" t="e">
        <f>VLOOKUP(B27,'Trips&amp;Operators'!$C$1:$H$10000,5,FALSE)</f>
        <v>#N/A</v>
      </c>
      <c r="I27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-01%22)),sort:!(Time.ISO8601,asc))</v>
      </c>
      <c r="J27" s="30" t="e">
        <f>VLOOKUP(B27,'Train Runs'!$A$13:$A$99927,1,FALSE)</f>
        <v>#N/A</v>
      </c>
    </row>
    <row r="28" spans="1:10" x14ac:dyDescent="0.25">
      <c r="A28" s="195"/>
      <c r="B28" s="42" t="str">
        <f>A28&amp;"-"&amp;IF(DAY(Variables!$A$2)&lt;10,0,"")&amp;DAY(Variables!$A$2)</f>
        <v>-01</v>
      </c>
      <c r="C28" s="135"/>
      <c r="D28" s="153"/>
      <c r="E28" s="30"/>
      <c r="F28" s="21" t="e">
        <f>VLOOKUP(B28,'Trips&amp;Operators'!$C$2:$E$10000,3,FALSE)</f>
        <v>#N/A</v>
      </c>
      <c r="G28" s="21" t="e">
        <f>VLOOKUP(B28,'Trips&amp;Operators'!$C$1:$F$10000,4,FALSE)</f>
        <v>#N/A</v>
      </c>
      <c r="H28" s="29" t="e">
        <f>VLOOKUP(B28,'Trips&amp;Operators'!$C$1:$H$10000,5,FALSE)</f>
        <v>#N/A</v>
      </c>
      <c r="I28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-01%22)),sort:!(Time.ISO8601,asc))</v>
      </c>
      <c r="J28" s="30" t="e">
        <f>VLOOKUP(B28,'Train Runs'!$A$13:$A$99927,1,FALSE)</f>
        <v>#N/A</v>
      </c>
    </row>
    <row r="29" spans="1:10" x14ac:dyDescent="0.25">
      <c r="A29" s="195"/>
      <c r="B29" s="42" t="str">
        <f>A29&amp;"-"&amp;IF(DAY(Variables!$A$2)&lt;10,0,"")&amp;DAY(Variables!$A$2)</f>
        <v>-01</v>
      </c>
      <c r="C29" s="135"/>
      <c r="D29" s="153"/>
      <c r="E29" s="30"/>
      <c r="F29" s="21" t="e">
        <f>VLOOKUP(B29,'Trips&amp;Operators'!$C$2:$E$10000,3,FALSE)</f>
        <v>#N/A</v>
      </c>
      <c r="G29" s="21" t="e">
        <f>VLOOKUP(B29,'Trips&amp;Operators'!$C$1:$F$10000,4,FALSE)</f>
        <v>#N/A</v>
      </c>
      <c r="H29" s="29" t="e">
        <f>VLOOKUP(B29,'Trips&amp;Operators'!$C$1:$H$10000,5,FALSE)</f>
        <v>#N/A</v>
      </c>
      <c r="I29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-01%22)),sort:!(Time.ISO8601,asc))</v>
      </c>
      <c r="J29" s="30" t="e">
        <f>VLOOKUP(B29,'Train Runs'!$A$13:$A$99927,1,FALSE)</f>
        <v>#N/A</v>
      </c>
    </row>
    <row r="30" spans="1:10" x14ac:dyDescent="0.25">
      <c r="A30" s="195"/>
      <c r="B30" s="42" t="str">
        <f>A30&amp;"-"&amp;IF(DAY(Variables!$A$2)&lt;10,0,"")&amp;DAY(Variables!$A$2)</f>
        <v>-01</v>
      </c>
      <c r="C30" s="135"/>
      <c r="D30" s="153"/>
      <c r="E30" s="30"/>
      <c r="F30" s="21" t="e">
        <f>VLOOKUP(B30,'Trips&amp;Operators'!$C$2:$E$10000,3,FALSE)</f>
        <v>#N/A</v>
      </c>
      <c r="G30" s="21" t="e">
        <f>VLOOKUP(B30,'Trips&amp;Operators'!$C$1:$F$10000,4,FALSE)</f>
        <v>#N/A</v>
      </c>
      <c r="H30" s="29" t="e">
        <f>VLOOKUP(B30,'Trips&amp;Operators'!$C$1:$H$10000,5,FALSE)</f>
        <v>#N/A</v>
      </c>
      <c r="I30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-01%22)),sort:!(Time.ISO8601,asc))</v>
      </c>
      <c r="J30" s="30" t="e">
        <f>VLOOKUP(B30,'Train Runs'!$A$13:$A$99927,1,FALSE)</f>
        <v>#N/A</v>
      </c>
    </row>
    <row r="31" spans="1:10" x14ac:dyDescent="0.25">
      <c r="A31" s="195"/>
      <c r="B31" s="42" t="str">
        <f>A31&amp;"-"&amp;IF(DAY(Variables!$A$2)&lt;10,0,"")&amp;DAY(Variables!$A$2)</f>
        <v>-01</v>
      </c>
      <c r="C31" s="135"/>
      <c r="D31" s="153"/>
      <c r="E31" s="30"/>
      <c r="F31" s="21" t="e">
        <f>VLOOKUP(B31,'Trips&amp;Operators'!$C$2:$E$10000,3,FALSE)</f>
        <v>#N/A</v>
      </c>
      <c r="G31" s="21" t="e">
        <f>VLOOKUP(B31,'Trips&amp;Operators'!$C$1:$F$10000,4,FALSE)</f>
        <v>#N/A</v>
      </c>
      <c r="H31" s="29" t="e">
        <f>VLOOKUP(B31,'Trips&amp;Operators'!$C$1:$H$10000,5,FALSE)</f>
        <v>#N/A</v>
      </c>
      <c r="I31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-01%22)),sort:!(Time.ISO8601,asc))</v>
      </c>
      <c r="J31" s="30" t="e">
        <f>VLOOKUP(B31,'Train Runs'!$A$13:$A$99927,1,FALSE)</f>
        <v>#N/A</v>
      </c>
    </row>
    <row r="32" spans="1:10" x14ac:dyDescent="0.25">
      <c r="A32" s="195"/>
      <c r="B32" s="42" t="str">
        <f>A32&amp;"-"&amp;IF(DAY(Variables!$A$2)&lt;10,0,"")&amp;DAY(Variables!$A$2)</f>
        <v>-01</v>
      </c>
      <c r="C32" s="135"/>
      <c r="D32" s="153"/>
      <c r="E32" s="30"/>
      <c r="F32" s="21" t="e">
        <f>VLOOKUP(B32,'Trips&amp;Operators'!$C$2:$E$10000,3,FALSE)</f>
        <v>#N/A</v>
      </c>
      <c r="G32" s="21" t="e">
        <f>VLOOKUP(B32,'Trips&amp;Operators'!$C$1:$F$10000,4,FALSE)</f>
        <v>#N/A</v>
      </c>
      <c r="H32" s="29" t="e">
        <f>VLOOKUP(B32,'Trips&amp;Operators'!$C$1:$H$10000,5,FALSE)</f>
        <v>#N/A</v>
      </c>
      <c r="I32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-01%22)),sort:!(Time.ISO8601,asc))</v>
      </c>
      <c r="J32" s="30" t="e">
        <f>VLOOKUP(B32,'Train Runs'!$A$13:$A$99927,1,FALSE)</f>
        <v>#N/A</v>
      </c>
    </row>
    <row r="33" spans="1:10" x14ac:dyDescent="0.25">
      <c r="A33" s="195"/>
      <c r="B33" s="42" t="str">
        <f>A33&amp;"-"&amp;IF(DAY(Variables!$A$2)&lt;10,0,"")&amp;DAY(Variables!$A$2)</f>
        <v>-01</v>
      </c>
      <c r="C33" s="135"/>
      <c r="D33" s="153"/>
      <c r="E33" s="30"/>
      <c r="F33" s="21" t="e">
        <f>VLOOKUP(B33,'Trips&amp;Operators'!$C$2:$E$10000,3,FALSE)</f>
        <v>#N/A</v>
      </c>
      <c r="G33" s="21" t="e">
        <f>VLOOKUP(B33,'Trips&amp;Operators'!$C$1:$F$10000,4,FALSE)</f>
        <v>#N/A</v>
      </c>
      <c r="H33" s="29" t="e">
        <f>VLOOKUP(B33,'Trips&amp;Operators'!$C$1:$H$10000,5,FALSE)</f>
        <v>#N/A</v>
      </c>
      <c r="I33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-01%22)),sort:!(Time.ISO8601,asc))</v>
      </c>
      <c r="J33" s="30" t="e">
        <f>VLOOKUP(B33,'Train Runs'!$A$13:$A$99927,1,FALSE)</f>
        <v>#N/A</v>
      </c>
    </row>
    <row r="34" spans="1:10" x14ac:dyDescent="0.25">
      <c r="A34" s="195"/>
      <c r="B34" s="42" t="str">
        <f>A34&amp;"-"&amp;IF(DAY(Variables!$A$2)&lt;10,0,"")&amp;DAY(Variables!$A$2)</f>
        <v>-01</v>
      </c>
      <c r="C34" s="135"/>
      <c r="D34" s="153"/>
      <c r="E34" s="30"/>
      <c r="F34" s="21" t="e">
        <f>VLOOKUP(B34,'Trips&amp;Operators'!$C$2:$E$10000,3,FALSE)</f>
        <v>#N/A</v>
      </c>
      <c r="G34" s="21" t="e">
        <f>VLOOKUP(B34,'Trips&amp;Operators'!$C$1:$F$10000,4,FALSE)</f>
        <v>#N/A</v>
      </c>
      <c r="H34" s="29" t="e">
        <f>VLOOKUP(B34,'Trips&amp;Operators'!$C$1:$H$10000,5,FALSE)</f>
        <v>#N/A</v>
      </c>
      <c r="I34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-01%22)),sort:!(Time.ISO8601,asc))</v>
      </c>
      <c r="J34" s="30" t="e">
        <f>VLOOKUP(B34,'Train Runs'!$A$13:$A$99927,1,FALSE)</f>
        <v>#N/A</v>
      </c>
    </row>
    <row r="35" spans="1:10" x14ac:dyDescent="0.25">
      <c r="A35" s="195"/>
      <c r="B35" s="42" t="str">
        <f>A35&amp;"-"&amp;IF(DAY(Variables!$A$2)&lt;10,0,"")&amp;DAY(Variables!$A$2)</f>
        <v>-01</v>
      </c>
      <c r="C35" s="135"/>
      <c r="D35" s="153"/>
      <c r="E35" s="30"/>
      <c r="F35" s="21" t="e">
        <f>VLOOKUP(B35,'Trips&amp;Operators'!$C$2:$E$10000,3,FALSE)</f>
        <v>#N/A</v>
      </c>
      <c r="G35" s="21" t="e">
        <f>VLOOKUP(B35,'Trips&amp;Operators'!$C$1:$F$10000,4,FALSE)</f>
        <v>#N/A</v>
      </c>
      <c r="H35" s="29" t="e">
        <f>VLOOKUP(B35,'Trips&amp;Operators'!$C$1:$H$10000,5,FALSE)</f>
        <v>#N/A</v>
      </c>
      <c r="I35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-01%22)),sort:!(Time.ISO8601,asc))</v>
      </c>
      <c r="J35" s="30" t="e">
        <f>VLOOKUP(B35,'Train Runs'!$A$13:$A$99927,1,FALSE)</f>
        <v>#N/A</v>
      </c>
    </row>
    <row r="36" spans="1:10" x14ac:dyDescent="0.25">
      <c r="A36" s="195"/>
      <c r="B36" s="42" t="str">
        <f>A36&amp;"-"&amp;IF(DAY(Variables!$A$2)&lt;10,0,"")&amp;DAY(Variables!$A$2)</f>
        <v>-01</v>
      </c>
      <c r="C36" s="135"/>
      <c r="D36" s="153"/>
      <c r="E36" s="30"/>
      <c r="F36" s="21" t="e">
        <f>VLOOKUP(B36,'Trips&amp;Operators'!$C$2:$E$10000,3,FALSE)</f>
        <v>#N/A</v>
      </c>
      <c r="G36" s="21" t="e">
        <f>VLOOKUP(B36,'Trips&amp;Operators'!$C$1:$F$10000,4,FALSE)</f>
        <v>#N/A</v>
      </c>
      <c r="H36" s="29" t="e">
        <f>VLOOKUP(B36,'Trips&amp;Operators'!$C$1:$H$10000,5,FALSE)</f>
        <v>#N/A</v>
      </c>
      <c r="I36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-01%22)),sort:!(Time.ISO8601,asc))</v>
      </c>
      <c r="J36" s="30" t="e">
        <f>VLOOKUP(B36,'Train Runs'!$A$13:$A$99927,1,FALSE)</f>
        <v>#N/A</v>
      </c>
    </row>
    <row r="37" spans="1:10" x14ac:dyDescent="0.25">
      <c r="A37" s="195"/>
      <c r="B37" s="42" t="str">
        <f>A37&amp;"-"&amp;IF(DAY(Variables!$A$2)&lt;10,0,"")&amp;DAY(Variables!$A$2)</f>
        <v>-01</v>
      </c>
      <c r="C37" s="135"/>
      <c r="D37" s="153"/>
      <c r="E37" s="30"/>
      <c r="F37" s="21" t="e">
        <f>VLOOKUP(B37,'Trips&amp;Operators'!$C$2:$E$10000,3,FALSE)</f>
        <v>#N/A</v>
      </c>
      <c r="G37" s="21" t="e">
        <f>VLOOKUP(B37,'Trips&amp;Operators'!$C$1:$F$10000,4,FALSE)</f>
        <v>#N/A</v>
      </c>
      <c r="H37" s="29" t="e">
        <f>VLOOKUP(B37,'Trips&amp;Operators'!$C$1:$H$10000,5,FALSE)</f>
        <v>#N/A</v>
      </c>
      <c r="I37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-01%22)),sort:!(Time.ISO8601,asc))</v>
      </c>
      <c r="J37" s="30" t="e">
        <f>VLOOKUP(B37,'Train Runs'!$A$13:$A$99927,1,FALSE)</f>
        <v>#N/A</v>
      </c>
    </row>
    <row r="38" spans="1:10" x14ac:dyDescent="0.25">
      <c r="A38" s="195"/>
      <c r="B38" s="42" t="str">
        <f>A38&amp;"-"&amp;IF(DAY(Variables!$A$2)&lt;10,0,"")&amp;DAY(Variables!$A$2)</f>
        <v>-01</v>
      </c>
      <c r="C38" s="135"/>
      <c r="D38" s="153"/>
      <c r="E38" s="30"/>
      <c r="F38" s="21" t="e">
        <f>VLOOKUP(B38,'Trips&amp;Operators'!$C$2:$E$10000,3,FALSE)</f>
        <v>#N/A</v>
      </c>
      <c r="G38" s="21" t="e">
        <f>VLOOKUP(B38,'Trips&amp;Operators'!$C$1:$F$10000,4,FALSE)</f>
        <v>#N/A</v>
      </c>
      <c r="H38" s="29" t="e">
        <f>VLOOKUP(B38,'Trips&amp;Operators'!$C$1:$H$10000,5,FALSE)</f>
        <v>#N/A</v>
      </c>
      <c r="I38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-01%22)),sort:!(Time.ISO8601,asc))</v>
      </c>
      <c r="J38" s="30" t="e">
        <f>VLOOKUP(B38,'Train Runs'!$A$13:$A$99927,1,FALSE)</f>
        <v>#N/A</v>
      </c>
    </row>
    <row r="39" spans="1:10" x14ac:dyDescent="0.25">
      <c r="A39" s="195"/>
      <c r="B39" s="42" t="str">
        <f>A39&amp;"-"&amp;IF(DAY(Variables!$A$2)&lt;10,0,"")&amp;DAY(Variables!$A$2)</f>
        <v>-01</v>
      </c>
      <c r="C39" s="135"/>
      <c r="D39" s="153"/>
      <c r="E39" s="30"/>
      <c r="F39" s="21" t="e">
        <f>VLOOKUP(B39,'Trips&amp;Operators'!$C$2:$E$10000,3,FALSE)</f>
        <v>#N/A</v>
      </c>
      <c r="G39" s="21" t="e">
        <f>VLOOKUP(B39,'Trips&amp;Operators'!$C$1:$F$10000,4,FALSE)</f>
        <v>#N/A</v>
      </c>
      <c r="H39" s="29" t="e">
        <f>VLOOKUP(B39,'Trips&amp;Operators'!$C$1:$H$10000,5,FALSE)</f>
        <v>#N/A</v>
      </c>
      <c r="I39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-01%22)),sort:!(Time.ISO8601,asc))</v>
      </c>
      <c r="J39" s="30" t="e">
        <f>VLOOKUP(B39,'Train Runs'!$A$13:$A$99927,1,FALSE)</f>
        <v>#N/A</v>
      </c>
    </row>
    <row r="40" spans="1:10" x14ac:dyDescent="0.25">
      <c r="A40" s="195"/>
      <c r="B40" s="42" t="str">
        <f>A40&amp;"-"&amp;IF(DAY(Variables!$A$2)&lt;10,0,"")&amp;DAY(Variables!$A$2)</f>
        <v>-01</v>
      </c>
      <c r="C40" s="135"/>
      <c r="D40" s="153"/>
      <c r="E40" s="30"/>
      <c r="F40" s="21" t="e">
        <f>VLOOKUP(B40,'Trips&amp;Operators'!$C$2:$E$10000,3,FALSE)</f>
        <v>#N/A</v>
      </c>
      <c r="G40" s="21" t="e">
        <f>VLOOKUP(B40,'Trips&amp;Operators'!$C$1:$F$10000,4,FALSE)</f>
        <v>#N/A</v>
      </c>
      <c r="H40" s="29" t="e">
        <f>VLOOKUP(B40,'Trips&amp;Operators'!$C$1:$H$10000,5,FALSE)</f>
        <v>#N/A</v>
      </c>
      <c r="I40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-01%22)),sort:!(Time.ISO8601,asc))</v>
      </c>
      <c r="J40" s="30" t="e">
        <f>VLOOKUP(B40,'Train Runs'!$A$13:$A$99927,1,FALSE)</f>
        <v>#N/A</v>
      </c>
    </row>
    <row r="41" spans="1:10" x14ac:dyDescent="0.25">
      <c r="A41" s="195"/>
      <c r="B41" s="42" t="str">
        <f>A41&amp;"-"&amp;IF(DAY(Variables!$A$2)&lt;10,0,"")&amp;DAY(Variables!$A$2)</f>
        <v>-01</v>
      </c>
      <c r="C41" s="135"/>
      <c r="D41" s="153"/>
      <c r="E41" s="30"/>
      <c r="F41" s="21" t="e">
        <f>VLOOKUP(B41,'Trips&amp;Operators'!$C$2:$E$10000,3,FALSE)</f>
        <v>#N/A</v>
      </c>
      <c r="G41" s="21" t="e">
        <f>VLOOKUP(B41,'Trips&amp;Operators'!$C$1:$F$10000,4,FALSE)</f>
        <v>#N/A</v>
      </c>
      <c r="H41" s="29" t="e">
        <f>VLOOKUP(B41,'Trips&amp;Operators'!$C$1:$H$10000,5,FALSE)</f>
        <v>#N/A</v>
      </c>
      <c r="I41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-01%22)),sort:!(Time.ISO8601,asc))</v>
      </c>
      <c r="J41" s="30" t="e">
        <f>VLOOKUP(B41,'Train Runs'!$A$13:$A$99927,1,FALSE)</f>
        <v>#N/A</v>
      </c>
    </row>
    <row r="42" spans="1:10" x14ac:dyDescent="0.25">
      <c r="A42" s="195"/>
      <c r="B42" s="42" t="str">
        <f>A42&amp;"-"&amp;IF(DAY(Variables!$A$2)&lt;10,0,"")&amp;DAY(Variables!$A$2)</f>
        <v>-01</v>
      </c>
      <c r="C42" s="135"/>
      <c r="D42" s="153"/>
      <c r="E42" s="30"/>
      <c r="F42" s="21" t="e">
        <f>VLOOKUP(B42,'Trips&amp;Operators'!$C$2:$E$10000,3,FALSE)</f>
        <v>#N/A</v>
      </c>
      <c r="G42" s="21" t="e">
        <f>VLOOKUP(B42,'Trips&amp;Operators'!$C$1:$F$10000,4,FALSE)</f>
        <v>#N/A</v>
      </c>
      <c r="H42" s="29" t="e">
        <f>VLOOKUP(B42,'Trips&amp;Operators'!$C$1:$H$10000,5,FALSE)</f>
        <v>#N/A</v>
      </c>
      <c r="I42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-01%22)),sort:!(Time.ISO8601,asc))</v>
      </c>
      <c r="J42" s="30" t="e">
        <f>VLOOKUP(B42,'Train Runs'!$A$13:$A$99927,1,FALSE)</f>
        <v>#N/A</v>
      </c>
    </row>
    <row r="43" spans="1:10" x14ac:dyDescent="0.25">
      <c r="A43" s="195"/>
      <c r="B43" s="42" t="str">
        <f>A43&amp;"-"&amp;IF(DAY(Variables!$A$2)&lt;10,0,"")&amp;DAY(Variables!$A$2)</f>
        <v>-01</v>
      </c>
      <c r="C43" s="135"/>
      <c r="D43" s="153"/>
      <c r="E43" s="30"/>
      <c r="F43" s="21" t="e">
        <f>VLOOKUP(B43,'Trips&amp;Operators'!$C$2:$E$10000,3,FALSE)</f>
        <v>#N/A</v>
      </c>
      <c r="G43" s="21" t="e">
        <f>VLOOKUP(B43,'Trips&amp;Operators'!$C$1:$F$10000,4,FALSE)</f>
        <v>#N/A</v>
      </c>
      <c r="H43" s="29" t="e">
        <f>VLOOKUP(B43,'Trips&amp;Operators'!$C$1:$H$10000,5,FALSE)</f>
        <v>#N/A</v>
      </c>
      <c r="I43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-01%22)),sort:!(Time.ISO8601,asc))</v>
      </c>
      <c r="J43" s="30" t="e">
        <f>VLOOKUP(B43,'Train Runs'!$A$13:$A$99927,1,FALSE)</f>
        <v>#N/A</v>
      </c>
    </row>
    <row r="44" spans="1:10" x14ac:dyDescent="0.25">
      <c r="A44" s="195"/>
      <c r="B44" s="42" t="str">
        <f>A44&amp;"-"&amp;IF(DAY(Variables!$A$2)&lt;10,0,"")&amp;DAY(Variables!$A$2)</f>
        <v>-01</v>
      </c>
      <c r="C44" s="135"/>
      <c r="D44" s="153"/>
      <c r="E44" s="30"/>
      <c r="F44" s="21" t="e">
        <f>VLOOKUP(B44,'Trips&amp;Operators'!$C$2:$E$10000,3,FALSE)</f>
        <v>#N/A</v>
      </c>
      <c r="G44" s="21" t="e">
        <f>VLOOKUP(B44,'Trips&amp;Operators'!$C$1:$F$10000,4,FALSE)</f>
        <v>#N/A</v>
      </c>
      <c r="H44" s="29" t="e">
        <f>VLOOKUP(B44,'Trips&amp;Operators'!$C$1:$H$10000,5,FALSE)</f>
        <v>#N/A</v>
      </c>
      <c r="I44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-01%22)),sort:!(Time.ISO8601,asc))</v>
      </c>
      <c r="J44" s="30" t="e">
        <f>VLOOKUP(B44,'Train Runs'!$A$13:$A$99927,1,FALSE)</f>
        <v>#N/A</v>
      </c>
    </row>
    <row r="45" spans="1:10" x14ac:dyDescent="0.25">
      <c r="A45" s="195"/>
      <c r="B45" s="42"/>
      <c r="C45" s="135"/>
      <c r="D45" s="153"/>
      <c r="E45" s="30"/>
      <c r="F45" s="21"/>
      <c r="G45" s="21"/>
      <c r="H45" s="29"/>
      <c r="I45" s="45"/>
      <c r="J45" s="30"/>
    </row>
    <row r="46" spans="1:10" x14ac:dyDescent="0.25">
      <c r="A46" s="195"/>
      <c r="B46" s="42"/>
      <c r="C46" s="135"/>
      <c r="D46" s="153"/>
      <c r="E46" s="30"/>
      <c r="F46" s="21"/>
      <c r="G46" s="21"/>
      <c r="H46" s="29"/>
      <c r="I46" s="45"/>
      <c r="J46" s="30"/>
    </row>
    <row r="47" spans="1:10" x14ac:dyDescent="0.25">
      <c r="A47" s="195"/>
      <c r="B47" s="42"/>
      <c r="C47" s="135"/>
      <c r="D47" s="153"/>
      <c r="E47" s="30"/>
      <c r="F47" s="21"/>
      <c r="G47" s="21"/>
      <c r="H47" s="29"/>
      <c r="I47" s="45"/>
      <c r="J47" s="30"/>
    </row>
    <row r="48" spans="1:10" x14ac:dyDescent="0.25">
      <c r="A48" s="195"/>
      <c r="B48" s="42"/>
      <c r="C48" s="135"/>
      <c r="D48" s="153"/>
      <c r="E48" s="30"/>
      <c r="F48" s="21"/>
      <c r="G48" s="21"/>
      <c r="H48" s="29"/>
      <c r="I48" s="45"/>
      <c r="J48" s="30"/>
    </row>
    <row r="49" spans="1:10" x14ac:dyDescent="0.25">
      <c r="A49" s="195"/>
      <c r="B49" s="42"/>
      <c r="C49" s="135"/>
      <c r="D49" s="153"/>
      <c r="E49" s="30"/>
      <c r="F49" s="21"/>
      <c r="G49" s="21"/>
      <c r="H49" s="29"/>
      <c r="I49" s="45"/>
      <c r="J49" s="30"/>
    </row>
    <row r="50" spans="1:10" x14ac:dyDescent="0.25">
      <c r="A50" s="195"/>
      <c r="B50" s="42"/>
      <c r="C50" s="135"/>
      <c r="D50" s="153"/>
      <c r="E50" s="30"/>
      <c r="F50" s="21"/>
      <c r="G50" s="21"/>
      <c r="H50" s="29"/>
      <c r="I50" s="45"/>
      <c r="J50" s="30"/>
    </row>
    <row r="51" spans="1:10" x14ac:dyDescent="0.25">
      <c r="A51" s="195"/>
      <c r="B51" s="42"/>
      <c r="C51" s="135"/>
      <c r="D51" s="153"/>
      <c r="E51" s="30"/>
      <c r="F51" s="21"/>
      <c r="G51" s="21"/>
      <c r="H51" s="29"/>
      <c r="I51" s="45"/>
      <c r="J51" s="30"/>
    </row>
    <row r="52" spans="1:10" x14ac:dyDescent="0.25">
      <c r="A52" s="195"/>
      <c r="B52" s="42"/>
      <c r="C52" s="135"/>
      <c r="D52" s="153"/>
      <c r="E52" s="30"/>
      <c r="F52" s="21"/>
      <c r="G52" s="21"/>
      <c r="H52" s="29"/>
      <c r="I52" s="45"/>
      <c r="J52" s="30"/>
    </row>
    <row r="53" spans="1:10" x14ac:dyDescent="0.25">
      <c r="A53" s="195"/>
      <c r="B53" s="42"/>
      <c r="C53" s="135"/>
      <c r="D53" s="153"/>
      <c r="E53" s="30"/>
      <c r="F53" s="21"/>
      <c r="G53" s="21"/>
      <c r="H53" s="29"/>
      <c r="I53" s="45"/>
      <c r="J53" s="30"/>
    </row>
    <row r="54" spans="1:10" x14ac:dyDescent="0.25">
      <c r="A54" s="195"/>
      <c r="B54" s="42"/>
      <c r="C54" s="135"/>
      <c r="D54" s="153"/>
      <c r="E54" s="30"/>
      <c r="F54" s="21"/>
      <c r="G54" s="21"/>
      <c r="H54" s="29"/>
      <c r="I54" s="45"/>
      <c r="J54" s="30"/>
    </row>
    <row r="55" spans="1:10" x14ac:dyDescent="0.25">
      <c r="A55" s="195"/>
      <c r="B55" s="42"/>
      <c r="C55" s="135"/>
      <c r="D55" s="153"/>
      <c r="E55" s="30"/>
      <c r="F55" s="21"/>
      <c r="G55" s="21"/>
      <c r="H55" s="29"/>
      <c r="I55" s="45"/>
      <c r="J55" s="30"/>
    </row>
    <row r="56" spans="1:10" x14ac:dyDescent="0.25">
      <c r="A56" s="195"/>
      <c r="B56" s="42"/>
      <c r="C56" s="135"/>
      <c r="D56" s="153"/>
      <c r="E56" s="30"/>
      <c r="F56" s="21"/>
      <c r="G56" s="21"/>
      <c r="H56" s="29"/>
      <c r="I56" s="45"/>
      <c r="J56" s="30"/>
    </row>
    <row r="57" spans="1:10" x14ac:dyDescent="0.25">
      <c r="A57" s="195"/>
      <c r="B57" s="42"/>
      <c r="C57" s="135"/>
      <c r="D57" s="153"/>
      <c r="E57" s="30"/>
      <c r="F57" s="21"/>
      <c r="G57" s="21"/>
      <c r="H57" s="29"/>
      <c r="I57" s="45"/>
      <c r="J57" s="30"/>
    </row>
    <row r="58" spans="1:10" x14ac:dyDescent="0.25">
      <c r="A58" s="195"/>
      <c r="B58" s="42"/>
      <c r="C58" s="135"/>
      <c r="D58" s="153"/>
      <c r="E58" s="30"/>
      <c r="F58" s="21"/>
      <c r="G58" s="21"/>
      <c r="H58" s="29"/>
      <c r="I58" s="45"/>
      <c r="J58" s="30"/>
    </row>
    <row r="59" spans="1:10" x14ac:dyDescent="0.25">
      <c r="A59" s="195"/>
      <c r="B59" s="42"/>
      <c r="C59" s="135"/>
      <c r="D59" s="153"/>
      <c r="E59" s="30"/>
      <c r="F59" s="21"/>
      <c r="G59" s="21"/>
      <c r="H59" s="29"/>
      <c r="I59" s="45"/>
      <c r="J59" s="30"/>
    </row>
    <row r="60" spans="1:10" x14ac:dyDescent="0.25">
      <c r="A60" s="195"/>
      <c r="B60" s="42"/>
      <c r="C60" s="135"/>
      <c r="D60" s="153"/>
      <c r="E60" s="30"/>
      <c r="F60" s="21"/>
      <c r="G60" s="21"/>
      <c r="H60" s="29"/>
      <c r="I60" s="45"/>
      <c r="J60" s="30"/>
    </row>
    <row r="61" spans="1:10" x14ac:dyDescent="0.25">
      <c r="A61" s="195"/>
      <c r="B61" s="42"/>
      <c r="C61" s="135"/>
      <c r="D61" s="153"/>
      <c r="E61" s="30"/>
      <c r="F61" s="21"/>
      <c r="G61" s="21"/>
      <c r="H61" s="29"/>
      <c r="I61" s="45"/>
      <c r="J61" s="30"/>
    </row>
    <row r="62" spans="1:10" x14ac:dyDescent="0.25">
      <c r="A62" s="195"/>
      <c r="B62" s="42"/>
      <c r="C62" s="135"/>
      <c r="D62" s="153"/>
      <c r="E62" s="30"/>
      <c r="F62" s="21"/>
      <c r="G62" s="21"/>
      <c r="H62" s="29"/>
      <c r="I62" s="45"/>
      <c r="J62" s="30"/>
    </row>
    <row r="63" spans="1:10" x14ac:dyDescent="0.25">
      <c r="A63" s="195"/>
      <c r="B63" s="42"/>
      <c r="C63" s="135"/>
      <c r="D63" s="153"/>
      <c r="E63" s="30"/>
      <c r="F63" s="21"/>
      <c r="G63" s="21"/>
      <c r="H63" s="29"/>
      <c r="I63" s="45"/>
      <c r="J63" s="30"/>
    </row>
    <row r="64" spans="1:10" x14ac:dyDescent="0.25">
      <c r="A64" s="195"/>
      <c r="B64" s="42"/>
      <c r="C64" s="135"/>
      <c r="D64" s="153"/>
      <c r="E64" s="30"/>
      <c r="F64" s="21"/>
      <c r="G64" s="21"/>
      <c r="H64" s="29"/>
      <c r="I64" s="45"/>
      <c r="J64" s="30"/>
    </row>
    <row r="65" spans="1:10" x14ac:dyDescent="0.25">
      <c r="A65" s="195"/>
      <c r="B65" s="42"/>
      <c r="C65" s="135"/>
      <c r="D65" s="153"/>
      <c r="E65" s="30"/>
      <c r="F65" s="21"/>
      <c r="G65" s="21"/>
      <c r="H65" s="29"/>
      <c r="I65" s="45"/>
      <c r="J65" s="30"/>
    </row>
    <row r="66" spans="1:10" x14ac:dyDescent="0.25">
      <c r="A66" s="195"/>
      <c r="B66" s="42"/>
      <c r="C66" s="135"/>
      <c r="D66" s="153"/>
      <c r="E66" s="30"/>
      <c r="F66" s="21"/>
      <c r="G66" s="21"/>
      <c r="H66" s="29"/>
      <c r="I66" s="45"/>
      <c r="J66" s="30"/>
    </row>
    <row r="67" spans="1:10" x14ac:dyDescent="0.25">
      <c r="A67" s="195"/>
      <c r="B67" s="42"/>
      <c r="C67" s="135"/>
      <c r="D67" s="153"/>
      <c r="E67" s="30"/>
      <c r="F67" s="21"/>
      <c r="G67" s="21"/>
      <c r="H67" s="29"/>
      <c r="I67" s="45"/>
      <c r="J67" s="30"/>
    </row>
    <row r="68" spans="1:10" x14ac:dyDescent="0.25">
      <c r="A68" s="195"/>
      <c r="B68" s="42"/>
      <c r="C68" s="135"/>
      <c r="D68" s="153"/>
      <c r="E68" s="30"/>
      <c r="F68" s="21"/>
      <c r="G68" s="21"/>
      <c r="H68" s="29"/>
      <c r="I68" s="45"/>
      <c r="J68" s="30"/>
    </row>
    <row r="69" spans="1:10" x14ac:dyDescent="0.25">
      <c r="A69" s="195"/>
      <c r="B69" s="42"/>
      <c r="C69" s="135"/>
      <c r="D69" s="153"/>
      <c r="E69" s="30"/>
      <c r="F69" s="21"/>
      <c r="G69" s="21"/>
      <c r="H69" s="29"/>
      <c r="I69" s="45"/>
      <c r="J69" s="30"/>
    </row>
    <row r="70" spans="1:10" x14ac:dyDescent="0.25">
      <c r="A70" s="195"/>
      <c r="B70" s="42"/>
      <c r="C70" s="135"/>
      <c r="D70" s="153"/>
      <c r="E70" s="30"/>
      <c r="F70" s="21"/>
      <c r="G70" s="21"/>
      <c r="H70" s="29"/>
      <c r="I70" s="45"/>
      <c r="J70" s="30"/>
    </row>
    <row r="71" spans="1:10" x14ac:dyDescent="0.25">
      <c r="A71" s="195"/>
      <c r="B71" s="42"/>
      <c r="C71" s="135"/>
      <c r="D71" s="153"/>
      <c r="E71" s="30"/>
      <c r="F71" s="21"/>
      <c r="G71" s="21"/>
      <c r="H71" s="29"/>
      <c r="I71" s="45"/>
      <c r="J71" s="30"/>
    </row>
    <row r="72" spans="1:10" x14ac:dyDescent="0.25">
      <c r="A72" s="195"/>
      <c r="B72" s="42"/>
      <c r="C72" s="135"/>
      <c r="D72" s="153"/>
      <c r="E72" s="30"/>
      <c r="F72" s="21"/>
      <c r="G72" s="21"/>
      <c r="H72" s="29"/>
      <c r="I72" s="45"/>
      <c r="J72" s="30"/>
    </row>
    <row r="73" spans="1:10" x14ac:dyDescent="0.25">
      <c r="A73" s="195"/>
      <c r="B73" s="42"/>
      <c r="C73" s="135"/>
      <c r="D73" s="153"/>
      <c r="E73" s="30"/>
      <c r="F73" s="21"/>
      <c r="G73" s="21"/>
      <c r="H73" s="29"/>
      <c r="I73" s="45"/>
      <c r="J73" s="30"/>
    </row>
    <row r="74" spans="1:10" x14ac:dyDescent="0.25">
      <c r="A74" s="195"/>
      <c r="B74" s="42"/>
      <c r="C74" s="135"/>
      <c r="D74" s="153"/>
      <c r="E74" s="30"/>
      <c r="F74" s="21"/>
      <c r="G74" s="21"/>
      <c r="H74" s="29"/>
      <c r="I74" s="45"/>
      <c r="J74" s="30"/>
    </row>
    <row r="75" spans="1:10" x14ac:dyDescent="0.25">
      <c r="A75" s="195"/>
      <c r="B75" s="42"/>
      <c r="C75" s="135"/>
      <c r="D75" s="153"/>
      <c r="E75" s="30"/>
      <c r="F75" s="21"/>
      <c r="G75" s="21"/>
      <c r="H75" s="29"/>
      <c r="I75" s="45"/>
      <c r="J75" s="30"/>
    </row>
    <row r="76" spans="1:10" x14ac:dyDescent="0.25">
      <c r="A76" s="195"/>
      <c r="B76" s="42"/>
      <c r="C76" s="135"/>
      <c r="D76" s="153"/>
      <c r="E76" s="30"/>
      <c r="F76" s="21"/>
      <c r="G76" s="21"/>
      <c r="H76" s="29"/>
      <c r="I76" s="45"/>
      <c r="J76" s="30"/>
    </row>
    <row r="77" spans="1:10" x14ac:dyDescent="0.25">
      <c r="A77" s="195"/>
      <c r="B77" s="42"/>
      <c r="C77" s="135"/>
      <c r="D77" s="153"/>
      <c r="E77" s="30"/>
      <c r="F77" s="21"/>
      <c r="G77" s="21"/>
      <c r="H77" s="29"/>
      <c r="I77" s="45"/>
      <c r="J77" s="30"/>
    </row>
    <row r="78" spans="1:10" x14ac:dyDescent="0.25">
      <c r="A78" s="195"/>
      <c r="B78" s="42"/>
      <c r="C78" s="135"/>
      <c r="D78" s="153"/>
      <c r="E78" s="30"/>
      <c r="F78" s="21"/>
      <c r="G78" s="21"/>
      <c r="H78" s="29"/>
      <c r="I78" s="45"/>
      <c r="J78" s="30"/>
    </row>
    <row r="79" spans="1:10" x14ac:dyDescent="0.25">
      <c r="A79" s="195"/>
      <c r="B79" s="42"/>
      <c r="C79" s="135"/>
      <c r="D79" s="153"/>
      <c r="E79" s="30"/>
      <c r="F79" s="21"/>
      <c r="G79" s="21"/>
      <c r="H79" s="29"/>
      <c r="I79" s="45"/>
      <c r="J79" s="30"/>
    </row>
    <row r="80" spans="1:10" x14ac:dyDescent="0.25">
      <c r="A80" s="195"/>
      <c r="B80" s="42"/>
      <c r="C80" s="135"/>
      <c r="D80" s="153"/>
      <c r="E80" s="30"/>
      <c r="F80" s="21"/>
      <c r="G80" s="21"/>
      <c r="H80" s="29"/>
      <c r="I80" s="45"/>
      <c r="J80" s="30"/>
    </row>
    <row r="81" spans="1:10" x14ac:dyDescent="0.25">
      <c r="A81" s="195"/>
      <c r="B81" s="42"/>
      <c r="C81" s="135"/>
      <c r="D81" s="153"/>
      <c r="E81" s="30"/>
      <c r="F81" s="21"/>
      <c r="G81" s="21"/>
      <c r="H81" s="29"/>
      <c r="I81" s="45"/>
      <c r="J81" s="30"/>
    </row>
    <row r="82" spans="1:10" x14ac:dyDescent="0.25">
      <c r="A82" s="195"/>
      <c r="B82" s="42"/>
      <c r="C82" s="135"/>
      <c r="D82" s="153"/>
      <c r="E82" s="30"/>
      <c r="F82" s="21"/>
      <c r="G82" s="21"/>
      <c r="H82" s="29"/>
      <c r="I82" s="45"/>
      <c r="J82" s="30"/>
    </row>
    <row r="83" spans="1:10" x14ac:dyDescent="0.25">
      <c r="A83" s="195"/>
      <c r="B83" s="42"/>
      <c r="C83" s="135"/>
      <c r="D83" s="153"/>
      <c r="E83" s="30"/>
      <c r="F83" s="21"/>
      <c r="G83" s="21"/>
      <c r="H83" s="29"/>
      <c r="I83" s="45"/>
      <c r="J83" s="30"/>
    </row>
    <row r="84" spans="1:10" x14ac:dyDescent="0.25">
      <c r="A84" s="195"/>
      <c r="B84" s="42"/>
      <c r="C84" s="135"/>
      <c r="D84" s="153"/>
      <c r="E84" s="30"/>
      <c r="F84" s="21"/>
      <c r="G84" s="21"/>
      <c r="H84" s="29"/>
      <c r="I84" s="45"/>
      <c r="J84" s="30"/>
    </row>
    <row r="85" spans="1:10" x14ac:dyDescent="0.25">
      <c r="A85" s="195"/>
      <c r="B85" s="42"/>
      <c r="C85" s="135"/>
      <c r="D85" s="153"/>
      <c r="E85" s="30"/>
      <c r="F85" s="21"/>
      <c r="G85" s="21"/>
      <c r="H85" s="29"/>
      <c r="I85" s="45"/>
      <c r="J85" s="30"/>
    </row>
    <row r="86" spans="1:10" x14ac:dyDescent="0.25">
      <c r="A86" s="195"/>
      <c r="B86" s="42"/>
      <c r="C86" s="135"/>
      <c r="D86" s="153"/>
      <c r="E86" s="30"/>
      <c r="F86" s="21"/>
      <c r="G86" s="21"/>
      <c r="H86" s="29"/>
      <c r="I86" s="45"/>
      <c r="J86" s="30"/>
    </row>
    <row r="87" spans="1:10" x14ac:dyDescent="0.25">
      <c r="A87" s="195"/>
      <c r="B87" s="42"/>
      <c r="C87" s="135"/>
      <c r="D87" s="153"/>
      <c r="E87" s="30"/>
      <c r="F87" s="21"/>
      <c r="G87" s="21"/>
      <c r="H87" s="29"/>
      <c r="I87" s="45"/>
      <c r="J87" s="30"/>
    </row>
    <row r="88" spans="1:10" x14ac:dyDescent="0.25">
      <c r="A88" s="195"/>
      <c r="B88" s="42"/>
      <c r="C88" s="135"/>
      <c r="D88" s="153"/>
      <c r="E88" s="30"/>
      <c r="F88" s="21"/>
      <c r="G88" s="21"/>
      <c r="H88" s="29"/>
      <c r="I88" s="45"/>
      <c r="J88" s="30"/>
    </row>
    <row r="89" spans="1:10" x14ac:dyDescent="0.25">
      <c r="A89" s="195"/>
      <c r="B89" s="42"/>
      <c r="C89" s="135"/>
      <c r="D89" s="153"/>
      <c r="E89" s="30"/>
      <c r="F89" s="21"/>
      <c r="G89" s="21"/>
      <c r="H89" s="29"/>
      <c r="I89" s="45"/>
      <c r="J89" s="30"/>
    </row>
    <row r="90" spans="1:10" x14ac:dyDescent="0.25">
      <c r="A90" s="195"/>
      <c r="B90" s="42"/>
      <c r="C90" s="135"/>
      <c r="D90" s="153"/>
      <c r="E90" s="30"/>
      <c r="F90" s="21"/>
      <c r="G90" s="21"/>
      <c r="H90" s="29"/>
      <c r="I90" s="45"/>
      <c r="J90" s="30"/>
    </row>
    <row r="91" spans="1:10" x14ac:dyDescent="0.25">
      <c r="A91" s="195"/>
      <c r="B91" s="42"/>
      <c r="C91" s="135"/>
      <c r="D91" s="153"/>
      <c r="E91" s="30"/>
      <c r="F91" s="21"/>
      <c r="G91" s="21"/>
      <c r="H91" s="29"/>
      <c r="I91" s="45"/>
      <c r="J91" s="30"/>
    </row>
    <row r="92" spans="1:10" x14ac:dyDescent="0.25">
      <c r="A92" s="195"/>
      <c r="B92" s="42"/>
      <c r="C92" s="135"/>
      <c r="D92" s="153"/>
      <c r="E92" s="30"/>
      <c r="F92" s="21"/>
      <c r="G92" s="21"/>
      <c r="H92" s="29"/>
      <c r="I92" s="45"/>
      <c r="J92" s="30"/>
    </row>
    <row r="93" spans="1:10" x14ac:dyDescent="0.25">
      <c r="A93" s="195"/>
      <c r="B93" s="42"/>
      <c r="C93" s="135"/>
      <c r="D93" s="153"/>
      <c r="E93" s="30"/>
      <c r="F93" s="21"/>
      <c r="G93" s="21"/>
      <c r="H93" s="29"/>
      <c r="I93" s="45"/>
      <c r="J93" s="30"/>
    </row>
    <row r="94" spans="1:10" x14ac:dyDescent="0.25">
      <c r="A94" s="195"/>
      <c r="B94" s="42"/>
      <c r="C94" s="135"/>
      <c r="D94" s="153"/>
      <c r="E94" s="30"/>
      <c r="F94" s="21"/>
      <c r="G94" s="21"/>
      <c r="H94" s="29"/>
      <c r="I94" s="45"/>
      <c r="J94" s="30"/>
    </row>
    <row r="95" spans="1:10" x14ac:dyDescent="0.25">
      <c r="A95" s="195"/>
      <c r="B95" s="42"/>
      <c r="C95" s="135"/>
      <c r="D95" s="153"/>
      <c r="E95" s="30"/>
      <c r="F95" s="21"/>
      <c r="G95" s="21"/>
      <c r="H95" s="29"/>
      <c r="I95" s="45"/>
      <c r="J95" s="30"/>
    </row>
    <row r="96" spans="1:10" x14ac:dyDescent="0.25">
      <c r="A96" s="195"/>
      <c r="B96" s="42"/>
      <c r="C96" s="135"/>
      <c r="D96" s="153"/>
      <c r="E96" s="30"/>
      <c r="F96" s="21"/>
      <c r="G96" s="21"/>
      <c r="H96" s="29"/>
      <c r="I96" s="45"/>
      <c r="J96" s="30"/>
    </row>
    <row r="97" spans="1:10" x14ac:dyDescent="0.25">
      <c r="A97" s="195"/>
      <c r="B97" s="42"/>
      <c r="C97" s="135"/>
      <c r="D97" s="153"/>
      <c r="E97" s="30"/>
      <c r="F97" s="21"/>
      <c r="G97" s="21"/>
      <c r="H97" s="29"/>
      <c r="I97" s="45"/>
      <c r="J97" s="30"/>
    </row>
    <row r="98" spans="1:10" x14ac:dyDescent="0.25">
      <c r="A98" s="195"/>
      <c r="B98" s="42"/>
      <c r="C98" s="135"/>
      <c r="D98" s="153"/>
      <c r="E98" s="30"/>
      <c r="F98" s="21"/>
      <c r="G98" s="21"/>
      <c r="H98" s="29"/>
      <c r="I98" s="45"/>
      <c r="J98" s="30"/>
    </row>
    <row r="99" spans="1:10" x14ac:dyDescent="0.25">
      <c r="A99" s="195"/>
      <c r="B99" s="42"/>
      <c r="C99" s="135"/>
      <c r="D99" s="153"/>
      <c r="E99" s="30"/>
      <c r="F99" s="21"/>
      <c r="G99" s="21"/>
      <c r="H99" s="29"/>
      <c r="I99" s="45"/>
      <c r="J99" s="30"/>
    </row>
    <row r="100" spans="1:10" x14ac:dyDescent="0.25">
      <c r="A100" s="195"/>
      <c r="B100" s="42"/>
      <c r="C100" s="135"/>
      <c r="D100" s="153"/>
      <c r="E100" s="30"/>
      <c r="F100" s="21"/>
      <c r="G100" s="21"/>
      <c r="H100" s="29"/>
      <c r="I100" s="45"/>
      <c r="J100" s="30"/>
    </row>
  </sheetData>
  <autoFilter ref="A2:J52"/>
  <sortState ref="A3:J120">
    <sortCondition ref="A3:A120"/>
  </sortState>
  <mergeCells count="1">
    <mergeCell ref="B1:F1"/>
  </mergeCells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theme="0"/>
  </sheetPr>
  <dimension ref="A1:G543"/>
  <sheetViews>
    <sheetView workbookViewId="0">
      <selection sqref="A1:F218"/>
    </sheetView>
  </sheetViews>
  <sheetFormatPr defaultRowHeight="15" x14ac:dyDescent="0.25"/>
  <cols>
    <col min="1" max="1" width="18.28515625" style="8" bestFit="1" customWidth="1"/>
    <col min="2" max="2" width="17" bestFit="1" customWidth="1"/>
    <col min="3" max="3" width="10.140625" bestFit="1" customWidth="1"/>
    <col min="4" max="4" width="9.28515625" style="138" customWidth="1"/>
    <col min="5" max="5" width="19.7109375" bestFit="1" customWidth="1"/>
    <col min="6" max="6" width="17" style="20" bestFit="1" customWidth="1"/>
    <col min="7" max="7" width="18.28515625" style="8" bestFit="1" customWidth="1"/>
  </cols>
  <sheetData>
    <row r="1" spans="1:7" s="20" customFormat="1" x14ac:dyDescent="0.25">
      <c r="A1" s="8" t="s">
        <v>170</v>
      </c>
      <c r="B1" s="20" t="s">
        <v>171</v>
      </c>
      <c r="C1" s="20" t="s">
        <v>0</v>
      </c>
      <c r="D1" s="138" t="s">
        <v>172</v>
      </c>
      <c r="E1" s="20" t="s">
        <v>173</v>
      </c>
      <c r="F1" s="20" t="s">
        <v>191</v>
      </c>
      <c r="G1" s="8" t="s">
        <v>190</v>
      </c>
    </row>
    <row r="2" spans="1:7" x14ac:dyDescent="0.25">
      <c r="A2" s="8">
        <v>42917.031643518516</v>
      </c>
      <c r="B2" s="20" t="s">
        <v>674</v>
      </c>
      <c r="C2" s="20" t="s">
        <v>675</v>
      </c>
      <c r="D2" s="138">
        <v>2620000</v>
      </c>
      <c r="E2" s="20" t="s">
        <v>676</v>
      </c>
      <c r="F2" s="20" t="s">
        <v>677</v>
      </c>
      <c r="G2" s="8" t="str">
        <f>E2&amp;" "&amp;F2</f>
        <v>PERKINS DARREN</v>
      </c>
    </row>
    <row r="3" spans="1:7" x14ac:dyDescent="0.25">
      <c r="A3" s="8">
        <v>42917.037986111114</v>
      </c>
      <c r="B3" s="20" t="s">
        <v>678</v>
      </c>
      <c r="C3" s="20" t="s">
        <v>679</v>
      </c>
      <c r="D3" s="138">
        <v>3090000</v>
      </c>
      <c r="E3" s="20" t="s">
        <v>375</v>
      </c>
      <c r="F3" s="20" t="s">
        <v>376</v>
      </c>
      <c r="G3" s="8" t="str">
        <f t="shared" ref="G3:G66" si="0">E3&amp;" "&amp;F3</f>
        <v>LAMAR NEKESHA</v>
      </c>
    </row>
    <row r="4" spans="1:7" x14ac:dyDescent="0.25">
      <c r="A4" s="8">
        <v>42917.040914351855</v>
      </c>
      <c r="B4" s="20" t="s">
        <v>518</v>
      </c>
      <c r="C4" s="20" t="s">
        <v>680</v>
      </c>
      <c r="D4" s="138">
        <v>3030000</v>
      </c>
      <c r="E4" s="20" t="s">
        <v>381</v>
      </c>
      <c r="F4" s="20" t="s">
        <v>366</v>
      </c>
      <c r="G4" s="8" t="str">
        <f t="shared" si="0"/>
        <v>BIRENBAUM THOMAS</v>
      </c>
    </row>
    <row r="5" spans="1:7" x14ac:dyDescent="0.25">
      <c r="A5" s="8">
        <v>42917.047048611108</v>
      </c>
      <c r="B5" s="20" t="s">
        <v>448</v>
      </c>
      <c r="C5" s="20" t="s">
        <v>681</v>
      </c>
      <c r="D5" s="138">
        <v>1540000</v>
      </c>
      <c r="E5" s="20" t="s">
        <v>506</v>
      </c>
      <c r="F5" s="20" t="s">
        <v>507</v>
      </c>
      <c r="G5" s="8" t="str">
        <f t="shared" si="0"/>
        <v>HELVIE ADAM</v>
      </c>
    </row>
    <row r="6" spans="1:7" x14ac:dyDescent="0.25">
      <c r="A6" s="8">
        <v>42917.048726851855</v>
      </c>
      <c r="B6" s="20" t="s">
        <v>437</v>
      </c>
      <c r="C6" s="20" t="s">
        <v>682</v>
      </c>
      <c r="D6" s="138">
        <v>3000000</v>
      </c>
      <c r="E6" s="20" t="s">
        <v>422</v>
      </c>
      <c r="F6" s="20" t="s">
        <v>423</v>
      </c>
      <c r="G6" s="8" t="str">
        <f t="shared" si="0"/>
        <v>FORTUNATO FRANK</v>
      </c>
    </row>
    <row r="7" spans="1:7" x14ac:dyDescent="0.25">
      <c r="A7" s="8">
        <v>42917.068553240744</v>
      </c>
      <c r="B7" s="20" t="s">
        <v>357</v>
      </c>
      <c r="C7" s="20" t="s">
        <v>683</v>
      </c>
      <c r="D7" s="138">
        <v>2620000</v>
      </c>
      <c r="E7" s="20" t="s">
        <v>676</v>
      </c>
      <c r="F7" s="20" t="s">
        <v>677</v>
      </c>
      <c r="G7" s="8" t="str">
        <f t="shared" si="0"/>
        <v>PERKINS DARREN</v>
      </c>
    </row>
    <row r="8" spans="1:7" x14ac:dyDescent="0.25">
      <c r="A8" s="8">
        <v>42917.07775462963</v>
      </c>
      <c r="B8" s="20" t="s">
        <v>684</v>
      </c>
      <c r="C8" s="20" t="s">
        <v>685</v>
      </c>
      <c r="D8" s="138">
        <v>3090000</v>
      </c>
      <c r="E8" s="20" t="s">
        <v>375</v>
      </c>
      <c r="F8" s="20" t="s">
        <v>376</v>
      </c>
      <c r="G8" s="8" t="str">
        <f t="shared" si="0"/>
        <v>LAMAR NEKESHA</v>
      </c>
    </row>
    <row r="9" spans="1:7" ht="15.75" thickBot="1" x14ac:dyDescent="0.3">
      <c r="A9" s="24">
        <v>42917.082499999997</v>
      </c>
      <c r="B9" s="20" t="s">
        <v>520</v>
      </c>
      <c r="C9" s="20" t="s">
        <v>686</v>
      </c>
      <c r="D9" s="138">
        <v>3030000</v>
      </c>
      <c r="E9" s="20" t="s">
        <v>381</v>
      </c>
      <c r="F9" s="20" t="s">
        <v>366</v>
      </c>
      <c r="G9" s="8" t="str">
        <f t="shared" si="0"/>
        <v>BIRENBAUM THOMAS</v>
      </c>
    </row>
    <row r="10" spans="1:7" x14ac:dyDescent="0.25">
      <c r="A10" s="8">
        <v>42917.090624999997</v>
      </c>
      <c r="B10" s="20" t="s">
        <v>438</v>
      </c>
      <c r="C10" s="20" t="s">
        <v>687</v>
      </c>
      <c r="D10" s="138">
        <v>3000000</v>
      </c>
      <c r="E10" s="20" t="s">
        <v>422</v>
      </c>
      <c r="F10" s="20" t="s">
        <v>423</v>
      </c>
      <c r="G10" s="8" t="str">
        <f t="shared" si="0"/>
        <v>FORTUNATO FRANK</v>
      </c>
    </row>
    <row r="11" spans="1:7" x14ac:dyDescent="0.25">
      <c r="A11" s="8">
        <v>42917.11074074074</v>
      </c>
      <c r="B11" s="20" t="s">
        <v>678</v>
      </c>
      <c r="C11" s="20" t="s">
        <v>688</v>
      </c>
      <c r="D11" s="138">
        <v>3090000</v>
      </c>
      <c r="E11" s="20" t="s">
        <v>375</v>
      </c>
      <c r="F11" s="20" t="s">
        <v>376</v>
      </c>
      <c r="G11" s="8" t="str">
        <f t="shared" si="0"/>
        <v>LAMAR NEKESHA</v>
      </c>
    </row>
    <row r="12" spans="1:7" x14ac:dyDescent="0.25">
      <c r="A12" s="8">
        <v>42917.113958333335</v>
      </c>
      <c r="B12" s="20" t="s">
        <v>395</v>
      </c>
      <c r="C12" s="20" t="s">
        <v>689</v>
      </c>
      <c r="D12" s="138">
        <v>1240000</v>
      </c>
      <c r="E12" s="20" t="s">
        <v>690</v>
      </c>
      <c r="F12" s="20" t="s">
        <v>691</v>
      </c>
      <c r="G12" s="8" t="str">
        <f t="shared" si="0"/>
        <v>GRASTON MATHEU</v>
      </c>
    </row>
    <row r="13" spans="1:7" x14ac:dyDescent="0.25">
      <c r="A13" s="8">
        <v>42917.120451388888</v>
      </c>
      <c r="B13" s="20" t="s">
        <v>483</v>
      </c>
      <c r="C13" s="20" t="s">
        <v>692</v>
      </c>
      <c r="D13" s="138">
        <v>2010000</v>
      </c>
      <c r="E13" s="20" t="s">
        <v>495</v>
      </c>
      <c r="F13" s="20" t="s">
        <v>496</v>
      </c>
      <c r="G13" s="8" t="str">
        <f t="shared" si="0"/>
        <v>MAELZER KURT</v>
      </c>
    </row>
    <row r="14" spans="1:7" x14ac:dyDescent="0.25">
      <c r="A14" s="8">
        <v>42917.130636574075</v>
      </c>
      <c r="B14" s="20" t="s">
        <v>397</v>
      </c>
      <c r="C14" s="20" t="s">
        <v>693</v>
      </c>
      <c r="D14" s="138">
        <v>2010000</v>
      </c>
      <c r="E14" s="20" t="s">
        <v>495</v>
      </c>
      <c r="F14" s="20" t="s">
        <v>496</v>
      </c>
      <c r="G14" s="8" t="str">
        <f t="shared" si="0"/>
        <v>MAELZER KURT</v>
      </c>
    </row>
    <row r="15" spans="1:7" x14ac:dyDescent="0.25">
      <c r="A15" s="8">
        <v>42917.137442129628</v>
      </c>
      <c r="B15" s="20" t="s">
        <v>474</v>
      </c>
      <c r="C15" s="20" t="s">
        <v>694</v>
      </c>
      <c r="D15" s="138">
        <v>1340000</v>
      </c>
      <c r="E15" s="20" t="s">
        <v>695</v>
      </c>
      <c r="F15" s="20" t="s">
        <v>696</v>
      </c>
      <c r="G15" s="8" t="str">
        <f t="shared" si="0"/>
        <v>BEAM ROSS</v>
      </c>
    </row>
    <row r="16" spans="1:7" x14ac:dyDescent="0.25">
      <c r="A16" s="8">
        <v>42917.152696759258</v>
      </c>
      <c r="B16" s="20" t="s">
        <v>468</v>
      </c>
      <c r="C16" s="20" t="s">
        <v>697</v>
      </c>
      <c r="D16" s="138">
        <v>1340000</v>
      </c>
      <c r="E16" s="20" t="s">
        <v>695</v>
      </c>
      <c r="F16" s="20" t="s">
        <v>696</v>
      </c>
      <c r="G16" s="8" t="str">
        <f t="shared" si="0"/>
        <v>BEAM ROSS</v>
      </c>
    </row>
    <row r="17" spans="1:7" x14ac:dyDescent="0.25">
      <c r="A17" s="8">
        <v>42917.159259259257</v>
      </c>
      <c r="B17" s="20" t="s">
        <v>340</v>
      </c>
      <c r="C17" s="20" t="s">
        <v>698</v>
      </c>
      <c r="D17" s="138">
        <v>1990000</v>
      </c>
      <c r="E17" s="20" t="s">
        <v>411</v>
      </c>
      <c r="F17" s="20" t="s">
        <v>566</v>
      </c>
      <c r="G17" s="8" t="str">
        <f t="shared" si="0"/>
        <v>DAVIS WENDY</v>
      </c>
    </row>
    <row r="18" spans="1:7" x14ac:dyDescent="0.25">
      <c r="A18" s="8">
        <v>42917.166122685187</v>
      </c>
      <c r="B18" s="20" t="s">
        <v>483</v>
      </c>
      <c r="C18" s="20" t="s">
        <v>699</v>
      </c>
      <c r="D18" s="138">
        <v>2010000</v>
      </c>
      <c r="E18" s="20" t="s">
        <v>495</v>
      </c>
      <c r="F18" s="20" t="s">
        <v>496</v>
      </c>
      <c r="G18" s="8" t="str">
        <f t="shared" si="0"/>
        <v>MAELZER KURT</v>
      </c>
    </row>
    <row r="19" spans="1:7" x14ac:dyDescent="0.25">
      <c r="A19" s="8">
        <v>42917.170740740738</v>
      </c>
      <c r="B19" s="20" t="s">
        <v>339</v>
      </c>
      <c r="C19" s="20" t="s">
        <v>634</v>
      </c>
      <c r="D19" s="138">
        <v>1990000</v>
      </c>
      <c r="E19" s="20" t="s">
        <v>411</v>
      </c>
      <c r="F19" s="20" t="s">
        <v>566</v>
      </c>
      <c r="G19" s="8" t="str">
        <f t="shared" si="0"/>
        <v>DAVIS WENDY</v>
      </c>
    </row>
    <row r="20" spans="1:7" x14ac:dyDescent="0.25">
      <c r="A20" s="8">
        <v>42917.171481481484</v>
      </c>
      <c r="B20" s="20" t="s">
        <v>368</v>
      </c>
      <c r="C20" s="20" t="s">
        <v>700</v>
      </c>
      <c r="D20" s="138">
        <v>1100000</v>
      </c>
      <c r="E20" s="20" t="s">
        <v>567</v>
      </c>
      <c r="F20" s="20" t="s">
        <v>568</v>
      </c>
      <c r="G20" s="8" t="str">
        <f t="shared" si="0"/>
        <v>GEBRETEKLE DAGNEW</v>
      </c>
    </row>
    <row r="21" spans="1:7" x14ac:dyDescent="0.25">
      <c r="A21" s="8">
        <v>42917.18372685185</v>
      </c>
      <c r="B21" s="20" t="s">
        <v>474</v>
      </c>
      <c r="C21" s="20" t="s">
        <v>701</v>
      </c>
      <c r="D21" s="138">
        <v>1340000</v>
      </c>
      <c r="E21" s="20" t="s">
        <v>695</v>
      </c>
      <c r="F21" s="20" t="s">
        <v>696</v>
      </c>
      <c r="G21" s="8" t="str">
        <f t="shared" si="0"/>
        <v>BEAM ROSS</v>
      </c>
    </row>
    <row r="22" spans="1:7" x14ac:dyDescent="0.25">
      <c r="A22" s="26">
        <v>42917.183831018519</v>
      </c>
      <c r="B22" s="20" t="s">
        <v>374</v>
      </c>
      <c r="C22" s="20" t="s">
        <v>702</v>
      </c>
      <c r="D22" s="138">
        <v>1100000</v>
      </c>
      <c r="E22" s="20" t="s">
        <v>567</v>
      </c>
      <c r="F22" s="20" t="s">
        <v>568</v>
      </c>
      <c r="G22" s="8" t="str">
        <f t="shared" si="0"/>
        <v>GEBRETEKLE DAGNEW</v>
      </c>
    </row>
    <row r="23" spans="1:7" x14ac:dyDescent="0.25">
      <c r="A23" s="8">
        <v>42917.183935185189</v>
      </c>
      <c r="B23" s="20" t="s">
        <v>562</v>
      </c>
      <c r="C23" s="20" t="s">
        <v>703</v>
      </c>
      <c r="D23" s="138">
        <v>2530000</v>
      </c>
      <c r="E23" s="20" t="s">
        <v>704</v>
      </c>
      <c r="F23" s="20" t="s">
        <v>705</v>
      </c>
      <c r="G23" s="8" t="str">
        <f t="shared" si="0"/>
        <v>LALONDE GREGORY</v>
      </c>
    </row>
    <row r="24" spans="1:7" x14ac:dyDescent="0.25">
      <c r="A24" s="8">
        <v>42917.193819444445</v>
      </c>
      <c r="B24" s="20" t="s">
        <v>563</v>
      </c>
      <c r="C24" s="20" t="s">
        <v>706</v>
      </c>
      <c r="D24" s="138">
        <v>2530000</v>
      </c>
      <c r="E24" s="20" t="s">
        <v>704</v>
      </c>
      <c r="F24" s="20" t="s">
        <v>705</v>
      </c>
      <c r="G24" s="8" t="str">
        <f t="shared" si="0"/>
        <v>LALONDE GREGORY</v>
      </c>
    </row>
    <row r="25" spans="1:7" x14ac:dyDescent="0.25">
      <c r="A25" s="8">
        <v>42917.200046296297</v>
      </c>
      <c r="B25" s="20" t="s">
        <v>641</v>
      </c>
      <c r="C25" s="20" t="s">
        <v>707</v>
      </c>
      <c r="D25" s="138">
        <v>2600000</v>
      </c>
      <c r="E25" s="20" t="s">
        <v>708</v>
      </c>
      <c r="F25" s="20" t="s">
        <v>709</v>
      </c>
      <c r="G25" s="8" t="str">
        <f t="shared" si="0"/>
        <v>DAVIDSON DAVID</v>
      </c>
    </row>
    <row r="26" spans="1:7" x14ac:dyDescent="0.25">
      <c r="A26" s="8">
        <v>42917.206296296295</v>
      </c>
      <c r="B26" s="20" t="s">
        <v>397</v>
      </c>
      <c r="C26" s="20" t="s">
        <v>710</v>
      </c>
      <c r="D26" s="138">
        <v>2010000</v>
      </c>
      <c r="E26" s="20" t="s">
        <v>495</v>
      </c>
      <c r="F26" s="20" t="s">
        <v>496</v>
      </c>
      <c r="G26" s="8" t="str">
        <f t="shared" si="0"/>
        <v>MAELZER KURT</v>
      </c>
    </row>
    <row r="27" spans="1:7" x14ac:dyDescent="0.25">
      <c r="A27" s="8">
        <v>42917.214143518519</v>
      </c>
      <c r="B27" s="20" t="s">
        <v>368</v>
      </c>
      <c r="C27" s="20" t="s">
        <v>711</v>
      </c>
      <c r="D27" s="138">
        <v>1100000</v>
      </c>
      <c r="E27" s="20" t="s">
        <v>567</v>
      </c>
      <c r="F27" s="20" t="s">
        <v>568</v>
      </c>
      <c r="G27" s="8" t="str">
        <f t="shared" si="0"/>
        <v>GEBRETEKLE DAGNEW</v>
      </c>
    </row>
    <row r="28" spans="1:7" x14ac:dyDescent="0.25">
      <c r="A28" s="8">
        <v>42917.21429398148</v>
      </c>
      <c r="B28" s="20" t="s">
        <v>340</v>
      </c>
      <c r="C28" s="20" t="s">
        <v>635</v>
      </c>
      <c r="D28" s="138">
        <v>1990000</v>
      </c>
      <c r="E28" s="20" t="s">
        <v>411</v>
      </c>
      <c r="F28" s="20" t="s">
        <v>566</v>
      </c>
      <c r="G28" s="8" t="str">
        <f t="shared" si="0"/>
        <v>DAVIS WENDY</v>
      </c>
    </row>
    <row r="29" spans="1:7" x14ac:dyDescent="0.25">
      <c r="A29" s="8">
        <v>42917.214560185188</v>
      </c>
      <c r="B29" s="20" t="s">
        <v>575</v>
      </c>
      <c r="C29" s="20" t="s">
        <v>712</v>
      </c>
      <c r="D29" s="138">
        <v>2600000</v>
      </c>
      <c r="E29" s="20" t="s">
        <v>708</v>
      </c>
      <c r="F29" s="20" t="s">
        <v>709</v>
      </c>
      <c r="G29" s="8" t="str">
        <f t="shared" si="0"/>
        <v>DAVIDSON DAVID</v>
      </c>
    </row>
    <row r="30" spans="1:7" x14ac:dyDescent="0.25">
      <c r="A30" s="8">
        <v>42917.221921296295</v>
      </c>
      <c r="B30" s="20" t="s">
        <v>649</v>
      </c>
      <c r="C30" s="20" t="s">
        <v>713</v>
      </c>
      <c r="D30" s="138">
        <v>2970000</v>
      </c>
      <c r="E30" s="20" t="s">
        <v>379</v>
      </c>
      <c r="F30" s="20" t="s">
        <v>380</v>
      </c>
      <c r="G30" s="8" t="str">
        <f t="shared" si="0"/>
        <v>GUZMAN DANNY</v>
      </c>
    </row>
    <row r="31" spans="1:7" x14ac:dyDescent="0.25">
      <c r="A31" s="8">
        <v>42917.224606481483</v>
      </c>
      <c r="B31" s="20" t="s">
        <v>562</v>
      </c>
      <c r="C31" s="20" t="s">
        <v>638</v>
      </c>
      <c r="D31" s="138">
        <v>2530000</v>
      </c>
      <c r="E31" s="20" t="s">
        <v>704</v>
      </c>
      <c r="F31" s="20" t="s">
        <v>705</v>
      </c>
      <c r="G31" s="8" t="str">
        <f t="shared" si="0"/>
        <v>LALONDE GREGORY</v>
      </c>
    </row>
    <row r="32" spans="1:7" x14ac:dyDescent="0.25">
      <c r="A32" s="8">
        <v>42917.225787037038</v>
      </c>
      <c r="B32" s="20" t="s">
        <v>639</v>
      </c>
      <c r="C32" s="20" t="s">
        <v>714</v>
      </c>
      <c r="D32" s="138">
        <v>900000</v>
      </c>
      <c r="E32" s="20" t="s">
        <v>715</v>
      </c>
      <c r="F32" s="20" t="s">
        <v>716</v>
      </c>
      <c r="G32" s="8" t="str">
        <f t="shared" si="0"/>
        <v>ROCHA YAOTL</v>
      </c>
    </row>
    <row r="33" spans="1:7" x14ac:dyDescent="0.25">
      <c r="A33" s="8">
        <v>42917.226631944446</v>
      </c>
      <c r="B33" s="20" t="s">
        <v>468</v>
      </c>
      <c r="C33" s="20" t="s">
        <v>717</v>
      </c>
      <c r="D33" s="138">
        <v>1340000</v>
      </c>
      <c r="E33" s="20" t="s">
        <v>695</v>
      </c>
      <c r="F33" s="20" t="s">
        <v>696</v>
      </c>
      <c r="G33" s="8" t="str">
        <f t="shared" si="0"/>
        <v>BEAM ROSS</v>
      </c>
    </row>
    <row r="34" spans="1:7" x14ac:dyDescent="0.25">
      <c r="A34" s="8">
        <v>42917.231539351851</v>
      </c>
      <c r="B34" s="20" t="s">
        <v>340</v>
      </c>
      <c r="C34" s="20" t="s">
        <v>635</v>
      </c>
      <c r="D34" s="138">
        <v>1990000</v>
      </c>
      <c r="E34" s="20" t="s">
        <v>411</v>
      </c>
      <c r="F34" s="20" t="s">
        <v>566</v>
      </c>
      <c r="G34" s="8" t="str">
        <f t="shared" si="0"/>
        <v>DAVIS WENDY</v>
      </c>
    </row>
    <row r="35" spans="1:7" x14ac:dyDescent="0.25">
      <c r="A35" s="8">
        <v>42917.235046296293</v>
      </c>
      <c r="B35" s="20" t="s">
        <v>646</v>
      </c>
      <c r="C35" s="20" t="s">
        <v>718</v>
      </c>
      <c r="D35" s="138">
        <v>2970000</v>
      </c>
      <c r="E35" s="20" t="s">
        <v>379</v>
      </c>
      <c r="F35" s="20" t="s">
        <v>380</v>
      </c>
      <c r="G35" s="8" t="str">
        <f t="shared" si="0"/>
        <v>GUZMAN DANNY</v>
      </c>
    </row>
    <row r="36" spans="1:7" x14ac:dyDescent="0.25">
      <c r="A36" s="8">
        <v>42917.23578703704</v>
      </c>
      <c r="B36" s="20" t="s">
        <v>651</v>
      </c>
      <c r="C36" s="20" t="s">
        <v>719</v>
      </c>
      <c r="D36" s="138">
        <v>900000</v>
      </c>
      <c r="E36" s="20" t="s">
        <v>715</v>
      </c>
      <c r="F36" s="20" t="s">
        <v>716</v>
      </c>
      <c r="G36" s="8" t="str">
        <f t="shared" si="0"/>
        <v>ROCHA YAOTL</v>
      </c>
    </row>
    <row r="37" spans="1:7" x14ac:dyDescent="0.25">
      <c r="A37" s="8">
        <v>42917.242905092593</v>
      </c>
      <c r="B37" s="20" t="s">
        <v>483</v>
      </c>
      <c r="C37" s="20" t="s">
        <v>720</v>
      </c>
      <c r="D37" s="138">
        <v>2010000</v>
      </c>
      <c r="E37" s="20" t="s">
        <v>495</v>
      </c>
      <c r="F37" s="20" t="s">
        <v>496</v>
      </c>
      <c r="G37" s="8" t="str">
        <f t="shared" si="0"/>
        <v>MAELZER KURT</v>
      </c>
    </row>
    <row r="38" spans="1:7" x14ac:dyDescent="0.25">
      <c r="A38" s="8">
        <v>42917.246898148151</v>
      </c>
      <c r="B38" s="20" t="s">
        <v>339</v>
      </c>
      <c r="C38" s="20" t="s">
        <v>721</v>
      </c>
      <c r="D38" s="138">
        <v>1990000</v>
      </c>
      <c r="E38" s="20" t="s">
        <v>411</v>
      </c>
      <c r="F38" s="20" t="s">
        <v>566</v>
      </c>
      <c r="G38" s="8" t="str">
        <f t="shared" si="0"/>
        <v>DAVIS WENDY</v>
      </c>
    </row>
    <row r="39" spans="1:7" x14ac:dyDescent="0.25">
      <c r="A39" s="8">
        <v>42917.246944444443</v>
      </c>
      <c r="B39" s="20" t="s">
        <v>641</v>
      </c>
      <c r="C39" s="20" t="s">
        <v>642</v>
      </c>
      <c r="D39" s="138">
        <v>2600000</v>
      </c>
      <c r="E39" s="20" t="s">
        <v>708</v>
      </c>
      <c r="F39" s="20" t="s">
        <v>709</v>
      </c>
      <c r="G39" s="8" t="str">
        <f t="shared" si="0"/>
        <v>DAVIDSON DAVID</v>
      </c>
    </row>
    <row r="40" spans="1:7" x14ac:dyDescent="0.25">
      <c r="A40" s="8">
        <v>42917.256481481483</v>
      </c>
      <c r="B40" s="25" t="s">
        <v>374</v>
      </c>
      <c r="C40" s="20" t="s">
        <v>722</v>
      </c>
      <c r="D40" s="138">
        <v>1100000</v>
      </c>
      <c r="E40" s="20" t="s">
        <v>567</v>
      </c>
      <c r="F40" s="20" t="s">
        <v>568</v>
      </c>
      <c r="G40" s="8" t="str">
        <f t="shared" si="0"/>
        <v>GEBRETEKLE DAGNEW</v>
      </c>
    </row>
    <row r="41" spans="1:7" x14ac:dyDescent="0.25">
      <c r="A41" s="8">
        <v>42917.261782407404</v>
      </c>
      <c r="B41" s="20" t="s">
        <v>639</v>
      </c>
      <c r="C41" s="20" t="s">
        <v>640</v>
      </c>
      <c r="D41" s="138">
        <v>900000</v>
      </c>
      <c r="E41" s="20" t="s">
        <v>715</v>
      </c>
      <c r="F41" s="20" t="s">
        <v>716</v>
      </c>
      <c r="G41" s="8" t="str">
        <f t="shared" si="0"/>
        <v>ROCHA YAOTL</v>
      </c>
    </row>
    <row r="42" spans="1:7" x14ac:dyDescent="0.25">
      <c r="A42" s="8">
        <v>42917.266851851855</v>
      </c>
      <c r="B42" s="20" t="s">
        <v>474</v>
      </c>
      <c r="C42" s="20" t="s">
        <v>723</v>
      </c>
      <c r="D42" s="138">
        <v>1340000</v>
      </c>
      <c r="E42" s="20" t="s">
        <v>695</v>
      </c>
      <c r="F42" s="20" t="s">
        <v>696</v>
      </c>
      <c r="G42" s="8" t="str">
        <f t="shared" si="0"/>
        <v>BEAM ROSS</v>
      </c>
    </row>
    <row r="43" spans="1:7" x14ac:dyDescent="0.25">
      <c r="A43" s="8">
        <v>42917.267789351848</v>
      </c>
      <c r="B43" s="20" t="s">
        <v>649</v>
      </c>
      <c r="C43" s="20" t="s">
        <v>724</v>
      </c>
      <c r="D43" s="138">
        <v>2970000</v>
      </c>
      <c r="E43" s="20" t="s">
        <v>379</v>
      </c>
      <c r="F43" s="20" t="s">
        <v>380</v>
      </c>
      <c r="G43" s="8" t="str">
        <f t="shared" si="0"/>
        <v>GUZMAN DANNY</v>
      </c>
    </row>
    <row r="44" spans="1:7" x14ac:dyDescent="0.25">
      <c r="A44" s="8">
        <v>42917.268275462964</v>
      </c>
      <c r="B44" s="20" t="s">
        <v>563</v>
      </c>
      <c r="C44" s="20" t="s">
        <v>725</v>
      </c>
      <c r="D44" s="138">
        <v>2530000</v>
      </c>
      <c r="E44" s="20" t="s">
        <v>704</v>
      </c>
      <c r="F44" s="20" t="s">
        <v>705</v>
      </c>
      <c r="G44" s="8" t="str">
        <f t="shared" si="0"/>
        <v>LALONDE GREGORY</v>
      </c>
    </row>
    <row r="45" spans="1:7" x14ac:dyDescent="0.25">
      <c r="A45" s="8">
        <v>42917.275902777779</v>
      </c>
      <c r="B45" s="20" t="s">
        <v>651</v>
      </c>
      <c r="C45" s="20" t="s">
        <v>726</v>
      </c>
      <c r="D45" s="138">
        <v>900000</v>
      </c>
      <c r="E45" s="20" t="s">
        <v>715</v>
      </c>
      <c r="F45" s="20" t="s">
        <v>716</v>
      </c>
      <c r="G45" s="8" t="str">
        <f t="shared" si="0"/>
        <v>ROCHA YAOTL</v>
      </c>
    </row>
    <row r="46" spans="1:7" x14ac:dyDescent="0.25">
      <c r="A46" s="8">
        <v>42917.277326388888</v>
      </c>
      <c r="B46" s="20" t="s">
        <v>397</v>
      </c>
      <c r="C46" s="20" t="s">
        <v>727</v>
      </c>
      <c r="D46" s="138">
        <v>2010000</v>
      </c>
      <c r="E46" s="20" t="s">
        <v>495</v>
      </c>
      <c r="F46" s="20" t="s">
        <v>496</v>
      </c>
      <c r="G46" s="8" t="str">
        <f t="shared" si="0"/>
        <v>MAELZER KURT</v>
      </c>
    </row>
    <row r="47" spans="1:7" x14ac:dyDescent="0.25">
      <c r="A47" s="8">
        <v>42917.287430555552</v>
      </c>
      <c r="B47" s="20" t="s">
        <v>340</v>
      </c>
      <c r="C47" s="20" t="s">
        <v>728</v>
      </c>
      <c r="D47" s="138">
        <v>1990000</v>
      </c>
      <c r="E47" s="20" t="s">
        <v>411</v>
      </c>
      <c r="F47" s="20" t="s">
        <v>566</v>
      </c>
      <c r="G47" s="8" t="str">
        <f t="shared" si="0"/>
        <v>DAVIS WENDY</v>
      </c>
    </row>
    <row r="48" spans="1:7" x14ac:dyDescent="0.25">
      <c r="A48" s="8">
        <v>42917.289340277777</v>
      </c>
      <c r="B48" s="20" t="s">
        <v>368</v>
      </c>
      <c r="C48" s="20" t="s">
        <v>729</v>
      </c>
      <c r="D48" s="138">
        <v>1100000</v>
      </c>
      <c r="E48" s="20" t="s">
        <v>567</v>
      </c>
      <c r="F48" s="20" t="s">
        <v>568</v>
      </c>
      <c r="G48" s="8" t="str">
        <f t="shared" si="0"/>
        <v>GEBRETEKLE DAGNEW</v>
      </c>
    </row>
    <row r="49" spans="1:7" x14ac:dyDescent="0.25">
      <c r="A49" s="8">
        <v>42917.291851851849</v>
      </c>
      <c r="B49" s="20" t="s">
        <v>575</v>
      </c>
      <c r="C49" s="20" t="s">
        <v>730</v>
      </c>
      <c r="D49" s="138">
        <v>2600000</v>
      </c>
      <c r="E49" s="20" t="s">
        <v>708</v>
      </c>
      <c r="F49" s="20" t="s">
        <v>709</v>
      </c>
      <c r="G49" s="8" t="str">
        <f t="shared" si="0"/>
        <v>DAVIDSON DAVID</v>
      </c>
    </row>
    <row r="50" spans="1:7" x14ac:dyDescent="0.25">
      <c r="A50" s="8">
        <v>42917.297777777778</v>
      </c>
      <c r="B50" s="20" t="s">
        <v>562</v>
      </c>
      <c r="C50" s="20" t="s">
        <v>731</v>
      </c>
      <c r="D50" s="138">
        <v>2530000</v>
      </c>
      <c r="E50" s="20" t="s">
        <v>704</v>
      </c>
      <c r="F50" s="20" t="s">
        <v>705</v>
      </c>
      <c r="G50" s="8" t="str">
        <f t="shared" si="0"/>
        <v>LALONDE GREGORY</v>
      </c>
    </row>
    <row r="51" spans="1:7" x14ac:dyDescent="0.25">
      <c r="A51" s="8">
        <v>42917.301030092596</v>
      </c>
      <c r="B51" s="20" t="s">
        <v>468</v>
      </c>
      <c r="C51" s="20" t="s">
        <v>732</v>
      </c>
      <c r="D51" s="138">
        <v>1340000</v>
      </c>
      <c r="E51" s="20" t="s">
        <v>695</v>
      </c>
      <c r="F51" s="20" t="s">
        <v>696</v>
      </c>
      <c r="G51" s="8" t="str">
        <f t="shared" si="0"/>
        <v>BEAM ROSS</v>
      </c>
    </row>
    <row r="52" spans="1:7" x14ac:dyDescent="0.25">
      <c r="A52" s="8">
        <v>42917.305775462963</v>
      </c>
      <c r="B52" s="20" t="s">
        <v>639</v>
      </c>
      <c r="C52" s="20" t="s">
        <v>733</v>
      </c>
      <c r="D52" s="138">
        <v>900000</v>
      </c>
      <c r="E52" s="20" t="s">
        <v>715</v>
      </c>
      <c r="F52" s="20" t="s">
        <v>716</v>
      </c>
      <c r="G52" s="8" t="str">
        <f t="shared" si="0"/>
        <v>ROCHA YAOTL</v>
      </c>
    </row>
    <row r="53" spans="1:7" x14ac:dyDescent="0.25">
      <c r="A53" s="8">
        <v>42917.308148148149</v>
      </c>
      <c r="B53" s="20" t="s">
        <v>646</v>
      </c>
      <c r="C53" s="20" t="s">
        <v>734</v>
      </c>
      <c r="D53" s="138">
        <v>2970000</v>
      </c>
      <c r="E53" s="20" t="s">
        <v>379</v>
      </c>
      <c r="F53" s="20" t="s">
        <v>380</v>
      </c>
      <c r="G53" s="8" t="str">
        <f t="shared" si="0"/>
        <v>GUZMAN DANNY</v>
      </c>
    </row>
    <row r="54" spans="1:7" x14ac:dyDescent="0.25">
      <c r="A54" s="8">
        <v>42917.313321759262</v>
      </c>
      <c r="B54" s="20" t="s">
        <v>483</v>
      </c>
      <c r="C54" s="20" t="s">
        <v>735</v>
      </c>
      <c r="D54" s="138">
        <v>2010000</v>
      </c>
      <c r="E54" s="20" t="s">
        <v>495</v>
      </c>
      <c r="F54" s="20" t="s">
        <v>496</v>
      </c>
      <c r="G54" s="8" t="str">
        <f t="shared" si="0"/>
        <v>MAELZER KURT</v>
      </c>
    </row>
    <row r="55" spans="1:7" x14ac:dyDescent="0.25">
      <c r="A55" s="8">
        <v>42917.318240740744</v>
      </c>
      <c r="B55" s="20" t="s">
        <v>651</v>
      </c>
      <c r="C55" s="20" t="s">
        <v>736</v>
      </c>
      <c r="D55" s="138">
        <v>900000</v>
      </c>
      <c r="E55" s="20" t="s">
        <v>715</v>
      </c>
      <c r="F55" s="20" t="s">
        <v>716</v>
      </c>
      <c r="G55" s="8" t="str">
        <f t="shared" si="0"/>
        <v>ROCHA YAOTL</v>
      </c>
    </row>
    <row r="56" spans="1:7" x14ac:dyDescent="0.25">
      <c r="A56" s="8">
        <v>42917.319513888891</v>
      </c>
      <c r="B56" s="20" t="s">
        <v>339</v>
      </c>
      <c r="C56" s="20" t="s">
        <v>643</v>
      </c>
      <c r="D56" s="138">
        <v>1990000</v>
      </c>
      <c r="E56" s="20" t="s">
        <v>411</v>
      </c>
      <c r="F56" s="20" t="s">
        <v>566</v>
      </c>
      <c r="G56" s="8" t="str">
        <f t="shared" si="0"/>
        <v>DAVIS WENDY</v>
      </c>
    </row>
    <row r="57" spans="1:7" x14ac:dyDescent="0.25">
      <c r="A57" s="8">
        <v>42917.321805555555</v>
      </c>
      <c r="B57" s="20" t="s">
        <v>641</v>
      </c>
      <c r="C57" s="20" t="s">
        <v>737</v>
      </c>
      <c r="D57" s="138">
        <v>2600000</v>
      </c>
      <c r="E57" s="20" t="s">
        <v>708</v>
      </c>
      <c r="F57" s="20" t="s">
        <v>709</v>
      </c>
      <c r="G57" s="8" t="str">
        <f t="shared" si="0"/>
        <v>DAVIDSON DAVID</v>
      </c>
    </row>
    <row r="58" spans="1:7" x14ac:dyDescent="0.25">
      <c r="A58" s="8">
        <v>42917.329039351855</v>
      </c>
      <c r="B58" s="20" t="s">
        <v>374</v>
      </c>
      <c r="C58" s="20" t="s">
        <v>738</v>
      </c>
      <c r="D58" s="138">
        <v>1100000</v>
      </c>
      <c r="E58" s="20" t="s">
        <v>567</v>
      </c>
      <c r="F58" s="20" t="s">
        <v>568</v>
      </c>
      <c r="G58" s="8" t="str">
        <f t="shared" si="0"/>
        <v>GEBRETEKLE DAGNEW</v>
      </c>
    </row>
    <row r="59" spans="1:7" x14ac:dyDescent="0.25">
      <c r="A59" s="8">
        <v>42917.331747685188</v>
      </c>
      <c r="B59" s="20" t="s">
        <v>474</v>
      </c>
      <c r="C59" s="20" t="s">
        <v>645</v>
      </c>
      <c r="D59" s="138">
        <v>1340000</v>
      </c>
      <c r="E59" s="20" t="s">
        <v>695</v>
      </c>
      <c r="F59" s="20" t="s">
        <v>696</v>
      </c>
      <c r="G59" s="8" t="str">
        <f t="shared" si="0"/>
        <v>BEAM ROSS</v>
      </c>
    </row>
    <row r="60" spans="1:7" x14ac:dyDescent="0.25">
      <c r="A60" s="8">
        <v>42917.331956018519</v>
      </c>
      <c r="B60" s="20" t="s">
        <v>639</v>
      </c>
      <c r="C60" s="20" t="s">
        <v>644</v>
      </c>
      <c r="D60" s="138">
        <v>900000</v>
      </c>
      <c r="E60" s="20" t="s">
        <v>715</v>
      </c>
      <c r="F60" s="20" t="s">
        <v>716</v>
      </c>
      <c r="G60" s="8" t="str">
        <f t="shared" si="0"/>
        <v>ROCHA YAOTL</v>
      </c>
    </row>
    <row r="61" spans="1:7" x14ac:dyDescent="0.25">
      <c r="A61" s="8">
        <v>42917.339641203704</v>
      </c>
      <c r="B61" s="20" t="s">
        <v>563</v>
      </c>
      <c r="C61" s="20" t="s">
        <v>739</v>
      </c>
      <c r="D61" s="138">
        <v>2530000</v>
      </c>
      <c r="E61" s="20" t="s">
        <v>704</v>
      </c>
      <c r="F61" s="20" t="s">
        <v>705</v>
      </c>
      <c r="G61" s="8" t="str">
        <f t="shared" si="0"/>
        <v>LALONDE GREGORY</v>
      </c>
    </row>
    <row r="62" spans="1:7" x14ac:dyDescent="0.25">
      <c r="A62" s="8">
        <v>42917.340474537035</v>
      </c>
      <c r="B62" s="20" t="s">
        <v>649</v>
      </c>
      <c r="C62" s="20" t="s">
        <v>740</v>
      </c>
      <c r="D62" s="138">
        <v>2970000</v>
      </c>
      <c r="E62" s="20" t="s">
        <v>379</v>
      </c>
      <c r="F62" s="20" t="s">
        <v>380</v>
      </c>
      <c r="G62" s="8" t="str">
        <f t="shared" si="0"/>
        <v>GUZMAN DANNY</v>
      </c>
    </row>
    <row r="63" spans="1:7" x14ac:dyDescent="0.25">
      <c r="A63" s="8">
        <v>42917.349641203706</v>
      </c>
      <c r="B63" s="20" t="s">
        <v>397</v>
      </c>
      <c r="C63" s="20" t="s">
        <v>741</v>
      </c>
      <c r="D63" s="138">
        <v>2010000</v>
      </c>
      <c r="E63" s="20" t="s">
        <v>495</v>
      </c>
      <c r="F63" s="20" t="s">
        <v>496</v>
      </c>
      <c r="G63" s="8" t="str">
        <f t="shared" si="0"/>
        <v>MAELZER KURT</v>
      </c>
    </row>
    <row r="64" spans="1:7" x14ac:dyDescent="0.25">
      <c r="A64" s="26">
        <v>42917.359525462962</v>
      </c>
      <c r="B64" s="20" t="s">
        <v>651</v>
      </c>
      <c r="C64" s="20" t="s">
        <v>742</v>
      </c>
      <c r="D64" s="138">
        <v>900000</v>
      </c>
      <c r="E64" s="20" t="s">
        <v>715</v>
      </c>
      <c r="F64" s="20" t="s">
        <v>716</v>
      </c>
      <c r="G64" s="8" t="str">
        <f t="shared" si="0"/>
        <v>ROCHA YAOTL</v>
      </c>
    </row>
    <row r="65" spans="1:7" x14ac:dyDescent="0.25">
      <c r="A65" s="8">
        <v>42917.360277777778</v>
      </c>
      <c r="B65" s="20" t="s">
        <v>368</v>
      </c>
      <c r="C65" s="20" t="s">
        <v>743</v>
      </c>
      <c r="D65" s="138">
        <v>1100000</v>
      </c>
      <c r="E65" s="20" t="s">
        <v>567</v>
      </c>
      <c r="F65" s="20" t="s">
        <v>568</v>
      </c>
      <c r="G65" s="8" t="str">
        <f t="shared" si="0"/>
        <v>GEBRETEKLE DAGNEW</v>
      </c>
    </row>
    <row r="66" spans="1:7" x14ac:dyDescent="0.25">
      <c r="A66" s="8">
        <v>42917.360300925924</v>
      </c>
      <c r="B66" s="20" t="s">
        <v>340</v>
      </c>
      <c r="C66" s="20" t="s">
        <v>744</v>
      </c>
      <c r="D66" s="138">
        <v>1990000</v>
      </c>
      <c r="E66" s="20" t="s">
        <v>411</v>
      </c>
      <c r="F66" s="20" t="s">
        <v>566</v>
      </c>
      <c r="G66" s="8" t="str">
        <f t="shared" si="0"/>
        <v>DAVIS WENDY</v>
      </c>
    </row>
    <row r="67" spans="1:7" x14ac:dyDescent="0.25">
      <c r="A67" s="8">
        <v>42917.360358796293</v>
      </c>
      <c r="B67" s="20" t="s">
        <v>575</v>
      </c>
      <c r="C67" s="20" t="s">
        <v>745</v>
      </c>
      <c r="D67" s="138">
        <v>2600000</v>
      </c>
      <c r="E67" s="20" t="s">
        <v>708</v>
      </c>
      <c r="F67" s="20" t="s">
        <v>709</v>
      </c>
      <c r="G67" s="8" t="str">
        <f t="shared" ref="G67:G130" si="1">E67&amp;" "&amp;F67</f>
        <v>DAVIDSON DAVID</v>
      </c>
    </row>
    <row r="68" spans="1:7" x14ac:dyDescent="0.25">
      <c r="A68" s="8">
        <v>42917.372777777775</v>
      </c>
      <c r="B68" s="20" t="s">
        <v>468</v>
      </c>
      <c r="C68" s="20" t="s">
        <v>746</v>
      </c>
      <c r="D68" s="138">
        <v>1340000</v>
      </c>
      <c r="E68" s="20" t="s">
        <v>695</v>
      </c>
      <c r="F68" s="20" t="s">
        <v>696</v>
      </c>
      <c r="G68" s="8" t="str">
        <f t="shared" si="1"/>
        <v>BEAM ROSS</v>
      </c>
    </row>
    <row r="69" spans="1:7" x14ac:dyDescent="0.25">
      <c r="A69" s="8">
        <v>42917.373541666668</v>
      </c>
      <c r="B69" s="20" t="s">
        <v>639</v>
      </c>
      <c r="C69" s="20" t="s">
        <v>747</v>
      </c>
      <c r="D69" s="138">
        <v>900000</v>
      </c>
      <c r="E69" s="20" t="s">
        <v>715</v>
      </c>
      <c r="F69" s="20" t="s">
        <v>716</v>
      </c>
      <c r="G69" s="8" t="str">
        <f t="shared" si="1"/>
        <v>ROCHA YAOTL</v>
      </c>
    </row>
    <row r="70" spans="1:7" x14ac:dyDescent="0.25">
      <c r="A70" s="8">
        <v>42917.373831018522</v>
      </c>
      <c r="B70" s="20" t="s">
        <v>562</v>
      </c>
      <c r="C70" s="20" t="s">
        <v>748</v>
      </c>
      <c r="D70" s="138">
        <v>2530000</v>
      </c>
      <c r="E70" s="20" t="s">
        <v>704</v>
      </c>
      <c r="F70" s="20" t="s">
        <v>705</v>
      </c>
      <c r="G70" s="8" t="str">
        <f t="shared" si="1"/>
        <v>LALONDE GREGORY</v>
      </c>
    </row>
    <row r="71" spans="1:7" x14ac:dyDescent="0.25">
      <c r="A71" s="8">
        <v>42917.381041666667</v>
      </c>
      <c r="B71" s="20" t="s">
        <v>646</v>
      </c>
      <c r="C71" s="20" t="s">
        <v>749</v>
      </c>
      <c r="D71" s="138">
        <v>2970000</v>
      </c>
      <c r="E71" s="20" t="s">
        <v>379</v>
      </c>
      <c r="F71" s="20" t="s">
        <v>380</v>
      </c>
      <c r="G71" s="8" t="str">
        <f t="shared" si="1"/>
        <v>GUZMAN DANNY</v>
      </c>
    </row>
    <row r="72" spans="1:7" x14ac:dyDescent="0.25">
      <c r="A72" s="8">
        <v>42917.38616898148</v>
      </c>
      <c r="B72" s="20" t="s">
        <v>483</v>
      </c>
      <c r="C72" s="20" t="s">
        <v>750</v>
      </c>
      <c r="D72" s="138">
        <v>2010000</v>
      </c>
      <c r="E72" s="20" t="s">
        <v>495</v>
      </c>
      <c r="F72" s="20" t="s">
        <v>496</v>
      </c>
      <c r="G72" s="8" t="str">
        <f t="shared" si="1"/>
        <v>MAELZER KURT</v>
      </c>
    </row>
    <row r="73" spans="1:7" x14ac:dyDescent="0.25">
      <c r="A73" s="8">
        <v>42917.39234953704</v>
      </c>
      <c r="B73" s="20" t="s">
        <v>339</v>
      </c>
      <c r="C73" s="20" t="s">
        <v>751</v>
      </c>
      <c r="D73" s="138">
        <v>1990000</v>
      </c>
      <c r="E73" s="20" t="s">
        <v>411</v>
      </c>
      <c r="F73" s="20" t="s">
        <v>566</v>
      </c>
      <c r="G73" s="8" t="str">
        <f t="shared" si="1"/>
        <v>DAVIS WENDY</v>
      </c>
    </row>
    <row r="74" spans="1:7" x14ac:dyDescent="0.25">
      <c r="A74" s="8">
        <v>42917.392638888887</v>
      </c>
      <c r="B74" s="20" t="s">
        <v>641</v>
      </c>
      <c r="C74" s="20" t="s">
        <v>752</v>
      </c>
      <c r="D74" s="138">
        <v>2600000</v>
      </c>
      <c r="E74" s="20" t="s">
        <v>708</v>
      </c>
      <c r="F74" s="20" t="s">
        <v>709</v>
      </c>
      <c r="G74" s="8" t="str">
        <f t="shared" si="1"/>
        <v>DAVIDSON DAVID</v>
      </c>
    </row>
    <row r="75" spans="1:7" x14ac:dyDescent="0.25">
      <c r="A75" s="8">
        <v>42917.401053240741</v>
      </c>
      <c r="B75" s="20" t="s">
        <v>651</v>
      </c>
      <c r="C75" s="20" t="s">
        <v>753</v>
      </c>
      <c r="D75" s="138">
        <v>900000</v>
      </c>
      <c r="E75" s="20" t="s">
        <v>715</v>
      </c>
      <c r="F75" s="20" t="s">
        <v>716</v>
      </c>
      <c r="G75" s="8" t="str">
        <f t="shared" si="1"/>
        <v>ROCHA YAOTL</v>
      </c>
    </row>
    <row r="76" spans="1:7" x14ac:dyDescent="0.25">
      <c r="A76" s="8">
        <v>42917.40215277778</v>
      </c>
      <c r="B76" s="20" t="s">
        <v>374</v>
      </c>
      <c r="C76" s="20" t="s">
        <v>754</v>
      </c>
      <c r="D76" s="138">
        <v>1100000</v>
      </c>
      <c r="E76" s="20" t="s">
        <v>567</v>
      </c>
      <c r="F76" s="20" t="s">
        <v>568</v>
      </c>
      <c r="G76" s="8" t="str">
        <f t="shared" si="1"/>
        <v>GEBRETEKLE DAGNEW</v>
      </c>
    </row>
    <row r="77" spans="1:7" x14ac:dyDescent="0.25">
      <c r="A77" s="8">
        <v>42917.403854166667</v>
      </c>
      <c r="B77" s="20" t="s">
        <v>474</v>
      </c>
      <c r="C77" s="20" t="s">
        <v>755</v>
      </c>
      <c r="D77" s="138">
        <v>1340000</v>
      </c>
      <c r="E77" s="20" t="s">
        <v>695</v>
      </c>
      <c r="F77" s="20" t="s">
        <v>696</v>
      </c>
      <c r="G77" s="8" t="str">
        <f t="shared" si="1"/>
        <v>BEAM ROSS</v>
      </c>
    </row>
    <row r="78" spans="1:7" x14ac:dyDescent="0.25">
      <c r="A78" s="8">
        <v>42917.412766203706</v>
      </c>
      <c r="B78" s="20" t="s">
        <v>563</v>
      </c>
      <c r="C78" s="20" t="s">
        <v>756</v>
      </c>
      <c r="D78" s="138">
        <v>2530000</v>
      </c>
      <c r="E78" s="20" t="s">
        <v>704</v>
      </c>
      <c r="F78" s="20" t="s">
        <v>705</v>
      </c>
      <c r="G78" s="8" t="str">
        <f t="shared" si="1"/>
        <v>LALONDE GREGORY</v>
      </c>
    </row>
    <row r="79" spans="1:7" x14ac:dyDescent="0.25">
      <c r="A79" s="8">
        <v>42917.413391203707</v>
      </c>
      <c r="B79" s="20" t="s">
        <v>649</v>
      </c>
      <c r="C79" s="20" t="s">
        <v>757</v>
      </c>
      <c r="D79" s="138">
        <v>2970000</v>
      </c>
      <c r="E79" s="20" t="s">
        <v>379</v>
      </c>
      <c r="F79" s="20" t="s">
        <v>380</v>
      </c>
      <c r="G79" s="8" t="str">
        <f t="shared" si="1"/>
        <v>GUZMAN DANNY</v>
      </c>
    </row>
    <row r="80" spans="1:7" x14ac:dyDescent="0.25">
      <c r="A80" s="8">
        <v>42917.415416666663</v>
      </c>
      <c r="B80" s="20" t="s">
        <v>639</v>
      </c>
      <c r="C80" s="20" t="s">
        <v>758</v>
      </c>
      <c r="D80" s="138">
        <v>900000</v>
      </c>
      <c r="E80" s="20" t="s">
        <v>715</v>
      </c>
      <c r="F80" s="20" t="s">
        <v>716</v>
      </c>
      <c r="G80" s="8" t="str">
        <f t="shared" si="1"/>
        <v>ROCHA YAOTL</v>
      </c>
    </row>
    <row r="81" spans="1:7" x14ac:dyDescent="0.25">
      <c r="A81" s="8">
        <v>42917.42391203704</v>
      </c>
      <c r="B81" s="20" t="s">
        <v>397</v>
      </c>
      <c r="C81" s="20" t="s">
        <v>759</v>
      </c>
      <c r="D81" s="138">
        <v>1810000</v>
      </c>
      <c r="E81" s="20" t="s">
        <v>367</v>
      </c>
      <c r="F81" s="20" t="s">
        <v>189</v>
      </c>
      <c r="G81" s="8" t="str">
        <f t="shared" si="1"/>
        <v>NEWELL JAMES</v>
      </c>
    </row>
    <row r="82" spans="1:7" x14ac:dyDescent="0.25">
      <c r="A82" s="8">
        <v>42917.433159722219</v>
      </c>
      <c r="B82" s="20" t="s">
        <v>575</v>
      </c>
      <c r="C82" s="20" t="s">
        <v>760</v>
      </c>
      <c r="D82" s="138">
        <v>2600000</v>
      </c>
      <c r="E82" s="20" t="s">
        <v>708</v>
      </c>
      <c r="F82" s="20" t="s">
        <v>709</v>
      </c>
      <c r="G82" s="8" t="str">
        <f t="shared" si="1"/>
        <v>DAVIDSON DAVID</v>
      </c>
    </row>
    <row r="83" spans="1:7" x14ac:dyDescent="0.25">
      <c r="A83" s="8">
        <v>42917.433275462965</v>
      </c>
      <c r="B83" s="20" t="s">
        <v>368</v>
      </c>
      <c r="C83" s="20" t="s">
        <v>761</v>
      </c>
      <c r="D83" s="138">
        <v>1100000</v>
      </c>
      <c r="E83" s="20" t="s">
        <v>567</v>
      </c>
      <c r="F83" s="20" t="s">
        <v>568</v>
      </c>
      <c r="G83" s="8" t="str">
        <f t="shared" si="1"/>
        <v>GEBRETEKLE DAGNEW</v>
      </c>
    </row>
    <row r="84" spans="1:7" x14ac:dyDescent="0.25">
      <c r="A84" s="8">
        <v>42917.43414351852</v>
      </c>
      <c r="B84" s="20" t="s">
        <v>340</v>
      </c>
      <c r="C84" s="20" t="s">
        <v>762</v>
      </c>
      <c r="D84" s="138">
        <v>1990000</v>
      </c>
      <c r="E84" s="20" t="s">
        <v>411</v>
      </c>
      <c r="F84" s="20" t="s">
        <v>566</v>
      </c>
      <c r="G84" s="8" t="str">
        <f t="shared" si="1"/>
        <v>DAVIS WENDY</v>
      </c>
    </row>
    <row r="85" spans="1:7" x14ac:dyDescent="0.25">
      <c r="A85" s="8">
        <v>42917.44259259259</v>
      </c>
      <c r="B85" s="20" t="s">
        <v>651</v>
      </c>
      <c r="C85" s="20" t="s">
        <v>763</v>
      </c>
      <c r="D85" s="138">
        <v>900000</v>
      </c>
      <c r="E85" s="20" t="s">
        <v>715</v>
      </c>
      <c r="F85" s="20" t="s">
        <v>716</v>
      </c>
      <c r="G85" s="8" t="str">
        <f t="shared" si="1"/>
        <v>ROCHA YAOTL</v>
      </c>
    </row>
    <row r="86" spans="1:7" x14ac:dyDescent="0.25">
      <c r="A86" s="8">
        <v>42917.443391203706</v>
      </c>
      <c r="B86" s="20" t="s">
        <v>468</v>
      </c>
      <c r="C86" s="20" t="s">
        <v>764</v>
      </c>
      <c r="D86" s="138">
        <v>880000</v>
      </c>
      <c r="E86" s="20" t="s">
        <v>523</v>
      </c>
      <c r="F86" s="20" t="s">
        <v>192</v>
      </c>
      <c r="G86" s="8" t="str">
        <f t="shared" si="1"/>
        <v>STEWART MICHAEL</v>
      </c>
    </row>
    <row r="87" spans="1:7" x14ac:dyDescent="0.25">
      <c r="A87" s="8">
        <v>42917.445752314816</v>
      </c>
      <c r="B87" s="20" t="s">
        <v>562</v>
      </c>
      <c r="C87" s="20" t="s">
        <v>765</v>
      </c>
      <c r="D87" s="138">
        <v>2530000</v>
      </c>
      <c r="E87" s="20" t="s">
        <v>704</v>
      </c>
      <c r="F87" s="20" t="s">
        <v>705</v>
      </c>
      <c r="G87" s="8" t="str">
        <f t="shared" si="1"/>
        <v>LALONDE GREGORY</v>
      </c>
    </row>
    <row r="88" spans="1:7" x14ac:dyDescent="0.25">
      <c r="A88" s="8">
        <v>42917.453715277778</v>
      </c>
      <c r="B88" s="20" t="s">
        <v>646</v>
      </c>
      <c r="C88" s="20" t="s">
        <v>647</v>
      </c>
      <c r="D88" s="138">
        <v>2970000</v>
      </c>
      <c r="E88" s="20" t="s">
        <v>379</v>
      </c>
      <c r="F88" s="20" t="s">
        <v>380</v>
      </c>
      <c r="G88" s="8" t="str">
        <f t="shared" si="1"/>
        <v>GUZMAN DANNY</v>
      </c>
    </row>
    <row r="89" spans="1:7" x14ac:dyDescent="0.25">
      <c r="A89" s="8">
        <v>42917.457002314812</v>
      </c>
      <c r="B89" s="20" t="s">
        <v>483</v>
      </c>
      <c r="C89" s="20" t="s">
        <v>766</v>
      </c>
      <c r="D89" s="138">
        <v>1810000</v>
      </c>
      <c r="E89" s="20" t="s">
        <v>367</v>
      </c>
      <c r="F89" s="20" t="s">
        <v>189</v>
      </c>
      <c r="G89" s="8" t="str">
        <f t="shared" si="1"/>
        <v>NEWELL JAMES</v>
      </c>
    </row>
    <row r="90" spans="1:7" x14ac:dyDescent="0.25">
      <c r="A90" s="8">
        <v>42917.465416666666</v>
      </c>
      <c r="B90" s="20" t="s">
        <v>641</v>
      </c>
      <c r="C90" s="20" t="s">
        <v>648</v>
      </c>
      <c r="D90" s="138">
        <v>2600000</v>
      </c>
      <c r="E90" s="20" t="s">
        <v>708</v>
      </c>
      <c r="F90" s="20" t="s">
        <v>709</v>
      </c>
      <c r="G90" s="8" t="str">
        <f t="shared" si="1"/>
        <v>DAVIDSON DAVID</v>
      </c>
    </row>
    <row r="91" spans="1:7" x14ac:dyDescent="0.25">
      <c r="A91" s="8">
        <v>42917.465717592589</v>
      </c>
      <c r="B91" s="20" t="s">
        <v>339</v>
      </c>
      <c r="C91" s="20" t="s">
        <v>767</v>
      </c>
      <c r="D91" s="138">
        <v>2440000</v>
      </c>
      <c r="E91" s="20" t="s">
        <v>768</v>
      </c>
      <c r="F91" s="20" t="s">
        <v>769</v>
      </c>
      <c r="G91" s="8" t="str">
        <f t="shared" si="1"/>
        <v>LOPES KIMBERLY</v>
      </c>
    </row>
    <row r="92" spans="1:7" x14ac:dyDescent="0.25">
      <c r="A92" s="8">
        <v>42917.470023148147</v>
      </c>
      <c r="B92" s="20" t="s">
        <v>639</v>
      </c>
      <c r="C92" s="20" t="s">
        <v>770</v>
      </c>
      <c r="D92" s="138">
        <v>2270000</v>
      </c>
      <c r="E92" s="20" t="s">
        <v>771</v>
      </c>
      <c r="F92" s="20" t="s">
        <v>772</v>
      </c>
      <c r="G92" s="8" t="str">
        <f t="shared" si="1"/>
        <v>BROWN JACOB</v>
      </c>
    </row>
    <row r="93" spans="1:7" x14ac:dyDescent="0.25">
      <c r="A93" s="8">
        <v>42917.4762962963</v>
      </c>
      <c r="B93" s="20" t="s">
        <v>374</v>
      </c>
      <c r="C93" s="20" t="s">
        <v>773</v>
      </c>
      <c r="D93" s="138">
        <v>2360000</v>
      </c>
      <c r="E93" s="20" t="s">
        <v>774</v>
      </c>
      <c r="F93" s="20" t="s">
        <v>775</v>
      </c>
      <c r="G93" s="8" t="str">
        <f t="shared" si="1"/>
        <v>BRANDNER MELINDA</v>
      </c>
    </row>
    <row r="94" spans="1:7" x14ac:dyDescent="0.25">
      <c r="A94" s="8">
        <v>42917.477152777778</v>
      </c>
      <c r="B94" s="20" t="s">
        <v>440</v>
      </c>
      <c r="C94" s="20" t="s">
        <v>689</v>
      </c>
      <c r="D94" s="138">
        <v>2370000</v>
      </c>
      <c r="E94" s="20" t="s">
        <v>569</v>
      </c>
      <c r="F94" s="20" t="s">
        <v>570</v>
      </c>
      <c r="G94" s="8" t="str">
        <f t="shared" si="1"/>
        <v>DELGADO DIANAH</v>
      </c>
    </row>
    <row r="95" spans="1:7" x14ac:dyDescent="0.25">
      <c r="A95" s="8">
        <v>42917.485995370371</v>
      </c>
      <c r="B95" s="20" t="s">
        <v>474</v>
      </c>
      <c r="C95" s="20" t="s">
        <v>776</v>
      </c>
      <c r="D95" s="138">
        <v>880000</v>
      </c>
      <c r="E95" s="20" t="s">
        <v>523</v>
      </c>
      <c r="F95" s="20" t="s">
        <v>192</v>
      </c>
      <c r="G95" s="8" t="str">
        <f t="shared" si="1"/>
        <v>STEWART MICHAEL</v>
      </c>
    </row>
    <row r="96" spans="1:7" x14ac:dyDescent="0.25">
      <c r="A96" s="8">
        <v>42917.486678240741</v>
      </c>
      <c r="B96" s="20" t="s">
        <v>649</v>
      </c>
      <c r="C96" s="20" t="s">
        <v>650</v>
      </c>
      <c r="D96" s="138">
        <v>2970000</v>
      </c>
      <c r="E96" s="20" t="s">
        <v>379</v>
      </c>
      <c r="F96" s="20" t="s">
        <v>380</v>
      </c>
      <c r="G96" s="8" t="str">
        <f t="shared" si="1"/>
        <v>GUZMAN DANNY</v>
      </c>
    </row>
    <row r="97" spans="1:7" x14ac:dyDescent="0.25">
      <c r="A97" s="8">
        <v>42917.486805555556</v>
      </c>
      <c r="B97" s="20" t="s">
        <v>563</v>
      </c>
      <c r="C97" s="20" t="s">
        <v>777</v>
      </c>
      <c r="D97" s="138">
        <v>1770000</v>
      </c>
      <c r="E97" s="20" t="s">
        <v>497</v>
      </c>
      <c r="F97" s="20" t="s">
        <v>498</v>
      </c>
      <c r="G97" s="8" t="str">
        <f t="shared" si="1"/>
        <v>BRUDER RICHARD</v>
      </c>
    </row>
    <row r="98" spans="1:7" x14ac:dyDescent="0.25">
      <c r="A98" s="8">
        <v>42917.486909722225</v>
      </c>
      <c r="B98" s="20" t="s">
        <v>651</v>
      </c>
      <c r="C98" s="20" t="s">
        <v>778</v>
      </c>
      <c r="D98" s="138">
        <v>2270000</v>
      </c>
      <c r="E98" s="20" t="s">
        <v>771</v>
      </c>
      <c r="F98" s="20" t="s">
        <v>772</v>
      </c>
      <c r="G98" s="8" t="str">
        <f t="shared" si="1"/>
        <v>BROWN JACOB</v>
      </c>
    </row>
    <row r="99" spans="1:7" x14ac:dyDescent="0.25">
      <c r="A99" s="8">
        <v>42917.495069444441</v>
      </c>
      <c r="B99" s="20" t="s">
        <v>397</v>
      </c>
      <c r="C99" s="20" t="s">
        <v>779</v>
      </c>
      <c r="D99" s="138">
        <v>1810000</v>
      </c>
      <c r="E99" s="20" t="s">
        <v>367</v>
      </c>
      <c r="F99" s="20" t="s">
        <v>189</v>
      </c>
      <c r="G99" s="8" t="str">
        <f t="shared" si="1"/>
        <v>NEWELL JAMES</v>
      </c>
    </row>
    <row r="100" spans="1:7" x14ac:dyDescent="0.25">
      <c r="A100" s="8">
        <v>42917.501909722225</v>
      </c>
      <c r="B100" s="20" t="s">
        <v>641</v>
      </c>
      <c r="C100" s="20" t="s">
        <v>648</v>
      </c>
      <c r="D100" s="138">
        <v>2600000</v>
      </c>
      <c r="E100" s="20" t="s">
        <v>708</v>
      </c>
      <c r="F100" s="20" t="s">
        <v>709</v>
      </c>
      <c r="G100" s="8" t="str">
        <f t="shared" si="1"/>
        <v>DAVIDSON DAVID</v>
      </c>
    </row>
    <row r="101" spans="1:7" x14ac:dyDescent="0.25">
      <c r="A101" s="8">
        <v>42917.50445601852</v>
      </c>
      <c r="B101" s="20" t="s">
        <v>340</v>
      </c>
      <c r="C101" s="20" t="s">
        <v>780</v>
      </c>
      <c r="D101" s="138">
        <v>2440000</v>
      </c>
      <c r="E101" s="20" t="s">
        <v>768</v>
      </c>
      <c r="F101" s="20" t="s">
        <v>769</v>
      </c>
      <c r="G101" s="8" t="str">
        <f t="shared" si="1"/>
        <v>LOPES KIMBERLY</v>
      </c>
    </row>
    <row r="102" spans="1:7" x14ac:dyDescent="0.25">
      <c r="A102" s="8">
        <v>42917.50922453704</v>
      </c>
      <c r="B102" s="20" t="s">
        <v>575</v>
      </c>
      <c r="C102" s="20" t="s">
        <v>781</v>
      </c>
      <c r="D102" s="138">
        <v>2370000</v>
      </c>
      <c r="E102" s="20" t="s">
        <v>569</v>
      </c>
      <c r="F102" s="20" t="s">
        <v>570</v>
      </c>
      <c r="G102" s="8" t="str">
        <f t="shared" si="1"/>
        <v>DELGADO DIANAH</v>
      </c>
    </row>
    <row r="103" spans="1:7" x14ac:dyDescent="0.25">
      <c r="A103" s="8">
        <v>42917.51289351852</v>
      </c>
      <c r="B103" s="20" t="s">
        <v>639</v>
      </c>
      <c r="C103" s="20" t="s">
        <v>782</v>
      </c>
      <c r="D103" s="138">
        <v>2270000</v>
      </c>
      <c r="E103" s="20" t="s">
        <v>771</v>
      </c>
      <c r="F103" s="20" t="s">
        <v>772</v>
      </c>
      <c r="G103" s="8" t="str">
        <f t="shared" si="1"/>
        <v>BROWN JACOB</v>
      </c>
    </row>
    <row r="104" spans="1:7" x14ac:dyDescent="0.25">
      <c r="A104" s="8">
        <v>42917.515474537038</v>
      </c>
      <c r="B104" s="20" t="s">
        <v>439</v>
      </c>
      <c r="C104" s="20" t="s">
        <v>783</v>
      </c>
      <c r="D104" s="138">
        <v>2600000</v>
      </c>
      <c r="E104" s="20" t="s">
        <v>708</v>
      </c>
      <c r="F104" s="20" t="s">
        <v>709</v>
      </c>
      <c r="G104" s="8" t="str">
        <f t="shared" si="1"/>
        <v>DAVIDSON DAVID</v>
      </c>
    </row>
    <row r="105" spans="1:7" x14ac:dyDescent="0.25">
      <c r="A105" s="8">
        <v>42917.517118055555</v>
      </c>
      <c r="B105" s="20" t="s">
        <v>368</v>
      </c>
      <c r="C105" s="20" t="s">
        <v>653</v>
      </c>
      <c r="D105" s="138">
        <v>2360000</v>
      </c>
      <c r="E105" s="20" t="s">
        <v>774</v>
      </c>
      <c r="F105" s="20" t="s">
        <v>775</v>
      </c>
      <c r="G105" s="8" t="str">
        <f t="shared" si="1"/>
        <v>BRANDNER MELINDA</v>
      </c>
    </row>
    <row r="106" spans="1:7" x14ac:dyDescent="0.25">
      <c r="A106" s="8">
        <v>42917.517569444448</v>
      </c>
      <c r="B106" s="20" t="s">
        <v>468</v>
      </c>
      <c r="C106" s="20" t="s">
        <v>784</v>
      </c>
      <c r="D106" s="138">
        <v>880000</v>
      </c>
      <c r="E106" s="20" t="s">
        <v>523</v>
      </c>
      <c r="F106" s="20" t="s">
        <v>192</v>
      </c>
      <c r="G106" s="8" t="str">
        <f t="shared" si="1"/>
        <v>STEWART MICHAEL</v>
      </c>
    </row>
    <row r="107" spans="1:7" x14ac:dyDescent="0.25">
      <c r="A107" s="8">
        <v>42917.526180555556</v>
      </c>
      <c r="B107" s="20" t="s">
        <v>651</v>
      </c>
      <c r="C107" s="20" t="s">
        <v>652</v>
      </c>
      <c r="D107" s="138">
        <v>2270000</v>
      </c>
      <c r="E107" s="20" t="s">
        <v>771</v>
      </c>
      <c r="F107" s="20" t="s">
        <v>772</v>
      </c>
      <c r="G107" s="8" t="str">
        <f t="shared" si="1"/>
        <v>BROWN JACOB</v>
      </c>
    </row>
    <row r="108" spans="1:7" x14ac:dyDescent="0.25">
      <c r="A108" s="8">
        <v>42917.526423611111</v>
      </c>
      <c r="B108" s="20" t="s">
        <v>562</v>
      </c>
      <c r="C108" s="20" t="s">
        <v>654</v>
      </c>
      <c r="D108" s="138">
        <v>1770000</v>
      </c>
      <c r="E108" s="20" t="s">
        <v>497</v>
      </c>
      <c r="F108" s="20" t="s">
        <v>498</v>
      </c>
      <c r="G108" s="8" t="str">
        <f t="shared" si="1"/>
        <v>BRUDER RICHARD</v>
      </c>
    </row>
    <row r="109" spans="1:7" x14ac:dyDescent="0.25">
      <c r="A109" s="8">
        <v>42917.526898148149</v>
      </c>
      <c r="B109" s="20" t="s">
        <v>483</v>
      </c>
      <c r="C109" s="20" t="s">
        <v>785</v>
      </c>
      <c r="D109" s="138">
        <v>1810000</v>
      </c>
      <c r="E109" s="20" t="s">
        <v>367</v>
      </c>
      <c r="F109" s="20" t="s">
        <v>189</v>
      </c>
      <c r="G109" s="8" t="str">
        <f t="shared" si="1"/>
        <v>NEWELL JAMES</v>
      </c>
    </row>
    <row r="110" spans="1:7" x14ac:dyDescent="0.25">
      <c r="A110" s="8">
        <v>42917.528564814813</v>
      </c>
      <c r="B110" s="20" t="s">
        <v>646</v>
      </c>
      <c r="C110" s="20" t="s">
        <v>655</v>
      </c>
      <c r="D110" s="138">
        <v>2420000</v>
      </c>
      <c r="E110" s="20" t="s">
        <v>571</v>
      </c>
      <c r="F110" s="20" t="s">
        <v>572</v>
      </c>
      <c r="G110" s="8" t="str">
        <f t="shared" si="1"/>
        <v>HOLCOMB KAMDEN</v>
      </c>
    </row>
    <row r="111" spans="1:7" x14ac:dyDescent="0.25">
      <c r="A111" s="8">
        <v>42917.536539351851</v>
      </c>
      <c r="B111" s="20" t="s">
        <v>339</v>
      </c>
      <c r="C111" s="20" t="s">
        <v>786</v>
      </c>
      <c r="D111" s="138">
        <v>2440000</v>
      </c>
      <c r="E111" s="20" t="s">
        <v>768</v>
      </c>
      <c r="F111" s="20" t="s">
        <v>769</v>
      </c>
      <c r="G111" s="8" t="str">
        <f t="shared" si="1"/>
        <v>LOPES KIMBERLY</v>
      </c>
    </row>
    <row r="112" spans="1:7" x14ac:dyDescent="0.25">
      <c r="A112" s="8">
        <v>42917.545717592591</v>
      </c>
      <c r="B112" s="20" t="s">
        <v>641</v>
      </c>
      <c r="C112" s="20" t="s">
        <v>787</v>
      </c>
      <c r="D112" s="138">
        <v>2370000</v>
      </c>
      <c r="E112" s="20" t="s">
        <v>569</v>
      </c>
      <c r="F112" s="20" t="s">
        <v>570</v>
      </c>
      <c r="G112" s="8" t="str">
        <f t="shared" si="1"/>
        <v>DELGADO DIANAH</v>
      </c>
    </row>
    <row r="113" spans="1:7" x14ac:dyDescent="0.25">
      <c r="A113" s="8">
        <v>42917.549803240741</v>
      </c>
      <c r="B113" s="20" t="s">
        <v>374</v>
      </c>
      <c r="C113" s="20" t="s">
        <v>656</v>
      </c>
      <c r="D113" s="138">
        <v>2360000</v>
      </c>
      <c r="E113" s="20" t="s">
        <v>774</v>
      </c>
      <c r="F113" s="20" t="s">
        <v>775</v>
      </c>
      <c r="G113" s="8" t="str">
        <f t="shared" si="1"/>
        <v>BRANDNER MELINDA</v>
      </c>
    </row>
    <row r="114" spans="1:7" x14ac:dyDescent="0.25">
      <c r="A114" s="8">
        <v>42917.554918981485</v>
      </c>
      <c r="B114" s="20" t="s">
        <v>639</v>
      </c>
      <c r="C114" s="20" t="s">
        <v>788</v>
      </c>
      <c r="D114" s="138">
        <v>2270000</v>
      </c>
      <c r="E114" s="20" t="s">
        <v>771</v>
      </c>
      <c r="F114" s="20" t="s">
        <v>772</v>
      </c>
      <c r="G114" s="8" t="str">
        <f t="shared" si="1"/>
        <v>BROWN JACOB</v>
      </c>
    </row>
    <row r="115" spans="1:7" x14ac:dyDescent="0.25">
      <c r="A115" s="8">
        <v>42917.557256944441</v>
      </c>
      <c r="B115" s="20" t="s">
        <v>474</v>
      </c>
      <c r="C115" s="20" t="s">
        <v>789</v>
      </c>
      <c r="D115" s="138">
        <v>880000</v>
      </c>
      <c r="E115" s="20" t="s">
        <v>523</v>
      </c>
      <c r="F115" s="20" t="s">
        <v>192</v>
      </c>
      <c r="G115" s="8" t="str">
        <f t="shared" si="1"/>
        <v>STEWART MICHAEL</v>
      </c>
    </row>
    <row r="116" spans="1:7" x14ac:dyDescent="0.25">
      <c r="A116" s="8">
        <v>42917.557708333334</v>
      </c>
      <c r="B116" s="20" t="s">
        <v>374</v>
      </c>
      <c r="C116" s="20" t="s">
        <v>656</v>
      </c>
      <c r="D116" s="138">
        <v>2360000</v>
      </c>
      <c r="E116" s="20" t="s">
        <v>774</v>
      </c>
      <c r="F116" s="20" t="s">
        <v>775</v>
      </c>
      <c r="G116" s="8" t="str">
        <f t="shared" si="1"/>
        <v>BRANDNER MELINDA</v>
      </c>
    </row>
    <row r="117" spans="1:7" x14ac:dyDescent="0.25">
      <c r="A117" s="8">
        <v>42917.557939814818</v>
      </c>
      <c r="B117" s="20" t="s">
        <v>563</v>
      </c>
      <c r="C117" s="20" t="s">
        <v>790</v>
      </c>
      <c r="D117" s="138">
        <v>1770000</v>
      </c>
      <c r="E117" s="20" t="s">
        <v>497</v>
      </c>
      <c r="F117" s="20" t="s">
        <v>498</v>
      </c>
      <c r="G117" s="8" t="str">
        <f t="shared" si="1"/>
        <v>BRUDER RICHARD</v>
      </c>
    </row>
    <row r="118" spans="1:7" x14ac:dyDescent="0.25">
      <c r="A118" s="8">
        <v>42917.567511574074</v>
      </c>
      <c r="B118" s="20" t="s">
        <v>651</v>
      </c>
      <c r="C118" s="20" t="s">
        <v>791</v>
      </c>
      <c r="D118" s="138">
        <v>2270000</v>
      </c>
      <c r="E118" s="20" t="s">
        <v>771</v>
      </c>
      <c r="F118" s="20" t="s">
        <v>772</v>
      </c>
      <c r="G118" s="8" t="str">
        <f t="shared" si="1"/>
        <v>BROWN JACOB</v>
      </c>
    </row>
    <row r="119" spans="1:7" x14ac:dyDescent="0.25">
      <c r="A119" s="8">
        <v>42917.570150462961</v>
      </c>
      <c r="B119" s="20" t="s">
        <v>397</v>
      </c>
      <c r="C119" s="20" t="s">
        <v>792</v>
      </c>
      <c r="D119" s="138">
        <v>1810000</v>
      </c>
      <c r="E119" s="20" t="s">
        <v>367</v>
      </c>
      <c r="F119" s="20" t="s">
        <v>189</v>
      </c>
      <c r="G119" s="8" t="str">
        <f t="shared" si="1"/>
        <v>NEWELL JAMES</v>
      </c>
    </row>
    <row r="120" spans="1:7" x14ac:dyDescent="0.25">
      <c r="A120" s="8">
        <v>42917.570381944446</v>
      </c>
      <c r="B120" s="20" t="s">
        <v>649</v>
      </c>
      <c r="C120" s="20" t="s">
        <v>793</v>
      </c>
      <c r="D120" s="138">
        <v>2420000</v>
      </c>
      <c r="E120" s="20" t="s">
        <v>571</v>
      </c>
      <c r="F120" s="20" t="s">
        <v>572</v>
      </c>
      <c r="G120" s="8" t="str">
        <f t="shared" si="1"/>
        <v>HOLCOMB KAMDEN</v>
      </c>
    </row>
    <row r="121" spans="1:7" x14ac:dyDescent="0.25">
      <c r="A121" s="8">
        <v>42917.572881944441</v>
      </c>
      <c r="B121" s="20" t="s">
        <v>340</v>
      </c>
      <c r="C121" s="20" t="s">
        <v>794</v>
      </c>
      <c r="D121" s="138">
        <v>2440000</v>
      </c>
      <c r="E121" s="20" t="s">
        <v>768</v>
      </c>
      <c r="F121" s="20" t="s">
        <v>769</v>
      </c>
      <c r="G121" s="8" t="str">
        <f t="shared" si="1"/>
        <v>LOPES KIMBERLY</v>
      </c>
    </row>
    <row r="122" spans="1:7" x14ac:dyDescent="0.25">
      <c r="A122" s="8">
        <v>42917.579074074078</v>
      </c>
      <c r="B122" s="25" t="s">
        <v>575</v>
      </c>
      <c r="C122" s="20" t="s">
        <v>795</v>
      </c>
      <c r="D122" s="138">
        <v>2370000</v>
      </c>
      <c r="E122" s="20" t="s">
        <v>569</v>
      </c>
      <c r="F122" s="20" t="s">
        <v>570</v>
      </c>
      <c r="G122" s="8" t="str">
        <f t="shared" si="1"/>
        <v>DELGADO DIANAH</v>
      </c>
    </row>
    <row r="123" spans="1:7" x14ac:dyDescent="0.25">
      <c r="A123" s="8">
        <v>42917.586331018516</v>
      </c>
      <c r="B123" s="20" t="s">
        <v>639</v>
      </c>
      <c r="C123" s="20" t="s">
        <v>796</v>
      </c>
      <c r="D123" s="138">
        <v>2630000</v>
      </c>
      <c r="E123" s="20" t="s">
        <v>797</v>
      </c>
      <c r="F123" s="20" t="s">
        <v>798</v>
      </c>
      <c r="G123" s="8" t="str">
        <f t="shared" si="1"/>
        <v>SAFIEF AEIMEN</v>
      </c>
    </row>
    <row r="124" spans="1:7" x14ac:dyDescent="0.25">
      <c r="A124" s="8">
        <v>42917.591064814813</v>
      </c>
      <c r="B124" s="20" t="s">
        <v>468</v>
      </c>
      <c r="C124" s="20" t="s">
        <v>799</v>
      </c>
      <c r="D124" s="138">
        <v>880000</v>
      </c>
      <c r="E124" s="20" t="s">
        <v>523</v>
      </c>
      <c r="F124" s="20" t="s">
        <v>192</v>
      </c>
      <c r="G124" s="8" t="str">
        <f t="shared" si="1"/>
        <v>STEWART MICHAEL</v>
      </c>
    </row>
    <row r="125" spans="1:7" x14ac:dyDescent="0.25">
      <c r="A125" s="8">
        <v>42917.591261574074</v>
      </c>
      <c r="B125" s="20" t="s">
        <v>368</v>
      </c>
      <c r="C125" s="20" t="s">
        <v>657</v>
      </c>
      <c r="D125" s="138">
        <v>2360000</v>
      </c>
      <c r="E125" s="20" t="s">
        <v>774</v>
      </c>
      <c r="F125" s="20" t="s">
        <v>775</v>
      </c>
      <c r="G125" s="8" t="str">
        <f t="shared" si="1"/>
        <v>BRANDNER MELINDA</v>
      </c>
    </row>
    <row r="126" spans="1:7" x14ac:dyDescent="0.25">
      <c r="A126" s="8">
        <v>42917.598032407404</v>
      </c>
      <c r="B126" s="20" t="s">
        <v>562</v>
      </c>
      <c r="C126" s="20" t="s">
        <v>800</v>
      </c>
      <c r="D126" s="138">
        <v>1770000</v>
      </c>
      <c r="E126" s="20" t="s">
        <v>497</v>
      </c>
      <c r="F126" s="20" t="s">
        <v>498</v>
      </c>
      <c r="G126" s="8" t="str">
        <f t="shared" si="1"/>
        <v>BRUDER RICHARD</v>
      </c>
    </row>
    <row r="127" spans="1:7" x14ac:dyDescent="0.25">
      <c r="A127" s="8">
        <v>42917.600486111114</v>
      </c>
      <c r="B127" s="20" t="s">
        <v>646</v>
      </c>
      <c r="C127" s="20" t="s">
        <v>801</v>
      </c>
      <c r="D127" s="138">
        <v>2420000</v>
      </c>
      <c r="E127" s="20" t="s">
        <v>571</v>
      </c>
      <c r="F127" s="20" t="s">
        <v>572</v>
      </c>
      <c r="G127" s="8" t="str">
        <f t="shared" si="1"/>
        <v>HOLCOMB KAMDEN</v>
      </c>
    </row>
    <row r="128" spans="1:7" x14ac:dyDescent="0.25">
      <c r="A128" s="8">
        <v>42917.601469907408</v>
      </c>
      <c r="B128" s="20" t="s">
        <v>483</v>
      </c>
      <c r="C128" s="20" t="s">
        <v>658</v>
      </c>
      <c r="D128" s="138">
        <v>1810000</v>
      </c>
      <c r="E128" s="20" t="s">
        <v>367</v>
      </c>
      <c r="F128" s="20" t="s">
        <v>189</v>
      </c>
      <c r="G128" s="8" t="str">
        <f t="shared" si="1"/>
        <v>NEWELL JAMES</v>
      </c>
    </row>
    <row r="129" spans="1:7" x14ac:dyDescent="0.25">
      <c r="A129" s="8">
        <v>42917.609351851854</v>
      </c>
      <c r="B129" s="20" t="s">
        <v>651</v>
      </c>
      <c r="C129" s="20" t="s">
        <v>802</v>
      </c>
      <c r="D129" s="138">
        <v>2630000</v>
      </c>
      <c r="E129" s="20" t="s">
        <v>797</v>
      </c>
      <c r="F129" s="20" t="s">
        <v>798</v>
      </c>
      <c r="G129" s="8" t="str">
        <f t="shared" si="1"/>
        <v>SAFIEF AEIMEN</v>
      </c>
    </row>
    <row r="130" spans="1:7" x14ac:dyDescent="0.25">
      <c r="A130" s="8">
        <v>42917.61042824074</v>
      </c>
      <c r="B130" s="20" t="s">
        <v>339</v>
      </c>
      <c r="C130" s="20" t="s">
        <v>803</v>
      </c>
      <c r="D130" s="138">
        <v>2440000</v>
      </c>
      <c r="E130" s="20" t="s">
        <v>768</v>
      </c>
      <c r="F130" s="20" t="s">
        <v>769</v>
      </c>
      <c r="G130" s="8" t="str">
        <f t="shared" si="1"/>
        <v>LOPES KIMBERLY</v>
      </c>
    </row>
    <row r="131" spans="1:7" x14ac:dyDescent="0.25">
      <c r="A131" s="8">
        <v>42917.620243055557</v>
      </c>
      <c r="B131" s="20" t="s">
        <v>641</v>
      </c>
      <c r="C131" s="20" t="s">
        <v>804</v>
      </c>
      <c r="D131" s="138">
        <v>2370000</v>
      </c>
      <c r="E131" s="20" t="s">
        <v>569</v>
      </c>
      <c r="F131" s="20" t="s">
        <v>570</v>
      </c>
      <c r="G131" s="8" t="str">
        <f t="shared" ref="G131:G194" si="2">E131&amp;" "&amp;F131</f>
        <v>DELGADO DIANAH</v>
      </c>
    </row>
    <row r="132" spans="1:7" x14ac:dyDescent="0.25">
      <c r="A132" s="8">
        <v>42917.622453703705</v>
      </c>
      <c r="B132" s="20" t="s">
        <v>374</v>
      </c>
      <c r="C132" s="20" t="s">
        <v>659</v>
      </c>
      <c r="D132" s="138">
        <v>2360000</v>
      </c>
      <c r="E132" s="20" t="s">
        <v>774</v>
      </c>
      <c r="F132" s="20" t="s">
        <v>775</v>
      </c>
      <c r="G132" s="8" t="str">
        <f t="shared" si="2"/>
        <v>BRANDNER MELINDA</v>
      </c>
    </row>
    <row r="133" spans="1:7" x14ac:dyDescent="0.25">
      <c r="A133" s="8">
        <v>42917.6249537037</v>
      </c>
      <c r="B133" s="20" t="s">
        <v>639</v>
      </c>
      <c r="C133" s="20" t="s">
        <v>805</v>
      </c>
      <c r="D133" s="138">
        <v>2630000</v>
      </c>
      <c r="E133" s="20" t="s">
        <v>797</v>
      </c>
      <c r="F133" s="20" t="s">
        <v>798</v>
      </c>
      <c r="G133" s="8" t="str">
        <f t="shared" si="2"/>
        <v>SAFIEF AEIMEN</v>
      </c>
    </row>
    <row r="134" spans="1:7" x14ac:dyDescent="0.25">
      <c r="A134" s="8">
        <v>42917.630995370368</v>
      </c>
      <c r="B134" s="20" t="s">
        <v>563</v>
      </c>
      <c r="C134" s="20" t="s">
        <v>806</v>
      </c>
      <c r="D134" s="138">
        <v>1770000</v>
      </c>
      <c r="E134" s="20" t="s">
        <v>497</v>
      </c>
      <c r="F134" s="20" t="s">
        <v>498</v>
      </c>
      <c r="G134" s="8" t="str">
        <f t="shared" si="2"/>
        <v>BRUDER RICHARD</v>
      </c>
    </row>
    <row r="135" spans="1:7" x14ac:dyDescent="0.25">
      <c r="A135" s="8">
        <v>42917.631145833337</v>
      </c>
      <c r="B135" s="20" t="s">
        <v>474</v>
      </c>
      <c r="C135" s="20" t="s">
        <v>807</v>
      </c>
      <c r="D135" s="138">
        <v>880000</v>
      </c>
      <c r="E135" s="20" t="s">
        <v>523</v>
      </c>
      <c r="F135" s="20" t="s">
        <v>192</v>
      </c>
      <c r="G135" s="8" t="str">
        <f t="shared" si="2"/>
        <v>STEWART MICHAEL</v>
      </c>
    </row>
    <row r="136" spans="1:7" x14ac:dyDescent="0.25">
      <c r="A136" s="8">
        <v>42917.642384259256</v>
      </c>
      <c r="B136" s="20" t="s">
        <v>649</v>
      </c>
      <c r="C136" s="20" t="s">
        <v>808</v>
      </c>
      <c r="D136" s="138">
        <v>2420000</v>
      </c>
      <c r="E136" s="20" t="s">
        <v>571</v>
      </c>
      <c r="F136" s="20" t="s">
        <v>572</v>
      </c>
      <c r="G136" s="8" t="str">
        <f t="shared" si="2"/>
        <v>HOLCOMB KAMDEN</v>
      </c>
    </row>
    <row r="137" spans="1:7" x14ac:dyDescent="0.25">
      <c r="A137" s="8">
        <v>42917.64334490741</v>
      </c>
      <c r="B137" s="20" t="s">
        <v>397</v>
      </c>
      <c r="C137" s="20" t="s">
        <v>809</v>
      </c>
      <c r="D137" s="138">
        <v>1810000</v>
      </c>
      <c r="E137" s="20" t="s">
        <v>367</v>
      </c>
      <c r="F137" s="20" t="s">
        <v>189</v>
      </c>
      <c r="G137" s="8" t="str">
        <f t="shared" si="2"/>
        <v>NEWELL JAMES</v>
      </c>
    </row>
    <row r="138" spans="1:7" x14ac:dyDescent="0.25">
      <c r="A138" s="8">
        <v>42917.650324074071</v>
      </c>
      <c r="B138" s="20" t="s">
        <v>340</v>
      </c>
      <c r="C138" s="20" t="s">
        <v>660</v>
      </c>
      <c r="D138" s="138">
        <v>2440000</v>
      </c>
      <c r="E138" s="20" t="s">
        <v>768</v>
      </c>
      <c r="F138" s="20" t="s">
        <v>769</v>
      </c>
      <c r="G138" s="8" t="str">
        <f t="shared" si="2"/>
        <v>LOPES KIMBERLY</v>
      </c>
    </row>
    <row r="139" spans="1:7" x14ac:dyDescent="0.25">
      <c r="A139" s="8">
        <v>42917.651099537034</v>
      </c>
      <c r="B139" s="20" t="s">
        <v>651</v>
      </c>
      <c r="C139" s="20" t="s">
        <v>810</v>
      </c>
      <c r="D139" s="138">
        <v>2630000</v>
      </c>
      <c r="E139" s="20" t="s">
        <v>797</v>
      </c>
      <c r="F139" s="20" t="s">
        <v>798</v>
      </c>
      <c r="G139" s="8" t="str">
        <f t="shared" si="2"/>
        <v>SAFIEF AEIMEN</v>
      </c>
    </row>
    <row r="140" spans="1:7" x14ac:dyDescent="0.25">
      <c r="A140" s="8">
        <v>42917.651608796295</v>
      </c>
      <c r="B140" s="20" t="s">
        <v>575</v>
      </c>
      <c r="C140" s="20" t="s">
        <v>811</v>
      </c>
      <c r="D140" s="138">
        <v>2370000</v>
      </c>
      <c r="E140" s="20" t="s">
        <v>569</v>
      </c>
      <c r="F140" s="20" t="s">
        <v>570</v>
      </c>
      <c r="G140" s="8" t="str">
        <f t="shared" si="2"/>
        <v>DELGADO DIANAH</v>
      </c>
    </row>
    <row r="141" spans="1:7" x14ac:dyDescent="0.25">
      <c r="A141" s="8">
        <v>42917.660370370373</v>
      </c>
      <c r="B141" s="20" t="s">
        <v>368</v>
      </c>
      <c r="C141" s="20" t="s">
        <v>812</v>
      </c>
      <c r="D141" s="138">
        <v>2360000</v>
      </c>
      <c r="E141" s="20" t="s">
        <v>774</v>
      </c>
      <c r="F141" s="20" t="s">
        <v>775</v>
      </c>
      <c r="G141" s="8" t="str">
        <f t="shared" si="2"/>
        <v>BRANDNER MELINDA</v>
      </c>
    </row>
    <row r="142" spans="1:7" x14ac:dyDescent="0.25">
      <c r="A142" s="8">
        <v>42917.664317129631</v>
      </c>
      <c r="B142" s="20" t="s">
        <v>468</v>
      </c>
      <c r="C142" s="20" t="s">
        <v>813</v>
      </c>
      <c r="D142" s="138">
        <v>880000</v>
      </c>
      <c r="E142" s="20" t="s">
        <v>523</v>
      </c>
      <c r="F142" s="20" t="s">
        <v>192</v>
      </c>
      <c r="G142" s="8" t="str">
        <f t="shared" si="2"/>
        <v>STEWART MICHAEL</v>
      </c>
    </row>
    <row r="143" spans="1:7" x14ac:dyDescent="0.25">
      <c r="A143" s="8">
        <v>42917.666250000002</v>
      </c>
      <c r="B143" s="20" t="s">
        <v>639</v>
      </c>
      <c r="C143" s="20" t="s">
        <v>814</v>
      </c>
      <c r="D143" s="138">
        <v>2630000</v>
      </c>
      <c r="E143" s="20" t="s">
        <v>797</v>
      </c>
      <c r="F143" s="20" t="s">
        <v>798</v>
      </c>
      <c r="G143" s="8" t="str">
        <f t="shared" si="2"/>
        <v>SAFIEF AEIMEN</v>
      </c>
    </row>
    <row r="144" spans="1:7" x14ac:dyDescent="0.25">
      <c r="A144" s="8">
        <v>42917.671238425923</v>
      </c>
      <c r="B144" s="20" t="s">
        <v>562</v>
      </c>
      <c r="C144" s="20" t="s">
        <v>815</v>
      </c>
      <c r="D144" s="138">
        <v>1770000</v>
      </c>
      <c r="E144" s="20" t="s">
        <v>497</v>
      </c>
      <c r="F144" s="20" t="s">
        <v>498</v>
      </c>
      <c r="G144" s="8" t="str">
        <f t="shared" si="2"/>
        <v>BRUDER RICHARD</v>
      </c>
    </row>
    <row r="145" spans="1:7" x14ac:dyDescent="0.25">
      <c r="A145" s="8">
        <v>42917.672442129631</v>
      </c>
      <c r="B145" s="20" t="s">
        <v>646</v>
      </c>
      <c r="C145" s="20" t="s">
        <v>662</v>
      </c>
      <c r="D145" s="138">
        <v>2420000</v>
      </c>
      <c r="E145" s="20" t="s">
        <v>571</v>
      </c>
      <c r="F145" s="20" t="s">
        <v>572</v>
      </c>
      <c r="G145" s="8" t="str">
        <f t="shared" si="2"/>
        <v>HOLCOMB KAMDEN</v>
      </c>
    </row>
    <row r="146" spans="1:7" x14ac:dyDescent="0.25">
      <c r="A146" s="8">
        <v>42917.673506944448</v>
      </c>
      <c r="B146" s="20" t="s">
        <v>483</v>
      </c>
      <c r="C146" s="20" t="s">
        <v>809</v>
      </c>
      <c r="D146" s="138">
        <v>1810000</v>
      </c>
      <c r="E146" s="20" t="s">
        <v>367</v>
      </c>
      <c r="F146" s="20" t="s">
        <v>189</v>
      </c>
      <c r="G146" s="8" t="str">
        <f t="shared" si="2"/>
        <v>NEWELL JAMES</v>
      </c>
    </row>
    <row r="147" spans="1:7" x14ac:dyDescent="0.25">
      <c r="A147" s="8">
        <v>42917.674155092594</v>
      </c>
      <c r="B147" s="20" t="s">
        <v>483</v>
      </c>
      <c r="C147" s="20" t="s">
        <v>816</v>
      </c>
      <c r="D147" s="138">
        <v>1810000</v>
      </c>
      <c r="E147" s="20" t="s">
        <v>367</v>
      </c>
      <c r="F147" s="20" t="s">
        <v>189</v>
      </c>
      <c r="G147" s="8" t="str">
        <f t="shared" si="2"/>
        <v>NEWELL JAMES</v>
      </c>
    </row>
    <row r="148" spans="1:7" x14ac:dyDescent="0.25">
      <c r="A148" s="8">
        <v>42917.682511574072</v>
      </c>
      <c r="B148" s="20" t="s">
        <v>339</v>
      </c>
      <c r="C148" s="20" t="s">
        <v>661</v>
      </c>
      <c r="D148" s="138">
        <v>2440000</v>
      </c>
      <c r="E148" s="20" t="s">
        <v>768</v>
      </c>
      <c r="F148" s="20" t="s">
        <v>769</v>
      </c>
      <c r="G148" s="8" t="str">
        <f t="shared" si="2"/>
        <v>LOPES KIMBERLY</v>
      </c>
    </row>
    <row r="149" spans="1:7" x14ac:dyDescent="0.25">
      <c r="A149" s="8">
        <v>42917.692210648151</v>
      </c>
      <c r="B149" s="20" t="s">
        <v>641</v>
      </c>
      <c r="C149" s="20" t="s">
        <v>817</v>
      </c>
      <c r="D149" s="138">
        <v>2370000</v>
      </c>
      <c r="E149" s="20" t="s">
        <v>569</v>
      </c>
      <c r="F149" s="20" t="s">
        <v>570</v>
      </c>
      <c r="G149" s="8" t="str">
        <f t="shared" si="2"/>
        <v>DELGADO DIANAH</v>
      </c>
    </row>
    <row r="150" spans="1:7" x14ac:dyDescent="0.25">
      <c r="A150" s="8">
        <v>42917.692800925928</v>
      </c>
      <c r="B150" s="20" t="s">
        <v>651</v>
      </c>
      <c r="C150" s="20" t="s">
        <v>818</v>
      </c>
      <c r="D150" s="138">
        <v>2630000</v>
      </c>
      <c r="E150" s="20" t="s">
        <v>797</v>
      </c>
      <c r="F150" s="20" t="s">
        <v>798</v>
      </c>
      <c r="G150" s="8" t="str">
        <f t="shared" si="2"/>
        <v>SAFIEF AEIMEN</v>
      </c>
    </row>
    <row r="151" spans="1:7" x14ac:dyDescent="0.25">
      <c r="A151" s="8">
        <v>42917.695381944446</v>
      </c>
      <c r="B151" s="20" t="s">
        <v>374</v>
      </c>
      <c r="C151" s="20" t="s">
        <v>819</v>
      </c>
      <c r="D151" s="138">
        <v>2360000</v>
      </c>
      <c r="E151" s="20" t="s">
        <v>774</v>
      </c>
      <c r="F151" s="20" t="s">
        <v>775</v>
      </c>
      <c r="G151" s="8" t="str">
        <f t="shared" si="2"/>
        <v>BRANDNER MELINDA</v>
      </c>
    </row>
    <row r="152" spans="1:7" x14ac:dyDescent="0.25">
      <c r="A152" s="8">
        <v>42917.704444444447</v>
      </c>
      <c r="B152" s="20" t="s">
        <v>563</v>
      </c>
      <c r="C152" s="20" t="s">
        <v>820</v>
      </c>
      <c r="D152" s="138">
        <v>1770000</v>
      </c>
      <c r="E152" s="20" t="s">
        <v>497</v>
      </c>
      <c r="F152" s="20" t="s">
        <v>498</v>
      </c>
      <c r="G152" s="8" t="str">
        <f t="shared" si="2"/>
        <v>BRUDER RICHARD</v>
      </c>
    </row>
    <row r="153" spans="1:7" x14ac:dyDescent="0.25">
      <c r="A153" s="8">
        <v>42917.70484953704</v>
      </c>
      <c r="B153" s="20" t="s">
        <v>474</v>
      </c>
      <c r="C153" s="20" t="s">
        <v>663</v>
      </c>
      <c r="D153" s="138">
        <v>880000</v>
      </c>
      <c r="E153" s="20" t="s">
        <v>523</v>
      </c>
      <c r="F153" s="20" t="s">
        <v>192</v>
      </c>
      <c r="G153" s="8" t="str">
        <f t="shared" si="2"/>
        <v>STEWART MICHAEL</v>
      </c>
    </row>
    <row r="154" spans="1:7" x14ac:dyDescent="0.25">
      <c r="A154" s="8">
        <v>42917.708148148151</v>
      </c>
      <c r="B154" s="20" t="s">
        <v>639</v>
      </c>
      <c r="C154" s="20" t="s">
        <v>821</v>
      </c>
      <c r="D154" s="138">
        <v>2630000</v>
      </c>
      <c r="E154" s="20" t="s">
        <v>797</v>
      </c>
      <c r="F154" s="20" t="s">
        <v>798</v>
      </c>
      <c r="G154" s="8" t="str">
        <f t="shared" si="2"/>
        <v>SAFIEF AEIMEN</v>
      </c>
    </row>
    <row r="155" spans="1:7" x14ac:dyDescent="0.25">
      <c r="A155" s="8">
        <v>42917.708761574075</v>
      </c>
      <c r="B155" s="20" t="s">
        <v>396</v>
      </c>
      <c r="C155" s="20" t="s">
        <v>664</v>
      </c>
      <c r="D155" s="138">
        <v>2350000</v>
      </c>
      <c r="E155" s="20" t="s">
        <v>573</v>
      </c>
      <c r="F155" s="20" t="s">
        <v>574</v>
      </c>
      <c r="G155" s="8" t="str">
        <f t="shared" si="2"/>
        <v>BERLING GARY</v>
      </c>
    </row>
    <row r="156" spans="1:7" x14ac:dyDescent="0.25">
      <c r="A156" s="8">
        <v>42917.709537037037</v>
      </c>
      <c r="B156" s="20" t="s">
        <v>396</v>
      </c>
      <c r="C156" s="20" t="s">
        <v>664</v>
      </c>
      <c r="D156" s="138">
        <v>2350000</v>
      </c>
      <c r="E156" s="20" t="s">
        <v>573</v>
      </c>
      <c r="F156" s="20" t="s">
        <v>574</v>
      </c>
      <c r="G156" s="8" t="str">
        <f t="shared" si="2"/>
        <v>BERLING GARY</v>
      </c>
    </row>
    <row r="157" spans="1:7" x14ac:dyDescent="0.25">
      <c r="A157" s="8">
        <v>42917.715138888889</v>
      </c>
      <c r="B157" s="20" t="s">
        <v>397</v>
      </c>
      <c r="C157" s="20" t="s">
        <v>822</v>
      </c>
      <c r="D157" s="138">
        <v>1810000</v>
      </c>
      <c r="E157" s="20" t="s">
        <v>367</v>
      </c>
      <c r="F157" s="20" t="s">
        <v>189</v>
      </c>
      <c r="G157" s="8" t="str">
        <f t="shared" si="2"/>
        <v>NEWELL JAMES</v>
      </c>
    </row>
    <row r="158" spans="1:7" x14ac:dyDescent="0.25">
      <c r="A158" s="8">
        <v>42917.715833333335</v>
      </c>
      <c r="B158" s="20" t="s">
        <v>649</v>
      </c>
      <c r="C158" s="20" t="s">
        <v>823</v>
      </c>
      <c r="D158" s="138">
        <v>2420000</v>
      </c>
      <c r="E158" s="20" t="s">
        <v>571</v>
      </c>
      <c r="F158" s="20" t="s">
        <v>572</v>
      </c>
      <c r="G158" s="8" t="str">
        <f t="shared" si="2"/>
        <v>HOLCOMB KAMDEN</v>
      </c>
    </row>
    <row r="159" spans="1:7" x14ac:dyDescent="0.25">
      <c r="A159" s="8">
        <v>42917.724085648151</v>
      </c>
      <c r="B159" s="20" t="s">
        <v>340</v>
      </c>
      <c r="C159" s="20" t="s">
        <v>824</v>
      </c>
      <c r="D159" s="138">
        <v>2440000</v>
      </c>
      <c r="E159" s="20" t="s">
        <v>768</v>
      </c>
      <c r="F159" s="20" t="s">
        <v>769</v>
      </c>
      <c r="G159" s="8" t="str">
        <f t="shared" si="2"/>
        <v>LOPES KIMBERLY</v>
      </c>
    </row>
    <row r="160" spans="1:7" x14ac:dyDescent="0.25">
      <c r="A160" s="8">
        <v>42917.727534722224</v>
      </c>
      <c r="B160" s="20" t="s">
        <v>575</v>
      </c>
      <c r="C160" s="20" t="s">
        <v>825</v>
      </c>
      <c r="D160" s="138">
        <v>2370000</v>
      </c>
      <c r="E160" s="20" t="s">
        <v>569</v>
      </c>
      <c r="F160" s="20" t="s">
        <v>570</v>
      </c>
      <c r="G160" s="8" t="str">
        <f t="shared" si="2"/>
        <v>DELGADO DIANAH</v>
      </c>
    </row>
    <row r="161" spans="1:7" x14ac:dyDescent="0.25">
      <c r="A161" s="8">
        <v>42917.734293981484</v>
      </c>
      <c r="B161" s="20" t="s">
        <v>651</v>
      </c>
      <c r="C161" s="20" t="s">
        <v>826</v>
      </c>
      <c r="D161" s="138">
        <v>2630000</v>
      </c>
      <c r="E161" s="20" t="s">
        <v>797</v>
      </c>
      <c r="F161" s="20" t="s">
        <v>798</v>
      </c>
      <c r="G161" s="8" t="str">
        <f t="shared" si="2"/>
        <v>SAFIEF AEIMEN</v>
      </c>
    </row>
    <row r="162" spans="1:7" x14ac:dyDescent="0.25">
      <c r="A162" s="8">
        <v>42917.735671296294</v>
      </c>
      <c r="B162" s="20" t="s">
        <v>368</v>
      </c>
      <c r="C162" s="20" t="s">
        <v>827</v>
      </c>
      <c r="D162" s="138">
        <v>2360000</v>
      </c>
      <c r="E162" s="20" t="s">
        <v>774</v>
      </c>
      <c r="F162" s="20" t="s">
        <v>775</v>
      </c>
      <c r="G162" s="8" t="str">
        <f t="shared" si="2"/>
        <v>BRANDNER MELINDA</v>
      </c>
    </row>
    <row r="163" spans="1:7" x14ac:dyDescent="0.25">
      <c r="A163" s="8">
        <v>42917.738541666666</v>
      </c>
      <c r="B163" s="20" t="s">
        <v>468</v>
      </c>
      <c r="C163" s="20" t="s">
        <v>828</v>
      </c>
      <c r="D163" s="138">
        <v>2730000</v>
      </c>
      <c r="E163" s="20" t="s">
        <v>521</v>
      </c>
      <c r="F163" s="20" t="s">
        <v>522</v>
      </c>
      <c r="G163" s="8" t="str">
        <f t="shared" si="2"/>
        <v>YANG JAN</v>
      </c>
    </row>
    <row r="164" spans="1:7" x14ac:dyDescent="0.25">
      <c r="A164" s="8">
        <v>42917.742465277777</v>
      </c>
      <c r="B164" s="20" t="s">
        <v>829</v>
      </c>
      <c r="C164" s="20" t="s">
        <v>830</v>
      </c>
      <c r="D164" s="138">
        <v>3130000</v>
      </c>
      <c r="E164" s="20" t="s">
        <v>384</v>
      </c>
      <c r="F164" s="20" t="s">
        <v>385</v>
      </c>
      <c r="G164" s="8" t="str">
        <f t="shared" si="2"/>
        <v>ZEWDU DEREJE</v>
      </c>
    </row>
    <row r="165" spans="1:7" x14ac:dyDescent="0.25">
      <c r="A165" s="8">
        <v>42917.744212962964</v>
      </c>
      <c r="B165" s="20" t="s">
        <v>562</v>
      </c>
      <c r="C165" s="20" t="s">
        <v>831</v>
      </c>
      <c r="D165" s="138">
        <v>1770000</v>
      </c>
      <c r="E165" s="20" t="s">
        <v>497</v>
      </c>
      <c r="F165" s="20" t="s">
        <v>498</v>
      </c>
      <c r="G165" s="8" t="str">
        <f t="shared" si="2"/>
        <v>BRUDER RICHARD</v>
      </c>
    </row>
    <row r="166" spans="1:7" x14ac:dyDescent="0.25">
      <c r="A166" s="8">
        <v>42917.74560185185</v>
      </c>
      <c r="B166" s="20" t="s">
        <v>483</v>
      </c>
      <c r="C166" s="20" t="s">
        <v>832</v>
      </c>
      <c r="D166" s="138">
        <v>1810000</v>
      </c>
      <c r="E166" s="20" t="s">
        <v>367</v>
      </c>
      <c r="F166" s="20" t="s">
        <v>189</v>
      </c>
      <c r="G166" s="8" t="str">
        <f t="shared" si="2"/>
        <v>NEWELL JAMES</v>
      </c>
    </row>
    <row r="167" spans="1:7" x14ac:dyDescent="0.25">
      <c r="A167" s="8">
        <v>42917.74732638889</v>
      </c>
      <c r="B167" s="20" t="s">
        <v>646</v>
      </c>
      <c r="C167" s="20" t="s">
        <v>665</v>
      </c>
      <c r="D167" s="138">
        <v>2420000</v>
      </c>
      <c r="E167" s="20" t="s">
        <v>571</v>
      </c>
      <c r="F167" s="20" t="s">
        <v>572</v>
      </c>
      <c r="G167" s="8" t="str">
        <f t="shared" si="2"/>
        <v>HOLCOMB KAMDEN</v>
      </c>
    </row>
    <row r="168" spans="1:7" x14ac:dyDescent="0.25">
      <c r="A168" s="8">
        <v>42917.749803240738</v>
      </c>
      <c r="B168" s="20" t="s">
        <v>639</v>
      </c>
      <c r="C168" s="20" t="s">
        <v>833</v>
      </c>
      <c r="D168" s="138">
        <v>2630000</v>
      </c>
      <c r="E168" s="20" t="s">
        <v>797</v>
      </c>
      <c r="F168" s="20" t="s">
        <v>798</v>
      </c>
      <c r="G168" s="8" t="str">
        <f t="shared" si="2"/>
        <v>SAFIEF AEIMEN</v>
      </c>
    </row>
    <row r="169" spans="1:7" x14ac:dyDescent="0.25">
      <c r="A169" s="8">
        <v>42917.756284722222</v>
      </c>
      <c r="B169" s="20" t="s">
        <v>339</v>
      </c>
      <c r="C169" s="20" t="s">
        <v>666</v>
      </c>
      <c r="D169" s="138">
        <v>2620000</v>
      </c>
      <c r="E169" s="20" t="s">
        <v>676</v>
      </c>
      <c r="F169" s="20" t="s">
        <v>677</v>
      </c>
      <c r="G169" s="8" t="str">
        <f t="shared" si="2"/>
        <v>PERKINS DARREN</v>
      </c>
    </row>
    <row r="170" spans="1:7" x14ac:dyDescent="0.25">
      <c r="A170" s="8">
        <v>42917.761111111111</v>
      </c>
      <c r="B170" s="20" t="s">
        <v>641</v>
      </c>
      <c r="C170" s="20" t="s">
        <v>834</v>
      </c>
      <c r="D170" s="138">
        <v>2370000</v>
      </c>
      <c r="E170" s="20" t="s">
        <v>569</v>
      </c>
      <c r="F170" s="20" t="s">
        <v>570</v>
      </c>
      <c r="G170" s="8" t="str">
        <f t="shared" si="2"/>
        <v>DELGADO DIANAH</v>
      </c>
    </row>
    <row r="171" spans="1:7" x14ac:dyDescent="0.25">
      <c r="A171" s="8">
        <v>42917.768125000002</v>
      </c>
      <c r="B171" s="20" t="s">
        <v>374</v>
      </c>
      <c r="C171" s="20" t="s">
        <v>835</v>
      </c>
      <c r="D171" s="138">
        <v>3000000</v>
      </c>
      <c r="E171" s="20" t="s">
        <v>422</v>
      </c>
      <c r="F171" s="20" t="s">
        <v>423</v>
      </c>
      <c r="G171" s="8" t="str">
        <f t="shared" si="2"/>
        <v>FORTUNATO FRANK</v>
      </c>
    </row>
    <row r="172" spans="1:7" x14ac:dyDescent="0.25">
      <c r="A172" s="8">
        <v>42917.774629629632</v>
      </c>
      <c r="B172" s="20" t="s">
        <v>474</v>
      </c>
      <c r="C172" s="20" t="s">
        <v>836</v>
      </c>
      <c r="D172" s="138">
        <v>2730000</v>
      </c>
      <c r="E172" s="20" t="s">
        <v>521</v>
      </c>
      <c r="F172" s="20" t="s">
        <v>522</v>
      </c>
      <c r="G172" s="8" t="str">
        <f t="shared" si="2"/>
        <v>YANG JAN</v>
      </c>
    </row>
    <row r="173" spans="1:7" x14ac:dyDescent="0.25">
      <c r="A173" s="8">
        <v>42917.776516203703</v>
      </c>
      <c r="B173" s="20" t="s">
        <v>651</v>
      </c>
      <c r="C173" s="20" t="s">
        <v>837</v>
      </c>
      <c r="D173" s="138">
        <v>2630000</v>
      </c>
      <c r="E173" s="20" t="s">
        <v>797</v>
      </c>
      <c r="F173" s="20" t="s">
        <v>798</v>
      </c>
      <c r="G173" s="8" t="str">
        <f t="shared" si="2"/>
        <v>SAFIEF AEIMEN</v>
      </c>
    </row>
    <row r="174" spans="1:7" x14ac:dyDescent="0.25">
      <c r="A174" s="8">
        <v>42917.776967592596</v>
      </c>
      <c r="B174" s="20" t="s">
        <v>563</v>
      </c>
      <c r="C174" s="20" t="s">
        <v>838</v>
      </c>
      <c r="D174" s="138">
        <v>1770000</v>
      </c>
      <c r="E174" s="20" t="s">
        <v>497</v>
      </c>
      <c r="F174" s="20" t="s">
        <v>498</v>
      </c>
      <c r="G174" s="8" t="str">
        <f t="shared" si="2"/>
        <v>BRUDER RICHARD</v>
      </c>
    </row>
    <row r="175" spans="1:7" x14ac:dyDescent="0.25">
      <c r="A175" s="8">
        <v>42917.787812499999</v>
      </c>
      <c r="B175" s="20" t="s">
        <v>397</v>
      </c>
      <c r="C175" s="20" t="s">
        <v>839</v>
      </c>
      <c r="D175" s="138">
        <v>3090000</v>
      </c>
      <c r="E175" s="20" t="s">
        <v>375</v>
      </c>
      <c r="F175" s="20" t="s">
        <v>376</v>
      </c>
      <c r="G175" s="8" t="str">
        <f t="shared" si="2"/>
        <v>LAMAR NEKESHA</v>
      </c>
    </row>
    <row r="176" spans="1:7" x14ac:dyDescent="0.25">
      <c r="A176" s="8">
        <v>42917.789340277777</v>
      </c>
      <c r="B176" s="20" t="s">
        <v>649</v>
      </c>
      <c r="C176" s="20" t="s">
        <v>840</v>
      </c>
      <c r="D176" s="138">
        <v>2420000</v>
      </c>
      <c r="E176" s="20" t="s">
        <v>571</v>
      </c>
      <c r="F176" s="20" t="s">
        <v>572</v>
      </c>
      <c r="G176" s="8" t="str">
        <f t="shared" si="2"/>
        <v>HOLCOMB KAMDEN</v>
      </c>
    </row>
    <row r="177" spans="1:7" x14ac:dyDescent="0.25">
      <c r="A177" s="8">
        <v>42917.795868055553</v>
      </c>
      <c r="B177" s="20" t="s">
        <v>340</v>
      </c>
      <c r="C177" s="20" t="s">
        <v>841</v>
      </c>
      <c r="D177" s="138">
        <v>2620000</v>
      </c>
      <c r="E177" s="20" t="s">
        <v>676</v>
      </c>
      <c r="F177" s="20" t="s">
        <v>677</v>
      </c>
      <c r="G177" s="8" t="str">
        <f t="shared" si="2"/>
        <v>PERKINS DARREN</v>
      </c>
    </row>
    <row r="178" spans="1:7" x14ac:dyDescent="0.25">
      <c r="A178" s="8">
        <v>42917.79755787037</v>
      </c>
      <c r="B178" s="20" t="s">
        <v>575</v>
      </c>
      <c r="C178" s="20" t="s">
        <v>842</v>
      </c>
      <c r="D178" s="138">
        <v>2370000</v>
      </c>
      <c r="E178" s="20" t="s">
        <v>569</v>
      </c>
      <c r="F178" s="20" t="s">
        <v>570</v>
      </c>
      <c r="G178" s="8" t="str">
        <f t="shared" si="2"/>
        <v>DELGADO DIANAH</v>
      </c>
    </row>
    <row r="179" spans="1:7" x14ac:dyDescent="0.25">
      <c r="A179" s="8">
        <v>42917.799861111111</v>
      </c>
      <c r="B179" s="20" t="s">
        <v>639</v>
      </c>
      <c r="C179" s="20" t="s">
        <v>843</v>
      </c>
      <c r="D179" s="138">
        <v>2630000</v>
      </c>
      <c r="E179" s="20" t="s">
        <v>797</v>
      </c>
      <c r="F179" s="20" t="s">
        <v>798</v>
      </c>
      <c r="G179" s="8" t="str">
        <f t="shared" si="2"/>
        <v>SAFIEF AEIMEN</v>
      </c>
    </row>
    <row r="180" spans="1:7" x14ac:dyDescent="0.25">
      <c r="A180" s="8">
        <v>42917.801400462966</v>
      </c>
      <c r="B180" s="20" t="s">
        <v>368</v>
      </c>
      <c r="C180" s="20" t="s">
        <v>667</v>
      </c>
      <c r="D180" s="138">
        <v>3000000</v>
      </c>
      <c r="E180" s="20" t="s">
        <v>422</v>
      </c>
      <c r="F180" s="20" t="s">
        <v>423</v>
      </c>
      <c r="G180" s="8" t="str">
        <f t="shared" si="2"/>
        <v>FORTUNATO FRANK</v>
      </c>
    </row>
    <row r="181" spans="1:7" x14ac:dyDescent="0.25">
      <c r="A181" s="8">
        <v>42917.80877314815</v>
      </c>
      <c r="B181" s="20" t="s">
        <v>468</v>
      </c>
      <c r="C181" s="20" t="s">
        <v>844</v>
      </c>
      <c r="D181" s="138">
        <v>2730000</v>
      </c>
      <c r="E181" s="20" t="s">
        <v>521</v>
      </c>
      <c r="F181" s="20" t="s">
        <v>522</v>
      </c>
      <c r="G181" s="8" t="str">
        <f t="shared" si="2"/>
        <v>YANG JAN</v>
      </c>
    </row>
    <row r="182" spans="1:7" x14ac:dyDescent="0.25">
      <c r="A182" s="8">
        <v>42917.817893518521</v>
      </c>
      <c r="B182" s="20" t="s">
        <v>651</v>
      </c>
      <c r="C182" s="20" t="s">
        <v>845</v>
      </c>
      <c r="D182" s="138">
        <v>2630000</v>
      </c>
      <c r="E182" s="20" t="s">
        <v>797</v>
      </c>
      <c r="F182" s="20" t="s">
        <v>798</v>
      </c>
      <c r="G182" s="8" t="str">
        <f t="shared" si="2"/>
        <v>SAFIEF AEIMEN</v>
      </c>
    </row>
    <row r="183" spans="1:7" x14ac:dyDescent="0.25">
      <c r="A183" s="8">
        <v>42917.819004629629</v>
      </c>
      <c r="B183" s="20" t="s">
        <v>646</v>
      </c>
      <c r="C183" s="20" t="s">
        <v>846</v>
      </c>
      <c r="D183" s="138">
        <v>2420000</v>
      </c>
      <c r="E183" s="20" t="s">
        <v>571</v>
      </c>
      <c r="F183" s="20" t="s">
        <v>572</v>
      </c>
      <c r="G183" s="8" t="str">
        <f t="shared" si="2"/>
        <v>HOLCOMB KAMDEN</v>
      </c>
    </row>
    <row r="184" spans="1:7" x14ac:dyDescent="0.25">
      <c r="A184" s="8">
        <v>42917.828935185185</v>
      </c>
      <c r="B184" s="20" t="s">
        <v>483</v>
      </c>
      <c r="C184" s="20" t="s">
        <v>847</v>
      </c>
      <c r="D184" s="138">
        <v>3090000</v>
      </c>
      <c r="E184" s="20" t="s">
        <v>375</v>
      </c>
      <c r="F184" s="20" t="s">
        <v>376</v>
      </c>
      <c r="G184" s="8" t="str">
        <f t="shared" si="2"/>
        <v>LAMAR NEKESHA</v>
      </c>
    </row>
    <row r="185" spans="1:7" x14ac:dyDescent="0.25">
      <c r="A185" s="8">
        <v>42917.829074074078</v>
      </c>
      <c r="B185" s="20" t="s">
        <v>339</v>
      </c>
      <c r="C185" s="20" t="s">
        <v>668</v>
      </c>
      <c r="D185" s="138">
        <v>2620000</v>
      </c>
      <c r="E185" s="20" t="s">
        <v>676</v>
      </c>
      <c r="F185" s="20" t="s">
        <v>677</v>
      </c>
      <c r="G185" s="8" t="str">
        <f t="shared" si="2"/>
        <v>PERKINS DARREN</v>
      </c>
    </row>
    <row r="186" spans="1:7" x14ac:dyDescent="0.25">
      <c r="A186" s="8">
        <v>42917.835729166669</v>
      </c>
      <c r="B186" s="20" t="s">
        <v>639</v>
      </c>
      <c r="C186" s="20" t="s">
        <v>848</v>
      </c>
      <c r="D186" s="138">
        <v>2630000</v>
      </c>
      <c r="E186" s="20" t="s">
        <v>797</v>
      </c>
      <c r="F186" s="20" t="s">
        <v>798</v>
      </c>
      <c r="G186" s="8" t="str">
        <f t="shared" si="2"/>
        <v>SAFIEF AEIMEN</v>
      </c>
    </row>
    <row r="187" spans="1:7" x14ac:dyDescent="0.25">
      <c r="A187" s="8">
        <v>42917.842881944445</v>
      </c>
      <c r="B187" s="20" t="s">
        <v>374</v>
      </c>
      <c r="C187" s="20" t="s">
        <v>849</v>
      </c>
      <c r="D187" s="138">
        <v>3000000</v>
      </c>
      <c r="E187" s="20" t="s">
        <v>422</v>
      </c>
      <c r="F187" s="20" t="s">
        <v>423</v>
      </c>
      <c r="G187" s="8" t="str">
        <f t="shared" si="2"/>
        <v>FORTUNATO FRANK</v>
      </c>
    </row>
    <row r="188" spans="1:7" x14ac:dyDescent="0.25">
      <c r="A188" s="8">
        <v>42917.848263888889</v>
      </c>
      <c r="B188" s="20" t="s">
        <v>474</v>
      </c>
      <c r="C188" s="20" t="s">
        <v>850</v>
      </c>
      <c r="D188" s="138">
        <v>2730000</v>
      </c>
      <c r="E188" s="20" t="s">
        <v>521</v>
      </c>
      <c r="F188" s="20" t="s">
        <v>522</v>
      </c>
      <c r="G188" s="8" t="str">
        <f t="shared" si="2"/>
        <v>YANG JAN</v>
      </c>
    </row>
    <row r="189" spans="1:7" x14ac:dyDescent="0.25">
      <c r="A189" s="8">
        <v>42917.861527777779</v>
      </c>
      <c r="B189" s="20" t="s">
        <v>651</v>
      </c>
      <c r="C189" s="20" t="s">
        <v>851</v>
      </c>
      <c r="D189" s="138">
        <v>2630000</v>
      </c>
      <c r="E189" s="20" t="s">
        <v>797</v>
      </c>
      <c r="F189" s="20" t="s">
        <v>798</v>
      </c>
      <c r="G189" s="8" t="str">
        <f t="shared" si="2"/>
        <v>SAFIEF AEIMEN</v>
      </c>
    </row>
    <row r="190" spans="1:7" x14ac:dyDescent="0.25">
      <c r="A190" s="8">
        <v>42917.86478009259</v>
      </c>
      <c r="B190" s="20" t="s">
        <v>340</v>
      </c>
      <c r="C190" s="20" t="s">
        <v>852</v>
      </c>
      <c r="D190" s="138">
        <v>2620000</v>
      </c>
      <c r="E190" s="20" t="s">
        <v>676</v>
      </c>
      <c r="F190" s="20" t="s">
        <v>677</v>
      </c>
      <c r="G190" s="8" t="str">
        <f t="shared" si="2"/>
        <v>PERKINS DARREN</v>
      </c>
    </row>
    <row r="191" spans="1:7" x14ac:dyDescent="0.25">
      <c r="A191" s="8">
        <v>42917.871122685188</v>
      </c>
      <c r="B191" s="20" t="s">
        <v>397</v>
      </c>
      <c r="C191" s="20" t="s">
        <v>853</v>
      </c>
      <c r="D191" s="138">
        <v>3090000</v>
      </c>
      <c r="E191" s="20" t="s">
        <v>375</v>
      </c>
      <c r="F191" s="20" t="s">
        <v>376</v>
      </c>
      <c r="G191" s="8" t="str">
        <f t="shared" si="2"/>
        <v>LAMAR NEKESHA</v>
      </c>
    </row>
    <row r="192" spans="1:7" x14ac:dyDescent="0.25">
      <c r="A192" s="8">
        <v>42917.874328703707</v>
      </c>
      <c r="B192" s="20" t="s">
        <v>639</v>
      </c>
      <c r="C192" s="20" t="s">
        <v>854</v>
      </c>
      <c r="D192" s="138">
        <v>2630000</v>
      </c>
      <c r="E192" s="20" t="s">
        <v>797</v>
      </c>
      <c r="F192" s="20" t="s">
        <v>798</v>
      </c>
      <c r="G192" s="8" t="str">
        <f t="shared" si="2"/>
        <v>SAFIEF AEIMEN</v>
      </c>
    </row>
    <row r="193" spans="1:7" x14ac:dyDescent="0.25">
      <c r="A193" s="8">
        <v>42917.886666666665</v>
      </c>
      <c r="B193" s="20" t="s">
        <v>368</v>
      </c>
      <c r="C193" s="20" t="s">
        <v>855</v>
      </c>
      <c r="D193" s="138">
        <v>3000000</v>
      </c>
      <c r="E193" s="20" t="s">
        <v>422</v>
      </c>
      <c r="F193" s="20" t="s">
        <v>423</v>
      </c>
      <c r="G193" s="8" t="str">
        <f t="shared" si="2"/>
        <v>FORTUNATO FRANK</v>
      </c>
    </row>
    <row r="194" spans="1:7" x14ac:dyDescent="0.25">
      <c r="A194" s="8">
        <v>42917.889351851853</v>
      </c>
      <c r="B194" s="20" t="s">
        <v>468</v>
      </c>
      <c r="C194" s="20" t="s">
        <v>856</v>
      </c>
      <c r="D194" s="138">
        <v>2730000</v>
      </c>
      <c r="E194" s="20" t="s">
        <v>521</v>
      </c>
      <c r="F194" s="20" t="s">
        <v>522</v>
      </c>
      <c r="G194" s="8" t="str">
        <f t="shared" si="2"/>
        <v>YANG JAN</v>
      </c>
    </row>
    <row r="195" spans="1:7" x14ac:dyDescent="0.25">
      <c r="A195" s="8">
        <v>42917.901203703703</v>
      </c>
      <c r="B195" s="20" t="s">
        <v>651</v>
      </c>
      <c r="C195" s="20" t="s">
        <v>857</v>
      </c>
      <c r="D195" s="138">
        <v>2630000</v>
      </c>
      <c r="E195" s="20" t="s">
        <v>797</v>
      </c>
      <c r="F195" s="20" t="s">
        <v>798</v>
      </c>
      <c r="G195" s="8" t="str">
        <f t="shared" ref="G195:G258" si="3">E195&amp;" "&amp;F195</f>
        <v>SAFIEF AEIMEN</v>
      </c>
    </row>
    <row r="196" spans="1:7" x14ac:dyDescent="0.25">
      <c r="A196" s="8">
        <v>42917.904305555552</v>
      </c>
      <c r="B196" s="20" t="s">
        <v>339</v>
      </c>
      <c r="C196" s="20" t="s">
        <v>858</v>
      </c>
      <c r="D196" s="138">
        <v>2620000</v>
      </c>
      <c r="E196" s="20" t="s">
        <v>676</v>
      </c>
      <c r="F196" s="20" t="s">
        <v>677</v>
      </c>
      <c r="G196" s="8" t="str">
        <f t="shared" si="3"/>
        <v>PERKINS DARREN</v>
      </c>
    </row>
    <row r="197" spans="1:7" x14ac:dyDescent="0.25">
      <c r="A197" s="8">
        <v>42917.910949074074</v>
      </c>
      <c r="B197" s="20" t="s">
        <v>483</v>
      </c>
      <c r="C197" s="20" t="s">
        <v>859</v>
      </c>
      <c r="D197" s="138">
        <v>3090000</v>
      </c>
      <c r="E197" s="20" t="s">
        <v>375</v>
      </c>
      <c r="F197" s="20" t="s">
        <v>376</v>
      </c>
      <c r="G197" s="8" t="str">
        <f t="shared" si="3"/>
        <v>LAMAR NEKESHA</v>
      </c>
    </row>
    <row r="198" spans="1:7" x14ac:dyDescent="0.25">
      <c r="A198" s="8">
        <v>42917.919733796298</v>
      </c>
      <c r="B198" s="20" t="s">
        <v>639</v>
      </c>
      <c r="C198" s="20" t="s">
        <v>860</v>
      </c>
      <c r="D198" s="138">
        <v>2680000</v>
      </c>
      <c r="E198" s="20" t="s">
        <v>412</v>
      </c>
      <c r="F198" s="20" t="s">
        <v>413</v>
      </c>
      <c r="G198" s="8" t="str">
        <f t="shared" si="3"/>
        <v>DUNCAN SHEILA</v>
      </c>
    </row>
    <row r="199" spans="1:7" x14ac:dyDescent="0.25">
      <c r="A199" s="8">
        <v>42917.929594907408</v>
      </c>
      <c r="B199" s="20" t="s">
        <v>474</v>
      </c>
      <c r="C199" s="20" t="s">
        <v>861</v>
      </c>
      <c r="D199" s="138">
        <v>2730000</v>
      </c>
      <c r="E199" s="20" t="s">
        <v>521</v>
      </c>
      <c r="F199" s="20" t="s">
        <v>522</v>
      </c>
      <c r="G199" s="8" t="str">
        <f t="shared" si="3"/>
        <v>YANG JAN</v>
      </c>
    </row>
    <row r="200" spans="1:7" x14ac:dyDescent="0.25">
      <c r="A200" s="8">
        <v>42917.933761574073</v>
      </c>
      <c r="B200" s="20" t="s">
        <v>374</v>
      </c>
      <c r="C200" s="20" t="s">
        <v>862</v>
      </c>
      <c r="D200" s="138">
        <v>3000000</v>
      </c>
      <c r="E200" s="20" t="s">
        <v>422</v>
      </c>
      <c r="F200" s="20" t="s">
        <v>423</v>
      </c>
      <c r="G200" s="8" t="str">
        <f t="shared" si="3"/>
        <v>FORTUNATO FRANK</v>
      </c>
    </row>
    <row r="201" spans="1:7" x14ac:dyDescent="0.25">
      <c r="A201" s="8">
        <v>42917.942824074074</v>
      </c>
      <c r="B201" s="20" t="s">
        <v>651</v>
      </c>
      <c r="C201" s="20" t="s">
        <v>863</v>
      </c>
      <c r="D201" s="138">
        <v>2680000</v>
      </c>
      <c r="E201" s="20" t="s">
        <v>412</v>
      </c>
      <c r="F201" s="20" t="s">
        <v>413</v>
      </c>
      <c r="G201" s="8" t="str">
        <f t="shared" si="3"/>
        <v>DUNCAN SHEILA</v>
      </c>
    </row>
    <row r="202" spans="1:7" x14ac:dyDescent="0.25">
      <c r="A202" s="26">
        <v>42917.945520833331</v>
      </c>
      <c r="B202" s="20" t="s">
        <v>340</v>
      </c>
      <c r="C202" s="20" t="s">
        <v>864</v>
      </c>
      <c r="D202" s="138">
        <v>2620000</v>
      </c>
      <c r="E202" s="20" t="s">
        <v>676</v>
      </c>
      <c r="F202" s="20" t="s">
        <v>677</v>
      </c>
      <c r="G202" s="8" t="str">
        <f t="shared" si="3"/>
        <v>PERKINS DARREN</v>
      </c>
    </row>
    <row r="203" spans="1:7" x14ac:dyDescent="0.25">
      <c r="A203" s="8">
        <v>42917.955381944441</v>
      </c>
      <c r="B203" s="20" t="s">
        <v>397</v>
      </c>
      <c r="C203" s="20" t="s">
        <v>669</v>
      </c>
      <c r="D203" s="138">
        <v>3090000</v>
      </c>
      <c r="E203" s="20" t="s">
        <v>375</v>
      </c>
      <c r="F203" s="20" t="s">
        <v>376</v>
      </c>
      <c r="G203" s="8" t="str">
        <f t="shared" si="3"/>
        <v>LAMAR NEKESHA</v>
      </c>
    </row>
    <row r="204" spans="1:7" x14ac:dyDescent="0.25">
      <c r="A204" s="8">
        <v>42917.965092592596</v>
      </c>
      <c r="B204" s="20" t="s">
        <v>368</v>
      </c>
      <c r="C204" s="20" t="s">
        <v>670</v>
      </c>
      <c r="D204" s="138">
        <v>3000000</v>
      </c>
      <c r="E204" s="20" t="s">
        <v>422</v>
      </c>
      <c r="F204" s="20" t="s">
        <v>423</v>
      </c>
      <c r="G204" s="8" t="str">
        <f t="shared" si="3"/>
        <v>FORTUNATO FRANK</v>
      </c>
    </row>
    <row r="205" spans="1:7" x14ac:dyDescent="0.25">
      <c r="A205" s="8">
        <v>42917.974328703705</v>
      </c>
      <c r="B205" s="20" t="s">
        <v>468</v>
      </c>
      <c r="C205" s="20" t="s">
        <v>865</v>
      </c>
      <c r="D205" s="138">
        <v>2730000</v>
      </c>
      <c r="E205" s="20" t="s">
        <v>521</v>
      </c>
      <c r="F205" s="20" t="s">
        <v>522</v>
      </c>
      <c r="G205" s="8" t="str">
        <f t="shared" si="3"/>
        <v>YANG JAN</v>
      </c>
    </row>
    <row r="206" spans="1:7" x14ac:dyDescent="0.25">
      <c r="A206" s="8">
        <v>42917.989629629628</v>
      </c>
      <c r="B206" s="20" t="s">
        <v>339</v>
      </c>
      <c r="C206" s="20" t="s">
        <v>671</v>
      </c>
      <c r="D206" s="138">
        <v>2620000</v>
      </c>
      <c r="E206" s="20" t="s">
        <v>676</v>
      </c>
      <c r="F206" s="20" t="s">
        <v>677</v>
      </c>
      <c r="G206" s="8" t="str">
        <f t="shared" si="3"/>
        <v>PERKINS DARREN</v>
      </c>
    </row>
    <row r="207" spans="1:7" x14ac:dyDescent="0.25">
      <c r="A207" s="8">
        <v>42917.993692129632</v>
      </c>
      <c r="B207" s="20" t="s">
        <v>483</v>
      </c>
      <c r="C207" s="20" t="s">
        <v>866</v>
      </c>
      <c r="D207" s="138">
        <v>3090000</v>
      </c>
      <c r="E207" s="20" t="s">
        <v>375</v>
      </c>
      <c r="F207" s="20" t="s">
        <v>376</v>
      </c>
      <c r="G207" s="8" t="str">
        <f t="shared" si="3"/>
        <v>LAMAR NEKESHA</v>
      </c>
    </row>
    <row r="208" spans="1:7" x14ac:dyDescent="0.25">
      <c r="A208" s="8">
        <v>42918.006712962961</v>
      </c>
      <c r="B208" s="20" t="s">
        <v>374</v>
      </c>
      <c r="C208" s="20" t="s">
        <v>867</v>
      </c>
      <c r="D208" s="138">
        <v>3000000</v>
      </c>
      <c r="E208" s="20" t="s">
        <v>422</v>
      </c>
      <c r="F208" s="20" t="s">
        <v>423</v>
      </c>
      <c r="G208" s="8" t="str">
        <f t="shared" si="3"/>
        <v>FORTUNATO FRANK</v>
      </c>
    </row>
    <row r="209" spans="1:7" x14ac:dyDescent="0.25">
      <c r="A209" s="8">
        <v>42918.014502314814</v>
      </c>
      <c r="B209" s="20" t="s">
        <v>474</v>
      </c>
      <c r="C209" s="20" t="s">
        <v>868</v>
      </c>
      <c r="D209" s="138">
        <v>2730000</v>
      </c>
      <c r="E209" s="20" t="s">
        <v>521</v>
      </c>
      <c r="F209" s="20" t="s">
        <v>522</v>
      </c>
      <c r="G209" s="8" t="str">
        <f t="shared" si="3"/>
        <v>YANG JAN</v>
      </c>
    </row>
    <row r="210" spans="1:7" x14ac:dyDescent="0.25">
      <c r="A210" s="8">
        <v>42918.034016203703</v>
      </c>
      <c r="B210" s="20" t="s">
        <v>340</v>
      </c>
      <c r="C210" s="20" t="s">
        <v>869</v>
      </c>
      <c r="D210" s="138">
        <v>2620000</v>
      </c>
      <c r="E210" s="20" t="s">
        <v>676</v>
      </c>
      <c r="F210" s="20" t="s">
        <v>677</v>
      </c>
      <c r="G210" s="8" t="str">
        <f t="shared" si="3"/>
        <v>PERKINS DARREN</v>
      </c>
    </row>
    <row r="211" spans="1:7" x14ac:dyDescent="0.25">
      <c r="A211" s="8">
        <v>42918.037743055553</v>
      </c>
      <c r="B211" s="20" t="s">
        <v>397</v>
      </c>
      <c r="C211" s="20" t="s">
        <v>870</v>
      </c>
      <c r="D211" s="138">
        <v>3090000</v>
      </c>
      <c r="E211" s="20" t="s">
        <v>375</v>
      </c>
      <c r="F211" s="20" t="s">
        <v>376</v>
      </c>
      <c r="G211" s="8" t="str">
        <f t="shared" si="3"/>
        <v>LAMAR NEKESHA</v>
      </c>
    </row>
    <row r="212" spans="1:7" x14ac:dyDescent="0.25">
      <c r="A212" s="8">
        <v>42918.048634259256</v>
      </c>
      <c r="B212" s="20" t="s">
        <v>468</v>
      </c>
      <c r="C212" s="20" t="s">
        <v>871</v>
      </c>
      <c r="D212" s="138">
        <v>2730000</v>
      </c>
      <c r="E212" s="20" t="s">
        <v>521</v>
      </c>
      <c r="F212" s="20" t="s">
        <v>522</v>
      </c>
      <c r="G212" s="8" t="str">
        <f t="shared" si="3"/>
        <v>YANG JAN</v>
      </c>
    </row>
    <row r="213" spans="1:7" x14ac:dyDescent="0.25">
      <c r="A213" s="8">
        <v>42918.048842592594</v>
      </c>
      <c r="B213" s="20" t="s">
        <v>368</v>
      </c>
      <c r="C213" s="20" t="s">
        <v>672</v>
      </c>
      <c r="D213" s="138">
        <v>3000000</v>
      </c>
      <c r="E213" s="20" t="s">
        <v>422</v>
      </c>
      <c r="F213" s="20" t="s">
        <v>423</v>
      </c>
      <c r="G213" s="8" t="str">
        <f t="shared" si="3"/>
        <v>FORTUNATO FRANK</v>
      </c>
    </row>
    <row r="214" spans="1:7" x14ac:dyDescent="0.25">
      <c r="A214" s="8">
        <v>42918.069918981484</v>
      </c>
      <c r="B214" s="20" t="s">
        <v>339</v>
      </c>
      <c r="C214" s="20" t="s">
        <v>872</v>
      </c>
      <c r="D214" s="138">
        <v>2620000</v>
      </c>
      <c r="E214" s="20" t="s">
        <v>676</v>
      </c>
      <c r="F214" s="20" t="s">
        <v>677</v>
      </c>
      <c r="G214" s="8" t="str">
        <f t="shared" si="3"/>
        <v>PERKINS DARREN</v>
      </c>
    </row>
    <row r="215" spans="1:7" x14ac:dyDescent="0.25">
      <c r="A215" s="8">
        <v>42918.074942129628</v>
      </c>
      <c r="B215" s="20" t="s">
        <v>483</v>
      </c>
      <c r="C215" s="20" t="s">
        <v>673</v>
      </c>
      <c r="D215" s="138">
        <v>3090000</v>
      </c>
      <c r="E215" s="20" t="s">
        <v>375</v>
      </c>
      <c r="F215" s="20" t="s">
        <v>376</v>
      </c>
      <c r="G215" s="8" t="str">
        <f t="shared" si="3"/>
        <v>LAMAR NEKESHA</v>
      </c>
    </row>
    <row r="216" spans="1:7" x14ac:dyDescent="0.25">
      <c r="A216" s="8">
        <v>42918.091435185182</v>
      </c>
      <c r="B216" s="20" t="s">
        <v>374</v>
      </c>
      <c r="C216" s="20" t="s">
        <v>873</v>
      </c>
      <c r="D216" s="138">
        <v>3000000</v>
      </c>
      <c r="E216" s="20" t="s">
        <v>422</v>
      </c>
      <c r="F216" s="20" t="s">
        <v>423</v>
      </c>
      <c r="G216" s="8" t="str">
        <f t="shared" si="3"/>
        <v>FORTUNATO FRANK</v>
      </c>
    </row>
    <row r="217" spans="1:7" x14ac:dyDescent="0.25">
      <c r="A217" s="8">
        <v>42918.112118055556</v>
      </c>
      <c r="B217" s="20" t="s">
        <v>397</v>
      </c>
      <c r="C217" s="20" t="s">
        <v>874</v>
      </c>
      <c r="D217" s="138">
        <v>3090000</v>
      </c>
      <c r="E217" s="20" t="s">
        <v>375</v>
      </c>
      <c r="F217" s="20" t="s">
        <v>376</v>
      </c>
      <c r="G217" s="8" t="str">
        <f t="shared" si="3"/>
        <v>LAMAR NEKESHA</v>
      </c>
    </row>
    <row r="218" spans="1:7" x14ac:dyDescent="0.25">
      <c r="A218" s="8">
        <v>42918.112893518519</v>
      </c>
      <c r="B218" s="20" t="s">
        <v>875</v>
      </c>
      <c r="C218" s="20" t="s">
        <v>876</v>
      </c>
      <c r="D218" s="138">
        <v>1520000</v>
      </c>
      <c r="E218" s="20" t="s">
        <v>877</v>
      </c>
      <c r="F218" s="20" t="s">
        <v>878</v>
      </c>
      <c r="G218" s="8" t="str">
        <f t="shared" si="3"/>
        <v>MAYBERRY BILL</v>
      </c>
    </row>
    <row r="219" spans="1:7" x14ac:dyDescent="0.25">
      <c r="A219" s="8">
        <v>42914.889131944445</v>
      </c>
      <c r="B219" s="20" t="s">
        <v>518</v>
      </c>
      <c r="C219" s="20" t="s">
        <v>564</v>
      </c>
      <c r="D219" s="138">
        <v>2230000</v>
      </c>
      <c r="E219" s="20" t="s">
        <v>342</v>
      </c>
      <c r="F219" s="20" t="s">
        <v>192</v>
      </c>
      <c r="G219" s="8" t="str">
        <f t="shared" si="3"/>
        <v>SMITH MICHAEL</v>
      </c>
    </row>
    <row r="220" spans="1:7" x14ac:dyDescent="0.25">
      <c r="A220" s="8">
        <v>42914.891840277778</v>
      </c>
      <c r="B220" s="20" t="s">
        <v>418</v>
      </c>
      <c r="C220" s="20" t="s">
        <v>578</v>
      </c>
      <c r="D220" s="138">
        <v>970000</v>
      </c>
      <c r="E220" s="20" t="s">
        <v>576</v>
      </c>
      <c r="F220" s="20" t="s">
        <v>577</v>
      </c>
      <c r="G220" s="8" t="str">
        <f t="shared" si="3"/>
        <v>JACKSON WILLIAM</v>
      </c>
    </row>
    <row r="221" spans="1:7" x14ac:dyDescent="0.25">
      <c r="A221" s="8">
        <v>42914.900717592594</v>
      </c>
      <c r="B221" s="20" t="s">
        <v>562</v>
      </c>
      <c r="C221" s="20" t="s">
        <v>579</v>
      </c>
      <c r="D221" s="138">
        <v>2000000</v>
      </c>
      <c r="E221" s="20" t="s">
        <v>451</v>
      </c>
      <c r="F221" s="20" t="s">
        <v>189</v>
      </c>
      <c r="G221" s="8" t="str">
        <f t="shared" si="3"/>
        <v>STAMBAUGH JAMES</v>
      </c>
    </row>
    <row r="222" spans="1:7" x14ac:dyDescent="0.25">
      <c r="A222" s="8">
        <v>42914.912141203706</v>
      </c>
      <c r="B222" s="20" t="s">
        <v>368</v>
      </c>
      <c r="C222" s="20" t="s">
        <v>580</v>
      </c>
      <c r="D222" s="138">
        <v>2680000</v>
      </c>
      <c r="E222" s="20" t="s">
        <v>412</v>
      </c>
      <c r="F222" s="20" t="s">
        <v>413</v>
      </c>
      <c r="G222" s="8" t="str">
        <f t="shared" si="3"/>
        <v>DUNCAN SHEILA</v>
      </c>
    </row>
    <row r="223" spans="1:7" x14ac:dyDescent="0.25">
      <c r="A223" s="8">
        <v>42914.92046296296</v>
      </c>
      <c r="B223" s="20" t="s">
        <v>520</v>
      </c>
      <c r="C223" s="20" t="s">
        <v>581</v>
      </c>
      <c r="D223" s="138">
        <v>2230000</v>
      </c>
      <c r="E223" s="20" t="s">
        <v>342</v>
      </c>
      <c r="F223" s="20" t="s">
        <v>192</v>
      </c>
      <c r="G223" s="8" t="str">
        <f t="shared" si="3"/>
        <v>SMITH MICHAEL</v>
      </c>
    </row>
    <row r="224" spans="1:7" x14ac:dyDescent="0.25">
      <c r="A224" s="8">
        <v>42914.927129629628</v>
      </c>
      <c r="B224" t="s">
        <v>483</v>
      </c>
      <c r="C224" t="s">
        <v>582</v>
      </c>
      <c r="D224" s="138">
        <v>2090000</v>
      </c>
      <c r="E224" t="s">
        <v>442</v>
      </c>
      <c r="F224" s="20" t="s">
        <v>192</v>
      </c>
      <c r="G224" s="8" t="str">
        <f t="shared" si="3"/>
        <v>HAITHCOX MICHAEL</v>
      </c>
    </row>
    <row r="225" spans="1:7" x14ac:dyDescent="0.25">
      <c r="A225" s="8">
        <v>42914.928310185183</v>
      </c>
      <c r="B225" t="s">
        <v>563</v>
      </c>
      <c r="C225" t="s">
        <v>583</v>
      </c>
      <c r="D225" s="138">
        <v>2000000</v>
      </c>
      <c r="E225" t="s">
        <v>451</v>
      </c>
      <c r="F225" s="20" t="s">
        <v>189</v>
      </c>
      <c r="G225" s="8" t="str">
        <f t="shared" si="3"/>
        <v>STAMBAUGH JAMES</v>
      </c>
    </row>
    <row r="226" spans="1:7" x14ac:dyDescent="0.25">
      <c r="A226" s="8">
        <v>42914.937245370369</v>
      </c>
      <c r="B226" t="s">
        <v>420</v>
      </c>
      <c r="C226" t="s">
        <v>584</v>
      </c>
      <c r="D226" s="138">
        <v>970000</v>
      </c>
      <c r="E226" t="s">
        <v>576</v>
      </c>
      <c r="F226" s="20" t="s">
        <v>577</v>
      </c>
      <c r="G226" s="8" t="str">
        <f t="shared" si="3"/>
        <v>JACKSON WILLIAM</v>
      </c>
    </row>
    <row r="227" spans="1:7" x14ac:dyDescent="0.25">
      <c r="A227" s="8">
        <v>42914.941967592589</v>
      </c>
      <c r="B227" t="s">
        <v>562</v>
      </c>
      <c r="C227" t="s">
        <v>585</v>
      </c>
      <c r="D227" s="138">
        <v>2000000</v>
      </c>
      <c r="E227" t="s">
        <v>451</v>
      </c>
      <c r="F227" s="20" t="s">
        <v>189</v>
      </c>
      <c r="G227" s="8" t="str">
        <f t="shared" si="3"/>
        <v>STAMBAUGH JAMES</v>
      </c>
    </row>
    <row r="228" spans="1:7" x14ac:dyDescent="0.25">
      <c r="A228" s="8">
        <v>42914.951203703706</v>
      </c>
      <c r="B228" t="s">
        <v>374</v>
      </c>
      <c r="C228" t="s">
        <v>586</v>
      </c>
      <c r="D228" s="138">
        <v>3000000</v>
      </c>
      <c r="E228" t="s">
        <v>422</v>
      </c>
      <c r="F228" s="20" t="s">
        <v>423</v>
      </c>
      <c r="G228" s="8" t="str">
        <f t="shared" si="3"/>
        <v>FORTUNATO FRANK</v>
      </c>
    </row>
    <row r="229" spans="1:7" x14ac:dyDescent="0.25">
      <c r="A229" s="8">
        <v>42914.952407407407</v>
      </c>
      <c r="B229" t="s">
        <v>518</v>
      </c>
      <c r="C229" t="s">
        <v>587</v>
      </c>
      <c r="D229" s="138">
        <v>2230000</v>
      </c>
      <c r="E229" t="s">
        <v>342</v>
      </c>
      <c r="F229" s="20" t="s">
        <v>192</v>
      </c>
      <c r="G229" s="8" t="str">
        <f t="shared" si="3"/>
        <v>SMITH MICHAEL</v>
      </c>
    </row>
    <row r="230" spans="1:7" x14ac:dyDescent="0.25">
      <c r="A230" s="8">
        <v>42914.96802083333</v>
      </c>
      <c r="B230" t="s">
        <v>397</v>
      </c>
      <c r="C230" t="s">
        <v>588</v>
      </c>
      <c r="D230" s="138">
        <v>2090000</v>
      </c>
      <c r="E230" t="s">
        <v>442</v>
      </c>
      <c r="F230" s="20" t="s">
        <v>192</v>
      </c>
      <c r="G230" s="8" t="str">
        <f t="shared" si="3"/>
        <v>HAITHCOX MICHAEL</v>
      </c>
    </row>
    <row r="231" spans="1:7" x14ac:dyDescent="0.25">
      <c r="A231" s="8">
        <v>42914.973668981482</v>
      </c>
      <c r="B231" t="s">
        <v>418</v>
      </c>
      <c r="C231" t="s">
        <v>589</v>
      </c>
      <c r="D231" s="138">
        <v>970000</v>
      </c>
      <c r="E231" t="s">
        <v>576</v>
      </c>
      <c r="F231" s="20" t="s">
        <v>577</v>
      </c>
      <c r="G231" s="8" t="str">
        <f t="shared" si="3"/>
        <v>JACKSON WILLIAM</v>
      </c>
    </row>
    <row r="232" spans="1:7" x14ac:dyDescent="0.25">
      <c r="A232" s="8">
        <v>42914.99490740741</v>
      </c>
      <c r="B232" t="s">
        <v>368</v>
      </c>
      <c r="C232" t="s">
        <v>590</v>
      </c>
      <c r="D232" s="138">
        <v>3000000</v>
      </c>
      <c r="E232" t="s">
        <v>422</v>
      </c>
      <c r="F232" s="20" t="s">
        <v>423</v>
      </c>
      <c r="G232" s="8" t="str">
        <f t="shared" si="3"/>
        <v>FORTUNATO FRANK</v>
      </c>
    </row>
    <row r="233" spans="1:7" x14ac:dyDescent="0.25">
      <c r="A233" s="8">
        <v>42914.995173611111</v>
      </c>
      <c r="B233" t="s">
        <v>520</v>
      </c>
      <c r="C233" t="s">
        <v>591</v>
      </c>
      <c r="D233" s="138">
        <v>2230000</v>
      </c>
      <c r="E233" t="s">
        <v>342</v>
      </c>
      <c r="F233" s="20" t="s">
        <v>192</v>
      </c>
      <c r="G233" s="8" t="str">
        <f t="shared" si="3"/>
        <v>SMITH MICHAEL</v>
      </c>
    </row>
    <row r="234" spans="1:7" x14ac:dyDescent="0.25">
      <c r="A234" s="8">
        <v>42915.008738425924</v>
      </c>
      <c r="B234" t="s">
        <v>483</v>
      </c>
      <c r="C234" t="s">
        <v>592</v>
      </c>
      <c r="D234" s="138">
        <v>2090000</v>
      </c>
      <c r="E234" t="s">
        <v>442</v>
      </c>
      <c r="F234" s="20" t="s">
        <v>192</v>
      </c>
      <c r="G234" s="8" t="str">
        <f t="shared" si="3"/>
        <v>HAITHCOX MICHAEL</v>
      </c>
    </row>
    <row r="235" spans="1:7" x14ac:dyDescent="0.25">
      <c r="A235" s="8">
        <v>42915.017407407409</v>
      </c>
      <c r="B235" t="s">
        <v>420</v>
      </c>
      <c r="C235" t="s">
        <v>593</v>
      </c>
      <c r="D235" s="138">
        <v>3090000</v>
      </c>
      <c r="E235" t="s">
        <v>375</v>
      </c>
      <c r="F235" s="20" t="s">
        <v>376</v>
      </c>
      <c r="G235" s="8" t="str">
        <f t="shared" si="3"/>
        <v>LAMAR NEKESHA</v>
      </c>
    </row>
    <row r="236" spans="1:7" x14ac:dyDescent="0.25">
      <c r="A236" s="8">
        <v>42915.030277777776</v>
      </c>
      <c r="B236" t="s">
        <v>374</v>
      </c>
      <c r="C236" t="s">
        <v>594</v>
      </c>
      <c r="D236" s="138">
        <v>3000000</v>
      </c>
      <c r="E236" t="s">
        <v>422</v>
      </c>
      <c r="F236" s="20" t="s">
        <v>423</v>
      </c>
      <c r="G236" s="8" t="str">
        <f t="shared" si="3"/>
        <v>FORTUNATO FRANK</v>
      </c>
    </row>
    <row r="237" spans="1:7" x14ac:dyDescent="0.25">
      <c r="A237" s="8">
        <v>42915.031238425923</v>
      </c>
      <c r="B237" t="s">
        <v>374</v>
      </c>
      <c r="C237" t="s">
        <v>594</v>
      </c>
      <c r="D237" s="138">
        <v>3000000</v>
      </c>
      <c r="E237" t="s">
        <v>422</v>
      </c>
      <c r="F237" s="20" t="s">
        <v>423</v>
      </c>
      <c r="G237" s="8" t="str">
        <f t="shared" si="3"/>
        <v>FORTUNATO FRANK</v>
      </c>
    </row>
    <row r="238" spans="1:7" x14ac:dyDescent="0.25">
      <c r="A238" s="8">
        <v>42915.032314814816</v>
      </c>
      <c r="B238" t="s">
        <v>374</v>
      </c>
      <c r="C238" t="s">
        <v>594</v>
      </c>
      <c r="D238" s="138">
        <v>3000000</v>
      </c>
      <c r="E238" t="s">
        <v>422</v>
      </c>
      <c r="F238" s="20" t="s">
        <v>423</v>
      </c>
      <c r="G238" s="8" t="str">
        <f t="shared" si="3"/>
        <v>FORTUNATO FRANK</v>
      </c>
    </row>
    <row r="239" spans="1:7" x14ac:dyDescent="0.25">
      <c r="A239" s="8">
        <v>42915.037002314813</v>
      </c>
      <c r="B239" t="s">
        <v>518</v>
      </c>
      <c r="C239" t="s">
        <v>595</v>
      </c>
      <c r="D239" s="138">
        <v>2230000</v>
      </c>
      <c r="E239" t="s">
        <v>342</v>
      </c>
      <c r="F239" s="20" t="s">
        <v>192</v>
      </c>
      <c r="G239" s="8" t="str">
        <f t="shared" si="3"/>
        <v>SMITH MICHAEL</v>
      </c>
    </row>
    <row r="240" spans="1:7" x14ac:dyDescent="0.25">
      <c r="A240" s="8">
        <v>42915.051759259259</v>
      </c>
      <c r="B240" t="s">
        <v>397</v>
      </c>
      <c r="C240" t="s">
        <v>596</v>
      </c>
      <c r="D240" s="138">
        <v>2090000</v>
      </c>
      <c r="E240" t="s">
        <v>442</v>
      </c>
      <c r="F240" s="20" t="s">
        <v>192</v>
      </c>
      <c r="G240" s="8" t="str">
        <f t="shared" si="3"/>
        <v>HAITHCOX MICHAEL</v>
      </c>
    </row>
    <row r="241" spans="1:7" x14ac:dyDescent="0.25">
      <c r="A241" s="8">
        <v>42915.057268518518</v>
      </c>
      <c r="B241" t="s">
        <v>418</v>
      </c>
      <c r="C241" t="s">
        <v>565</v>
      </c>
      <c r="D241" s="138">
        <v>3090000</v>
      </c>
      <c r="E241" t="s">
        <v>375</v>
      </c>
      <c r="F241" s="20" t="s">
        <v>376</v>
      </c>
      <c r="G241" s="8" t="str">
        <f t="shared" si="3"/>
        <v>LAMAR NEKESHA</v>
      </c>
    </row>
    <row r="242" spans="1:7" x14ac:dyDescent="0.25">
      <c r="A242" s="8">
        <v>42915.070543981485</v>
      </c>
      <c r="B242" t="s">
        <v>520</v>
      </c>
      <c r="C242" t="s">
        <v>597</v>
      </c>
      <c r="D242" s="138">
        <v>2230000</v>
      </c>
      <c r="E242" t="s">
        <v>342</v>
      </c>
      <c r="F242" s="20" t="s">
        <v>192</v>
      </c>
      <c r="G242" s="8" t="str">
        <f t="shared" si="3"/>
        <v>SMITH MICHAEL</v>
      </c>
    </row>
    <row r="243" spans="1:7" x14ac:dyDescent="0.25">
      <c r="A243" s="8">
        <v>42915.096736111111</v>
      </c>
      <c r="B243" t="s">
        <v>420</v>
      </c>
      <c r="C243" t="s">
        <v>598</v>
      </c>
      <c r="D243" s="138">
        <v>3090000</v>
      </c>
      <c r="E243" t="s">
        <v>375</v>
      </c>
      <c r="F243" s="20" t="s">
        <v>376</v>
      </c>
      <c r="G243" s="8" t="str">
        <f t="shared" si="3"/>
        <v>LAMAR NEKESHA</v>
      </c>
    </row>
    <row r="244" spans="1:7" x14ac:dyDescent="0.25">
      <c r="A244" s="8">
        <v>42913.929016203707</v>
      </c>
      <c r="B244" t="s">
        <v>472</v>
      </c>
      <c r="C244" t="s">
        <v>524</v>
      </c>
      <c r="D244" s="138">
        <v>3090000</v>
      </c>
      <c r="E244" t="s">
        <v>375</v>
      </c>
      <c r="F244" s="20" t="s">
        <v>376</v>
      </c>
      <c r="G244" s="8" t="str">
        <f t="shared" si="3"/>
        <v>LAMAR NEKESHA</v>
      </c>
    </row>
    <row r="245" spans="1:7" x14ac:dyDescent="0.25">
      <c r="A245" s="8">
        <v>42913.931215277778</v>
      </c>
      <c r="B245" t="s">
        <v>437</v>
      </c>
      <c r="C245" t="s">
        <v>525</v>
      </c>
      <c r="D245" s="138">
        <v>2230000</v>
      </c>
      <c r="E245" t="s">
        <v>342</v>
      </c>
      <c r="F245" s="20" t="s">
        <v>192</v>
      </c>
      <c r="G245" s="8" t="str">
        <f t="shared" si="3"/>
        <v>SMITH MICHAEL</v>
      </c>
    </row>
    <row r="246" spans="1:7" x14ac:dyDescent="0.25">
      <c r="A246" s="8">
        <v>42913.942037037035</v>
      </c>
      <c r="B246" t="s">
        <v>399</v>
      </c>
      <c r="C246" t="s">
        <v>526</v>
      </c>
      <c r="D246" s="138">
        <v>2000000</v>
      </c>
      <c r="E246" t="s">
        <v>451</v>
      </c>
      <c r="F246" s="20" t="s">
        <v>189</v>
      </c>
      <c r="G246" s="8" t="str">
        <f t="shared" si="3"/>
        <v>STAMBAUGH JAMES</v>
      </c>
    </row>
    <row r="247" spans="1:7" x14ac:dyDescent="0.25">
      <c r="A247" s="8">
        <v>42913.945648148147</v>
      </c>
      <c r="B247" t="s">
        <v>468</v>
      </c>
      <c r="C247" t="s">
        <v>527</v>
      </c>
      <c r="D247" s="138">
        <v>2090000</v>
      </c>
      <c r="E247" t="s">
        <v>442</v>
      </c>
      <c r="F247" s="20" t="s">
        <v>192</v>
      </c>
      <c r="G247" s="8" t="str">
        <f t="shared" si="3"/>
        <v>HAITHCOX MICHAEL</v>
      </c>
    </row>
    <row r="248" spans="1:7" x14ac:dyDescent="0.25">
      <c r="A248" s="8">
        <v>42913.948611111111</v>
      </c>
      <c r="B248" t="s">
        <v>402</v>
      </c>
      <c r="C248" t="s">
        <v>526</v>
      </c>
      <c r="D248" s="138">
        <v>2000000</v>
      </c>
      <c r="E248" t="s">
        <v>451</v>
      </c>
      <c r="F248" s="20" t="s">
        <v>189</v>
      </c>
      <c r="G248" s="8" t="str">
        <f t="shared" si="3"/>
        <v>STAMBAUGH JAMES</v>
      </c>
    </row>
    <row r="249" spans="1:7" x14ac:dyDescent="0.25">
      <c r="A249" s="8">
        <v>42913.949120370373</v>
      </c>
      <c r="B249" t="s">
        <v>402</v>
      </c>
      <c r="C249" t="s">
        <v>526</v>
      </c>
      <c r="D249" s="138">
        <v>2000000</v>
      </c>
      <c r="E249" t="s">
        <v>451</v>
      </c>
      <c r="F249" s="20" t="s">
        <v>189</v>
      </c>
      <c r="G249" s="8" t="str">
        <f t="shared" si="3"/>
        <v>STAMBAUGH JAMES</v>
      </c>
    </row>
    <row r="250" spans="1:7" x14ac:dyDescent="0.25">
      <c r="A250" s="8">
        <v>42913.952164351853</v>
      </c>
      <c r="B250" t="s">
        <v>493</v>
      </c>
      <c r="C250" t="s">
        <v>528</v>
      </c>
      <c r="D250" s="138">
        <v>3000000</v>
      </c>
      <c r="E250" t="s">
        <v>422</v>
      </c>
      <c r="F250" s="20" t="s">
        <v>423</v>
      </c>
      <c r="G250" s="8" t="str">
        <f t="shared" si="3"/>
        <v>FORTUNATO FRANK</v>
      </c>
    </row>
    <row r="251" spans="1:7" x14ac:dyDescent="0.25">
      <c r="A251" s="8">
        <v>42913.971284722225</v>
      </c>
      <c r="B251" t="s">
        <v>438</v>
      </c>
      <c r="C251" t="s">
        <v>529</v>
      </c>
      <c r="D251" s="138">
        <v>2230000</v>
      </c>
      <c r="E251" t="s">
        <v>342</v>
      </c>
      <c r="F251" s="20" t="s">
        <v>192</v>
      </c>
      <c r="G251" s="8" t="str">
        <f t="shared" si="3"/>
        <v>SMITH MICHAEL</v>
      </c>
    </row>
    <row r="252" spans="1:7" x14ac:dyDescent="0.25">
      <c r="A252" s="8">
        <v>42913.97347222222</v>
      </c>
      <c r="B252" t="s">
        <v>475</v>
      </c>
      <c r="C252" t="s">
        <v>530</v>
      </c>
      <c r="D252" s="138">
        <v>3090000</v>
      </c>
      <c r="E252" t="s">
        <v>375</v>
      </c>
      <c r="F252" s="20" t="s">
        <v>376</v>
      </c>
      <c r="G252" s="8" t="str">
        <f t="shared" si="3"/>
        <v>LAMAR NEKESHA</v>
      </c>
    </row>
    <row r="253" spans="1:7" x14ac:dyDescent="0.25">
      <c r="A253" s="8">
        <v>42913.985775462963</v>
      </c>
      <c r="B253" t="s">
        <v>448</v>
      </c>
      <c r="C253" t="s">
        <v>531</v>
      </c>
      <c r="D253" s="138">
        <v>3000000</v>
      </c>
      <c r="E253" t="s">
        <v>422</v>
      </c>
      <c r="F253" s="20" t="s">
        <v>423</v>
      </c>
      <c r="G253" s="8" t="str">
        <f t="shared" si="3"/>
        <v>FORTUNATO FRANK</v>
      </c>
    </row>
    <row r="254" spans="1:7" x14ac:dyDescent="0.25">
      <c r="A254" s="8">
        <v>42913.985983796294</v>
      </c>
      <c r="B254" t="s">
        <v>474</v>
      </c>
      <c r="C254" t="s">
        <v>532</v>
      </c>
      <c r="D254" s="138">
        <v>2090000</v>
      </c>
      <c r="E254" t="s">
        <v>442</v>
      </c>
      <c r="F254" s="20" t="s">
        <v>192</v>
      </c>
      <c r="G254" s="8" t="str">
        <f t="shared" si="3"/>
        <v>HAITHCOX MICHAEL</v>
      </c>
    </row>
    <row r="255" spans="1:7" x14ac:dyDescent="0.25">
      <c r="A255" s="8">
        <v>42914.006678240738</v>
      </c>
      <c r="B255" t="s">
        <v>472</v>
      </c>
      <c r="C255" t="s">
        <v>533</v>
      </c>
      <c r="D255" s="138">
        <v>3090000</v>
      </c>
      <c r="E255" t="s">
        <v>375</v>
      </c>
      <c r="F255" s="20" t="s">
        <v>376</v>
      </c>
      <c r="G255" s="8" t="str">
        <f t="shared" si="3"/>
        <v>LAMAR NEKESHA</v>
      </c>
    </row>
    <row r="256" spans="1:7" x14ac:dyDescent="0.25">
      <c r="A256" s="8">
        <v>42914.013194444444</v>
      </c>
      <c r="B256" t="s">
        <v>437</v>
      </c>
      <c r="C256" t="s">
        <v>534</v>
      </c>
      <c r="D256" s="138">
        <v>2230000</v>
      </c>
      <c r="E256" t="s">
        <v>342</v>
      </c>
      <c r="F256" s="20" t="s">
        <v>192</v>
      </c>
      <c r="G256" s="8" t="str">
        <f t="shared" si="3"/>
        <v>SMITH MICHAEL</v>
      </c>
    </row>
    <row r="257" spans="1:7" x14ac:dyDescent="0.25">
      <c r="A257" s="8">
        <v>42914.028240740743</v>
      </c>
      <c r="B257" t="s">
        <v>468</v>
      </c>
      <c r="C257" t="s">
        <v>535</v>
      </c>
      <c r="D257" s="138">
        <v>2090000</v>
      </c>
      <c r="E257" t="s">
        <v>442</v>
      </c>
      <c r="F257" s="20" t="s">
        <v>192</v>
      </c>
      <c r="G257" s="8" t="str">
        <f t="shared" si="3"/>
        <v>HAITHCOX MICHAEL</v>
      </c>
    </row>
    <row r="258" spans="1:7" x14ac:dyDescent="0.25">
      <c r="A258" s="8">
        <v>42914.029791666668</v>
      </c>
      <c r="B258" t="s">
        <v>468</v>
      </c>
      <c r="C258" t="s">
        <v>535</v>
      </c>
      <c r="D258" s="138">
        <v>2090000</v>
      </c>
      <c r="E258" t="s">
        <v>442</v>
      </c>
      <c r="F258" s="20" t="s">
        <v>192</v>
      </c>
      <c r="G258" s="8" t="str">
        <f t="shared" si="3"/>
        <v>HAITHCOX MICHAEL</v>
      </c>
    </row>
    <row r="259" spans="1:7" x14ac:dyDescent="0.25">
      <c r="A259" s="8">
        <v>42914.034594907411</v>
      </c>
      <c r="B259" t="s">
        <v>493</v>
      </c>
      <c r="C259" t="s">
        <v>519</v>
      </c>
      <c r="D259" s="138">
        <v>3000000</v>
      </c>
      <c r="E259" t="s">
        <v>422</v>
      </c>
      <c r="F259" s="20" t="s">
        <v>423</v>
      </c>
      <c r="G259" s="8" t="str">
        <f t="shared" ref="G259:G322" si="4">E259&amp;" "&amp;F259</f>
        <v>FORTUNATO FRANK</v>
      </c>
    </row>
    <row r="260" spans="1:7" x14ac:dyDescent="0.25">
      <c r="A260" s="8">
        <v>42914.048738425925</v>
      </c>
      <c r="B260" t="s">
        <v>438</v>
      </c>
      <c r="C260" t="s">
        <v>536</v>
      </c>
      <c r="D260" s="138">
        <v>2230000</v>
      </c>
      <c r="E260" t="s">
        <v>342</v>
      </c>
      <c r="F260" s="20" t="s">
        <v>192</v>
      </c>
      <c r="G260" s="8" t="str">
        <f t="shared" si="4"/>
        <v>SMITH MICHAEL</v>
      </c>
    </row>
    <row r="261" spans="1:7" x14ac:dyDescent="0.25">
      <c r="A261" s="8">
        <v>42914.055451388886</v>
      </c>
      <c r="B261" t="s">
        <v>475</v>
      </c>
      <c r="C261" t="s">
        <v>537</v>
      </c>
      <c r="D261" s="138">
        <v>3090000</v>
      </c>
      <c r="E261" t="s">
        <v>375</v>
      </c>
      <c r="F261" s="20" t="s">
        <v>376</v>
      </c>
      <c r="G261" s="8" t="str">
        <f t="shared" si="4"/>
        <v>LAMAR NEKESHA</v>
      </c>
    </row>
    <row r="262" spans="1:7" x14ac:dyDescent="0.25">
      <c r="A262" s="8">
        <v>42914.070810185185</v>
      </c>
      <c r="B262" t="s">
        <v>448</v>
      </c>
      <c r="C262" t="s">
        <v>538</v>
      </c>
      <c r="D262" s="138">
        <v>3000000</v>
      </c>
      <c r="E262" t="s">
        <v>422</v>
      </c>
      <c r="F262" s="20" t="s">
        <v>423</v>
      </c>
      <c r="G262" s="8" t="str">
        <f t="shared" si="4"/>
        <v>FORTUNATO FRANK</v>
      </c>
    </row>
    <row r="263" spans="1:7" x14ac:dyDescent="0.25">
      <c r="A263" s="8">
        <v>42914.090590277781</v>
      </c>
      <c r="B263" t="s">
        <v>472</v>
      </c>
      <c r="C263" t="s">
        <v>539</v>
      </c>
      <c r="D263" s="138">
        <v>3090000</v>
      </c>
      <c r="E263" t="s">
        <v>375</v>
      </c>
      <c r="F263" s="20" t="s">
        <v>376</v>
      </c>
      <c r="G263" s="8" t="str">
        <f t="shared" si="4"/>
        <v>LAMAR NEKESHA</v>
      </c>
    </row>
    <row r="264" spans="1:7" x14ac:dyDescent="0.25">
      <c r="A264" s="8">
        <v>42914.091817129629</v>
      </c>
      <c r="B264" t="s">
        <v>472</v>
      </c>
      <c r="C264" t="s">
        <v>539</v>
      </c>
      <c r="D264" s="138">
        <v>3090000</v>
      </c>
      <c r="E264" t="s">
        <v>375</v>
      </c>
      <c r="F264" s="20" t="s">
        <v>376</v>
      </c>
      <c r="G264" s="8" t="str">
        <f t="shared" si="4"/>
        <v>LAMAR NEKESHA</v>
      </c>
    </row>
    <row r="265" spans="1:7" x14ac:dyDescent="0.25">
      <c r="A265" s="8">
        <v>42914.092777777776</v>
      </c>
      <c r="B265" t="s">
        <v>472</v>
      </c>
      <c r="C265" t="s">
        <v>539</v>
      </c>
      <c r="D265" s="138">
        <v>3090000</v>
      </c>
      <c r="E265" t="s">
        <v>375</v>
      </c>
      <c r="F265" s="20" t="s">
        <v>376</v>
      </c>
      <c r="G265" s="8" t="str">
        <f t="shared" si="4"/>
        <v>LAMAR NEKESHA</v>
      </c>
    </row>
    <row r="266" spans="1:7" x14ac:dyDescent="0.25">
      <c r="A266" s="8">
        <v>42914.107303240744</v>
      </c>
      <c r="B266" t="s">
        <v>494</v>
      </c>
      <c r="C266" t="s">
        <v>540</v>
      </c>
      <c r="D266" s="138">
        <v>940000</v>
      </c>
      <c r="E266" t="s">
        <v>504</v>
      </c>
      <c r="F266" s="20" t="s">
        <v>505</v>
      </c>
      <c r="G266" s="8" t="str">
        <f t="shared" si="4"/>
        <v>BONDS REYNALDO</v>
      </c>
    </row>
    <row r="267" spans="1:7" x14ac:dyDescent="0.25">
      <c r="A267" s="8">
        <v>42900.090277777781</v>
      </c>
      <c r="B267" t="s">
        <v>439</v>
      </c>
      <c r="C267" t="s">
        <v>449</v>
      </c>
      <c r="D267" s="138">
        <v>3090000</v>
      </c>
      <c r="E267" t="s">
        <v>375</v>
      </c>
      <c r="F267" s="20" t="s">
        <v>376</v>
      </c>
      <c r="G267" s="8" t="str">
        <f t="shared" si="4"/>
        <v>LAMAR NEKESHA</v>
      </c>
    </row>
    <row r="268" spans="1:7" x14ac:dyDescent="0.25">
      <c r="A268" s="8">
        <v>42879.005439814813</v>
      </c>
      <c r="B268" t="s">
        <v>395</v>
      </c>
      <c r="C268" t="s">
        <v>419</v>
      </c>
      <c r="D268" s="138">
        <v>2680000</v>
      </c>
      <c r="E268" t="s">
        <v>412</v>
      </c>
      <c r="F268" s="20" t="s">
        <v>413</v>
      </c>
      <c r="G268" s="8" t="str">
        <f t="shared" si="4"/>
        <v>DUNCAN SHEILA</v>
      </c>
    </row>
    <row r="269" spans="1:7" x14ac:dyDescent="0.25">
      <c r="A269" s="8">
        <v>42879.011724537035</v>
      </c>
      <c r="B269" t="s">
        <v>340</v>
      </c>
      <c r="C269" t="s">
        <v>425</v>
      </c>
      <c r="D269" s="138">
        <v>2230000</v>
      </c>
      <c r="E269" t="s">
        <v>342</v>
      </c>
      <c r="F269" s="20" t="s">
        <v>192</v>
      </c>
      <c r="G269" s="8" t="str">
        <f t="shared" si="4"/>
        <v>SMITH MICHAEL</v>
      </c>
    </row>
    <row r="270" spans="1:7" x14ac:dyDescent="0.25">
      <c r="A270" s="8">
        <v>42879.018900462965</v>
      </c>
      <c r="B270" t="s">
        <v>421</v>
      </c>
      <c r="C270" t="s">
        <v>426</v>
      </c>
      <c r="D270" s="138">
        <v>2610000</v>
      </c>
      <c r="E270" t="s">
        <v>414</v>
      </c>
      <c r="F270" s="20" t="s">
        <v>415</v>
      </c>
      <c r="G270" s="8" t="str">
        <f t="shared" si="4"/>
        <v>MAGEE KENYA</v>
      </c>
    </row>
    <row r="271" spans="1:7" x14ac:dyDescent="0.25">
      <c r="A271" s="8">
        <v>42879.026886574073</v>
      </c>
      <c r="B271" t="s">
        <v>357</v>
      </c>
      <c r="C271" t="s">
        <v>427</v>
      </c>
      <c r="D271" s="138">
        <v>2140000</v>
      </c>
      <c r="E271" t="s">
        <v>409</v>
      </c>
      <c r="F271" s="20" t="s">
        <v>410</v>
      </c>
      <c r="G271" s="8" t="str">
        <f t="shared" si="4"/>
        <v>ROBINSON KADDIBA</v>
      </c>
    </row>
    <row r="272" spans="1:7" x14ac:dyDescent="0.25">
      <c r="A272" s="8">
        <v>42879.027916666666</v>
      </c>
      <c r="B272" t="s">
        <v>418</v>
      </c>
      <c r="C272" t="s">
        <v>428</v>
      </c>
      <c r="D272" s="138">
        <v>3000000</v>
      </c>
      <c r="E272" t="s">
        <v>422</v>
      </c>
      <c r="F272" s="20" t="s">
        <v>423</v>
      </c>
      <c r="G272" s="8" t="str">
        <f t="shared" si="4"/>
        <v>FORTUNATO FRANK</v>
      </c>
    </row>
    <row r="273" spans="1:7" x14ac:dyDescent="0.25">
      <c r="A273" s="8">
        <v>42879.035393518519</v>
      </c>
      <c r="B273" t="s">
        <v>396</v>
      </c>
      <c r="C273" t="s">
        <v>424</v>
      </c>
      <c r="D273" s="138">
        <v>2680000</v>
      </c>
      <c r="E273" t="s">
        <v>412</v>
      </c>
      <c r="F273" s="20" t="s">
        <v>413</v>
      </c>
      <c r="G273" s="8" t="str">
        <f t="shared" si="4"/>
        <v>DUNCAN SHEILA</v>
      </c>
    </row>
    <row r="274" spans="1:7" x14ac:dyDescent="0.25">
      <c r="A274" s="8">
        <v>42879.048842592594</v>
      </c>
      <c r="B274" t="s">
        <v>339</v>
      </c>
      <c r="C274" t="s">
        <v>429</v>
      </c>
      <c r="D274" s="138">
        <v>2230000</v>
      </c>
      <c r="E274" t="s">
        <v>342</v>
      </c>
      <c r="F274" s="20" t="s">
        <v>192</v>
      </c>
      <c r="G274" s="8" t="str">
        <f t="shared" si="4"/>
        <v>SMITH MICHAEL</v>
      </c>
    </row>
    <row r="275" spans="1:7" x14ac:dyDescent="0.25">
      <c r="A275" s="8">
        <v>42879.059351851851</v>
      </c>
      <c r="B275" t="s">
        <v>417</v>
      </c>
      <c r="C275" t="s">
        <v>430</v>
      </c>
      <c r="D275" s="138">
        <v>2610000</v>
      </c>
      <c r="E275" t="s">
        <v>414</v>
      </c>
      <c r="F275" s="20" t="s">
        <v>415</v>
      </c>
      <c r="G275" s="8" t="str">
        <f t="shared" si="4"/>
        <v>MAGEE KENYA</v>
      </c>
    </row>
    <row r="276" spans="1:7" x14ac:dyDescent="0.25">
      <c r="A276" s="8">
        <v>42879.068622685183</v>
      </c>
      <c r="B276" t="s">
        <v>420</v>
      </c>
      <c r="C276" t="s">
        <v>431</v>
      </c>
      <c r="D276" s="138">
        <v>3000000</v>
      </c>
      <c r="E276" t="s">
        <v>422</v>
      </c>
      <c r="F276" s="20" t="s">
        <v>423</v>
      </c>
      <c r="G276" s="8" t="str">
        <f t="shared" si="4"/>
        <v>FORTUNATO FRANK</v>
      </c>
    </row>
    <row r="277" spans="1:7" x14ac:dyDescent="0.25">
      <c r="A277" s="8">
        <v>42879.089687500003</v>
      </c>
      <c r="B277" t="s">
        <v>421</v>
      </c>
      <c r="C277" t="s">
        <v>432</v>
      </c>
      <c r="D277" s="138">
        <v>2610000</v>
      </c>
      <c r="E277" t="s">
        <v>414</v>
      </c>
      <c r="F277" s="20" t="s">
        <v>415</v>
      </c>
      <c r="G277" s="8" t="str">
        <f t="shared" si="4"/>
        <v>MAGEE KENYA</v>
      </c>
    </row>
    <row r="278" spans="1:7" x14ac:dyDescent="0.25">
      <c r="A278" s="8">
        <v>42872.041689814818</v>
      </c>
      <c r="B278" t="s">
        <v>399</v>
      </c>
      <c r="C278" t="s">
        <v>400</v>
      </c>
      <c r="D278" s="138">
        <v>2970000</v>
      </c>
      <c r="E278" t="s">
        <v>379</v>
      </c>
      <c r="F278" s="20" t="s">
        <v>380</v>
      </c>
      <c r="G278" s="8" t="str">
        <f t="shared" si="4"/>
        <v>GUZMAN DANNY</v>
      </c>
    </row>
    <row r="279" spans="1:7" x14ac:dyDescent="0.25">
      <c r="A279" s="8">
        <v>42872.04792824074</v>
      </c>
      <c r="B279" t="s">
        <v>398</v>
      </c>
      <c r="C279" t="s">
        <v>404</v>
      </c>
      <c r="D279" s="138">
        <v>1810000</v>
      </c>
      <c r="E279" t="s">
        <v>367</v>
      </c>
      <c r="F279" s="20" t="s">
        <v>189</v>
      </c>
      <c r="G279" s="8" t="str">
        <f t="shared" si="4"/>
        <v>NEWELL JAMES</v>
      </c>
    </row>
    <row r="280" spans="1:7" x14ac:dyDescent="0.25">
      <c r="A280" s="8">
        <v>42872.049421296295</v>
      </c>
      <c r="B280" t="s">
        <v>340</v>
      </c>
      <c r="C280" t="s">
        <v>405</v>
      </c>
      <c r="D280" s="138">
        <v>3090000</v>
      </c>
      <c r="E280" t="s">
        <v>375</v>
      </c>
      <c r="F280" s="20" t="s">
        <v>376</v>
      </c>
      <c r="G280" s="8" t="str">
        <f t="shared" si="4"/>
        <v>LAMAR NEKESHA</v>
      </c>
    </row>
    <row r="281" spans="1:7" x14ac:dyDescent="0.25">
      <c r="A281" s="8">
        <v>42872.051990740743</v>
      </c>
      <c r="B281" t="s">
        <v>396</v>
      </c>
      <c r="C281" t="s">
        <v>401</v>
      </c>
      <c r="D281" s="138">
        <v>3010000</v>
      </c>
      <c r="E281" t="s">
        <v>392</v>
      </c>
      <c r="F281" s="20" t="s">
        <v>393</v>
      </c>
      <c r="G281" s="8" t="str">
        <f t="shared" si="4"/>
        <v>SULLIVAN BRANDON</v>
      </c>
    </row>
    <row r="282" spans="1:7" x14ac:dyDescent="0.25">
      <c r="A282" s="8">
        <v>42872.055347222224</v>
      </c>
      <c r="B282" t="s">
        <v>402</v>
      </c>
      <c r="C282" t="s">
        <v>403</v>
      </c>
      <c r="D282" s="138">
        <v>2970000</v>
      </c>
      <c r="E282" t="s">
        <v>379</v>
      </c>
      <c r="F282" s="20" t="s">
        <v>380</v>
      </c>
      <c r="G282" s="8" t="str">
        <f t="shared" si="4"/>
        <v>GUZMAN DANNY</v>
      </c>
    </row>
    <row r="283" spans="1:7" x14ac:dyDescent="0.25">
      <c r="A283" s="8">
        <v>42872.065578703703</v>
      </c>
      <c r="B283" t="s">
        <v>395</v>
      </c>
      <c r="C283" t="s">
        <v>401</v>
      </c>
      <c r="D283" s="138">
        <v>3010000</v>
      </c>
      <c r="E283" t="s">
        <v>392</v>
      </c>
      <c r="F283" s="20" t="s">
        <v>393</v>
      </c>
      <c r="G283" s="8" t="str">
        <f t="shared" si="4"/>
        <v>SULLIVAN BRANDON</v>
      </c>
    </row>
    <row r="284" spans="1:7" x14ac:dyDescent="0.25">
      <c r="A284" s="8">
        <v>42872.066493055558</v>
      </c>
      <c r="B284" t="s">
        <v>397</v>
      </c>
      <c r="C284" t="s">
        <v>406</v>
      </c>
      <c r="D284" s="138">
        <v>3030000</v>
      </c>
      <c r="E284" t="s">
        <v>381</v>
      </c>
      <c r="F284" s="20" t="s">
        <v>366</v>
      </c>
      <c r="G284" s="8" t="str">
        <f t="shared" si="4"/>
        <v>BIRENBAUM THOMAS</v>
      </c>
    </row>
    <row r="285" spans="1:7" x14ac:dyDescent="0.25">
      <c r="A285" s="8">
        <v>42872.067164351851</v>
      </c>
      <c r="B285" t="s">
        <v>395</v>
      </c>
      <c r="C285" t="s">
        <v>401</v>
      </c>
      <c r="D285" s="138">
        <v>3010000</v>
      </c>
      <c r="E285" t="s">
        <v>392</v>
      </c>
      <c r="F285" s="20" t="s">
        <v>393</v>
      </c>
      <c r="G285" s="8" t="str">
        <f t="shared" si="4"/>
        <v>SULLIVAN BRANDON</v>
      </c>
    </row>
    <row r="286" spans="1:7" x14ac:dyDescent="0.25">
      <c r="A286" s="8">
        <v>42872.068761574075</v>
      </c>
      <c r="B286" t="s">
        <v>399</v>
      </c>
      <c r="C286" t="s">
        <v>400</v>
      </c>
      <c r="D286" s="138">
        <v>2970000</v>
      </c>
      <c r="E286" t="s">
        <v>379</v>
      </c>
      <c r="F286" s="20" t="s">
        <v>380</v>
      </c>
      <c r="G286" s="8" t="str">
        <f t="shared" si="4"/>
        <v>GUZMAN DANNY</v>
      </c>
    </row>
    <row r="287" spans="1:7" x14ac:dyDescent="0.25">
      <c r="A287" s="8">
        <v>42872.08258101852</v>
      </c>
      <c r="B287" t="s">
        <v>402</v>
      </c>
      <c r="C287" t="s">
        <v>403</v>
      </c>
      <c r="D287" s="138">
        <v>2970000</v>
      </c>
      <c r="E287" t="s">
        <v>379</v>
      </c>
      <c r="F287" s="20" t="s">
        <v>380</v>
      </c>
      <c r="G287" s="8" t="str">
        <f t="shared" si="4"/>
        <v>GUZMAN DANNY</v>
      </c>
    </row>
    <row r="288" spans="1:7" x14ac:dyDescent="0.25">
      <c r="A288" s="8">
        <v>42872.08861111111</v>
      </c>
      <c r="B288" t="s">
        <v>339</v>
      </c>
      <c r="C288" t="s">
        <v>407</v>
      </c>
      <c r="D288" s="138">
        <v>3090000</v>
      </c>
      <c r="E288" t="s">
        <v>375</v>
      </c>
      <c r="F288" s="20" t="s">
        <v>376</v>
      </c>
      <c r="G288" s="8" t="str">
        <f t="shared" si="4"/>
        <v>LAMAR NEKESHA</v>
      </c>
    </row>
    <row r="289" spans="1:7" x14ac:dyDescent="0.25">
      <c r="A289" s="8">
        <v>42872.095833333333</v>
      </c>
      <c r="B289" t="s">
        <v>399</v>
      </c>
      <c r="C289" t="s">
        <v>400</v>
      </c>
      <c r="D289" s="138">
        <v>2970000</v>
      </c>
      <c r="E289" t="s">
        <v>379</v>
      </c>
      <c r="F289" s="20" t="s">
        <v>380</v>
      </c>
      <c r="G289" s="8" t="str">
        <f t="shared" si="4"/>
        <v>GUZMAN DANNY</v>
      </c>
    </row>
    <row r="290" spans="1:7" x14ac:dyDescent="0.25">
      <c r="A290" s="8">
        <v>42872.099791666667</v>
      </c>
      <c r="B290" t="s">
        <v>396</v>
      </c>
      <c r="C290" t="s">
        <v>401</v>
      </c>
      <c r="D290" s="138">
        <v>3010000</v>
      </c>
      <c r="E290" t="s">
        <v>392</v>
      </c>
      <c r="F290" s="20" t="s">
        <v>393</v>
      </c>
      <c r="G290" s="8" t="str">
        <f t="shared" si="4"/>
        <v>SULLIVAN BRANDON</v>
      </c>
    </row>
    <row r="291" spans="1:7" x14ac:dyDescent="0.25">
      <c r="A291" s="8">
        <v>42872.100324074076</v>
      </c>
      <c r="B291" t="s">
        <v>396</v>
      </c>
      <c r="C291" t="s">
        <v>401</v>
      </c>
      <c r="D291" s="138">
        <v>3010000</v>
      </c>
      <c r="E291" t="s">
        <v>392</v>
      </c>
      <c r="F291" s="20" t="s">
        <v>393</v>
      </c>
      <c r="G291" s="8" t="str">
        <f t="shared" si="4"/>
        <v>SULLIVAN BRANDON</v>
      </c>
    </row>
    <row r="292" spans="1:7" x14ac:dyDescent="0.25">
      <c r="A292" s="8">
        <v>42872.100856481484</v>
      </c>
      <c r="B292" t="s">
        <v>396</v>
      </c>
      <c r="C292" t="s">
        <v>401</v>
      </c>
      <c r="D292" s="138">
        <v>3010000</v>
      </c>
      <c r="E292" t="s">
        <v>392</v>
      </c>
      <c r="F292" s="20" t="s">
        <v>393</v>
      </c>
      <c r="G292" s="8" t="str">
        <f t="shared" si="4"/>
        <v>SULLIVAN BRANDON</v>
      </c>
    </row>
    <row r="293" spans="1:7" x14ac:dyDescent="0.25">
      <c r="A293" s="8">
        <v>42872.1018287037</v>
      </c>
      <c r="B293" t="s">
        <v>396</v>
      </c>
      <c r="C293" t="s">
        <v>401</v>
      </c>
      <c r="D293" s="138">
        <v>3010000</v>
      </c>
      <c r="E293" t="s">
        <v>392</v>
      </c>
      <c r="F293" s="20" t="s">
        <v>393</v>
      </c>
      <c r="G293" s="8" t="str">
        <f t="shared" si="4"/>
        <v>SULLIVAN BRANDON</v>
      </c>
    </row>
    <row r="294" spans="1:7" x14ac:dyDescent="0.25">
      <c r="A294" s="8">
        <v>42872.110578703701</v>
      </c>
      <c r="B294" t="s">
        <v>402</v>
      </c>
      <c r="C294" t="s">
        <v>403</v>
      </c>
      <c r="D294" s="138">
        <v>2970000</v>
      </c>
      <c r="E294" t="s">
        <v>379</v>
      </c>
      <c r="F294" s="20" t="s">
        <v>380</v>
      </c>
      <c r="G294" s="8" t="str">
        <f t="shared" si="4"/>
        <v>GUZMAN DANNY</v>
      </c>
    </row>
    <row r="295" spans="1:7" x14ac:dyDescent="0.25">
      <c r="A295" s="8">
        <v>42864.030914351853</v>
      </c>
      <c r="B295" t="s">
        <v>339</v>
      </c>
      <c r="C295" t="s">
        <v>386</v>
      </c>
      <c r="D295" s="138">
        <v>1800000</v>
      </c>
      <c r="E295" t="s">
        <v>377</v>
      </c>
      <c r="F295" s="20" t="s">
        <v>378</v>
      </c>
      <c r="G295" s="8" t="str">
        <f t="shared" si="4"/>
        <v>CHANDLER KELVIN</v>
      </c>
    </row>
    <row r="296" spans="1:7" x14ac:dyDescent="0.25">
      <c r="A296" s="8">
        <v>42864.036122685182</v>
      </c>
      <c r="B296" t="s">
        <v>365</v>
      </c>
      <c r="C296" t="s">
        <v>387</v>
      </c>
      <c r="D296" s="138">
        <v>3030000</v>
      </c>
      <c r="E296" t="s">
        <v>381</v>
      </c>
      <c r="F296" s="20" t="s">
        <v>366</v>
      </c>
      <c r="G296" s="8" t="str">
        <f t="shared" si="4"/>
        <v>BIRENBAUM THOMAS</v>
      </c>
    </row>
    <row r="297" spans="1:7" x14ac:dyDescent="0.25">
      <c r="A297" s="8">
        <v>42864.042592592596</v>
      </c>
      <c r="B297" t="s">
        <v>374</v>
      </c>
      <c r="C297" t="s">
        <v>370</v>
      </c>
      <c r="D297" s="138">
        <v>2970000</v>
      </c>
      <c r="E297" t="s">
        <v>379</v>
      </c>
      <c r="F297" s="20" t="s">
        <v>380</v>
      </c>
      <c r="G297" s="8" t="str">
        <f t="shared" si="4"/>
        <v>GUZMAN DANNY</v>
      </c>
    </row>
    <row r="298" spans="1:7" x14ac:dyDescent="0.25">
      <c r="A298" s="8">
        <v>42864.048067129632</v>
      </c>
      <c r="B298" t="s">
        <v>357</v>
      </c>
      <c r="C298" t="s">
        <v>388</v>
      </c>
      <c r="D298" s="138">
        <v>2230000</v>
      </c>
      <c r="E298" t="s">
        <v>342</v>
      </c>
      <c r="F298" s="20" t="s">
        <v>192</v>
      </c>
      <c r="G298" s="8" t="str">
        <f t="shared" si="4"/>
        <v>SMITH MICHAEL</v>
      </c>
    </row>
    <row r="299" spans="1:7" x14ac:dyDescent="0.25">
      <c r="A299" s="8">
        <v>42864.056481481479</v>
      </c>
      <c r="B299" t="s">
        <v>368</v>
      </c>
      <c r="C299" t="s">
        <v>370</v>
      </c>
      <c r="D299" s="138">
        <v>2970000</v>
      </c>
      <c r="E299" t="s">
        <v>379</v>
      </c>
      <c r="F299" s="20" t="s">
        <v>380</v>
      </c>
      <c r="G299" s="8" t="str">
        <f t="shared" si="4"/>
        <v>GUZMAN DANNY</v>
      </c>
    </row>
    <row r="300" spans="1:7" x14ac:dyDescent="0.25">
      <c r="A300" s="8">
        <v>42864.056504629632</v>
      </c>
      <c r="B300" t="s">
        <v>369</v>
      </c>
      <c r="C300" t="s">
        <v>373</v>
      </c>
      <c r="D300" s="138">
        <v>3130000</v>
      </c>
      <c r="E300" t="s">
        <v>384</v>
      </c>
      <c r="F300" s="20" t="s">
        <v>385</v>
      </c>
      <c r="G300" s="8" t="str">
        <f t="shared" si="4"/>
        <v>ZEWDU DEREJE</v>
      </c>
    </row>
    <row r="301" spans="1:7" x14ac:dyDescent="0.25">
      <c r="A301" s="8">
        <v>42864.061631944445</v>
      </c>
      <c r="B301" t="s">
        <v>368</v>
      </c>
      <c r="C301" t="s">
        <v>370</v>
      </c>
      <c r="D301" s="138">
        <v>2970000</v>
      </c>
      <c r="E301" t="s">
        <v>379</v>
      </c>
      <c r="F301" s="20" t="s">
        <v>380</v>
      </c>
      <c r="G301" s="8" t="str">
        <f t="shared" si="4"/>
        <v>GUZMAN DANNY</v>
      </c>
    </row>
    <row r="302" spans="1:7" x14ac:dyDescent="0.25">
      <c r="A302" s="8">
        <v>42864.064166666663</v>
      </c>
      <c r="B302" t="s">
        <v>363</v>
      </c>
      <c r="C302" t="s">
        <v>371</v>
      </c>
      <c r="D302" s="138">
        <v>3040000</v>
      </c>
      <c r="E302" t="s">
        <v>382</v>
      </c>
      <c r="F302" s="20" t="s">
        <v>383</v>
      </c>
      <c r="G302" s="8" t="str">
        <f t="shared" si="4"/>
        <v>WILLIAMS DONTE</v>
      </c>
    </row>
    <row r="303" spans="1:7" x14ac:dyDescent="0.25">
      <c r="A303" s="8">
        <v>42864.065555555557</v>
      </c>
      <c r="B303" t="s">
        <v>363</v>
      </c>
      <c r="C303" t="s">
        <v>371</v>
      </c>
      <c r="D303" s="138">
        <v>3040000</v>
      </c>
      <c r="E303" t="s">
        <v>382</v>
      </c>
      <c r="F303" s="20" t="s">
        <v>383</v>
      </c>
      <c r="G303" s="8" t="str">
        <f t="shared" si="4"/>
        <v>WILLIAMS DONTE</v>
      </c>
    </row>
    <row r="304" spans="1:7" x14ac:dyDescent="0.25">
      <c r="A304" s="8">
        <v>42864.068344907406</v>
      </c>
      <c r="B304" t="s">
        <v>341</v>
      </c>
      <c r="C304" t="s">
        <v>389</v>
      </c>
      <c r="D304" s="138">
        <v>3030000</v>
      </c>
      <c r="E304" t="s">
        <v>381</v>
      </c>
      <c r="F304" s="20" t="s">
        <v>366</v>
      </c>
      <c r="G304" s="8" t="str">
        <f t="shared" si="4"/>
        <v>BIRENBAUM THOMAS</v>
      </c>
    </row>
    <row r="305" spans="1:7" x14ac:dyDescent="0.25">
      <c r="A305" s="8">
        <v>42864.07234953704</v>
      </c>
      <c r="B305" t="s">
        <v>374</v>
      </c>
      <c r="C305" t="s">
        <v>370</v>
      </c>
      <c r="D305" s="138">
        <v>2970000</v>
      </c>
      <c r="E305" t="s">
        <v>379</v>
      </c>
      <c r="F305" s="20" t="s">
        <v>380</v>
      </c>
      <c r="G305" s="8" t="str">
        <f t="shared" si="4"/>
        <v>GUZMAN DANNY</v>
      </c>
    </row>
    <row r="306" spans="1:7" x14ac:dyDescent="0.25">
      <c r="A306" s="8">
        <v>42864.084166666667</v>
      </c>
      <c r="B306" t="s">
        <v>368</v>
      </c>
      <c r="C306" t="s">
        <v>370</v>
      </c>
      <c r="D306" s="138">
        <v>2970000</v>
      </c>
      <c r="E306" t="s">
        <v>379</v>
      </c>
      <c r="F306" s="20" t="s">
        <v>380</v>
      </c>
      <c r="G306" s="8" t="str">
        <f t="shared" si="4"/>
        <v>GUZMAN DANNY</v>
      </c>
    </row>
    <row r="307" spans="1:7" x14ac:dyDescent="0.25">
      <c r="A307" s="8">
        <v>42864.0859375</v>
      </c>
      <c r="B307" t="s">
        <v>364</v>
      </c>
      <c r="C307" t="s">
        <v>371</v>
      </c>
      <c r="D307" s="138">
        <v>3040000</v>
      </c>
      <c r="E307" t="s">
        <v>382</v>
      </c>
      <c r="F307" s="20" t="s">
        <v>383</v>
      </c>
      <c r="G307" s="8" t="str">
        <f t="shared" si="4"/>
        <v>WILLIAMS DONTE</v>
      </c>
    </row>
    <row r="308" spans="1:7" x14ac:dyDescent="0.25">
      <c r="A308" s="8">
        <v>42864.091087962966</v>
      </c>
      <c r="B308" t="s">
        <v>372</v>
      </c>
      <c r="C308" t="s">
        <v>390</v>
      </c>
      <c r="D308" s="138">
        <v>3130000</v>
      </c>
      <c r="E308" t="s">
        <v>384</v>
      </c>
      <c r="F308" s="20" t="s">
        <v>385</v>
      </c>
      <c r="G308" s="8" t="str">
        <f t="shared" si="4"/>
        <v>ZEWDU DEREJE</v>
      </c>
    </row>
    <row r="309" spans="1:7" x14ac:dyDescent="0.25">
      <c r="A309" s="8">
        <v>42864.097372685188</v>
      </c>
      <c r="B309" t="s">
        <v>363</v>
      </c>
      <c r="C309" t="s">
        <v>371</v>
      </c>
      <c r="D309" s="138">
        <v>3040000</v>
      </c>
      <c r="E309" t="s">
        <v>382</v>
      </c>
      <c r="F309" s="20" t="s">
        <v>383</v>
      </c>
      <c r="G309" s="8" t="str">
        <f t="shared" si="4"/>
        <v>WILLIAMS DONTE</v>
      </c>
    </row>
    <row r="310" spans="1:7" x14ac:dyDescent="0.25">
      <c r="A310" s="8">
        <v>42864.102129629631</v>
      </c>
      <c r="B310" t="s">
        <v>374</v>
      </c>
      <c r="C310" t="s">
        <v>370</v>
      </c>
      <c r="D310" s="138">
        <v>2970000</v>
      </c>
      <c r="E310" t="s">
        <v>379</v>
      </c>
      <c r="F310" s="20" t="s">
        <v>380</v>
      </c>
      <c r="G310" s="8" t="str">
        <f t="shared" si="4"/>
        <v>GUZMAN DANNY</v>
      </c>
    </row>
    <row r="311" spans="1:7" x14ac:dyDescent="0.25">
      <c r="A311" s="8">
        <v>42864.114537037036</v>
      </c>
      <c r="B311" t="s">
        <v>368</v>
      </c>
      <c r="C311" t="s">
        <v>370</v>
      </c>
      <c r="D311" s="138">
        <v>2970000</v>
      </c>
      <c r="E311" t="s">
        <v>379</v>
      </c>
      <c r="F311" s="20" t="s">
        <v>380</v>
      </c>
      <c r="G311" s="8" t="str">
        <f t="shared" si="4"/>
        <v>GUZMAN DANNY</v>
      </c>
    </row>
    <row r="312" spans="1:7" x14ac:dyDescent="0.25">
      <c r="F312" s="20">
        <f t="shared" ref="F312:F345" si="5">B312</f>
        <v>0</v>
      </c>
      <c r="G312" s="8" t="str">
        <f t="shared" si="4"/>
        <v xml:space="preserve"> 0</v>
      </c>
    </row>
    <row r="313" spans="1:7" x14ac:dyDescent="0.25">
      <c r="F313" s="20">
        <f t="shared" si="5"/>
        <v>0</v>
      </c>
      <c r="G313" s="8" t="str">
        <f t="shared" si="4"/>
        <v xml:space="preserve"> 0</v>
      </c>
    </row>
    <row r="314" spans="1:7" x14ac:dyDescent="0.25">
      <c r="F314" s="20">
        <f t="shared" si="5"/>
        <v>0</v>
      </c>
      <c r="G314" s="8" t="str">
        <f t="shared" si="4"/>
        <v xml:space="preserve"> 0</v>
      </c>
    </row>
    <row r="315" spans="1:7" x14ac:dyDescent="0.25">
      <c r="F315" s="20">
        <f t="shared" si="5"/>
        <v>0</v>
      </c>
      <c r="G315" s="8" t="str">
        <f t="shared" si="4"/>
        <v xml:space="preserve"> 0</v>
      </c>
    </row>
    <row r="316" spans="1:7" x14ac:dyDescent="0.25">
      <c r="F316" s="20">
        <f t="shared" si="5"/>
        <v>0</v>
      </c>
      <c r="G316" s="8" t="str">
        <f t="shared" si="4"/>
        <v xml:space="preserve"> 0</v>
      </c>
    </row>
    <row r="317" spans="1:7" x14ac:dyDescent="0.25">
      <c r="F317" s="20">
        <f t="shared" si="5"/>
        <v>0</v>
      </c>
      <c r="G317" s="8" t="str">
        <f t="shared" si="4"/>
        <v xml:space="preserve"> 0</v>
      </c>
    </row>
    <row r="318" spans="1:7" x14ac:dyDescent="0.25">
      <c r="F318" s="20">
        <f t="shared" si="5"/>
        <v>0</v>
      </c>
      <c r="G318" s="8" t="str">
        <f t="shared" si="4"/>
        <v xml:space="preserve"> 0</v>
      </c>
    </row>
    <row r="319" spans="1:7" x14ac:dyDescent="0.25">
      <c r="F319" s="20">
        <f t="shared" si="5"/>
        <v>0</v>
      </c>
      <c r="G319" s="8" t="str">
        <f t="shared" si="4"/>
        <v xml:space="preserve"> 0</v>
      </c>
    </row>
    <row r="320" spans="1:7" x14ac:dyDescent="0.25">
      <c r="F320" s="20">
        <f t="shared" si="5"/>
        <v>0</v>
      </c>
      <c r="G320" s="8" t="str">
        <f t="shared" si="4"/>
        <v xml:space="preserve"> 0</v>
      </c>
    </row>
    <row r="321" spans="6:7" x14ac:dyDescent="0.25">
      <c r="F321" s="20">
        <f t="shared" si="5"/>
        <v>0</v>
      </c>
      <c r="G321" s="8" t="str">
        <f t="shared" si="4"/>
        <v xml:space="preserve"> 0</v>
      </c>
    </row>
    <row r="322" spans="6:7" x14ac:dyDescent="0.25">
      <c r="F322" s="20">
        <f t="shared" si="5"/>
        <v>0</v>
      </c>
      <c r="G322" s="8" t="str">
        <f t="shared" si="4"/>
        <v xml:space="preserve"> 0</v>
      </c>
    </row>
    <row r="323" spans="6:7" x14ac:dyDescent="0.25">
      <c r="F323" s="20">
        <f t="shared" si="5"/>
        <v>0</v>
      </c>
      <c r="G323" s="8" t="str">
        <f t="shared" ref="G323:G386" si="6">E323&amp;" "&amp;F323</f>
        <v xml:space="preserve"> 0</v>
      </c>
    </row>
    <row r="324" spans="6:7" x14ac:dyDescent="0.25">
      <c r="F324" s="20">
        <f t="shared" si="5"/>
        <v>0</v>
      </c>
      <c r="G324" s="8" t="str">
        <f t="shared" si="6"/>
        <v xml:space="preserve"> 0</v>
      </c>
    </row>
    <row r="325" spans="6:7" x14ac:dyDescent="0.25">
      <c r="F325" s="20">
        <f t="shared" si="5"/>
        <v>0</v>
      </c>
      <c r="G325" s="8" t="str">
        <f t="shared" si="6"/>
        <v xml:space="preserve"> 0</v>
      </c>
    </row>
    <row r="326" spans="6:7" x14ac:dyDescent="0.25">
      <c r="F326" s="20">
        <f t="shared" si="5"/>
        <v>0</v>
      </c>
      <c r="G326" s="8" t="str">
        <f t="shared" si="6"/>
        <v xml:space="preserve"> 0</v>
      </c>
    </row>
    <row r="327" spans="6:7" x14ac:dyDescent="0.25">
      <c r="F327" s="20">
        <f t="shared" si="5"/>
        <v>0</v>
      </c>
      <c r="G327" s="8" t="str">
        <f t="shared" si="6"/>
        <v xml:space="preserve"> 0</v>
      </c>
    </row>
    <row r="328" spans="6:7" x14ac:dyDescent="0.25">
      <c r="F328" s="20">
        <f t="shared" si="5"/>
        <v>0</v>
      </c>
      <c r="G328" s="8" t="str">
        <f t="shared" si="6"/>
        <v xml:space="preserve"> 0</v>
      </c>
    </row>
    <row r="329" spans="6:7" x14ac:dyDescent="0.25">
      <c r="F329" s="20">
        <f t="shared" si="5"/>
        <v>0</v>
      </c>
      <c r="G329" s="8" t="str">
        <f t="shared" si="6"/>
        <v xml:space="preserve"> 0</v>
      </c>
    </row>
    <row r="330" spans="6:7" x14ac:dyDescent="0.25">
      <c r="F330" s="20">
        <f t="shared" si="5"/>
        <v>0</v>
      </c>
      <c r="G330" s="8" t="str">
        <f t="shared" si="6"/>
        <v xml:space="preserve"> 0</v>
      </c>
    </row>
    <row r="331" spans="6:7" x14ac:dyDescent="0.25">
      <c r="F331" s="20">
        <f t="shared" si="5"/>
        <v>0</v>
      </c>
      <c r="G331" s="8" t="str">
        <f t="shared" si="6"/>
        <v xml:space="preserve"> 0</v>
      </c>
    </row>
    <row r="332" spans="6:7" x14ac:dyDescent="0.25">
      <c r="F332" s="20">
        <f t="shared" si="5"/>
        <v>0</v>
      </c>
      <c r="G332" s="8" t="str">
        <f t="shared" si="6"/>
        <v xml:space="preserve"> 0</v>
      </c>
    </row>
    <row r="333" spans="6:7" x14ac:dyDescent="0.25">
      <c r="F333" s="20">
        <f t="shared" si="5"/>
        <v>0</v>
      </c>
      <c r="G333" s="8" t="str">
        <f t="shared" si="6"/>
        <v xml:space="preserve"> 0</v>
      </c>
    </row>
    <row r="334" spans="6:7" x14ac:dyDescent="0.25">
      <c r="F334" s="20">
        <f t="shared" si="5"/>
        <v>0</v>
      </c>
      <c r="G334" s="8" t="str">
        <f t="shared" si="6"/>
        <v xml:space="preserve"> 0</v>
      </c>
    </row>
    <row r="335" spans="6:7" x14ac:dyDescent="0.25">
      <c r="F335" s="20">
        <f t="shared" si="5"/>
        <v>0</v>
      </c>
      <c r="G335" s="8" t="str">
        <f t="shared" si="6"/>
        <v xml:space="preserve"> 0</v>
      </c>
    </row>
    <row r="336" spans="6:7" x14ac:dyDescent="0.25">
      <c r="F336" s="20">
        <f t="shared" si="5"/>
        <v>0</v>
      </c>
      <c r="G336" s="8" t="str">
        <f t="shared" si="6"/>
        <v xml:space="preserve"> 0</v>
      </c>
    </row>
    <row r="337" spans="6:7" x14ac:dyDescent="0.25">
      <c r="F337" s="20">
        <f t="shared" si="5"/>
        <v>0</v>
      </c>
      <c r="G337" s="8" t="str">
        <f t="shared" si="6"/>
        <v xml:space="preserve"> 0</v>
      </c>
    </row>
    <row r="338" spans="6:7" x14ac:dyDescent="0.25">
      <c r="F338" s="20">
        <f t="shared" si="5"/>
        <v>0</v>
      </c>
      <c r="G338" s="8" t="str">
        <f t="shared" si="6"/>
        <v xml:space="preserve"> 0</v>
      </c>
    </row>
    <row r="339" spans="6:7" x14ac:dyDescent="0.25">
      <c r="F339" s="20">
        <f t="shared" si="5"/>
        <v>0</v>
      </c>
      <c r="G339" s="8" t="str">
        <f t="shared" si="6"/>
        <v xml:space="preserve"> 0</v>
      </c>
    </row>
    <row r="340" spans="6:7" x14ac:dyDescent="0.25">
      <c r="F340" s="20">
        <f t="shared" si="5"/>
        <v>0</v>
      </c>
      <c r="G340" s="8" t="str">
        <f t="shared" si="6"/>
        <v xml:space="preserve"> 0</v>
      </c>
    </row>
    <row r="341" spans="6:7" x14ac:dyDescent="0.25">
      <c r="F341" s="20">
        <f t="shared" si="5"/>
        <v>0</v>
      </c>
      <c r="G341" s="8" t="str">
        <f t="shared" si="6"/>
        <v xml:space="preserve"> 0</v>
      </c>
    </row>
    <row r="342" spans="6:7" x14ac:dyDescent="0.25">
      <c r="F342" s="20">
        <f t="shared" si="5"/>
        <v>0</v>
      </c>
      <c r="G342" s="8" t="str">
        <f t="shared" si="6"/>
        <v xml:space="preserve"> 0</v>
      </c>
    </row>
    <row r="343" spans="6:7" x14ac:dyDescent="0.25">
      <c r="F343" s="20">
        <f t="shared" si="5"/>
        <v>0</v>
      </c>
      <c r="G343" s="8" t="str">
        <f t="shared" si="6"/>
        <v xml:space="preserve"> 0</v>
      </c>
    </row>
    <row r="344" spans="6:7" x14ac:dyDescent="0.25">
      <c r="F344" s="20">
        <f t="shared" si="5"/>
        <v>0</v>
      </c>
      <c r="G344" s="8" t="str">
        <f t="shared" si="6"/>
        <v xml:space="preserve"> 0</v>
      </c>
    </row>
    <row r="345" spans="6:7" x14ac:dyDescent="0.25">
      <c r="F345" s="20">
        <f t="shared" si="5"/>
        <v>0</v>
      </c>
      <c r="G345" s="8" t="str">
        <f t="shared" si="6"/>
        <v xml:space="preserve"> 0</v>
      </c>
    </row>
    <row r="346" spans="6:7" x14ac:dyDescent="0.25">
      <c r="F346" s="20">
        <f t="shared" ref="F346:F409" si="7">B346</f>
        <v>0</v>
      </c>
      <c r="G346" s="8" t="str">
        <f t="shared" si="6"/>
        <v xml:space="preserve"> 0</v>
      </c>
    </row>
    <row r="347" spans="6:7" x14ac:dyDescent="0.25">
      <c r="F347" s="20">
        <f t="shared" si="7"/>
        <v>0</v>
      </c>
      <c r="G347" s="8" t="str">
        <f t="shared" si="6"/>
        <v xml:space="preserve"> 0</v>
      </c>
    </row>
    <row r="348" spans="6:7" x14ac:dyDescent="0.25">
      <c r="F348" s="20">
        <f t="shared" si="7"/>
        <v>0</v>
      </c>
      <c r="G348" s="8" t="str">
        <f t="shared" si="6"/>
        <v xml:space="preserve"> 0</v>
      </c>
    </row>
    <row r="349" spans="6:7" x14ac:dyDescent="0.25">
      <c r="F349" s="20">
        <f t="shared" si="7"/>
        <v>0</v>
      </c>
      <c r="G349" s="8" t="str">
        <f t="shared" si="6"/>
        <v xml:space="preserve"> 0</v>
      </c>
    </row>
    <row r="350" spans="6:7" x14ac:dyDescent="0.25">
      <c r="F350" s="20">
        <f t="shared" si="7"/>
        <v>0</v>
      </c>
      <c r="G350" s="8" t="str">
        <f t="shared" si="6"/>
        <v xml:space="preserve"> 0</v>
      </c>
    </row>
    <row r="351" spans="6:7" x14ac:dyDescent="0.25">
      <c r="F351" s="20">
        <f t="shared" si="7"/>
        <v>0</v>
      </c>
      <c r="G351" s="8" t="str">
        <f t="shared" si="6"/>
        <v xml:space="preserve"> 0</v>
      </c>
    </row>
    <row r="352" spans="6:7" x14ac:dyDescent="0.25">
      <c r="F352" s="20">
        <f t="shared" si="7"/>
        <v>0</v>
      </c>
      <c r="G352" s="8" t="str">
        <f t="shared" si="6"/>
        <v xml:space="preserve"> 0</v>
      </c>
    </row>
    <row r="353" spans="6:7" x14ac:dyDescent="0.25">
      <c r="F353" s="20">
        <f t="shared" si="7"/>
        <v>0</v>
      </c>
      <c r="G353" s="8" t="str">
        <f t="shared" si="6"/>
        <v xml:space="preserve"> 0</v>
      </c>
    </row>
    <row r="354" spans="6:7" x14ac:dyDescent="0.25">
      <c r="F354" s="20">
        <f t="shared" si="7"/>
        <v>0</v>
      </c>
      <c r="G354" s="8" t="str">
        <f t="shared" si="6"/>
        <v xml:space="preserve"> 0</v>
      </c>
    </row>
    <row r="355" spans="6:7" x14ac:dyDescent="0.25">
      <c r="F355" s="20">
        <f t="shared" si="7"/>
        <v>0</v>
      </c>
      <c r="G355" s="8" t="str">
        <f t="shared" si="6"/>
        <v xml:space="preserve"> 0</v>
      </c>
    </row>
    <row r="356" spans="6:7" x14ac:dyDescent="0.25">
      <c r="F356" s="20">
        <f t="shared" si="7"/>
        <v>0</v>
      </c>
      <c r="G356" s="8" t="str">
        <f t="shared" si="6"/>
        <v xml:space="preserve"> 0</v>
      </c>
    </row>
    <row r="357" spans="6:7" x14ac:dyDescent="0.25">
      <c r="F357" s="20">
        <f t="shared" si="7"/>
        <v>0</v>
      </c>
      <c r="G357" s="8" t="str">
        <f t="shared" si="6"/>
        <v xml:space="preserve"> 0</v>
      </c>
    </row>
    <row r="358" spans="6:7" x14ac:dyDescent="0.25">
      <c r="F358" s="20">
        <f t="shared" si="7"/>
        <v>0</v>
      </c>
      <c r="G358" s="8" t="str">
        <f t="shared" si="6"/>
        <v xml:space="preserve"> 0</v>
      </c>
    </row>
    <row r="359" spans="6:7" x14ac:dyDescent="0.25">
      <c r="F359" s="20">
        <f t="shared" si="7"/>
        <v>0</v>
      </c>
      <c r="G359" s="8" t="str">
        <f t="shared" si="6"/>
        <v xml:space="preserve"> 0</v>
      </c>
    </row>
    <row r="360" spans="6:7" x14ac:dyDescent="0.25">
      <c r="F360" s="20">
        <f t="shared" si="7"/>
        <v>0</v>
      </c>
      <c r="G360" s="8" t="str">
        <f t="shared" si="6"/>
        <v xml:space="preserve"> 0</v>
      </c>
    </row>
    <row r="361" spans="6:7" x14ac:dyDescent="0.25">
      <c r="F361" s="20">
        <f t="shared" si="7"/>
        <v>0</v>
      </c>
      <c r="G361" s="8" t="str">
        <f t="shared" si="6"/>
        <v xml:space="preserve"> 0</v>
      </c>
    </row>
    <row r="362" spans="6:7" x14ac:dyDescent="0.25">
      <c r="F362" s="20">
        <f t="shared" si="7"/>
        <v>0</v>
      </c>
      <c r="G362" s="8" t="str">
        <f t="shared" si="6"/>
        <v xml:space="preserve"> 0</v>
      </c>
    </row>
    <row r="363" spans="6:7" x14ac:dyDescent="0.25">
      <c r="F363" s="20">
        <f t="shared" si="7"/>
        <v>0</v>
      </c>
      <c r="G363" s="8" t="str">
        <f t="shared" si="6"/>
        <v xml:space="preserve"> 0</v>
      </c>
    </row>
    <row r="364" spans="6:7" x14ac:dyDescent="0.25">
      <c r="F364" s="20">
        <f t="shared" si="7"/>
        <v>0</v>
      </c>
      <c r="G364" s="8" t="str">
        <f t="shared" si="6"/>
        <v xml:space="preserve"> 0</v>
      </c>
    </row>
    <row r="365" spans="6:7" x14ac:dyDescent="0.25">
      <c r="F365" s="20">
        <f t="shared" si="7"/>
        <v>0</v>
      </c>
      <c r="G365" s="8" t="str">
        <f t="shared" si="6"/>
        <v xml:space="preserve"> 0</v>
      </c>
    </row>
    <row r="366" spans="6:7" x14ac:dyDescent="0.25">
      <c r="F366" s="20">
        <f t="shared" si="7"/>
        <v>0</v>
      </c>
      <c r="G366" s="8" t="str">
        <f t="shared" si="6"/>
        <v xml:space="preserve"> 0</v>
      </c>
    </row>
    <row r="367" spans="6:7" x14ac:dyDescent="0.25">
      <c r="F367" s="20">
        <f t="shared" si="7"/>
        <v>0</v>
      </c>
      <c r="G367" s="8" t="str">
        <f t="shared" si="6"/>
        <v xml:space="preserve"> 0</v>
      </c>
    </row>
    <row r="368" spans="6:7" x14ac:dyDescent="0.25">
      <c r="F368" s="20">
        <f t="shared" si="7"/>
        <v>0</v>
      </c>
      <c r="G368" s="8" t="str">
        <f t="shared" si="6"/>
        <v xml:space="preserve"> 0</v>
      </c>
    </row>
    <row r="369" spans="6:7" x14ac:dyDescent="0.25">
      <c r="F369" s="20">
        <f t="shared" si="7"/>
        <v>0</v>
      </c>
      <c r="G369" s="8" t="str">
        <f t="shared" si="6"/>
        <v xml:space="preserve"> 0</v>
      </c>
    </row>
    <row r="370" spans="6:7" x14ac:dyDescent="0.25">
      <c r="F370" s="20">
        <f t="shared" si="7"/>
        <v>0</v>
      </c>
      <c r="G370" s="8" t="str">
        <f t="shared" si="6"/>
        <v xml:space="preserve"> 0</v>
      </c>
    </row>
    <row r="371" spans="6:7" x14ac:dyDescent="0.25">
      <c r="F371" s="20">
        <f t="shared" si="7"/>
        <v>0</v>
      </c>
      <c r="G371" s="8" t="str">
        <f t="shared" si="6"/>
        <v xml:space="preserve"> 0</v>
      </c>
    </row>
    <row r="372" spans="6:7" x14ac:dyDescent="0.25">
      <c r="F372" s="20">
        <f t="shared" si="7"/>
        <v>0</v>
      </c>
      <c r="G372" s="8" t="str">
        <f t="shared" si="6"/>
        <v xml:space="preserve"> 0</v>
      </c>
    </row>
    <row r="373" spans="6:7" x14ac:dyDescent="0.25">
      <c r="F373" s="20">
        <f t="shared" si="7"/>
        <v>0</v>
      </c>
      <c r="G373" s="8" t="str">
        <f t="shared" si="6"/>
        <v xml:space="preserve"> 0</v>
      </c>
    </row>
    <row r="374" spans="6:7" x14ac:dyDescent="0.25">
      <c r="F374" s="20">
        <f t="shared" si="7"/>
        <v>0</v>
      </c>
      <c r="G374" s="8" t="str">
        <f t="shared" si="6"/>
        <v xml:space="preserve"> 0</v>
      </c>
    </row>
    <row r="375" spans="6:7" x14ac:dyDescent="0.25">
      <c r="F375" s="20">
        <f t="shared" si="7"/>
        <v>0</v>
      </c>
      <c r="G375" s="8" t="str">
        <f t="shared" si="6"/>
        <v xml:space="preserve"> 0</v>
      </c>
    </row>
    <row r="376" spans="6:7" x14ac:dyDescent="0.25">
      <c r="F376" s="20">
        <f t="shared" si="7"/>
        <v>0</v>
      </c>
      <c r="G376" s="8" t="str">
        <f t="shared" si="6"/>
        <v xml:space="preserve"> 0</v>
      </c>
    </row>
    <row r="377" spans="6:7" x14ac:dyDescent="0.25">
      <c r="F377" s="20">
        <f t="shared" si="7"/>
        <v>0</v>
      </c>
      <c r="G377" s="8" t="str">
        <f t="shared" si="6"/>
        <v xml:space="preserve"> 0</v>
      </c>
    </row>
    <row r="378" spans="6:7" x14ac:dyDescent="0.25">
      <c r="F378" s="20">
        <f t="shared" si="7"/>
        <v>0</v>
      </c>
      <c r="G378" s="8" t="str">
        <f t="shared" si="6"/>
        <v xml:space="preserve"> 0</v>
      </c>
    </row>
    <row r="379" spans="6:7" x14ac:dyDescent="0.25">
      <c r="F379" s="20">
        <f t="shared" si="7"/>
        <v>0</v>
      </c>
      <c r="G379" s="8" t="str">
        <f t="shared" si="6"/>
        <v xml:space="preserve"> 0</v>
      </c>
    </row>
    <row r="380" spans="6:7" x14ac:dyDescent="0.25">
      <c r="F380" s="20">
        <f t="shared" si="7"/>
        <v>0</v>
      </c>
      <c r="G380" s="8" t="str">
        <f t="shared" si="6"/>
        <v xml:space="preserve"> 0</v>
      </c>
    </row>
    <row r="381" spans="6:7" x14ac:dyDescent="0.25">
      <c r="F381" s="20">
        <f t="shared" si="7"/>
        <v>0</v>
      </c>
      <c r="G381" s="8" t="str">
        <f t="shared" si="6"/>
        <v xml:space="preserve"> 0</v>
      </c>
    </row>
    <row r="382" spans="6:7" x14ac:dyDescent="0.25">
      <c r="F382" s="20">
        <f t="shared" si="7"/>
        <v>0</v>
      </c>
      <c r="G382" s="8" t="str">
        <f t="shared" si="6"/>
        <v xml:space="preserve"> 0</v>
      </c>
    </row>
    <row r="383" spans="6:7" x14ac:dyDescent="0.25">
      <c r="F383" s="20">
        <f t="shared" si="7"/>
        <v>0</v>
      </c>
      <c r="G383" s="8" t="str">
        <f t="shared" si="6"/>
        <v xml:space="preserve"> 0</v>
      </c>
    </row>
    <row r="384" spans="6:7" x14ac:dyDescent="0.25">
      <c r="F384" s="20">
        <f t="shared" si="7"/>
        <v>0</v>
      </c>
      <c r="G384" s="8" t="str">
        <f t="shared" si="6"/>
        <v xml:space="preserve"> 0</v>
      </c>
    </row>
    <row r="385" spans="6:7" x14ac:dyDescent="0.25">
      <c r="F385" s="20">
        <f t="shared" si="7"/>
        <v>0</v>
      </c>
      <c r="G385" s="8" t="str">
        <f t="shared" si="6"/>
        <v xml:space="preserve"> 0</v>
      </c>
    </row>
    <row r="386" spans="6:7" x14ac:dyDescent="0.25">
      <c r="F386" s="20">
        <f t="shared" si="7"/>
        <v>0</v>
      </c>
      <c r="G386" s="8" t="str">
        <f t="shared" si="6"/>
        <v xml:space="preserve"> 0</v>
      </c>
    </row>
    <row r="387" spans="6:7" x14ac:dyDescent="0.25">
      <c r="F387" s="20">
        <f t="shared" si="7"/>
        <v>0</v>
      </c>
      <c r="G387" s="8" t="str">
        <f t="shared" ref="G387:G450" si="8">E387&amp;" "&amp;F387</f>
        <v xml:space="preserve"> 0</v>
      </c>
    </row>
    <row r="388" spans="6:7" x14ac:dyDescent="0.25">
      <c r="F388" s="20">
        <f t="shared" si="7"/>
        <v>0</v>
      </c>
      <c r="G388" s="8" t="str">
        <f t="shared" si="8"/>
        <v xml:space="preserve"> 0</v>
      </c>
    </row>
    <row r="389" spans="6:7" x14ac:dyDescent="0.25">
      <c r="F389" s="20">
        <f t="shared" si="7"/>
        <v>0</v>
      </c>
      <c r="G389" s="8" t="str">
        <f t="shared" si="8"/>
        <v xml:space="preserve"> 0</v>
      </c>
    </row>
    <row r="390" spans="6:7" x14ac:dyDescent="0.25">
      <c r="F390" s="20">
        <f t="shared" si="7"/>
        <v>0</v>
      </c>
      <c r="G390" s="8" t="str">
        <f t="shared" si="8"/>
        <v xml:space="preserve"> 0</v>
      </c>
    </row>
    <row r="391" spans="6:7" x14ac:dyDescent="0.25">
      <c r="F391" s="20">
        <f t="shared" si="7"/>
        <v>0</v>
      </c>
      <c r="G391" s="8" t="str">
        <f t="shared" si="8"/>
        <v xml:space="preserve"> 0</v>
      </c>
    </row>
    <row r="392" spans="6:7" x14ac:dyDescent="0.25">
      <c r="F392" s="20">
        <f t="shared" si="7"/>
        <v>0</v>
      </c>
      <c r="G392" s="8" t="str">
        <f t="shared" si="8"/>
        <v xml:space="preserve"> 0</v>
      </c>
    </row>
    <row r="393" spans="6:7" x14ac:dyDescent="0.25">
      <c r="F393" s="20">
        <f t="shared" si="7"/>
        <v>0</v>
      </c>
      <c r="G393" s="8" t="str">
        <f t="shared" si="8"/>
        <v xml:space="preserve"> 0</v>
      </c>
    </row>
    <row r="394" spans="6:7" x14ac:dyDescent="0.25">
      <c r="F394" s="20">
        <f t="shared" si="7"/>
        <v>0</v>
      </c>
      <c r="G394" s="8" t="str">
        <f t="shared" si="8"/>
        <v xml:space="preserve"> 0</v>
      </c>
    </row>
    <row r="395" spans="6:7" x14ac:dyDescent="0.25">
      <c r="F395" s="20">
        <f t="shared" si="7"/>
        <v>0</v>
      </c>
      <c r="G395" s="8" t="str">
        <f t="shared" si="8"/>
        <v xml:space="preserve"> 0</v>
      </c>
    </row>
    <row r="396" spans="6:7" x14ac:dyDescent="0.25">
      <c r="F396" s="20">
        <f t="shared" si="7"/>
        <v>0</v>
      </c>
      <c r="G396" s="8" t="str">
        <f t="shared" si="8"/>
        <v xml:space="preserve"> 0</v>
      </c>
    </row>
    <row r="397" spans="6:7" x14ac:dyDescent="0.25">
      <c r="F397" s="20">
        <f t="shared" si="7"/>
        <v>0</v>
      </c>
      <c r="G397" s="8" t="str">
        <f t="shared" si="8"/>
        <v xml:space="preserve"> 0</v>
      </c>
    </row>
    <row r="398" spans="6:7" x14ac:dyDescent="0.25">
      <c r="F398" s="20">
        <f t="shared" si="7"/>
        <v>0</v>
      </c>
      <c r="G398" s="8" t="str">
        <f t="shared" si="8"/>
        <v xml:space="preserve"> 0</v>
      </c>
    </row>
    <row r="399" spans="6:7" x14ac:dyDescent="0.25">
      <c r="F399" s="20">
        <f t="shared" si="7"/>
        <v>0</v>
      </c>
      <c r="G399" s="8" t="str">
        <f t="shared" si="8"/>
        <v xml:space="preserve"> 0</v>
      </c>
    </row>
    <row r="400" spans="6:7" x14ac:dyDescent="0.25">
      <c r="F400" s="20">
        <f t="shared" si="7"/>
        <v>0</v>
      </c>
      <c r="G400" s="8" t="str">
        <f t="shared" si="8"/>
        <v xml:space="preserve"> 0</v>
      </c>
    </row>
    <row r="401" spans="6:7" x14ac:dyDescent="0.25">
      <c r="F401" s="20">
        <f t="shared" si="7"/>
        <v>0</v>
      </c>
      <c r="G401" s="8" t="str">
        <f t="shared" si="8"/>
        <v xml:space="preserve"> 0</v>
      </c>
    </row>
    <row r="402" spans="6:7" x14ac:dyDescent="0.25">
      <c r="F402" s="20">
        <f t="shared" si="7"/>
        <v>0</v>
      </c>
      <c r="G402" s="8" t="str">
        <f t="shared" si="8"/>
        <v xml:space="preserve"> 0</v>
      </c>
    </row>
    <row r="403" spans="6:7" x14ac:dyDescent="0.25">
      <c r="F403" s="20">
        <f t="shared" si="7"/>
        <v>0</v>
      </c>
      <c r="G403" s="8" t="str">
        <f t="shared" si="8"/>
        <v xml:space="preserve"> 0</v>
      </c>
    </row>
    <row r="404" spans="6:7" x14ac:dyDescent="0.25">
      <c r="F404" s="20">
        <f t="shared" si="7"/>
        <v>0</v>
      </c>
      <c r="G404" s="8" t="str">
        <f t="shared" si="8"/>
        <v xml:space="preserve"> 0</v>
      </c>
    </row>
    <row r="405" spans="6:7" x14ac:dyDescent="0.25">
      <c r="F405" s="20">
        <f t="shared" si="7"/>
        <v>0</v>
      </c>
      <c r="G405" s="8" t="str">
        <f t="shared" si="8"/>
        <v xml:space="preserve"> 0</v>
      </c>
    </row>
    <row r="406" spans="6:7" x14ac:dyDescent="0.25">
      <c r="F406" s="20">
        <f t="shared" si="7"/>
        <v>0</v>
      </c>
      <c r="G406" s="8" t="str">
        <f t="shared" si="8"/>
        <v xml:space="preserve"> 0</v>
      </c>
    </row>
    <row r="407" spans="6:7" x14ac:dyDescent="0.25">
      <c r="F407" s="20">
        <f t="shared" si="7"/>
        <v>0</v>
      </c>
      <c r="G407" s="8" t="str">
        <f t="shared" si="8"/>
        <v xml:space="preserve"> 0</v>
      </c>
    </row>
    <row r="408" spans="6:7" x14ac:dyDescent="0.25">
      <c r="F408" s="20">
        <f t="shared" si="7"/>
        <v>0</v>
      </c>
      <c r="G408" s="8" t="str">
        <f t="shared" si="8"/>
        <v xml:space="preserve"> 0</v>
      </c>
    </row>
    <row r="409" spans="6:7" x14ac:dyDescent="0.25">
      <c r="F409" s="20">
        <f t="shared" si="7"/>
        <v>0</v>
      </c>
      <c r="G409" s="8" t="str">
        <f t="shared" si="8"/>
        <v xml:space="preserve"> 0</v>
      </c>
    </row>
    <row r="410" spans="6:7" x14ac:dyDescent="0.25">
      <c r="F410" s="20">
        <f t="shared" ref="F410:F473" si="9">B410</f>
        <v>0</v>
      </c>
      <c r="G410" s="8" t="str">
        <f t="shared" si="8"/>
        <v xml:space="preserve"> 0</v>
      </c>
    </row>
    <row r="411" spans="6:7" x14ac:dyDescent="0.25">
      <c r="F411" s="20">
        <f t="shared" si="9"/>
        <v>0</v>
      </c>
      <c r="G411" s="8" t="str">
        <f t="shared" si="8"/>
        <v xml:space="preserve"> 0</v>
      </c>
    </row>
    <row r="412" spans="6:7" x14ac:dyDescent="0.25">
      <c r="F412" s="20">
        <f t="shared" si="9"/>
        <v>0</v>
      </c>
      <c r="G412" s="8" t="str">
        <f t="shared" si="8"/>
        <v xml:space="preserve"> 0</v>
      </c>
    </row>
    <row r="413" spans="6:7" x14ac:dyDescent="0.25">
      <c r="F413" s="20">
        <f t="shared" si="9"/>
        <v>0</v>
      </c>
      <c r="G413" s="8" t="str">
        <f t="shared" si="8"/>
        <v xml:space="preserve"> 0</v>
      </c>
    </row>
    <row r="414" spans="6:7" x14ac:dyDescent="0.25">
      <c r="F414" s="20">
        <f t="shared" si="9"/>
        <v>0</v>
      </c>
      <c r="G414" s="8" t="str">
        <f t="shared" si="8"/>
        <v xml:space="preserve"> 0</v>
      </c>
    </row>
    <row r="415" spans="6:7" x14ac:dyDescent="0.25">
      <c r="F415" s="20">
        <f t="shared" si="9"/>
        <v>0</v>
      </c>
      <c r="G415" s="8" t="str">
        <f t="shared" si="8"/>
        <v xml:space="preserve"> 0</v>
      </c>
    </row>
    <row r="416" spans="6:7" x14ac:dyDescent="0.25">
      <c r="F416" s="20">
        <f t="shared" si="9"/>
        <v>0</v>
      </c>
      <c r="G416" s="8" t="str">
        <f t="shared" si="8"/>
        <v xml:space="preserve"> 0</v>
      </c>
    </row>
    <row r="417" spans="6:7" x14ac:dyDescent="0.25">
      <c r="F417" s="20">
        <f t="shared" si="9"/>
        <v>0</v>
      </c>
      <c r="G417" s="8" t="str">
        <f t="shared" si="8"/>
        <v xml:space="preserve"> 0</v>
      </c>
    </row>
    <row r="418" spans="6:7" x14ac:dyDescent="0.25">
      <c r="F418" s="20">
        <f t="shared" si="9"/>
        <v>0</v>
      </c>
      <c r="G418" s="8" t="str">
        <f t="shared" si="8"/>
        <v xml:space="preserve"> 0</v>
      </c>
    </row>
    <row r="419" spans="6:7" x14ac:dyDescent="0.25">
      <c r="F419" s="20">
        <f t="shared" si="9"/>
        <v>0</v>
      </c>
      <c r="G419" s="8" t="str">
        <f t="shared" si="8"/>
        <v xml:space="preserve"> 0</v>
      </c>
    </row>
    <row r="420" spans="6:7" x14ac:dyDescent="0.25">
      <c r="F420" s="20">
        <f t="shared" si="9"/>
        <v>0</v>
      </c>
      <c r="G420" s="8" t="str">
        <f t="shared" si="8"/>
        <v xml:space="preserve"> 0</v>
      </c>
    </row>
    <row r="421" spans="6:7" x14ac:dyDescent="0.25">
      <c r="F421" s="20">
        <f t="shared" si="9"/>
        <v>0</v>
      </c>
      <c r="G421" s="8" t="str">
        <f t="shared" si="8"/>
        <v xml:space="preserve"> 0</v>
      </c>
    </row>
    <row r="422" spans="6:7" x14ac:dyDescent="0.25">
      <c r="F422" s="20">
        <f t="shared" si="9"/>
        <v>0</v>
      </c>
      <c r="G422" s="8" t="str">
        <f t="shared" si="8"/>
        <v xml:space="preserve"> 0</v>
      </c>
    </row>
    <row r="423" spans="6:7" x14ac:dyDescent="0.25">
      <c r="F423" s="20">
        <f t="shared" si="9"/>
        <v>0</v>
      </c>
      <c r="G423" s="8" t="str">
        <f t="shared" si="8"/>
        <v xml:space="preserve"> 0</v>
      </c>
    </row>
    <row r="424" spans="6:7" x14ac:dyDescent="0.25">
      <c r="F424" s="20">
        <f t="shared" si="9"/>
        <v>0</v>
      </c>
      <c r="G424" s="8" t="str">
        <f t="shared" si="8"/>
        <v xml:space="preserve"> 0</v>
      </c>
    </row>
    <row r="425" spans="6:7" x14ac:dyDescent="0.25">
      <c r="F425" s="20">
        <f t="shared" si="9"/>
        <v>0</v>
      </c>
      <c r="G425" s="8" t="str">
        <f t="shared" si="8"/>
        <v xml:space="preserve"> 0</v>
      </c>
    </row>
    <row r="426" spans="6:7" x14ac:dyDescent="0.25">
      <c r="F426" s="20">
        <f t="shared" si="9"/>
        <v>0</v>
      </c>
      <c r="G426" s="8" t="str">
        <f t="shared" si="8"/>
        <v xml:space="preserve"> 0</v>
      </c>
    </row>
    <row r="427" spans="6:7" x14ac:dyDescent="0.25">
      <c r="F427" s="20">
        <f t="shared" si="9"/>
        <v>0</v>
      </c>
      <c r="G427" s="8" t="str">
        <f t="shared" si="8"/>
        <v xml:space="preserve"> 0</v>
      </c>
    </row>
    <row r="428" spans="6:7" x14ac:dyDescent="0.25">
      <c r="F428" s="20">
        <f t="shared" si="9"/>
        <v>0</v>
      </c>
      <c r="G428" s="8" t="str">
        <f t="shared" si="8"/>
        <v xml:space="preserve"> 0</v>
      </c>
    </row>
    <row r="429" spans="6:7" x14ac:dyDescent="0.25">
      <c r="F429" s="20">
        <f t="shared" si="9"/>
        <v>0</v>
      </c>
      <c r="G429" s="8" t="str">
        <f t="shared" si="8"/>
        <v xml:space="preserve"> 0</v>
      </c>
    </row>
    <row r="430" spans="6:7" x14ac:dyDescent="0.25">
      <c r="F430" s="20">
        <f t="shared" si="9"/>
        <v>0</v>
      </c>
      <c r="G430" s="8" t="str">
        <f t="shared" si="8"/>
        <v xml:space="preserve"> 0</v>
      </c>
    </row>
    <row r="431" spans="6:7" x14ac:dyDescent="0.25">
      <c r="F431" s="20">
        <f t="shared" si="9"/>
        <v>0</v>
      </c>
      <c r="G431" s="8" t="str">
        <f t="shared" si="8"/>
        <v xml:space="preserve"> 0</v>
      </c>
    </row>
    <row r="432" spans="6:7" x14ac:dyDescent="0.25">
      <c r="F432" s="20">
        <f t="shared" si="9"/>
        <v>0</v>
      </c>
      <c r="G432" s="8" t="str">
        <f t="shared" si="8"/>
        <v xml:space="preserve"> 0</v>
      </c>
    </row>
    <row r="433" spans="6:7" x14ac:dyDescent="0.25">
      <c r="F433" s="20">
        <f t="shared" si="9"/>
        <v>0</v>
      </c>
      <c r="G433" s="8" t="str">
        <f t="shared" si="8"/>
        <v xml:space="preserve"> 0</v>
      </c>
    </row>
    <row r="434" spans="6:7" x14ac:dyDescent="0.25">
      <c r="F434" s="20">
        <f t="shared" si="9"/>
        <v>0</v>
      </c>
      <c r="G434" s="8" t="str">
        <f t="shared" si="8"/>
        <v xml:space="preserve"> 0</v>
      </c>
    </row>
    <row r="435" spans="6:7" x14ac:dyDescent="0.25">
      <c r="F435" s="20">
        <f t="shared" si="9"/>
        <v>0</v>
      </c>
      <c r="G435" s="8" t="str">
        <f t="shared" si="8"/>
        <v xml:space="preserve"> 0</v>
      </c>
    </row>
    <row r="436" spans="6:7" x14ac:dyDescent="0.25">
      <c r="F436" s="20">
        <f t="shared" si="9"/>
        <v>0</v>
      </c>
      <c r="G436" s="8" t="str">
        <f t="shared" si="8"/>
        <v xml:space="preserve"> 0</v>
      </c>
    </row>
    <row r="437" spans="6:7" x14ac:dyDescent="0.25">
      <c r="F437" s="20">
        <f t="shared" si="9"/>
        <v>0</v>
      </c>
      <c r="G437" s="8" t="str">
        <f t="shared" si="8"/>
        <v xml:space="preserve"> 0</v>
      </c>
    </row>
    <row r="438" spans="6:7" x14ac:dyDescent="0.25">
      <c r="F438" s="20">
        <f t="shared" si="9"/>
        <v>0</v>
      </c>
      <c r="G438" s="8" t="str">
        <f t="shared" si="8"/>
        <v xml:space="preserve"> 0</v>
      </c>
    </row>
    <row r="439" spans="6:7" x14ac:dyDescent="0.25">
      <c r="F439" s="20">
        <f t="shared" si="9"/>
        <v>0</v>
      </c>
      <c r="G439" s="8" t="str">
        <f t="shared" si="8"/>
        <v xml:space="preserve"> 0</v>
      </c>
    </row>
    <row r="440" spans="6:7" x14ac:dyDescent="0.25">
      <c r="F440" s="20">
        <f t="shared" si="9"/>
        <v>0</v>
      </c>
      <c r="G440" s="8" t="str">
        <f t="shared" si="8"/>
        <v xml:space="preserve"> 0</v>
      </c>
    </row>
    <row r="441" spans="6:7" x14ac:dyDescent="0.25">
      <c r="F441" s="20">
        <f t="shared" si="9"/>
        <v>0</v>
      </c>
      <c r="G441" s="8" t="str">
        <f t="shared" si="8"/>
        <v xml:space="preserve"> 0</v>
      </c>
    </row>
    <row r="442" spans="6:7" x14ac:dyDescent="0.25">
      <c r="F442" s="20">
        <f t="shared" si="9"/>
        <v>0</v>
      </c>
      <c r="G442" s="8" t="str">
        <f t="shared" si="8"/>
        <v xml:space="preserve"> 0</v>
      </c>
    </row>
    <row r="443" spans="6:7" x14ac:dyDescent="0.25">
      <c r="F443" s="20">
        <f t="shared" si="9"/>
        <v>0</v>
      </c>
      <c r="G443" s="8" t="str">
        <f t="shared" si="8"/>
        <v xml:space="preserve"> 0</v>
      </c>
    </row>
    <row r="444" spans="6:7" x14ac:dyDescent="0.25">
      <c r="F444" s="20">
        <f t="shared" si="9"/>
        <v>0</v>
      </c>
      <c r="G444" s="8" t="str">
        <f t="shared" si="8"/>
        <v xml:space="preserve"> 0</v>
      </c>
    </row>
    <row r="445" spans="6:7" x14ac:dyDescent="0.25">
      <c r="F445" s="20">
        <f t="shared" si="9"/>
        <v>0</v>
      </c>
      <c r="G445" s="8" t="str">
        <f t="shared" si="8"/>
        <v xml:space="preserve"> 0</v>
      </c>
    </row>
    <row r="446" spans="6:7" x14ac:dyDescent="0.25">
      <c r="F446" s="20">
        <f t="shared" si="9"/>
        <v>0</v>
      </c>
      <c r="G446" s="8" t="str">
        <f t="shared" si="8"/>
        <v xml:space="preserve"> 0</v>
      </c>
    </row>
    <row r="447" spans="6:7" x14ac:dyDescent="0.25">
      <c r="F447" s="20">
        <f t="shared" si="9"/>
        <v>0</v>
      </c>
      <c r="G447" s="8" t="str">
        <f t="shared" si="8"/>
        <v xml:space="preserve"> 0</v>
      </c>
    </row>
    <row r="448" spans="6:7" x14ac:dyDescent="0.25">
      <c r="F448" s="20">
        <f t="shared" si="9"/>
        <v>0</v>
      </c>
      <c r="G448" s="8" t="str">
        <f t="shared" si="8"/>
        <v xml:space="preserve"> 0</v>
      </c>
    </row>
    <row r="449" spans="6:7" x14ac:dyDescent="0.25">
      <c r="F449" s="20">
        <f t="shared" si="9"/>
        <v>0</v>
      </c>
      <c r="G449" s="8" t="str">
        <f t="shared" si="8"/>
        <v xml:space="preserve"> 0</v>
      </c>
    </row>
    <row r="450" spans="6:7" x14ac:dyDescent="0.25">
      <c r="F450" s="20">
        <f t="shared" si="9"/>
        <v>0</v>
      </c>
      <c r="G450" s="8" t="str">
        <f t="shared" si="8"/>
        <v xml:space="preserve"> 0</v>
      </c>
    </row>
    <row r="451" spans="6:7" x14ac:dyDescent="0.25">
      <c r="F451" s="20">
        <f t="shared" si="9"/>
        <v>0</v>
      </c>
      <c r="G451" s="8" t="str">
        <f t="shared" ref="G451:G514" si="10">E451&amp;" "&amp;F451</f>
        <v xml:space="preserve"> 0</v>
      </c>
    </row>
    <row r="452" spans="6:7" x14ac:dyDescent="0.25">
      <c r="F452" s="20">
        <f t="shared" si="9"/>
        <v>0</v>
      </c>
      <c r="G452" s="8" t="str">
        <f t="shared" si="10"/>
        <v xml:space="preserve"> 0</v>
      </c>
    </row>
    <row r="453" spans="6:7" x14ac:dyDescent="0.25">
      <c r="F453" s="20">
        <f t="shared" si="9"/>
        <v>0</v>
      </c>
      <c r="G453" s="8" t="str">
        <f t="shared" si="10"/>
        <v xml:space="preserve"> 0</v>
      </c>
    </row>
    <row r="454" spans="6:7" x14ac:dyDescent="0.25">
      <c r="F454" s="20">
        <f t="shared" si="9"/>
        <v>0</v>
      </c>
      <c r="G454" s="8" t="str">
        <f t="shared" si="10"/>
        <v xml:space="preserve"> 0</v>
      </c>
    </row>
    <row r="455" spans="6:7" x14ac:dyDescent="0.25">
      <c r="F455" s="20">
        <f t="shared" si="9"/>
        <v>0</v>
      </c>
      <c r="G455" s="8" t="str">
        <f t="shared" si="10"/>
        <v xml:space="preserve"> 0</v>
      </c>
    </row>
    <row r="456" spans="6:7" x14ac:dyDescent="0.25">
      <c r="F456" s="20">
        <f t="shared" si="9"/>
        <v>0</v>
      </c>
      <c r="G456" s="8" t="str">
        <f t="shared" si="10"/>
        <v xml:space="preserve"> 0</v>
      </c>
    </row>
    <row r="457" spans="6:7" x14ac:dyDescent="0.25">
      <c r="F457" s="20">
        <f t="shared" si="9"/>
        <v>0</v>
      </c>
      <c r="G457" s="8" t="str">
        <f t="shared" si="10"/>
        <v xml:space="preserve"> 0</v>
      </c>
    </row>
    <row r="458" spans="6:7" x14ac:dyDescent="0.25">
      <c r="F458" s="20">
        <f t="shared" si="9"/>
        <v>0</v>
      </c>
      <c r="G458" s="8" t="str">
        <f t="shared" si="10"/>
        <v xml:space="preserve"> 0</v>
      </c>
    </row>
    <row r="459" spans="6:7" x14ac:dyDescent="0.25">
      <c r="F459" s="20">
        <f t="shared" si="9"/>
        <v>0</v>
      </c>
      <c r="G459" s="8" t="str">
        <f t="shared" si="10"/>
        <v xml:space="preserve"> 0</v>
      </c>
    </row>
    <row r="460" spans="6:7" x14ac:dyDescent="0.25">
      <c r="F460" s="20">
        <f t="shared" si="9"/>
        <v>0</v>
      </c>
      <c r="G460" s="8" t="str">
        <f t="shared" si="10"/>
        <v xml:space="preserve"> 0</v>
      </c>
    </row>
    <row r="461" spans="6:7" x14ac:dyDescent="0.25">
      <c r="F461" s="20">
        <f t="shared" si="9"/>
        <v>0</v>
      </c>
      <c r="G461" s="8" t="str">
        <f t="shared" si="10"/>
        <v xml:space="preserve"> 0</v>
      </c>
    </row>
    <row r="462" spans="6:7" x14ac:dyDescent="0.25">
      <c r="F462" s="20">
        <f t="shared" si="9"/>
        <v>0</v>
      </c>
      <c r="G462" s="8" t="str">
        <f t="shared" si="10"/>
        <v xml:space="preserve"> 0</v>
      </c>
    </row>
    <row r="463" spans="6:7" x14ac:dyDescent="0.25">
      <c r="F463" s="20">
        <f t="shared" si="9"/>
        <v>0</v>
      </c>
      <c r="G463" s="8" t="str">
        <f t="shared" si="10"/>
        <v xml:space="preserve"> 0</v>
      </c>
    </row>
    <row r="464" spans="6:7" x14ac:dyDescent="0.25">
      <c r="F464" s="20">
        <f t="shared" si="9"/>
        <v>0</v>
      </c>
      <c r="G464" s="8" t="str">
        <f t="shared" si="10"/>
        <v xml:space="preserve"> 0</v>
      </c>
    </row>
    <row r="465" spans="6:7" x14ac:dyDescent="0.25">
      <c r="F465" s="20">
        <f t="shared" si="9"/>
        <v>0</v>
      </c>
      <c r="G465" s="8" t="str">
        <f t="shared" si="10"/>
        <v xml:space="preserve"> 0</v>
      </c>
    </row>
    <row r="466" spans="6:7" x14ac:dyDescent="0.25">
      <c r="F466" s="20">
        <f t="shared" si="9"/>
        <v>0</v>
      </c>
      <c r="G466" s="8" t="str">
        <f t="shared" si="10"/>
        <v xml:space="preserve"> 0</v>
      </c>
    </row>
    <row r="467" spans="6:7" x14ac:dyDescent="0.25">
      <c r="F467" s="20">
        <f t="shared" si="9"/>
        <v>0</v>
      </c>
      <c r="G467" s="8" t="str">
        <f t="shared" si="10"/>
        <v xml:space="preserve"> 0</v>
      </c>
    </row>
    <row r="468" spans="6:7" x14ac:dyDescent="0.25">
      <c r="F468" s="20">
        <f t="shared" si="9"/>
        <v>0</v>
      </c>
      <c r="G468" s="8" t="str">
        <f t="shared" si="10"/>
        <v xml:space="preserve"> 0</v>
      </c>
    </row>
    <row r="469" spans="6:7" x14ac:dyDescent="0.25">
      <c r="F469" s="20">
        <f t="shared" si="9"/>
        <v>0</v>
      </c>
      <c r="G469" s="8" t="str">
        <f t="shared" si="10"/>
        <v xml:space="preserve"> 0</v>
      </c>
    </row>
    <row r="470" spans="6:7" x14ac:dyDescent="0.25">
      <c r="F470" s="20">
        <f t="shared" si="9"/>
        <v>0</v>
      </c>
      <c r="G470" s="8" t="str">
        <f t="shared" si="10"/>
        <v xml:space="preserve"> 0</v>
      </c>
    </row>
    <row r="471" spans="6:7" x14ac:dyDescent="0.25">
      <c r="F471" s="20">
        <f t="shared" si="9"/>
        <v>0</v>
      </c>
      <c r="G471" s="8" t="str">
        <f t="shared" si="10"/>
        <v xml:space="preserve"> 0</v>
      </c>
    </row>
    <row r="472" spans="6:7" x14ac:dyDescent="0.25">
      <c r="F472" s="20">
        <f t="shared" si="9"/>
        <v>0</v>
      </c>
      <c r="G472" s="8" t="str">
        <f t="shared" si="10"/>
        <v xml:space="preserve"> 0</v>
      </c>
    </row>
    <row r="473" spans="6:7" x14ac:dyDescent="0.25">
      <c r="F473" s="20">
        <f t="shared" si="9"/>
        <v>0</v>
      </c>
      <c r="G473" s="8" t="str">
        <f t="shared" si="10"/>
        <v xml:space="preserve"> 0</v>
      </c>
    </row>
    <row r="474" spans="6:7" x14ac:dyDescent="0.25">
      <c r="F474" s="20">
        <f t="shared" ref="F474:F537" si="11">B474</f>
        <v>0</v>
      </c>
      <c r="G474" s="8" t="str">
        <f t="shared" si="10"/>
        <v xml:space="preserve"> 0</v>
      </c>
    </row>
    <row r="475" spans="6:7" x14ac:dyDescent="0.25">
      <c r="F475" s="20">
        <f t="shared" si="11"/>
        <v>0</v>
      </c>
      <c r="G475" s="8" t="str">
        <f t="shared" si="10"/>
        <v xml:space="preserve"> 0</v>
      </c>
    </row>
    <row r="476" spans="6:7" x14ac:dyDescent="0.25">
      <c r="F476" s="20">
        <f t="shared" si="11"/>
        <v>0</v>
      </c>
      <c r="G476" s="8" t="str">
        <f t="shared" si="10"/>
        <v xml:space="preserve"> 0</v>
      </c>
    </row>
    <row r="477" spans="6:7" x14ac:dyDescent="0.25">
      <c r="F477" s="20">
        <f t="shared" si="11"/>
        <v>0</v>
      </c>
      <c r="G477" s="8" t="str">
        <f t="shared" si="10"/>
        <v xml:space="preserve"> 0</v>
      </c>
    </row>
    <row r="478" spans="6:7" x14ac:dyDescent="0.25">
      <c r="F478" s="20">
        <f t="shared" si="11"/>
        <v>0</v>
      </c>
      <c r="G478" s="8" t="str">
        <f t="shared" si="10"/>
        <v xml:space="preserve"> 0</v>
      </c>
    </row>
    <row r="479" spans="6:7" x14ac:dyDescent="0.25">
      <c r="F479" s="20">
        <f t="shared" si="11"/>
        <v>0</v>
      </c>
      <c r="G479" s="8" t="str">
        <f t="shared" si="10"/>
        <v xml:space="preserve"> 0</v>
      </c>
    </row>
    <row r="480" spans="6:7" x14ac:dyDescent="0.25">
      <c r="F480" s="20">
        <f t="shared" si="11"/>
        <v>0</v>
      </c>
      <c r="G480" s="8" t="str">
        <f t="shared" si="10"/>
        <v xml:space="preserve"> 0</v>
      </c>
    </row>
    <row r="481" spans="6:7" x14ac:dyDescent="0.25">
      <c r="F481" s="20">
        <f t="shared" si="11"/>
        <v>0</v>
      </c>
      <c r="G481" s="8" t="str">
        <f t="shared" si="10"/>
        <v xml:space="preserve"> 0</v>
      </c>
    </row>
    <row r="482" spans="6:7" x14ac:dyDescent="0.25">
      <c r="F482" s="20">
        <f t="shared" si="11"/>
        <v>0</v>
      </c>
      <c r="G482" s="8" t="str">
        <f t="shared" si="10"/>
        <v xml:space="preserve"> 0</v>
      </c>
    </row>
    <row r="483" spans="6:7" x14ac:dyDescent="0.25">
      <c r="F483" s="20">
        <f t="shared" si="11"/>
        <v>0</v>
      </c>
      <c r="G483" s="8" t="str">
        <f t="shared" si="10"/>
        <v xml:space="preserve"> 0</v>
      </c>
    </row>
    <row r="484" spans="6:7" x14ac:dyDescent="0.25">
      <c r="F484" s="20">
        <f t="shared" si="11"/>
        <v>0</v>
      </c>
      <c r="G484" s="8" t="str">
        <f t="shared" si="10"/>
        <v xml:space="preserve"> 0</v>
      </c>
    </row>
    <row r="485" spans="6:7" x14ac:dyDescent="0.25">
      <c r="F485" s="20">
        <f t="shared" si="11"/>
        <v>0</v>
      </c>
      <c r="G485" s="8" t="str">
        <f t="shared" si="10"/>
        <v xml:space="preserve"> 0</v>
      </c>
    </row>
    <row r="486" spans="6:7" x14ac:dyDescent="0.25">
      <c r="F486" s="20">
        <f t="shared" si="11"/>
        <v>0</v>
      </c>
      <c r="G486" s="8" t="str">
        <f t="shared" si="10"/>
        <v xml:space="preserve"> 0</v>
      </c>
    </row>
    <row r="487" spans="6:7" x14ac:dyDescent="0.25">
      <c r="F487" s="20">
        <f t="shared" si="11"/>
        <v>0</v>
      </c>
      <c r="G487" s="8" t="str">
        <f t="shared" si="10"/>
        <v xml:space="preserve"> 0</v>
      </c>
    </row>
    <row r="488" spans="6:7" x14ac:dyDescent="0.25">
      <c r="F488" s="20">
        <f t="shared" si="11"/>
        <v>0</v>
      </c>
      <c r="G488" s="8" t="str">
        <f t="shared" si="10"/>
        <v xml:space="preserve"> 0</v>
      </c>
    </row>
    <row r="489" spans="6:7" x14ac:dyDescent="0.25">
      <c r="F489" s="20">
        <f t="shared" si="11"/>
        <v>0</v>
      </c>
      <c r="G489" s="8" t="str">
        <f t="shared" si="10"/>
        <v xml:space="preserve"> 0</v>
      </c>
    </row>
    <row r="490" spans="6:7" x14ac:dyDescent="0.25">
      <c r="F490" s="20">
        <f t="shared" si="11"/>
        <v>0</v>
      </c>
      <c r="G490" s="8" t="str">
        <f t="shared" si="10"/>
        <v xml:space="preserve"> 0</v>
      </c>
    </row>
    <row r="491" spans="6:7" x14ac:dyDescent="0.25">
      <c r="F491" s="20">
        <f t="shared" si="11"/>
        <v>0</v>
      </c>
      <c r="G491" s="8" t="str">
        <f t="shared" si="10"/>
        <v xml:space="preserve"> 0</v>
      </c>
    </row>
    <row r="492" spans="6:7" x14ac:dyDescent="0.25">
      <c r="F492" s="20">
        <f t="shared" si="11"/>
        <v>0</v>
      </c>
      <c r="G492" s="8" t="str">
        <f t="shared" si="10"/>
        <v xml:space="preserve"> 0</v>
      </c>
    </row>
    <row r="493" spans="6:7" x14ac:dyDescent="0.25">
      <c r="F493" s="20">
        <f t="shared" si="11"/>
        <v>0</v>
      </c>
      <c r="G493" s="8" t="str">
        <f t="shared" si="10"/>
        <v xml:space="preserve"> 0</v>
      </c>
    </row>
    <row r="494" spans="6:7" x14ac:dyDescent="0.25">
      <c r="F494" s="20">
        <f t="shared" si="11"/>
        <v>0</v>
      </c>
      <c r="G494" s="8" t="str">
        <f t="shared" si="10"/>
        <v xml:space="preserve"> 0</v>
      </c>
    </row>
    <row r="495" spans="6:7" x14ac:dyDescent="0.25">
      <c r="F495" s="20">
        <f t="shared" si="11"/>
        <v>0</v>
      </c>
      <c r="G495" s="8" t="str">
        <f t="shared" si="10"/>
        <v xml:space="preserve"> 0</v>
      </c>
    </row>
    <row r="496" spans="6:7" x14ac:dyDescent="0.25">
      <c r="F496" s="20">
        <f t="shared" si="11"/>
        <v>0</v>
      </c>
      <c r="G496" s="8" t="str">
        <f t="shared" si="10"/>
        <v xml:space="preserve"> 0</v>
      </c>
    </row>
    <row r="497" spans="6:7" x14ac:dyDescent="0.25">
      <c r="F497" s="20">
        <f t="shared" si="11"/>
        <v>0</v>
      </c>
      <c r="G497" s="8" t="str">
        <f t="shared" si="10"/>
        <v xml:space="preserve"> 0</v>
      </c>
    </row>
    <row r="498" spans="6:7" x14ac:dyDescent="0.25">
      <c r="F498" s="20">
        <f t="shared" si="11"/>
        <v>0</v>
      </c>
      <c r="G498" s="8" t="str">
        <f t="shared" si="10"/>
        <v xml:space="preserve"> 0</v>
      </c>
    </row>
    <row r="499" spans="6:7" x14ac:dyDescent="0.25">
      <c r="F499" s="20">
        <f t="shared" si="11"/>
        <v>0</v>
      </c>
      <c r="G499" s="8" t="str">
        <f t="shared" si="10"/>
        <v xml:space="preserve"> 0</v>
      </c>
    </row>
    <row r="500" spans="6:7" x14ac:dyDescent="0.25">
      <c r="F500" s="20">
        <f t="shared" si="11"/>
        <v>0</v>
      </c>
      <c r="G500" s="8" t="str">
        <f t="shared" si="10"/>
        <v xml:space="preserve"> 0</v>
      </c>
    </row>
    <row r="501" spans="6:7" x14ac:dyDescent="0.25">
      <c r="F501" s="20">
        <f t="shared" si="11"/>
        <v>0</v>
      </c>
      <c r="G501" s="8" t="str">
        <f t="shared" si="10"/>
        <v xml:space="preserve"> 0</v>
      </c>
    </row>
    <row r="502" spans="6:7" x14ac:dyDescent="0.25">
      <c r="F502" s="20">
        <f t="shared" si="11"/>
        <v>0</v>
      </c>
      <c r="G502" s="8" t="str">
        <f t="shared" si="10"/>
        <v xml:space="preserve"> 0</v>
      </c>
    </row>
    <row r="503" spans="6:7" x14ac:dyDescent="0.25">
      <c r="F503" s="20">
        <f t="shared" si="11"/>
        <v>0</v>
      </c>
      <c r="G503" s="8" t="str">
        <f t="shared" si="10"/>
        <v xml:space="preserve"> 0</v>
      </c>
    </row>
    <row r="504" spans="6:7" x14ac:dyDescent="0.25">
      <c r="F504" s="20">
        <f t="shared" si="11"/>
        <v>0</v>
      </c>
      <c r="G504" s="8" t="str">
        <f t="shared" si="10"/>
        <v xml:space="preserve"> 0</v>
      </c>
    </row>
    <row r="505" spans="6:7" x14ac:dyDescent="0.25">
      <c r="F505" s="20">
        <f t="shared" si="11"/>
        <v>0</v>
      </c>
      <c r="G505" s="8" t="str">
        <f t="shared" si="10"/>
        <v xml:space="preserve"> 0</v>
      </c>
    </row>
    <row r="506" spans="6:7" x14ac:dyDescent="0.25">
      <c r="F506" s="20">
        <f t="shared" si="11"/>
        <v>0</v>
      </c>
      <c r="G506" s="8" t="str">
        <f t="shared" si="10"/>
        <v xml:space="preserve"> 0</v>
      </c>
    </row>
    <row r="507" spans="6:7" x14ac:dyDescent="0.25">
      <c r="F507" s="20">
        <f t="shared" si="11"/>
        <v>0</v>
      </c>
      <c r="G507" s="8" t="str">
        <f t="shared" si="10"/>
        <v xml:space="preserve"> 0</v>
      </c>
    </row>
    <row r="508" spans="6:7" x14ac:dyDescent="0.25">
      <c r="F508" s="20">
        <f t="shared" si="11"/>
        <v>0</v>
      </c>
      <c r="G508" s="8" t="str">
        <f t="shared" si="10"/>
        <v xml:space="preserve"> 0</v>
      </c>
    </row>
    <row r="509" spans="6:7" x14ac:dyDescent="0.25">
      <c r="F509" s="20">
        <f t="shared" si="11"/>
        <v>0</v>
      </c>
      <c r="G509" s="8" t="str">
        <f t="shared" si="10"/>
        <v xml:space="preserve"> 0</v>
      </c>
    </row>
    <row r="510" spans="6:7" x14ac:dyDescent="0.25">
      <c r="F510" s="20">
        <f t="shared" si="11"/>
        <v>0</v>
      </c>
      <c r="G510" s="8" t="str">
        <f t="shared" si="10"/>
        <v xml:space="preserve"> 0</v>
      </c>
    </row>
    <row r="511" spans="6:7" x14ac:dyDescent="0.25">
      <c r="F511" s="20">
        <f t="shared" si="11"/>
        <v>0</v>
      </c>
      <c r="G511" s="8" t="str">
        <f t="shared" si="10"/>
        <v xml:space="preserve"> 0</v>
      </c>
    </row>
    <row r="512" spans="6:7" x14ac:dyDescent="0.25">
      <c r="F512" s="20">
        <f t="shared" si="11"/>
        <v>0</v>
      </c>
      <c r="G512" s="8" t="str">
        <f t="shared" si="10"/>
        <v xml:space="preserve"> 0</v>
      </c>
    </row>
    <row r="513" spans="6:7" x14ac:dyDescent="0.25">
      <c r="F513" s="20">
        <f t="shared" si="11"/>
        <v>0</v>
      </c>
      <c r="G513" s="8" t="str">
        <f t="shared" si="10"/>
        <v xml:space="preserve"> 0</v>
      </c>
    </row>
    <row r="514" spans="6:7" x14ac:dyDescent="0.25">
      <c r="F514" s="20">
        <f t="shared" si="11"/>
        <v>0</v>
      </c>
      <c r="G514" s="8" t="str">
        <f t="shared" si="10"/>
        <v xml:space="preserve"> 0</v>
      </c>
    </row>
    <row r="515" spans="6:7" x14ac:dyDescent="0.25">
      <c r="F515" s="20">
        <f t="shared" si="11"/>
        <v>0</v>
      </c>
      <c r="G515" s="8" t="str">
        <f t="shared" ref="G515:G543" si="12">E515&amp;" "&amp;F515</f>
        <v xml:space="preserve"> 0</v>
      </c>
    </row>
    <row r="516" spans="6:7" x14ac:dyDescent="0.25">
      <c r="F516" s="20">
        <f t="shared" si="11"/>
        <v>0</v>
      </c>
      <c r="G516" s="8" t="str">
        <f t="shared" si="12"/>
        <v xml:space="preserve"> 0</v>
      </c>
    </row>
    <row r="517" spans="6:7" x14ac:dyDescent="0.25">
      <c r="F517" s="20">
        <f t="shared" si="11"/>
        <v>0</v>
      </c>
      <c r="G517" s="8" t="str">
        <f t="shared" si="12"/>
        <v xml:space="preserve"> 0</v>
      </c>
    </row>
    <row r="518" spans="6:7" x14ac:dyDescent="0.25">
      <c r="F518" s="20">
        <f t="shared" si="11"/>
        <v>0</v>
      </c>
      <c r="G518" s="8" t="str">
        <f t="shared" si="12"/>
        <v xml:space="preserve"> 0</v>
      </c>
    </row>
    <row r="519" spans="6:7" x14ac:dyDescent="0.25">
      <c r="F519" s="20">
        <f t="shared" si="11"/>
        <v>0</v>
      </c>
      <c r="G519" s="8" t="str">
        <f t="shared" si="12"/>
        <v xml:space="preserve"> 0</v>
      </c>
    </row>
    <row r="520" spans="6:7" x14ac:dyDescent="0.25">
      <c r="F520" s="20">
        <f t="shared" si="11"/>
        <v>0</v>
      </c>
      <c r="G520" s="8" t="str">
        <f t="shared" si="12"/>
        <v xml:space="preserve"> 0</v>
      </c>
    </row>
    <row r="521" spans="6:7" x14ac:dyDescent="0.25">
      <c r="F521" s="20">
        <f t="shared" si="11"/>
        <v>0</v>
      </c>
      <c r="G521" s="8" t="str">
        <f t="shared" si="12"/>
        <v xml:space="preserve"> 0</v>
      </c>
    </row>
    <row r="522" spans="6:7" x14ac:dyDescent="0.25">
      <c r="F522" s="20">
        <f t="shared" si="11"/>
        <v>0</v>
      </c>
      <c r="G522" s="8" t="str">
        <f t="shared" si="12"/>
        <v xml:space="preserve"> 0</v>
      </c>
    </row>
    <row r="523" spans="6:7" x14ac:dyDescent="0.25">
      <c r="F523" s="20">
        <f t="shared" si="11"/>
        <v>0</v>
      </c>
      <c r="G523" s="8" t="str">
        <f t="shared" si="12"/>
        <v xml:space="preserve"> 0</v>
      </c>
    </row>
    <row r="524" spans="6:7" x14ac:dyDescent="0.25">
      <c r="F524" s="20">
        <f t="shared" si="11"/>
        <v>0</v>
      </c>
      <c r="G524" s="8" t="str">
        <f t="shared" si="12"/>
        <v xml:space="preserve"> 0</v>
      </c>
    </row>
    <row r="525" spans="6:7" x14ac:dyDescent="0.25">
      <c r="F525" s="20">
        <f t="shared" si="11"/>
        <v>0</v>
      </c>
      <c r="G525" s="8" t="str">
        <f t="shared" si="12"/>
        <v xml:space="preserve"> 0</v>
      </c>
    </row>
    <row r="526" spans="6:7" x14ac:dyDescent="0.25">
      <c r="F526" s="20">
        <f t="shared" si="11"/>
        <v>0</v>
      </c>
      <c r="G526" s="8" t="str">
        <f t="shared" si="12"/>
        <v xml:space="preserve"> 0</v>
      </c>
    </row>
    <row r="527" spans="6:7" x14ac:dyDescent="0.25">
      <c r="F527" s="20">
        <f t="shared" si="11"/>
        <v>0</v>
      </c>
      <c r="G527" s="8" t="str">
        <f t="shared" si="12"/>
        <v xml:space="preserve"> 0</v>
      </c>
    </row>
    <row r="528" spans="6:7" x14ac:dyDescent="0.25">
      <c r="F528" s="20">
        <f t="shared" si="11"/>
        <v>0</v>
      </c>
      <c r="G528" s="8" t="str">
        <f t="shared" si="12"/>
        <v xml:space="preserve"> 0</v>
      </c>
    </row>
    <row r="529" spans="6:7" x14ac:dyDescent="0.25">
      <c r="F529" s="20">
        <f t="shared" si="11"/>
        <v>0</v>
      </c>
      <c r="G529" s="8" t="str">
        <f t="shared" si="12"/>
        <v xml:space="preserve"> 0</v>
      </c>
    </row>
    <row r="530" spans="6:7" x14ac:dyDescent="0.25">
      <c r="F530" s="20">
        <f t="shared" si="11"/>
        <v>0</v>
      </c>
      <c r="G530" s="8" t="str">
        <f t="shared" si="12"/>
        <v xml:space="preserve"> 0</v>
      </c>
    </row>
    <row r="531" spans="6:7" x14ac:dyDescent="0.25">
      <c r="F531" s="20">
        <f t="shared" si="11"/>
        <v>0</v>
      </c>
      <c r="G531" s="8" t="str">
        <f t="shared" si="12"/>
        <v xml:space="preserve"> 0</v>
      </c>
    </row>
    <row r="532" spans="6:7" x14ac:dyDescent="0.25">
      <c r="F532" s="20">
        <f t="shared" si="11"/>
        <v>0</v>
      </c>
      <c r="G532" s="8" t="str">
        <f t="shared" si="12"/>
        <v xml:space="preserve"> 0</v>
      </c>
    </row>
    <row r="533" spans="6:7" x14ac:dyDescent="0.25">
      <c r="F533" s="20">
        <f t="shared" si="11"/>
        <v>0</v>
      </c>
      <c r="G533" s="8" t="str">
        <f t="shared" si="12"/>
        <v xml:space="preserve"> 0</v>
      </c>
    </row>
    <row r="534" spans="6:7" x14ac:dyDescent="0.25">
      <c r="F534" s="20">
        <f t="shared" si="11"/>
        <v>0</v>
      </c>
      <c r="G534" s="8" t="str">
        <f t="shared" si="12"/>
        <v xml:space="preserve"> 0</v>
      </c>
    </row>
    <row r="535" spans="6:7" x14ac:dyDescent="0.25">
      <c r="F535" s="20">
        <f t="shared" si="11"/>
        <v>0</v>
      </c>
      <c r="G535" s="8" t="str">
        <f t="shared" si="12"/>
        <v xml:space="preserve"> 0</v>
      </c>
    </row>
    <row r="536" spans="6:7" x14ac:dyDescent="0.25">
      <c r="F536" s="20">
        <f t="shared" si="11"/>
        <v>0</v>
      </c>
      <c r="G536" s="8" t="str">
        <f t="shared" si="12"/>
        <v xml:space="preserve"> 0</v>
      </c>
    </row>
    <row r="537" spans="6:7" x14ac:dyDescent="0.25">
      <c r="F537" s="20">
        <f t="shared" si="11"/>
        <v>0</v>
      </c>
      <c r="G537" s="8" t="str">
        <f t="shared" si="12"/>
        <v xml:space="preserve"> 0</v>
      </c>
    </row>
    <row r="538" spans="6:7" x14ac:dyDescent="0.25">
      <c r="F538" s="20">
        <f t="shared" ref="F538:F543" si="13">B538</f>
        <v>0</v>
      </c>
      <c r="G538" s="8" t="str">
        <f t="shared" si="12"/>
        <v xml:space="preserve"> 0</v>
      </c>
    </row>
    <row r="539" spans="6:7" x14ac:dyDescent="0.25">
      <c r="F539" s="20">
        <f t="shared" si="13"/>
        <v>0</v>
      </c>
      <c r="G539" s="8" t="str">
        <f t="shared" si="12"/>
        <v xml:space="preserve"> 0</v>
      </c>
    </row>
    <row r="540" spans="6:7" x14ac:dyDescent="0.25">
      <c r="F540" s="20">
        <f t="shared" si="13"/>
        <v>0</v>
      </c>
      <c r="G540" s="8" t="str">
        <f t="shared" si="12"/>
        <v xml:space="preserve"> 0</v>
      </c>
    </row>
    <row r="541" spans="6:7" x14ac:dyDescent="0.25">
      <c r="F541" s="20">
        <f t="shared" si="13"/>
        <v>0</v>
      </c>
      <c r="G541" s="8" t="str">
        <f t="shared" si="12"/>
        <v xml:space="preserve"> 0</v>
      </c>
    </row>
    <row r="542" spans="6:7" x14ac:dyDescent="0.25">
      <c r="F542" s="20">
        <f t="shared" si="13"/>
        <v>0</v>
      </c>
      <c r="G542" s="8" t="str">
        <f t="shared" si="12"/>
        <v xml:space="preserve"> 0</v>
      </c>
    </row>
    <row r="543" spans="6:7" x14ac:dyDescent="0.25">
      <c r="F543" s="20">
        <f t="shared" si="13"/>
        <v>0</v>
      </c>
      <c r="G543" s="8" t="str">
        <f t="shared" si="12"/>
        <v xml:space="preserve"> 0</v>
      </c>
    </row>
  </sheetData>
  <sortState ref="A1:E291">
    <sortCondition ref="C1:C291"/>
  </sortState>
  <pageMargins left="0.7" right="0.7" top="0.75" bottom="0.75" header="0.3" footer="0.3"/>
  <pageSetup orientation="portrait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theme="0"/>
  </sheetPr>
  <dimension ref="A1:S33"/>
  <sheetViews>
    <sheetView workbookViewId="0">
      <selection sqref="A1:R29"/>
    </sheetView>
  </sheetViews>
  <sheetFormatPr defaultRowHeight="15" x14ac:dyDescent="0.25"/>
  <cols>
    <col min="1" max="1" width="22.5703125" style="141" customWidth="1"/>
    <col min="2" max="2" width="8.42578125" style="141" bestFit="1" customWidth="1"/>
    <col min="3" max="3" width="12.5703125" style="141" bestFit="1" customWidth="1"/>
    <col min="4" max="4" width="18.5703125" style="130" bestFit="1" customWidth="1"/>
    <col min="5" max="5" width="9.85546875" style="141" bestFit="1" customWidth="1"/>
    <col min="6" max="6" width="9" style="141" bestFit="1" customWidth="1"/>
    <col min="7" max="7" width="8.85546875" style="141" bestFit="1" customWidth="1"/>
    <col min="8" max="8" width="14" style="141" bestFit="1" customWidth="1"/>
    <col min="9" max="9" width="21.140625" style="141" bestFit="1" customWidth="1"/>
    <col min="10" max="10" width="8.7109375" style="141" bestFit="1" customWidth="1"/>
    <col min="11" max="11" width="11.28515625" style="141" bestFit="1" customWidth="1"/>
    <col min="12" max="12" width="11" style="141" bestFit="1" customWidth="1"/>
    <col min="13" max="13" width="11.28515625" style="141" bestFit="1" customWidth="1"/>
    <col min="14" max="14" width="13.7109375" style="141" bestFit="1" customWidth="1"/>
    <col min="15" max="15" width="14.85546875" style="141" bestFit="1" customWidth="1"/>
    <col min="16" max="16" width="16.7109375" style="141" bestFit="1" customWidth="1"/>
    <col min="17" max="17" width="9.42578125" style="110" bestFit="1" customWidth="1"/>
    <col min="18" max="16384" width="9.140625" style="110"/>
  </cols>
  <sheetData>
    <row r="1" spans="1:19" s="111" customFormat="1" x14ac:dyDescent="0.25">
      <c r="A1" s="171" t="s">
        <v>158</v>
      </c>
      <c r="B1" s="171" t="s">
        <v>161</v>
      </c>
      <c r="C1" s="171" t="s">
        <v>154</v>
      </c>
      <c r="D1" s="136" t="s">
        <v>166</v>
      </c>
      <c r="E1" s="171" t="s">
        <v>155</v>
      </c>
      <c r="F1" s="171" t="s">
        <v>153</v>
      </c>
      <c r="G1" s="171" t="s">
        <v>151</v>
      </c>
      <c r="H1" s="171" t="s">
        <v>164</v>
      </c>
      <c r="I1" s="171" t="s">
        <v>165</v>
      </c>
      <c r="J1" s="171" t="s">
        <v>159</v>
      </c>
      <c r="K1" s="171" t="s">
        <v>157</v>
      </c>
      <c r="L1" s="171" t="s">
        <v>152</v>
      </c>
      <c r="M1" s="171" t="s">
        <v>162</v>
      </c>
      <c r="N1" s="171" t="s">
        <v>452</v>
      </c>
      <c r="O1" s="171" t="s">
        <v>156</v>
      </c>
      <c r="P1" s="171" t="s">
        <v>163</v>
      </c>
      <c r="Q1" s="171" t="s">
        <v>453</v>
      </c>
      <c r="R1" s="171" t="s">
        <v>160</v>
      </c>
      <c r="S1"/>
    </row>
    <row r="2" spans="1:19" x14ac:dyDescent="0.25">
      <c r="A2" s="172">
        <v>63.26</v>
      </c>
      <c r="B2" s="172">
        <v>0</v>
      </c>
      <c r="C2" s="172">
        <v>45.89</v>
      </c>
      <c r="D2" s="8">
        <v>42917</v>
      </c>
      <c r="E2" s="172">
        <v>0.53</v>
      </c>
      <c r="F2" s="172" t="s">
        <v>444</v>
      </c>
      <c r="G2" s="172">
        <v>326.25</v>
      </c>
      <c r="H2" s="172">
        <v>0</v>
      </c>
      <c r="I2" s="172">
        <v>0</v>
      </c>
      <c r="J2" s="172">
        <v>1016.06</v>
      </c>
      <c r="K2" s="172" t="s">
        <v>445</v>
      </c>
      <c r="L2" s="172">
        <v>63.26</v>
      </c>
      <c r="M2" s="172">
        <v>1498888800</v>
      </c>
      <c r="N2" s="172">
        <v>0</v>
      </c>
      <c r="O2" s="172">
        <v>10</v>
      </c>
      <c r="P2" s="172">
        <v>222</v>
      </c>
      <c r="Q2" s="172">
        <v>3.25</v>
      </c>
      <c r="R2" s="172">
        <v>2.15</v>
      </c>
      <c r="S2"/>
    </row>
    <row r="3" spans="1:19" x14ac:dyDescent="0.25">
      <c r="A3" s="172">
        <v>62.11</v>
      </c>
      <c r="B3" s="172">
        <v>0.01</v>
      </c>
      <c r="C3" s="172">
        <v>45.94</v>
      </c>
      <c r="D3" s="8">
        <v>42917.041666666664</v>
      </c>
      <c r="E3" s="172">
        <v>0.55000000000000004</v>
      </c>
      <c r="F3" s="172" t="s">
        <v>444</v>
      </c>
      <c r="G3" s="172">
        <v>322.89</v>
      </c>
      <c r="H3" s="172">
        <v>0</v>
      </c>
      <c r="I3" s="172">
        <v>0</v>
      </c>
      <c r="J3" s="172">
        <v>1015.99</v>
      </c>
      <c r="K3" s="172" t="s">
        <v>445</v>
      </c>
      <c r="L3" s="172">
        <v>62.11</v>
      </c>
      <c r="M3" s="172">
        <v>1498892400</v>
      </c>
      <c r="N3" s="172">
        <v>0</v>
      </c>
      <c r="O3" s="172">
        <v>10</v>
      </c>
      <c r="P3" s="172">
        <v>225</v>
      </c>
      <c r="Q3" s="172">
        <v>3.6</v>
      </c>
      <c r="R3" s="172">
        <v>2.72</v>
      </c>
      <c r="S3"/>
    </row>
    <row r="4" spans="1:19" x14ac:dyDescent="0.25">
      <c r="A4" s="172">
        <v>61.35</v>
      </c>
      <c r="B4" s="172">
        <v>0.02</v>
      </c>
      <c r="C4" s="172">
        <v>45.88</v>
      </c>
      <c r="D4" s="8">
        <v>42917.083333333336</v>
      </c>
      <c r="E4" s="172">
        <v>0.56999999999999995</v>
      </c>
      <c r="F4" s="172" t="s">
        <v>444</v>
      </c>
      <c r="G4" s="172">
        <v>319.39999999999998</v>
      </c>
      <c r="H4" s="172">
        <v>0</v>
      </c>
      <c r="I4" s="172">
        <v>0</v>
      </c>
      <c r="J4" s="172">
        <v>1016.03</v>
      </c>
      <c r="K4" s="172" t="s">
        <v>445</v>
      </c>
      <c r="L4" s="172">
        <v>61.35</v>
      </c>
      <c r="M4" s="172">
        <v>1498896000</v>
      </c>
      <c r="N4" s="172">
        <v>0</v>
      </c>
      <c r="O4" s="172">
        <v>10</v>
      </c>
      <c r="P4" s="172">
        <v>201</v>
      </c>
      <c r="Q4" s="172">
        <v>4.75</v>
      </c>
      <c r="R4" s="172">
        <v>3.49</v>
      </c>
      <c r="S4"/>
    </row>
    <row r="5" spans="1:19" x14ac:dyDescent="0.25">
      <c r="A5" s="172">
        <v>60.9</v>
      </c>
      <c r="B5" s="172">
        <v>0.02</v>
      </c>
      <c r="C5" s="172">
        <v>45.67</v>
      </c>
      <c r="D5" s="8">
        <v>42917.125</v>
      </c>
      <c r="E5" s="172">
        <v>0.56999999999999995</v>
      </c>
      <c r="F5" s="172" t="s">
        <v>444</v>
      </c>
      <c r="G5" s="172">
        <v>316.5</v>
      </c>
      <c r="H5" s="172">
        <v>0</v>
      </c>
      <c r="I5" s="172">
        <v>0</v>
      </c>
      <c r="J5" s="172">
        <v>1016.13</v>
      </c>
      <c r="K5" s="172" t="s">
        <v>445</v>
      </c>
      <c r="L5" s="172">
        <v>60.9</v>
      </c>
      <c r="M5" s="172">
        <v>1498899600</v>
      </c>
      <c r="N5" s="172">
        <v>0</v>
      </c>
      <c r="O5" s="172">
        <v>10</v>
      </c>
      <c r="P5" s="172">
        <v>218</v>
      </c>
      <c r="Q5" s="172">
        <v>4.4000000000000004</v>
      </c>
      <c r="R5" s="172">
        <v>3.03</v>
      </c>
      <c r="S5"/>
    </row>
    <row r="6" spans="1:19" x14ac:dyDescent="0.25">
      <c r="A6" s="172">
        <v>60.09</v>
      </c>
      <c r="B6" s="172">
        <v>0.01</v>
      </c>
      <c r="C6" s="172">
        <v>45.13</v>
      </c>
      <c r="D6" s="8">
        <v>42917.166666666664</v>
      </c>
      <c r="E6" s="172">
        <v>0.57999999999999996</v>
      </c>
      <c r="F6" s="172" t="s">
        <v>444</v>
      </c>
      <c r="G6" s="172">
        <v>314.08</v>
      </c>
      <c r="H6" s="172">
        <v>0</v>
      </c>
      <c r="I6" s="172">
        <v>0</v>
      </c>
      <c r="J6" s="172">
        <v>1016.26</v>
      </c>
      <c r="K6" s="172" t="s">
        <v>445</v>
      </c>
      <c r="L6" s="172">
        <v>60.09</v>
      </c>
      <c r="M6" s="172">
        <v>1498903200</v>
      </c>
      <c r="N6" s="172">
        <v>0</v>
      </c>
      <c r="O6" s="172">
        <v>10</v>
      </c>
      <c r="P6" s="172">
        <v>220</v>
      </c>
      <c r="Q6" s="172">
        <v>4.3499999999999996</v>
      </c>
      <c r="R6" s="172">
        <v>3.16</v>
      </c>
      <c r="S6"/>
    </row>
    <row r="7" spans="1:19" x14ac:dyDescent="0.25">
      <c r="A7" s="172">
        <v>59.03</v>
      </c>
      <c r="B7" s="172">
        <v>0.01</v>
      </c>
      <c r="C7" s="172">
        <v>44</v>
      </c>
      <c r="D7" s="8">
        <v>42917.208333333336</v>
      </c>
      <c r="E7" s="172">
        <v>0.56999999999999995</v>
      </c>
      <c r="F7" s="172" t="s">
        <v>444</v>
      </c>
      <c r="G7" s="172">
        <v>312.17</v>
      </c>
      <c r="H7" s="172">
        <v>0</v>
      </c>
      <c r="I7" s="172">
        <v>0</v>
      </c>
      <c r="J7" s="172">
        <v>1016.43</v>
      </c>
      <c r="K7" s="172" t="s">
        <v>445</v>
      </c>
      <c r="L7" s="172">
        <v>59.03</v>
      </c>
      <c r="M7" s="172">
        <v>1498906800</v>
      </c>
      <c r="N7" s="172">
        <v>0</v>
      </c>
      <c r="O7" s="172">
        <v>10</v>
      </c>
      <c r="P7" s="172">
        <v>258</v>
      </c>
      <c r="Q7" s="172">
        <v>4.47</v>
      </c>
      <c r="R7" s="172">
        <v>3.37</v>
      </c>
      <c r="S7"/>
    </row>
    <row r="8" spans="1:19" x14ac:dyDescent="0.25">
      <c r="A8" s="172">
        <v>58.82</v>
      </c>
      <c r="B8" s="172">
        <v>0</v>
      </c>
      <c r="C8" s="172">
        <v>42.42</v>
      </c>
      <c r="D8" s="8">
        <v>42917.25</v>
      </c>
      <c r="E8" s="172">
        <v>0.54</v>
      </c>
      <c r="F8" s="172" t="s">
        <v>446</v>
      </c>
      <c r="G8" s="172">
        <v>306.83999999999997</v>
      </c>
      <c r="H8" s="172">
        <v>0</v>
      </c>
      <c r="I8" s="172">
        <v>0</v>
      </c>
      <c r="J8" s="172">
        <v>1016.4</v>
      </c>
      <c r="K8" s="172" t="s">
        <v>445</v>
      </c>
      <c r="L8" s="172">
        <v>58.82</v>
      </c>
      <c r="M8" s="172">
        <v>1498910400</v>
      </c>
      <c r="N8" s="172">
        <v>0</v>
      </c>
      <c r="O8" s="172">
        <v>10</v>
      </c>
      <c r="P8" s="172">
        <v>215</v>
      </c>
      <c r="Q8" s="172">
        <v>3.35</v>
      </c>
      <c r="R8" s="172">
        <v>3.13</v>
      </c>
      <c r="S8"/>
    </row>
    <row r="9" spans="1:19" x14ac:dyDescent="0.25">
      <c r="A9" s="172">
        <v>61.61</v>
      </c>
      <c r="B9" s="172">
        <v>0</v>
      </c>
      <c r="C9" s="172">
        <v>42.64</v>
      </c>
      <c r="D9" s="8">
        <v>42917.291666666664</v>
      </c>
      <c r="E9" s="172">
        <v>0.5</v>
      </c>
      <c r="F9" s="172" t="s">
        <v>446</v>
      </c>
      <c r="G9" s="172">
        <v>306.29000000000002</v>
      </c>
      <c r="H9" s="172">
        <v>0</v>
      </c>
      <c r="I9" s="172">
        <v>0</v>
      </c>
      <c r="J9" s="172">
        <v>1016.16</v>
      </c>
      <c r="K9" s="172" t="s">
        <v>445</v>
      </c>
      <c r="L9" s="172">
        <v>61.61</v>
      </c>
      <c r="M9" s="172">
        <v>1498914000</v>
      </c>
      <c r="N9" s="172">
        <v>1</v>
      </c>
      <c r="O9" s="172">
        <v>10</v>
      </c>
      <c r="P9" s="172">
        <v>210</v>
      </c>
      <c r="Q9" s="172">
        <v>4.41</v>
      </c>
      <c r="R9" s="172">
        <v>2.82</v>
      </c>
      <c r="S9"/>
    </row>
    <row r="10" spans="1:19" x14ac:dyDescent="0.25">
      <c r="A10" s="172">
        <v>66.790000000000006</v>
      </c>
      <c r="B10" s="172">
        <v>0</v>
      </c>
      <c r="C10" s="172">
        <v>42.47</v>
      </c>
      <c r="D10" s="8">
        <v>42917.333333333336</v>
      </c>
      <c r="E10" s="172">
        <v>0.41</v>
      </c>
      <c r="F10" s="172" t="s">
        <v>446</v>
      </c>
      <c r="G10" s="172">
        <v>307.02</v>
      </c>
      <c r="H10" s="172">
        <v>0</v>
      </c>
      <c r="I10" s="172">
        <v>0</v>
      </c>
      <c r="J10" s="172">
        <v>1015.65</v>
      </c>
      <c r="K10" s="172" t="s">
        <v>445</v>
      </c>
      <c r="L10" s="172">
        <v>66.790000000000006</v>
      </c>
      <c r="M10" s="172">
        <v>1498917600</v>
      </c>
      <c r="N10" s="172">
        <v>1</v>
      </c>
      <c r="O10" s="172">
        <v>10</v>
      </c>
      <c r="P10" s="172">
        <v>272</v>
      </c>
      <c r="Q10" s="172">
        <v>4.0199999999999996</v>
      </c>
      <c r="R10" s="172">
        <v>2.27</v>
      </c>
      <c r="S10"/>
    </row>
    <row r="11" spans="1:19" x14ac:dyDescent="0.25">
      <c r="A11" s="172">
        <v>71.069999999999993</v>
      </c>
      <c r="B11" s="172">
        <v>0</v>
      </c>
      <c r="C11" s="172">
        <v>42.52</v>
      </c>
      <c r="D11" s="8">
        <v>42917.375</v>
      </c>
      <c r="E11" s="172">
        <v>0.36</v>
      </c>
      <c r="F11" s="172" t="s">
        <v>446</v>
      </c>
      <c r="G11" s="172">
        <v>308.18</v>
      </c>
      <c r="H11" s="172">
        <v>0</v>
      </c>
      <c r="I11" s="172">
        <v>0</v>
      </c>
      <c r="J11" s="172">
        <v>1015.06</v>
      </c>
      <c r="K11" s="172" t="s">
        <v>445</v>
      </c>
      <c r="L11" s="172">
        <v>71.069999999999993</v>
      </c>
      <c r="M11" s="172">
        <v>1498921200</v>
      </c>
      <c r="N11" s="172">
        <v>3</v>
      </c>
      <c r="O11" s="172">
        <v>10</v>
      </c>
      <c r="P11" s="172">
        <v>86</v>
      </c>
      <c r="Q11" s="172">
        <v>3.03</v>
      </c>
      <c r="R11" s="172">
        <v>1.84</v>
      </c>
      <c r="S11"/>
    </row>
    <row r="12" spans="1:19" x14ac:dyDescent="0.25">
      <c r="A12" s="172">
        <v>74.62</v>
      </c>
      <c r="B12" s="172">
        <v>0</v>
      </c>
      <c r="C12" s="172">
        <v>41.63</v>
      </c>
      <c r="D12" s="8">
        <v>42917.416666666664</v>
      </c>
      <c r="E12" s="172">
        <v>0.31</v>
      </c>
      <c r="F12" s="172" t="s">
        <v>446</v>
      </c>
      <c r="G12" s="172">
        <v>309.86</v>
      </c>
      <c r="H12" s="172">
        <v>0</v>
      </c>
      <c r="I12" s="172">
        <v>0</v>
      </c>
      <c r="J12" s="172">
        <v>1014.23</v>
      </c>
      <c r="K12" s="172" t="s">
        <v>445</v>
      </c>
      <c r="L12" s="172">
        <v>74.62</v>
      </c>
      <c r="M12" s="172">
        <v>1498924800</v>
      </c>
      <c r="N12" s="172">
        <v>5</v>
      </c>
      <c r="O12" s="172">
        <v>10</v>
      </c>
      <c r="P12" s="172">
        <v>77</v>
      </c>
      <c r="Q12" s="172">
        <v>2.79</v>
      </c>
      <c r="R12" s="172">
        <v>2.37</v>
      </c>
      <c r="S12"/>
    </row>
    <row r="13" spans="1:19" x14ac:dyDescent="0.25">
      <c r="A13" s="172">
        <v>78.17</v>
      </c>
      <c r="B13" s="172">
        <v>0</v>
      </c>
      <c r="C13" s="172">
        <v>40.590000000000003</v>
      </c>
      <c r="D13" s="8">
        <v>42917.458333333336</v>
      </c>
      <c r="E13" s="172">
        <v>0.26</v>
      </c>
      <c r="F13" s="172" t="s">
        <v>446</v>
      </c>
      <c r="G13" s="172">
        <v>311.86</v>
      </c>
      <c r="H13" s="172">
        <v>0</v>
      </c>
      <c r="I13" s="172">
        <v>0</v>
      </c>
      <c r="J13" s="172">
        <v>1013.18</v>
      </c>
      <c r="K13" s="172" t="s">
        <v>445</v>
      </c>
      <c r="L13" s="172">
        <v>78.17</v>
      </c>
      <c r="M13" s="172">
        <v>1498928400</v>
      </c>
      <c r="N13" s="172">
        <v>8</v>
      </c>
      <c r="O13" s="172">
        <v>10</v>
      </c>
      <c r="P13" s="172">
        <v>64</v>
      </c>
      <c r="Q13" s="172">
        <v>3.21</v>
      </c>
      <c r="R13" s="172">
        <v>3.19</v>
      </c>
      <c r="S13"/>
    </row>
    <row r="14" spans="1:19" x14ac:dyDescent="0.25">
      <c r="A14" s="172">
        <v>81.17</v>
      </c>
      <c r="B14" s="172">
        <v>0</v>
      </c>
      <c r="C14" s="172">
        <v>38.299999999999997</v>
      </c>
      <c r="D14" s="8">
        <v>42917.5</v>
      </c>
      <c r="E14" s="172">
        <v>0.22</v>
      </c>
      <c r="F14" s="172" t="s">
        <v>446</v>
      </c>
      <c r="G14" s="172">
        <v>310.55</v>
      </c>
      <c r="H14" s="172">
        <v>0</v>
      </c>
      <c r="I14" s="172">
        <v>0</v>
      </c>
      <c r="J14" s="172">
        <v>1012.18</v>
      </c>
      <c r="K14" s="172" t="s">
        <v>445</v>
      </c>
      <c r="L14" s="172">
        <v>81.17</v>
      </c>
      <c r="M14" s="172">
        <v>1498932000</v>
      </c>
      <c r="N14" s="172">
        <v>11</v>
      </c>
      <c r="O14" s="172">
        <v>10</v>
      </c>
      <c r="P14" s="172">
        <v>54</v>
      </c>
      <c r="Q14" s="172">
        <v>5.52</v>
      </c>
      <c r="R14" s="172">
        <v>4.25</v>
      </c>
      <c r="S14"/>
    </row>
    <row r="15" spans="1:19" x14ac:dyDescent="0.25">
      <c r="A15" s="172">
        <v>83.99</v>
      </c>
      <c r="B15" s="172">
        <v>0</v>
      </c>
      <c r="C15" s="172">
        <v>35.479999999999997</v>
      </c>
      <c r="D15" s="8">
        <v>42917.541666666664</v>
      </c>
      <c r="E15" s="172">
        <v>0.18</v>
      </c>
      <c r="F15" s="172" t="s">
        <v>446</v>
      </c>
      <c r="G15" s="172">
        <v>313.61</v>
      </c>
      <c r="H15" s="172">
        <v>0</v>
      </c>
      <c r="I15" s="172">
        <v>0</v>
      </c>
      <c r="J15" s="172">
        <v>1011.21</v>
      </c>
      <c r="K15" s="172" t="s">
        <v>445</v>
      </c>
      <c r="L15" s="172">
        <v>83.99</v>
      </c>
      <c r="M15" s="172">
        <v>1498935600</v>
      </c>
      <c r="N15" s="172">
        <v>13</v>
      </c>
      <c r="O15" s="172">
        <v>10</v>
      </c>
      <c r="P15" s="172">
        <v>59</v>
      </c>
      <c r="Q15" s="172">
        <v>7.41</v>
      </c>
      <c r="R15" s="172">
        <v>4.9800000000000004</v>
      </c>
      <c r="S15"/>
    </row>
    <row r="16" spans="1:19" x14ac:dyDescent="0.25">
      <c r="A16" s="172">
        <v>86.64</v>
      </c>
      <c r="B16" s="172">
        <v>0</v>
      </c>
      <c r="C16" s="172">
        <v>33.39</v>
      </c>
      <c r="D16" s="8">
        <v>42917.583333333336</v>
      </c>
      <c r="E16" s="172">
        <v>0.15</v>
      </c>
      <c r="F16" s="172" t="s">
        <v>446</v>
      </c>
      <c r="G16" s="172">
        <v>317.29000000000002</v>
      </c>
      <c r="H16" s="172">
        <v>0</v>
      </c>
      <c r="I16" s="172">
        <v>0</v>
      </c>
      <c r="J16" s="172">
        <v>1010.26</v>
      </c>
      <c r="K16" s="172" t="s">
        <v>445</v>
      </c>
      <c r="L16" s="172">
        <v>86.64</v>
      </c>
      <c r="M16" s="172">
        <v>1498939200</v>
      </c>
      <c r="N16" s="172">
        <v>11</v>
      </c>
      <c r="O16" s="172">
        <v>10</v>
      </c>
      <c r="P16" s="172">
        <v>56</v>
      </c>
      <c r="Q16" s="172">
        <v>9.27</v>
      </c>
      <c r="R16" s="172">
        <v>5.62</v>
      </c>
      <c r="S16"/>
    </row>
    <row r="17" spans="1:19" x14ac:dyDescent="0.25">
      <c r="A17" s="172">
        <v>89.78</v>
      </c>
      <c r="B17" s="172">
        <v>0</v>
      </c>
      <c r="C17" s="172">
        <v>31.45</v>
      </c>
      <c r="D17" s="8">
        <v>42917.625</v>
      </c>
      <c r="E17" s="172">
        <v>0.13</v>
      </c>
      <c r="F17" s="172" t="s">
        <v>446</v>
      </c>
      <c r="G17" s="172">
        <v>320.22000000000003</v>
      </c>
      <c r="H17" s="172">
        <v>0</v>
      </c>
      <c r="I17" s="172">
        <v>0</v>
      </c>
      <c r="J17" s="172">
        <v>1009.38</v>
      </c>
      <c r="K17" s="172" t="s">
        <v>445</v>
      </c>
      <c r="L17" s="172">
        <v>89.78</v>
      </c>
      <c r="M17" s="172">
        <v>1498942800</v>
      </c>
      <c r="N17" s="172">
        <v>8</v>
      </c>
      <c r="O17" s="172">
        <v>10</v>
      </c>
      <c r="P17" s="172">
        <v>57</v>
      </c>
      <c r="Q17" s="172">
        <v>11.13</v>
      </c>
      <c r="R17" s="172">
        <v>6.3</v>
      </c>
      <c r="S17"/>
    </row>
    <row r="18" spans="1:19" x14ac:dyDescent="0.25">
      <c r="A18" s="172">
        <v>92.05</v>
      </c>
      <c r="B18" s="172">
        <v>0</v>
      </c>
      <c r="C18" s="172">
        <v>29.93</v>
      </c>
      <c r="D18" s="8">
        <v>42917.666666666664</v>
      </c>
      <c r="E18" s="172">
        <v>0.11</v>
      </c>
      <c r="F18" s="172" t="s">
        <v>446</v>
      </c>
      <c r="G18" s="172">
        <v>321.69</v>
      </c>
      <c r="H18" s="172">
        <v>0</v>
      </c>
      <c r="I18" s="172">
        <v>0</v>
      </c>
      <c r="J18" s="172">
        <v>1008.58</v>
      </c>
      <c r="K18" s="172" t="s">
        <v>445</v>
      </c>
      <c r="L18" s="172">
        <v>92.05</v>
      </c>
      <c r="M18" s="172">
        <v>1498946400</v>
      </c>
      <c r="N18" s="172">
        <v>5</v>
      </c>
      <c r="O18" s="172">
        <v>10</v>
      </c>
      <c r="P18" s="172">
        <v>57</v>
      </c>
      <c r="Q18" s="172">
        <v>9.3000000000000007</v>
      </c>
      <c r="R18" s="172">
        <v>6.47</v>
      </c>
      <c r="S18"/>
    </row>
    <row r="19" spans="1:19" x14ac:dyDescent="0.25">
      <c r="A19" s="172">
        <v>92.8</v>
      </c>
      <c r="B19" s="172">
        <v>0.04</v>
      </c>
      <c r="C19" s="172">
        <v>31.07</v>
      </c>
      <c r="D19" s="8">
        <v>42917.708333333336</v>
      </c>
      <c r="E19" s="172">
        <v>0.11</v>
      </c>
      <c r="F19" s="172" t="s">
        <v>446</v>
      </c>
      <c r="G19" s="172">
        <v>322.33999999999997</v>
      </c>
      <c r="H19" s="172">
        <v>0</v>
      </c>
      <c r="I19" s="172">
        <v>0</v>
      </c>
      <c r="J19" s="172">
        <v>1008.11</v>
      </c>
      <c r="K19" s="172" t="s">
        <v>445</v>
      </c>
      <c r="L19" s="172">
        <v>92.8</v>
      </c>
      <c r="M19" s="172">
        <v>1498950000</v>
      </c>
      <c r="N19" s="172">
        <v>3</v>
      </c>
      <c r="O19" s="172">
        <v>10</v>
      </c>
      <c r="P19" s="172">
        <v>58</v>
      </c>
      <c r="Q19" s="172">
        <v>10.16</v>
      </c>
      <c r="R19" s="172">
        <v>6.69</v>
      </c>
      <c r="S19"/>
    </row>
    <row r="20" spans="1:19" x14ac:dyDescent="0.25">
      <c r="A20" s="172">
        <v>89.93</v>
      </c>
      <c r="B20" s="172">
        <v>7.0000000000000007E-2</v>
      </c>
      <c r="C20" s="172">
        <v>32.81</v>
      </c>
      <c r="D20" s="8">
        <v>42917.75</v>
      </c>
      <c r="E20" s="172">
        <v>0.13</v>
      </c>
      <c r="F20" s="172" t="s">
        <v>446</v>
      </c>
      <c r="G20" s="172">
        <v>320.42</v>
      </c>
      <c r="H20" s="172">
        <v>0</v>
      </c>
      <c r="I20" s="172">
        <v>0</v>
      </c>
      <c r="J20" s="172">
        <v>1008.07</v>
      </c>
      <c r="K20" s="172" t="s">
        <v>445</v>
      </c>
      <c r="L20" s="172">
        <v>89.93</v>
      </c>
      <c r="M20" s="172">
        <v>1498953600</v>
      </c>
      <c r="N20" s="172">
        <v>1</v>
      </c>
      <c r="O20" s="172">
        <v>10</v>
      </c>
      <c r="P20" s="172">
        <v>63</v>
      </c>
      <c r="Q20" s="172">
        <v>10.14</v>
      </c>
      <c r="R20" s="172">
        <v>6.38</v>
      </c>
      <c r="S20"/>
    </row>
    <row r="21" spans="1:19" x14ac:dyDescent="0.25">
      <c r="A21" s="172">
        <v>87.95</v>
      </c>
      <c r="B21" s="172">
        <v>0.03</v>
      </c>
      <c r="C21" s="172">
        <v>32.840000000000003</v>
      </c>
      <c r="D21" s="8">
        <v>42917.791666666664</v>
      </c>
      <c r="E21" s="172">
        <v>0.14000000000000001</v>
      </c>
      <c r="F21" s="172" t="s">
        <v>446</v>
      </c>
      <c r="G21" s="172">
        <v>318.98</v>
      </c>
      <c r="H21" s="172">
        <v>0</v>
      </c>
      <c r="I21" s="172">
        <v>0</v>
      </c>
      <c r="J21" s="172">
        <v>1008.57</v>
      </c>
      <c r="K21" s="172" t="s">
        <v>445</v>
      </c>
      <c r="L21" s="172">
        <v>87.95</v>
      </c>
      <c r="M21" s="172">
        <v>1498957200</v>
      </c>
      <c r="N21" s="172">
        <v>1</v>
      </c>
      <c r="O21" s="172">
        <v>10</v>
      </c>
      <c r="P21" s="172">
        <v>53</v>
      </c>
      <c r="Q21" s="172">
        <v>10.58</v>
      </c>
      <c r="R21" s="172">
        <v>6.96</v>
      </c>
      <c r="S21"/>
    </row>
    <row r="22" spans="1:19" x14ac:dyDescent="0.25">
      <c r="A22" s="172">
        <v>84.1</v>
      </c>
      <c r="B22" s="172">
        <v>0.03</v>
      </c>
      <c r="C22" s="172">
        <v>34.79</v>
      </c>
      <c r="D22" s="8">
        <v>42917.833333333336</v>
      </c>
      <c r="E22" s="172">
        <v>0.17</v>
      </c>
      <c r="F22" s="172" t="s">
        <v>446</v>
      </c>
      <c r="G22" s="172">
        <v>316.89</v>
      </c>
      <c r="H22" s="172">
        <v>0</v>
      </c>
      <c r="I22" s="172">
        <v>0</v>
      </c>
      <c r="J22" s="172">
        <v>1009.42</v>
      </c>
      <c r="K22" s="172" t="s">
        <v>445</v>
      </c>
      <c r="L22" s="172">
        <v>84.1</v>
      </c>
      <c r="M22" s="172">
        <v>1498960800</v>
      </c>
      <c r="N22" s="172">
        <v>0</v>
      </c>
      <c r="O22" s="172">
        <v>10</v>
      </c>
      <c r="P22" s="172">
        <v>39</v>
      </c>
      <c r="Q22" s="172">
        <v>8.14</v>
      </c>
      <c r="R22" s="172">
        <v>5.76</v>
      </c>
      <c r="S22"/>
    </row>
    <row r="23" spans="1:19" x14ac:dyDescent="0.25">
      <c r="A23" s="172">
        <v>79.78</v>
      </c>
      <c r="B23" s="172">
        <v>0.03</v>
      </c>
      <c r="C23" s="172">
        <v>35.68</v>
      </c>
      <c r="D23" s="8">
        <v>42917.875</v>
      </c>
      <c r="E23" s="172">
        <v>0.2</v>
      </c>
      <c r="F23" s="172" t="s">
        <v>444</v>
      </c>
      <c r="G23" s="172">
        <v>314.89999999999998</v>
      </c>
      <c r="H23" s="172">
        <v>0</v>
      </c>
      <c r="I23" s="172">
        <v>0</v>
      </c>
      <c r="J23" s="172">
        <v>1010.38</v>
      </c>
      <c r="K23" s="172" t="s">
        <v>445</v>
      </c>
      <c r="L23" s="172">
        <v>79.78</v>
      </c>
      <c r="M23" s="172">
        <v>1498964400</v>
      </c>
      <c r="N23" s="172">
        <v>0</v>
      </c>
      <c r="O23" s="172">
        <v>10</v>
      </c>
      <c r="P23" s="172">
        <v>26</v>
      </c>
      <c r="Q23" s="172">
        <v>5.92</v>
      </c>
      <c r="R23" s="172">
        <v>3.73</v>
      </c>
      <c r="S23"/>
    </row>
    <row r="24" spans="1:19" x14ac:dyDescent="0.25">
      <c r="A24" s="172">
        <v>76.81</v>
      </c>
      <c r="B24" s="172">
        <v>0.02</v>
      </c>
      <c r="C24" s="172">
        <v>36.06</v>
      </c>
      <c r="D24" s="8">
        <v>42917.916666666664</v>
      </c>
      <c r="E24" s="172">
        <v>0.23</v>
      </c>
      <c r="F24" s="172" t="s">
        <v>444</v>
      </c>
      <c r="G24" s="172">
        <v>313.22000000000003</v>
      </c>
      <c r="H24" s="172">
        <v>0</v>
      </c>
      <c r="I24" s="172">
        <v>0</v>
      </c>
      <c r="J24" s="172">
        <v>1011.18</v>
      </c>
      <c r="K24" s="172" t="s">
        <v>445</v>
      </c>
      <c r="L24" s="172">
        <v>76.81</v>
      </c>
      <c r="M24" s="172">
        <v>1498968000</v>
      </c>
      <c r="N24" s="172">
        <v>0</v>
      </c>
      <c r="O24" s="172">
        <v>10</v>
      </c>
      <c r="P24" s="172">
        <v>23</v>
      </c>
      <c r="Q24" s="172">
        <v>6.08</v>
      </c>
      <c r="R24" s="172">
        <v>4.43</v>
      </c>
      <c r="S24"/>
    </row>
    <row r="25" spans="1:19" x14ac:dyDescent="0.25">
      <c r="A25" s="172">
        <v>73.56</v>
      </c>
      <c r="B25" s="172">
        <v>0.01</v>
      </c>
      <c r="C25" s="172">
        <v>37.729999999999997</v>
      </c>
      <c r="D25" s="8">
        <v>42917.958333333336</v>
      </c>
      <c r="E25" s="172">
        <v>0.27</v>
      </c>
      <c r="F25" s="172" t="s">
        <v>444</v>
      </c>
      <c r="G25" s="172">
        <v>311.52</v>
      </c>
      <c r="H25" s="172">
        <v>0</v>
      </c>
      <c r="I25" s="172">
        <v>0</v>
      </c>
      <c r="J25" s="172">
        <v>1011.63</v>
      </c>
      <c r="K25" s="172" t="s">
        <v>445</v>
      </c>
      <c r="L25" s="172">
        <v>73.56</v>
      </c>
      <c r="M25" s="172">
        <v>1498971600</v>
      </c>
      <c r="N25" s="172">
        <v>0</v>
      </c>
      <c r="O25" s="172">
        <v>10</v>
      </c>
      <c r="P25" s="172">
        <v>267</v>
      </c>
      <c r="Q25" s="172">
        <v>6.89</v>
      </c>
      <c r="R25" s="172">
        <v>4.0199999999999996</v>
      </c>
      <c r="S25"/>
    </row>
    <row r="26" spans="1:19" x14ac:dyDescent="0.25">
      <c r="A26" s="172">
        <v>70.84</v>
      </c>
      <c r="B26" s="172">
        <v>0</v>
      </c>
      <c r="C26" s="172">
        <v>39.03</v>
      </c>
      <c r="D26" s="8">
        <v>42918</v>
      </c>
      <c r="E26" s="172">
        <v>0.31</v>
      </c>
      <c r="F26" s="172" t="s">
        <v>444</v>
      </c>
      <c r="G26" s="172">
        <v>310.14</v>
      </c>
      <c r="H26" s="172">
        <v>0</v>
      </c>
      <c r="I26" s="172">
        <v>0</v>
      </c>
      <c r="J26" s="172">
        <v>1011.9</v>
      </c>
      <c r="K26" s="172" t="s">
        <v>445</v>
      </c>
      <c r="L26" s="172">
        <v>70.84</v>
      </c>
      <c r="M26" s="172">
        <v>1498975200</v>
      </c>
      <c r="N26" s="172">
        <v>0</v>
      </c>
      <c r="O26" s="172">
        <v>10</v>
      </c>
      <c r="P26" s="172">
        <v>257</v>
      </c>
      <c r="Q26" s="172">
        <v>5.9</v>
      </c>
      <c r="R26" s="172">
        <v>2.8</v>
      </c>
      <c r="S26"/>
    </row>
    <row r="27" spans="1:19" x14ac:dyDescent="0.25">
      <c r="A27" s="172">
        <v>68.94</v>
      </c>
      <c r="B27" s="172">
        <v>0</v>
      </c>
      <c r="C27" s="172">
        <v>39.61</v>
      </c>
      <c r="D27" s="8">
        <v>42918.041666666664</v>
      </c>
      <c r="E27" s="172">
        <v>0.34</v>
      </c>
      <c r="F27" s="172" t="s">
        <v>444</v>
      </c>
      <c r="G27" s="172">
        <v>309.17</v>
      </c>
      <c r="H27" s="172">
        <v>0</v>
      </c>
      <c r="I27" s="172">
        <v>0</v>
      </c>
      <c r="J27" s="172">
        <v>1012.15</v>
      </c>
      <c r="K27" s="172" t="s">
        <v>445</v>
      </c>
      <c r="L27" s="172">
        <v>68.94</v>
      </c>
      <c r="M27" s="172">
        <v>1498978800</v>
      </c>
      <c r="N27" s="172">
        <v>0</v>
      </c>
      <c r="O27" s="172">
        <v>10</v>
      </c>
      <c r="P27" s="172">
        <v>255</v>
      </c>
      <c r="Q27" s="172">
        <v>5.57</v>
      </c>
      <c r="R27" s="172">
        <v>3.48</v>
      </c>
      <c r="S27"/>
    </row>
    <row r="28" spans="1:19" x14ac:dyDescent="0.25">
      <c r="A28" s="172">
        <v>67.94</v>
      </c>
      <c r="B28" s="172">
        <v>0</v>
      </c>
      <c r="C28" s="172">
        <v>39.479999999999997</v>
      </c>
      <c r="D28" s="8">
        <v>42918.083333333336</v>
      </c>
      <c r="E28" s="172">
        <v>0.35</v>
      </c>
      <c r="F28" s="172" t="s">
        <v>444</v>
      </c>
      <c r="G28" s="172">
        <v>308.52999999999997</v>
      </c>
      <c r="H28" s="172">
        <v>0</v>
      </c>
      <c r="I28" s="172">
        <v>0</v>
      </c>
      <c r="J28" s="172">
        <v>1012.2</v>
      </c>
      <c r="K28" s="172" t="s">
        <v>445</v>
      </c>
      <c r="L28" s="172">
        <v>67.94</v>
      </c>
      <c r="M28" s="172">
        <v>1498982400</v>
      </c>
      <c r="N28" s="172">
        <v>0</v>
      </c>
      <c r="O28" s="172">
        <v>10</v>
      </c>
      <c r="P28" s="172">
        <v>211</v>
      </c>
      <c r="Q28" s="172">
        <v>5.65</v>
      </c>
      <c r="R28" s="172">
        <v>4.03</v>
      </c>
      <c r="S28"/>
    </row>
    <row r="29" spans="1:19" x14ac:dyDescent="0.25">
      <c r="A29" s="172">
        <v>67.239999999999995</v>
      </c>
      <c r="B29" s="172">
        <v>0.02</v>
      </c>
      <c r="C29" s="172">
        <v>39</v>
      </c>
      <c r="D29" s="8">
        <v>42918.125</v>
      </c>
      <c r="E29" s="172">
        <v>0.35</v>
      </c>
      <c r="F29" s="172" t="s">
        <v>444</v>
      </c>
      <c r="G29" s="172">
        <v>308.11</v>
      </c>
      <c r="H29" s="172">
        <v>0</v>
      </c>
      <c r="I29" s="172">
        <v>0</v>
      </c>
      <c r="J29" s="172">
        <v>1012.09</v>
      </c>
      <c r="K29" s="172" t="s">
        <v>445</v>
      </c>
      <c r="L29" s="172">
        <v>67.239999999999995</v>
      </c>
      <c r="M29" s="172">
        <v>1498986000</v>
      </c>
      <c r="N29" s="172">
        <v>0</v>
      </c>
      <c r="O29" s="172">
        <v>10</v>
      </c>
      <c r="P29" s="172">
        <v>220</v>
      </c>
      <c r="Q29" s="172">
        <v>8.07</v>
      </c>
      <c r="R29" s="172">
        <v>4.05</v>
      </c>
      <c r="S29"/>
    </row>
    <row r="30" spans="1:19" x14ac:dyDescent="0.25">
      <c r="A30" s="140"/>
      <c r="B30" s="140"/>
      <c r="C30" s="140"/>
      <c r="D30" s="8"/>
      <c r="E30" s="140"/>
      <c r="F30" s="140"/>
      <c r="G30" s="140"/>
      <c r="H30" s="140"/>
      <c r="I30" s="140"/>
      <c r="J30" s="140"/>
      <c r="K30" s="140"/>
      <c r="L30" s="140"/>
      <c r="M30" s="140"/>
      <c r="N30" s="140"/>
      <c r="O30" s="140"/>
      <c r="P30" s="140"/>
    </row>
    <row r="31" spans="1:19" x14ac:dyDescent="0.25">
      <c r="A31" s="141" t="s">
        <v>183</v>
      </c>
    </row>
    <row r="33" spans="1:1" x14ac:dyDescent="0.25">
      <c r="A33" s="141" t="s">
        <v>175</v>
      </c>
    </row>
  </sheetData>
  <pageMargins left="0.7" right="0.7" top="0.75" bottom="0.75" header="0.3" footer="0.3"/>
  <pageSetup orientation="portrait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>
    <tabColor theme="0"/>
  </sheetPr>
  <dimension ref="A1:AF34"/>
  <sheetViews>
    <sheetView topLeftCell="A2" workbookViewId="0">
      <selection activeCell="A3" sqref="A3"/>
    </sheetView>
  </sheetViews>
  <sheetFormatPr defaultRowHeight="15" x14ac:dyDescent="0.25"/>
  <cols>
    <col min="1" max="1" width="32.140625" customWidth="1"/>
    <col min="3" max="3" width="24" customWidth="1"/>
    <col min="4" max="4" width="19.140625" style="56" customWidth="1"/>
    <col min="10" max="10" width="24.28515625" style="140" bestFit="1" customWidth="1"/>
    <col min="11" max="11" width="15.28515625" style="140" hidden="1" customWidth="1"/>
    <col min="12" max="12" width="13.5703125" style="140" hidden="1" customWidth="1"/>
    <col min="13" max="13" width="9" style="154" bestFit="1" customWidth="1"/>
    <col min="14" max="17" width="9.140625" style="140"/>
    <col min="20" max="24" width="9.140625" style="154"/>
    <col min="29" max="29" width="12.42578125" customWidth="1"/>
    <col min="30" max="30" width="9.140625" style="172"/>
    <col min="31" max="32" width="9.140625" style="56"/>
  </cols>
  <sheetData>
    <row r="1" spans="1:32" ht="45.75" x14ac:dyDescent="0.3">
      <c r="A1" s="11" t="s">
        <v>25</v>
      </c>
      <c r="C1" s="119" t="s">
        <v>97</v>
      </c>
      <c r="D1" s="120" t="s">
        <v>98</v>
      </c>
      <c r="J1" s="146" t="s">
        <v>99</v>
      </c>
      <c r="K1" s="146" t="s">
        <v>66</v>
      </c>
      <c r="L1" s="146" t="s">
        <v>67</v>
      </c>
      <c r="O1" s="147" t="s">
        <v>100</v>
      </c>
      <c r="T1" s="156" t="s">
        <v>334</v>
      </c>
      <c r="U1" s="156"/>
      <c r="V1" s="156"/>
      <c r="W1" s="156"/>
      <c r="X1" s="156"/>
    </row>
    <row r="2" spans="1:32" ht="15.75" thickBot="1" x14ac:dyDescent="0.3">
      <c r="A2" s="12">
        <v>42917</v>
      </c>
      <c r="B2" s="4"/>
      <c r="C2" s="121">
        <v>50</v>
      </c>
      <c r="D2" s="122">
        <v>25</v>
      </c>
      <c r="F2" t="s">
        <v>111</v>
      </c>
      <c r="J2" s="146"/>
      <c r="K2" s="146" t="s">
        <v>66</v>
      </c>
      <c r="L2" s="146" t="s">
        <v>67</v>
      </c>
      <c r="T2" s="155" t="s">
        <v>335</v>
      </c>
      <c r="U2" s="155">
        <v>167</v>
      </c>
      <c r="V2" s="155">
        <v>168</v>
      </c>
      <c r="W2" s="155">
        <v>199</v>
      </c>
      <c r="X2" s="155">
        <v>200</v>
      </c>
      <c r="AD2" t="s">
        <v>457</v>
      </c>
      <c r="AE2" s="56" t="s">
        <v>460</v>
      </c>
      <c r="AF2" s="56" t="s">
        <v>461</v>
      </c>
    </row>
    <row r="3" spans="1:32" x14ac:dyDescent="0.25">
      <c r="C3" s="56"/>
      <c r="F3" t="s">
        <v>52</v>
      </c>
      <c r="J3" s="148" t="s">
        <v>68</v>
      </c>
      <c r="K3" s="149">
        <v>2.7052</v>
      </c>
      <c r="L3" s="149">
        <v>2.7349999999999999</v>
      </c>
      <c r="M3" s="154">
        <f t="shared" ref="M3:M14" si="0">AVERAGE(K3:L3)</f>
        <v>2.7201</v>
      </c>
      <c r="O3" s="140" t="s">
        <v>101</v>
      </c>
      <c r="P3" s="140">
        <f>AVERAGE(1.0714,1.1016)</f>
        <v>1.0865</v>
      </c>
      <c r="T3" s="155" t="s">
        <v>336</v>
      </c>
      <c r="U3" s="155">
        <v>174</v>
      </c>
      <c r="V3" s="155">
        <v>176</v>
      </c>
      <c r="W3" s="155">
        <v>207</v>
      </c>
      <c r="X3" s="155">
        <v>210</v>
      </c>
      <c r="AC3" s="30" t="s">
        <v>103</v>
      </c>
      <c r="AD3" s="131">
        <v>23</v>
      </c>
      <c r="AE3" s="42">
        <v>100</v>
      </c>
      <c r="AF3" s="42">
        <v>299</v>
      </c>
    </row>
    <row r="4" spans="1:32" ht="45" x14ac:dyDescent="0.25">
      <c r="C4" s="119" t="s">
        <v>97</v>
      </c>
      <c r="D4" s="120" t="s">
        <v>98</v>
      </c>
      <c r="F4" t="s">
        <v>53</v>
      </c>
      <c r="J4" s="148" t="s">
        <v>69</v>
      </c>
      <c r="K4" s="149">
        <v>3.0830000000000002</v>
      </c>
      <c r="L4" s="149">
        <v>3.097</v>
      </c>
      <c r="M4" s="154">
        <f t="shared" si="0"/>
        <v>3.09</v>
      </c>
      <c r="T4" s="155" t="s">
        <v>337</v>
      </c>
      <c r="U4" s="155">
        <v>173</v>
      </c>
      <c r="V4" s="155">
        <v>175</v>
      </c>
      <c r="W4" s="155">
        <v>208</v>
      </c>
      <c r="X4" s="155">
        <v>209</v>
      </c>
      <c r="AC4" s="30" t="s">
        <v>104</v>
      </c>
      <c r="AD4" s="131">
        <v>5.65</v>
      </c>
      <c r="AE4" s="42">
        <v>800</v>
      </c>
      <c r="AF4" s="42">
        <v>899</v>
      </c>
    </row>
    <row r="5" spans="1:32" x14ac:dyDescent="0.25">
      <c r="C5" s="56">
        <v>30</v>
      </c>
      <c r="D5" s="56">
        <v>9</v>
      </c>
      <c r="J5" s="148" t="s">
        <v>70</v>
      </c>
      <c r="K5" s="149">
        <v>3.3136000000000001</v>
      </c>
      <c r="L5" s="149">
        <v>3.3256999999999999</v>
      </c>
      <c r="M5" s="154">
        <f t="shared" si="0"/>
        <v>3.3196500000000002</v>
      </c>
      <c r="T5" s="155" t="s">
        <v>338</v>
      </c>
      <c r="U5" s="155">
        <v>187</v>
      </c>
      <c r="V5" s="155">
        <v>188</v>
      </c>
      <c r="W5" s="155">
        <v>223</v>
      </c>
      <c r="X5" s="155">
        <v>224</v>
      </c>
      <c r="AC5" s="30" t="s">
        <v>458</v>
      </c>
      <c r="AD5" s="131">
        <v>11.15</v>
      </c>
      <c r="AE5" s="42">
        <v>400</v>
      </c>
      <c r="AF5" s="42">
        <v>600</v>
      </c>
    </row>
    <row r="6" spans="1:32" x14ac:dyDescent="0.25">
      <c r="C6" s="56"/>
      <c r="F6" t="s">
        <v>112</v>
      </c>
      <c r="J6" s="148" t="s">
        <v>71</v>
      </c>
      <c r="K6" s="149">
        <v>4.2778999999999998</v>
      </c>
      <c r="L6" s="149">
        <v>4.2961</v>
      </c>
      <c r="M6" s="154">
        <f t="shared" si="0"/>
        <v>4.2869999999999999</v>
      </c>
      <c r="T6" s="155"/>
      <c r="U6" s="155"/>
      <c r="V6" s="155"/>
      <c r="W6" s="155"/>
      <c r="X6" s="155"/>
      <c r="AC6" s="45" t="s">
        <v>104</v>
      </c>
      <c r="AD6" s="215">
        <v>5.65</v>
      </c>
      <c r="AE6" s="42">
        <v>1800</v>
      </c>
      <c r="AF6" s="42">
        <v>1899</v>
      </c>
    </row>
    <row r="7" spans="1:32" x14ac:dyDescent="0.25">
      <c r="C7" s="56"/>
      <c r="F7" t="s">
        <v>433</v>
      </c>
      <c r="J7" s="148" t="s">
        <v>72</v>
      </c>
      <c r="K7" s="149">
        <v>4.7865000000000002</v>
      </c>
      <c r="L7" s="149">
        <v>4.8048000000000002</v>
      </c>
      <c r="M7" s="154">
        <f t="shared" si="0"/>
        <v>4.7956500000000002</v>
      </c>
      <c r="T7" s="155"/>
      <c r="U7" s="155"/>
      <c r="V7" s="155"/>
      <c r="W7" s="155"/>
      <c r="X7" s="155"/>
      <c r="AC7" s="30" t="s">
        <v>459</v>
      </c>
      <c r="AD7" s="131">
        <v>99</v>
      </c>
      <c r="AE7" s="42">
        <v>0</v>
      </c>
      <c r="AF7" s="42">
        <v>99</v>
      </c>
    </row>
    <row r="8" spans="1:32" x14ac:dyDescent="0.25">
      <c r="C8" s="56"/>
      <c r="F8" t="s">
        <v>434</v>
      </c>
      <c r="J8" s="148" t="s">
        <v>73</v>
      </c>
      <c r="K8" s="149">
        <v>5.3155000000000001</v>
      </c>
      <c r="L8" s="149">
        <v>5.3277000000000001</v>
      </c>
      <c r="M8" s="154">
        <f t="shared" si="0"/>
        <v>5.3216000000000001</v>
      </c>
      <c r="T8" s="155"/>
      <c r="U8" s="155"/>
      <c r="V8" s="155"/>
      <c r="W8" s="155"/>
      <c r="X8" s="155"/>
      <c r="AC8" s="45" t="s">
        <v>462</v>
      </c>
      <c r="AD8" s="195">
        <v>9999</v>
      </c>
      <c r="AE8" s="131">
        <v>9999</v>
      </c>
      <c r="AF8" s="131">
        <v>9999</v>
      </c>
    </row>
    <row r="9" spans="1:32" x14ac:dyDescent="0.25">
      <c r="C9" s="56"/>
      <c r="J9" s="148" t="s">
        <v>74</v>
      </c>
      <c r="K9" s="149">
        <v>5.8117000000000001</v>
      </c>
      <c r="L9" s="149">
        <v>5.8300999999999998</v>
      </c>
      <c r="M9" s="154">
        <f t="shared" si="0"/>
        <v>5.8209</v>
      </c>
      <c r="T9" s="155"/>
      <c r="U9" s="155"/>
      <c r="V9" s="155"/>
      <c r="W9" s="155"/>
      <c r="X9" s="155"/>
    </row>
    <row r="10" spans="1:32" x14ac:dyDescent="0.25">
      <c r="C10" s="56"/>
      <c r="J10" s="148" t="s">
        <v>75</v>
      </c>
      <c r="K10" s="149">
        <v>5.8783000000000003</v>
      </c>
      <c r="L10" s="149">
        <v>5.8903999999999996</v>
      </c>
      <c r="M10" s="154">
        <f t="shared" si="0"/>
        <v>5.8843499999999995</v>
      </c>
      <c r="T10" s="155"/>
      <c r="U10" s="155"/>
      <c r="V10" s="155"/>
      <c r="W10" s="155"/>
      <c r="X10" s="155"/>
    </row>
    <row r="11" spans="1:32" x14ac:dyDescent="0.25">
      <c r="C11" s="56"/>
      <c r="J11" s="148" t="s">
        <v>76</v>
      </c>
      <c r="K11" s="149">
        <v>6.3068</v>
      </c>
      <c r="L11" s="149">
        <v>6.3308999999999997</v>
      </c>
      <c r="M11" s="154">
        <f t="shared" si="0"/>
        <v>6.3188499999999994</v>
      </c>
      <c r="T11" s="155"/>
      <c r="U11" s="155"/>
      <c r="V11" s="155"/>
      <c r="W11" s="155"/>
      <c r="X11" s="155"/>
    </row>
    <row r="12" spans="1:32" x14ac:dyDescent="0.25">
      <c r="C12" s="56"/>
      <c r="J12" s="148" t="s">
        <v>77</v>
      </c>
      <c r="K12" s="149">
        <v>7.8349000000000002</v>
      </c>
      <c r="L12" s="149">
        <v>7.8468999999999998</v>
      </c>
      <c r="M12" s="154">
        <f t="shared" si="0"/>
        <v>7.8408999999999995</v>
      </c>
      <c r="T12" s="155"/>
      <c r="U12" s="155"/>
      <c r="V12" s="155"/>
      <c r="W12" s="155"/>
      <c r="X12" s="155"/>
    </row>
    <row r="13" spans="1:32" x14ac:dyDescent="0.25">
      <c r="C13" s="56"/>
      <c r="J13" s="148" t="s">
        <v>78</v>
      </c>
      <c r="K13" s="149">
        <v>10.373799999999999</v>
      </c>
      <c r="L13" s="149">
        <v>10.38</v>
      </c>
      <c r="M13" s="154">
        <f t="shared" si="0"/>
        <v>10.376899999999999</v>
      </c>
      <c r="T13" s="155"/>
      <c r="U13" s="155"/>
      <c r="V13" s="155"/>
      <c r="W13" s="155"/>
      <c r="X13" s="155"/>
    </row>
    <row r="14" spans="1:32" x14ac:dyDescent="0.25">
      <c r="C14" s="56"/>
      <c r="J14" s="148" t="s">
        <v>79</v>
      </c>
      <c r="K14" s="149">
        <v>10.8954</v>
      </c>
      <c r="L14" s="149">
        <v>10.913500000000001</v>
      </c>
      <c r="M14" s="154">
        <f t="shared" si="0"/>
        <v>10.904450000000001</v>
      </c>
      <c r="T14" s="155"/>
      <c r="U14" s="155"/>
      <c r="V14" s="155"/>
      <c r="W14" s="155"/>
      <c r="X14" s="155"/>
    </row>
    <row r="15" spans="1:32" x14ac:dyDescent="0.25">
      <c r="C15" s="56"/>
      <c r="J15" s="148"/>
      <c r="K15" s="149"/>
      <c r="L15" s="149"/>
      <c r="T15" s="155"/>
      <c r="U15" s="155"/>
      <c r="V15" s="155"/>
      <c r="W15" s="155"/>
      <c r="X15" s="155"/>
    </row>
    <row r="16" spans="1:32" x14ac:dyDescent="0.25">
      <c r="C16" s="56"/>
      <c r="J16" s="148"/>
      <c r="K16" s="149"/>
      <c r="L16" s="149"/>
      <c r="T16" s="155"/>
      <c r="U16" s="155"/>
      <c r="V16" s="155"/>
      <c r="W16" s="155"/>
      <c r="X16" s="155"/>
    </row>
    <row r="17" spans="3:24" x14ac:dyDescent="0.25">
      <c r="C17" s="137" t="s">
        <v>184</v>
      </c>
      <c r="J17" s="148"/>
      <c r="K17" s="149"/>
      <c r="L17" s="149"/>
      <c r="T17" s="155"/>
      <c r="U17" s="155"/>
      <c r="V17" s="155"/>
      <c r="W17" s="155"/>
      <c r="X17" s="155"/>
    </row>
    <row r="18" spans="3:24" x14ac:dyDescent="0.25">
      <c r="C18" t="s">
        <v>1018</v>
      </c>
      <c r="J18" s="148" t="s">
        <v>85</v>
      </c>
      <c r="K18" s="149"/>
      <c r="L18" s="149"/>
      <c r="M18" s="154" t="str">
        <f>"""C:\Program Files (x86)\AstroGrep\AstroGrep.exe"""</f>
        <v>"C:\Program Files (x86)\AstroGrep\AstroGrep.exe"</v>
      </c>
      <c r="T18" s="155"/>
      <c r="U18" s="155"/>
      <c r="V18" s="155"/>
      <c r="W18" s="155"/>
      <c r="X18" s="155"/>
    </row>
    <row r="19" spans="3:24" x14ac:dyDescent="0.25">
      <c r="C19" t="s">
        <v>1019</v>
      </c>
      <c r="J19" s="148" t="s">
        <v>86</v>
      </c>
      <c r="K19" s="149"/>
      <c r="L19" s="149"/>
      <c r="M19" s="154" t="s">
        <v>110</v>
      </c>
      <c r="T19" s="155"/>
      <c r="U19" s="155"/>
      <c r="V19" s="155"/>
      <c r="W19" s="155"/>
      <c r="X19" s="155"/>
    </row>
    <row r="20" spans="3:24" x14ac:dyDescent="0.25">
      <c r="C20" t="s">
        <v>1020</v>
      </c>
      <c r="J20" s="140" t="s">
        <v>87</v>
      </c>
      <c r="M20" s="154" t="s">
        <v>360</v>
      </c>
      <c r="N20" s="154" t="s">
        <v>333</v>
      </c>
      <c r="T20" s="155"/>
      <c r="U20" s="155"/>
      <c r="V20" s="155"/>
      <c r="W20" s="155"/>
      <c r="X20" s="155"/>
    </row>
    <row r="21" spans="3:24" x14ac:dyDescent="0.25">
      <c r="C21" t="s">
        <v>1021</v>
      </c>
      <c r="J21" s="140" t="s">
        <v>90</v>
      </c>
      <c r="K21" s="140" t="s">
        <v>91</v>
      </c>
      <c r="M21" s="154" t="s">
        <v>174</v>
      </c>
      <c r="T21" s="155"/>
      <c r="U21" s="155"/>
      <c r="V21" s="155"/>
      <c r="W21" s="155"/>
      <c r="X21" s="155"/>
    </row>
    <row r="22" spans="3:24" x14ac:dyDescent="0.25">
      <c r="C22" t="s">
        <v>1022</v>
      </c>
      <c r="J22" s="140" t="s">
        <v>92</v>
      </c>
      <c r="K22" s="140" t="s">
        <v>93</v>
      </c>
      <c r="M22" s="154" t="s">
        <v>109</v>
      </c>
      <c r="T22" s="155"/>
      <c r="U22" s="155"/>
      <c r="V22" s="155"/>
      <c r="W22" s="155"/>
      <c r="X22" s="155"/>
    </row>
    <row r="23" spans="3:24" x14ac:dyDescent="0.25">
      <c r="C23" t="s">
        <v>1023</v>
      </c>
      <c r="J23" s="150" t="s">
        <v>95</v>
      </c>
      <c r="M23" s="154" t="str">
        <f>"-06"</f>
        <v>-06</v>
      </c>
      <c r="T23" s="155"/>
      <c r="U23" s="155"/>
      <c r="V23" s="155"/>
      <c r="W23" s="155"/>
      <c r="X23" s="155"/>
    </row>
    <row r="24" spans="3:24" x14ac:dyDescent="0.25">
      <c r="C24" t="s">
        <v>1024</v>
      </c>
      <c r="J24" s="140" t="s">
        <v>106</v>
      </c>
      <c r="M24" s="154" t="s">
        <v>108</v>
      </c>
      <c r="T24" s="155"/>
      <c r="U24" s="155"/>
      <c r="V24" s="155"/>
      <c r="W24" s="155"/>
      <c r="X24" s="155"/>
    </row>
    <row r="25" spans="3:24" x14ac:dyDescent="0.25">
      <c r="C25" t="s">
        <v>1025</v>
      </c>
      <c r="J25" s="140" t="s">
        <v>146</v>
      </c>
      <c r="M25" s="154" t="b">
        <v>1</v>
      </c>
    </row>
    <row r="26" spans="3:24" x14ac:dyDescent="0.25">
      <c r="C26" t="s">
        <v>1026</v>
      </c>
      <c r="J26" s="140" t="s">
        <v>147</v>
      </c>
      <c r="M26" s="154" t="str">
        <f>"C:\Users\stu\Documents\GitHub\eaglep3-reporting\EC\"&amp;TEXT(A2,"yyyy-mm-dd")&amp;"-refined-times.txt"</f>
        <v>C:\Users\stu\Documents\GitHub\eaglep3-reporting\EC\2017-07-01-refined-times.txt</v>
      </c>
    </row>
    <row r="27" spans="3:24" x14ac:dyDescent="0.25">
      <c r="C27" t="s">
        <v>1027</v>
      </c>
      <c r="J27" s="140" t="s">
        <v>176</v>
      </c>
      <c r="M27" s="154" t="str">
        <f>"C:\Users\stu\Documents\GitHub\eaglep3-reporting\EC\"&amp;TEXT(A2,"YYYY-MM-DD")&amp;"-Enforcements.txt"</f>
        <v>C:\Users\stu\Documents\GitHub\eaglep3-reporting\EC\2017-07-01-Enforcements.txt</v>
      </c>
    </row>
    <row r="28" spans="3:24" x14ac:dyDescent="0.25">
      <c r="C28" t="s">
        <v>1028</v>
      </c>
      <c r="J28" s="140" t="s">
        <v>177</v>
      </c>
      <c r="M28" s="154" t="str">
        <f>"C:\Users\stu\Documents\GitHub\eaglep3-reporting\EC\"&amp;TEXT(A2,"YYYY-MM-DD")&amp;"-Runs-refined.txt"</f>
        <v>C:\Users\stu\Documents\GitHub\eaglep3-reporting\EC\2017-07-01-Runs-refined.txt</v>
      </c>
    </row>
    <row r="29" spans="3:24" x14ac:dyDescent="0.25">
      <c r="C29" t="s">
        <v>1029</v>
      </c>
      <c r="J29" s="140" t="s">
        <v>178</v>
      </c>
      <c r="M29" s="154" t="str">
        <f>"C:\Users\stu\Documents\GitHub\eaglep3-reporting\EC\"&amp;TEXT(A2,"YYYY-MM-DD")&amp;"-Trips.txt"</f>
        <v>C:\Users\stu\Documents\GitHub\eaglep3-reporting\EC\2017-07-01-Trips.txt</v>
      </c>
    </row>
    <row r="30" spans="3:24" x14ac:dyDescent="0.25">
      <c r="C30" t="s">
        <v>1030</v>
      </c>
      <c r="J30" s="140" t="s">
        <v>179</v>
      </c>
      <c r="M30" s="154" t="str">
        <f>"C:\Users\stu\Documents\GitHub\eaglep3-reporting\EC\"&amp;TEXT(A2,"YYYY-MM-DD")&amp;"-Weather.txt"</f>
        <v>C:\Users\stu\Documents\GitHub\eaglep3-reporting\EC\2017-07-01-Weather.txt</v>
      </c>
    </row>
    <row r="31" spans="3:24" x14ac:dyDescent="0.25">
      <c r="C31" t="s">
        <v>1031</v>
      </c>
      <c r="J31" s="140" t="s">
        <v>196</v>
      </c>
      <c r="M31" s="154" t="s">
        <v>197</v>
      </c>
    </row>
    <row r="32" spans="3:24" x14ac:dyDescent="0.25">
      <c r="C32" t="s">
        <v>1032</v>
      </c>
    </row>
    <row r="33" spans="3:3" x14ac:dyDescent="0.25">
      <c r="C33" t="s">
        <v>1033</v>
      </c>
    </row>
    <row r="34" spans="3:3" x14ac:dyDescent="0.25">
      <c r="C34" t="s">
        <v>1034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2]!Mail_workbook_Outlook">
                <anchor moveWithCells="1" sizeWithCells="1">
                  <from>
                    <xdr:col>0</xdr:col>
                    <xdr:colOff>295275</xdr:colOff>
                    <xdr:row>5</xdr:row>
                    <xdr:rowOff>47625</xdr:rowOff>
                  </from>
                  <to>
                    <xdr:col>0</xdr:col>
                    <xdr:colOff>1628775</xdr:colOff>
                    <xdr:row>8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5" name="Button 2">
              <controlPr defaultSize="0" print="0" autoFill="0" autoPict="0" macro="[2]!ImportRawText">
                <anchor moveWithCells="1" sizeWithCells="1">
                  <from>
                    <xdr:col>0</xdr:col>
                    <xdr:colOff>304800</xdr:colOff>
                    <xdr:row>9</xdr:row>
                    <xdr:rowOff>85725</xdr:rowOff>
                  </from>
                  <to>
                    <xdr:col>0</xdr:col>
                    <xdr:colOff>1552575</xdr:colOff>
                    <xdr:row>12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" r:id="rId6" name="Button 3">
              <controlPr defaultSize="0" print="0" autoFill="0" autoPict="0" macro="[2]!SetTodaysDate">
                <anchor moveWithCells="1" sizeWithCells="1">
                  <from>
                    <xdr:col>0</xdr:col>
                    <xdr:colOff>295275</xdr:colOff>
                    <xdr:row>12</xdr:row>
                    <xdr:rowOff>142875</xdr:rowOff>
                  </from>
                  <to>
                    <xdr:col>0</xdr:col>
                    <xdr:colOff>1543050</xdr:colOff>
                    <xdr:row>15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theme="0"/>
  </sheetPr>
  <dimension ref="A1:K15"/>
  <sheetViews>
    <sheetView workbookViewId="0">
      <selection activeCell="J2" sqref="J2"/>
    </sheetView>
  </sheetViews>
  <sheetFormatPr defaultRowHeight="15" x14ac:dyDescent="0.25"/>
  <cols>
    <col min="1" max="1" width="32.85546875" style="93" bestFit="1" customWidth="1"/>
    <col min="2" max="7" width="9.140625" style="93"/>
    <col min="8" max="8" width="17.7109375" style="93" bestFit="1" customWidth="1"/>
    <col min="9" max="10" width="9.140625" style="162"/>
    <col min="11" max="16384" width="9.140625" style="93"/>
  </cols>
  <sheetData>
    <row r="1" spans="1:11" x14ac:dyDescent="0.25">
      <c r="A1" s="92" t="s">
        <v>117</v>
      </c>
      <c r="B1" s="92" t="s">
        <v>118</v>
      </c>
      <c r="C1" s="93" t="s">
        <v>119</v>
      </c>
      <c r="H1" t="s">
        <v>113</v>
      </c>
      <c r="I1" s="160" t="s">
        <v>115</v>
      </c>
      <c r="J1" s="154" t="s">
        <v>345</v>
      </c>
    </row>
    <row r="2" spans="1:11" x14ac:dyDescent="0.25">
      <c r="A2" s="93" t="s">
        <v>120</v>
      </c>
      <c r="B2" s="93" t="s">
        <v>121</v>
      </c>
      <c r="C2" s="93" t="s">
        <v>122</v>
      </c>
      <c r="H2" t="s">
        <v>114</v>
      </c>
      <c r="I2" s="154" t="s">
        <v>116</v>
      </c>
      <c r="J2" s="154" t="s">
        <v>346</v>
      </c>
    </row>
    <row r="3" spans="1:11" x14ac:dyDescent="0.25">
      <c r="A3" s="93" t="s">
        <v>123</v>
      </c>
      <c r="B3" s="93" t="s">
        <v>124</v>
      </c>
      <c r="C3" s="93" t="s">
        <v>125</v>
      </c>
      <c r="H3" t="s">
        <v>139</v>
      </c>
      <c r="I3" s="154">
        <v>1</v>
      </c>
      <c r="J3" s="154">
        <v>1</v>
      </c>
      <c r="K3" s="55"/>
    </row>
    <row r="4" spans="1:11" x14ac:dyDescent="0.25">
      <c r="A4" s="93" t="s">
        <v>126</v>
      </c>
      <c r="C4" s="93" t="s">
        <v>127</v>
      </c>
      <c r="H4" t="s">
        <v>140</v>
      </c>
      <c r="I4" s="154">
        <v>2</v>
      </c>
      <c r="J4" s="154">
        <v>1</v>
      </c>
      <c r="K4" s="55"/>
    </row>
    <row r="5" spans="1:11" x14ac:dyDescent="0.25">
      <c r="A5" s="93" t="s">
        <v>128</v>
      </c>
      <c r="C5" s="93" t="s">
        <v>129</v>
      </c>
      <c r="H5" t="s">
        <v>141</v>
      </c>
      <c r="I5" s="154">
        <v>23</v>
      </c>
      <c r="J5" s="154">
        <v>10</v>
      </c>
      <c r="K5" s="55"/>
    </row>
    <row r="6" spans="1:11" x14ac:dyDescent="0.25">
      <c r="A6" s="93" t="s">
        <v>130</v>
      </c>
      <c r="C6" s="93" t="s">
        <v>131</v>
      </c>
      <c r="H6" s="94" t="s">
        <v>142</v>
      </c>
      <c r="I6" s="161" t="s">
        <v>121</v>
      </c>
    </row>
    <row r="7" spans="1:11" x14ac:dyDescent="0.25">
      <c r="A7" s="93" t="s">
        <v>132</v>
      </c>
      <c r="C7" s="93" t="s">
        <v>133</v>
      </c>
    </row>
    <row r="8" spans="1:11" x14ac:dyDescent="0.25">
      <c r="C8" s="93" t="s">
        <v>134</v>
      </c>
    </row>
    <row r="9" spans="1:11" x14ac:dyDescent="0.25">
      <c r="C9" s="94" t="s">
        <v>167</v>
      </c>
    </row>
    <row r="10" spans="1:11" x14ac:dyDescent="0.25">
      <c r="C10" s="93" t="s">
        <v>135</v>
      </c>
    </row>
    <row r="11" spans="1:11" x14ac:dyDescent="0.25">
      <c r="C11" s="93" t="s">
        <v>136</v>
      </c>
    </row>
    <row r="12" spans="1:11" x14ac:dyDescent="0.25">
      <c r="C12" s="93" t="s">
        <v>137</v>
      </c>
    </row>
    <row r="13" spans="1:11" x14ac:dyDescent="0.25">
      <c r="C13" s="93" t="s">
        <v>138</v>
      </c>
    </row>
    <row r="14" spans="1:11" x14ac:dyDescent="0.25">
      <c r="C14" s="94" t="s">
        <v>168</v>
      </c>
    </row>
    <row r="15" spans="1:11" x14ac:dyDescent="0.25">
      <c r="C15" s="94" t="s">
        <v>185</v>
      </c>
    </row>
  </sheetData>
  <pageMargins left="0.7" right="0.7" top="0.75" bottom="0.75" header="0.3" footer="0.3"/>
  <pageSetup orientation="portrait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C281"/>
  <sheetViews>
    <sheetView workbookViewId="0"/>
  </sheetViews>
  <sheetFormatPr defaultRowHeight="15" x14ac:dyDescent="0.25"/>
  <cols>
    <col min="2" max="2" width="22.28515625" bestFit="1" customWidth="1"/>
    <col min="3" max="3" width="9.7109375" customWidth="1"/>
  </cols>
  <sheetData>
    <row r="1" spans="1:3" x14ac:dyDescent="0.25">
      <c r="A1" t="s">
        <v>203</v>
      </c>
      <c r="B1" t="str">
        <f t="shared" ref="B1:B30" si="0">MID(A1,6,23)</f>
        <v>2017/03/01 11:03:17.741</v>
      </c>
      <c r="C1" t="e">
        <f>ABS(B1-#REF!)</f>
        <v>#REF!</v>
      </c>
    </row>
    <row r="2" spans="1:3" x14ac:dyDescent="0.25">
      <c r="A2" t="s">
        <v>204</v>
      </c>
      <c r="B2" s="20" t="str">
        <f t="shared" si="0"/>
        <v>2017/03/01 11:03:17.810</v>
      </c>
      <c r="C2">
        <f>ABS(B2-B1)</f>
        <v>7.9861638369038701E-7</v>
      </c>
    </row>
    <row r="3" spans="1:3" x14ac:dyDescent="0.25">
      <c r="A3" t="s">
        <v>205</v>
      </c>
      <c r="B3" s="20" t="str">
        <f t="shared" si="0"/>
        <v>2017/03/01 11:03:18.030</v>
      </c>
      <c r="C3" s="20">
        <f t="shared" ref="C3:C30" si="1">ABS(B3-B2)</f>
        <v>2.5462941266596317E-6</v>
      </c>
    </row>
    <row r="4" spans="1:3" x14ac:dyDescent="0.25">
      <c r="A4" t="s">
        <v>206</v>
      </c>
      <c r="B4" s="20" t="str">
        <f t="shared" si="0"/>
        <v>2017/03/01 11:24:06.574</v>
      </c>
      <c r="C4" s="20">
        <f t="shared" si="1"/>
        <v>1.4450740738539025E-2</v>
      </c>
    </row>
    <row r="5" spans="1:3" x14ac:dyDescent="0.25">
      <c r="A5" t="s">
        <v>207</v>
      </c>
      <c r="B5" s="20" t="str">
        <f t="shared" si="0"/>
        <v>2017/03/01 12:17:19.475</v>
      </c>
      <c r="C5" s="20">
        <f t="shared" si="1"/>
        <v>3.6954872688511387E-2</v>
      </c>
    </row>
    <row r="6" spans="1:3" x14ac:dyDescent="0.25">
      <c r="A6" t="s">
        <v>208</v>
      </c>
      <c r="B6" s="20" t="str">
        <f t="shared" si="0"/>
        <v>2017/03/01 12:17:19.924</v>
      </c>
      <c r="C6" s="20">
        <f t="shared" si="1"/>
        <v>5.1967581384815276E-6</v>
      </c>
    </row>
    <row r="7" spans="1:3" x14ac:dyDescent="0.25">
      <c r="A7" t="s">
        <v>209</v>
      </c>
      <c r="B7" s="20" t="str">
        <f t="shared" si="0"/>
        <v>2017/03/01 12:17:20.397</v>
      </c>
      <c r="C7" s="20">
        <f t="shared" si="1"/>
        <v>5.4745396482758224E-6</v>
      </c>
    </row>
    <row r="8" spans="1:3" x14ac:dyDescent="0.25">
      <c r="A8" t="s">
        <v>210</v>
      </c>
      <c r="B8" s="20" t="str">
        <f t="shared" si="0"/>
        <v>2017/03/01 12:32:44.588</v>
      </c>
      <c r="C8" s="20">
        <f t="shared" si="1"/>
        <v>1.0696655088395346E-2</v>
      </c>
    </row>
    <row r="9" spans="1:3" x14ac:dyDescent="0.25">
      <c r="A9" t="s">
        <v>211</v>
      </c>
      <c r="B9" s="20" t="str">
        <f t="shared" si="0"/>
        <v>2017/03/01 12:32:44.912</v>
      </c>
      <c r="C9" s="20">
        <f t="shared" si="1"/>
        <v>3.749999450519681E-6</v>
      </c>
    </row>
    <row r="10" spans="1:3" x14ac:dyDescent="0.25">
      <c r="A10" t="s">
        <v>212</v>
      </c>
      <c r="B10" s="20" t="str">
        <f t="shared" si="0"/>
        <v>2017/03/01 12:32:45.103</v>
      </c>
      <c r="C10" s="20">
        <f t="shared" si="1"/>
        <v>2.2106469259597361E-6</v>
      </c>
    </row>
    <row r="11" spans="1:3" x14ac:dyDescent="0.25">
      <c r="A11" t="s">
        <v>213</v>
      </c>
      <c r="B11" s="20" t="str">
        <f t="shared" si="0"/>
        <v>2017/03/01 12:52:12.025</v>
      </c>
      <c r="C11" s="20">
        <f t="shared" si="1"/>
        <v>1.3506041672371794E-2</v>
      </c>
    </row>
    <row r="12" spans="1:3" x14ac:dyDescent="0.25">
      <c r="A12" t="s">
        <v>214</v>
      </c>
      <c r="B12" s="20" t="str">
        <f t="shared" si="0"/>
        <v>2017/03/01 12:52:12.733</v>
      </c>
      <c r="C12" s="20">
        <f t="shared" si="1"/>
        <v>8.1944381236098707E-6</v>
      </c>
    </row>
    <row r="13" spans="1:3" x14ac:dyDescent="0.25">
      <c r="A13" t="s">
        <v>215</v>
      </c>
      <c r="B13" s="20" t="str">
        <f t="shared" si="0"/>
        <v>2017/03/01 12:52:12.806</v>
      </c>
      <c r="C13" s="20">
        <f t="shared" si="1"/>
        <v>8.4491330198943615E-7</v>
      </c>
    </row>
    <row r="14" spans="1:3" x14ac:dyDescent="0.25">
      <c r="A14" t="s">
        <v>216</v>
      </c>
      <c r="B14" s="20" t="str">
        <f t="shared" si="0"/>
        <v>2017/03/01 13:10:35.575</v>
      </c>
      <c r="C14" s="20">
        <f t="shared" si="1"/>
        <v>1.2763530088705011E-2</v>
      </c>
    </row>
    <row r="15" spans="1:3" x14ac:dyDescent="0.25">
      <c r="A15" t="s">
        <v>217</v>
      </c>
      <c r="B15" s="20" t="str">
        <f t="shared" si="0"/>
        <v>2017/03/01 13:10:35.884</v>
      </c>
      <c r="C15" s="20">
        <f t="shared" si="1"/>
        <v>3.5763878258876503E-6</v>
      </c>
    </row>
    <row r="16" spans="1:3" x14ac:dyDescent="0.25">
      <c r="A16" t="s">
        <v>218</v>
      </c>
      <c r="B16" s="20" t="str">
        <f t="shared" si="0"/>
        <v>2017/03/01 13:10:36.086</v>
      </c>
      <c r="C16" s="20">
        <f t="shared" si="1"/>
        <v>2.3379616322927177E-6</v>
      </c>
    </row>
    <row r="17" spans="1:3" x14ac:dyDescent="0.25">
      <c r="A17" t="s">
        <v>219</v>
      </c>
      <c r="B17" s="20" t="str">
        <f t="shared" si="0"/>
        <v>2017/03/01 13:20:52.810</v>
      </c>
      <c r="C17" s="20">
        <f t="shared" si="1"/>
        <v>7.1380092631443404E-3</v>
      </c>
    </row>
    <row r="18" spans="1:3" x14ac:dyDescent="0.25">
      <c r="A18" t="s">
        <v>220</v>
      </c>
      <c r="B18" s="20" t="str">
        <f t="shared" si="0"/>
        <v>2017/03/01 13:20:52.980</v>
      </c>
      <c r="C18" s="20">
        <f t="shared" si="1"/>
        <v>1.9675935618579388E-6</v>
      </c>
    </row>
    <row r="19" spans="1:3" x14ac:dyDescent="0.25">
      <c r="A19" t="s">
        <v>221</v>
      </c>
      <c r="B19" s="20" t="str">
        <f t="shared" si="0"/>
        <v>2017/03/01 13:58:52.710</v>
      </c>
      <c r="C19" s="20">
        <f t="shared" si="1"/>
        <v>2.6385763885627966E-2</v>
      </c>
    </row>
    <row r="20" spans="1:3" x14ac:dyDescent="0.25">
      <c r="A20" t="s">
        <v>222</v>
      </c>
      <c r="B20" s="20" t="str">
        <f t="shared" si="0"/>
        <v>2017/03/01 13:58:53.276</v>
      </c>
      <c r="C20" s="20">
        <f t="shared" si="1"/>
        <v>6.5509302658028901E-6</v>
      </c>
    </row>
    <row r="21" spans="1:3" x14ac:dyDescent="0.25">
      <c r="A21" t="s">
        <v>223</v>
      </c>
      <c r="B21" s="20" t="str">
        <f t="shared" si="0"/>
        <v>2017/03/01 13:58:53.627</v>
      </c>
      <c r="C21" s="20">
        <f t="shared" si="1"/>
        <v>4.0624945540912449E-6</v>
      </c>
    </row>
    <row r="22" spans="1:3" x14ac:dyDescent="0.25">
      <c r="A22" t="s">
        <v>224</v>
      </c>
      <c r="B22" s="20" t="str">
        <f t="shared" si="0"/>
        <v>2017/03/01 14:00:31.007</v>
      </c>
      <c r="C22" s="20">
        <f t="shared" si="1"/>
        <v>1.1270833347225562E-3</v>
      </c>
    </row>
    <row r="23" spans="1:3" x14ac:dyDescent="0.25">
      <c r="A23" t="s">
        <v>225</v>
      </c>
      <c r="B23" s="20" t="str">
        <f t="shared" si="0"/>
        <v>2017/03/01 14:00:31.373</v>
      </c>
      <c r="C23" s="20">
        <f t="shared" si="1"/>
        <v>4.2361134546808898E-6</v>
      </c>
    </row>
    <row r="24" spans="1:3" x14ac:dyDescent="0.25">
      <c r="A24" t="s">
        <v>226</v>
      </c>
      <c r="B24" s="20" t="str">
        <f t="shared" si="0"/>
        <v>2017/03/01 14:00:31.869</v>
      </c>
      <c r="C24" s="20">
        <f t="shared" si="1"/>
        <v>5.7407378335483372E-6</v>
      </c>
    </row>
    <row r="25" spans="1:3" x14ac:dyDescent="0.25">
      <c r="A25" t="s">
        <v>227</v>
      </c>
      <c r="B25" s="20" t="str">
        <f t="shared" si="0"/>
        <v>2017/03/01 14:08:42.962</v>
      </c>
      <c r="C25" s="20">
        <f t="shared" si="1"/>
        <v>5.6839467652025633E-3</v>
      </c>
    </row>
    <row r="26" spans="1:3" x14ac:dyDescent="0.25">
      <c r="A26" t="s">
        <v>228</v>
      </c>
      <c r="B26" s="20" t="str">
        <f t="shared" si="0"/>
        <v>2017/03/01 14:08:43.936</v>
      </c>
      <c r="C26" s="20">
        <f t="shared" si="1"/>
        <v>1.127314317272976E-5</v>
      </c>
    </row>
    <row r="27" spans="1:3" x14ac:dyDescent="0.25">
      <c r="A27" t="s">
        <v>229</v>
      </c>
      <c r="B27" s="20" t="str">
        <f t="shared" si="0"/>
        <v>2017/03/01 14:08:44.822</v>
      </c>
      <c r="C27" s="20">
        <f t="shared" si="1"/>
        <v>1.0254632798023522E-5</v>
      </c>
    </row>
    <row r="28" spans="1:3" x14ac:dyDescent="0.25">
      <c r="A28" t="s">
        <v>230</v>
      </c>
      <c r="B28" s="20" t="str">
        <f t="shared" si="0"/>
        <v>2017/03/01 14:40:19.043</v>
      </c>
      <c r="C28" s="20">
        <f t="shared" si="1"/>
        <v>2.1923854161286727E-2</v>
      </c>
    </row>
    <row r="29" spans="1:3" x14ac:dyDescent="0.25">
      <c r="A29" t="s">
        <v>231</v>
      </c>
      <c r="B29" s="20" t="str">
        <f t="shared" si="0"/>
        <v>2017/03/01 14:40:20.484</v>
      </c>
      <c r="C29" s="20">
        <f t="shared" si="1"/>
        <v>1.6678241081535816E-5</v>
      </c>
    </row>
    <row r="30" spans="1:3" x14ac:dyDescent="0.25">
      <c r="A30" t="s">
        <v>232</v>
      </c>
      <c r="B30" s="20" t="str">
        <f t="shared" si="0"/>
        <v>2017/03/01 14:42:29.040</v>
      </c>
      <c r="C30" s="20">
        <f t="shared" si="1"/>
        <v>1.4879166701575741E-3</v>
      </c>
    </row>
    <row r="31" spans="1:3" x14ac:dyDescent="0.25">
      <c r="A31" t="s">
        <v>233</v>
      </c>
      <c r="B31" s="20" t="str">
        <f t="shared" ref="B31:B32" si="2">MID(A31,6,23)</f>
        <v>2017/03/01 14:42:30.164</v>
      </c>
      <c r="C31" s="20">
        <f t="shared" ref="C31:C32" si="3">ABS(B31-B30)</f>
        <v>1.3009259419050068E-5</v>
      </c>
    </row>
    <row r="32" spans="1:3" x14ac:dyDescent="0.25">
      <c r="A32" t="s">
        <v>234</v>
      </c>
      <c r="B32" s="20" t="str">
        <f t="shared" si="2"/>
        <v>2017/03/01 14:42:30.410</v>
      </c>
      <c r="C32" s="20">
        <f t="shared" si="3"/>
        <v>2.847220457624644E-6</v>
      </c>
    </row>
    <row r="33" spans="1:3" x14ac:dyDescent="0.25">
      <c r="A33" t="s">
        <v>235</v>
      </c>
      <c r="B33" s="20" t="str">
        <f t="shared" ref="B33:B49" si="4">MID(A33,6,23)</f>
        <v>2017/03/01 15:16:01.045</v>
      </c>
      <c r="C33" s="20">
        <f t="shared" ref="C33:C49" si="5">ABS(B33-B32)</f>
        <v>2.3271238424058538E-2</v>
      </c>
    </row>
    <row r="34" spans="1:3" x14ac:dyDescent="0.25">
      <c r="A34" t="s">
        <v>236</v>
      </c>
      <c r="B34" s="20" t="str">
        <f t="shared" si="4"/>
        <v>2017/03/01 15:16:01.400</v>
      </c>
      <c r="C34" s="20">
        <f t="shared" si="5"/>
        <v>4.1087987483479083E-6</v>
      </c>
    </row>
    <row r="35" spans="1:3" x14ac:dyDescent="0.25">
      <c r="A35" t="s">
        <v>237</v>
      </c>
      <c r="B35" s="20" t="str">
        <f t="shared" si="4"/>
        <v>2017/03/01 15:17:18.045</v>
      </c>
      <c r="C35" s="20">
        <f t="shared" si="5"/>
        <v>8.8709490955807269E-4</v>
      </c>
    </row>
    <row r="36" spans="1:3" x14ac:dyDescent="0.25">
      <c r="A36" t="s">
        <v>238</v>
      </c>
      <c r="B36" s="20" t="str">
        <f t="shared" si="4"/>
        <v>2017/03/01 15:17:18.415</v>
      </c>
      <c r="C36" s="20">
        <f t="shared" si="5"/>
        <v>4.2824030970223248E-6</v>
      </c>
    </row>
    <row r="37" spans="1:3" x14ac:dyDescent="0.25">
      <c r="A37" t="s">
        <v>239</v>
      </c>
      <c r="B37" s="20" t="str">
        <f t="shared" si="4"/>
        <v>2017/03/01 15:17:19.155</v>
      </c>
      <c r="C37" s="20">
        <f t="shared" si="5"/>
        <v>8.564820745959878E-6</v>
      </c>
    </row>
    <row r="38" spans="1:3" x14ac:dyDescent="0.25">
      <c r="A38" t="s">
        <v>240</v>
      </c>
      <c r="B38" s="20" t="str">
        <f t="shared" si="4"/>
        <v>2017/03/01 16:13:17.582</v>
      </c>
      <c r="C38" s="20">
        <f t="shared" si="5"/>
        <v>3.8870682867127471E-2</v>
      </c>
    </row>
    <row r="39" spans="1:3" x14ac:dyDescent="0.25">
      <c r="A39" t="s">
        <v>241</v>
      </c>
      <c r="B39" s="20" t="str">
        <f t="shared" si="4"/>
        <v>2017/03/01 16:13:17.910</v>
      </c>
      <c r="C39" s="20">
        <f t="shared" si="5"/>
        <v>3.7962963688187301E-6</v>
      </c>
    </row>
    <row r="40" spans="1:3" x14ac:dyDescent="0.25">
      <c r="A40" t="s">
        <v>242</v>
      </c>
      <c r="B40" s="20" t="str">
        <f t="shared" si="4"/>
        <v>2017/03/01 16:33:53.680</v>
      </c>
      <c r="C40" s="20">
        <f t="shared" si="5"/>
        <v>1.4302893519925419E-2</v>
      </c>
    </row>
    <row r="41" spans="1:3" x14ac:dyDescent="0.25">
      <c r="A41" t="s">
        <v>243</v>
      </c>
      <c r="B41" s="20" t="str">
        <f t="shared" si="4"/>
        <v>2017/03/01 16:33:53.828</v>
      </c>
      <c r="C41" s="20">
        <f t="shared" si="5"/>
        <v>1.7129641491919756E-6</v>
      </c>
    </row>
    <row r="42" spans="1:3" x14ac:dyDescent="0.25">
      <c r="A42" t="s">
        <v>244</v>
      </c>
      <c r="B42" s="20" t="str">
        <f t="shared" si="4"/>
        <v>2017/03/01 16:33:53.912</v>
      </c>
      <c r="C42" s="20">
        <f t="shared" si="5"/>
        <v>9.7222073236480355E-7</v>
      </c>
    </row>
    <row r="43" spans="1:3" x14ac:dyDescent="0.25">
      <c r="A43" t="s">
        <v>245</v>
      </c>
      <c r="B43" s="20" t="str">
        <f t="shared" si="4"/>
        <v>2017/03/01 17:25:14.718</v>
      </c>
      <c r="C43" s="20">
        <f t="shared" si="5"/>
        <v>3.5657476852065884E-2</v>
      </c>
    </row>
    <row r="44" spans="1:3" x14ac:dyDescent="0.25">
      <c r="A44" t="s">
        <v>246</v>
      </c>
      <c r="B44" s="20" t="str">
        <f t="shared" si="4"/>
        <v>2017/03/01 17:25:14.865</v>
      </c>
      <c r="C44" s="20">
        <f t="shared" si="5"/>
        <v>1.7013881006278098E-6</v>
      </c>
    </row>
    <row r="45" spans="1:3" x14ac:dyDescent="0.25">
      <c r="A45" t="s">
        <v>247</v>
      </c>
      <c r="B45" s="20" t="str">
        <f t="shared" si="4"/>
        <v>2017/03/01 17:25:14.945</v>
      </c>
      <c r="C45" s="20">
        <f t="shared" si="5"/>
        <v>9.2592381406575441E-7</v>
      </c>
    </row>
    <row r="46" spans="1:3" x14ac:dyDescent="0.25">
      <c r="A46" t="s">
        <v>248</v>
      </c>
      <c r="B46" s="20" t="str">
        <f t="shared" si="4"/>
        <v>2017/03/01 17:51:17.905</v>
      </c>
      <c r="C46" s="20">
        <f t="shared" si="5"/>
        <v>1.8089814817358274E-2</v>
      </c>
    </row>
    <row r="47" spans="1:3" x14ac:dyDescent="0.25">
      <c r="A47" t="s">
        <v>249</v>
      </c>
      <c r="B47" s="20" t="str">
        <f t="shared" si="4"/>
        <v>2017/03/01 17:51:18.582</v>
      </c>
      <c r="C47" s="20">
        <f t="shared" si="5"/>
        <v>7.8356461017392576E-6</v>
      </c>
    </row>
    <row r="48" spans="1:3" x14ac:dyDescent="0.25">
      <c r="A48" t="s">
        <v>250</v>
      </c>
      <c r="B48" s="20" t="str">
        <f t="shared" si="4"/>
        <v>2017/03/01 17:53:38.687</v>
      </c>
      <c r="C48" s="20">
        <f t="shared" si="5"/>
        <v>1.6215856521739624E-3</v>
      </c>
    </row>
    <row r="49" spans="1:3" x14ac:dyDescent="0.25">
      <c r="A49" t="s">
        <v>251</v>
      </c>
      <c r="B49" s="20" t="str">
        <f t="shared" si="4"/>
        <v>2017/03/01 17:53:38.949</v>
      </c>
      <c r="C49" s="20">
        <f t="shared" si="5"/>
        <v>3.0324081308208406E-6</v>
      </c>
    </row>
    <row r="50" spans="1:3" x14ac:dyDescent="0.25">
      <c r="A50" t="s">
        <v>252</v>
      </c>
      <c r="B50" s="20" t="str">
        <f t="shared" ref="B50:B54" si="6">MID(A50,6,23)</f>
        <v>2017/03/01 17:54:21.586</v>
      </c>
      <c r="C50" s="20">
        <f t="shared" ref="C50:C54" si="7">ABS(B50-B49)</f>
        <v>4.934837925247848E-4</v>
      </c>
    </row>
    <row r="51" spans="1:3" x14ac:dyDescent="0.25">
      <c r="A51" t="s">
        <v>253</v>
      </c>
      <c r="B51" s="20" t="str">
        <f t="shared" si="6"/>
        <v>2017/03/01 17:54:21.919</v>
      </c>
      <c r="C51" s="20">
        <f t="shared" si="7"/>
        <v>3.8541693356819451E-6</v>
      </c>
    </row>
    <row r="52" spans="1:3" x14ac:dyDescent="0.25">
      <c r="A52" t="s">
        <v>254</v>
      </c>
      <c r="B52" s="20" t="str">
        <f t="shared" si="6"/>
        <v>2017/03/01 17:55:16.336</v>
      </c>
      <c r="C52" s="20">
        <f t="shared" si="7"/>
        <v>6.2982638337416574E-4</v>
      </c>
    </row>
    <row r="53" spans="1:3" x14ac:dyDescent="0.25">
      <c r="A53" t="s">
        <v>255</v>
      </c>
      <c r="B53" s="20" t="str">
        <f t="shared" si="6"/>
        <v>2017/03/01 17:55:16.384</v>
      </c>
      <c r="C53" s="20">
        <f t="shared" si="7"/>
        <v>5.5555574363097548E-7</v>
      </c>
    </row>
    <row r="54" spans="1:3" x14ac:dyDescent="0.25">
      <c r="A54" t="s">
        <v>256</v>
      </c>
      <c r="B54" s="20" t="str">
        <f t="shared" si="6"/>
        <v>2017/03/01 17:55:16.839</v>
      </c>
      <c r="C54" s="20">
        <f t="shared" si="7"/>
        <v>5.2662071539089084E-6</v>
      </c>
    </row>
    <row r="55" spans="1:3" x14ac:dyDescent="0.25">
      <c r="A55" t="s">
        <v>257</v>
      </c>
      <c r="B55" s="20" t="str">
        <f t="shared" ref="B55:B62" si="8">MID(A55,6,23)</f>
        <v>2017/03/01 18:13:47.810</v>
      </c>
      <c r="C55" s="20">
        <f t="shared" ref="C55:C62" si="9">ABS(B55-B54)</f>
        <v>1.2858460650022607E-2</v>
      </c>
    </row>
    <row r="56" spans="1:3" x14ac:dyDescent="0.25">
      <c r="A56" t="s">
        <v>258</v>
      </c>
      <c r="B56" s="20" t="str">
        <f t="shared" si="8"/>
        <v>2017/03/01 18:13:48.426</v>
      </c>
      <c r="C56" s="20">
        <f t="shared" si="9"/>
        <v>7.129630830604583E-6</v>
      </c>
    </row>
    <row r="57" spans="1:3" x14ac:dyDescent="0.25">
      <c r="A57" t="s">
        <v>259</v>
      </c>
      <c r="B57" s="20" t="str">
        <f t="shared" si="8"/>
        <v>2017/03/01 18:34:18.681</v>
      </c>
      <c r="C57" s="20">
        <f t="shared" si="9"/>
        <v>1.4239062496926636E-2</v>
      </c>
    </row>
    <row r="58" spans="1:3" x14ac:dyDescent="0.25">
      <c r="A58" t="s">
        <v>260</v>
      </c>
      <c r="B58" s="20" t="str">
        <f t="shared" si="8"/>
        <v>2017/03/01 18:34:18.834</v>
      </c>
      <c r="C58" s="20">
        <f t="shared" si="9"/>
        <v>1.7708298400975764E-6</v>
      </c>
    </row>
    <row r="59" spans="1:3" x14ac:dyDescent="0.25">
      <c r="A59" t="s">
        <v>261</v>
      </c>
      <c r="B59" s="20" t="str">
        <f t="shared" si="8"/>
        <v>2017/03/01 18:34:18.908</v>
      </c>
      <c r="C59" s="20">
        <f t="shared" si="9"/>
        <v>8.564820745959878E-7</v>
      </c>
    </row>
    <row r="60" spans="1:3" x14ac:dyDescent="0.25">
      <c r="A60" t="s">
        <v>262</v>
      </c>
      <c r="B60" s="20" t="str">
        <f t="shared" si="8"/>
        <v>2017/03/01 20:06:08.810</v>
      </c>
      <c r="C60" s="20">
        <f t="shared" si="9"/>
        <v>6.3772013891139068E-2</v>
      </c>
    </row>
    <row r="61" spans="1:3" x14ac:dyDescent="0.25">
      <c r="A61" t="s">
        <v>263</v>
      </c>
      <c r="B61" s="20" t="str">
        <f t="shared" si="8"/>
        <v>2017/03/01 20:06:09.082</v>
      </c>
      <c r="C61" s="20">
        <f t="shared" si="9"/>
        <v>3.1481467885896564E-6</v>
      </c>
    </row>
    <row r="62" spans="1:3" x14ac:dyDescent="0.25">
      <c r="A62" t="s">
        <v>264</v>
      </c>
      <c r="B62" s="20" t="str">
        <f t="shared" si="8"/>
        <v>2017/03/01 20:06:09.424</v>
      </c>
      <c r="C62" s="20">
        <f t="shared" si="9"/>
        <v>3.958331944886595E-6</v>
      </c>
    </row>
    <row r="63" spans="1:3" x14ac:dyDescent="0.25">
      <c r="A63" t="s">
        <v>265</v>
      </c>
      <c r="B63" s="20" t="str">
        <f t="shared" ref="B63:B86" si="10">MID(A63,6,23)</f>
        <v>2017/03/01 20:29:46.035</v>
      </c>
      <c r="C63" s="20">
        <f t="shared" ref="C63:C86" si="11">ABS(B63-B62)</f>
        <v>1.6395960650697816E-2</v>
      </c>
    </row>
    <row r="64" spans="1:3" x14ac:dyDescent="0.25">
      <c r="A64" t="s">
        <v>266</v>
      </c>
      <c r="B64" s="20" t="str">
        <f t="shared" si="10"/>
        <v>2017/03/01 20:29:46.150</v>
      </c>
      <c r="C64" s="20">
        <f t="shared" si="11"/>
        <v>1.3310200301930308E-6</v>
      </c>
    </row>
    <row r="65" spans="1:3" x14ac:dyDescent="0.25">
      <c r="A65" t="s">
        <v>267</v>
      </c>
      <c r="B65" s="20" t="str">
        <f t="shared" si="10"/>
        <v>2017/03/01 20:29:46.410</v>
      </c>
      <c r="C65" s="20">
        <f t="shared" si="11"/>
        <v>3.0092560336925089E-6</v>
      </c>
    </row>
    <row r="66" spans="1:3" x14ac:dyDescent="0.25">
      <c r="A66" t="s">
        <v>268</v>
      </c>
      <c r="B66" s="20" t="str">
        <f t="shared" si="10"/>
        <v>2017/03/01 20:32:47.271</v>
      </c>
      <c r="C66" s="20">
        <f t="shared" si="11"/>
        <v>2.0932986153638922E-3</v>
      </c>
    </row>
    <row r="67" spans="1:3" x14ac:dyDescent="0.25">
      <c r="A67" t="s">
        <v>269</v>
      </c>
      <c r="B67" s="20" t="str">
        <f t="shared" si="10"/>
        <v>2017/03/01 20:32:47.465</v>
      </c>
      <c r="C67" s="20">
        <f t="shared" si="11"/>
        <v>2.2453677956946194E-6</v>
      </c>
    </row>
    <row r="68" spans="1:3" x14ac:dyDescent="0.25">
      <c r="A68" t="s">
        <v>270</v>
      </c>
      <c r="B68" s="20" t="str">
        <f t="shared" si="10"/>
        <v>2017/03/01 20:32:47.590</v>
      </c>
      <c r="C68" s="20">
        <f t="shared" si="11"/>
        <v>1.4467586879618466E-6</v>
      </c>
    </row>
    <row r="69" spans="1:3" x14ac:dyDescent="0.25">
      <c r="A69" t="s">
        <v>271</v>
      </c>
      <c r="B69" s="20" t="str">
        <f t="shared" si="10"/>
        <v>2017/03/01 21:35:07.687</v>
      </c>
      <c r="C69" s="20">
        <f t="shared" si="11"/>
        <v>4.3288159722578712E-2</v>
      </c>
    </row>
    <row r="70" spans="1:3" x14ac:dyDescent="0.25">
      <c r="A70" t="s">
        <v>272</v>
      </c>
      <c r="B70" s="20" t="str">
        <f t="shared" si="10"/>
        <v>2017/03/01 22:09:49.455</v>
      </c>
      <c r="C70" s="20">
        <f t="shared" si="11"/>
        <v>2.4094537038763519E-2</v>
      </c>
    </row>
    <row r="71" spans="1:3" x14ac:dyDescent="0.25">
      <c r="A71" t="s">
        <v>273</v>
      </c>
      <c r="B71" s="20" t="str">
        <f t="shared" si="10"/>
        <v>2017/03/01 22:09:49.531</v>
      </c>
      <c r="C71" s="20">
        <f t="shared" si="11"/>
        <v>8.7962689576670527E-7</v>
      </c>
    </row>
    <row r="72" spans="1:3" x14ac:dyDescent="0.25">
      <c r="A72" t="s">
        <v>274</v>
      </c>
      <c r="B72" s="20" t="str">
        <f t="shared" si="10"/>
        <v>2017/03/01 22:09:49.600</v>
      </c>
      <c r="C72" s="20">
        <f t="shared" si="11"/>
        <v>7.9860910773277283E-7</v>
      </c>
    </row>
    <row r="73" spans="1:3" x14ac:dyDescent="0.25">
      <c r="A73" t="s">
        <v>275</v>
      </c>
      <c r="B73" s="20" t="str">
        <f t="shared" si="10"/>
        <v>2017/03/01 22:19:03.040</v>
      </c>
      <c r="C73" s="20">
        <f t="shared" si="11"/>
        <v>6.4055555558297783E-3</v>
      </c>
    </row>
    <row r="74" spans="1:3" x14ac:dyDescent="0.25">
      <c r="A74" t="s">
        <v>276</v>
      </c>
      <c r="B74" s="20" t="str">
        <f t="shared" si="10"/>
        <v>2017/03/01 22:19:03.803</v>
      </c>
      <c r="C74" s="20">
        <f t="shared" si="11"/>
        <v>8.8310189312323928E-6</v>
      </c>
    </row>
    <row r="75" spans="1:3" x14ac:dyDescent="0.25">
      <c r="A75" t="s">
        <v>277</v>
      </c>
      <c r="B75" s="20" t="str">
        <f t="shared" si="10"/>
        <v>2017/03/01 22:19:04.887</v>
      </c>
      <c r="C75" s="20">
        <f t="shared" si="11"/>
        <v>1.254629751201719E-5</v>
      </c>
    </row>
    <row r="76" spans="1:3" x14ac:dyDescent="0.25">
      <c r="A76" t="s">
        <v>278</v>
      </c>
      <c r="B76" s="20" t="str">
        <f t="shared" si="10"/>
        <v>2017/03/01 22:37:58.313</v>
      </c>
      <c r="C76" s="20">
        <f t="shared" si="11"/>
        <v>1.311835648084525E-2</v>
      </c>
    </row>
    <row r="77" spans="1:3" x14ac:dyDescent="0.25">
      <c r="A77" t="s">
        <v>279</v>
      </c>
      <c r="B77" s="20" t="str">
        <f t="shared" si="10"/>
        <v>2017/03/01 22:37:58.800</v>
      </c>
      <c r="C77" s="20">
        <f t="shared" si="11"/>
        <v>5.6365752243436873E-6</v>
      </c>
    </row>
    <row r="78" spans="1:3" x14ac:dyDescent="0.25">
      <c r="A78" t="s">
        <v>280</v>
      </c>
      <c r="B78" s="20" t="str">
        <f t="shared" si="10"/>
        <v>2017/03/01 22:37:58.968</v>
      </c>
      <c r="C78" s="20">
        <f t="shared" si="11"/>
        <v>1.9444487406872213E-6</v>
      </c>
    </row>
    <row r="79" spans="1:3" x14ac:dyDescent="0.25">
      <c r="A79" t="s">
        <v>281</v>
      </c>
      <c r="B79" s="20" t="str">
        <f t="shared" si="10"/>
        <v>2017/03/01 22:51:54.858</v>
      </c>
      <c r="C79" s="20">
        <f t="shared" si="11"/>
        <v>9.6746527779032476E-3</v>
      </c>
    </row>
    <row r="80" spans="1:3" x14ac:dyDescent="0.25">
      <c r="A80" t="s">
        <v>282</v>
      </c>
      <c r="B80" s="20" t="str">
        <f t="shared" si="10"/>
        <v>2017/03/01 22:53:19.418</v>
      </c>
      <c r="C80" s="20">
        <f t="shared" si="11"/>
        <v>9.7870369791053236E-4</v>
      </c>
    </row>
    <row r="81" spans="1:3" x14ac:dyDescent="0.25">
      <c r="A81" t="s">
        <v>283</v>
      </c>
      <c r="B81" s="20" t="str">
        <f t="shared" si="10"/>
        <v>2017/03/01 22:53:19.708</v>
      </c>
      <c r="C81" s="20">
        <f t="shared" si="11"/>
        <v>3.3564865589141846E-6</v>
      </c>
    </row>
    <row r="82" spans="1:3" x14ac:dyDescent="0.25">
      <c r="A82" t="s">
        <v>284</v>
      </c>
      <c r="B82" s="20" t="str">
        <f t="shared" si="10"/>
        <v>2017/03/01 23:26:03.802</v>
      </c>
      <c r="C82" s="20">
        <f t="shared" si="11"/>
        <v>2.2732569443178363E-2</v>
      </c>
    </row>
    <row r="83" spans="1:3" x14ac:dyDescent="0.25">
      <c r="A83" t="s">
        <v>285</v>
      </c>
      <c r="B83" s="20" t="str">
        <f t="shared" si="10"/>
        <v>2017/03/01 23:26:03.967</v>
      </c>
      <c r="C83" s="20">
        <f t="shared" si="11"/>
        <v>1.9097205949947238E-6</v>
      </c>
    </row>
    <row r="84" spans="1:3" x14ac:dyDescent="0.25">
      <c r="A84" t="s">
        <v>286</v>
      </c>
      <c r="B84" s="20" t="str">
        <f t="shared" si="10"/>
        <v>2017/03/01 23:26:04.314</v>
      </c>
      <c r="C84" s="20">
        <f t="shared" si="11"/>
        <v>4.01620491174981E-6</v>
      </c>
    </row>
    <row r="85" spans="1:3" x14ac:dyDescent="0.25">
      <c r="A85" t="s">
        <v>287</v>
      </c>
      <c r="B85" s="20" t="str">
        <f t="shared" si="10"/>
        <v>2017/03/01 23:34:24.829</v>
      </c>
      <c r="C85" s="20">
        <f t="shared" si="11"/>
        <v>5.7929976828745566E-3</v>
      </c>
    </row>
    <row r="86" spans="1:3" x14ac:dyDescent="0.25">
      <c r="A86" t="s">
        <v>288</v>
      </c>
      <c r="B86" s="20" t="str">
        <f t="shared" si="10"/>
        <v>2017/03/01 23:34:24.908</v>
      </c>
      <c r="C86" s="20">
        <f t="shared" si="11"/>
        <v>9.1435504145920277E-7</v>
      </c>
    </row>
    <row r="87" spans="1:3" x14ac:dyDescent="0.25">
      <c r="A87" t="s">
        <v>289</v>
      </c>
      <c r="B87" s="20" t="str">
        <f t="shared" ref="B87:B92" si="12">MID(A87,6,23)</f>
        <v>2017/03/01 23:52:09.789</v>
      </c>
      <c r="C87" s="20">
        <f t="shared" ref="C87:C92" si="13">ABS(B87-B86)</f>
        <v>1.2325011572102085E-2</v>
      </c>
    </row>
    <row r="88" spans="1:3" x14ac:dyDescent="0.25">
      <c r="A88" t="s">
        <v>290</v>
      </c>
      <c r="B88" s="20" t="str">
        <f t="shared" si="12"/>
        <v>2017/03/01 23:52:10.049</v>
      </c>
      <c r="C88" s="20">
        <f t="shared" si="13"/>
        <v>3.0092560336925089E-6</v>
      </c>
    </row>
    <row r="89" spans="1:3" x14ac:dyDescent="0.25">
      <c r="A89" t="s">
        <v>291</v>
      </c>
      <c r="B89" s="20" t="str">
        <f t="shared" si="12"/>
        <v>2017/03/02 00:26:52.318</v>
      </c>
      <c r="C89" s="20">
        <f t="shared" si="13"/>
        <v>2.4100335649563931E-2</v>
      </c>
    </row>
    <row r="90" spans="1:3" x14ac:dyDescent="0.25">
      <c r="A90" t="s">
        <v>292</v>
      </c>
      <c r="B90" s="20" t="str">
        <f t="shared" si="12"/>
        <v>2017/03/02 00:26:52.805</v>
      </c>
      <c r="C90" s="20">
        <f t="shared" si="13"/>
        <v>5.6365752243436873E-6</v>
      </c>
    </row>
    <row r="91" spans="1:3" x14ac:dyDescent="0.25">
      <c r="A91" t="s">
        <v>293</v>
      </c>
      <c r="B91" s="20" t="str">
        <f t="shared" si="12"/>
        <v>2017/03/02 00:26:52.971</v>
      </c>
      <c r="C91" s="20">
        <f t="shared" si="13"/>
        <v>1.9212966435588896E-6</v>
      </c>
    </row>
    <row r="92" spans="1:3" x14ac:dyDescent="0.25">
      <c r="A92" t="s">
        <v>294</v>
      </c>
      <c r="B92" s="20" t="str">
        <f t="shared" si="12"/>
        <v>2017/03/02 00:52:34.904</v>
      </c>
      <c r="C92" s="20">
        <f t="shared" si="13"/>
        <v>1.7846446760813706E-2</v>
      </c>
    </row>
    <row r="93" spans="1:3" x14ac:dyDescent="0.25">
      <c r="A93" t="s">
        <v>295</v>
      </c>
      <c r="B93" s="20" t="str">
        <f t="shared" ref="B93:B130" si="14">MID(A93,6,23)</f>
        <v>2017/03/02 00:52:36.808</v>
      </c>
      <c r="C93" s="20">
        <f t="shared" ref="C93:C130" si="15">ABS(B93-B92)</f>
        <v>2.2037034796085209E-5</v>
      </c>
    </row>
    <row r="94" spans="1:3" x14ac:dyDescent="0.25">
      <c r="A94" t="s">
        <v>296</v>
      </c>
      <c r="B94" s="20" t="str">
        <f t="shared" si="14"/>
        <v>2017/03/02 00:52:36.956</v>
      </c>
      <c r="C94" s="20">
        <f t="shared" si="15"/>
        <v>1.7129641491919756E-6</v>
      </c>
    </row>
    <row r="95" spans="1:3" x14ac:dyDescent="0.25">
      <c r="A95" t="s">
        <v>297</v>
      </c>
      <c r="B95" s="20" t="str">
        <f t="shared" si="14"/>
        <v>2017/03/02 01:13:02.814</v>
      </c>
      <c r="C95" s="20">
        <f t="shared" si="15"/>
        <v>1.418817129888339E-2</v>
      </c>
    </row>
    <row r="96" spans="1:3" x14ac:dyDescent="0.25">
      <c r="A96" t="s">
        <v>298</v>
      </c>
      <c r="B96" s="20" t="str">
        <f t="shared" si="14"/>
        <v>2017/03/02 01:13:03.323</v>
      </c>
      <c r="C96" s="20">
        <f t="shared" si="15"/>
        <v>5.8912046370096505E-6</v>
      </c>
    </row>
    <row r="97" spans="1:3" x14ac:dyDescent="0.25">
      <c r="A97" t="s">
        <v>299</v>
      </c>
      <c r="B97" s="20" t="str">
        <f t="shared" si="14"/>
        <v>2017/03/02 01:13:03.347</v>
      </c>
      <c r="C97" s="20">
        <f t="shared" si="15"/>
        <v>2.7777423383668065E-7</v>
      </c>
    </row>
    <row r="98" spans="1:3" x14ac:dyDescent="0.25">
      <c r="A98" t="s">
        <v>300</v>
      </c>
      <c r="B98" s="20" t="str">
        <f t="shared" si="14"/>
        <v>2017/03/02 01:13:03.980</v>
      </c>
      <c r="C98" s="20">
        <f t="shared" si="15"/>
        <v>7.3263872764073312E-6</v>
      </c>
    </row>
    <row r="99" spans="1:3" x14ac:dyDescent="0.25">
      <c r="A99" t="s">
        <v>301</v>
      </c>
      <c r="B99" s="20" t="str">
        <f t="shared" si="14"/>
        <v>2017/03/02 01:13:37.804</v>
      </c>
      <c r="C99" s="20">
        <f t="shared" si="15"/>
        <v>3.9148148061940446E-4</v>
      </c>
    </row>
    <row r="100" spans="1:3" x14ac:dyDescent="0.25">
      <c r="A100" t="s">
        <v>302</v>
      </c>
      <c r="B100" s="20" t="str">
        <f t="shared" si="14"/>
        <v>2017/03/02 01:13:38.315</v>
      </c>
      <c r="C100" s="20">
        <f t="shared" si="15"/>
        <v>5.9143567341379821E-6</v>
      </c>
    </row>
    <row r="101" spans="1:3" x14ac:dyDescent="0.25">
      <c r="A101" t="s">
        <v>303</v>
      </c>
      <c r="B101" s="20" t="str">
        <f t="shared" si="14"/>
        <v>2017/03/02 01:13:38.969</v>
      </c>
      <c r="C101" s="20">
        <f t="shared" si="15"/>
        <v>7.5694406405091286E-6</v>
      </c>
    </row>
    <row r="102" spans="1:3" x14ac:dyDescent="0.25">
      <c r="A102" t="s">
        <v>304</v>
      </c>
      <c r="B102" s="20" t="str">
        <f t="shared" si="14"/>
        <v>2017/03/02 01:14:07.802</v>
      </c>
      <c r="C102" s="20">
        <f t="shared" si="15"/>
        <v>3.3371528115822002E-4</v>
      </c>
    </row>
    <row r="103" spans="1:3" x14ac:dyDescent="0.25">
      <c r="A103" t="s">
        <v>305</v>
      </c>
      <c r="B103" s="20" t="str">
        <f t="shared" si="14"/>
        <v>2017/03/02 01:14:08.317</v>
      </c>
      <c r="C103" s="20">
        <f t="shared" si="15"/>
        <v>5.9606463764794171E-6</v>
      </c>
    </row>
    <row r="104" spans="1:3" x14ac:dyDescent="0.25">
      <c r="A104" t="s">
        <v>306</v>
      </c>
      <c r="B104" s="20" t="str">
        <f t="shared" si="14"/>
        <v>2017/03/02 01:14:08.969</v>
      </c>
      <c r="C104" s="20">
        <f t="shared" si="15"/>
        <v>7.5462958193384111E-6</v>
      </c>
    </row>
    <row r="105" spans="1:3" x14ac:dyDescent="0.25">
      <c r="A105" t="s">
        <v>307</v>
      </c>
      <c r="B105" s="20" t="str">
        <f t="shared" si="14"/>
        <v>2017/03/02 01:31:00.809</v>
      </c>
      <c r="C105" s="20">
        <f t="shared" si="15"/>
        <v>1.1711111110344063E-2</v>
      </c>
    </row>
    <row r="106" spans="1:3" x14ac:dyDescent="0.25">
      <c r="A106" t="s">
        <v>308</v>
      </c>
      <c r="B106" s="20" t="str">
        <f t="shared" si="14"/>
        <v>2017/03/02 01:31:01.318</v>
      </c>
      <c r="C106" s="20">
        <f t="shared" si="15"/>
        <v>5.8912046370096505E-6</v>
      </c>
    </row>
    <row r="107" spans="1:3" x14ac:dyDescent="0.25">
      <c r="A107" t="s">
        <v>309</v>
      </c>
      <c r="B107" s="20" t="str">
        <f t="shared" si="14"/>
        <v>2017/03/02 01:31:01.972</v>
      </c>
      <c r="C107" s="20">
        <f t="shared" si="15"/>
        <v>7.5694479164667428E-6</v>
      </c>
    </row>
    <row r="108" spans="1:3" x14ac:dyDescent="0.25">
      <c r="A108" t="s">
        <v>310</v>
      </c>
      <c r="B108" s="20" t="str">
        <f t="shared" si="14"/>
        <v>2017/03/02 01:39:27.534</v>
      </c>
      <c r="C108" s="20">
        <f t="shared" si="15"/>
        <v>5.8514120319159701E-3</v>
      </c>
    </row>
    <row r="109" spans="1:3" x14ac:dyDescent="0.25">
      <c r="A109" t="s">
        <v>311</v>
      </c>
      <c r="B109" s="20" t="str">
        <f t="shared" si="14"/>
        <v>2017/03/02 01:39:27.595</v>
      </c>
      <c r="C109" s="20">
        <f t="shared" si="15"/>
        <v>7.0602254709228873E-7</v>
      </c>
    </row>
    <row r="110" spans="1:3" x14ac:dyDescent="0.25">
      <c r="A110" t="s">
        <v>312</v>
      </c>
      <c r="B110" s="20" t="str">
        <f t="shared" si="14"/>
        <v>2017/03/02 01:39:28.452</v>
      </c>
      <c r="C110" s="20">
        <f t="shared" si="15"/>
        <v>9.9189783213660121E-6</v>
      </c>
    </row>
    <row r="111" spans="1:3" x14ac:dyDescent="0.25">
      <c r="A111" t="s">
        <v>313</v>
      </c>
      <c r="B111" s="20" t="str">
        <f t="shared" si="14"/>
        <v>2017/03/02 02:43:47.743</v>
      </c>
      <c r="C111" s="20">
        <f t="shared" si="15"/>
        <v>4.4667719907010905E-2</v>
      </c>
    </row>
    <row r="112" spans="1:3" x14ac:dyDescent="0.25">
      <c r="A112" t="s">
        <v>314</v>
      </c>
      <c r="B112" s="20" t="str">
        <f t="shared" si="14"/>
        <v>2017/03/02 02:43:47.814</v>
      </c>
      <c r="C112" s="20">
        <f t="shared" si="15"/>
        <v>8.2176120486110449E-7</v>
      </c>
    </row>
    <row r="113" spans="1:3" x14ac:dyDescent="0.25">
      <c r="A113" t="s">
        <v>315</v>
      </c>
      <c r="B113" s="20" t="str">
        <f t="shared" si="14"/>
        <v>2017/03/02 02:43:48.041</v>
      </c>
      <c r="C113" s="20">
        <f t="shared" si="15"/>
        <v>2.6273119146935642E-6</v>
      </c>
    </row>
    <row r="114" spans="1:3" x14ac:dyDescent="0.25">
      <c r="A114" t="s">
        <v>316</v>
      </c>
      <c r="B114" s="20" t="str">
        <f t="shared" si="14"/>
        <v>2017/03/02 02:52:28.590</v>
      </c>
      <c r="C114" s="20">
        <f t="shared" si="15"/>
        <v>6.0248726877034642E-3</v>
      </c>
    </row>
    <row r="115" spans="1:3" x14ac:dyDescent="0.25">
      <c r="A115" t="s">
        <v>317</v>
      </c>
      <c r="B115" s="20" t="str">
        <f t="shared" si="14"/>
        <v>2017/03/02 02:52:28.905</v>
      </c>
      <c r="C115" s="20">
        <f t="shared" si="15"/>
        <v>3.6458295653574169E-6</v>
      </c>
    </row>
    <row r="116" spans="1:3" x14ac:dyDescent="0.25">
      <c r="A116" t="s">
        <v>318</v>
      </c>
      <c r="B116" s="20" t="str">
        <f t="shared" si="14"/>
        <v>2017/03/02 03:40:42.468</v>
      </c>
      <c r="C116" s="20">
        <f t="shared" si="15"/>
        <v>3.349031250400003E-2</v>
      </c>
    </row>
    <row r="117" spans="1:3" x14ac:dyDescent="0.25">
      <c r="A117" t="s">
        <v>319</v>
      </c>
      <c r="B117" s="20" t="str">
        <f t="shared" si="14"/>
        <v>2017/03/02 03:40:42.542</v>
      </c>
      <c r="C117" s="20">
        <f t="shared" si="15"/>
        <v>8.564820745959878E-7</v>
      </c>
    </row>
    <row r="118" spans="1:3" x14ac:dyDescent="0.25">
      <c r="A118" t="s">
        <v>320</v>
      </c>
      <c r="B118" s="20" t="str">
        <f t="shared" si="14"/>
        <v>2017/03/02 03:45:24.882</v>
      </c>
      <c r="C118" s="20">
        <f t="shared" si="15"/>
        <v>3.2678240750101395E-3</v>
      </c>
    </row>
    <row r="119" spans="1:3" x14ac:dyDescent="0.25">
      <c r="A119" t="s">
        <v>321</v>
      </c>
      <c r="B119" s="20" t="str">
        <f t="shared" si="14"/>
        <v>2017/03/02 03:45:25.384</v>
      </c>
      <c r="C119" s="20">
        <f t="shared" si="15"/>
        <v>5.8101795730181038E-6</v>
      </c>
    </row>
    <row r="120" spans="1:3" x14ac:dyDescent="0.25">
      <c r="A120" t="s">
        <v>322</v>
      </c>
      <c r="B120" s="20" t="str">
        <f t="shared" si="14"/>
        <v>2017/03/02 04:14:22.074</v>
      </c>
      <c r="C120" s="20">
        <f t="shared" si="15"/>
        <v>2.0100578709389083E-2</v>
      </c>
    </row>
    <row r="121" spans="1:3" x14ac:dyDescent="0.25">
      <c r="A121" t="s">
        <v>323</v>
      </c>
      <c r="B121" s="20" t="str">
        <f t="shared" si="14"/>
        <v>2017/03/02 04:14:22.756</v>
      </c>
      <c r="C121" s="20">
        <f t="shared" si="15"/>
        <v>7.8935190686024725E-6</v>
      </c>
    </row>
    <row r="122" spans="1:3" x14ac:dyDescent="0.25">
      <c r="A122" t="s">
        <v>324</v>
      </c>
      <c r="B122" s="20" t="str">
        <f t="shared" si="14"/>
        <v>2017/03/02 04:14:22.850</v>
      </c>
      <c r="C122" s="20">
        <f t="shared" si="15"/>
        <v>1.0879593901336193E-6</v>
      </c>
    </row>
    <row r="123" spans="1:3" x14ac:dyDescent="0.25">
      <c r="A123" t="s">
        <v>325</v>
      </c>
      <c r="B123" s="20" t="str">
        <f t="shared" si="14"/>
        <v>2017/03/02 04:30:58.031</v>
      </c>
      <c r="C123" s="20">
        <f t="shared" si="15"/>
        <v>1.1518298611917999E-2</v>
      </c>
    </row>
    <row r="124" spans="1:3" x14ac:dyDescent="0.25">
      <c r="A124" t="s">
        <v>326</v>
      </c>
      <c r="B124" s="20" t="str">
        <f t="shared" si="14"/>
        <v>2017/03/02 04:35:10.680</v>
      </c>
      <c r="C124" s="20">
        <f t="shared" si="15"/>
        <v>2.9241782394819893E-3</v>
      </c>
    </row>
    <row r="125" spans="1:3" x14ac:dyDescent="0.25">
      <c r="A125" t="s">
        <v>327</v>
      </c>
      <c r="B125" s="20" t="str">
        <f t="shared" si="14"/>
        <v>2017/03/02 05:25:05.864</v>
      </c>
      <c r="C125" s="20">
        <f t="shared" si="15"/>
        <v>3.4666481486056E-2</v>
      </c>
    </row>
    <row r="126" spans="1:3" x14ac:dyDescent="0.25">
      <c r="A126" t="s">
        <v>328</v>
      </c>
      <c r="B126" s="20" t="str">
        <f t="shared" si="14"/>
        <v>2017/03/02 05:25:06.247</v>
      </c>
      <c r="C126" s="20">
        <f t="shared" si="15"/>
        <v>4.432869900483638E-6</v>
      </c>
    </row>
    <row r="127" spans="1:3" x14ac:dyDescent="0.25">
      <c r="A127" t="s">
        <v>329</v>
      </c>
      <c r="B127" s="20" t="str">
        <f t="shared" si="14"/>
        <v>2017/03/02 05:25:08.927</v>
      </c>
      <c r="C127" s="20">
        <f t="shared" si="15"/>
        <v>3.1018513254821301E-5</v>
      </c>
    </row>
    <row r="128" spans="1:3" x14ac:dyDescent="0.25">
      <c r="A128" t="s">
        <v>330</v>
      </c>
      <c r="B128" s="20" t="str">
        <f t="shared" si="14"/>
        <v>2017/03/02 06:06:40.258</v>
      </c>
      <c r="C128" s="20">
        <f t="shared" si="15"/>
        <v>2.8834849537815899E-2</v>
      </c>
    </row>
    <row r="129" spans="1:3" x14ac:dyDescent="0.25">
      <c r="A129" t="s">
        <v>331</v>
      </c>
      <c r="B129" s="20" t="str">
        <f t="shared" si="14"/>
        <v>2017/03/02 06:06:40.298</v>
      </c>
      <c r="C129" s="20">
        <f t="shared" si="15"/>
        <v>4.6296190703287721E-7</v>
      </c>
    </row>
    <row r="130" spans="1:3" x14ac:dyDescent="0.25">
      <c r="A130" t="s">
        <v>332</v>
      </c>
      <c r="B130" s="20" t="str">
        <f t="shared" si="14"/>
        <v>2017/03/02 06:06:40.629</v>
      </c>
      <c r="C130" s="20">
        <f t="shared" si="15"/>
        <v>3.8310245145112276E-6</v>
      </c>
    </row>
    <row r="131" spans="1:3" x14ac:dyDescent="0.25">
      <c r="B131" s="20"/>
      <c r="C131" s="20"/>
    </row>
    <row r="132" spans="1:3" x14ac:dyDescent="0.25">
      <c r="B132" s="20"/>
      <c r="C132" s="20"/>
    </row>
    <row r="133" spans="1:3" x14ac:dyDescent="0.25">
      <c r="B133" s="20"/>
      <c r="C133" s="20"/>
    </row>
    <row r="134" spans="1:3" x14ac:dyDescent="0.25">
      <c r="B134" s="20"/>
      <c r="C134" s="20"/>
    </row>
    <row r="135" spans="1:3" x14ac:dyDescent="0.25">
      <c r="B135" s="20"/>
      <c r="C135" s="20"/>
    </row>
    <row r="136" spans="1:3" x14ac:dyDescent="0.25">
      <c r="B136" s="20"/>
      <c r="C136" s="20"/>
    </row>
    <row r="137" spans="1:3" x14ac:dyDescent="0.25">
      <c r="B137" s="20"/>
      <c r="C137" s="20"/>
    </row>
    <row r="138" spans="1:3" x14ac:dyDescent="0.25">
      <c r="B138" s="20"/>
      <c r="C138" s="20"/>
    </row>
    <row r="139" spans="1:3" x14ac:dyDescent="0.25">
      <c r="B139" s="20"/>
      <c r="C139" s="20"/>
    </row>
    <row r="140" spans="1:3" x14ac:dyDescent="0.25">
      <c r="B140" s="20"/>
      <c r="C140" s="20"/>
    </row>
    <row r="141" spans="1:3" x14ac:dyDescent="0.25">
      <c r="B141" s="20"/>
      <c r="C141" s="20"/>
    </row>
    <row r="142" spans="1:3" x14ac:dyDescent="0.25">
      <c r="B142" s="20"/>
      <c r="C142" s="20"/>
    </row>
    <row r="143" spans="1:3" x14ac:dyDescent="0.25">
      <c r="B143" s="20"/>
      <c r="C143" s="20"/>
    </row>
    <row r="144" spans="1:3" x14ac:dyDescent="0.25">
      <c r="B144" s="20"/>
      <c r="C144" s="20"/>
    </row>
    <row r="145" spans="2:3" x14ac:dyDescent="0.25">
      <c r="B145" s="20"/>
      <c r="C145" s="20"/>
    </row>
    <row r="146" spans="2:3" x14ac:dyDescent="0.25">
      <c r="B146" s="20"/>
      <c r="C146" s="20"/>
    </row>
    <row r="147" spans="2:3" x14ac:dyDescent="0.25">
      <c r="B147" s="20"/>
      <c r="C147" s="20"/>
    </row>
    <row r="148" spans="2:3" x14ac:dyDescent="0.25">
      <c r="B148" s="20"/>
      <c r="C148" s="20"/>
    </row>
    <row r="149" spans="2:3" x14ac:dyDescent="0.25">
      <c r="B149" s="20"/>
      <c r="C149" s="20"/>
    </row>
    <row r="150" spans="2:3" x14ac:dyDescent="0.25">
      <c r="B150" s="20"/>
      <c r="C150" s="20"/>
    </row>
    <row r="151" spans="2:3" x14ac:dyDescent="0.25">
      <c r="B151" s="20"/>
      <c r="C151" s="20"/>
    </row>
    <row r="152" spans="2:3" x14ac:dyDescent="0.25">
      <c r="B152" s="20"/>
      <c r="C152" s="20"/>
    </row>
    <row r="153" spans="2:3" x14ac:dyDescent="0.25">
      <c r="B153" s="20"/>
      <c r="C153" s="20"/>
    </row>
    <row r="154" spans="2:3" x14ac:dyDescent="0.25">
      <c r="B154" s="20"/>
      <c r="C154" s="20"/>
    </row>
    <row r="155" spans="2:3" x14ac:dyDescent="0.25">
      <c r="B155" s="20"/>
      <c r="C155" s="20"/>
    </row>
    <row r="156" spans="2:3" x14ac:dyDescent="0.25">
      <c r="B156" s="20"/>
      <c r="C156" s="20"/>
    </row>
    <row r="157" spans="2:3" x14ac:dyDescent="0.25">
      <c r="B157" s="20"/>
      <c r="C157" s="20"/>
    </row>
    <row r="158" spans="2:3" x14ac:dyDescent="0.25">
      <c r="B158" s="20"/>
      <c r="C158" s="20"/>
    </row>
    <row r="159" spans="2:3" x14ac:dyDescent="0.25">
      <c r="B159" s="20"/>
      <c r="C159" s="20"/>
    </row>
    <row r="160" spans="2:3" x14ac:dyDescent="0.25">
      <c r="B160" s="20"/>
      <c r="C160" s="20"/>
    </row>
    <row r="161" spans="2:3" x14ac:dyDescent="0.25">
      <c r="B161" s="20"/>
      <c r="C161" s="20"/>
    </row>
    <row r="162" spans="2:3" x14ac:dyDescent="0.25">
      <c r="B162" s="20"/>
      <c r="C162" s="20"/>
    </row>
    <row r="163" spans="2:3" x14ac:dyDescent="0.25">
      <c r="B163" s="20"/>
      <c r="C163" s="20"/>
    </row>
    <row r="164" spans="2:3" x14ac:dyDescent="0.25">
      <c r="B164" s="20"/>
      <c r="C164" s="20"/>
    </row>
    <row r="165" spans="2:3" x14ac:dyDescent="0.25">
      <c r="B165" s="20"/>
      <c r="C165" s="20"/>
    </row>
    <row r="166" spans="2:3" x14ac:dyDescent="0.25">
      <c r="B166" s="20"/>
      <c r="C166" s="20"/>
    </row>
    <row r="167" spans="2:3" x14ac:dyDescent="0.25">
      <c r="B167" s="20"/>
      <c r="C167" s="20"/>
    </row>
    <row r="168" spans="2:3" x14ac:dyDescent="0.25">
      <c r="B168" s="20"/>
      <c r="C168" s="20"/>
    </row>
    <row r="169" spans="2:3" x14ac:dyDescent="0.25">
      <c r="B169" s="20"/>
      <c r="C169" s="20"/>
    </row>
    <row r="170" spans="2:3" x14ac:dyDescent="0.25">
      <c r="B170" s="20"/>
      <c r="C170" s="20"/>
    </row>
    <row r="171" spans="2:3" x14ac:dyDescent="0.25">
      <c r="B171" s="20"/>
      <c r="C171" s="20"/>
    </row>
    <row r="172" spans="2:3" x14ac:dyDescent="0.25">
      <c r="B172" s="20"/>
      <c r="C172" s="20"/>
    </row>
    <row r="173" spans="2:3" x14ac:dyDescent="0.25">
      <c r="B173" s="20"/>
      <c r="C173" s="20"/>
    </row>
    <row r="174" spans="2:3" x14ac:dyDescent="0.25">
      <c r="B174" s="20"/>
      <c r="C174" s="20"/>
    </row>
    <row r="175" spans="2:3" x14ac:dyDescent="0.25">
      <c r="B175" s="20"/>
      <c r="C175" s="20"/>
    </row>
    <row r="176" spans="2:3" x14ac:dyDescent="0.25">
      <c r="B176" s="20"/>
      <c r="C176" s="20"/>
    </row>
    <row r="177" spans="2:3" x14ac:dyDescent="0.25">
      <c r="B177" s="20"/>
      <c r="C177" s="20"/>
    </row>
    <row r="178" spans="2:3" x14ac:dyDescent="0.25">
      <c r="B178" s="20"/>
      <c r="C178" s="20"/>
    </row>
    <row r="179" spans="2:3" x14ac:dyDescent="0.25">
      <c r="B179" s="20"/>
      <c r="C179" s="20"/>
    </row>
    <row r="180" spans="2:3" x14ac:dyDescent="0.25">
      <c r="B180" s="20"/>
      <c r="C180" s="20"/>
    </row>
    <row r="181" spans="2:3" x14ac:dyDescent="0.25">
      <c r="B181" s="20"/>
      <c r="C181" s="20"/>
    </row>
    <row r="182" spans="2:3" x14ac:dyDescent="0.25">
      <c r="B182" s="20"/>
      <c r="C182" s="20"/>
    </row>
    <row r="183" spans="2:3" x14ac:dyDescent="0.25">
      <c r="B183" s="20"/>
      <c r="C183" s="20"/>
    </row>
    <row r="184" spans="2:3" x14ac:dyDescent="0.25">
      <c r="B184" s="20"/>
      <c r="C184" s="20"/>
    </row>
    <row r="185" spans="2:3" x14ac:dyDescent="0.25">
      <c r="B185" s="20"/>
      <c r="C185" s="20"/>
    </row>
    <row r="186" spans="2:3" x14ac:dyDescent="0.25">
      <c r="B186" s="20"/>
      <c r="C186" s="20"/>
    </row>
    <row r="187" spans="2:3" x14ac:dyDescent="0.25">
      <c r="B187" s="20"/>
      <c r="C187" s="20"/>
    </row>
    <row r="188" spans="2:3" x14ac:dyDescent="0.25">
      <c r="B188" s="20"/>
      <c r="C188" s="20"/>
    </row>
    <row r="189" spans="2:3" x14ac:dyDescent="0.25">
      <c r="B189" s="20"/>
      <c r="C189" s="20"/>
    </row>
    <row r="190" spans="2:3" x14ac:dyDescent="0.25">
      <c r="B190" s="20"/>
      <c r="C190" s="20"/>
    </row>
    <row r="191" spans="2:3" x14ac:dyDescent="0.25">
      <c r="B191" s="20"/>
      <c r="C191" s="20"/>
    </row>
    <row r="192" spans="2:3" x14ac:dyDescent="0.25">
      <c r="B192" s="20"/>
      <c r="C192" s="20"/>
    </row>
    <row r="193" spans="2:3" x14ac:dyDescent="0.25">
      <c r="B193" s="20"/>
      <c r="C193" s="20"/>
    </row>
    <row r="194" spans="2:3" x14ac:dyDescent="0.25">
      <c r="B194" s="20"/>
      <c r="C194" s="20"/>
    </row>
    <row r="195" spans="2:3" x14ac:dyDescent="0.25">
      <c r="B195" s="20"/>
      <c r="C195" s="20"/>
    </row>
    <row r="196" spans="2:3" x14ac:dyDescent="0.25">
      <c r="B196" s="20"/>
      <c r="C196" s="20"/>
    </row>
    <row r="197" spans="2:3" x14ac:dyDescent="0.25">
      <c r="B197" s="20"/>
      <c r="C197" s="20"/>
    </row>
    <row r="198" spans="2:3" x14ac:dyDescent="0.25">
      <c r="B198" s="20"/>
      <c r="C198" s="20"/>
    </row>
    <row r="199" spans="2:3" x14ac:dyDescent="0.25">
      <c r="B199" s="20"/>
      <c r="C199" s="20"/>
    </row>
    <row r="200" spans="2:3" x14ac:dyDescent="0.25">
      <c r="B200" s="20"/>
      <c r="C200" s="20"/>
    </row>
    <row r="201" spans="2:3" x14ac:dyDescent="0.25">
      <c r="B201" s="20"/>
      <c r="C201" s="20"/>
    </row>
    <row r="202" spans="2:3" x14ac:dyDescent="0.25">
      <c r="B202" s="20"/>
      <c r="C202" s="20"/>
    </row>
    <row r="203" spans="2:3" x14ac:dyDescent="0.25">
      <c r="B203" s="20"/>
      <c r="C203" s="20"/>
    </row>
    <row r="204" spans="2:3" x14ac:dyDescent="0.25">
      <c r="B204" s="20"/>
      <c r="C204" s="20"/>
    </row>
    <row r="205" spans="2:3" x14ac:dyDescent="0.25">
      <c r="B205" s="20"/>
      <c r="C205" s="20"/>
    </row>
    <row r="206" spans="2:3" x14ac:dyDescent="0.25">
      <c r="B206" s="20"/>
      <c r="C206" s="20"/>
    </row>
    <row r="207" spans="2:3" x14ac:dyDescent="0.25">
      <c r="B207" s="20"/>
      <c r="C207" s="20"/>
    </row>
    <row r="208" spans="2:3" x14ac:dyDescent="0.25">
      <c r="B208" s="20"/>
      <c r="C208" s="20"/>
    </row>
    <row r="209" spans="2:3" x14ac:dyDescent="0.25">
      <c r="B209" s="20"/>
      <c r="C209" s="20"/>
    </row>
    <row r="210" spans="2:3" x14ac:dyDescent="0.25">
      <c r="B210" s="20"/>
      <c r="C210" s="20"/>
    </row>
    <row r="211" spans="2:3" x14ac:dyDescent="0.25">
      <c r="B211" s="20"/>
      <c r="C211" s="20"/>
    </row>
    <row r="212" spans="2:3" x14ac:dyDescent="0.25">
      <c r="B212" s="20"/>
      <c r="C212" s="20"/>
    </row>
    <row r="213" spans="2:3" x14ac:dyDescent="0.25">
      <c r="B213" s="20"/>
      <c r="C213" s="20"/>
    </row>
    <row r="214" spans="2:3" x14ac:dyDescent="0.25">
      <c r="B214" s="20"/>
      <c r="C214" s="20"/>
    </row>
    <row r="215" spans="2:3" x14ac:dyDescent="0.25">
      <c r="B215" s="20"/>
      <c r="C215" s="20"/>
    </row>
    <row r="216" spans="2:3" x14ac:dyDescent="0.25">
      <c r="B216" s="20"/>
      <c r="C216" s="20"/>
    </row>
    <row r="217" spans="2:3" x14ac:dyDescent="0.25">
      <c r="B217" s="20"/>
      <c r="C217" s="20"/>
    </row>
    <row r="218" spans="2:3" x14ac:dyDescent="0.25">
      <c r="B218" s="20"/>
      <c r="C218" s="20"/>
    </row>
    <row r="219" spans="2:3" x14ac:dyDescent="0.25">
      <c r="B219" s="20"/>
      <c r="C219" s="20"/>
    </row>
    <row r="220" spans="2:3" x14ac:dyDescent="0.25">
      <c r="B220" s="20"/>
      <c r="C220" s="20"/>
    </row>
    <row r="221" spans="2:3" x14ac:dyDescent="0.25">
      <c r="B221" s="20"/>
      <c r="C221" s="20"/>
    </row>
    <row r="222" spans="2:3" x14ac:dyDescent="0.25">
      <c r="B222" s="20"/>
      <c r="C222" s="20"/>
    </row>
    <row r="223" spans="2:3" x14ac:dyDescent="0.25">
      <c r="B223" s="20"/>
      <c r="C223" s="20"/>
    </row>
    <row r="224" spans="2:3" x14ac:dyDescent="0.25">
      <c r="B224" s="20"/>
      <c r="C224" s="20"/>
    </row>
    <row r="225" spans="2:3" x14ac:dyDescent="0.25">
      <c r="B225" s="20"/>
      <c r="C225" s="20"/>
    </row>
    <row r="226" spans="2:3" x14ac:dyDescent="0.25">
      <c r="B226" s="20"/>
      <c r="C226" s="20"/>
    </row>
    <row r="227" spans="2:3" x14ac:dyDescent="0.25">
      <c r="B227" s="20"/>
      <c r="C227" s="20"/>
    </row>
    <row r="228" spans="2:3" x14ac:dyDescent="0.25">
      <c r="B228" s="20"/>
      <c r="C228" s="20"/>
    </row>
    <row r="229" spans="2:3" x14ac:dyDescent="0.25">
      <c r="B229" s="20"/>
      <c r="C229" s="20"/>
    </row>
    <row r="230" spans="2:3" x14ac:dyDescent="0.25">
      <c r="B230" s="20"/>
      <c r="C230" s="20"/>
    </row>
    <row r="231" spans="2:3" x14ac:dyDescent="0.25">
      <c r="B231" s="20"/>
      <c r="C231" s="20"/>
    </row>
    <row r="232" spans="2:3" x14ac:dyDescent="0.25">
      <c r="B232" s="20"/>
      <c r="C232" s="20"/>
    </row>
    <row r="233" spans="2:3" x14ac:dyDescent="0.25">
      <c r="B233" s="20"/>
      <c r="C233" s="20"/>
    </row>
    <row r="234" spans="2:3" x14ac:dyDescent="0.25">
      <c r="B234" s="20"/>
      <c r="C234" s="20"/>
    </row>
    <row r="235" spans="2:3" x14ac:dyDescent="0.25">
      <c r="B235" s="20"/>
      <c r="C235" s="20"/>
    </row>
    <row r="236" spans="2:3" x14ac:dyDescent="0.25">
      <c r="B236" s="20"/>
      <c r="C236" s="20"/>
    </row>
    <row r="237" spans="2:3" x14ac:dyDescent="0.25">
      <c r="B237" s="20"/>
      <c r="C237" s="20"/>
    </row>
    <row r="238" spans="2:3" x14ac:dyDescent="0.25">
      <c r="B238" s="20"/>
      <c r="C238" s="20"/>
    </row>
    <row r="239" spans="2:3" x14ac:dyDescent="0.25">
      <c r="B239" s="20"/>
      <c r="C239" s="20"/>
    </row>
    <row r="240" spans="2:3" x14ac:dyDescent="0.25">
      <c r="B240" s="20"/>
      <c r="C240" s="20"/>
    </row>
    <row r="241" spans="2:3" x14ac:dyDescent="0.25">
      <c r="B241" s="20"/>
      <c r="C241" s="20"/>
    </row>
    <row r="242" spans="2:3" x14ac:dyDescent="0.25">
      <c r="B242" s="20"/>
      <c r="C242" s="20"/>
    </row>
    <row r="243" spans="2:3" x14ac:dyDescent="0.25">
      <c r="B243" s="20"/>
      <c r="C243" s="20"/>
    </row>
    <row r="244" spans="2:3" x14ac:dyDescent="0.25">
      <c r="B244" s="20"/>
      <c r="C244" s="20"/>
    </row>
    <row r="245" spans="2:3" x14ac:dyDescent="0.25">
      <c r="B245" s="20"/>
      <c r="C245" s="20"/>
    </row>
    <row r="246" spans="2:3" x14ac:dyDescent="0.25">
      <c r="B246" s="20"/>
      <c r="C246" s="20"/>
    </row>
    <row r="247" spans="2:3" x14ac:dyDescent="0.25">
      <c r="B247" s="20"/>
      <c r="C247" s="20"/>
    </row>
    <row r="248" spans="2:3" x14ac:dyDescent="0.25">
      <c r="B248" s="20"/>
      <c r="C248" s="20"/>
    </row>
    <row r="249" spans="2:3" x14ac:dyDescent="0.25">
      <c r="B249" s="20"/>
      <c r="C249" s="20"/>
    </row>
    <row r="250" spans="2:3" x14ac:dyDescent="0.25">
      <c r="B250" s="20"/>
      <c r="C250" s="20"/>
    </row>
    <row r="251" spans="2:3" x14ac:dyDescent="0.25">
      <c r="B251" s="20"/>
      <c r="C251" s="20"/>
    </row>
    <row r="252" spans="2:3" x14ac:dyDescent="0.25">
      <c r="B252" s="20"/>
      <c r="C252" s="20"/>
    </row>
    <row r="253" spans="2:3" x14ac:dyDescent="0.25">
      <c r="B253" s="20"/>
      <c r="C253" s="20"/>
    </row>
    <row r="254" spans="2:3" x14ac:dyDescent="0.25">
      <c r="B254" s="20"/>
      <c r="C254" s="20"/>
    </row>
    <row r="255" spans="2:3" x14ac:dyDescent="0.25">
      <c r="B255" s="20"/>
      <c r="C255" s="20"/>
    </row>
    <row r="256" spans="2:3" x14ac:dyDescent="0.25">
      <c r="B256" s="20"/>
      <c r="C256" s="20"/>
    </row>
    <row r="257" spans="2:3" x14ac:dyDescent="0.25">
      <c r="B257" s="20"/>
      <c r="C257" s="20"/>
    </row>
    <row r="258" spans="2:3" x14ac:dyDescent="0.25">
      <c r="B258" s="20"/>
      <c r="C258" s="20"/>
    </row>
    <row r="259" spans="2:3" x14ac:dyDescent="0.25">
      <c r="B259" s="20"/>
      <c r="C259" s="20"/>
    </row>
    <row r="260" spans="2:3" x14ac:dyDescent="0.25">
      <c r="B260" s="20"/>
      <c r="C260" s="20"/>
    </row>
    <row r="261" spans="2:3" x14ac:dyDescent="0.25">
      <c r="B261" s="20"/>
      <c r="C261" s="20"/>
    </row>
    <row r="262" spans="2:3" x14ac:dyDescent="0.25">
      <c r="B262" s="20"/>
      <c r="C262" s="20"/>
    </row>
    <row r="263" spans="2:3" x14ac:dyDescent="0.25">
      <c r="B263" s="20"/>
      <c r="C263" s="20"/>
    </row>
    <row r="264" spans="2:3" x14ac:dyDescent="0.25">
      <c r="B264" s="20"/>
      <c r="C264" s="20"/>
    </row>
    <row r="265" spans="2:3" x14ac:dyDescent="0.25">
      <c r="B265" s="20"/>
      <c r="C265" s="20"/>
    </row>
    <row r="266" spans="2:3" x14ac:dyDescent="0.25">
      <c r="B266" s="20"/>
      <c r="C266" s="20"/>
    </row>
    <row r="267" spans="2:3" x14ac:dyDescent="0.25">
      <c r="B267" s="20"/>
      <c r="C267" s="20"/>
    </row>
    <row r="268" spans="2:3" x14ac:dyDescent="0.25">
      <c r="B268" s="20"/>
      <c r="C268" s="20"/>
    </row>
    <row r="269" spans="2:3" x14ac:dyDescent="0.25">
      <c r="B269" s="20"/>
      <c r="C269" s="20"/>
    </row>
    <row r="270" spans="2:3" x14ac:dyDescent="0.25">
      <c r="B270" s="20"/>
      <c r="C270" s="20"/>
    </row>
    <row r="271" spans="2:3" x14ac:dyDescent="0.25">
      <c r="B271" s="20"/>
      <c r="C271" s="20"/>
    </row>
    <row r="272" spans="2:3" x14ac:dyDescent="0.25">
      <c r="B272" s="20"/>
      <c r="C272" s="20"/>
    </row>
    <row r="273" spans="2:3" x14ac:dyDescent="0.25">
      <c r="B273" s="20"/>
      <c r="C273" s="20"/>
    </row>
    <row r="274" spans="2:3" x14ac:dyDescent="0.25">
      <c r="B274" s="20"/>
      <c r="C274" s="20"/>
    </row>
    <row r="275" spans="2:3" x14ac:dyDescent="0.25">
      <c r="B275" s="20"/>
      <c r="C275" s="20"/>
    </row>
    <row r="276" spans="2:3" x14ac:dyDescent="0.25">
      <c r="B276" s="20"/>
      <c r="C276" s="20"/>
    </row>
    <row r="277" spans="2:3" x14ac:dyDescent="0.25">
      <c r="B277" s="20"/>
      <c r="C277" s="20"/>
    </row>
    <row r="278" spans="2:3" x14ac:dyDescent="0.25">
      <c r="B278" s="20"/>
      <c r="C278" s="20"/>
    </row>
    <row r="279" spans="2:3" x14ac:dyDescent="0.25">
      <c r="B279" s="20"/>
      <c r="C279" s="20"/>
    </row>
    <row r="280" spans="2:3" x14ac:dyDescent="0.25">
      <c r="B280" s="20"/>
      <c r="C280" s="20"/>
    </row>
    <row r="281" spans="2:3" x14ac:dyDescent="0.25">
      <c r="B281" s="20"/>
      <c r="C281" s="20"/>
    </row>
  </sheetData>
  <sortState ref="A1:A281">
    <sortCondition ref="A1:A281"/>
  </sortState>
  <conditionalFormatting sqref="C1:C1048576">
    <cfRule type="cellIs" dxfId="0" priority="1" operator="greaterThan">
      <formula>0.000115740740740741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29</vt:i4>
      </vt:variant>
    </vt:vector>
  </HeadingPairs>
  <TitlesOfParts>
    <vt:vector size="37" baseType="lpstr">
      <vt:lpstr>Train Runs</vt:lpstr>
      <vt:lpstr>Enforcements</vt:lpstr>
      <vt:lpstr>Missing Trips</vt:lpstr>
      <vt:lpstr>Trips&amp;Operators</vt:lpstr>
      <vt:lpstr>Weather</vt:lpstr>
      <vt:lpstr>Variables</vt:lpstr>
      <vt:lpstr>Redmine List Values</vt:lpstr>
      <vt:lpstr>Slice Disagreement Check</vt:lpstr>
      <vt:lpstr>astrogrep_path</vt:lpstr>
      <vt:lpstr>'Train Runs'!Denver_Train_Runs_04122016</vt:lpstr>
      <vt:lpstr>dls3logs</vt:lpstr>
      <vt:lpstr>enforcements_txt</vt:lpstr>
      <vt:lpstr>outputrefinedruntimes</vt:lpstr>
      <vt:lpstr>redmine_api</vt:lpstr>
      <vt:lpstr>redmine_api_wcr</vt:lpstr>
      <vt:lpstr>redmine_assignee</vt:lpstr>
      <vt:lpstr>redmine_assignee_wcr</vt:lpstr>
      <vt:lpstr>redmine_op_impact</vt:lpstr>
      <vt:lpstr>redmine_priority</vt:lpstr>
      <vt:lpstr>redmine_priority_wcr</vt:lpstr>
      <vt:lpstr>redmine_status</vt:lpstr>
      <vt:lpstr>redmine_status_wcr</vt:lpstr>
      <vt:lpstr>redmine_status2</vt:lpstr>
      <vt:lpstr>redmine_url</vt:lpstr>
      <vt:lpstr>redmine_url_wcr</vt:lpstr>
      <vt:lpstr>redmine_url2</vt:lpstr>
      <vt:lpstr>RefinedRTDCRunTimesOutputFile</vt:lpstr>
      <vt:lpstr>refinertdcruntimes</vt:lpstr>
      <vt:lpstr>runsrefined_txt</vt:lpstr>
      <vt:lpstr>s3_bucket</vt:lpstr>
      <vt:lpstr>search_path</vt:lpstr>
      <vt:lpstr>search_regexp</vt:lpstr>
      <vt:lpstr>SubdivInfo</vt:lpstr>
      <vt:lpstr>trips_txt</vt:lpstr>
      <vt:lpstr>utc_offset</vt:lpstr>
      <vt:lpstr>walkandungz</vt:lpstr>
      <vt:lpstr>weather_txt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Whitlock, Robert;Tu, Steve</dc:creator>
  <cp:lastModifiedBy>Steve Tu</cp:lastModifiedBy>
  <dcterms:created xsi:type="dcterms:W3CDTF">2016-04-12T13:52:23Z</dcterms:created>
  <dcterms:modified xsi:type="dcterms:W3CDTF">2017-07-05T15:41:29Z</dcterms:modified>
</cp:coreProperties>
</file>