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Trips'!$A$2:$J$52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13" i="1" l="1"/>
  <c r="X159" i="1"/>
  <c r="X160" i="1"/>
  <c r="X161" i="1"/>
  <c r="X162" i="1"/>
  <c r="X163" i="1"/>
  <c r="X164" i="1"/>
  <c r="X165" i="1"/>
  <c r="X166" i="1"/>
  <c r="X167" i="1"/>
  <c r="X168" i="1"/>
  <c r="P18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P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V18" i="1"/>
  <c r="S27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AA20" i="1" s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X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T25" i="1"/>
  <c r="V25" i="1"/>
  <c r="X25" i="1"/>
  <c r="Y25" i="1"/>
  <c r="Z25" i="1"/>
  <c r="AA25" i="1" s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R28" i="3" s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AA48" i="1" s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P69" i="1" s="1"/>
  <c r="V69" i="1"/>
  <c r="S22" i="3" s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X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S8" i="3" s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T80" i="1"/>
  <c r="V80" i="1"/>
  <c r="Y80" i="1"/>
  <c r="Z80" i="1"/>
  <c r="AB80" i="1"/>
  <c r="AC80" i="1"/>
  <c r="AD80" i="1"/>
  <c r="X80" i="1" s="1"/>
  <c r="AE80" i="1"/>
  <c r="R31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AA82" i="1" s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AA84" i="1" s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18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/>
  <c r="AB90" i="1"/>
  <c r="AC90" i="1"/>
  <c r="AD90" i="1"/>
  <c r="AE90" i="1"/>
  <c r="AF90" i="1"/>
  <c r="AH90" i="1"/>
  <c r="AM90" i="1"/>
  <c r="AN90" i="1"/>
  <c r="K91" i="1"/>
  <c r="L91" i="1"/>
  <c r="M91" i="1"/>
  <c r="P91" i="1" s="1"/>
  <c r="T91" i="1"/>
  <c r="V91" i="1"/>
  <c r="Y91" i="1"/>
  <c r="Z91" i="1"/>
  <c r="AB91" i="1"/>
  <c r="AC91" i="1"/>
  <c r="AD91" i="1"/>
  <c r="AE91" i="1"/>
  <c r="R34" i="3" s="1"/>
  <c r="AF91" i="1"/>
  <c r="AH91" i="1"/>
  <c r="AM91" i="1"/>
  <c r="AN91" i="1"/>
  <c r="K92" i="1"/>
  <c r="L92" i="1"/>
  <c r="M92" i="1"/>
  <c r="N92" i="1" s="1"/>
  <c r="V92" i="1"/>
  <c r="S32" i="3" s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S41" i="3" s="1"/>
  <c r="Y162" i="1"/>
  <c r="Z162" i="1"/>
  <c r="AB162" i="1"/>
  <c r="AC162" i="1"/>
  <c r="AD162" i="1"/>
  <c r="T162" i="1" s="1"/>
  <c r="AE162" i="1"/>
  <c r="R41" i="3" s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R43" i="3" s="1"/>
  <c r="AF166" i="1"/>
  <c r="AH100" i="1"/>
  <c r="AM100" i="1"/>
  <c r="AN100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AA168" i="1" s="1"/>
  <c r="Z168" i="1"/>
  <c r="AB168" i="1"/>
  <c r="AC168" i="1"/>
  <c r="AD168" i="1"/>
  <c r="T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R42" i="3" s="1"/>
  <c r="AF175" i="1"/>
  <c r="AH110" i="1"/>
  <c r="AM110" i="1"/>
  <c r="AN110" i="1"/>
  <c r="K176" i="1"/>
  <c r="L176" i="1"/>
  <c r="M176" i="1"/>
  <c r="N176" i="1" s="1"/>
  <c r="T176" i="1"/>
  <c r="V176" i="1"/>
  <c r="Y176" i="1"/>
  <c r="Z176" i="1"/>
  <c r="AB176" i="1"/>
  <c r="AC176" i="1"/>
  <c r="AD176" i="1"/>
  <c r="X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AM115" i="1"/>
  <c r="AN11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T183" i="1"/>
  <c r="V183" i="1"/>
  <c r="X183" i="1"/>
  <c r="Y183" i="1"/>
  <c r="Z183" i="1"/>
  <c r="AB183" i="1"/>
  <c r="AC183" i="1"/>
  <c r="AD183" i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129" i="1"/>
  <c r="AM129" i="1"/>
  <c r="AN129" i="1"/>
  <c r="K193" i="1"/>
  <c r="L193" i="1"/>
  <c r="M193" i="1"/>
  <c r="N193" i="1"/>
  <c r="V193" i="1"/>
  <c r="Y193" i="1"/>
  <c r="AA193" i="1" s="1"/>
  <c r="Z193" i="1"/>
  <c r="AB193" i="1"/>
  <c r="AC193" i="1"/>
  <c r="AD193" i="1"/>
  <c r="T193" i="1" s="1"/>
  <c r="AE193" i="1"/>
  <c r="AF193" i="1"/>
  <c r="AH130" i="1"/>
  <c r="AM130" i="1"/>
  <c r="AN130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A101" i="1" s="1"/>
  <c r="AB101" i="1"/>
  <c r="AC101" i="1"/>
  <c r="AD101" i="1"/>
  <c r="X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R33" i="3" s="1"/>
  <c r="AF104" i="1"/>
  <c r="AH138" i="1"/>
  <c r="AM138" i="1"/>
  <c r="AN138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39" i="1"/>
  <c r="AM139" i="1"/>
  <c r="AN139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R35" i="3" s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42" i="1"/>
  <c r="AM142" i="1"/>
  <c r="AN142" i="1"/>
  <c r="K108" i="1"/>
  <c r="L108" i="1"/>
  <c r="M108" i="1"/>
  <c r="N108" i="1" s="1"/>
  <c r="T108" i="1"/>
  <c r="V108" i="1"/>
  <c r="X108" i="1"/>
  <c r="Y108" i="1"/>
  <c r="Z108" i="1"/>
  <c r="AA108" i="1" s="1"/>
  <c r="AB108" i="1"/>
  <c r="AC108" i="1"/>
  <c r="AD108" i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8" i="1"/>
  <c r="AM148" i="1"/>
  <c r="AN148" i="1"/>
  <c r="K114" i="1"/>
  <c r="L114" i="1"/>
  <c r="M114" i="1"/>
  <c r="N114" i="1" s="1"/>
  <c r="V114" i="1"/>
  <c r="S9" i="3" s="1"/>
  <c r="Y114" i="1"/>
  <c r="Z114" i="1"/>
  <c r="AB114" i="1"/>
  <c r="AC114" i="1"/>
  <c r="AD114" i="1"/>
  <c r="T114" i="1" s="1"/>
  <c r="AE114" i="1"/>
  <c r="AF114" i="1"/>
  <c r="AH149" i="1"/>
  <c r="AM149" i="1"/>
  <c r="AN149" i="1"/>
  <c r="K115" i="1"/>
  <c r="L115" i="1"/>
  <c r="M115" i="1"/>
  <c r="N115" i="1" s="1"/>
  <c r="V115" i="1"/>
  <c r="S36" i="3" s="1"/>
  <c r="Y115" i="1"/>
  <c r="Z115" i="1"/>
  <c r="AA115" i="1" s="1"/>
  <c r="AB115" i="1"/>
  <c r="AC115" i="1"/>
  <c r="AD115" i="1"/>
  <c r="T115" i="1" s="1"/>
  <c r="AE115" i="1"/>
  <c r="AF115" i="1"/>
  <c r="AH150" i="1"/>
  <c r="AM150" i="1"/>
  <c r="AN150" i="1"/>
  <c r="K116" i="1"/>
  <c r="L116" i="1"/>
  <c r="M116" i="1"/>
  <c r="N116" i="1" s="1"/>
  <c r="T116" i="1"/>
  <c r="V116" i="1"/>
  <c r="X116" i="1"/>
  <c r="Y116" i="1"/>
  <c r="Z116" i="1"/>
  <c r="AA116" i="1" s="1"/>
  <c r="AB116" i="1"/>
  <c r="AC116" i="1"/>
  <c r="AD116" i="1"/>
  <c r="AE116" i="1"/>
  <c r="AF116" i="1"/>
  <c r="AH151" i="1"/>
  <c r="AM151" i="1"/>
  <c r="AN151" i="1"/>
  <c r="K117" i="1"/>
  <c r="L117" i="1"/>
  <c r="M117" i="1"/>
  <c r="N117" i="1" s="1"/>
  <c r="V117" i="1"/>
  <c r="S7" i="3" s="1"/>
  <c r="Y117" i="1"/>
  <c r="Z117" i="1"/>
  <c r="AB117" i="1"/>
  <c r="AC117" i="1"/>
  <c r="AD117" i="1"/>
  <c r="AE117" i="1"/>
  <c r="R7" i="3" s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T124" i="1"/>
  <c r="V124" i="1"/>
  <c r="X124" i="1"/>
  <c r="Y124" i="1"/>
  <c r="Z124" i="1"/>
  <c r="AA124" i="1" s="1"/>
  <c r="AB124" i="1"/>
  <c r="AC124" i="1"/>
  <c r="AD124" i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S39" i="3" s="1"/>
  <c r="Y131" i="1"/>
  <c r="Z131" i="1"/>
  <c r="AB131" i="1"/>
  <c r="AC131" i="1"/>
  <c r="AD131" i="1"/>
  <c r="T131" i="1" s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R17" i="3" s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X136" i="1" s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N139" i="1" s="1"/>
  <c r="V139" i="1"/>
  <c r="S40" i="3" s="1"/>
  <c r="Y139" i="1"/>
  <c r="Z139" i="1"/>
  <c r="AB139" i="1"/>
  <c r="AC139" i="1"/>
  <c r="AD139" i="1"/>
  <c r="T139" i="1" s="1"/>
  <c r="AE139" i="1"/>
  <c r="R40" i="3" s="1"/>
  <c r="AF139" i="1"/>
  <c r="AH173" i="1"/>
  <c r="AM173" i="1"/>
  <c r="AN173" i="1"/>
  <c r="K140" i="1"/>
  <c r="L140" i="1"/>
  <c r="M140" i="1"/>
  <c r="N140" i="1" s="1"/>
  <c r="V140" i="1"/>
  <c r="Y140" i="1"/>
  <c r="AA140" i="1" s="1"/>
  <c r="Z140" i="1"/>
  <c r="AB140" i="1"/>
  <c r="AC140" i="1"/>
  <c r="AD140" i="1"/>
  <c r="T140" i="1" s="1"/>
  <c r="AE140" i="1"/>
  <c r="AF140" i="1"/>
  <c r="AH174" i="1"/>
  <c r="AM174" i="1"/>
  <c r="AN174" i="1"/>
  <c r="K141" i="1"/>
  <c r="L141" i="1"/>
  <c r="M141" i="1"/>
  <c r="N141" i="1" s="1"/>
  <c r="V141" i="1"/>
  <c r="X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/>
  <c r="V143" i="1"/>
  <c r="Y143" i="1"/>
  <c r="Z143" i="1"/>
  <c r="AB143" i="1"/>
  <c r="AC143" i="1"/>
  <c r="AD143" i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20" i="3" s="1"/>
  <c r="AF150" i="1"/>
  <c r="AH184" i="1"/>
  <c r="AM184" i="1"/>
  <c r="AN184" i="1"/>
  <c r="K151" i="1"/>
  <c r="L151" i="1"/>
  <c r="M151" i="1"/>
  <c r="N151" i="1" s="1"/>
  <c r="V151" i="1"/>
  <c r="S14" i="3" s="1"/>
  <c r="Y151" i="1"/>
  <c r="Z151" i="1"/>
  <c r="AB151" i="1"/>
  <c r="AC151" i="1"/>
  <c r="AD151" i="1"/>
  <c r="AE151" i="1"/>
  <c r="R14" i="3" s="1"/>
  <c r="AF151" i="1"/>
  <c r="AH185" i="1"/>
  <c r="AM185" i="1"/>
  <c r="AN185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/>
  <c r="V155" i="1"/>
  <c r="S13" i="3" s="1"/>
  <c r="Y155" i="1"/>
  <c r="AA155" i="1" s="1"/>
  <c r="Z155" i="1"/>
  <c r="AB155" i="1"/>
  <c r="AC155" i="1"/>
  <c r="AD155" i="1"/>
  <c r="AE155" i="1"/>
  <c r="AF155" i="1"/>
  <c r="AH189" i="1"/>
  <c r="AM189" i="1"/>
  <c r="AN189" i="1"/>
  <c r="K156" i="1"/>
  <c r="L156" i="1"/>
  <c r="M156" i="1"/>
  <c r="N156" i="1" s="1"/>
  <c r="V156" i="1"/>
  <c r="Y156" i="1"/>
  <c r="Z156" i="1"/>
  <c r="AA156" i="1" s="1"/>
  <c r="AB156" i="1"/>
  <c r="AC156" i="1"/>
  <c r="AD156" i="1"/>
  <c r="AE156" i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1" i="1"/>
  <c r="AM191" i="1"/>
  <c r="AN191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R26" i="3" s="1"/>
  <c r="AF158" i="1"/>
  <c r="AH192" i="1"/>
  <c r="AM192" i="1"/>
  <c r="AN192" i="1"/>
  <c r="K159" i="1"/>
  <c r="L159" i="1"/>
  <c r="M159" i="1"/>
  <c r="N159" i="1" s="1"/>
  <c r="V159" i="1"/>
  <c r="Y159" i="1"/>
  <c r="Z159" i="1"/>
  <c r="AA159" i="1"/>
  <c r="AB159" i="1"/>
  <c r="AC159" i="1"/>
  <c r="AD159" i="1"/>
  <c r="T159" i="1" s="1"/>
  <c r="AE159" i="1"/>
  <c r="AF159" i="1"/>
  <c r="AH193" i="1"/>
  <c r="AM193" i="1"/>
  <c r="AN193" i="1"/>
  <c r="K160" i="1"/>
  <c r="L160" i="1"/>
  <c r="M160" i="1"/>
  <c r="N160" i="1" s="1"/>
  <c r="V160" i="1"/>
  <c r="Y160" i="1"/>
  <c r="AA160" i="1" s="1"/>
  <c r="Z160" i="1"/>
  <c r="AB160" i="1"/>
  <c r="AC160" i="1"/>
  <c r="AD160" i="1"/>
  <c r="AE160" i="1"/>
  <c r="AF160" i="1"/>
  <c r="AH194" i="1"/>
  <c r="AM194" i="1"/>
  <c r="AN194" i="1"/>
  <c r="AH195" i="1"/>
  <c r="AM195" i="1"/>
  <c r="AN195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X198" i="1"/>
  <c r="Y198" i="1"/>
  <c r="Z198" i="1"/>
  <c r="AA198" i="1" s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A202" i="1"/>
  <c r="AB202" i="1"/>
  <c r="AC202" i="1"/>
  <c r="AD202" i="1"/>
  <c r="T202" i="1" s="1"/>
  <c r="AE202" i="1"/>
  <c r="AF202" i="1"/>
  <c r="AH203" i="1"/>
  <c r="AM203" i="1"/>
  <c r="AN203" i="1"/>
  <c r="K203" i="1"/>
  <c r="L203" i="1"/>
  <c r="M203" i="1"/>
  <c r="N203" i="1" s="1"/>
  <c r="T203" i="1"/>
  <c r="V203" i="1"/>
  <c r="Y203" i="1"/>
  <c r="Z203" i="1"/>
  <c r="AA203" i="1" s="1"/>
  <c r="AB203" i="1"/>
  <c r="AC203" i="1"/>
  <c r="AD203" i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8" i="1"/>
  <c r="AM208" i="1"/>
  <c r="AN208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K209" i="1"/>
  <c r="L209" i="1"/>
  <c r="M209" i="1"/>
  <c r="N209" i="1" s="1"/>
  <c r="V209" i="1"/>
  <c r="X209" i="1"/>
  <c r="Y209" i="1"/>
  <c r="Z209" i="1"/>
  <c r="AA209" i="1"/>
  <c r="AB209" i="1"/>
  <c r="AC209" i="1"/>
  <c r="AD209" i="1"/>
  <c r="T209" i="1" s="1"/>
  <c r="AE209" i="1"/>
  <c r="AF209" i="1"/>
  <c r="AH210" i="1"/>
  <c r="AM210" i="1"/>
  <c r="AN210" i="1"/>
  <c r="K210" i="1"/>
  <c r="L210" i="1"/>
  <c r="M210" i="1"/>
  <c r="N210" i="1" s="1"/>
  <c r="T210" i="1"/>
  <c r="V210" i="1"/>
  <c r="Y210" i="1"/>
  <c r="Z210" i="1"/>
  <c r="AB210" i="1"/>
  <c r="AC210" i="1"/>
  <c r="AD210" i="1"/>
  <c r="AE210" i="1"/>
  <c r="AF210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K213" i="1"/>
  <c r="L213" i="1"/>
  <c r="M213" i="1"/>
  <c r="V213" i="1"/>
  <c r="S45" i="3" s="1"/>
  <c r="Y213" i="1"/>
  <c r="Z213" i="1"/>
  <c r="AB213" i="1"/>
  <c r="AC213" i="1"/>
  <c r="AD213" i="1"/>
  <c r="T213" i="1" s="1"/>
  <c r="AE213" i="1"/>
  <c r="R45" i="3" s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T215" i="1"/>
  <c r="V215" i="1"/>
  <c r="Y215" i="1"/>
  <c r="Z215" i="1"/>
  <c r="AB215" i="1"/>
  <c r="AC215" i="1"/>
  <c r="AD215" i="1"/>
  <c r="X215" i="1" s="1"/>
  <c r="AE215" i="1"/>
  <c r="AF215" i="1"/>
  <c r="AH215" i="1"/>
  <c r="AM215" i="1"/>
  <c r="AN215" i="1"/>
  <c r="K216" i="1"/>
  <c r="L216" i="1"/>
  <c r="M216" i="1"/>
  <c r="N216" i="1" s="1"/>
  <c r="T216" i="1"/>
  <c r="V216" i="1"/>
  <c r="Y216" i="1"/>
  <c r="Z216" i="1"/>
  <c r="AA216" i="1" s="1"/>
  <c r="AB216" i="1"/>
  <c r="AC216" i="1"/>
  <c r="AD216" i="1"/>
  <c r="X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18" i="1"/>
  <c r="AM218" i="1"/>
  <c r="AN218" i="1"/>
  <c r="M27" i="3"/>
  <c r="R27" i="3"/>
  <c r="U27" i="3"/>
  <c r="T27" i="3" s="1"/>
  <c r="V27" i="3"/>
  <c r="X27" i="3"/>
  <c r="M25" i="3"/>
  <c r="R25" i="3"/>
  <c r="S25" i="3"/>
  <c r="U25" i="3"/>
  <c r="V25" i="3"/>
  <c r="X25" i="3"/>
  <c r="AC25" i="3"/>
  <c r="M41" i="3"/>
  <c r="U41" i="3"/>
  <c r="AC41" i="3" s="1"/>
  <c r="V41" i="3"/>
  <c r="X41" i="3"/>
  <c r="M28" i="3"/>
  <c r="S28" i="3"/>
  <c r="U28" i="3"/>
  <c r="AC28" i="3" s="1"/>
  <c r="V28" i="3"/>
  <c r="X28" i="3"/>
  <c r="M29" i="3"/>
  <c r="S29" i="3"/>
  <c r="U29" i="3"/>
  <c r="T29" i="3" s="1"/>
  <c r="V29" i="3"/>
  <c r="X29" i="3"/>
  <c r="AC29" i="3"/>
  <c r="M11" i="3"/>
  <c r="R11" i="3"/>
  <c r="S11" i="3"/>
  <c r="U11" i="3"/>
  <c r="AD11" i="3" s="1"/>
  <c r="V11" i="3"/>
  <c r="X11" i="3"/>
  <c r="M43" i="3"/>
  <c r="S43" i="3"/>
  <c r="U43" i="3"/>
  <c r="AC43" i="3" s="1"/>
  <c r="V43" i="3"/>
  <c r="X43" i="3"/>
  <c r="M10" i="3"/>
  <c r="R10" i="3"/>
  <c r="S10" i="3"/>
  <c r="T10" i="3"/>
  <c r="U10" i="3"/>
  <c r="AC10" i="3" s="1"/>
  <c r="V10" i="3"/>
  <c r="X10" i="3"/>
  <c r="M15" i="3"/>
  <c r="R15" i="3"/>
  <c r="S15" i="3"/>
  <c r="U15" i="3"/>
  <c r="T15" i="3" s="1"/>
  <c r="V15" i="3"/>
  <c r="X15" i="3"/>
  <c r="M21" i="3"/>
  <c r="R21" i="3"/>
  <c r="U21" i="3"/>
  <c r="V21" i="3"/>
  <c r="X21" i="3"/>
  <c r="AC21" i="3"/>
  <c r="M22" i="3"/>
  <c r="R22" i="3"/>
  <c r="U22" i="3"/>
  <c r="AC22" i="3" s="1"/>
  <c r="V22" i="3"/>
  <c r="X22" i="3"/>
  <c r="M12" i="3"/>
  <c r="R12" i="3"/>
  <c r="S12" i="3"/>
  <c r="U12" i="3"/>
  <c r="AC12" i="3" s="1"/>
  <c r="V12" i="3"/>
  <c r="X12" i="3"/>
  <c r="M42" i="3"/>
  <c r="S42" i="3"/>
  <c r="U42" i="3"/>
  <c r="T42" i="3" s="1"/>
  <c r="V42" i="3"/>
  <c r="X42" i="3"/>
  <c r="M8" i="3"/>
  <c r="R8" i="3"/>
  <c r="U8" i="3"/>
  <c r="AD21" i="3" s="1"/>
  <c r="V8" i="3"/>
  <c r="X8" i="3"/>
  <c r="M30" i="3"/>
  <c r="R30" i="3"/>
  <c r="S30" i="3"/>
  <c r="U30" i="3"/>
  <c r="AC30" i="3" s="1"/>
  <c r="V30" i="3"/>
  <c r="X30" i="3"/>
  <c r="M31" i="3"/>
  <c r="S31" i="3"/>
  <c r="U31" i="3"/>
  <c r="AC31" i="3" s="1"/>
  <c r="V31" i="3"/>
  <c r="AE31" i="3" s="1"/>
  <c r="X31" i="3"/>
  <c r="M18" i="3"/>
  <c r="S18" i="3"/>
  <c r="U18" i="3"/>
  <c r="T18" i="3" s="1"/>
  <c r="V18" i="3"/>
  <c r="X18" i="3"/>
  <c r="M34" i="3"/>
  <c r="S34" i="3"/>
  <c r="U34" i="3"/>
  <c r="AD25" i="3" s="1"/>
  <c r="V34" i="3"/>
  <c r="X34" i="3"/>
  <c r="M32" i="3"/>
  <c r="R32" i="3"/>
  <c r="U32" i="3"/>
  <c r="AC32" i="3" s="1"/>
  <c r="V32" i="3"/>
  <c r="X32" i="3"/>
  <c r="M16" i="3"/>
  <c r="R16" i="3"/>
  <c r="S16" i="3"/>
  <c r="U16" i="3"/>
  <c r="AC16" i="3" s="1"/>
  <c r="V16" i="3"/>
  <c r="X16" i="3"/>
  <c r="AD27" i="3"/>
  <c r="M35" i="3"/>
  <c r="S35" i="3"/>
  <c r="T35" i="3"/>
  <c r="U35" i="3"/>
  <c r="V35" i="3"/>
  <c r="X35" i="3"/>
  <c r="AC35" i="3"/>
  <c r="M33" i="3"/>
  <c r="S33" i="3"/>
  <c r="U33" i="3"/>
  <c r="AD29" i="3" s="1"/>
  <c r="V33" i="3"/>
  <c r="X33" i="3"/>
  <c r="M7" i="3"/>
  <c r="U7" i="3"/>
  <c r="AC7" i="3" s="1"/>
  <c r="V7" i="3"/>
  <c r="X7" i="3"/>
  <c r="M36" i="3"/>
  <c r="R36" i="3"/>
  <c r="U36" i="3"/>
  <c r="AC36" i="3" s="1"/>
  <c r="V36" i="3"/>
  <c r="X36" i="3"/>
  <c r="M37" i="3"/>
  <c r="S37" i="3"/>
  <c r="U37" i="3"/>
  <c r="T37" i="3" s="1"/>
  <c r="V37" i="3"/>
  <c r="X37" i="3"/>
  <c r="M9" i="3"/>
  <c r="R9" i="3"/>
  <c r="U9" i="3"/>
  <c r="AD33" i="3" s="1"/>
  <c r="V9" i="3"/>
  <c r="X9" i="3"/>
  <c r="M44" i="3"/>
  <c r="S44" i="3"/>
  <c r="U44" i="3"/>
  <c r="AC44" i="3" s="1"/>
  <c r="V44" i="3"/>
  <c r="X44" i="3"/>
  <c r="M45" i="3"/>
  <c r="U45" i="3"/>
  <c r="AC45" i="3" s="1"/>
  <c r="V45" i="3"/>
  <c r="AE35" i="3" s="1"/>
  <c r="X45" i="3"/>
  <c r="AD35" i="3"/>
  <c r="M19" i="3"/>
  <c r="R19" i="3"/>
  <c r="S19" i="3"/>
  <c r="U19" i="3"/>
  <c r="AD19" i="3" s="1"/>
  <c r="V19" i="3"/>
  <c r="X19" i="3"/>
  <c r="M38" i="3"/>
  <c r="R38" i="3"/>
  <c r="S38" i="3"/>
  <c r="U38" i="3"/>
  <c r="V38" i="3"/>
  <c r="X38" i="3"/>
  <c r="M39" i="3"/>
  <c r="R39" i="3"/>
  <c r="U39" i="3"/>
  <c r="AC39" i="3" s="1"/>
  <c r="V39" i="3"/>
  <c r="AE39" i="3" s="1"/>
  <c r="X39" i="3"/>
  <c r="M17" i="3"/>
  <c r="S17" i="3"/>
  <c r="U17" i="3"/>
  <c r="AC17" i="3" s="1"/>
  <c r="V17" i="3"/>
  <c r="X17" i="3"/>
  <c r="M40" i="3"/>
  <c r="U40" i="3"/>
  <c r="T40" i="3" s="1"/>
  <c r="V40" i="3"/>
  <c r="X40" i="3"/>
  <c r="M14" i="3"/>
  <c r="U14" i="3"/>
  <c r="AD41" i="3" s="1"/>
  <c r="V14" i="3"/>
  <c r="X14" i="3"/>
  <c r="M20" i="3"/>
  <c r="S20" i="3"/>
  <c r="U20" i="3"/>
  <c r="AC20" i="3" s="1"/>
  <c r="V20" i="3"/>
  <c r="X20" i="3"/>
  <c r="M13" i="3"/>
  <c r="R13" i="3"/>
  <c r="U13" i="3"/>
  <c r="AC13" i="3" s="1"/>
  <c r="V13" i="3"/>
  <c r="AE43" i="3" s="1"/>
  <c r="X13" i="3"/>
  <c r="M26" i="3"/>
  <c r="S26" i="3"/>
  <c r="T26" i="3"/>
  <c r="U26" i="3"/>
  <c r="V26" i="3"/>
  <c r="X26" i="3"/>
  <c r="AC26" i="3"/>
  <c r="M24" i="3"/>
  <c r="R24" i="3"/>
  <c r="S24" i="3"/>
  <c r="U24" i="3"/>
  <c r="AD24" i="3" s="1"/>
  <c r="V24" i="3"/>
  <c r="X24" i="3"/>
  <c r="AG16" i="1"/>
  <c r="AG32" i="1"/>
  <c r="AG48" i="1"/>
  <c r="AG23" i="1"/>
  <c r="AG39" i="1"/>
  <c r="AG14" i="1"/>
  <c r="AG30" i="1"/>
  <c r="AG46" i="1"/>
  <c r="AG25" i="1"/>
  <c r="AG41" i="1"/>
  <c r="AG58" i="1"/>
  <c r="AG74" i="1"/>
  <c r="AG57" i="1"/>
  <c r="AG73" i="1"/>
  <c r="AG60" i="1"/>
  <c r="AG76" i="1"/>
  <c r="AG63" i="1"/>
  <c r="AG79" i="1"/>
  <c r="AG162" i="1"/>
  <c r="AG177" i="1"/>
  <c r="AG91" i="1"/>
  <c r="AG172" i="1"/>
  <c r="AG90" i="1"/>
  <c r="AG171" i="1"/>
  <c r="AG85" i="1"/>
  <c r="AG167" i="1"/>
  <c r="AG181" i="1"/>
  <c r="AG99" i="1"/>
  <c r="AG114" i="1"/>
  <c r="AG130" i="1"/>
  <c r="AG146" i="1"/>
  <c r="AG188" i="1"/>
  <c r="AG105" i="1"/>
  <c r="AG121" i="1"/>
  <c r="AG137" i="1"/>
  <c r="AG153" i="1"/>
  <c r="AG101" i="1"/>
  <c r="AG116" i="1"/>
  <c r="AG132" i="1"/>
  <c r="AG148" i="1"/>
  <c r="AG193" i="1"/>
  <c r="AG111" i="1"/>
  <c r="AG127" i="1"/>
  <c r="AG143" i="1"/>
  <c r="AG158" i="1"/>
  <c r="AG207" i="1"/>
  <c r="AG210" i="1"/>
  <c r="AG160" i="1"/>
  <c r="AG209" i="1"/>
  <c r="AG196" i="1"/>
  <c r="AG213" i="1"/>
  <c r="AG31" i="1"/>
  <c r="AG22" i="1"/>
  <c r="AG33" i="1"/>
  <c r="AG82" i="1"/>
  <c r="AG68" i="1"/>
  <c r="AG88" i="1"/>
  <c r="AG165" i="1"/>
  <c r="AG179" i="1"/>
  <c r="AG174" i="1"/>
  <c r="AG122" i="1"/>
  <c r="AG98" i="1"/>
  <c r="AG129" i="1"/>
  <c r="AG108" i="1"/>
  <c r="AG186" i="1"/>
  <c r="AG119" i="1"/>
  <c r="AG199" i="1"/>
  <c r="AG202" i="1"/>
  <c r="AG218" i="1"/>
  <c r="AG51" i="1"/>
  <c r="AG54" i="1"/>
  <c r="AG69" i="1"/>
  <c r="AG59" i="1"/>
  <c r="AG92" i="1"/>
  <c r="AG169" i="1"/>
  <c r="AG182" i="1"/>
  <c r="AG192" i="1"/>
  <c r="AG142" i="1"/>
  <c r="AG133" i="1"/>
  <c r="AG194" i="1"/>
  <c r="AG190" i="1"/>
  <c r="AG203" i="1"/>
  <c r="AG205" i="1"/>
  <c r="AG20" i="1"/>
  <c r="AG36" i="1"/>
  <c r="AG52" i="1"/>
  <c r="AG27" i="1"/>
  <c r="AG43" i="1"/>
  <c r="AG18" i="1"/>
  <c r="AG34" i="1"/>
  <c r="AG50" i="1"/>
  <c r="AG29" i="1"/>
  <c r="AG45" i="1"/>
  <c r="AG62" i="1"/>
  <c r="AG78" i="1"/>
  <c r="AG61" i="1"/>
  <c r="AG77" i="1"/>
  <c r="AG64" i="1"/>
  <c r="AG80" i="1"/>
  <c r="AG67" i="1"/>
  <c r="AG83" i="1"/>
  <c r="AG166" i="1"/>
  <c r="AG96" i="1"/>
  <c r="AG161" i="1"/>
  <c r="AG176" i="1"/>
  <c r="AG94" i="1"/>
  <c r="AG175" i="1"/>
  <c r="AG89" i="1"/>
  <c r="AG95" i="1"/>
  <c r="AG185" i="1"/>
  <c r="AG103" i="1"/>
  <c r="AG118" i="1"/>
  <c r="AG134" i="1"/>
  <c r="AG150" i="1"/>
  <c r="AG191" i="1"/>
  <c r="AG109" i="1"/>
  <c r="AG125" i="1"/>
  <c r="AG141" i="1"/>
  <c r="AG187" i="1"/>
  <c r="AG211" i="1"/>
  <c r="AG120" i="1"/>
  <c r="AG136" i="1"/>
  <c r="AG152" i="1"/>
  <c r="AG100" i="1"/>
  <c r="AG115" i="1"/>
  <c r="AG131" i="1"/>
  <c r="AG147" i="1"/>
  <c r="AG195" i="1"/>
  <c r="AG212" i="1"/>
  <c r="AG198" i="1"/>
  <c r="AG215" i="1"/>
  <c r="AG197" i="1"/>
  <c r="AG214" i="1"/>
  <c r="AG200" i="1"/>
  <c r="AG217" i="1"/>
  <c r="AG24" i="1"/>
  <c r="AG40" i="1"/>
  <c r="AG47" i="1"/>
  <c r="AG17" i="1"/>
  <c r="AG66" i="1"/>
  <c r="AG81" i="1"/>
  <c r="AG71" i="1"/>
  <c r="AG84" i="1"/>
  <c r="AG164" i="1"/>
  <c r="AG106" i="1"/>
  <c r="AG183" i="1"/>
  <c r="AG97" i="1"/>
  <c r="AG140" i="1"/>
  <c r="AG151" i="1"/>
  <c r="AG154" i="1"/>
  <c r="AG28" i="1"/>
  <c r="AG44" i="1"/>
  <c r="AG19" i="1"/>
  <c r="AG35" i="1"/>
  <c r="AG42" i="1"/>
  <c r="AG21" i="1"/>
  <c r="AG70" i="1"/>
  <c r="AG72" i="1"/>
  <c r="AG87" i="1"/>
  <c r="AG163" i="1"/>
  <c r="AG126" i="1"/>
  <c r="AG117" i="1"/>
  <c r="AG128" i="1"/>
  <c r="AG123" i="1"/>
  <c r="AG157" i="1"/>
  <c r="AG208" i="1"/>
  <c r="AG15" i="1"/>
  <c r="AG38" i="1"/>
  <c r="AG49" i="1"/>
  <c r="AG65" i="1"/>
  <c r="AG55" i="1"/>
  <c r="AG170" i="1"/>
  <c r="AG180" i="1"/>
  <c r="AG93" i="1"/>
  <c r="AG189" i="1"/>
  <c r="AG138" i="1"/>
  <c r="AG113" i="1"/>
  <c r="AG145" i="1"/>
  <c r="AG124" i="1"/>
  <c r="AG104" i="1"/>
  <c r="AG135" i="1"/>
  <c r="AG216" i="1"/>
  <c r="AG201" i="1"/>
  <c r="AG204" i="1"/>
  <c r="AG26" i="1"/>
  <c r="AG37" i="1"/>
  <c r="AG53" i="1"/>
  <c r="AG56" i="1"/>
  <c r="AG75" i="1"/>
  <c r="AG173" i="1"/>
  <c r="AG168" i="1"/>
  <c r="AG178" i="1"/>
  <c r="AG110" i="1"/>
  <c r="AG184" i="1"/>
  <c r="AG149" i="1"/>
  <c r="AG112" i="1"/>
  <c r="AG107" i="1"/>
  <c r="AG155" i="1"/>
  <c r="AG156" i="1"/>
  <c r="AG159" i="1"/>
  <c r="AG86" i="1"/>
  <c r="AG102" i="1"/>
  <c r="AG144" i="1"/>
  <c r="AG139" i="1"/>
  <c r="AG206" i="1"/>
  <c r="W25" i="3"/>
  <c r="W34" i="3"/>
  <c r="W14" i="3"/>
  <c r="W22" i="3"/>
  <c r="W44" i="3"/>
  <c r="W17" i="3"/>
  <c r="W12" i="3"/>
  <c r="W13" i="3"/>
  <c r="W42" i="3"/>
  <c r="W19" i="3"/>
  <c r="W21" i="3"/>
  <c r="W9" i="3"/>
  <c r="W41" i="3"/>
  <c r="W32" i="3"/>
  <c r="W20" i="3"/>
  <c r="W28" i="3"/>
  <c r="W36" i="3"/>
  <c r="W29" i="3"/>
  <c r="W35" i="3"/>
  <c r="W11" i="3"/>
  <c r="W33" i="3"/>
  <c r="W24" i="3"/>
  <c r="W30" i="3"/>
  <c r="W39" i="3"/>
  <c r="W40" i="3"/>
  <c r="W31" i="3"/>
  <c r="W27" i="3"/>
  <c r="W18" i="3"/>
  <c r="W26" i="3"/>
  <c r="W8" i="3"/>
  <c r="W43" i="3"/>
  <c r="W7" i="3"/>
  <c r="W10" i="3"/>
  <c r="W15" i="3"/>
  <c r="W38" i="3"/>
  <c r="W16" i="3"/>
  <c r="W45" i="3"/>
  <c r="W37" i="3"/>
  <c r="AC42" i="3" l="1"/>
  <c r="AC19" i="3"/>
  <c r="T19" i="3"/>
  <c r="AE28" i="3"/>
  <c r="AE27" i="3"/>
  <c r="T212" i="1"/>
  <c r="X129" i="1"/>
  <c r="AA173" i="1"/>
  <c r="W173" i="1" s="1"/>
  <c r="AA171" i="1"/>
  <c r="X169" i="1"/>
  <c r="AA162" i="1"/>
  <c r="X91" i="1"/>
  <c r="X87" i="1"/>
  <c r="X83" i="1"/>
  <c r="AA81" i="1"/>
  <c r="W81" i="1" s="1"/>
  <c r="AA78" i="1"/>
  <c r="AA67" i="1"/>
  <c r="X64" i="1"/>
  <c r="AA57" i="1"/>
  <c r="AA55" i="1"/>
  <c r="X49" i="1"/>
  <c r="X45" i="1"/>
  <c r="X41" i="1"/>
  <c r="AA30" i="1"/>
  <c r="AA28" i="1"/>
  <c r="AA26" i="1"/>
  <c r="AA18" i="1"/>
  <c r="AC11" i="3"/>
  <c r="R29" i="3"/>
  <c r="AD32" i="3"/>
  <c r="AA214" i="1"/>
  <c r="W214" i="1" s="1"/>
  <c r="X149" i="1"/>
  <c r="AD43" i="3"/>
  <c r="R44" i="3"/>
  <c r="R37" i="3"/>
  <c r="AD28" i="3"/>
  <c r="T12" i="3"/>
  <c r="T28" i="3"/>
  <c r="AC27" i="3"/>
  <c r="X214" i="1"/>
  <c r="AA212" i="1"/>
  <c r="X157" i="1"/>
  <c r="AA150" i="1"/>
  <c r="W150" i="1" s="1"/>
  <c r="AA148" i="1"/>
  <c r="X140" i="1"/>
  <c r="AA138" i="1"/>
  <c r="AA136" i="1"/>
  <c r="AA132" i="1"/>
  <c r="AA128" i="1"/>
  <c r="AA109" i="1"/>
  <c r="AA103" i="1"/>
  <c r="W103" i="1" s="1"/>
  <c r="X102" i="1"/>
  <c r="AA97" i="1"/>
  <c r="X171" i="1"/>
  <c r="AA170" i="1"/>
  <c r="W170" i="1" s="1"/>
  <c r="X88" i="1"/>
  <c r="AA86" i="1"/>
  <c r="AA65" i="1"/>
  <c r="AA63" i="1"/>
  <c r="W63" i="1" s="1"/>
  <c r="T53" i="1"/>
  <c r="AA40" i="1"/>
  <c r="AA38" i="1"/>
  <c r="AA36" i="1"/>
  <c r="AD15" i="3"/>
  <c r="X207" i="1"/>
  <c r="AA145" i="1"/>
  <c r="AA188" i="1"/>
  <c r="W188" i="1" s="1"/>
  <c r="X180" i="1"/>
  <c r="AA66" i="1"/>
  <c r="X63" i="1"/>
  <c r="X56" i="1"/>
  <c r="AA54" i="1"/>
  <c r="AA39" i="1"/>
  <c r="AA34" i="1"/>
  <c r="AA32" i="1"/>
  <c r="W32" i="1" s="1"/>
  <c r="AA24" i="1"/>
  <c r="AA16" i="1"/>
  <c r="S21" i="3"/>
  <c r="AA70" i="1"/>
  <c r="AA69" i="1"/>
  <c r="AA201" i="1"/>
  <c r="X145" i="1"/>
  <c r="X120" i="1"/>
  <c r="X211" i="1"/>
  <c r="X205" i="1"/>
  <c r="X203" i="1"/>
  <c r="AA197" i="1"/>
  <c r="X218" i="1"/>
  <c r="X210" i="1"/>
  <c r="X206" i="1"/>
  <c r="X202" i="1"/>
  <c r="AA196" i="1"/>
  <c r="X156" i="1"/>
  <c r="AA149" i="1"/>
  <c r="W149" i="1" s="1"/>
  <c r="T145" i="1"/>
  <c r="AA144" i="1"/>
  <c r="W144" i="1" s="1"/>
  <c r="X137" i="1"/>
  <c r="AA131" i="1"/>
  <c r="W131" i="1" s="1"/>
  <c r="AA127" i="1"/>
  <c r="AA120" i="1"/>
  <c r="W120" i="1" s="1"/>
  <c r="AA119" i="1"/>
  <c r="AA112" i="1"/>
  <c r="W112" i="1" s="1"/>
  <c r="T112" i="1"/>
  <c r="AA111" i="1"/>
  <c r="AA211" i="1"/>
  <c r="AA194" i="1"/>
  <c r="W194" i="1" s="1"/>
  <c r="T191" i="1"/>
  <c r="X188" i="1"/>
  <c r="AA186" i="1"/>
  <c r="T172" i="1"/>
  <c r="U172" i="1" s="1"/>
  <c r="S172" i="1" s="1"/>
  <c r="T169" i="1"/>
  <c r="X75" i="1"/>
  <c r="X67" i="1"/>
  <c r="X59" i="1"/>
  <c r="X76" i="1"/>
  <c r="AA76" i="1"/>
  <c r="W76" i="1" s="1"/>
  <c r="X68" i="1"/>
  <c r="AA68" i="1"/>
  <c r="W68" i="1" s="1"/>
  <c r="X60" i="1"/>
  <c r="AA60" i="1"/>
  <c r="W60" i="1" s="1"/>
  <c r="T49" i="1"/>
  <c r="AA46" i="1"/>
  <c r="W46" i="1" s="1"/>
  <c r="AA44" i="1"/>
  <c r="AA43" i="1"/>
  <c r="T41" i="1"/>
  <c r="AA37" i="1"/>
  <c r="W37" i="1" s="1"/>
  <c r="X32" i="1"/>
  <c r="X24" i="1"/>
  <c r="X23" i="1"/>
  <c r="X20" i="1"/>
  <c r="X19" i="1"/>
  <c r="X16" i="1"/>
  <c r="X15" i="1"/>
  <c r="X158" i="1"/>
  <c r="X97" i="1"/>
  <c r="X179" i="1"/>
  <c r="AA175" i="1"/>
  <c r="X90" i="1"/>
  <c r="X55" i="1"/>
  <c r="T157" i="1"/>
  <c r="U157" i="1" s="1"/>
  <c r="S157" i="1" s="1"/>
  <c r="T149" i="1"/>
  <c r="AA141" i="1"/>
  <c r="W141" i="1" s="1"/>
  <c r="AA135" i="1"/>
  <c r="X132" i="1"/>
  <c r="X128" i="1"/>
  <c r="AA104" i="1"/>
  <c r="W104" i="1" s="1"/>
  <c r="AA98" i="1"/>
  <c r="AA190" i="1"/>
  <c r="X187" i="1"/>
  <c r="AA182" i="1"/>
  <c r="W182" i="1" s="1"/>
  <c r="AA96" i="1"/>
  <c r="AA177" i="1"/>
  <c r="W177" i="1" s="1"/>
  <c r="AA94" i="1"/>
  <c r="AA92" i="1"/>
  <c r="W92" i="1" s="1"/>
  <c r="AA88" i="1"/>
  <c r="AA79" i="1"/>
  <c r="W79" i="1" s="1"/>
  <c r="AA72" i="1"/>
  <c r="AA64" i="1"/>
  <c r="AA56" i="1"/>
  <c r="AA52" i="1"/>
  <c r="AA47" i="1"/>
  <c r="X44" i="1"/>
  <c r="AA33" i="1"/>
  <c r="AA23" i="1"/>
  <c r="W23" i="1" s="1"/>
  <c r="AA19" i="1"/>
  <c r="AA15" i="1"/>
  <c r="W15" i="1" s="1"/>
  <c r="X152" i="1"/>
  <c r="AA147" i="1"/>
  <c r="AA137" i="1"/>
  <c r="T137" i="1"/>
  <c r="U137" i="1" s="1"/>
  <c r="S137" i="1" s="1"/>
  <c r="AA134" i="1"/>
  <c r="X133" i="1"/>
  <c r="AA129" i="1"/>
  <c r="T129" i="1"/>
  <c r="U129" i="1" s="1"/>
  <c r="S129" i="1" s="1"/>
  <c r="AA126" i="1"/>
  <c r="X125" i="1"/>
  <c r="T117" i="1"/>
  <c r="X117" i="1"/>
  <c r="T109" i="1"/>
  <c r="X109" i="1"/>
  <c r="X201" i="1"/>
  <c r="AA199" i="1"/>
  <c r="W199" i="1" s="1"/>
  <c r="T199" i="1"/>
  <c r="X197" i="1"/>
  <c r="T160" i="1"/>
  <c r="AA157" i="1"/>
  <c r="W157" i="1" s="1"/>
  <c r="T156" i="1"/>
  <c r="U156" i="1" s="1"/>
  <c r="S156" i="1" s="1"/>
  <c r="X153" i="1"/>
  <c r="X148" i="1"/>
  <c r="AA143" i="1"/>
  <c r="T136" i="1"/>
  <c r="U136" i="1" s="1"/>
  <c r="S136" i="1" s="1"/>
  <c r="T128" i="1"/>
  <c r="AA215" i="1"/>
  <c r="AA213" i="1"/>
  <c r="AA210" i="1"/>
  <c r="W210" i="1" s="1"/>
  <c r="AA208" i="1"/>
  <c r="X144" i="1"/>
  <c r="AA133" i="1"/>
  <c r="W133" i="1" s="1"/>
  <c r="AA130" i="1"/>
  <c r="AA125" i="1"/>
  <c r="X121" i="1"/>
  <c r="T121" i="1"/>
  <c r="U121" i="1" s="1"/>
  <c r="S121" i="1" s="1"/>
  <c r="X113" i="1"/>
  <c r="T113" i="1"/>
  <c r="U113" i="1" s="1"/>
  <c r="S113" i="1" s="1"/>
  <c r="AA217" i="1"/>
  <c r="AA204" i="1"/>
  <c r="W204" i="1" s="1"/>
  <c r="AA200" i="1"/>
  <c r="AA153" i="1"/>
  <c r="W153" i="1" s="1"/>
  <c r="AA151" i="1"/>
  <c r="AA146" i="1"/>
  <c r="W146" i="1" s="1"/>
  <c r="AA139" i="1"/>
  <c r="T194" i="1"/>
  <c r="T83" i="1"/>
  <c r="T36" i="1"/>
  <c r="U36" i="1" s="1"/>
  <c r="S36" i="1" s="1"/>
  <c r="T32" i="1"/>
  <c r="T28" i="1"/>
  <c r="U28" i="1" s="1"/>
  <c r="S28" i="1" s="1"/>
  <c r="AA121" i="1"/>
  <c r="AA118" i="1"/>
  <c r="W118" i="1" s="1"/>
  <c r="AA113" i="1"/>
  <c r="AA110" i="1"/>
  <c r="W110" i="1" s="1"/>
  <c r="AA105" i="1"/>
  <c r="T105" i="1"/>
  <c r="U105" i="1" s="1"/>
  <c r="S105" i="1" s="1"/>
  <c r="AA102" i="1"/>
  <c r="T101" i="1"/>
  <c r="AA99" i="1"/>
  <c r="X98" i="1"/>
  <c r="T188" i="1"/>
  <c r="AA185" i="1"/>
  <c r="X184" i="1"/>
  <c r="X182" i="1"/>
  <c r="AA180" i="1"/>
  <c r="T179" i="1"/>
  <c r="AA178" i="1"/>
  <c r="X175" i="1"/>
  <c r="AA172" i="1"/>
  <c r="T171" i="1"/>
  <c r="U171" i="1" s="1"/>
  <c r="S171" i="1" s="1"/>
  <c r="AA95" i="1"/>
  <c r="AA165" i="1"/>
  <c r="T164" i="1"/>
  <c r="U164" i="1" s="1"/>
  <c r="S164" i="1" s="1"/>
  <c r="AA163" i="1"/>
  <c r="X94" i="1"/>
  <c r="AA91" i="1"/>
  <c r="T90" i="1"/>
  <c r="AA89" i="1"/>
  <c r="AA87" i="1"/>
  <c r="W87" i="1" s="1"/>
  <c r="T86" i="1"/>
  <c r="AA85" i="1"/>
  <c r="X84" i="1"/>
  <c r="X79" i="1"/>
  <c r="T76" i="1"/>
  <c r="T72" i="1"/>
  <c r="T68" i="1"/>
  <c r="T64" i="1"/>
  <c r="U64" i="1" s="1"/>
  <c r="S64" i="1" s="1"/>
  <c r="T60" i="1"/>
  <c r="T56" i="1"/>
  <c r="X52" i="1"/>
  <c r="X48" i="1"/>
  <c r="T45" i="1"/>
  <c r="AA42" i="1"/>
  <c r="AA41" i="1"/>
  <c r="X37" i="1"/>
  <c r="X35" i="1"/>
  <c r="X33" i="1"/>
  <c r="X31" i="1"/>
  <c r="X29" i="1"/>
  <c r="T24" i="1"/>
  <c r="AA21" i="1"/>
  <c r="T20" i="1"/>
  <c r="T16" i="1"/>
  <c r="U16" i="1" s="1"/>
  <c r="S16" i="1" s="1"/>
  <c r="AA122" i="1"/>
  <c r="AA117" i="1"/>
  <c r="W117" i="1" s="1"/>
  <c r="AA114" i="1"/>
  <c r="AA106" i="1"/>
  <c r="W106" i="1" s="1"/>
  <c r="AA191" i="1"/>
  <c r="AA189" i="1"/>
  <c r="W189" i="1" s="1"/>
  <c r="AA184" i="1"/>
  <c r="AA183" i="1"/>
  <c r="W183" i="1" s="1"/>
  <c r="AA181" i="1"/>
  <c r="AA176" i="1"/>
  <c r="AA174" i="1"/>
  <c r="AA169" i="1"/>
  <c r="W169" i="1" s="1"/>
  <c r="AA167" i="1"/>
  <c r="AA161" i="1"/>
  <c r="AA93" i="1"/>
  <c r="AA80" i="1"/>
  <c r="W80" i="1" s="1"/>
  <c r="AA77" i="1"/>
  <c r="AA53" i="1"/>
  <c r="AA50" i="1"/>
  <c r="AA49" i="1"/>
  <c r="W49" i="1" s="1"/>
  <c r="X40" i="1"/>
  <c r="AA29" i="1"/>
  <c r="AI217" i="1"/>
  <c r="U217" i="1"/>
  <c r="S217" i="1" s="1"/>
  <c r="AI213" i="1"/>
  <c r="U213" i="1"/>
  <c r="S213" i="1" s="1"/>
  <c r="AI209" i="1"/>
  <c r="U208" i="1"/>
  <c r="S208" i="1" s="1"/>
  <c r="AI205" i="1"/>
  <c r="U204" i="1"/>
  <c r="S204" i="1" s="1"/>
  <c r="AI201" i="1"/>
  <c r="U200" i="1"/>
  <c r="S200" i="1" s="1"/>
  <c r="AI197" i="1"/>
  <c r="U196" i="1"/>
  <c r="S196" i="1" s="1"/>
  <c r="AI193" i="1"/>
  <c r="U159" i="1"/>
  <c r="S159" i="1" s="1"/>
  <c r="AI218" i="1"/>
  <c r="U218" i="1"/>
  <c r="S218" i="1" s="1"/>
  <c r="AI214" i="1"/>
  <c r="U214" i="1"/>
  <c r="S214" i="1" s="1"/>
  <c r="AI210" i="1"/>
  <c r="U209" i="1"/>
  <c r="S209" i="1" s="1"/>
  <c r="AI206" i="1"/>
  <c r="U205" i="1"/>
  <c r="S205" i="1" s="1"/>
  <c r="AI202" i="1"/>
  <c r="U201" i="1"/>
  <c r="S201" i="1" s="1"/>
  <c r="AI198" i="1"/>
  <c r="U197" i="1"/>
  <c r="S197" i="1" s="1"/>
  <c r="AI194" i="1"/>
  <c r="U160" i="1"/>
  <c r="S160" i="1" s="1"/>
  <c r="AI190" i="1"/>
  <c r="AI188" i="1"/>
  <c r="U154" i="1"/>
  <c r="S154" i="1" s="1"/>
  <c r="U215" i="1"/>
  <c r="S215" i="1" s="1"/>
  <c r="AI215" i="1"/>
  <c r="U210" i="1"/>
  <c r="S210" i="1" s="1"/>
  <c r="AI211" i="1"/>
  <c r="U206" i="1"/>
  <c r="S206" i="1" s="1"/>
  <c r="AI207" i="1"/>
  <c r="U202" i="1"/>
  <c r="S202" i="1" s="1"/>
  <c r="AI203" i="1"/>
  <c r="U198" i="1"/>
  <c r="S198" i="1" s="1"/>
  <c r="AI199" i="1"/>
  <c r="AI195" i="1"/>
  <c r="AI191" i="1"/>
  <c r="U216" i="1"/>
  <c r="S216" i="1" s="1"/>
  <c r="AI216" i="1"/>
  <c r="U212" i="1"/>
  <c r="S212" i="1" s="1"/>
  <c r="AI212" i="1"/>
  <c r="U207" i="1"/>
  <c r="S207" i="1" s="1"/>
  <c r="AI208" i="1"/>
  <c r="U203" i="1"/>
  <c r="S203" i="1" s="1"/>
  <c r="AI204" i="1"/>
  <c r="U199" i="1"/>
  <c r="S199" i="1" s="1"/>
  <c r="AI200" i="1"/>
  <c r="U195" i="1"/>
  <c r="S195" i="1" s="1"/>
  <c r="AI196" i="1"/>
  <c r="U158" i="1"/>
  <c r="S158" i="1" s="1"/>
  <c r="AI192" i="1"/>
  <c r="W155" i="1"/>
  <c r="AI189" i="1"/>
  <c r="AI185" i="1"/>
  <c r="AI181" i="1"/>
  <c r="AI177" i="1"/>
  <c r="AI173" i="1"/>
  <c r="U139" i="1"/>
  <c r="S139" i="1" s="1"/>
  <c r="AI169" i="1"/>
  <c r="U135" i="1"/>
  <c r="S135" i="1" s="1"/>
  <c r="AI165" i="1"/>
  <c r="U131" i="1"/>
  <c r="S131" i="1" s="1"/>
  <c r="AI161" i="1"/>
  <c r="U127" i="1"/>
  <c r="S127" i="1" s="1"/>
  <c r="AI158" i="1"/>
  <c r="U123" i="1"/>
  <c r="S123" i="1" s="1"/>
  <c r="AI154" i="1"/>
  <c r="U119" i="1"/>
  <c r="S119" i="1" s="1"/>
  <c r="AI150" i="1"/>
  <c r="U115" i="1"/>
  <c r="S115" i="1" s="1"/>
  <c r="AI146" i="1"/>
  <c r="U111" i="1"/>
  <c r="S111" i="1" s="1"/>
  <c r="AI142" i="1"/>
  <c r="U107" i="1"/>
  <c r="S107" i="1" s="1"/>
  <c r="AI138" i="1"/>
  <c r="U104" i="1"/>
  <c r="S104" i="1" s="1"/>
  <c r="AI134" i="1"/>
  <c r="U100" i="1"/>
  <c r="S100" i="1" s="1"/>
  <c r="AI130" i="1"/>
  <c r="U193" i="1"/>
  <c r="S193" i="1" s="1"/>
  <c r="AI126" i="1"/>
  <c r="U190" i="1"/>
  <c r="S190" i="1" s="1"/>
  <c r="AI122" i="1"/>
  <c r="U186" i="1"/>
  <c r="S186" i="1" s="1"/>
  <c r="U152" i="1"/>
  <c r="S152" i="1" s="1"/>
  <c r="AI186" i="1"/>
  <c r="AI182" i="1"/>
  <c r="U148" i="1"/>
  <c r="S148" i="1" s="1"/>
  <c r="AI178" i="1"/>
  <c r="U144" i="1"/>
  <c r="S144" i="1" s="1"/>
  <c r="AI174" i="1"/>
  <c r="U140" i="1"/>
  <c r="S140" i="1" s="1"/>
  <c r="AI170" i="1"/>
  <c r="AI166" i="1"/>
  <c r="U132" i="1"/>
  <c r="S132" i="1" s="1"/>
  <c r="AI162" i="1"/>
  <c r="U128" i="1"/>
  <c r="S128" i="1" s="1"/>
  <c r="AI159" i="1"/>
  <c r="U124" i="1"/>
  <c r="S124" i="1" s="1"/>
  <c r="AI155" i="1"/>
  <c r="U120" i="1"/>
  <c r="S120" i="1" s="1"/>
  <c r="AI151" i="1"/>
  <c r="U116" i="1"/>
  <c r="S116" i="1" s="1"/>
  <c r="AI147" i="1"/>
  <c r="U112" i="1"/>
  <c r="S112" i="1" s="1"/>
  <c r="AI143" i="1"/>
  <c r="U108" i="1"/>
  <c r="S108" i="1" s="1"/>
  <c r="AI139" i="1"/>
  <c r="U211" i="1"/>
  <c r="S211" i="1" s="1"/>
  <c r="AI135" i="1"/>
  <c r="U101" i="1"/>
  <c r="S101" i="1" s="1"/>
  <c r="AI131" i="1"/>
  <c r="U194" i="1"/>
  <c r="S194" i="1" s="1"/>
  <c r="AI127" i="1"/>
  <c r="U97" i="1"/>
  <c r="S97" i="1" s="1"/>
  <c r="AI123" i="1"/>
  <c r="U187" i="1"/>
  <c r="S187" i="1" s="1"/>
  <c r="U153" i="1"/>
  <c r="S153" i="1" s="1"/>
  <c r="AI187" i="1"/>
  <c r="U149" i="1"/>
  <c r="S149" i="1" s="1"/>
  <c r="AI183" i="1"/>
  <c r="U145" i="1"/>
  <c r="S145" i="1"/>
  <c r="AI179" i="1"/>
  <c r="U141" i="1"/>
  <c r="S141" i="1" s="1"/>
  <c r="AI175" i="1"/>
  <c r="AI171" i="1"/>
  <c r="U133" i="1"/>
  <c r="S133" i="1" s="1"/>
  <c r="AI167" i="1"/>
  <c r="AI163" i="1"/>
  <c r="U125" i="1"/>
  <c r="S125" i="1" s="1"/>
  <c r="AI160" i="1"/>
  <c r="AI156" i="1"/>
  <c r="U117" i="1"/>
  <c r="S117" i="1" s="1"/>
  <c r="AI152" i="1"/>
  <c r="AI148" i="1"/>
  <c r="U109" i="1"/>
  <c r="S109" i="1" s="1"/>
  <c r="AI144" i="1"/>
  <c r="AI140" i="1"/>
  <c r="U102" i="1"/>
  <c r="S102" i="1" s="1"/>
  <c r="AI136" i="1"/>
  <c r="U98" i="1"/>
  <c r="S98" i="1" s="1"/>
  <c r="AI132" i="1"/>
  <c r="U191" i="1"/>
  <c r="S191" i="1" s="1"/>
  <c r="AI128" i="1"/>
  <c r="U188" i="1"/>
  <c r="S188" i="1" s="1"/>
  <c r="AI124" i="1"/>
  <c r="U184" i="1"/>
  <c r="S184" i="1" s="1"/>
  <c r="AI120" i="1"/>
  <c r="U183" i="1"/>
  <c r="S183" i="1" s="1"/>
  <c r="AI119" i="1"/>
  <c r="U150" i="1"/>
  <c r="S150" i="1" s="1"/>
  <c r="AI184" i="1"/>
  <c r="U146" i="1"/>
  <c r="S146" i="1" s="1"/>
  <c r="AI180" i="1"/>
  <c r="U142" i="1"/>
  <c r="S142" i="1" s="1"/>
  <c r="AI176" i="1"/>
  <c r="U138" i="1"/>
  <c r="S138" i="1" s="1"/>
  <c r="AI172" i="1"/>
  <c r="U134" i="1"/>
  <c r="S134" i="1" s="1"/>
  <c r="AI168" i="1"/>
  <c r="U130" i="1"/>
  <c r="S130" i="1" s="1"/>
  <c r="AI164" i="1"/>
  <c r="U126" i="1"/>
  <c r="S126" i="1" s="1"/>
  <c r="U122" i="1"/>
  <c r="S122" i="1" s="1"/>
  <c r="AI157" i="1"/>
  <c r="U118" i="1"/>
  <c r="S118" i="1" s="1"/>
  <c r="AI153" i="1"/>
  <c r="U114" i="1"/>
  <c r="S114" i="1" s="1"/>
  <c r="AI149" i="1"/>
  <c r="U110" i="1"/>
  <c r="S110" i="1" s="1"/>
  <c r="AI145" i="1"/>
  <c r="U106" i="1"/>
  <c r="S106" i="1" s="1"/>
  <c r="AI141" i="1"/>
  <c r="U103" i="1"/>
  <c r="S103" i="1" s="1"/>
  <c r="AI137" i="1"/>
  <c r="U99" i="1"/>
  <c r="S99" i="1" s="1"/>
  <c r="AI133" i="1"/>
  <c r="U192" i="1"/>
  <c r="S192" i="1" s="1"/>
  <c r="AI129" i="1"/>
  <c r="U189" i="1"/>
  <c r="S189" i="1"/>
  <c r="AI125" i="1"/>
  <c r="U185" i="1"/>
  <c r="S185" i="1" s="1"/>
  <c r="AI121" i="1"/>
  <c r="S181" i="1"/>
  <c r="AI117" i="1"/>
  <c r="U181" i="1"/>
  <c r="AI113" i="1"/>
  <c r="U178" i="1"/>
  <c r="S178" i="1" s="1"/>
  <c r="AI109" i="1"/>
  <c r="U174" i="1"/>
  <c r="S174" i="1" s="1"/>
  <c r="AI105" i="1"/>
  <c r="U95" i="1"/>
  <c r="S95" i="1" s="1"/>
  <c r="AI101" i="1"/>
  <c r="U167" i="1"/>
  <c r="S167" i="1" s="1"/>
  <c r="AI97" i="1"/>
  <c r="U163" i="1"/>
  <c r="S163" i="1" s="1"/>
  <c r="AI93" i="1"/>
  <c r="U93" i="1"/>
  <c r="S93" i="1" s="1"/>
  <c r="AI89" i="1"/>
  <c r="U89" i="1"/>
  <c r="S89" i="1" s="1"/>
  <c r="AI85" i="1"/>
  <c r="U85" i="1"/>
  <c r="S85" i="1" s="1"/>
  <c r="U182" i="1"/>
  <c r="S182" i="1" s="1"/>
  <c r="AI118" i="1"/>
  <c r="AI114" i="1"/>
  <c r="U179" i="1"/>
  <c r="S179" i="1" s="1"/>
  <c r="AI110" i="1"/>
  <c r="U175" i="1"/>
  <c r="S175" i="1" s="1"/>
  <c r="AI106" i="1"/>
  <c r="AI102" i="1"/>
  <c r="U168" i="1"/>
  <c r="S168" i="1" s="1"/>
  <c r="AI98" i="1"/>
  <c r="AI94" i="1"/>
  <c r="U94" i="1"/>
  <c r="S94" i="1" s="1"/>
  <c r="AI90" i="1"/>
  <c r="U90" i="1"/>
  <c r="S90" i="1" s="1"/>
  <c r="AI86" i="1"/>
  <c r="U86" i="1"/>
  <c r="S86" i="1" s="1"/>
  <c r="U180" i="1"/>
  <c r="S180" i="1" s="1"/>
  <c r="AI115" i="1"/>
  <c r="U176" i="1"/>
  <c r="S176" i="1" s="1"/>
  <c r="AI111" i="1"/>
  <c r="AI107" i="1"/>
  <c r="U169" i="1"/>
  <c r="S169" i="1" s="1"/>
  <c r="AI103" i="1"/>
  <c r="U165" i="1"/>
  <c r="S165" i="1" s="1"/>
  <c r="AI99" i="1"/>
  <c r="U161" i="1"/>
  <c r="S161" i="1" s="1"/>
  <c r="AI95" i="1"/>
  <c r="U91" i="1"/>
  <c r="S91" i="1" s="1"/>
  <c r="AI91" i="1"/>
  <c r="U87" i="1"/>
  <c r="S87" i="1" s="1"/>
  <c r="AI87" i="1"/>
  <c r="U84" i="1"/>
  <c r="S84" i="1" s="1"/>
  <c r="AI84" i="1"/>
  <c r="U96" i="1"/>
  <c r="S96" i="1" s="1"/>
  <c r="AI116" i="1"/>
  <c r="U177" i="1"/>
  <c r="S177" i="1"/>
  <c r="AI112" i="1"/>
  <c r="U173" i="1"/>
  <c r="S173" i="1" s="1"/>
  <c r="AI108" i="1"/>
  <c r="U170" i="1"/>
  <c r="S170" i="1" s="1"/>
  <c r="AI104" i="1"/>
  <c r="U166" i="1"/>
  <c r="S166" i="1" s="1"/>
  <c r="AI100" i="1"/>
  <c r="U162" i="1"/>
  <c r="S162" i="1" s="1"/>
  <c r="AI96" i="1"/>
  <c r="U92" i="1"/>
  <c r="S92" i="1" s="1"/>
  <c r="AI92" i="1"/>
  <c r="U88" i="1"/>
  <c r="S88" i="1" s="1"/>
  <c r="AI88" i="1"/>
  <c r="U83" i="1"/>
  <c r="S83" i="1" s="1"/>
  <c r="AI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AI60" i="1"/>
  <c r="U60" i="1"/>
  <c r="S60" i="1" s="1"/>
  <c r="AI56" i="1"/>
  <c r="U56" i="1"/>
  <c r="S56" i="1" s="1"/>
  <c r="U81" i="1"/>
  <c r="S81" i="1"/>
  <c r="AI81" i="1"/>
  <c r="U77" i="1"/>
  <c r="S77" i="1" s="1"/>
  <c r="AI77" i="1"/>
  <c r="U73" i="1"/>
  <c r="S73" i="1" s="1"/>
  <c r="AI73" i="1"/>
  <c r="U69" i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U82" i="1"/>
  <c r="S82" i="1"/>
  <c r="AI82" i="1"/>
  <c r="U78" i="1"/>
  <c r="S78" i="1" s="1"/>
  <c r="AI78" i="1"/>
  <c r="U74" i="1"/>
  <c r="S74" i="1" s="1"/>
  <c r="AI74" i="1"/>
  <c r="U70" i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AI46" i="1"/>
  <c r="U46" i="1"/>
  <c r="S46" i="1" s="1"/>
  <c r="AI42" i="1"/>
  <c r="U42" i="1"/>
  <c r="S42" i="1" s="1"/>
  <c r="AI38" i="1"/>
  <c r="U38" i="1"/>
  <c r="S38" i="1" s="1"/>
  <c r="AI34" i="1"/>
  <c r="AI30" i="1"/>
  <c r="AI26" i="1"/>
  <c r="U26" i="1"/>
  <c r="S26" i="1" s="1"/>
  <c r="AI22" i="1"/>
  <c r="U22" i="1"/>
  <c r="S22" i="1" s="1"/>
  <c r="AI18" i="1"/>
  <c r="U18" i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AI36" i="1"/>
  <c r="U32" i="1"/>
  <c r="S32" i="1" s="1"/>
  <c r="AI32" i="1"/>
  <c r="AI28" i="1"/>
  <c r="U24" i="1"/>
  <c r="S24" i="1" s="1"/>
  <c r="AI24" i="1"/>
  <c r="U20" i="1"/>
  <c r="S20" i="1" s="1"/>
  <c r="AI20" i="1"/>
  <c r="AI16" i="1"/>
  <c r="W217" i="1"/>
  <c r="W200" i="1"/>
  <c r="W196" i="1"/>
  <c r="W152" i="1"/>
  <c r="W160" i="1"/>
  <c r="W158" i="1"/>
  <c r="W156" i="1"/>
  <c r="W216" i="1"/>
  <c r="W212" i="1"/>
  <c r="W209" i="1"/>
  <c r="W207" i="1"/>
  <c r="W206" i="1"/>
  <c r="W203" i="1"/>
  <c r="W202" i="1"/>
  <c r="W198" i="1"/>
  <c r="W159" i="1"/>
  <c r="W218" i="1"/>
  <c r="W215" i="1"/>
  <c r="W213" i="1"/>
  <c r="W208" i="1"/>
  <c r="W205" i="1"/>
  <c r="W201" i="1"/>
  <c r="W197" i="1"/>
  <c r="W195" i="1"/>
  <c r="X195" i="1"/>
  <c r="W151" i="1"/>
  <c r="W139" i="1"/>
  <c r="W123" i="1"/>
  <c r="W115" i="1"/>
  <c r="W109" i="1"/>
  <c r="W107" i="1"/>
  <c r="W101" i="1"/>
  <c r="W98" i="1"/>
  <c r="W193" i="1"/>
  <c r="W192" i="1"/>
  <c r="X217" i="1"/>
  <c r="X213" i="1"/>
  <c r="X208" i="1"/>
  <c r="X204" i="1"/>
  <c r="X200" i="1"/>
  <c r="X196" i="1"/>
  <c r="T155" i="1"/>
  <c r="U155" i="1" s="1"/>
  <c r="S155" i="1" s="1"/>
  <c r="X155" i="1"/>
  <c r="W148" i="1"/>
  <c r="W147" i="1"/>
  <c r="W142" i="1"/>
  <c r="W137" i="1"/>
  <c r="W136" i="1"/>
  <c r="W134" i="1"/>
  <c r="W129" i="1"/>
  <c r="W128" i="1"/>
  <c r="W126" i="1"/>
  <c r="W121" i="1"/>
  <c r="W113" i="1"/>
  <c r="W105" i="1"/>
  <c r="W211" i="1"/>
  <c r="W102" i="1"/>
  <c r="W100" i="1"/>
  <c r="W99" i="1"/>
  <c r="W187" i="1"/>
  <c r="W185" i="1"/>
  <c r="W145" i="1"/>
  <c r="W143" i="1"/>
  <c r="W135" i="1"/>
  <c r="W127" i="1"/>
  <c r="W119" i="1"/>
  <c r="W111" i="1"/>
  <c r="W97" i="1"/>
  <c r="W186" i="1"/>
  <c r="W154" i="1"/>
  <c r="W140" i="1"/>
  <c r="W138" i="1"/>
  <c r="W132" i="1"/>
  <c r="W130" i="1"/>
  <c r="W125" i="1"/>
  <c r="W124" i="1"/>
  <c r="W122" i="1"/>
  <c r="W116" i="1"/>
  <c r="W114" i="1"/>
  <c r="W108" i="1"/>
  <c r="W191" i="1"/>
  <c r="W190" i="1"/>
  <c r="X154" i="1"/>
  <c r="X150" i="1"/>
  <c r="X146" i="1"/>
  <c r="X142" i="1"/>
  <c r="X138" i="1"/>
  <c r="X134" i="1"/>
  <c r="X130" i="1"/>
  <c r="X126" i="1"/>
  <c r="X122" i="1"/>
  <c r="X118" i="1"/>
  <c r="X114" i="1"/>
  <c r="X110" i="1"/>
  <c r="X106" i="1"/>
  <c r="X103" i="1"/>
  <c r="X99" i="1"/>
  <c r="X192" i="1"/>
  <c r="X189" i="1"/>
  <c r="X185" i="1"/>
  <c r="W184" i="1"/>
  <c r="W179" i="1"/>
  <c r="W171" i="1"/>
  <c r="W164" i="1"/>
  <c r="W162" i="1"/>
  <c r="W90" i="1"/>
  <c r="W88" i="1"/>
  <c r="W86" i="1"/>
  <c r="X151" i="1"/>
  <c r="T151" i="1"/>
  <c r="U151" i="1" s="1"/>
  <c r="S151" i="1" s="1"/>
  <c r="X147" i="1"/>
  <c r="T147" i="1"/>
  <c r="U147" i="1" s="1"/>
  <c r="S147" i="1" s="1"/>
  <c r="X143" i="1"/>
  <c r="T143" i="1"/>
  <c r="U143" i="1" s="1"/>
  <c r="S143" i="1" s="1"/>
  <c r="X139" i="1"/>
  <c r="X135" i="1"/>
  <c r="X131" i="1"/>
  <c r="X127" i="1"/>
  <c r="X123" i="1"/>
  <c r="X119" i="1"/>
  <c r="X115" i="1"/>
  <c r="X111" i="1"/>
  <c r="X107" i="1"/>
  <c r="X104" i="1"/>
  <c r="X100" i="1"/>
  <c r="X193" i="1"/>
  <c r="X190" i="1"/>
  <c r="X186" i="1"/>
  <c r="W180" i="1"/>
  <c r="W178" i="1"/>
  <c r="W172" i="1"/>
  <c r="W95" i="1"/>
  <c r="W165" i="1"/>
  <c r="W163" i="1"/>
  <c r="W91" i="1"/>
  <c r="W89" i="1"/>
  <c r="W85" i="1"/>
  <c r="W96" i="1"/>
  <c r="W175" i="1"/>
  <c r="W168" i="1"/>
  <c r="W166" i="1"/>
  <c r="W94" i="1"/>
  <c r="W181" i="1"/>
  <c r="W176" i="1"/>
  <c r="W174" i="1"/>
  <c r="W167" i="1"/>
  <c r="W161" i="1"/>
  <c r="W93" i="1"/>
  <c r="X96" i="1"/>
  <c r="X177" i="1"/>
  <c r="X173" i="1"/>
  <c r="X170" i="1"/>
  <c r="X92" i="1"/>
  <c r="W82" i="1"/>
  <c r="X181" i="1"/>
  <c r="X178" i="1"/>
  <c r="X174" i="1"/>
  <c r="X95" i="1"/>
  <c r="X93" i="1"/>
  <c r="X89" i="1"/>
  <c r="X85" i="1"/>
  <c r="W84" i="1"/>
  <c r="W75" i="1"/>
  <c r="W71" i="1"/>
  <c r="W67" i="1"/>
  <c r="W59" i="1"/>
  <c r="W55" i="1"/>
  <c r="W83" i="1"/>
  <c r="W74" i="1"/>
  <c r="W73" i="1"/>
  <c r="W72" i="1"/>
  <c r="W70" i="1"/>
  <c r="W69" i="1"/>
  <c r="W66" i="1"/>
  <c r="W65" i="1"/>
  <c r="W64" i="1"/>
  <c r="W62" i="1"/>
  <c r="W61" i="1"/>
  <c r="W58" i="1"/>
  <c r="W57" i="1"/>
  <c r="W56" i="1"/>
  <c r="W54" i="1"/>
  <c r="W78" i="1"/>
  <c r="W77" i="1"/>
  <c r="W53" i="1"/>
  <c r="W51" i="1"/>
  <c r="X82" i="1"/>
  <c r="X78" i="1"/>
  <c r="X74" i="1"/>
  <c r="X70" i="1"/>
  <c r="X66" i="1"/>
  <c r="X62" i="1"/>
  <c r="X58" i="1"/>
  <c r="X54" i="1"/>
  <c r="T50" i="1"/>
  <c r="U50" i="1" s="1"/>
  <c r="S50" i="1" s="1"/>
  <c r="X50" i="1"/>
  <c r="W40" i="1"/>
  <c r="W38" i="1"/>
  <c r="W35" i="1"/>
  <c r="W34" i="1"/>
  <c r="W33" i="1"/>
  <c r="W31" i="1"/>
  <c r="W30" i="1"/>
  <c r="W27" i="1"/>
  <c r="W25" i="1"/>
  <c r="W24" i="1"/>
  <c r="W20" i="1"/>
  <c r="W17" i="1"/>
  <c r="W16" i="1"/>
  <c r="W44" i="1"/>
  <c r="W42" i="1"/>
  <c r="W41" i="1"/>
  <c r="W39" i="1"/>
  <c r="W21" i="1"/>
  <c r="W19" i="1"/>
  <c r="W48" i="1"/>
  <c r="W45" i="1"/>
  <c r="W43" i="1"/>
  <c r="W26" i="1"/>
  <c r="W22" i="1"/>
  <c r="W18" i="1"/>
  <c r="W14" i="1"/>
  <c r="X81" i="1"/>
  <c r="X77" i="1"/>
  <c r="X73" i="1"/>
  <c r="X69" i="1"/>
  <c r="X65" i="1"/>
  <c r="X61" i="1"/>
  <c r="X57" i="1"/>
  <c r="W52" i="1"/>
  <c r="W50" i="1"/>
  <c r="W47" i="1"/>
  <c r="W36" i="1"/>
  <c r="W29" i="1"/>
  <c r="W28" i="1"/>
  <c r="X46" i="1"/>
  <c r="X42" i="1"/>
  <c r="X38" i="1"/>
  <c r="X34" i="1"/>
  <c r="T34" i="1"/>
  <c r="U34" i="1" s="1"/>
  <c r="S34" i="1" s="1"/>
  <c r="X30" i="1"/>
  <c r="T30" i="1"/>
  <c r="U30" i="1" s="1"/>
  <c r="S30" i="1" s="1"/>
  <c r="X26" i="1"/>
  <c r="X22" i="1"/>
  <c r="X18" i="1"/>
  <c r="X51" i="1"/>
  <c r="X47" i="1"/>
  <c r="X43" i="1"/>
  <c r="X39" i="1"/>
  <c r="X27" i="1"/>
  <c r="T13" i="3"/>
  <c r="AC14" i="3"/>
  <c r="AD40" i="3"/>
  <c r="T45" i="3"/>
  <c r="AC9" i="3"/>
  <c r="T16" i="3"/>
  <c r="AC34" i="3"/>
  <c r="AE19" i="3"/>
  <c r="AD17" i="3"/>
  <c r="AD13" i="3"/>
  <c r="AD45" i="3"/>
  <c r="AE44" i="3"/>
  <c r="AD37" i="3"/>
  <c r="AE36" i="3"/>
  <c r="AE20" i="3"/>
  <c r="AD16" i="3"/>
  <c r="AD12" i="3"/>
  <c r="AD44" i="3"/>
  <c r="AD36" i="3"/>
  <c r="AD20" i="3"/>
  <c r="AE11" i="3"/>
  <c r="AD9" i="3"/>
  <c r="AE15" i="3"/>
  <c r="AD8" i="3"/>
  <c r="AE40" i="3"/>
  <c r="AD39" i="3"/>
  <c r="T17" i="3"/>
  <c r="AC38" i="3"/>
  <c r="AC37" i="3"/>
  <c r="AE24" i="3"/>
  <c r="T31" i="3"/>
  <c r="AC8" i="3"/>
  <c r="AC15" i="3"/>
  <c r="AC24" i="3"/>
  <c r="AC40" i="3"/>
  <c r="AE32" i="3"/>
  <c r="AD31" i="3"/>
  <c r="T36" i="3"/>
  <c r="AC33" i="3"/>
  <c r="AC18" i="3"/>
  <c r="Y26" i="3"/>
  <c r="Y19" i="3"/>
  <c r="Y37" i="3"/>
  <c r="Y35" i="3"/>
  <c r="Y18" i="3"/>
  <c r="Y42" i="3"/>
  <c r="Y15" i="3"/>
  <c r="Y29" i="3"/>
  <c r="Y27" i="3"/>
  <c r="Y13" i="3"/>
  <c r="Y45" i="3"/>
  <c r="Y36" i="3"/>
  <c r="Y31" i="3"/>
  <c r="Y12" i="3"/>
  <c r="Y10" i="3"/>
  <c r="Y28" i="3"/>
  <c r="Y40" i="3"/>
  <c r="Y17" i="3"/>
  <c r="Y16" i="3"/>
  <c r="Y20" i="3"/>
  <c r="Y39" i="3"/>
  <c r="Y44" i="3"/>
  <c r="Y7" i="3"/>
  <c r="Y32" i="3"/>
  <c r="Y30" i="3"/>
  <c r="Y22" i="3"/>
  <c r="Y43" i="3"/>
  <c r="Y41" i="3"/>
  <c r="Y24" i="3"/>
  <c r="Y14" i="3"/>
  <c r="Y38" i="3"/>
  <c r="Y9" i="3"/>
  <c r="Y33" i="3"/>
  <c r="Y34" i="3"/>
  <c r="Y8" i="3"/>
  <c r="Y21" i="3"/>
  <c r="Y11" i="3"/>
  <c r="Y25" i="3"/>
  <c r="AE38" i="3"/>
  <c r="T39" i="3"/>
  <c r="AE26" i="3"/>
  <c r="T32" i="3"/>
  <c r="AE18" i="3"/>
  <c r="T22" i="3"/>
  <c r="AE14" i="3"/>
  <c r="T43" i="3"/>
  <c r="AE10" i="3"/>
  <c r="T41" i="3"/>
  <c r="AE34" i="3"/>
  <c r="T44" i="3"/>
  <c r="AE30" i="3"/>
  <c r="T7" i="3"/>
  <c r="AE22" i="3"/>
  <c r="T30" i="3"/>
  <c r="AE45" i="3"/>
  <c r="T24" i="3"/>
  <c r="AD42" i="3"/>
  <c r="AE41" i="3"/>
  <c r="T14" i="3"/>
  <c r="AD38" i="3"/>
  <c r="AE37" i="3"/>
  <c r="T38" i="3"/>
  <c r="AD34" i="3"/>
  <c r="AE33" i="3"/>
  <c r="T9" i="3"/>
  <c r="AD30" i="3"/>
  <c r="AE29" i="3"/>
  <c r="T33" i="3"/>
  <c r="AD26" i="3"/>
  <c r="AE25" i="3"/>
  <c r="T34" i="3"/>
  <c r="AD22" i="3"/>
  <c r="AE21" i="3"/>
  <c r="T8" i="3"/>
  <c r="AD18" i="3"/>
  <c r="AE17" i="3"/>
  <c r="T21" i="3"/>
  <c r="AD14" i="3"/>
  <c r="AE13" i="3"/>
  <c r="T11" i="3"/>
  <c r="AD10" i="3"/>
  <c r="AE9" i="3"/>
  <c r="T25" i="3"/>
  <c r="AE42" i="3"/>
  <c r="T20" i="3"/>
  <c r="AE16" i="3"/>
  <c r="AE12" i="3"/>
  <c r="AE8" i="3"/>
  <c r="M23" i="3"/>
  <c r="R23" i="3"/>
  <c r="S23" i="3"/>
  <c r="U23" i="3"/>
  <c r="AD23" i="3" s="1"/>
  <c r="V23" i="3"/>
  <c r="X23" i="3"/>
  <c r="W23" i="3"/>
  <c r="S18" i="1" l="1"/>
  <c r="S69" i="1"/>
  <c r="T23" i="3"/>
  <c r="AE23" i="3"/>
  <c r="Y23" i="3"/>
  <c r="AC23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3" i="6" l="1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3" i="6" l="1"/>
  <c r="I3" i="6"/>
  <c r="J3" i="6"/>
  <c r="F3" i="6"/>
  <c r="B4" i="6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27" i="3" s="1"/>
  <c r="G29" i="4"/>
  <c r="G30" i="4"/>
  <c r="G31" i="4"/>
  <c r="N25" i="3" s="1"/>
  <c r="G32" i="4"/>
  <c r="G33" i="4"/>
  <c r="G34" i="4"/>
  <c r="G35" i="4"/>
  <c r="G36" i="4"/>
  <c r="G37" i="4"/>
  <c r="G38" i="4"/>
  <c r="G39" i="4"/>
  <c r="G40" i="4"/>
  <c r="G41" i="4"/>
  <c r="N41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N11" i="3" s="1"/>
  <c r="G57" i="4"/>
  <c r="G58" i="4"/>
  <c r="G59" i="4"/>
  <c r="N10" i="3" s="1"/>
  <c r="G60" i="4"/>
  <c r="N43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15" i="3" s="1"/>
  <c r="G89" i="4"/>
  <c r="G90" i="4"/>
  <c r="G91" i="4"/>
  <c r="G92" i="4"/>
  <c r="G93" i="4"/>
  <c r="G94" i="4"/>
  <c r="G95" i="4"/>
  <c r="G96" i="4"/>
  <c r="N12" i="3" s="1"/>
  <c r="G97" i="4"/>
  <c r="G98" i="4"/>
  <c r="G99" i="4"/>
  <c r="G100" i="4"/>
  <c r="G101" i="4"/>
  <c r="G102" i="4"/>
  <c r="G103" i="4"/>
  <c r="G104" i="4"/>
  <c r="G105" i="4"/>
  <c r="G106" i="4"/>
  <c r="G107" i="4"/>
  <c r="N42" i="3" s="1"/>
  <c r="G108" i="4"/>
  <c r="N31" i="3" s="1"/>
  <c r="G109" i="4"/>
  <c r="G110" i="4"/>
  <c r="N18" i="3" s="1"/>
  <c r="G111" i="4"/>
  <c r="G112" i="4"/>
  <c r="G113" i="4"/>
  <c r="N34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N32" i="3" s="1"/>
  <c r="G126" i="4"/>
  <c r="G127" i="4"/>
  <c r="G128" i="4"/>
  <c r="N16" i="3" s="1"/>
  <c r="G129" i="4"/>
  <c r="G130" i="4"/>
  <c r="G131" i="4"/>
  <c r="G132" i="4"/>
  <c r="N35" i="3" s="1"/>
  <c r="G133" i="4"/>
  <c r="G134" i="4"/>
  <c r="G135" i="4"/>
  <c r="G136" i="4"/>
  <c r="G137" i="4"/>
  <c r="G138" i="4"/>
  <c r="N33" i="3" s="1"/>
  <c r="G139" i="4"/>
  <c r="G140" i="4"/>
  <c r="G141" i="4"/>
  <c r="G142" i="4"/>
  <c r="G143" i="4"/>
  <c r="G144" i="4"/>
  <c r="G145" i="4"/>
  <c r="N36" i="3" s="1"/>
  <c r="G146" i="4"/>
  <c r="G147" i="4"/>
  <c r="G148" i="4"/>
  <c r="G149" i="4"/>
  <c r="G150" i="4"/>
  <c r="G151" i="4"/>
  <c r="G152" i="4"/>
  <c r="G153" i="4"/>
  <c r="N9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39" i="3" s="1"/>
  <c r="G170" i="4"/>
  <c r="G171" i="4"/>
  <c r="G172" i="4"/>
  <c r="G173" i="4"/>
  <c r="G174" i="4"/>
  <c r="G175" i="4"/>
  <c r="G176" i="4"/>
  <c r="G177" i="4"/>
  <c r="G178" i="4"/>
  <c r="G179" i="4"/>
  <c r="G180" i="4"/>
  <c r="N17" i="3" s="1"/>
  <c r="G181" i="4"/>
  <c r="G182" i="4"/>
  <c r="G183" i="4"/>
  <c r="G184" i="4"/>
  <c r="G185" i="4"/>
  <c r="N40" i="3" s="1"/>
  <c r="G186" i="4"/>
  <c r="G187" i="4"/>
  <c r="G188" i="4"/>
  <c r="G189" i="4"/>
  <c r="G190" i="4"/>
  <c r="N23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14" i="3" s="1"/>
  <c r="G204" i="4"/>
  <c r="N20" i="3" s="1"/>
  <c r="G205" i="4"/>
  <c r="G206" i="4"/>
  <c r="N13" i="3" s="1"/>
  <c r="G207" i="4"/>
  <c r="G208" i="4"/>
  <c r="G209" i="4"/>
  <c r="G210" i="4"/>
  <c r="G211" i="4"/>
  <c r="G212" i="4"/>
  <c r="G213" i="4"/>
  <c r="N26" i="3" s="1"/>
  <c r="G214" i="4"/>
  <c r="G215" i="4"/>
  <c r="N24" i="3" s="1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7" i="3" l="1"/>
  <c r="N7" i="3"/>
  <c r="N19" i="3"/>
  <c r="N38" i="3"/>
  <c r="N45" i="3"/>
  <c r="N44" i="3"/>
  <c r="N28" i="3"/>
  <c r="N29" i="3"/>
  <c r="N21" i="3"/>
  <c r="N22" i="3"/>
  <c r="N8" i="3"/>
  <c r="N30" i="3"/>
  <c r="H4" i="6"/>
  <c r="H3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<sst xmlns="http://schemas.openxmlformats.org/spreadsheetml/2006/main" count="2811" uniqueCount="1040">
  <si>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</si>
  <si>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</si>
  <si>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</si>
  <si>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</si>
  <si>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</si>
  <si>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</si>
  <si>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</si>
  <si>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</si>
  <si>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</si>
  <si>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</si>
  <si>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</si>
  <si>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</si>
  <si>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</si>
  <si>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</si>
  <si>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</si>
  <si>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</si>
  <si>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</si>
  <si>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</si>
  <si>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</si>
  <si>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</si>
  <si>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</si>
  <si>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</si>
  <si>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</si>
  <si>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</si>
  <si>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</si>
  <si>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</si>
  <si>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</si>
  <si>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</si>
  <si>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</si>
  <si>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</si>
  <si>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</si>
  <si>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</si>
  <si>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</si>
  <si>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</si>
  <si>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</si>
  <si>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</si>
  <si>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</si>
  <si>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</si>
  <si>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</si>
  <si>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</si>
  <si>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</si>
  <si>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</si>
  <si>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</si>
  <si>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</si>
  <si>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</si>
  <si>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</si>
  <si>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</si>
  <si>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</si>
  <si>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</si>
  <si>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</si>
  <si>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</si>
  <si>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</si>
  <si>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</si>
  <si>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</si>
  <si>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</si>
  <si>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</si>
  <si>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</si>
  <si>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</si>
  <si>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</si>
  <si>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</si>
  <si>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</si>
  <si>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</si>
  <si>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</si>
  <si>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</si>
  <si>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</si>
  <si>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</si>
  <si>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</si>
  <si>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</si>
  <si>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</si>
  <si>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</si>
  <si>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</si>
  <si>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</si>
  <si>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</si>
  <si>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</si>
  <si>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</si>
  <si>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</si>
  <si>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</si>
  <si>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</si>
  <si>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</si>
  <si>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</si>
  <si>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</si>
  <si>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</si>
  <si>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</si>
  <si>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</si>
  <si>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</si>
  <si>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</si>
  <si>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</si>
  <si>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</si>
  <si>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</si>
  <si>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</si>
  <si>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</si>
  <si>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</si>
  <si>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</si>
  <si>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</si>
  <si>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</si>
  <si>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</si>
  <si>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</si>
  <si>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</si>
  <si>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</si>
  <si>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</si>
  <si>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</si>
  <si>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</si>
  <si>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</si>
  <si>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</si>
  <si>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</si>
  <si>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</si>
  <si>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</si>
  <si>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</si>
  <si>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</si>
  <si>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</si>
  <si>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</si>
  <si>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</si>
  <si>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</si>
  <si>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</si>
  <si>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</si>
  <si>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</si>
  <si>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</si>
  <si>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</si>
  <si>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</si>
  <si>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</si>
  <si>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</si>
  <si>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</si>
  <si>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</si>
  <si>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</si>
  <si>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</si>
  <si>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</si>
  <si>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</si>
  <si>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</si>
  <si>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</si>
  <si>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</si>
  <si>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</si>
  <si>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</si>
  <si>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</si>
  <si>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</si>
  <si>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</si>
  <si>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</si>
  <si>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</si>
  <si>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</si>
  <si>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</si>
  <si>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</si>
  <si>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</si>
  <si>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</si>
  <si>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</si>
  <si>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</si>
  <si>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</si>
  <si>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</si>
  <si>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</si>
  <si>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</si>
  <si>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</si>
  <si>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</si>
  <si>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</si>
  <si>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</si>
  <si>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</si>
  <si>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</si>
  <si>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</si>
  <si>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</si>
  <si>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</si>
  <si>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</si>
  <si>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</si>
  <si>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</si>
  <si>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</si>
  <si>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</si>
  <si>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</si>
  <si>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</si>
  <si>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</si>
  <si>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</si>
  <si>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</si>
  <si>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</si>
  <si>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</si>
  <si>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</si>
  <si>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</si>
  <si>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</si>
  <si>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</si>
  <si>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</si>
  <si>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</si>
  <si>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</si>
  <si>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</si>
  <si>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</si>
  <si>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</si>
  <si>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</si>
  <si>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</si>
  <si>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</si>
  <si>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</si>
  <si>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</si>
  <si>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</si>
  <si>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</si>
  <si>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</si>
  <si>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</si>
  <si>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</si>
  <si>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</si>
  <si>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</si>
  <si>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</si>
  <si>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</si>
  <si>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</si>
  <si>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</si>
  <si>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</si>
  <si>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</si>
  <si>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</si>
  <si>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</si>
  <si>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</si>
  <si>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</si>
  <si>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</si>
  <si>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</si>
  <si>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</si>
  <si>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</si>
  <si>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</si>
  <si>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</si>
  <si>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</si>
  <si>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</si>
  <si>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</si>
  <si>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</si>
  <si>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</si>
  <si>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</si>
  <si>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</si>
  <si>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</si>
  <si>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</si>
  <si>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</si>
  <si>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</si>
  <si>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</si>
  <si>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</si>
  <si>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</si>
  <si>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</si>
  <si>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</si>
  <si>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</si>
  <si>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</si>
  <si>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</si>
  <si>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</si>
  <si>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</si>
  <si>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</si>
  <si>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</si>
  <si>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</si>
  <si>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</si>
  <si>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</si>
  <si>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</si>
  <si>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</si>
  <si>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</si>
  <si>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</si>
  <si>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</si>
  <si>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</si>
  <si>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</si>
  <si>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</si>
  <si>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</si>
  <si>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</si>
  <si>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</si>
  <si>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</si>
  <si>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</si>
  <si>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</si>
  <si>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</si>
  <si>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</si>
  <si>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</si>
  <si>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</si>
  <si>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</si>
  <si>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</si>
  <si>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</si>
  <si>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</si>
  <si>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</si>
  <si>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</si>
  <si>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</si>
  <si>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</si>
  <si>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</si>
  <si>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</si>
  <si>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</si>
  <si>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</si>
  <si>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</si>
  <si>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</si>
  <si>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</si>
  <si>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</si>
  <si>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</si>
  <si>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</si>
  <si>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</si>
  <si>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</si>
  <si>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</si>
  <si>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</si>
  <si>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</si>
  <si>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</si>
  <si>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</si>
  <si>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</si>
  <si>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</si>
  <si>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</si>
  <si>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</si>
  <si>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</si>
  <si>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</si>
  <si>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</si>
  <si>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</si>
  <si>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</si>
  <si>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</si>
  <si>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</si>
  <si>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</si>
  <si>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</si>
  <si>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</si>
  <si>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</si>
  <si>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</si>
  <si>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</si>
  <si>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</si>
  <si>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</si>
  <si>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</si>
  <si>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</si>
  <si>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</si>
  <si>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</si>
  <si>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</si>
  <si>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</si>
  <si>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</si>
  <si>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</si>
  <si>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</si>
  <si>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</si>
  <si>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</si>
  <si>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</si>
  <si>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</si>
  <si>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</si>
  <si>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</si>
  <si>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</si>
  <si>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</si>
  <si>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</si>
  <si>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</si>
  <si>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</si>
  <si>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</si>
  <si>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</si>
  <si>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</si>
  <si>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</si>
  <si>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</si>
  <si>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</si>
  <si>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</si>
  <si>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</si>
  <si>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</si>
  <si>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</si>
  <si>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</si>
  <si>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</si>
  <si>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</si>
  <si>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</si>
  <si>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</si>
  <si>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</si>
  <si>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</si>
  <si>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</si>
  <si>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</si>
  <si>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</si>
  <si>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</si>
  <si>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</si>
  <si>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</si>
  <si>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</si>
  <si>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</si>
  <si>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</si>
  <si>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</si>
  <si>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</si>
  <si>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</si>
  <si>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</si>
  <si>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</si>
  <si>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</si>
  <si>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</si>
  <si>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</si>
  <si>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</si>
  <si>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</si>
  <si>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</si>
  <si>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</si>
  <si>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</si>
  <si>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</si>
  <si>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</si>
  <si>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</si>
  <si>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</si>
  <si>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</si>
  <si>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</si>
  <si>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</si>
  <si>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</si>
  <si>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</si>
  <si>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</si>
  <si>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</si>
  <si>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</si>
  <si>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</si>
  <si>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</si>
  <si>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</si>
  <si>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</si>
  <si>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</si>
  <si>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</si>
  <si>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</si>
  <si>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</si>
  <si>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</si>
  <si>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</si>
  <si>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</si>
  <si>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</si>
  <si>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</si>
  <si>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</si>
  <si>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</si>
  <si>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</si>
  <si>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</si>
  <si>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</si>
  <si>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</si>
  <si>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</si>
  <si>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</si>
  <si>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</si>
  <si>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</si>
  <si>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</si>
  <si>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</si>
  <si>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</si>
  <si>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</si>
  <si>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</si>
  <si>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</si>
  <si>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</si>
  <si>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</si>
  <si>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</si>
  <si>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</si>
  <si>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</si>
  <si>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</si>
  <si>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</si>
  <si>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</si>
  <si>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</si>
  <si>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</si>
  <si>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</si>
  <si>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</si>
  <si>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</si>
  <si>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</si>
  <si>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</si>
  <si>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</si>
  <si>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</si>
  <si>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</si>
  <si>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</si>
  <si>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</si>
  <si>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</si>
  <si>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</si>
  <si>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</si>
  <si>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</si>
  <si>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</si>
  <si>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</si>
  <si>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</si>
  <si>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</si>
  <si>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</si>
  <si>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</si>
  <si>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</si>
  <si>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</si>
  <si>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</si>
  <si>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</si>
  <si>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</si>
  <si>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</si>
  <si>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</si>
  <si>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</si>
  <si>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</si>
  <si>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</si>
  <si>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</si>
  <si>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</si>
  <si>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</si>
  <si>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</si>
  <si>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</si>
  <si>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</si>
  <si>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</si>
  <si>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</si>
  <si>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</si>
  <si>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</si>
  <si>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</si>
  <si>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</si>
  <si>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</si>
  <si>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</si>
  <si>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</si>
  <si>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</si>
  <si>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</si>
  <si>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</si>
  <si>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</si>
  <si>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</si>
  <si>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</si>
  <si>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</si>
  <si>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</si>
  <si>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</si>
  <si>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</si>
  <si>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</si>
  <si>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</si>
  <si>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</si>
  <si>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</si>
  <si>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204:232986</t>
  </si>
  <si>
    <t>204:161</t>
  </si>
  <si>
    <t>204:232977</t>
  </si>
  <si>
    <t>204:233004</t>
  </si>
  <si>
    <t>rtdc.l.rtdc.4018:itc</t>
  </si>
  <si>
    <t>204:232978</t>
  </si>
  <si>
    <t>204:458</t>
  </si>
  <si>
    <t>204:233000</t>
  </si>
  <si>
    <t>rtdc.l.rtdc.4010:itc</t>
  </si>
  <si>
    <t>204:233308</t>
  </si>
  <si>
    <t>rtdc.l.rtdc.4017:itc</t>
  </si>
  <si>
    <t>rtdc.l.rtdc.4009:itc</t>
  </si>
  <si>
    <t>204:233312</t>
  </si>
  <si>
    <t>204:444</t>
  </si>
  <si>
    <t>204:232984</t>
  </si>
  <si>
    <t>204:440</t>
  </si>
  <si>
    <t>300:58634</t>
  </si>
  <si>
    <t>300:58948</t>
  </si>
  <si>
    <t>Early arrival</t>
  </si>
  <si>
    <t>rtdc.l.rtdc.4007:itc</t>
  </si>
  <si>
    <t>204:233015</t>
  </si>
  <si>
    <t>204:163</t>
  </si>
  <si>
    <t>204:233301</t>
  </si>
  <si>
    <t>204:233329</t>
  </si>
  <si>
    <t>204:233289</t>
  </si>
  <si>
    <t>204:232973</t>
  </si>
  <si>
    <t>204:437</t>
  </si>
  <si>
    <t>204:475</t>
  </si>
  <si>
    <t>Wi-MAX data drop</t>
  </si>
  <si>
    <t>rtdc.l.rtdc.4031:itc</t>
  </si>
  <si>
    <t>rtdc.l.rtdc.4057:itc</t>
  </si>
  <si>
    <t>MAELZER</t>
  </si>
  <si>
    <t>KURT</t>
  </si>
  <si>
    <t>BRUDER</t>
  </si>
  <si>
    <t>RICHARD</t>
  </si>
  <si>
    <t>204:232989</t>
  </si>
  <si>
    <t>204:233293</t>
  </si>
  <si>
    <t>300:58943</t>
  </si>
  <si>
    <t>300:58638</t>
  </si>
  <si>
    <t>Onboard in-route failure</t>
  </si>
  <si>
    <t>BONDS</t>
  </si>
  <si>
    <t>REYNALDO</t>
  </si>
  <si>
    <t>HELVIE</t>
  </si>
  <si>
    <t>ADAM</t>
  </si>
  <si>
    <t>204:136</t>
  </si>
  <si>
    <t>204:233291</t>
  </si>
  <si>
    <t>204:233310</t>
  </si>
  <si>
    <t>204:233319</t>
  </si>
  <si>
    <t>204:232980</t>
  </si>
  <si>
    <t>204:233307</t>
  </si>
  <si>
    <t>204:233282</t>
  </si>
  <si>
    <t>204:689</t>
  </si>
  <si>
    <t>204:965</t>
  </si>
  <si>
    <t>300:58950</t>
  </si>
  <si>
    <t>rtdc.l.rtdc.4011:itc</t>
  </si>
  <si>
    <t>242-27</t>
  </si>
  <si>
    <t>rtdc.l.rtdc.4012:itc</t>
  </si>
  <si>
    <t>YANG</t>
  </si>
  <si>
    <t>JAN</t>
  </si>
  <si>
    <t>STEWART</t>
  </si>
  <si>
    <t>235-27</t>
  </si>
  <si>
    <t>232-27</t>
  </si>
  <si>
    <t>908-27</t>
  </si>
  <si>
    <t>237-27</t>
  </si>
  <si>
    <t>234-27</t>
  </si>
  <si>
    <t>239-27</t>
  </si>
  <si>
    <t>236-27</t>
  </si>
  <si>
    <t>241-27</t>
  </si>
  <si>
    <t>238-27</t>
  </si>
  <si>
    <t>243-27</t>
  </si>
  <si>
    <t>240-27</t>
  </si>
  <si>
    <t>307-27</t>
  </si>
  <si>
    <t>309-27</t>
  </si>
  <si>
    <t>244-27</t>
  </si>
  <si>
    <t>311-27</t>
  </si>
  <si>
    <t>313-27</t>
  </si>
  <si>
    <t>300-28</t>
  </si>
  <si>
    <t>204:232992</t>
  </si>
  <si>
    <t>204:233297</t>
  </si>
  <si>
    <t>204:232976</t>
  </si>
  <si>
    <t>204:435</t>
  </si>
  <si>
    <t>204:233318</t>
  </si>
  <si>
    <t>204:233323</t>
  </si>
  <si>
    <t>204:232998</t>
  </si>
  <si>
    <t>204:233314</t>
  </si>
  <si>
    <t>204:233006</t>
  </si>
  <si>
    <t>204:233325</t>
  </si>
  <si>
    <t>204:233320</t>
  </si>
  <si>
    <t>204:233304</t>
  </si>
  <si>
    <t>300:23304</t>
  </si>
  <si>
    <t>204:990</t>
  </si>
  <si>
    <t>300:23308</t>
  </si>
  <si>
    <t>204:685</t>
  </si>
  <si>
    <t>204:678</t>
  </si>
  <si>
    <t>204:976</t>
  </si>
  <si>
    <t>204:691</t>
  </si>
  <si>
    <t>204:967</t>
  </si>
  <si>
    <t>300:58954</t>
  </si>
  <si>
    <t>rtdc.l.rtdc.4061:itc</t>
  </si>
  <si>
    <t>rtdc.l.rtdc.4062:itc</t>
  </si>
  <si>
    <t>226-28</t>
  </si>
  <si>
    <t>244-28</t>
  </si>
  <si>
    <t>WENDY</t>
  </si>
  <si>
    <t>GEBRETEKLE</t>
  </si>
  <si>
    <t>DAGNEW</t>
  </si>
  <si>
    <t>DELGADO</t>
  </si>
  <si>
    <t>DIANAH</t>
  </si>
  <si>
    <t>HOLCOMB</t>
  </si>
  <si>
    <t>KAMDEN</t>
  </si>
  <si>
    <t>BERLING</t>
  </si>
  <si>
    <t>GARY</t>
  </si>
  <si>
    <t>rtdc.l.rtdc.4056:itc</t>
  </si>
  <si>
    <t>JACKSON</t>
  </si>
  <si>
    <t>WILLIAM</t>
  </si>
  <si>
    <t>228-28</t>
  </si>
  <si>
    <t>844-28</t>
  </si>
  <si>
    <t>230-28</t>
  </si>
  <si>
    <t>233-28</t>
  </si>
  <si>
    <t>232-28</t>
  </si>
  <si>
    <t>847-28</t>
  </si>
  <si>
    <t>235-28</t>
  </si>
  <si>
    <t>908-28</t>
  </si>
  <si>
    <t>237-28</t>
  </si>
  <si>
    <t>234-28</t>
  </si>
  <si>
    <t>239-28</t>
  </si>
  <si>
    <t>236-28</t>
  </si>
  <si>
    <t>238-28</t>
  </si>
  <si>
    <t>241-28</t>
  </si>
  <si>
    <t>240-28</t>
  </si>
  <si>
    <t>243-28</t>
  </si>
  <si>
    <t>307-28</t>
  </si>
  <si>
    <t>242-28</t>
  </si>
  <si>
    <t>309-28</t>
  </si>
  <si>
    <t>311-28</t>
  </si>
  <si>
    <t>313-28</t>
  </si>
  <si>
    <t>204:232972</t>
  </si>
  <si>
    <t>204:233011</t>
  </si>
  <si>
    <t>204:233321</t>
  </si>
  <si>
    <t>204:232993</t>
  </si>
  <si>
    <t>204:232967</t>
  </si>
  <si>
    <t>204:233295</t>
  </si>
  <si>
    <t>204:233261</t>
  </si>
  <si>
    <t>204:233306</t>
  </si>
  <si>
    <t>204:232994</t>
  </si>
  <si>
    <t>204:167</t>
  </si>
  <si>
    <t>204:233303</t>
  </si>
  <si>
    <t>204:232983</t>
  </si>
  <si>
    <t>204:478</t>
  </si>
  <si>
    <t>204:232990</t>
  </si>
  <si>
    <t>204:233332</t>
  </si>
  <si>
    <t>204:160</t>
  </si>
  <si>
    <t>204:127</t>
  </si>
  <si>
    <t>204:233353</t>
  </si>
  <si>
    <t>204:233059</t>
  </si>
  <si>
    <t>204:233391</t>
  </si>
  <si>
    <t>204:165</t>
  </si>
  <si>
    <t>204:471</t>
  </si>
  <si>
    <t>300:23285</t>
  </si>
  <si>
    <t>300:58630</t>
  </si>
  <si>
    <t>300:58922</t>
  </si>
  <si>
    <t>300:58651</t>
  </si>
  <si>
    <t>204:703</t>
  </si>
  <si>
    <t>204:1156</t>
  </si>
  <si>
    <t>204:668</t>
  </si>
  <si>
    <t>204:983</t>
  </si>
  <si>
    <t>204:692</t>
  </si>
  <si>
    <t>204:675</t>
  </si>
  <si>
    <t>204:696</t>
  </si>
  <si>
    <t>300:58628</t>
  </si>
  <si>
    <t>204:964</t>
  </si>
  <si>
    <t>105-01</t>
  </si>
  <si>
    <t>106-01</t>
  </si>
  <si>
    <t>SWITCH UNKNOWN</t>
  </si>
  <si>
    <t>Track device (7)</t>
  </si>
  <si>
    <t>110-01</t>
  </si>
  <si>
    <t>rtdc.l.rtdc.4006:itc</t>
  </si>
  <si>
    <t>1801-01</t>
  </si>
  <si>
    <t>rtdc.l.rtdc.4055:itc</t>
  </si>
  <si>
    <t>114-01</t>
  </si>
  <si>
    <t>133-01</t>
  </si>
  <si>
    <t>1805-01</t>
  </si>
  <si>
    <t>130-01</t>
  </si>
  <si>
    <t>rtdc.l.rtdc.4030:itc</t>
  </si>
  <si>
    <t>159-01</t>
  </si>
  <si>
    <t>156-01</t>
  </si>
  <si>
    <t>rtdc.l.rtdc.4029:itc</t>
  </si>
  <si>
    <t>160-01</t>
  </si>
  <si>
    <t>rtdc.l.rtdc.4005:itc</t>
  </si>
  <si>
    <t>1814-01</t>
  </si>
  <si>
    <t>164-01</t>
  </si>
  <si>
    <t>166-01</t>
  </si>
  <si>
    <t>173-01</t>
  </si>
  <si>
    <t>177-01</t>
  </si>
  <si>
    <t>178-01</t>
  </si>
  <si>
    <t>182-01</t>
  </si>
  <si>
    <t>191-01</t>
  </si>
  <si>
    <t>190-01</t>
  </si>
  <si>
    <t>203-01</t>
  </si>
  <si>
    <t>201-01</t>
  </si>
  <si>
    <t>200-01</t>
  </si>
  <si>
    <t>51-01</t>
  </si>
  <si>
    <t>215-01</t>
  </si>
  <si>
    <t>217-01</t>
  </si>
  <si>
    <t>220-01</t>
  </si>
  <si>
    <t>225-01</t>
  </si>
  <si>
    <t>237-01</t>
  </si>
  <si>
    <t>236-01</t>
  </si>
  <si>
    <t>241-01</t>
  </si>
  <si>
    <t>244-01</t>
  </si>
  <si>
    <t>246-01</t>
  </si>
  <si>
    <t>rtdc.l.rtdc.4041:itc</t>
  </si>
  <si>
    <t>242-30</t>
  </si>
  <si>
    <t>PERKINS</t>
  </si>
  <si>
    <t>DARREN</t>
  </si>
  <si>
    <t>rtdc.l.rtdc.4026:itc</t>
  </si>
  <si>
    <t>245-30</t>
  </si>
  <si>
    <t>82-30</t>
  </si>
  <si>
    <t>307-30</t>
  </si>
  <si>
    <t>244-30</t>
  </si>
  <si>
    <t>309-30</t>
  </si>
  <si>
    <t>rtdc.l.rtdc.4025:itc</t>
  </si>
  <si>
    <t>246-30</t>
  </si>
  <si>
    <t>83-30</t>
  </si>
  <si>
    <t>311-30</t>
  </si>
  <si>
    <t>313-30</t>
  </si>
  <si>
    <t>55-01</t>
  </si>
  <si>
    <t>GRASTON</t>
  </si>
  <si>
    <t>MATHEU</t>
  </si>
  <si>
    <t>300-01</t>
  </si>
  <si>
    <t>101-01</t>
  </si>
  <si>
    <t>302-01</t>
  </si>
  <si>
    <t>BEAM</t>
  </si>
  <si>
    <t>ROSS</t>
  </si>
  <si>
    <t>103-01</t>
  </si>
  <si>
    <t>304-01</t>
  </si>
  <si>
    <t>102-01</t>
  </si>
  <si>
    <t>306-01</t>
  </si>
  <si>
    <t>104-01</t>
  </si>
  <si>
    <t>107-01</t>
  </si>
  <si>
    <t>308-01</t>
  </si>
  <si>
    <t>LALONDE</t>
  </si>
  <si>
    <t>GREGORY</t>
  </si>
  <si>
    <t>109-01</t>
  </si>
  <si>
    <t>310-01</t>
  </si>
  <si>
    <t>DAVIDSON</t>
  </si>
  <si>
    <t>DAVID</t>
  </si>
  <si>
    <t>111-01</t>
  </si>
  <si>
    <t>108-01</t>
  </si>
  <si>
    <t>113-01</t>
  </si>
  <si>
    <t>312-01</t>
  </si>
  <si>
    <t>1901-01</t>
  </si>
  <si>
    <t>ROCHA</t>
  </si>
  <si>
    <t>YAOTL</t>
  </si>
  <si>
    <t>115-01</t>
  </si>
  <si>
    <t>117-01</t>
  </si>
  <si>
    <t>1800-01</t>
  </si>
  <si>
    <t>112-01</t>
  </si>
  <si>
    <t>119-01</t>
  </si>
  <si>
    <t>121-01</t>
  </si>
  <si>
    <t>116-01</t>
  </si>
  <si>
    <t>118-01</t>
  </si>
  <si>
    <t>123-01</t>
  </si>
  <si>
    <t>1802-01</t>
  </si>
  <si>
    <t>125-01</t>
  </si>
  <si>
    <t>120-01</t>
  </si>
  <si>
    <t>122-01</t>
  </si>
  <si>
    <t>127-01</t>
  </si>
  <si>
    <t>124-01</t>
  </si>
  <si>
    <t>129-01</t>
  </si>
  <si>
    <t>1803-01</t>
  </si>
  <si>
    <t>131-01</t>
  </si>
  <si>
    <t>126-01</t>
  </si>
  <si>
    <t>1804-01</t>
  </si>
  <si>
    <t>128-01</t>
  </si>
  <si>
    <t>135-01</t>
  </si>
  <si>
    <t>137-01</t>
  </si>
  <si>
    <t>132-01</t>
  </si>
  <si>
    <t>139-01</t>
  </si>
  <si>
    <t>1806-01</t>
  </si>
  <si>
    <t>136-01</t>
  </si>
  <si>
    <t>134-01</t>
  </si>
  <si>
    <t>141-01</t>
  </si>
  <si>
    <t>143-01</t>
  </si>
  <si>
    <t>1807-01</t>
  </si>
  <si>
    <t>138-01</t>
  </si>
  <si>
    <t>145-01</t>
  </si>
  <si>
    <t>140-01</t>
  </si>
  <si>
    <t>147-01</t>
  </si>
  <si>
    <t>142-01</t>
  </si>
  <si>
    <t>1808-01</t>
  </si>
  <si>
    <t>149-01</t>
  </si>
  <si>
    <t>144-01</t>
  </si>
  <si>
    <t>151-01</t>
  </si>
  <si>
    <t>146-01</t>
  </si>
  <si>
    <t>1809-01</t>
  </si>
  <si>
    <t>153-01</t>
  </si>
  <si>
    <t>155-01</t>
  </si>
  <si>
    <t>150-01</t>
  </si>
  <si>
    <t>148-01</t>
  </si>
  <si>
    <t>1810-01</t>
  </si>
  <si>
    <t>157-01</t>
  </si>
  <si>
    <t>152-01</t>
  </si>
  <si>
    <t>154-01</t>
  </si>
  <si>
    <t>161-01</t>
  </si>
  <si>
    <t>LOPES</t>
  </si>
  <si>
    <t>KIMBERLY</t>
  </si>
  <si>
    <t>1811-01</t>
  </si>
  <si>
    <t>BROWN</t>
  </si>
  <si>
    <t>JACOB</t>
  </si>
  <si>
    <t>163-01</t>
  </si>
  <si>
    <t>BRANDNER</t>
  </si>
  <si>
    <t>MELINDA</t>
  </si>
  <si>
    <t>158-01</t>
  </si>
  <si>
    <t>165-01</t>
  </si>
  <si>
    <t>1812-01</t>
  </si>
  <si>
    <t>167-01</t>
  </si>
  <si>
    <t>162-01</t>
  </si>
  <si>
    <t>169-01</t>
  </si>
  <si>
    <t>1813-01</t>
  </si>
  <si>
    <t>50-01</t>
  </si>
  <si>
    <t>171-01</t>
  </si>
  <si>
    <t>168-01</t>
  </si>
  <si>
    <t>175-01</t>
  </si>
  <si>
    <t>170-01</t>
  </si>
  <si>
    <t>1815-01</t>
  </si>
  <si>
    <t>172-01</t>
  </si>
  <si>
    <t>179-01</t>
  </si>
  <si>
    <t>1816-01</t>
  </si>
  <si>
    <t>181-01</t>
  </si>
  <si>
    <t>174-01</t>
  </si>
  <si>
    <t>176-01</t>
  </si>
  <si>
    <t>183-01</t>
  </si>
  <si>
    <t>1817-01</t>
  </si>
  <si>
    <t>SAFIEF</t>
  </si>
  <si>
    <t>AEIMEN</t>
  </si>
  <si>
    <t>185-01</t>
  </si>
  <si>
    <t>180-01</t>
  </si>
  <si>
    <t>187-01</t>
  </si>
  <si>
    <t>1818-01</t>
  </si>
  <si>
    <t>189-01</t>
  </si>
  <si>
    <t>184-01</t>
  </si>
  <si>
    <t>1819-01</t>
  </si>
  <si>
    <t>193-01</t>
  </si>
  <si>
    <t>186-01</t>
  </si>
  <si>
    <t>188-01</t>
  </si>
  <si>
    <t>195-01</t>
  </si>
  <si>
    <t>1820-01</t>
  </si>
  <si>
    <t>197-01</t>
  </si>
  <si>
    <t>192-01</t>
  </si>
  <si>
    <t>199-01</t>
  </si>
  <si>
    <t>1821-01</t>
  </si>
  <si>
    <t>194-01</t>
  </si>
  <si>
    <t>196-01</t>
  </si>
  <si>
    <t>198-01</t>
  </si>
  <si>
    <t>1822-01</t>
  </si>
  <si>
    <t>205-01</t>
  </si>
  <si>
    <t>207-01</t>
  </si>
  <si>
    <t>1823-01</t>
  </si>
  <si>
    <t>209-01</t>
  </si>
  <si>
    <t>202-01</t>
  </si>
  <si>
    <t>204-01</t>
  </si>
  <si>
    <t>211-01</t>
  </si>
  <si>
    <t>1824-01</t>
  </si>
  <si>
    <t>206-01</t>
  </si>
  <si>
    <t>213-01</t>
  </si>
  <si>
    <t>rtdc.l.rtdc.4015:itc</t>
  </si>
  <si>
    <t>70-01</t>
  </si>
  <si>
    <t>208-01</t>
  </si>
  <si>
    <t>210-01</t>
  </si>
  <si>
    <t>1825-01</t>
  </si>
  <si>
    <t>212-01</t>
  </si>
  <si>
    <t>219-01</t>
  </si>
  <si>
    <t>214-01</t>
  </si>
  <si>
    <t>1826-01</t>
  </si>
  <si>
    <t>301-01</t>
  </si>
  <si>
    <t>221-01</t>
  </si>
  <si>
    <t>216-01</t>
  </si>
  <si>
    <t>218-01</t>
  </si>
  <si>
    <t>303-01</t>
  </si>
  <si>
    <t>1827-01</t>
  </si>
  <si>
    <t>223-01</t>
  </si>
  <si>
    <t>1828-01</t>
  </si>
  <si>
    <t>305-01</t>
  </si>
  <si>
    <t>222-01</t>
  </si>
  <si>
    <t>1829-01</t>
  </si>
  <si>
    <t>227-01</t>
  </si>
  <si>
    <t>224-01</t>
  </si>
  <si>
    <t>1830-01</t>
  </si>
  <si>
    <t>226-01</t>
  </si>
  <si>
    <t>229-01</t>
  </si>
  <si>
    <t>1831-01</t>
  </si>
  <si>
    <t>228-01</t>
  </si>
  <si>
    <t>231-01</t>
  </si>
  <si>
    <t>1832-01</t>
  </si>
  <si>
    <t>233-01</t>
  </si>
  <si>
    <t>230-01</t>
  </si>
  <si>
    <t>1833-01</t>
  </si>
  <si>
    <t>232-01</t>
  </si>
  <si>
    <t>235-01</t>
  </si>
  <si>
    <t>1902-01</t>
  </si>
  <si>
    <t>234-01</t>
  </si>
  <si>
    <t>239-01</t>
  </si>
  <si>
    <t>238-01</t>
  </si>
  <si>
    <t>243-01</t>
  </si>
  <si>
    <t>240-01</t>
  </si>
  <si>
    <t>242-01</t>
  </si>
  <si>
    <t>245-01</t>
  </si>
  <si>
    <t>307-01</t>
  </si>
  <si>
    <t>309-01</t>
  </si>
  <si>
    <t>311-01</t>
  </si>
  <si>
    <t>313-01</t>
  </si>
  <si>
    <t>rtdc.l.rtdc.4051:itc</t>
  </si>
  <si>
    <t>55-02</t>
  </si>
  <si>
    <t>MAYBERRY</t>
  </si>
  <si>
    <t>BILL</t>
  </si>
  <si>
    <t>204:233298</t>
  </si>
  <si>
    <t>204:151489</t>
  </si>
  <si>
    <t>204:155890</t>
  </si>
  <si>
    <t>204:86353</t>
  </si>
  <si>
    <t>204:233349</t>
  </si>
  <si>
    <t>204:233064</t>
  </si>
  <si>
    <t>204:233023</t>
  </si>
  <si>
    <t>204:233347</t>
  </si>
  <si>
    <t>204:233043</t>
  </si>
  <si>
    <t>204:251</t>
  </si>
  <si>
    <t>204:233345</t>
  </si>
  <si>
    <t>204:233003</t>
  </si>
  <si>
    <t>204:233360</t>
  </si>
  <si>
    <t>204:233042</t>
  </si>
  <si>
    <t>204:233344</t>
  </si>
  <si>
    <t>204:546</t>
  </si>
  <si>
    <t>204:431</t>
  </si>
  <si>
    <t>204:416</t>
  </si>
  <si>
    <t>204:433</t>
  </si>
  <si>
    <t>204:233393</t>
  </si>
  <si>
    <t>204:233066</t>
  </si>
  <si>
    <t>204:172</t>
  </si>
  <si>
    <t>204:233334</t>
  </si>
  <si>
    <t>204:233038</t>
  </si>
  <si>
    <t>204:232991</t>
  </si>
  <si>
    <t>204:233270</t>
  </si>
  <si>
    <t>204:233340</t>
  </si>
  <si>
    <t>204:232975</t>
  </si>
  <si>
    <t>204:233021</t>
  </si>
  <si>
    <t>204:233076</t>
  </si>
  <si>
    <t>204:233351</t>
  </si>
  <si>
    <t>204:233036</t>
  </si>
  <si>
    <t>204:233299</t>
  </si>
  <si>
    <t>204:233315</t>
  </si>
  <si>
    <t>204:18772</t>
  </si>
  <si>
    <t>204:21441</t>
  </si>
  <si>
    <t>204:233288</t>
  </si>
  <si>
    <t>204:232965</t>
  </si>
  <si>
    <t>204:231007</t>
  </si>
  <si>
    <t>204:130</t>
  </si>
  <si>
    <t>204:491</t>
  </si>
  <si>
    <t>204:192</t>
  </si>
  <si>
    <t>204:181</t>
  </si>
  <si>
    <t>204:233389</t>
  </si>
  <si>
    <t>204:134</t>
  </si>
  <si>
    <t>204:19152</t>
  </si>
  <si>
    <t>204:477</t>
  </si>
  <si>
    <t>204:233302</t>
  </si>
  <si>
    <t>204:950</t>
  </si>
  <si>
    <t>300:58075</t>
  </si>
  <si>
    <t>204:631</t>
  </si>
  <si>
    <t>204:943</t>
  </si>
  <si>
    <t>204:941</t>
  </si>
  <si>
    <t>300:58963</t>
  </si>
  <si>
    <t>300:58641</t>
  </si>
  <si>
    <t>204:650</t>
  </si>
  <si>
    <t>204:944</t>
  </si>
  <si>
    <t>300:58976</t>
  </si>
  <si>
    <t>300:58664</t>
  </si>
  <si>
    <t>204:656</t>
  </si>
  <si>
    <t>204:934</t>
  </si>
  <si>
    <t>300:58990</t>
  </si>
  <si>
    <t>300:58670</t>
  </si>
  <si>
    <t>204:960</t>
  </si>
  <si>
    <t>204:720</t>
  </si>
  <si>
    <t>204:1002</t>
  </si>
  <si>
    <t>300:58931</t>
  </si>
  <si>
    <t>300:58615</t>
  </si>
  <si>
    <t>204:740</t>
  </si>
  <si>
    <t>204:1030</t>
  </si>
  <si>
    <t>204:736</t>
  </si>
  <si>
    <t>204:1020</t>
  </si>
  <si>
    <t>300:58912</t>
  </si>
  <si>
    <t>300:58602</t>
  </si>
  <si>
    <t>300:58914</t>
  </si>
  <si>
    <t>204:110</t>
  </si>
  <si>
    <t>300:58590</t>
  </si>
  <si>
    <t>300:58910</t>
  </si>
  <si>
    <t>300:58598</t>
  </si>
  <si>
    <t>204:677</t>
  </si>
  <si>
    <t>300:58918</t>
  </si>
  <si>
    <t>300:58596</t>
  </si>
  <si>
    <t>204:962</t>
  </si>
  <si>
    <t>300:58920</t>
  </si>
  <si>
    <t>204:643</t>
  </si>
  <si>
    <t>300:58600</t>
  </si>
  <si>
    <t>300:58908</t>
  </si>
  <si>
    <t>300:58594</t>
  </si>
  <si>
    <t>300:58937</t>
  </si>
  <si>
    <t>204:426</t>
  </si>
  <si>
    <t>204:233008</t>
  </si>
  <si>
    <t>204:232988</t>
  </si>
  <si>
    <t>300:30144</t>
  </si>
  <si>
    <t>204:427</t>
  </si>
  <si>
    <t>204:495</t>
  </si>
  <si>
    <t>204:233080</t>
  </si>
  <si>
    <t>204:187</t>
  </si>
  <si>
    <t>204:233263</t>
  </si>
  <si>
    <t>204:233253</t>
  </si>
  <si>
    <t>204:232934</t>
  </si>
  <si>
    <t>204:233316</t>
  </si>
  <si>
    <t>204:232985</t>
  </si>
  <si>
    <t>204:233342</t>
  </si>
  <si>
    <t>204:233019</t>
  </si>
  <si>
    <t>204:233311</t>
  </si>
  <si>
    <t>204:233317</t>
  </si>
  <si>
    <t>204:132</t>
  </si>
  <si>
    <t>204:413</t>
  </si>
  <si>
    <t>204:233002</t>
  </si>
  <si>
    <t>204:233255</t>
  </si>
  <si>
    <t>204:480</t>
  </si>
  <si>
    <t>204:233017</t>
  </si>
  <si>
    <t>204:119</t>
  </si>
  <si>
    <t>204:232969</t>
  </si>
  <si>
    <t>204:484</t>
  </si>
  <si>
    <t>300:22448</t>
  </si>
  <si>
    <t>300:23301</t>
  </si>
  <si>
    <t>300:20312</t>
  </si>
  <si>
    <t>300:23089</t>
  </si>
  <si>
    <t>300:23747</t>
  </si>
  <si>
    <t>300:23425</t>
  </si>
  <si>
    <t>300:23316</t>
  </si>
  <si>
    <t>300:23341</t>
  </si>
  <si>
    <t>300:23299</t>
  </si>
  <si>
    <t>300:23295</t>
  </si>
  <si>
    <t>300:23457</t>
  </si>
  <si>
    <t>204:502</t>
  </si>
  <si>
    <t>204:1223</t>
  </si>
  <si>
    <t>300:24233</t>
  </si>
  <si>
    <t>204:1541</t>
  </si>
  <si>
    <t>204:1790</t>
  </si>
  <si>
    <t>300:22552</t>
  </si>
  <si>
    <t>204:908</t>
  </si>
  <si>
    <t>300:23495</t>
  </si>
  <si>
    <t>204:1218</t>
  </si>
  <si>
    <t>300:22292</t>
  </si>
  <si>
    <t>300:23197</t>
  </si>
  <si>
    <t>204:1060</t>
  </si>
  <si>
    <t>204:674</t>
  </si>
  <si>
    <t>start /low /b %USERPROFILE%\Documents\GitHub\eaglep3\Utilities\DownloadLogsFromS3.py --loco 4028 --day 2017-07-01</t>
  </si>
  <si>
    <t>start /low /b %USERPROFILE%\Documents\GitHub\eaglep3\Utilities\DownloadLogsFromS3.py --loco 4027 --day 2017-07-01</t>
  </si>
  <si>
    <t>start /low /b %USERPROFILE%\Documents\GitHub\eaglep3\Utilities\DownloadLogsFromS3.py --loco 4055 --day 2017-07-01</t>
  </si>
  <si>
    <t>start /low /b %USERPROFILE%\Documents\GitHub\eaglep3\Utilities\DownloadLogsFromS3.py --loco 4014 --day 2017-07-01</t>
  </si>
  <si>
    <t>start /low /b %USERPROFILE%\Documents\GitHub\eaglep3\Utilities\DownloadLogsFromS3.py --loco 4013 --day 2017-07-01</t>
  </si>
  <si>
    <t>start /low /b %USERPROFILE%\Documents\GitHub\eaglep3\Utilities\DownloadLogsFromS3.py --loco 4017 --day 2017-07-01</t>
  </si>
  <si>
    <t>start /low /b %USERPROFILE%\Documents\GitHub\eaglep3\Utilities\DownloadLogsFromS3.py --loco 4029 --day 2017-07-01</t>
  </si>
  <si>
    <t>start /low /b %USERPROFILE%\Documents\GitHub\eaglep3\Utilities\DownloadLogsFromS3.py --loco 4028 --day 2017-07-02</t>
  </si>
  <si>
    <t>start /low /b %USERPROFILE%\Documents\GitHub\eaglep3\Utilities\DownloadLogsFromS3.py --loco 4008 --day 2017-07-02</t>
  </si>
  <si>
    <t>start /low /b %USERPROFILE%\Documents\GitHub\eaglep3\Utilities\DownloadLogsFromS3.py --loco 4030 --day 2017-07-01</t>
  </si>
  <si>
    <t>start /low /b %USERPROFILE%\Documents\GitHub\eaglep3\Utilities\DownloadLogsFromS3.py --loco 4007 --day 2017-07-01</t>
  </si>
  <si>
    <t>start /low /b %USERPROFILE%\Documents\GitHub\eaglep3\Utilities\DownloadLogsFromS3.py --loco 4013 --day 2017-07-02</t>
  </si>
  <si>
    <t>start /low /b %USERPROFILE%\Documents\GitHub\eaglep3\Utilities\DownloadLogsFromS3.py --loco 4030 --day 2017-07-02</t>
  </si>
  <si>
    <t>start /low /b %USERPROFILE%\Documents\GitHub\eaglep3\Utilities\DownloadLogsFromS3.py --loco 4007 --day 2017-07-02</t>
  </si>
  <si>
    <t>start /low /b %USERPROFILE%\Documents\GitHub\eaglep3\Utilities\DownloadLogsFromS3.py --loco 4061 --day 2017-07-01</t>
  </si>
  <si>
    <t>start /low /b %USERPROFILE%\Documents\GitHub\eaglep3\Utilities\DownloadLogsFromS3.py --loco 4006 --day 2017-07-01</t>
  </si>
  <si>
    <t>start /low /b %USERPROFILE%\Documents\GitHub\eaglep3\Utilities\DownloadLogsFromS3.py --loco 4005 --day 2017-07-01</t>
  </si>
  <si>
    <t>Premature downgrade at EC1497RH 143-1T 1N</t>
  </si>
  <si>
    <t>04:41:03 - signal dropped from 270 to 0 while train was 100 ft away, do logs show anything unusual?</t>
  </si>
  <si>
    <t>Minor onboard in-route failure caused comm outage</t>
  </si>
  <si>
    <t>Overspeed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</si>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</sst>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142</v>
      </c>
      <c r="K5" s="39"/>
      <c r="L5" s="39"/>
      <c r="M5" s="40">
        <f>AVERAGEIFS($N$13:$N$9319,$AG$13:$AG$9319,I1)</f>
        <v>37.33321596297737</v>
      </c>
      <c r="N5" s="38">
        <f t="array" ref="N5">MIN(IF($AG$13:$AG$9319=I1,IF(ISNUMBER($N$13:$N$9319),IF($N$13:$N$9319&gt;0,$N$13:$N$9319))))</f>
        <v>34.050000007264316</v>
      </c>
      <c r="O5" s="3">
        <f t="array" ref="O5">MAX(IF($AG$13:$AG$9319=I1,IF(ISNUMBER($N$13:$N$9319),IF($N$13:$N$9319&gt;0,$N$13:$N$9319))))</f>
        <v>44.566666670143604</v>
      </c>
      <c r="P5" s="2"/>
      <c r="R5" s="166" t="s">
        <v>17</v>
      </c>
      <c r="S5" s="186">
        <f>COUNTIFS($N$13:$N$9319,"&gt;0",$AG$13:$AG$9319,R1)</f>
        <v>34</v>
      </c>
      <c r="T5" s="187"/>
      <c r="U5" s="187"/>
      <c r="V5" s="183">
        <f>AVERAGEIFS($N$13:$N$9319,$AG$13:$AG$9319,R1)</f>
        <v>14.628921569605795</v>
      </c>
      <c r="W5" s="184">
        <f t="array" ref="W5">MIN(IF($AG$13:$AG$9319=R1,IF(ISNUMBER($N$13:$N$9319),IF($N$13:$N$9319&gt;0,$N$13:$N$9319))))</f>
        <v>13.450000000884756</v>
      </c>
      <c r="X5" s="185">
        <f t="array" ref="X5">MAX(IF($AG$13:$AG$9319=R1,IF(ISNUMBER($N$13:$N$9319),IF($N$13:$N$9319&gt;0,$N$13:$N$9319))))</f>
        <v>17.133333336096257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37.33321596297737</v>
      </c>
      <c r="N8" s="38">
        <f>N5</f>
        <v>34.050000007264316</v>
      </c>
      <c r="O8" s="3">
        <f>O5</f>
        <v>44.566666670143604</v>
      </c>
      <c r="P8" s="2"/>
      <c r="R8" s="166" t="s">
        <v>16</v>
      </c>
      <c r="S8" s="186">
        <f>S5</f>
        <v>34</v>
      </c>
      <c r="T8" s="187"/>
      <c r="U8" s="187"/>
      <c r="V8" s="183">
        <f>V5</f>
        <v>14.628921569605795</v>
      </c>
      <c r="W8" s="184">
        <f>W5</f>
        <v>13.450000000884756</v>
      </c>
      <c r="X8" s="185">
        <f>X5</f>
        <v>17.133333336096257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AVERAGE(S13:S93)</f>
        <v>0.9978902953586497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693</v>
      </c>
      <c r="B13" s="7">
        <v>4008</v>
      </c>
      <c r="C13" s="21" t="s">
        <v>202</v>
      </c>
      <c r="D13" s="21" t="s">
        <v>347</v>
      </c>
      <c r="E13" s="13">
        <v>42917.130196759259</v>
      </c>
      <c r="F13" s="13">
        <v>42917.135995370372</v>
      </c>
      <c r="G13" s="7">
        <v>1</v>
      </c>
      <c r="H13" s="21" t="s">
        <v>551</v>
      </c>
      <c r="I13" s="13">
        <v>42917.160520833335</v>
      </c>
      <c r="J13" s="7">
        <v>0</v>
      </c>
      <c r="K13" s="89" t="str">
        <f t="shared" ref="K13:K76" si="0">IF(ISEVEN(B13),(B13-1)&amp;"/"&amp;B13,B13&amp;"/"&amp;(B13+1))</f>
        <v>4007/4008</v>
      </c>
      <c r="L13" s="21" t="str">
        <f>VLOOKUP(A13,'Trips&amp;Operators'!$C$1:$G$99999,5,FALSE)</f>
        <v>MAELZER KURT</v>
      </c>
      <c r="M13" s="6">
        <f t="shared" ref="M13:M76" si="1">I13-F13</f>
        <v>2.4525462962628808E-2</v>
      </c>
      <c r="N13" s="7">
        <f>24*60*SUM($M13:$M13)</f>
        <v>35.316666666185483</v>
      </c>
      <c r="O13" s="7"/>
      <c r="P13" s="7"/>
      <c r="Q13" s="22"/>
      <c r="R13" s="170"/>
      <c r="S13" s="213">
        <f>SUM(U13:U13)/IF(AG13="EC",12,1)</f>
        <v>1</v>
      </c>
      <c r="T13" s="195" t="str">
        <f t="shared" ref="T13:T76" si="2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-01T02:07:29-0600',mode:absolute,to:'2017-07-01T04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97" t="str">
        <f>IF(AA13&lt;VLOOKUP(AG13,Variables!$AC$3:$AD$8,2,FALSE),"Y","N")</f>
        <v>N</v>
      </c>
      <c r="X13" s="197" t="e">
        <f t="shared" ref="X13:X44" si="4">VALUE(LEFT(AD13,4))-VALUE(LEFT(AD12,4))</f>
        <v>#VALUE!</v>
      </c>
      <c r="Y13" s="197">
        <f t="shared" ref="Y13:Y76" si="5">RIGHT(D13,LEN(D13)-4)/10000</f>
        <v>4.4600000000000001E-2</v>
      </c>
      <c r="Z13" s="197">
        <f t="shared" ref="Z13:Z76" si="6">RIGHT(H13,LEN(H13)-4)/10000</f>
        <v>23.332000000000001</v>
      </c>
      <c r="AA13" s="197">
        <f t="shared" ref="AA13:AA76" si="7">ABS(Z13-Y13)</f>
        <v>23.287400000000002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/stypes="app*4008*20170701*"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4008 --swversion DE.1.0.9.0 --startMP 204:446 --initTime 2017-07-01T03:07:29 --startdatetime 2017-07-01T03:15:50 --delay 1 --endMP 204:233320 --enddatetime 2017-07-01T03:51:09 --enforcementcount 0 &gt;&gt;C:\Users\stu\Documents\GitHub\eaglep3-reporting\EC\2017-07-01-refined-times.txt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{"issue":{"subject":"","project_id":79,"tracker_id":40,"status_id":1,"priority_id":2,"assigned_to_id":23,"start_date":"2017-07-01","description":"","custom_fields":[{"id":1,"name":"Subdivision","value":"EC"},{"id":4,"name":"Milepost","value":"23.332"},{"id":17,"name":"Train ID","value":"101-01"},{"id":16,"name":"Locomotive ID","value":"4008"},{"id":130,"name":"Impact","value":""},{"id":150,"name":"Time of Event (Mountain Time)","value":"03:51:09"},{"id":151,"name":"Denver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4008 --day 2017-07-01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09:51:09"},{"id":29,"name":"Sharepoint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699</v>
      </c>
      <c r="B14" s="7">
        <v>4007</v>
      </c>
      <c r="C14" s="21" t="s">
        <v>202</v>
      </c>
      <c r="D14" s="21" t="s">
        <v>478</v>
      </c>
      <c r="E14" s="13">
        <v>42917.165775462963</v>
      </c>
      <c r="F14" s="13">
        <v>42917.175173611111</v>
      </c>
      <c r="G14" s="7">
        <v>1</v>
      </c>
      <c r="H14" s="21" t="s">
        <v>447</v>
      </c>
      <c r="I14" s="13">
        <v>42917.201516203706</v>
      </c>
      <c r="J14" s="7">
        <v>0</v>
      </c>
      <c r="K14" s="89" t="str">
        <f t="shared" si="0"/>
        <v>4007/4008</v>
      </c>
      <c r="L14" s="21" t="str">
        <f>VLOOKUP(A14,'Trips&amp;Operators'!$C$1:$G$99999,5,FALSE)</f>
        <v>MAELZER KURT</v>
      </c>
      <c r="M14" s="6">
        <f t="shared" si="1"/>
        <v>2.6342592595028691E-2</v>
      </c>
      <c r="N14" s="7">
        <f>24*60*SUM($M14:$M14)</f>
        <v>37.933333336841315</v>
      </c>
      <c r="O14" s="7"/>
      <c r="P14" s="7"/>
      <c r="Q14" s="22"/>
      <c r="R14" s="170"/>
      <c r="S14" s="213">
        <f>SUM(U14:U14)/IF(AG14="EC",12,1)</f>
        <v>1</v>
      </c>
      <c r="T14" s="195" t="str">
        <f t="shared" si="2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3"/>
        <v>https://d0f6bd738d7f1b3e5a7ca70fe4ff75f0.us-east-1.aws.found.io/app/kibana#/discover/Steve-Slow-Train-Analysis-(2080s-and-2083s)?_g=(refreshInterval:(display:Off,pause:!f,section:0,value:0),time:(from:'2017-07-01T02:58:43-0600',mode:absolute,to:'2017-07-01T05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197" t="str">
        <f>IF(AA14&lt;VLOOKUP(AG14,Variables!$AC$3:$AD$8,2,FALSE),"Y","N")</f>
        <v>N</v>
      </c>
      <c r="X14" s="197">
        <f t="shared" si="4"/>
        <v>1</v>
      </c>
      <c r="Y14" s="197">
        <f t="shared" si="5"/>
        <v>23.298400000000001</v>
      </c>
      <c r="Z14" s="197">
        <f t="shared" si="6"/>
        <v>1.38E-2</v>
      </c>
      <c r="AA14" s="197">
        <f t="shared" si="7"/>
        <v>23.284600000000001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8"/>
        <v>102</v>
      </c>
      <c r="AE14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4" s="74" t="str">
        <f t="shared" si="10"/>
        <v>"C:\Program Files (x86)\AstroGrep\AstroGrep.exe" /e /r /s /spath="%USERPROFILE%\AppData\Local\Temp\OnboardLogs" /stypes="app*4007*20170701*" /stext=" 10:.+((SYSTEM_STATE.+slice.+state.+changed )|(ment ac)|(multiple cpu faults)|(system.+state.+changed )|(\[timeout)|(PRM\|1\|D)|(kpr)|(kdp)|(train st.+moving)|(\|lc)|(penalty))"</v>
      </c>
      <c r="AG14" s="209" t="str">
        <f t="shared" si="11"/>
        <v>EC</v>
      </c>
      <c r="AH14" s="78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4007 --swversion DE.1.0.9.0 --startMP 204:232984 --initTime 2017-07-01T03:58:43 --startdatetime 2017-07-01T04:12:15 --delay 1 --endMP 204:138 --enddatetime 2017-07-01T04:50:11 --enforcementcount 0 &gt;&gt;C:\Users\stu\Documents\GitHub\eaglep3-reporting\EC\2017-07-01-refined-times.txt</v>
      </c>
      <c r="AI14" s="96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{"issue":{"subject":"","project_id":79,"tracker_id":40,"status_id":1,"priority_id":2,"assigned_to_id":23,"start_date":"2017-07-01","description":"","custom_fields":[{"id":1,"name":"Subdivision","value":"EC"},{"id":4,"name":"Milepost","value":"0.0138"},{"id":17,"name":"Train ID","value":"102-01"},{"id":16,"name":"Locomotive ID","value":"4007"},{"id":130,"name":"Impact","value":""},{"id":150,"name":"Time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18">"start /low /b "&amp;dls3logs&amp;" --loco "&amp;B14&amp;" --day "&amp;TEXT(F14,"YYYY-MM-DD")</f>
        <v>start /low /b %USERPROFILE%\Documents\GitHub\eaglep3\Utilities\DownloadLogsFromS3.py --loco 4007 --day 2017-07-01</v>
      </c>
      <c r="AN14" s="151" t="str">
        <f t="shared" ref="AN14:AN77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697</v>
      </c>
      <c r="B15" s="7">
        <v>4018</v>
      </c>
      <c r="C15" s="21" t="s">
        <v>202</v>
      </c>
      <c r="D15" s="21" t="s">
        <v>355</v>
      </c>
      <c r="E15" s="13">
        <v>42917.152291666665</v>
      </c>
      <c r="F15" s="13">
        <v>42917.156782407408</v>
      </c>
      <c r="G15" s="7">
        <v>1</v>
      </c>
      <c r="H15" s="21" t="s">
        <v>879</v>
      </c>
      <c r="I15" s="13">
        <v>42917.181539351855</v>
      </c>
      <c r="J15" s="7">
        <v>0</v>
      </c>
      <c r="K15" s="89" t="str">
        <f t="shared" si="0"/>
        <v>4017/4018</v>
      </c>
      <c r="L15" s="21" t="str">
        <f>VLOOKUP(A15,'Trips&amp;Operators'!$C$1:$G$99999,5,FALSE)</f>
        <v>BEAM ROSS</v>
      </c>
      <c r="M15" s="6">
        <f t="shared" si="1"/>
        <v>2.4756944447290152E-2</v>
      </c>
      <c r="N15" s="7">
        <f>24*60*SUM($M15:$M15)</f>
        <v>35.650000004097819</v>
      </c>
      <c r="O15" s="7"/>
      <c r="P15" s="7"/>
      <c r="Q15" s="22"/>
      <c r="R15" s="170"/>
      <c r="S15" s="213">
        <f>SUM(U15:U15)/IF(AG15="EC",12,1)</f>
        <v>1</v>
      </c>
      <c r="T15" s="195" t="str">
        <f t="shared" si="2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3"/>
        <v>https://d0f6bd738d7f1b3e5a7ca70fe4ff75f0.us-east-1.aws.found.io/app/kibana#/discover/Steve-Slow-Train-Analysis-(2080s-and-2083s)?_g=(refreshInterval:(display:Off,pause:!f,section:0,value:0),time:(from:'2017-07-01T02:39:18-0600',mode:absolute,to:'2017-07-01T05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97" t="str">
        <f>IF(AA15&lt;VLOOKUP(AG15,Variables!$AC$3:$AD$8,2,FALSE),"Y","N")</f>
        <v>N</v>
      </c>
      <c r="X15" s="197">
        <f t="shared" si="4"/>
        <v>1</v>
      </c>
      <c r="Y15" s="197">
        <f t="shared" si="5"/>
        <v>4.4699999999999997E-2</v>
      </c>
      <c r="Z15" s="197">
        <f t="shared" si="6"/>
        <v>23.329799999999999</v>
      </c>
      <c r="AA15" s="197">
        <f t="shared" si="7"/>
        <v>23.2851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8"/>
        <v>103</v>
      </c>
      <c r="AE15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5" s="74" t="str">
        <f t="shared" si="10"/>
        <v>"C:\Program Files (x86)\AstroGrep\AstroGrep.exe" /e /r /s /spath="%USERPROFILE%\AppData\Local\Temp\OnboardLogs" /stypes="app*4018*20170701*" /stext=" 10:.+((SYSTEM_STATE.+slice.+state.+changed )|(ment ac)|(multiple cpu faults)|(system.+state.+changed )|(\[timeout)|(PRM\|1\|D)|(kpr)|(kdp)|(train st.+moving)|(\|lc)|(penalty))"</v>
      </c>
      <c r="AG15" s="209" t="str">
        <f t="shared" si="11"/>
        <v>EC</v>
      </c>
      <c r="AH15" s="78" t="str">
        <f t="shared" si="16"/>
        <v>"%USERPROFILE%\Documents\GitHub\eaglep3\Utilities\RefineRTDCRunTimes.py" --tripid 103-01 --locoid 4018 --swversion DE.1.0.9.0 --startMP 204:447 --initTime 2017-07-01T03:39:18 --startdatetime 2017-07-01T03:45:46 --delay 1 --endMP 204:233298 --enddatetime 2017-07-01T04:21:25 --enforcementcount 0 &gt;&gt;C:\Users\stu\Documents\GitHub\eaglep3-reporting\EC\2017-07-01-refined-times.txt</v>
      </c>
      <c r="AI1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{"issue":{"subject":"","project_id":79,"tracker_id":40,"status_id":1,"priority_id":2,"assigned_to_id":23,"start_date":"2017-07-01","description":"","custom_fields":[{"id":1,"name":"Subdivision","value":"EC"},{"id":4,"name":"Milepost","value":"23.3298"},{"id":17,"name":"Train ID","value":"103-01"},{"id":16,"name":"Locomotive ID","value":"4018"},{"id":130,"name":"Impact","value":""},{"id":150,"name":"Time of Event (Mountain Time)","value":"04:21:25"},{"id":151,"name":"Denver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4018 --day 2017-07-01</v>
      </c>
      <c r="AN1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701</v>
      </c>
      <c r="B16" s="7">
        <v>4017</v>
      </c>
      <c r="C16" s="21" t="s">
        <v>202</v>
      </c>
      <c r="D16" s="21" t="s">
        <v>466</v>
      </c>
      <c r="E16" s="13">
        <v>42917.183344907404</v>
      </c>
      <c r="F16" s="13">
        <v>42917.196030092593</v>
      </c>
      <c r="G16" s="7">
        <v>1</v>
      </c>
      <c r="H16" s="21" t="s">
        <v>194</v>
      </c>
      <c r="I16" s="13">
        <v>42917.222245370373</v>
      </c>
      <c r="J16" s="7">
        <v>0</v>
      </c>
      <c r="K16" s="89" t="str">
        <f t="shared" si="0"/>
        <v>4017/4018</v>
      </c>
      <c r="L16" s="21" t="str">
        <f>VLOOKUP(A16,'Trips&amp;Operators'!$C$1:$G$99999,5,FALSE)</f>
        <v>BEAM ROSS</v>
      </c>
      <c r="M16" s="6">
        <f t="shared" si="1"/>
        <v>2.6215277779556345E-2</v>
      </c>
      <c r="N16" s="7">
        <f>24*60*SUM($M16:$M16)</f>
        <v>37.750000002561137</v>
      </c>
      <c r="O16" s="7"/>
      <c r="P16" s="7"/>
      <c r="Q16" s="22"/>
      <c r="R16" s="170"/>
      <c r="S16" s="213">
        <f>SUM(U16:U16)/IF(AG16="EC",12,1)</f>
        <v>1</v>
      </c>
      <c r="T16" s="195" t="str">
        <f t="shared" si="2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3"/>
        <v>https://d0f6bd738d7f1b3e5a7ca70fe4ff75f0.us-east-1.aws.found.io/app/kibana#/discover/Steve-Slow-Train-Analysis-(2080s-and-2083s)?_g=(refreshInterval:(display:Off,pause:!f,section:0,value:0),time:(from:'2017-07-01T03:24:01-0600',mode:absolute,to:'2017-07-01T06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97" t="str">
        <f>IF(AA16&lt;VLOOKUP(AG16,Variables!$AC$3:$AD$8,2,FALSE),"Y","N")</f>
        <v>N</v>
      </c>
      <c r="X16" s="197">
        <f t="shared" si="4"/>
        <v>1</v>
      </c>
      <c r="Y16" s="197">
        <f t="shared" si="5"/>
        <v>23.297699999999999</v>
      </c>
      <c r="Z16" s="197">
        <f t="shared" si="6"/>
        <v>1.5800000000000002E-2</v>
      </c>
      <c r="AA16" s="197">
        <f t="shared" si="7"/>
        <v>23.2819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8"/>
        <v>104</v>
      </c>
      <c r="AE16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6" s="74" t="str">
        <f t="shared" si="10"/>
        <v>"C:\Program Files (x86)\AstroGrep\AstroGrep.exe" /e /r /s /spath="%USERPROFILE%\AppData\Local\Temp\OnboardLogs" /stypes="app*4017*20170701*" /stext=" 11:.+((SYSTEM_STATE.+slice.+state.+changed )|(ment ac)|(multiple cpu faults)|(system.+state.+changed )|(\[timeout)|(PRM\|1\|D)|(kpr)|(kdp)|(train st.+moving)|(\|lc)|(penalty))"</v>
      </c>
      <c r="AG16" s="209" t="str">
        <f t="shared" si="11"/>
        <v>EC</v>
      </c>
      <c r="AH16" s="78" t="str">
        <f t="shared" si="16"/>
        <v>"%USERPROFILE%\Documents\GitHub\eaglep3\Utilities\RefineRTDCRunTimes.py" --tripid 104-01 --locoid 4017 --swversion DE.1.0.9.0 --startMP 204:232977 --initTime 2017-07-01T04:24:01 --startdatetime 2017-07-01T04:42:17 --delay 1 --endMP 204:158 --enddatetime 2017-07-01T05:20:02 --enforcementcount 0 &gt;&gt;C:\Users\stu\Documents\GitHub\eaglep3-reporting\EC\2017-07-01-refined-times.txt</v>
      </c>
      <c r="AI1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{"issue":{"subject":"","project_id":79,"tracker_id":40,"status_id":1,"priority_id":2,"assigned_to_id":23,"start_date":"2017-07-01","description":"","custom_fields":[{"id":1,"name":"Subdivision","value":"EC"},{"id":4,"name":"Milepost","value":"0.0158"},{"id":17,"name":"Train ID","value":"104-01"},{"id":16,"name":"Locomotive ID","value":"4017"},{"id":130,"name":"Impact","value":""},{"id":150,"name":"Time of Event (Mountain Time)","value":"05:20:02"},{"id":151,"name":"Denver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4017 --day 2017-07-01</v>
      </c>
      <c r="AN1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634</v>
      </c>
      <c r="B17" s="7">
        <v>4028</v>
      </c>
      <c r="C17" s="21" t="s">
        <v>202</v>
      </c>
      <c r="D17" s="21" t="s">
        <v>351</v>
      </c>
      <c r="E17" s="13">
        <v>42917.170289351852</v>
      </c>
      <c r="F17" s="13">
        <v>42917.177673611113</v>
      </c>
      <c r="G17" s="7">
        <v>1</v>
      </c>
      <c r="H17" s="21" t="s">
        <v>880</v>
      </c>
      <c r="I17" s="13">
        <v>42917.195428240739</v>
      </c>
      <c r="J17" s="7">
        <v>0</v>
      </c>
      <c r="K17" s="89" t="str">
        <f t="shared" si="0"/>
        <v>4027/4028</v>
      </c>
      <c r="L17" s="21" t="str">
        <f>VLOOKUP(A17,'Trips&amp;Operators'!$C$1:$G$99999,5,FALSE)</f>
        <v>DAVIS WENDY</v>
      </c>
      <c r="M17" s="6">
        <f t="shared" si="1"/>
        <v>1.7754629625414964E-2</v>
      </c>
      <c r="N17" s="7"/>
      <c r="O17" s="7"/>
      <c r="P17" s="7">
        <f>24*60*SUM($M17:$M17)</f>
        <v>25.566666660597548</v>
      </c>
      <c r="Q17" s="22"/>
      <c r="R17" s="170" t="s">
        <v>1035</v>
      </c>
      <c r="S17" s="213">
        <f>SUM(U17:U17)/IF(AG17="EC",12,1)</f>
        <v>1</v>
      </c>
      <c r="T17" s="195" t="str">
        <f t="shared" si="2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3"/>
        <v>https://d0f6bd738d7f1b3e5a7ca70fe4ff75f0.us-east-1.aws.found.io/app/kibana#/discover/Steve-Slow-Train-Analysis-(2080s-and-2083s)?_g=(refreshInterval:(display:Off,pause:!f,section:0,value:0),time:(from:'2017-07-01T03:05:13-0600',mode:absolute,to:'2017-07-01T05:41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7" t="str">
        <f>IF(AA17&lt;VLOOKUP(AG17,Variables!$AC$3:$AD$8,2,FALSE),"Y","N")</f>
        <v>Y</v>
      </c>
      <c r="X17" s="197">
        <f t="shared" si="4"/>
        <v>1</v>
      </c>
      <c r="Y17" s="197">
        <f t="shared" si="5"/>
        <v>4.6600000000000003E-2</v>
      </c>
      <c r="Z17" s="197">
        <f t="shared" si="6"/>
        <v>15.148899999999999</v>
      </c>
      <c r="AA17" s="197">
        <f t="shared" si="7"/>
        <v>15.1023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8"/>
        <v>105</v>
      </c>
      <c r="AE17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7" s="74" t="str">
        <f t="shared" si="10"/>
        <v>"C:\Program Files (x86)\AstroGrep\AstroGrep.exe" /e /r /s /spath="%USERPROFILE%\AppData\Local\Temp\OnboardLogs" /stypes="app*4028*20170701*" /stext=" 10:.+((SYSTEM_STATE.+slice.+state.+changed )|(ment ac)|(multiple cpu faults)|(system.+state.+changed )|(\[timeout)|(PRM\|1\|D)|(kpr)|(kdp)|(train st.+moving)|(\|lc)|(penalty))"</v>
      </c>
      <c r="AG17" s="209" t="str">
        <f t="shared" si="11"/>
        <v>EC</v>
      </c>
      <c r="AH17" s="78" t="str">
        <f t="shared" si="16"/>
        <v>"%USERPROFILE%\Documents\GitHub\eaglep3\Utilities\RefineRTDCRunTimes.py" --tripid 105-01 --locoid 4028 --swversion DE.1.0.9.0 --startMP 204:466 --initTime 2017-07-01T04:05:13 --startdatetime 2017-07-01T04:15:51 --delay 1 --endMP 204:151489 --enddatetime 2017-07-01T04:41:25 --enforcementcount 0 &gt;&gt;C:\Users\stu\Documents\GitHub\eaglep3-reporting\EC\2017-07-01-refined-times.txt</v>
      </c>
      <c r="AI17" s="96" t="str">
        <f t="shared" si="17"/>
        <v>echo {"issue":{"subject":"Premature downgrade at EC1497RH 143-1T 1N","project_id":79,"tracker_id":40,"status_id":1,"priority_id":2,"assigned_to_id":23,"start_date":"2017-07-01","description":"","custom_fields":[{"id":1,"name":"Subdivision","value":"EC"},{"id":4,"name":"Milepost","value":"15.1489"},{"id":17,"name":"Train ID","value":"105-01"},{"id":16,"name":"Locomotive ID","value":"4028"},{"id":130,"name":"Impact","value":""},{"id":150,"name":"Time of Event (Mountain Time)","value":"04:41:25"},{"id":151,"name":"Denver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4028 --day 2017-07-01</v>
      </c>
      <c r="AN17" s="151" t="str">
        <f t="shared" si="19"/>
        <v>echo {"issue":{"subject":"Premature downgrade at EC1497RH 143-1T 1N","project_id":30,"tracker_id":4,"status_id":1,"priority_id":1,"assigned_to_id":10,"start_date":"2017-07-01","description":"","custom_fields":[{"id":30,"name":"Category","value":"Issue"},{"id":3,"name":"Functional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10:41:25"},{"id":29,"name":"Sharepoint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635</v>
      </c>
      <c r="B18" s="7">
        <v>4027</v>
      </c>
      <c r="C18" s="21" t="s">
        <v>202</v>
      </c>
      <c r="D18" s="21" t="s">
        <v>612</v>
      </c>
      <c r="E18" s="13">
        <v>42917.213969907411</v>
      </c>
      <c r="F18" s="13">
        <v>42917.214618055557</v>
      </c>
      <c r="G18" s="7">
        <v>0</v>
      </c>
      <c r="H18" s="21" t="s">
        <v>881</v>
      </c>
      <c r="I18" s="13">
        <v>42917.224131944444</v>
      </c>
      <c r="J18" s="7">
        <v>1</v>
      </c>
      <c r="K18" s="89" t="str">
        <f t="shared" si="0"/>
        <v>4027/4028</v>
      </c>
      <c r="L18" s="21" t="str">
        <f>VLOOKUP(A18,'Trips&amp;Operators'!$C$1:$G$99999,5,FALSE)</f>
        <v>DAVIS WENDY</v>
      </c>
      <c r="M18" s="6">
        <f t="shared" si="1"/>
        <v>9.5138888864312321E-3</v>
      </c>
      <c r="N18" s="7"/>
      <c r="O18" s="7"/>
      <c r="P18" s="7">
        <f>24*60*SUM($M18:$M19)</f>
        <v>33.78333333064802</v>
      </c>
      <c r="Q18" s="22"/>
      <c r="R18" s="170" t="s">
        <v>492</v>
      </c>
      <c r="S18" s="213">
        <f>SUM(U18:U19)/IF(AG18="EC",12,1)</f>
        <v>0.83333333333333337</v>
      </c>
      <c r="T18" s="195" t="str">
        <f t="shared" si="2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96" t="str">
        <f t="shared" si="3"/>
        <v>https://d0f6bd738d7f1b3e5a7ca70fe4ff75f0.us-east-1.aws.found.io/app/kibana#/discover/Steve-Slow-Train-Analysis-(2080s-and-2083s)?_g=(refreshInterval:(display:Off,pause:!f,section:0,value:0),time:(from:'2017-07-01T04:08:07-0600',mode:absolute,to:'2017-07-01T06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7" t="str">
        <f>IF(AA18&lt;VLOOKUP(AG18,Variables!$AC$3:$AD$8,2,FALSE),"Y","N")</f>
        <v>Y</v>
      </c>
      <c r="X18" s="197">
        <f t="shared" si="4"/>
        <v>1</v>
      </c>
      <c r="Y18" s="197">
        <f t="shared" si="5"/>
        <v>23.298999999999999</v>
      </c>
      <c r="Z18" s="197">
        <f t="shared" si="6"/>
        <v>15.589</v>
      </c>
      <c r="AA18" s="197">
        <f t="shared" si="7"/>
        <v>7.7099999999999991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8"/>
        <v>106</v>
      </c>
      <c r="AE18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8" s="74" t="str">
        <f t="shared" si="10"/>
        <v>"C:\Program Files (x86)\AstroGrep\AstroGrep.exe" /e /r /s /spath="%USERPROFILE%\AppData\Local\Temp\OnboardLogs" /stypes="app*4027*20170701*" /stext=" 11:.+((SYSTEM_STATE.+slice.+state.+changed )|(ment ac)|(multiple cpu faults)|(system.+state.+changed )|(\[timeout)|(PRM\|1\|D)|(kpr)|(kdp)|(train st.+moving)|(\|lc)|(penalty))"</v>
      </c>
      <c r="AG18" s="209" t="str">
        <f t="shared" si="11"/>
        <v>EC</v>
      </c>
      <c r="AH18" s="78" t="str">
        <f t="shared" si="16"/>
        <v>"%USERPROFILE%\Documents\GitHub\eaglep3\Utilities\RefineRTDCRunTimes.py" --tripid 106-01 --locoid 4027 --swversion DE.1.0.9.0 --startMP 204:232990 --initTime 2017-07-01T05:08:07 --startdatetime 2017-07-01T05:09:03 --delay 0 --endMP 204:155890 --enddatetime 2017-07-01T05:22:45 --enforcementcount 1 &gt;&gt;C:\Users\stu\Documents\GitHub\eaglep3-reporting\EC\2017-07-01-refined-times.txt</v>
      </c>
      <c r="AI18" s="96" t="str">
        <f t="shared" si="17"/>
        <v>echo {"issue":{"subject":"Wi-MAX data drop","project_id":79,"tracker_id":40,"status_id":1,"priority_id":2,"assigned_to_id":23,"start_date":"2017-07-01","description":"","custom_fields":[{"id":1,"name":"Subdivision","value":"EC"},{"id":4,"name":"Milepost","value":"15.589"},{"id":17,"name":"Train ID","value":"106-01"},{"id":16,"name":"Locomotive ID","value":"4027"},{"id":130,"name":"Impact","value":""},{"id":150,"name":"Time of Event (Mountain Time)","value":"05:22:45"},{"id":151,"name":"Denver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4027 --day 2017-07-01</v>
      </c>
      <c r="AN18" s="151" t="str">
        <f t="shared" si="19"/>
        <v>echo {"issue":{"subject":"Wi-MAX data drop","project_id":30,"tracker_id":4,"status_id":1,"priority_id":1,"assigned_to_id":10,"start_date":"2017-07-01","description":"","custom_fields":[{"id":30,"name":"Category","value":"Issue"},{"id":3,"name":"Functional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635</v>
      </c>
      <c r="B19" s="7">
        <v>4027</v>
      </c>
      <c r="C19" s="21" t="s">
        <v>202</v>
      </c>
      <c r="D19" s="21" t="s">
        <v>882</v>
      </c>
      <c r="E19" s="13">
        <v>42917.231365740743</v>
      </c>
      <c r="F19" s="13">
        <v>42917.231932870367</v>
      </c>
      <c r="G19" s="7">
        <v>0</v>
      </c>
      <c r="H19" s="21" t="s">
        <v>358</v>
      </c>
      <c r="I19" s="13">
        <v>42917.245879629627</v>
      </c>
      <c r="J19" s="7">
        <v>0</v>
      </c>
      <c r="K19" s="89" t="str">
        <f t="shared" si="0"/>
        <v>4027/4028</v>
      </c>
      <c r="L19" s="21" t="str">
        <f>VLOOKUP(A19,'Trips&amp;Operators'!$C$1:$G$99999,5,FALSE)</f>
        <v>DAVIS WENDY</v>
      </c>
      <c r="M19" s="6">
        <f t="shared" si="1"/>
        <v>1.3946759259852115E-2</v>
      </c>
      <c r="N19" s="7"/>
      <c r="O19" s="7"/>
      <c r="P19" s="7"/>
      <c r="Q19" s="22"/>
      <c r="R19" s="170"/>
      <c r="S19" s="213"/>
      <c r="T19" s="195" t="str">
        <f t="shared" si="2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10</v>
      </c>
      <c r="V19" s="196" t="str">
        <f t="shared" si="3"/>
        <v>https://d0f6bd738d7f1b3e5a7ca70fe4ff75f0.us-east-1.aws.found.io/app/kibana#/discover/Steve-Slow-Train-Analysis-(2080s-and-2083s)?_g=(refreshInterval:(display:Off,pause:!f,section:0,value:0),time:(from:'2017-07-01T04:33:10-0600',mode:absolute,to:'2017-07-01T06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197" t="str">
        <f>IF(AA19&lt;VLOOKUP(AG19,Variables!$AC$3:$AD$8,2,FALSE),"Y","N")</f>
        <v>Y</v>
      </c>
      <c r="X19" s="197">
        <f t="shared" si="4"/>
        <v>0</v>
      </c>
      <c r="Y19" s="197">
        <f t="shared" si="5"/>
        <v>8.6353000000000009</v>
      </c>
      <c r="Z19" s="197">
        <f t="shared" si="6"/>
        <v>1.41E-2</v>
      </c>
      <c r="AA19" s="197">
        <f t="shared" si="7"/>
        <v>8.6212000000000018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8"/>
        <v>106</v>
      </c>
      <c r="AE19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9" s="74" t="str">
        <f t="shared" si="10"/>
        <v>"C:\Program Files (x86)\AstroGrep\AstroGrep.exe" /e /r /s /spath="%USERPROFILE%\AppData\Local\Temp\OnboardLogs" /stypes="app*4027*20170701*" /stext=" 11:.+((SYSTEM_STATE.+slice.+state.+changed )|(ment ac)|(multiple cpu faults)|(system.+state.+changed )|(\[timeout)|(PRM\|1\|D)|(kpr)|(kdp)|(train st.+moving)|(\|lc)|(penalty))"</v>
      </c>
      <c r="AG19" s="209" t="str">
        <f t="shared" si="11"/>
        <v>EC</v>
      </c>
      <c r="AH19" s="78" t="str">
        <f t="shared" si="16"/>
        <v>"%USERPROFILE%\Documents\GitHub\eaglep3\Utilities\RefineRTDCRunTimes.py" --tripid 106-01 --locoid 4027 --swversion DE.1.0.9.0 --startMP 204:86353 --initTime 2017-07-01T05:33:10 --startdatetime 2017-07-01T05:33:59 --delay 0 --endMP 204:141 --enddatetime 2017-07-01T05:54:04 --enforcementcount 0 &gt;&gt;C:\Users\stu\Documents\GitHub\eaglep3-reporting\EC\2017-07-01-refined-times.txt</v>
      </c>
      <c r="AI1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ID","value":"106-01"},{"id":16,"name":"Locomotive ID","value":"4027"},{"id":130,"name":"Impact","value":""},{"id":150,"name":"Time of Event (Mountain Time)","value":"05:54:04"},{"id":151,"name":"Denver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4027 --day 2017-07-01</v>
      </c>
      <c r="AN1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702</v>
      </c>
      <c r="B20" s="7">
        <v>4014</v>
      </c>
      <c r="C20" s="21" t="s">
        <v>202</v>
      </c>
      <c r="D20" s="21" t="s">
        <v>479</v>
      </c>
      <c r="E20" s="13">
        <v>42917.183263888888</v>
      </c>
      <c r="F20" s="13">
        <v>42917.187997685185</v>
      </c>
      <c r="G20" s="7">
        <v>1</v>
      </c>
      <c r="H20" s="21" t="s">
        <v>883</v>
      </c>
      <c r="I20" s="13">
        <v>42917.212627314817</v>
      </c>
      <c r="J20" s="7">
        <v>0</v>
      </c>
      <c r="K20" s="89" t="str">
        <f t="shared" si="0"/>
        <v>4013/4014</v>
      </c>
      <c r="L20" s="21" t="str">
        <f>VLOOKUP(A20,'Trips&amp;Operators'!$C$1:$G$99999,5,FALSE)</f>
        <v>GEBRETEKLE DAGNEW</v>
      </c>
      <c r="M20" s="6">
        <f t="shared" si="1"/>
        <v>2.4629629631817807E-2</v>
      </c>
      <c r="N20" s="7">
        <f t="shared" ref="N20:N51" si="20">24*60*SUM($M20:$M20)</f>
        <v>35.466666669817641</v>
      </c>
      <c r="O20" s="7"/>
      <c r="P20" s="7"/>
      <c r="Q20" s="22"/>
      <c r="R20" s="170"/>
      <c r="S20" s="213">
        <f t="shared" ref="S20:S51" si="21">SUM(U20:U20)/IF(AG20="EC",12,1)</f>
        <v>1</v>
      </c>
      <c r="T20" s="195" t="str">
        <f t="shared" si="2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3"/>
        <v>https://d0f6bd738d7f1b3e5a7ca70fe4ff75f0.us-east-1.aws.found.io/app/kibana#/discover/Steve-Slow-Train-Analysis-(2080s-and-2083s)?_g=(refreshInterval:(display:Off,pause:!f,section:0,value:0),time:(from:'2017-07-01T03:23:54-0600',mode:absolute,to:'2017-07-01T06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" s="197" t="str">
        <f>IF(AA20&lt;VLOOKUP(AG20,Variables!$AC$3:$AD$8,2,FALSE),"Y","N")</f>
        <v>N</v>
      </c>
      <c r="X20" s="197">
        <f t="shared" si="4"/>
        <v>1</v>
      </c>
      <c r="Y20" s="197">
        <f t="shared" si="5"/>
        <v>4.3999999999999997E-2</v>
      </c>
      <c r="Z20" s="197">
        <f t="shared" si="6"/>
        <v>23.334900000000001</v>
      </c>
      <c r="AA20" s="197">
        <f t="shared" si="7"/>
        <v>23.290900000000001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8"/>
        <v>107</v>
      </c>
      <c r="AE20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20" s="74" t="str">
        <f t="shared" si="10"/>
        <v>"C:\Program Files (x86)\AstroGrep\AstroGrep.exe" /e /r /s /spath="%USERPROFILE%\AppData\Local\Temp\OnboardLogs" /stypes="app*4014*20170701*" /stext=" 11:.+((SYSTEM_STATE.+slice.+state.+changed )|(ment ac)|(multiple cpu faults)|(system.+state.+changed )|(\[timeout)|(PRM\|1\|D)|(kpr)|(kdp)|(train st.+moving)|(\|lc)|(penalty))"</v>
      </c>
      <c r="AG20" s="209" t="str">
        <f t="shared" si="11"/>
        <v>EC</v>
      </c>
      <c r="AH20" s="78" t="str">
        <f t="shared" si="16"/>
        <v>"%USERPROFILE%\Documents\GitHub\eaglep3\Utilities\RefineRTDCRunTimes.py" --tripid 107-01 --locoid 4014 --swversion DE.1.0.9.0 --startMP 204:440 --initTime 2017-07-01T04:23:54 --startdatetime 2017-07-01T04:30:43 --delay 1 --endMP 204:233349 --enddatetime 2017-07-01T05:06:11 --enforcementcount 0 &gt;&gt;C:\Users\stu\Documents\GitHub\eaglep3-reporting\EC\2017-07-01-refined-times.txt</v>
      </c>
      <c r="AI2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{"issue":{"subject":"","project_id":79,"tracker_id":40,"status_id":1,"priority_id":2,"assigned_to_id":23,"start_date":"2017-07-01","description":"","custom_fields":[{"id":1,"name":"Subdivision","value":"EC"},{"id":4,"name":"Milepost","value":"23.3349"},{"id":17,"name":"Train ID","value":"107-01"},{"id":16,"name":"Locomotive ID","value":"4014"},{"id":130,"name":"Impact","value":""},{"id":150,"name":"Time of Event (Mountain Time)","value":"05:06:11"},{"id":151,"name":"Denver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4014 --day 2017-07-01</v>
      </c>
      <c r="AN2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711</v>
      </c>
      <c r="B21" s="7">
        <v>4013</v>
      </c>
      <c r="C21" s="21" t="s">
        <v>202</v>
      </c>
      <c r="D21" s="21" t="s">
        <v>884</v>
      </c>
      <c r="E21" s="13">
        <v>42917.213865740741</v>
      </c>
      <c r="F21" s="13">
        <v>42917.227256944447</v>
      </c>
      <c r="G21" s="7">
        <v>0</v>
      </c>
      <c r="H21" s="21" t="s">
        <v>359</v>
      </c>
      <c r="I21" s="13">
        <v>42917.254710648151</v>
      </c>
      <c r="J21" s="7">
        <v>0</v>
      </c>
      <c r="K21" s="89" t="str">
        <f t="shared" si="0"/>
        <v>4013/4014</v>
      </c>
      <c r="L21" s="21" t="str">
        <f>VLOOKUP(A21,'Trips&amp;Operators'!$C$1:$G$99999,5,FALSE)</f>
        <v>GEBRETEKLE DAGNEW</v>
      </c>
      <c r="M21" s="6">
        <f t="shared" si="1"/>
        <v>2.7453703703940846E-2</v>
      </c>
      <c r="N21" s="7">
        <f t="shared" si="20"/>
        <v>39.533333333674818</v>
      </c>
      <c r="O21" s="7"/>
      <c r="P21" s="7"/>
      <c r="Q21" s="22"/>
      <c r="R21" s="170"/>
      <c r="S21" s="213">
        <f t="shared" si="21"/>
        <v>1</v>
      </c>
      <c r="T21" s="195" t="str">
        <f t="shared" si="2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3"/>
        <v>https://d0f6bd738d7f1b3e5a7ca70fe4ff75f0.us-east-1.aws.found.io/app/kibana#/discover/Steve-Slow-Train-Analysis-(2080s-and-2083s)?_g=(refreshInterval:(display:Off,pause:!f,section:0,value:0),time:(from:'2017-07-01T04:07:58-0600',mode:absolute,to:'2017-07-01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" s="197" t="str">
        <f>IF(AA21&lt;VLOOKUP(AG21,Variables!$AC$3:$AD$8,2,FALSE),"Y","N")</f>
        <v>N</v>
      </c>
      <c r="X21" s="197">
        <f t="shared" si="4"/>
        <v>1</v>
      </c>
      <c r="Y21" s="197">
        <f t="shared" si="5"/>
        <v>23.3064</v>
      </c>
      <c r="Z21" s="197">
        <f t="shared" si="6"/>
        <v>1.47E-2</v>
      </c>
      <c r="AA21" s="197">
        <f t="shared" si="7"/>
        <v>23.291699999999999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8"/>
        <v>108</v>
      </c>
      <c r="AE21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21" s="74" t="str">
        <f t="shared" si="10"/>
        <v>"C:\Program Files (x86)\AstroGrep\AstroGrep.exe" /e /r /s /spath="%USERPROFILE%\AppData\Local\Temp\OnboardLogs" /stypes="app*4013*20170701*" /stext=" 12:.+((SYSTEM_STATE.+slice.+state.+changed )|(ment ac)|(multiple cpu faults)|(system.+state.+changed )|(\[timeout)|(PRM\|1\|D)|(kpr)|(kdp)|(train st.+moving)|(\|lc)|(penalty))"</v>
      </c>
      <c r="AG21" s="209" t="str">
        <f t="shared" si="11"/>
        <v>EC</v>
      </c>
      <c r="AH21" s="78" t="str">
        <f t="shared" si="16"/>
        <v>"%USERPROFILE%\Documents\GitHub\eaglep3\Utilities\RefineRTDCRunTimes.py" --tripid 108-01 --locoid 4013 --swversion DE.1.0.9.0 --startMP 204:233064 --initTime 2017-07-01T05:07:58 --startdatetime 2017-07-01T05:27:15 --delay 0 --endMP 204:147 --enddatetime 2017-07-01T06:06:47 --enforcementcount 0 &gt;&gt;C:\Users\stu\Documents\GitHub\eaglep3-reporting\EC\2017-07-01-refined-times.txt</v>
      </c>
      <c r="AI2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ID","value":"108-01"},{"id":16,"name":"Locomotive ID","value":"4013"},{"id":130,"name":"Impact","value":""},{"id":150,"name":"Time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4013 --day 2017-07-01</v>
      </c>
      <c r="AN2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706</v>
      </c>
      <c r="B22" s="7">
        <v>4062</v>
      </c>
      <c r="C22" s="21" t="s">
        <v>202</v>
      </c>
      <c r="D22" s="21" t="s">
        <v>391</v>
      </c>
      <c r="E22" s="13">
        <v>42917.193414351852</v>
      </c>
      <c r="F22" s="13">
        <v>42917.198425925926</v>
      </c>
      <c r="G22" s="7">
        <v>1</v>
      </c>
      <c r="H22" s="21" t="s">
        <v>613</v>
      </c>
      <c r="I22" s="13">
        <v>42917.22252314815</v>
      </c>
      <c r="J22" s="7">
        <v>0</v>
      </c>
      <c r="K22" s="89" t="str">
        <f t="shared" si="0"/>
        <v>4061/4062</v>
      </c>
      <c r="L22" s="21" t="str">
        <f>VLOOKUP(A22,'Trips&amp;Operators'!$C$1:$G$99999,5,FALSE)</f>
        <v>LALONDE GREGORY</v>
      </c>
      <c r="M22" s="6">
        <f t="shared" si="1"/>
        <v>2.4097222223645076E-2</v>
      </c>
      <c r="N22" s="7">
        <f t="shared" si="20"/>
        <v>34.70000000204891</v>
      </c>
      <c r="O22" s="7"/>
      <c r="P22" s="7"/>
      <c r="Q22" s="22"/>
      <c r="R22" s="170"/>
      <c r="S22" s="213">
        <f t="shared" si="21"/>
        <v>1</v>
      </c>
      <c r="T22" s="195" t="str">
        <f t="shared" si="2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3"/>
        <v>https://d0f6bd738d7f1b3e5a7ca70fe4ff75f0.us-east-1.aws.found.io/app/kibana#/discover/Steve-Slow-Train-Analysis-(2080s-and-2083s)?_g=(refreshInterval:(display:Off,pause:!f,section:0,value:0),time:(from:'2017-07-01T03:38:31-0600',mode:absolute,to:'2017-07-01T06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" s="197" t="str">
        <f>IF(AA22&lt;VLOOKUP(AG22,Variables!$AC$3:$AD$8,2,FALSE),"Y","N")</f>
        <v>N</v>
      </c>
      <c r="X22" s="197">
        <f t="shared" si="4"/>
        <v>1</v>
      </c>
      <c r="Y22" s="197">
        <f t="shared" si="5"/>
        <v>4.6199999999999998E-2</v>
      </c>
      <c r="Z22" s="197">
        <f t="shared" si="6"/>
        <v>23.333200000000001</v>
      </c>
      <c r="AA22" s="197">
        <f t="shared" si="7"/>
        <v>23.287000000000003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8"/>
        <v>109</v>
      </c>
      <c r="AE22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22" s="74" t="str">
        <f t="shared" si="10"/>
        <v>"C:\Program Files (x86)\AstroGrep\AstroGrep.exe" /e /r /s /spath="%USERPROFILE%\AppData\Local\Temp\OnboardLogs" /stypes="app*4062*20170701*" /stext=" 11:.+((SYSTEM_STATE.+slice.+state.+changed )|(ment ac)|(multiple cpu faults)|(system.+state.+changed )|(\[timeout)|(PRM\|1\|D)|(kpr)|(kdp)|(train st.+moving)|(\|lc)|(penalty))"</v>
      </c>
      <c r="AG22" s="209" t="str">
        <f t="shared" si="11"/>
        <v>EC</v>
      </c>
      <c r="AH22" s="78" t="str">
        <f t="shared" si="16"/>
        <v>"%USERPROFILE%\Documents\GitHub\eaglep3\Utilities\RefineRTDCRunTimes.py" --tripid 109-01 --locoid 4062 --swversion DE.1.0.9.0 --startMP 204:462 --initTime 2017-07-01T04:38:31 --startdatetime 2017-07-01T04:45:44 --delay 1 --endMP 204:233332 --enddatetime 2017-07-01T05:20:26 --enforcementcount 0 &gt;&gt;C:\Users\stu\Documents\GitHub\eaglep3-reporting\EC\2017-07-01-refined-times.txt</v>
      </c>
      <c r="AI2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{"issue":{"subject":"","project_id":79,"tracker_id":40,"status_id":1,"priority_id":2,"assigned_to_id":23,"start_date":"2017-07-01","description":"","custom_fields":[{"id":1,"name":"Subdivision","value":"EC"},{"id":4,"name":"Milepost","value":"23.3332"},{"id":17,"name":"Train ID","value":"109-01"},{"id":16,"name":"Locomotive ID","value":"4062"},{"id":130,"name":"Impact","value":""},{"id":150,"name":"Time of Event (Mountain Time)","value":"05:20:26"},{"id":151,"name":"Denver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4062 --day 2017-07-01</v>
      </c>
      <c r="AN2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638</v>
      </c>
      <c r="B23" s="7">
        <v>4061</v>
      </c>
      <c r="C23" s="21" t="s">
        <v>202</v>
      </c>
      <c r="D23" s="21" t="s">
        <v>885</v>
      </c>
      <c r="E23" s="13">
        <v>42917.22415509259</v>
      </c>
      <c r="F23" s="13">
        <v>42917.237650462965</v>
      </c>
      <c r="G23" s="7">
        <v>1</v>
      </c>
      <c r="H23" s="21" t="s">
        <v>394</v>
      </c>
      <c r="I23" s="13">
        <v>42917.265868055554</v>
      </c>
      <c r="J23" s="7">
        <v>0</v>
      </c>
      <c r="K23" s="89" t="str">
        <f t="shared" si="0"/>
        <v>4061/4062</v>
      </c>
      <c r="L23" s="21" t="str">
        <f>VLOOKUP(A23,'Trips&amp;Operators'!$C$1:$G$99999,5,FALSE)</f>
        <v>LALONDE GREGORY</v>
      </c>
      <c r="M23" s="6">
        <f t="shared" si="1"/>
        <v>2.8217592589498963E-2</v>
      </c>
      <c r="N23" s="7">
        <f t="shared" si="20"/>
        <v>40.633333328878507</v>
      </c>
      <c r="O23" s="7"/>
      <c r="P23" s="7"/>
      <c r="Q23" s="22"/>
      <c r="R23" s="170"/>
      <c r="S23" s="213">
        <f t="shared" si="21"/>
        <v>1</v>
      </c>
      <c r="T23" s="195" t="str">
        <f t="shared" si="2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3"/>
        <v>https://d0f6bd738d7f1b3e5a7ca70fe4ff75f0.us-east-1.aws.found.io/app/kibana#/discover/Steve-Slow-Train-Analysis-(2080s-and-2083s)?_g=(refreshInterval:(display:Off,pause:!f,section:0,value:0),time:(from:'2017-07-01T04:22:47-0600',mode:absolute,to:'2017-07-01T07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" s="197" t="str">
        <f>IF(AA23&lt;VLOOKUP(AG23,Variables!$AC$3:$AD$8,2,FALSE),"Y","N")</f>
        <v>N</v>
      </c>
      <c r="X23" s="197">
        <f t="shared" si="4"/>
        <v>1</v>
      </c>
      <c r="Y23" s="197">
        <f t="shared" si="5"/>
        <v>23.302299999999999</v>
      </c>
      <c r="Z23" s="197">
        <f t="shared" si="6"/>
        <v>1.54E-2</v>
      </c>
      <c r="AA23" s="197">
        <f t="shared" si="7"/>
        <v>23.286899999999999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8"/>
        <v>110</v>
      </c>
      <c r="AE23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23" s="74" t="str">
        <f t="shared" si="10"/>
        <v>"C:\Program Files (x86)\AstroGrep\AstroGrep.exe" /e /r /s /spath="%USERPROFILE%\AppData\Local\Temp\OnboardLogs" /stypes="app*4061*20170701*" /stext=" 12:.+((SYSTEM_STATE.+slice.+state.+changed )|(ment ac)|(multiple cpu faults)|(system.+state.+changed )|(\[timeout)|(PRM\|1\|D)|(kpr)|(kdp)|(train st.+moving)|(\|lc)|(penalty))"</v>
      </c>
      <c r="AG23" s="209" t="str">
        <f t="shared" si="11"/>
        <v>EC</v>
      </c>
      <c r="AH23" s="78" t="str">
        <f t="shared" si="16"/>
        <v>"%USERPROFILE%\Documents\GitHub\eaglep3\Utilities\RefineRTDCRunTimes.py" --tripid 110-01 --locoid 4061 --swversion DE.1.0.9.0 --startMP 204:233023 --initTime 2017-07-01T05:22:47 --startdatetime 2017-07-01T05:42:13 --delay 1 --endMP 204:154 --enddatetime 2017-07-01T06:22:51 --enforcementcount 0 &gt;&gt;C:\Users\stu\Documents\GitHub\eaglep3-reporting\EC\2017-07-01-refined-times.txt</v>
      </c>
      <c r="AI2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ID","value":"110-01"},{"id":16,"name":"Locomotive ID","value":"4061"},{"id":130,"name":"Impact","value":""},{"id":150,"name":"Time of Event (Mountain Time)","value":"06:22:51"},{"id":151,"name":"Denver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4061 --day 2017-07-01</v>
      </c>
      <c r="AN2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710</v>
      </c>
      <c r="B24" s="7">
        <v>4008</v>
      </c>
      <c r="C24" s="21" t="s">
        <v>202</v>
      </c>
      <c r="D24" s="21" t="s">
        <v>352</v>
      </c>
      <c r="E24" s="13">
        <v>42917.206018518518</v>
      </c>
      <c r="F24" s="13">
        <v>42917.208877314813</v>
      </c>
      <c r="G24" s="7">
        <v>1</v>
      </c>
      <c r="H24" s="21" t="s">
        <v>886</v>
      </c>
      <c r="I24" s="13">
        <v>42917.233912037038</v>
      </c>
      <c r="J24" s="7">
        <v>0</v>
      </c>
      <c r="K24" s="89" t="str">
        <f t="shared" si="0"/>
        <v>4007/4008</v>
      </c>
      <c r="L24" s="21" t="str">
        <f>VLOOKUP(A24,'Trips&amp;Operators'!$C$1:$G$99999,5,FALSE)</f>
        <v>MAELZER KURT</v>
      </c>
      <c r="M24" s="6">
        <f t="shared" si="1"/>
        <v>2.5034722224518191E-2</v>
      </c>
      <c r="N24" s="7">
        <f t="shared" si="20"/>
        <v>36.050000003306195</v>
      </c>
      <c r="O24" s="7"/>
      <c r="P24" s="7"/>
      <c r="Q24" s="22"/>
      <c r="R24" s="170"/>
      <c r="S24" s="213">
        <f t="shared" si="21"/>
        <v>1</v>
      </c>
      <c r="T24" s="195" t="str">
        <f t="shared" si="2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3"/>
        <v>https://d0f6bd738d7f1b3e5a7ca70fe4ff75f0.us-east-1.aws.found.io/app/kibana#/discover/Steve-Slow-Train-Analysis-(2080s-and-2083s)?_g=(refreshInterval:(display:Off,pause:!f,section:0,value:0),time:(from:'2017-07-01T03:56:40-0600',mode:absolute,to:'2017-07-01T06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97" t="str">
        <f>IF(AA24&lt;VLOOKUP(AG24,Variables!$AC$3:$AD$8,2,FALSE),"Y","N")</f>
        <v>N</v>
      </c>
      <c r="X24" s="197">
        <f t="shared" si="4"/>
        <v>1</v>
      </c>
      <c r="Y24" s="197">
        <f t="shared" si="5"/>
        <v>4.5100000000000001E-2</v>
      </c>
      <c r="Z24" s="197">
        <f t="shared" si="6"/>
        <v>23.334700000000002</v>
      </c>
      <c r="AA24" s="197">
        <f t="shared" si="7"/>
        <v>23.2896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8"/>
        <v>111</v>
      </c>
      <c r="AE24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24" s="74" t="str">
        <f t="shared" si="10"/>
        <v>"C:\Program Files (x86)\AstroGrep\AstroGrep.exe" /e /r /s /spath="%USERPROFILE%\AppData\Local\Temp\OnboardLogs" /stypes="app*4008*20170701*" /stext=" 11:.+((SYSTEM_STATE.+slice.+state.+changed )|(ment ac)|(multiple cpu faults)|(system.+state.+changed )|(\[timeout)|(PRM\|1\|D)|(kpr)|(kdp)|(train st.+moving)|(\|lc)|(penalty))"</v>
      </c>
      <c r="AG24" s="209" t="str">
        <f t="shared" si="11"/>
        <v>EC</v>
      </c>
      <c r="AH24" s="78" t="str">
        <f t="shared" si="16"/>
        <v>"%USERPROFILE%\Documents\GitHub\eaglep3\Utilities\RefineRTDCRunTimes.py" --tripid 111-01 --locoid 4008 --swversion DE.1.0.9.0 --startMP 204:451 --initTime 2017-07-01T04:56:40 --startdatetime 2017-07-01T05:00:47 --delay 1 --endMP 204:233347 --enddatetime 2017-07-01T05:36:50 --enforcementcount 0 &gt;&gt;C:\Users\stu\Documents\GitHub\eaglep3-reporting\EC\2017-07-01-refined-times.txt</v>
      </c>
      <c r="AI2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{"issue":{"subject":"","project_id":79,"tracker_id":40,"status_id":1,"priority_id":2,"assigned_to_id":23,"start_date":"2017-07-01","description":"","custom_fields":[{"id":1,"name":"Subdivision","value":"EC"},{"id":4,"name":"Milepost","value":"23.3347"},{"id":17,"name":"Train ID","value":"111-01"},{"id":16,"name":"Locomotive ID","value":"4008"},{"id":130,"name":"Impact","value":""},{"id":150,"name":"Time of Event (Mountain Time)","value":"05:36:50"},{"id":151,"name":"Denver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4008 --day 2017-07-01</v>
      </c>
      <c r="AN2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720</v>
      </c>
      <c r="B25" s="7">
        <v>4007</v>
      </c>
      <c r="C25" s="21" t="s">
        <v>202</v>
      </c>
      <c r="D25" s="21" t="s">
        <v>887</v>
      </c>
      <c r="E25" s="13">
        <v>42917.242615740739</v>
      </c>
      <c r="F25" s="13">
        <v>42917.248090277775</v>
      </c>
      <c r="G25" s="7">
        <v>0</v>
      </c>
      <c r="H25" s="21" t="s">
        <v>416</v>
      </c>
      <c r="I25" s="13">
        <v>42917.275289351855</v>
      </c>
      <c r="J25" s="7">
        <v>0</v>
      </c>
      <c r="K25" s="89" t="str">
        <f t="shared" si="0"/>
        <v>4007/4008</v>
      </c>
      <c r="L25" s="21" t="str">
        <f>VLOOKUP(A25,'Trips&amp;Operators'!$C$1:$G$99999,5,FALSE)</f>
        <v>MAELZER KURT</v>
      </c>
      <c r="M25" s="6">
        <f t="shared" si="1"/>
        <v>2.7199074080272112E-2</v>
      </c>
      <c r="N25" s="7">
        <f t="shared" si="20"/>
        <v>39.166666675591841</v>
      </c>
      <c r="O25" s="7"/>
      <c r="P25" s="7"/>
      <c r="Q25" s="22"/>
      <c r="R25" s="170"/>
      <c r="S25" s="213">
        <f t="shared" si="21"/>
        <v>1</v>
      </c>
      <c r="T25" s="195" t="str">
        <f t="shared" si="2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3"/>
        <v>https://d0f6bd738d7f1b3e5a7ca70fe4ff75f0.us-east-1.aws.found.io/app/kibana#/discover/Steve-Slow-Train-Analysis-(2080s-and-2083s)?_g=(refreshInterval:(display:Off,pause:!f,section:0,value:0),time:(from:'2017-07-01T04:49:22-0600',mode:absolute,to:'2017-07-01T07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97" t="str">
        <f>IF(AA25&lt;VLOOKUP(AG25,Variables!$AC$3:$AD$8,2,FALSE),"Y","N")</f>
        <v>N</v>
      </c>
      <c r="X25" s="197">
        <f t="shared" si="4"/>
        <v>1</v>
      </c>
      <c r="Y25" s="197">
        <f t="shared" si="5"/>
        <v>23.304300000000001</v>
      </c>
      <c r="Z25" s="197">
        <f t="shared" si="6"/>
        <v>1.4500000000000001E-2</v>
      </c>
      <c r="AA25" s="197">
        <f t="shared" si="7"/>
        <v>23.2898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8"/>
        <v>112</v>
      </c>
      <c r="AE25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25" s="74" t="str">
        <f t="shared" si="10"/>
        <v>"C:\Program Files (x86)\AstroGrep\AstroGrep.exe" /e /r /s /spath="%USERPROFILE%\AppData\Local\Temp\OnboardLogs" /stypes="app*4007*20170701*" /stext=" 12:.+((SYSTEM_STATE.+slice.+state.+changed )|(ment ac)|(multiple cpu faults)|(system.+state.+changed )|(\[timeout)|(PRM\|1\|D)|(kpr)|(kdp)|(train st.+moving)|(\|lc)|(penalty))"</v>
      </c>
      <c r="AG25" s="209" t="str">
        <f t="shared" si="11"/>
        <v>EC</v>
      </c>
      <c r="AH25" s="78" t="str">
        <f t="shared" si="16"/>
        <v>"%USERPROFILE%\Documents\GitHub\eaglep3\Utilities\RefineRTDCRunTimes.py" --tripid 112-01 --locoid 4007 --swversion DE.1.0.9.0 --startMP 204:233043 --initTime 2017-07-01T05:49:22 --startdatetime 2017-07-01T05:57:15 --delay 0 --endMP 204:145 --enddatetime 2017-07-01T06:36:25 --enforcementcount 0 &gt;&gt;C:\Users\stu\Documents\GitHub\eaglep3-reporting\EC\2017-07-01-refined-times.txt</v>
      </c>
      <c r="AI2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ID","value":"112-01"},{"id":16,"name":"Locomotive ID","value":"4007"},{"id":130,"name":"Impact","value":""},{"id":150,"name":"Time of Event (Mountain Time)","value":"06:36:25"},{"id":151,"name":"Denver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4007 --day 2017-07-01</v>
      </c>
      <c r="AN2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712</v>
      </c>
      <c r="B26" s="7">
        <v>4056</v>
      </c>
      <c r="C26" s="21" t="s">
        <v>202</v>
      </c>
      <c r="D26" s="21" t="s">
        <v>477</v>
      </c>
      <c r="E26" s="13">
        <v>42917.213831018518</v>
      </c>
      <c r="F26" s="13">
        <v>42917.219328703701</v>
      </c>
      <c r="G26" s="7">
        <v>1</v>
      </c>
      <c r="H26" s="21" t="s">
        <v>551</v>
      </c>
      <c r="I26" s="13">
        <v>42917.244537037041</v>
      </c>
      <c r="J26" s="7">
        <v>0</v>
      </c>
      <c r="K26" s="89" t="str">
        <f t="shared" si="0"/>
        <v>4055/4056</v>
      </c>
      <c r="L26" s="21" t="str">
        <f>VLOOKUP(A26,'Trips&amp;Operators'!$C$1:$G$99999,5,FALSE)</f>
        <v>DAVIDSON DAVID</v>
      </c>
      <c r="M26" s="6">
        <f t="shared" si="1"/>
        <v>2.5208333339833189E-2</v>
      </c>
      <c r="N26" s="7">
        <f t="shared" si="20"/>
        <v>36.300000009359792</v>
      </c>
      <c r="O26" s="7"/>
      <c r="P26" s="7"/>
      <c r="Q26" s="22"/>
      <c r="R26" s="170"/>
      <c r="S26" s="213">
        <f t="shared" si="21"/>
        <v>1</v>
      </c>
      <c r="T26" s="195" t="str">
        <f t="shared" si="2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3"/>
        <v>https://d0f6bd738d7f1b3e5a7ca70fe4ff75f0.us-east-1.aws.found.io/app/kibana#/discover/Steve-Slow-Train-Analysis-(2080s-and-2083s)?_g=(refreshInterval:(display:Off,pause:!f,section:0,value:0),time:(from:'2017-07-01T04:07:55-0600',mode:absolute,to:'2017-07-01T06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6" s="197" t="str">
        <f>IF(AA26&lt;VLOOKUP(AG26,Variables!$AC$3:$AD$8,2,FALSE),"Y","N")</f>
        <v>N</v>
      </c>
      <c r="X26" s="197">
        <f t="shared" si="4"/>
        <v>1</v>
      </c>
      <c r="Y26" s="197">
        <f t="shared" si="5"/>
        <v>4.4400000000000002E-2</v>
      </c>
      <c r="Z26" s="197">
        <f t="shared" si="6"/>
        <v>23.332000000000001</v>
      </c>
      <c r="AA26" s="197">
        <f t="shared" si="7"/>
        <v>23.287600000000001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8"/>
        <v>113</v>
      </c>
      <c r="AE26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26" s="74" t="str">
        <f t="shared" si="10"/>
        <v>"C:\Program Files (x86)\AstroGrep\AstroGrep.exe" /e /r /s /spath="%USERPROFILE%\AppData\Local\Temp\OnboardLogs" /stypes="app*4056*20170701*" /stext=" 11:.+((SYSTEM_STATE.+slice.+state.+changed )|(ment ac)|(multiple cpu faults)|(system.+state.+changed )|(\[timeout)|(PRM\|1\|D)|(kpr)|(kdp)|(train st.+moving)|(\|lc)|(penalty))"</v>
      </c>
      <c r="AG26" s="209" t="str">
        <f t="shared" si="11"/>
        <v>EC</v>
      </c>
      <c r="AH26" s="78" t="str">
        <f t="shared" si="16"/>
        <v>"%USERPROFILE%\Documents\GitHub\eaglep3\Utilities\RefineRTDCRunTimes.py" --tripid 113-01 --locoid 4056 --swversion DE.1.0.9.0 --startMP 204:444 --initTime 2017-07-01T05:07:55 --startdatetime 2017-07-01T05:15:50 --delay 1 --endMP 204:233320 --enddatetime 2017-07-01T05:52:08 --enforcementcount 0 &gt;&gt;C:\Users\stu\Documents\GitHub\eaglep3-reporting\EC\2017-07-01-refined-times.txt</v>
      </c>
      <c r="AI2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{"issue":{"subject":"","project_id":79,"tracker_id":40,"status_id":1,"priority_id":2,"assigned_to_id":23,"start_date":"2017-07-01","description":"","custom_fields":[{"id":1,"name":"Subdivision","value":"EC"},{"id":4,"name":"Milepost","value":"23.332"},{"id":17,"name":"Train ID","value":"113-01"},{"id":16,"name":"Locomotive ID","value":"4056"},{"id":130,"name":"Impact","value":""},{"id":150,"name":"Time of Event (Mountain Time)","value":"05:52:08"},{"id":151,"name":"Denver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4056 --day 2017-07-01</v>
      </c>
      <c r="AN2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642</v>
      </c>
      <c r="B27" s="7">
        <v>4055</v>
      </c>
      <c r="C27" s="21" t="s">
        <v>202</v>
      </c>
      <c r="D27" s="21" t="s">
        <v>478</v>
      </c>
      <c r="E27" s="13">
        <v>42917.246631944443</v>
      </c>
      <c r="F27" s="13">
        <v>42917.258645833332</v>
      </c>
      <c r="G27" s="7">
        <v>1</v>
      </c>
      <c r="H27" s="21" t="s">
        <v>888</v>
      </c>
      <c r="I27" s="13">
        <v>42917.289594907408</v>
      </c>
      <c r="J27" s="7">
        <v>0</v>
      </c>
      <c r="K27" s="89" t="str">
        <f t="shared" si="0"/>
        <v>4055/4056</v>
      </c>
      <c r="L27" s="21" t="str">
        <f>VLOOKUP(A27,'Trips&amp;Operators'!$C$1:$G$99999,5,FALSE)</f>
        <v>DAVIDSON DAVID</v>
      </c>
      <c r="M27" s="6">
        <f t="shared" si="1"/>
        <v>3.0949074076488614E-2</v>
      </c>
      <c r="N27" s="7">
        <f t="shared" si="20"/>
        <v>44.566666670143604</v>
      </c>
      <c r="O27" s="7"/>
      <c r="P27" s="7"/>
      <c r="Q27" s="22"/>
      <c r="R27" s="170"/>
      <c r="S27" s="213">
        <f t="shared" si="21"/>
        <v>1</v>
      </c>
      <c r="T27" s="195" t="str">
        <f t="shared" si="2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3"/>
        <v>https://d0f6bd738d7f1b3e5a7ca70fe4ff75f0.us-east-1.aws.found.io/app/kibana#/discover/Steve-Slow-Train-Analysis-(2080s-and-2083s)?_g=(refreshInterval:(display:Off,pause:!f,section:0,value:0),time:(from:'2017-07-01T04:55:09-0600',mode:absolute,to:'2017-07-01T07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7" s="197" t="str">
        <f>IF(AA27&lt;VLOOKUP(AG27,Variables!$AC$3:$AD$8,2,FALSE),"Y","N")</f>
        <v>N</v>
      </c>
      <c r="X27" s="197">
        <f t="shared" si="4"/>
        <v>1</v>
      </c>
      <c r="Y27" s="197">
        <f t="shared" si="5"/>
        <v>23.298400000000001</v>
      </c>
      <c r="Z27" s="197">
        <f t="shared" si="6"/>
        <v>2.5100000000000001E-2</v>
      </c>
      <c r="AA27" s="197">
        <f t="shared" si="7"/>
        <v>23.273300000000003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8"/>
        <v>114</v>
      </c>
      <c r="AE27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27" s="74" t="str">
        <f t="shared" si="10"/>
        <v>"C:\Program Files (x86)\AstroGrep\AstroGrep.exe" /e /r /s /spath="%USERPROFILE%\AppData\Local\Temp\OnboardLogs" /stypes="app*4055*20170701*" /stext=" 12:.+((SYSTEM_STATE.+slice.+state.+changed )|(ment ac)|(multiple cpu faults)|(system.+state.+changed )|(\[timeout)|(PRM\|1\|D)|(kpr)|(kdp)|(train st.+moving)|(\|lc)|(penalty))"</v>
      </c>
      <c r="AG27" s="209" t="str">
        <f t="shared" si="11"/>
        <v>EC</v>
      </c>
      <c r="AH27" s="78" t="str">
        <f t="shared" si="16"/>
        <v>"%USERPROFILE%\Documents\GitHub\eaglep3\Utilities\RefineRTDCRunTimes.py" --tripid 114-01 --locoid 4055 --swversion DE.1.0.9.0 --startMP 204:232984 --initTime 2017-07-01T05:55:09 --startdatetime 2017-07-01T06:12:27 --delay 1 --endMP 204:251 --enddatetime 2017-07-01T06:57:01 --enforcementcount 0 &gt;&gt;C:\Users\stu\Documents\GitHub\eaglep3-reporting\EC\2017-07-01-refined-times.txt</v>
      </c>
      <c r="AI2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{"issue":{"subject":"","project_id":79,"tracker_id":40,"status_id":1,"priority_id":2,"assigned_to_id":23,"start_date":"2017-07-01","description":"","custom_fields":[{"id":1,"name":"Subdivision","value":"EC"},{"id":4,"name":"Milepost","value":"0.0251"},{"id":17,"name":"Train ID","value":"114-01"},{"id":16,"name":"Locomotive ID","value":"4055"},{"id":130,"name":"Impact","value":""},{"id":150,"name":"Time of Event (Mountain Time)","value":"06:57:01"},{"id":151,"name":"Denver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4055 --day 2017-07-01</v>
      </c>
      <c r="AN2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717</v>
      </c>
      <c r="B28" s="7">
        <v>4018</v>
      </c>
      <c r="C28" s="21" t="s">
        <v>202</v>
      </c>
      <c r="D28" s="21" t="s">
        <v>391</v>
      </c>
      <c r="E28" s="13">
        <v>42917.226122685184</v>
      </c>
      <c r="F28" s="13">
        <v>42917.229791666665</v>
      </c>
      <c r="G28" s="7">
        <v>1</v>
      </c>
      <c r="H28" s="21" t="s">
        <v>542</v>
      </c>
      <c r="I28" s="13">
        <v>42917.255289351851</v>
      </c>
      <c r="J28" s="7">
        <v>0</v>
      </c>
      <c r="K28" s="89" t="str">
        <f t="shared" si="0"/>
        <v>4017/4018</v>
      </c>
      <c r="L28" s="21" t="str">
        <f>VLOOKUP(A28,'Trips&amp;Operators'!$C$1:$G$99999,5,FALSE)</f>
        <v>BEAM ROSS</v>
      </c>
      <c r="M28" s="6">
        <f t="shared" si="1"/>
        <v>2.5497685186564922E-2</v>
      </c>
      <c r="N28" s="7">
        <f t="shared" si="20"/>
        <v>36.716666668653488</v>
      </c>
      <c r="O28" s="7"/>
      <c r="P28" s="7"/>
      <c r="Q28" s="22"/>
      <c r="R28" s="170"/>
      <c r="S28" s="213">
        <f t="shared" si="21"/>
        <v>1</v>
      </c>
      <c r="T28" s="195" t="str">
        <f t="shared" si="2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3"/>
        <v>https://d0f6bd738d7f1b3e5a7ca70fe4ff75f0.us-east-1.aws.found.io/app/kibana#/discover/Steve-Slow-Train-Analysis-(2080s-and-2083s)?_g=(refreshInterval:(display:Off,pause:!f,section:0,value:0),time:(from:'2017-07-01T04:25:37-0600',mode:absolute,to:'2017-07-01T07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8" s="197" t="str">
        <f>IF(AA28&lt;VLOOKUP(AG28,Variables!$AC$3:$AD$8,2,FALSE),"Y","N")</f>
        <v>N</v>
      </c>
      <c r="X28" s="197">
        <f t="shared" si="4"/>
        <v>1</v>
      </c>
      <c r="Y28" s="197">
        <f t="shared" si="5"/>
        <v>4.6199999999999998E-2</v>
      </c>
      <c r="Z28" s="197">
        <f t="shared" si="6"/>
        <v>23.329699999999999</v>
      </c>
      <c r="AA28" s="197">
        <f t="shared" si="7"/>
        <v>23.2835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8"/>
        <v>115</v>
      </c>
      <c r="AE28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28" s="74" t="str">
        <f t="shared" si="10"/>
        <v>"C:\Program Files (x86)\AstroGrep\AstroGrep.exe" /e /r /s /spath="%USERPROFILE%\AppData\Local\Temp\OnboardLogs" /stypes="app*4018*20170701*" /stext=" 12:.+((SYSTEM_STATE.+slice.+state.+changed )|(ment ac)|(multiple cpu faults)|(system.+state.+changed )|(\[timeout)|(PRM\|1\|D)|(kpr)|(kdp)|(train st.+moving)|(\|lc)|(penalty))"</v>
      </c>
      <c r="AG28" s="209" t="str">
        <f t="shared" si="11"/>
        <v>EC</v>
      </c>
      <c r="AH28" s="78" t="str">
        <f t="shared" si="16"/>
        <v>"%USERPROFILE%\Documents\GitHub\eaglep3\Utilities\RefineRTDCRunTimes.py" --tripid 115-01 --locoid 4018 --swversion DE.1.0.9.0 --startMP 204:462 --initTime 2017-07-01T05:25:37 --startdatetime 2017-07-01T05:30:54 --delay 1 --endMP 204:233297 --enddatetime 2017-07-01T06:07:37 --enforcementcount 0 &gt;&gt;C:\Users\stu\Documents\GitHub\eaglep3-reporting\EC\2017-07-01-refined-times.txt</v>
      </c>
      <c r="AI2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{"issue":{"subject":"","project_id":79,"tracker_id":40,"status_id":1,"priority_id":2,"assigned_to_id":23,"start_date":"2017-07-01","description":"","custom_fields":[{"id":1,"name":"Subdivision","value":"EC"},{"id":4,"name":"Milepost","value":"23.3297"},{"id":17,"name":"Train ID","value":"115-01"},{"id":16,"name":"Locomotive ID","value":"4018"},{"id":130,"name":"Impact","value":""},{"id":150,"name":"Time of Event (Mountain Time)","value":"06:07:37"},{"id":151,"name":"Denver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4018 --day 2017-07-01</v>
      </c>
      <c r="AN2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723</v>
      </c>
      <c r="B29" s="7">
        <v>4017</v>
      </c>
      <c r="C29" s="21" t="s">
        <v>202</v>
      </c>
      <c r="D29" s="21" t="s">
        <v>607</v>
      </c>
      <c r="E29" s="13">
        <v>42917.266574074078</v>
      </c>
      <c r="F29" s="13">
        <v>42917.268946759257</v>
      </c>
      <c r="G29" s="7">
        <v>0</v>
      </c>
      <c r="H29" s="21" t="s">
        <v>485</v>
      </c>
      <c r="I29" s="13">
        <v>42917.296875</v>
      </c>
      <c r="J29" s="7">
        <v>0</v>
      </c>
      <c r="K29" s="89" t="str">
        <f t="shared" si="0"/>
        <v>4017/4018</v>
      </c>
      <c r="L29" s="21" t="str">
        <f>VLOOKUP(A29,'Trips&amp;Operators'!$C$1:$G$99999,5,FALSE)</f>
        <v>BEAM ROSS</v>
      </c>
      <c r="M29" s="6">
        <f t="shared" si="1"/>
        <v>2.792824074276723E-2</v>
      </c>
      <c r="N29" s="7">
        <f t="shared" si="20"/>
        <v>40.216666669584811</v>
      </c>
      <c r="O29" s="7"/>
      <c r="P29" s="7"/>
      <c r="Q29" s="22"/>
      <c r="R29" s="170"/>
      <c r="S29" s="213">
        <f t="shared" si="21"/>
        <v>1</v>
      </c>
      <c r="T29" s="195" t="str">
        <f t="shared" si="2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3"/>
        <v>https://d0f6bd738d7f1b3e5a7ca70fe4ff75f0.us-east-1.aws.found.io/app/kibana#/discover/Steve-Slow-Train-Analysis-(2080s-and-2083s)?_g=(refreshInterval:(display:Off,pause:!f,section:0,value:0),time:(from:'2017-07-01T05:23:52-0600',mode:absolute,to:'2017-07-01T08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9" s="197" t="str">
        <f>IF(AA29&lt;VLOOKUP(AG29,Variables!$AC$3:$AD$8,2,FALSE),"Y","N")</f>
        <v>N</v>
      </c>
      <c r="X29" s="197">
        <f t="shared" si="4"/>
        <v>1</v>
      </c>
      <c r="Y29" s="197">
        <f t="shared" si="5"/>
        <v>23.299399999999999</v>
      </c>
      <c r="Z29" s="197">
        <f t="shared" si="6"/>
        <v>1.6299999999999999E-2</v>
      </c>
      <c r="AA29" s="197">
        <f t="shared" si="7"/>
        <v>23.283099999999997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8"/>
        <v>116</v>
      </c>
      <c r="AE29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29" s="74" t="str">
        <f t="shared" si="10"/>
        <v>"C:\Program Files (x86)\AstroGrep\AstroGrep.exe" /e /r /s /spath="%USERPROFILE%\AppData\Local\Temp\OnboardLogs" /stypes="app*4017*20170701*" /stext=" 13:.+((SYSTEM_STATE.+slice.+state.+changed )|(ment ac)|(multiple cpu faults)|(system.+state.+changed )|(\[timeout)|(PRM\|1\|D)|(kpr)|(kdp)|(train st.+moving)|(\|lc)|(penalty))"</v>
      </c>
      <c r="AG29" s="209" t="str">
        <f t="shared" si="11"/>
        <v>EC</v>
      </c>
      <c r="AH29" s="78" t="str">
        <f t="shared" si="16"/>
        <v>"%USERPROFILE%\Documents\GitHub\eaglep3\Utilities\RefineRTDCRunTimes.py" --tripid 116-01 --locoid 4017 --swversion DE.1.0.9.0 --startMP 204:232994 --initTime 2017-07-01T06:23:52 --startdatetime 2017-07-01T06:27:17 --delay 0 --endMP 204:163 --enddatetime 2017-07-01T07:07:30 --enforcementcount 0 &gt;&gt;C:\Users\stu\Documents\GitHub\eaglep3-reporting\EC\2017-07-01-refined-times.txt</v>
      </c>
      <c r="AI2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{"issue":{"subject":"","project_id":79,"tracker_id":40,"status_id":1,"priority_id":2,"assigned_to_id":23,"start_date":"2017-07-01","description":"","custom_fields":[{"id":1,"name":"Subdivision","value":"EC"},{"id":4,"name":"Milepost","value":"0.0163"},{"id":17,"name":"Train ID","value":"116-01"},{"id":16,"name":"Locomotive ID","value":"4017"},{"id":130,"name":"Impact","value":""},{"id":150,"name":"Time of Event (Mountain Time)","value":"07:07:30"},{"id":151,"name":"Denver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4017 --day 2017-07-01</v>
      </c>
      <c r="AN2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718</v>
      </c>
      <c r="B30" s="7">
        <v>4030</v>
      </c>
      <c r="C30" s="21" t="s">
        <v>202</v>
      </c>
      <c r="D30" s="21" t="s">
        <v>470</v>
      </c>
      <c r="E30" s="13">
        <v>42917.234560185185</v>
      </c>
      <c r="F30" s="13">
        <v>42917.240081018521</v>
      </c>
      <c r="G30" s="7">
        <v>1</v>
      </c>
      <c r="H30" s="21" t="s">
        <v>889</v>
      </c>
      <c r="I30" s="13">
        <v>42917.264988425923</v>
      </c>
      <c r="J30" s="7">
        <v>0</v>
      </c>
      <c r="K30" s="89" t="str">
        <f t="shared" si="0"/>
        <v>4029/4030</v>
      </c>
      <c r="L30" s="21" t="str">
        <f>VLOOKUP(A30,'Trips&amp;Operators'!$C$1:$G$99999,5,FALSE)</f>
        <v>GUZMAN DANNY</v>
      </c>
      <c r="M30" s="6">
        <f t="shared" si="1"/>
        <v>2.4907407401769888E-2</v>
      </c>
      <c r="N30" s="7">
        <f t="shared" si="20"/>
        <v>35.866666658548638</v>
      </c>
      <c r="O30" s="7"/>
      <c r="P30" s="7"/>
      <c r="Q30" s="22"/>
      <c r="R30" s="170"/>
      <c r="S30" s="213">
        <f t="shared" si="21"/>
        <v>1</v>
      </c>
      <c r="T30" s="195" t="str">
        <f t="shared" si="2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3"/>
        <v>https://d0f6bd738d7f1b3e5a7ca70fe4ff75f0.us-east-1.aws.found.io/app/kibana#/discover/Steve-Slow-Train-Analysis-(2080s-and-2083s)?_g=(refreshInterval:(display:Off,pause:!f,section:0,value:0),time:(from:'2017-07-01T04:37:46-0600',mode:absolute,to:'2017-07-01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197" t="str">
        <f>IF(AA30&lt;VLOOKUP(AG30,Variables!$AC$3:$AD$8,2,FALSE),"Y","N")</f>
        <v>N</v>
      </c>
      <c r="X30" s="197">
        <f t="shared" si="4"/>
        <v>1</v>
      </c>
      <c r="Y30" s="197">
        <f t="shared" si="5"/>
        <v>4.58E-2</v>
      </c>
      <c r="Z30" s="197">
        <f t="shared" si="6"/>
        <v>23.334499999999998</v>
      </c>
      <c r="AA30" s="197">
        <f t="shared" si="7"/>
        <v>23.288699999999999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8"/>
        <v>117</v>
      </c>
      <c r="AE30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30" s="74" t="str">
        <f t="shared" si="10"/>
        <v>"C:\Program Files (x86)\AstroGrep\AstroGrep.exe" /e /r /s /spath="%USERPROFILE%\AppData\Local\Temp\OnboardLogs" /stypes="app*4030*20170701*" /stext=" 12:.+((SYSTEM_STATE.+slice.+state.+changed )|(ment ac)|(multiple cpu faults)|(system.+state.+changed )|(\[timeout)|(PRM\|1\|D)|(kpr)|(kdp)|(train st.+moving)|(\|lc)|(penalty))"</v>
      </c>
      <c r="AG30" s="209" t="str">
        <f t="shared" si="11"/>
        <v>EC</v>
      </c>
      <c r="AH30" s="78" t="str">
        <f t="shared" si="16"/>
        <v>"%USERPROFILE%\Documents\GitHub\eaglep3\Utilities\RefineRTDCRunTimes.py" --tripid 117-01 --locoid 4030 --swversion DE.1.0.9.0 --startMP 204:458 --initTime 2017-07-01T05:37:46 --startdatetime 2017-07-01T05:45:43 --delay 1 --endMP 204:233345 --enddatetime 2017-07-01T06:21:35 --enforcementcount 0 &gt;&gt;C:\Users\stu\Documents\GitHub\eaglep3-reporting\EC\2017-07-01-refined-times.txt</v>
      </c>
      <c r="AI3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{"issue":{"subject":"","project_id":79,"tracker_id":40,"status_id":1,"priority_id":2,"assigned_to_id":23,"start_date":"2017-07-01","description":"","custom_fields":[{"id":1,"name":"Subdivision","value":"EC"},{"id":4,"name":"Milepost","value":"23.3345"},{"id":17,"name":"Train ID","value":"117-01"},{"id":16,"name":"Locomotive ID","value":"4030"},{"id":130,"name":"Impact","value":""},{"id":150,"name":"Time of Event (Mountain Time)","value":"06:21:35"},{"id":151,"name":"Denver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4030 --day 2017-07-01</v>
      </c>
      <c r="AN3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724</v>
      </c>
      <c r="B31" s="7">
        <v>4029</v>
      </c>
      <c r="C31" s="21" t="s">
        <v>202</v>
      </c>
      <c r="D31" s="21" t="s">
        <v>890</v>
      </c>
      <c r="E31" s="13">
        <v>42917.267488425925</v>
      </c>
      <c r="F31" s="13">
        <v>42917.279351851852</v>
      </c>
      <c r="G31" s="7">
        <v>1</v>
      </c>
      <c r="H31" s="21" t="s">
        <v>447</v>
      </c>
      <c r="I31" s="13">
        <v>42917.306446759256</v>
      </c>
      <c r="J31" s="7">
        <v>0</v>
      </c>
      <c r="K31" s="89" t="str">
        <f t="shared" si="0"/>
        <v>4029/4030</v>
      </c>
      <c r="L31" s="21" t="str">
        <f>VLOOKUP(A31,'Trips&amp;Operators'!$C$1:$G$99999,5,FALSE)</f>
        <v>GUZMAN DANNY</v>
      </c>
      <c r="M31" s="6">
        <f t="shared" si="1"/>
        <v>2.7094907403807156E-2</v>
      </c>
      <c r="N31" s="7">
        <f t="shared" si="20"/>
        <v>39.016666661482304</v>
      </c>
      <c r="O31" s="7"/>
      <c r="P31" s="7"/>
      <c r="Q31" s="22"/>
      <c r="R31" s="170"/>
      <c r="S31" s="213">
        <f t="shared" si="21"/>
        <v>1</v>
      </c>
      <c r="T31" s="195" t="str">
        <f t="shared" si="2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3"/>
        <v>https://d0f6bd738d7f1b3e5a7ca70fe4ff75f0.us-east-1.aws.found.io/app/kibana#/discover/Steve-Slow-Train-Analysis-(2080s-and-2083s)?_g=(refreshInterval:(display:Off,pause:!f,section:0,value:0),time:(from:'2017-07-01T05:25:11-0600',mode:absolute,to:'2017-07-01T08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197" t="str">
        <f>IF(AA31&lt;VLOOKUP(AG31,Variables!$AC$3:$AD$8,2,FALSE),"Y","N")</f>
        <v>N</v>
      </c>
      <c r="X31" s="197">
        <f t="shared" si="4"/>
        <v>1</v>
      </c>
      <c r="Y31" s="197">
        <f t="shared" si="5"/>
        <v>23.3003</v>
      </c>
      <c r="Z31" s="197">
        <f t="shared" si="6"/>
        <v>1.38E-2</v>
      </c>
      <c r="AA31" s="197">
        <f t="shared" si="7"/>
        <v>23.2865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8"/>
        <v>118</v>
      </c>
      <c r="AE31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31" s="74" t="str">
        <f t="shared" si="10"/>
        <v>"C:\Program Files (x86)\AstroGrep\AstroGrep.exe" /e /r /s /spath="%USERPROFILE%\AppData\Local\Temp\OnboardLogs" /stypes="app*4029*20170701*" /stext=" 13:.+((SYSTEM_STATE.+slice.+state.+changed )|(ment ac)|(multiple cpu faults)|(system.+state.+changed )|(\[timeout)|(PRM\|1\|D)|(kpr)|(kdp)|(train st.+moving)|(\|lc)|(penalty))"</v>
      </c>
      <c r="AG31" s="209" t="str">
        <f t="shared" si="11"/>
        <v>EC</v>
      </c>
      <c r="AH31" s="78" t="str">
        <f t="shared" si="16"/>
        <v>"%USERPROFILE%\Documents\GitHub\eaglep3\Utilities\RefineRTDCRunTimes.py" --tripid 118-01 --locoid 4029 --swversion DE.1.0.9.0 --startMP 204:233003 --initTime 2017-07-01T06:25:11 --startdatetime 2017-07-01T06:42:16 --delay 1 --endMP 204:138 --enddatetime 2017-07-01T07:21:17 --enforcementcount 0 &gt;&gt;C:\Users\stu\Documents\GitHub\eaglep3-reporting\EC\2017-07-01-refined-times.txt</v>
      </c>
      <c r="AI3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{"issue":{"subject":"","project_id":79,"tracker_id":40,"status_id":1,"priority_id":2,"assigned_to_id":23,"start_date":"2017-07-01","description":"","custom_fields":[{"id":1,"name":"Subdivision","value":"EC"},{"id":4,"name":"Milepost","value":"0.0138"},{"id":17,"name":"Train ID","value":"118-01"},{"id":16,"name":"Locomotive ID","value":"4029"},{"id":130,"name":"Impact","value":""},{"id":150,"name":"Time of Event (Mountain Time)","value":"07:21:17"},{"id":151,"name":"Denver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4029 --day 2017-07-01</v>
      </c>
      <c r="AN3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721</v>
      </c>
      <c r="B32" s="7">
        <v>4028</v>
      </c>
      <c r="C32" s="21" t="s">
        <v>202</v>
      </c>
      <c r="D32" s="21" t="s">
        <v>354</v>
      </c>
      <c r="E32" s="13">
        <v>42917.246620370373</v>
      </c>
      <c r="F32" s="13">
        <v>42917.250567129631</v>
      </c>
      <c r="G32" s="7">
        <v>1</v>
      </c>
      <c r="H32" s="21" t="s">
        <v>546</v>
      </c>
      <c r="I32" s="13">
        <v>42917.278263888889</v>
      </c>
      <c r="J32" s="7">
        <v>0</v>
      </c>
      <c r="K32" s="89" t="str">
        <f t="shared" si="0"/>
        <v>4027/4028</v>
      </c>
      <c r="L32" s="21" t="str">
        <f>VLOOKUP(A32,'Trips&amp;Operators'!$C$1:$G$99999,5,FALSE)</f>
        <v>DAVIS WENDY</v>
      </c>
      <c r="M32" s="6">
        <f t="shared" si="1"/>
        <v>2.7696759258105885E-2</v>
      </c>
      <c r="N32" s="7">
        <f t="shared" si="20"/>
        <v>39.883333331672475</v>
      </c>
      <c r="O32" s="7"/>
      <c r="P32" s="7"/>
      <c r="Q32" s="22"/>
      <c r="R32" s="170"/>
      <c r="S32" s="213">
        <f t="shared" si="21"/>
        <v>1</v>
      </c>
      <c r="T32" s="195" t="str">
        <f t="shared" si="2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3"/>
        <v>https://d0f6bd738d7f1b3e5a7ca70fe4ff75f0.us-east-1.aws.found.io/app/kibana#/discover/Steve-Slow-Train-Analysis-(2080s-and-2083s)?_g=(refreshInterval:(display:Off,pause:!f,section:0,value:0),time:(from:'2017-07-01T04:55:08-0600',mode:absolute,to:'2017-07-01T07:40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97" t="str">
        <f>IF(AA32&lt;VLOOKUP(AG32,Variables!$AC$3:$AD$8,2,FALSE),"Y","N")</f>
        <v>N</v>
      </c>
      <c r="X32" s="197">
        <f t="shared" si="4"/>
        <v>1</v>
      </c>
      <c r="Y32" s="197">
        <f t="shared" si="5"/>
        <v>4.53E-2</v>
      </c>
      <c r="Z32" s="197">
        <f t="shared" si="6"/>
        <v>23.3323</v>
      </c>
      <c r="AA32" s="197">
        <f t="shared" si="7"/>
        <v>23.286999999999999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8"/>
        <v>119</v>
      </c>
      <c r="AE32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32" s="74" t="str">
        <f t="shared" si="10"/>
        <v>"C:\Program Files (x86)\AstroGrep\AstroGrep.exe" /e /r /s /spath="%USERPROFILE%\AppData\Local\Temp\OnboardLogs" /stypes="app*4028*20170701*" /stext=" 12:.+((SYSTEM_STATE.+slice.+state.+changed )|(ment ac)|(multiple cpu faults)|(system.+state.+changed )|(\[timeout)|(PRM\|1\|D)|(kpr)|(kdp)|(train st.+moving)|(\|lc)|(penalty))"</v>
      </c>
      <c r="AG32" s="209" t="str">
        <f t="shared" si="11"/>
        <v>EC</v>
      </c>
      <c r="AH32" s="78" t="str">
        <f t="shared" si="16"/>
        <v>"%USERPROFILE%\Documents\GitHub\eaglep3\Utilities\RefineRTDCRunTimes.py" --tripid 119-01 --locoid 4028 --swversion DE.1.0.9.0 --startMP 204:453 --initTime 2017-07-01T05:55:08 --startdatetime 2017-07-01T06:00:49 --delay 1 --endMP 204:233323 --enddatetime 2017-07-01T06:40:42 --enforcementcount 0 &gt;&gt;C:\Users\stu\Documents\GitHub\eaglep3-reporting\EC\2017-07-01-refined-times.txt</v>
      </c>
      <c r="AI3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{"issue":{"subject":"","project_id":79,"tracker_id":40,"status_id":1,"priority_id":2,"assigned_to_id":23,"start_date":"2017-07-01","description":"","custom_fields":[{"id":1,"name":"Subdivision","value":"EC"},{"id":4,"name":"Milepost","value":"23.3323"},{"id":17,"name":"Train ID","value":"119-01"},{"id":16,"name":"Locomotive ID","value":"4028"},{"id":130,"name":"Impact","value":""},{"id":150,"name":"Time of Event (Mountain Time)","value":"06:40:42"},{"id":151,"name":"Denver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4028 --day 2017-07-01</v>
      </c>
      <c r="AN3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12:40:42"},{"id":29,"name":"Sharepoint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728</v>
      </c>
      <c r="B33" s="7">
        <v>4027</v>
      </c>
      <c r="C33" s="21" t="s">
        <v>202</v>
      </c>
      <c r="D33" s="21" t="s">
        <v>600</v>
      </c>
      <c r="E33" s="13">
        <v>42917.287141203706</v>
      </c>
      <c r="F33" s="13">
        <v>42917.289733796293</v>
      </c>
      <c r="G33" s="7">
        <v>1</v>
      </c>
      <c r="H33" s="21" t="s">
        <v>348</v>
      </c>
      <c r="I33" s="13">
        <v>42917.316967592589</v>
      </c>
      <c r="J33" s="7">
        <v>0</v>
      </c>
      <c r="K33" s="89" t="str">
        <f t="shared" si="0"/>
        <v>4027/4028</v>
      </c>
      <c r="L33" s="21" t="str">
        <f>VLOOKUP(A33,'Trips&amp;Operators'!$C$1:$G$99999,5,FALSE)</f>
        <v>DAVIS WENDY</v>
      </c>
      <c r="M33" s="6">
        <f t="shared" si="1"/>
        <v>2.7233796296059154E-2</v>
      </c>
      <c r="N33" s="7">
        <f t="shared" si="20"/>
        <v>39.216666666325182</v>
      </c>
      <c r="O33" s="7"/>
      <c r="P33" s="7"/>
      <c r="Q33" s="22"/>
      <c r="R33" s="170"/>
      <c r="S33" s="213">
        <f t="shared" si="21"/>
        <v>1</v>
      </c>
      <c r="T33" s="195" t="str">
        <f t="shared" si="2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3"/>
        <v>https://d0f6bd738d7f1b3e5a7ca70fe4ff75f0.us-east-1.aws.found.io/app/kibana#/discover/Steve-Slow-Train-Analysis-(2080s-and-2083s)?_g=(refreshInterval:(display:Off,pause:!f,section:0,value:0),time:(from:'2017-07-01T05:53:29-0600',mode:absolute,to:'2017-07-01T08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197" t="str">
        <f>IF(AA33&lt;VLOOKUP(AG33,Variables!$AC$3:$AD$8,2,FALSE),"Y","N")</f>
        <v>N</v>
      </c>
      <c r="X33" s="197">
        <f t="shared" si="4"/>
        <v>1</v>
      </c>
      <c r="Y33" s="197">
        <f t="shared" si="5"/>
        <v>23.301100000000002</v>
      </c>
      <c r="Z33" s="197">
        <f t="shared" si="6"/>
        <v>1.4999999999999999E-2</v>
      </c>
      <c r="AA33" s="197">
        <f t="shared" si="7"/>
        <v>23.286100000000001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8"/>
        <v>120</v>
      </c>
      <c r="AE33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33" s="74" t="str">
        <f t="shared" si="10"/>
        <v>"C:\Program Files (x86)\AstroGrep\AstroGrep.exe" /e /r /s /spath="%USERPROFILE%\AppData\Local\Temp\OnboardLogs" /stypes="app*4027*20170701*" /stext=" 13:.+((SYSTEM_STATE.+slice.+state.+changed )|(ment ac)|(multiple cpu faults)|(system.+state.+changed )|(\[timeout)|(PRM\|1\|D)|(kpr)|(kdp)|(train st.+moving)|(\|lc)|(penalty))"</v>
      </c>
      <c r="AG33" s="209" t="str">
        <f t="shared" si="11"/>
        <v>EC</v>
      </c>
      <c r="AH33" s="78" t="str">
        <f t="shared" si="16"/>
        <v>"%USERPROFILE%\Documents\GitHub\eaglep3\Utilities\RefineRTDCRunTimes.py" --tripid 120-01 --locoid 4027 --swversion DE.1.0.9.0 --startMP 204:233011 --initTime 2017-07-01T06:53:29 --startdatetime 2017-07-01T06:57:13 --delay 1 --endMP 204:150 --enddatetime 2017-07-01T07:36:26 --enforcementcount 0 &gt;&gt;C:\Users\stu\Documents\GitHub\eaglep3-reporting\EC\2017-07-01-refined-times.txt</v>
      </c>
      <c r="AI3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ID","value":"120-01"},{"id":16,"name":"Locomotive ID","value":"4027"},{"id":130,"name":"Impact","value":""},{"id":150,"name":"Time of Event (Mountain Time)","value":"07:36:26"},{"id":151,"name":"Denver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4027 --day 2017-07-01</v>
      </c>
      <c r="AN3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722</v>
      </c>
      <c r="B34" s="7">
        <v>4014</v>
      </c>
      <c r="C34" s="21" t="s">
        <v>202</v>
      </c>
      <c r="D34" s="21" t="s">
        <v>355</v>
      </c>
      <c r="E34" s="13">
        <v>42917.256122685183</v>
      </c>
      <c r="F34" s="13">
        <v>42917.260925925926</v>
      </c>
      <c r="G34" s="7">
        <v>1</v>
      </c>
      <c r="H34" s="21" t="s">
        <v>891</v>
      </c>
      <c r="I34" s="13">
        <v>42917.287326388891</v>
      </c>
      <c r="J34" s="7">
        <v>0</v>
      </c>
      <c r="K34" s="89" t="str">
        <f t="shared" si="0"/>
        <v>4013/4014</v>
      </c>
      <c r="L34" s="21" t="str">
        <f>VLOOKUP(A34,'Trips&amp;Operators'!$C$1:$G$99999,5,FALSE)</f>
        <v>GEBRETEKLE DAGNEW</v>
      </c>
      <c r="M34" s="6">
        <f t="shared" si="1"/>
        <v>2.6400462964375038E-2</v>
      </c>
      <c r="N34" s="7">
        <f t="shared" si="20"/>
        <v>38.016666668700054</v>
      </c>
      <c r="O34" s="7"/>
      <c r="P34" s="7"/>
      <c r="Q34" s="22"/>
      <c r="R34" s="170"/>
      <c r="S34" s="213">
        <f t="shared" si="21"/>
        <v>1</v>
      </c>
      <c r="T34" s="195" t="str">
        <f t="shared" si="2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3"/>
        <v>https://d0f6bd738d7f1b3e5a7ca70fe4ff75f0.us-east-1.aws.found.io/app/kibana#/discover/Steve-Slow-Train-Analysis-(2080s-and-2083s)?_g=(refreshInterval:(display:Off,pause:!f,section:0,value:0),time:(from:'2017-07-01T05:08:49-0600',mode:absolute,to:'2017-07-01T07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4" s="197" t="str">
        <f>IF(AA34&lt;VLOOKUP(AG34,Variables!$AC$3:$AD$8,2,FALSE),"Y","N")</f>
        <v>N</v>
      </c>
      <c r="X34" s="197">
        <f t="shared" si="4"/>
        <v>1</v>
      </c>
      <c r="Y34" s="197">
        <f t="shared" si="5"/>
        <v>4.4699999999999997E-2</v>
      </c>
      <c r="Z34" s="197">
        <f t="shared" si="6"/>
        <v>23.335999999999999</v>
      </c>
      <c r="AA34" s="197">
        <f t="shared" si="7"/>
        <v>23.2913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8"/>
        <v>121</v>
      </c>
      <c r="AE34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34" s="74" t="str">
        <f t="shared" si="10"/>
        <v>"C:\Program Files (x86)\AstroGrep\AstroGrep.exe" /e /r /s /spath="%USERPROFILE%\AppData\Local\Temp\OnboardLogs" /stypes="app*4014*20170701*" /stext=" 12:.+((SYSTEM_STATE.+slice.+state.+changed )|(ment ac)|(multiple cpu faults)|(system.+state.+changed )|(\[timeout)|(PRM\|1\|D)|(kpr)|(kdp)|(train st.+moving)|(\|lc)|(penalty))"</v>
      </c>
      <c r="AG34" s="209" t="str">
        <f t="shared" si="11"/>
        <v>EC</v>
      </c>
      <c r="AH34" s="78" t="str">
        <f t="shared" si="16"/>
        <v>"%USERPROFILE%\Documents\GitHub\eaglep3\Utilities\RefineRTDCRunTimes.py" --tripid 121-01 --locoid 4014 --swversion DE.1.0.9.0 --startMP 204:447 --initTime 2017-07-01T06:08:49 --startdatetime 2017-07-01T06:15:44 --delay 1 --endMP 204:233360 --enddatetime 2017-07-01T06:53:45 --enforcementcount 0 &gt;&gt;C:\Users\stu\Documents\GitHub\eaglep3-reporting\EC\2017-07-01-refined-times.txt</v>
      </c>
      <c r="AI3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{"issue":{"subject":"","project_id":79,"tracker_id":40,"status_id":1,"priority_id":2,"assigned_to_id":23,"start_date":"2017-07-01","description":"","custom_fields":[{"id":1,"name":"Subdivision","value":"EC"},{"id":4,"name":"Milepost","value":"23.336"},{"id":17,"name":"Train ID","value":"121-01"},{"id":16,"name":"Locomotive ID","value":"4014"},{"id":130,"name":"Impact","value":""},{"id":150,"name":"Time of Event (Mountain Time)","value":"06:53:45"},{"id":151,"name":"Denver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4014 --day 2017-07-01</v>
      </c>
      <c r="AN3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729</v>
      </c>
      <c r="B35" s="7">
        <v>4013</v>
      </c>
      <c r="C35" s="21" t="s">
        <v>202</v>
      </c>
      <c r="D35" s="21" t="s">
        <v>892</v>
      </c>
      <c r="E35" s="13">
        <v>42917.289027777777</v>
      </c>
      <c r="F35" s="13">
        <v>42917.300185185188</v>
      </c>
      <c r="G35" s="7">
        <v>1</v>
      </c>
      <c r="H35" s="21" t="s">
        <v>416</v>
      </c>
      <c r="I35" s="13">
        <v>42917.326388888891</v>
      </c>
      <c r="J35" s="7">
        <v>0</v>
      </c>
      <c r="K35" s="89" t="str">
        <f t="shared" si="0"/>
        <v>4013/4014</v>
      </c>
      <c r="L35" s="21" t="str">
        <f>VLOOKUP(A35,'Trips&amp;Operators'!$C$1:$G$99999,5,FALSE)</f>
        <v>GEBRETEKLE DAGNEW</v>
      </c>
      <c r="M35" s="6">
        <f t="shared" si="1"/>
        <v>2.6203703702776693E-2</v>
      </c>
      <c r="N35" s="7">
        <f t="shared" si="20"/>
        <v>37.733333331998438</v>
      </c>
      <c r="O35" s="7"/>
      <c r="P35" s="7"/>
      <c r="Q35" s="22"/>
      <c r="R35" s="170"/>
      <c r="S35" s="213">
        <f t="shared" si="21"/>
        <v>1</v>
      </c>
      <c r="T35" s="195" t="str">
        <f t="shared" si="2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3"/>
        <v>https://d0f6bd738d7f1b3e5a7ca70fe4ff75f0.us-east-1.aws.found.io/app/kibana#/discover/Steve-Slow-Train-Analysis-(2080s-and-2083s)?_g=(refreshInterval:(display:Off,pause:!f,section:0,value:0),time:(from:'2017-07-01T05:56:12-0600',mode:absolute,to:'2017-07-01T08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5" s="197" t="str">
        <f>IF(AA35&lt;VLOOKUP(AG35,Variables!$AC$3:$AD$8,2,FALSE),"Y","N")</f>
        <v>N</v>
      </c>
      <c r="X35" s="197">
        <f t="shared" si="4"/>
        <v>1</v>
      </c>
      <c r="Y35" s="197">
        <f t="shared" si="5"/>
        <v>23.304200000000002</v>
      </c>
      <c r="Z35" s="197">
        <f t="shared" si="6"/>
        <v>1.4500000000000001E-2</v>
      </c>
      <c r="AA35" s="197">
        <f t="shared" si="7"/>
        <v>23.2897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8"/>
        <v>122</v>
      </c>
      <c r="AE35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35" s="74" t="str">
        <f t="shared" si="10"/>
        <v>"C:\Program Files (x86)\AstroGrep\AstroGrep.exe" /e /r /s /spath="%USERPROFILE%\AppData\Local\Temp\OnboardLogs" /stypes="app*4013*20170701*" /stext=" 13:.+((SYSTEM_STATE.+slice.+state.+changed )|(ment ac)|(multiple cpu faults)|(system.+state.+changed )|(\[timeout)|(PRM\|1\|D)|(kpr)|(kdp)|(train st.+moving)|(\|lc)|(penalty))"</v>
      </c>
      <c r="AG35" s="209" t="str">
        <f t="shared" si="11"/>
        <v>EC</v>
      </c>
      <c r="AH35" s="78" t="str">
        <f t="shared" si="16"/>
        <v>"%USERPROFILE%\Documents\GitHub\eaglep3\Utilities\RefineRTDCRunTimes.py" --tripid 122-01 --locoid 4013 --swversion DE.1.0.9.0 --startMP 204:233042 --initTime 2017-07-01T06:56:12 --startdatetime 2017-07-01T07:12:16 --delay 1 --endMP 204:145 --enddatetime 2017-07-01T07:50:00 --enforcementcount 0 &gt;&gt;C:\Users\stu\Documents\GitHub\eaglep3-reporting\EC\2017-07-01-refined-times.txt</v>
      </c>
      <c r="AI3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ID","value":"122-01"},{"id":16,"name":"Locomotive ID","value":"4013"},{"id":130,"name":"Impact","value":""},{"id":150,"name":"Time of Event (Mountain Time)","value":"07:50:00"},{"id":151,"name":"Denver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4013 --day 2017-07-01</v>
      </c>
      <c r="AN3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725</v>
      </c>
      <c r="B36" s="7">
        <v>4062</v>
      </c>
      <c r="C36" s="21" t="s">
        <v>202</v>
      </c>
      <c r="D36" s="21" t="s">
        <v>620</v>
      </c>
      <c r="E36" s="13">
        <v>42917.267557870371</v>
      </c>
      <c r="F36" s="13">
        <v>42917.27140046296</v>
      </c>
      <c r="G36" s="7">
        <v>1</v>
      </c>
      <c r="H36" s="21" t="s">
        <v>893</v>
      </c>
      <c r="I36" s="13">
        <v>42917.295567129629</v>
      </c>
      <c r="J36" s="7">
        <v>0</v>
      </c>
      <c r="K36" s="89" t="str">
        <f t="shared" si="0"/>
        <v>4061/4062</v>
      </c>
      <c r="L36" s="21" t="str">
        <f>VLOOKUP(A36,'Trips&amp;Operators'!$C$1:$G$99999,5,FALSE)</f>
        <v>LALONDE GREGORY</v>
      </c>
      <c r="M36" s="6">
        <f t="shared" si="1"/>
        <v>2.4166666669771075E-2</v>
      </c>
      <c r="N36" s="7">
        <f t="shared" si="20"/>
        <v>34.800000004470348</v>
      </c>
      <c r="O36" s="7"/>
      <c r="P36" s="7"/>
      <c r="Q36" s="22"/>
      <c r="R36" s="170"/>
      <c r="S36" s="213">
        <f t="shared" si="21"/>
        <v>1</v>
      </c>
      <c r="T36" s="195" t="str">
        <f t="shared" si="2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3"/>
        <v>https://d0f6bd738d7f1b3e5a7ca70fe4ff75f0.us-east-1.aws.found.io/app/kibana#/discover/Steve-Slow-Train-Analysis-(2080s-and-2083s)?_g=(refreshInterval:(display:Off,pause:!f,section:0,value:0),time:(from:'2017-07-01T05:25:17-0600',mode:absolute,to:'2017-07-01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6" s="197" t="str">
        <f>IF(AA36&lt;VLOOKUP(AG36,Variables!$AC$3:$AD$8,2,FALSE),"Y","N")</f>
        <v>N</v>
      </c>
      <c r="X36" s="197">
        <f t="shared" si="4"/>
        <v>1</v>
      </c>
      <c r="Y36" s="197">
        <f t="shared" si="5"/>
        <v>4.7100000000000003E-2</v>
      </c>
      <c r="Z36" s="197">
        <f t="shared" si="6"/>
        <v>23.334399999999999</v>
      </c>
      <c r="AA36" s="197">
        <f t="shared" si="7"/>
        <v>23.287299999999998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8"/>
        <v>123</v>
      </c>
      <c r="AE36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36" s="74" t="str">
        <f t="shared" si="10"/>
        <v>"C:\Program Files (x86)\AstroGrep\AstroGrep.exe" /e /r /s /spath="%USERPROFILE%\AppData\Local\Temp\OnboardLogs" /stypes="app*4062*20170701*" /stext=" 13:.+((SYSTEM_STATE.+slice.+state.+changed )|(ment ac)|(multiple cpu faults)|(system.+state.+changed )|(\[timeout)|(PRM\|1\|D)|(kpr)|(kdp)|(train st.+moving)|(\|lc)|(penalty))"</v>
      </c>
      <c r="AG36" s="209" t="str">
        <f t="shared" si="11"/>
        <v>EC</v>
      </c>
      <c r="AH36" s="78" t="str">
        <f t="shared" si="16"/>
        <v>"%USERPROFILE%\Documents\GitHub\eaglep3\Utilities\RefineRTDCRunTimes.py" --tripid 123-01 --locoid 4062 --swversion DE.1.0.9.0 --startMP 204:471 --initTime 2017-07-01T06:25:17 --startdatetime 2017-07-01T06:30:49 --delay 1 --endMP 204:233344 --enddatetime 2017-07-01T07:05:37 --enforcementcount 0 &gt;&gt;C:\Users\stu\Documents\GitHub\eaglep3-reporting\EC\2017-07-01-refined-times.txt</v>
      </c>
      <c r="AI3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{"issue":{"subject":"","project_id":79,"tracker_id":40,"status_id":1,"priority_id":2,"assigned_to_id":23,"start_date":"2017-07-01","description":"","custom_fields":[{"id":1,"name":"Subdivision","value":"EC"},{"id":4,"name":"Milepost","value":"23.3344"},{"id":17,"name":"Train ID","value":"123-01"},{"id":16,"name":"Locomotive ID","value":"4062"},{"id":130,"name":"Impact","value":""},{"id":150,"name":"Time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4062 --day 2017-07-01</v>
      </c>
      <c r="AN3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731</v>
      </c>
      <c r="B37" s="7">
        <v>4061</v>
      </c>
      <c r="C37" s="21" t="s">
        <v>202</v>
      </c>
      <c r="D37" s="21" t="s">
        <v>892</v>
      </c>
      <c r="E37" s="13">
        <v>42917.297534722224</v>
      </c>
      <c r="F37" s="13">
        <v>42917.310624999998</v>
      </c>
      <c r="G37" s="7">
        <v>0</v>
      </c>
      <c r="H37" s="21" t="s">
        <v>436</v>
      </c>
      <c r="I37" s="13">
        <v>42917.3362037037</v>
      </c>
      <c r="J37" s="7">
        <v>0</v>
      </c>
      <c r="K37" s="89" t="str">
        <f t="shared" si="0"/>
        <v>4061/4062</v>
      </c>
      <c r="L37" s="21" t="str">
        <f>VLOOKUP(A37,'Trips&amp;Operators'!$C$1:$G$99999,5,FALSE)</f>
        <v>LALONDE GREGORY</v>
      </c>
      <c r="M37" s="6">
        <f t="shared" si="1"/>
        <v>2.5578703702194616E-2</v>
      </c>
      <c r="N37" s="7">
        <f t="shared" si="20"/>
        <v>36.833333331160247</v>
      </c>
      <c r="O37" s="7"/>
      <c r="P37" s="7"/>
      <c r="Q37" s="22"/>
      <c r="R37" s="170"/>
      <c r="S37" s="213">
        <f t="shared" si="21"/>
        <v>1</v>
      </c>
      <c r="T37" s="195" t="str">
        <f t="shared" si="2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3"/>
        <v>https://d0f6bd738d7f1b3e5a7ca70fe4ff75f0.us-east-1.aws.found.io/app/kibana#/discover/Steve-Slow-Train-Analysis-(2080s-and-2083s)?_g=(refreshInterval:(display:Off,pause:!f,section:0,value:0),time:(from:'2017-07-01T06:08:27-0600',mode:absolute,to:'2017-07-01T09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7" s="197" t="str">
        <f>IF(AA37&lt;VLOOKUP(AG37,Variables!$AC$3:$AD$8,2,FALSE),"Y","N")</f>
        <v>N</v>
      </c>
      <c r="X37" s="197">
        <f t="shared" si="4"/>
        <v>1</v>
      </c>
      <c r="Y37" s="197">
        <f t="shared" si="5"/>
        <v>23.304200000000002</v>
      </c>
      <c r="Z37" s="197">
        <f t="shared" si="6"/>
        <v>1.5599999999999999E-2</v>
      </c>
      <c r="AA37" s="197">
        <f t="shared" si="7"/>
        <v>23.288600000000002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8"/>
        <v>124</v>
      </c>
      <c r="AE37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37" s="74" t="str">
        <f t="shared" si="10"/>
        <v>"C:\Program Files (x86)\AstroGrep\AstroGrep.exe" /e /r /s /spath="%USERPROFILE%\AppData\Local\Temp\OnboardLogs" /stypes="app*4061*20170701*" /stext=" 14:.+((SYSTEM_STATE.+slice.+state.+changed )|(ment ac)|(multiple cpu faults)|(system.+state.+changed )|(\[timeout)|(PRM\|1\|D)|(kpr)|(kdp)|(train st.+moving)|(\|lc)|(penalty))"</v>
      </c>
      <c r="AG37" s="209" t="str">
        <f t="shared" si="11"/>
        <v>EC</v>
      </c>
      <c r="AH37" s="78" t="str">
        <f t="shared" si="16"/>
        <v>"%USERPROFILE%\Documents\GitHub\eaglep3\Utilities\RefineRTDCRunTimes.py" --tripid 124-01 --locoid 4061 --swversion DE.1.0.9.0 --startMP 204:233042 --initTime 2017-07-01T07:08:27 --startdatetime 2017-07-01T07:27:18 --delay 0 --endMP 204:156 --enddatetime 2017-07-01T08:04:08 --enforcementcount 0 &gt;&gt;C:\Users\stu\Documents\GitHub\eaglep3-reporting\EC\2017-07-01-refined-times.txt</v>
      </c>
      <c r="AI3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{"issue":{"subject":"","project_id":79,"tracker_id":40,"status_id":1,"priority_id":2,"assigned_to_id":23,"start_date":"2017-07-01","description":"","custom_fields":[{"id":1,"name":"Subdivision","value":"EC"},{"id":4,"name":"Milepost","value":"0.0156"},{"id":17,"name":"Train ID","value":"124-01"},{"id":16,"name":"Locomotive ID","value":"4061"},{"id":130,"name":"Impact","value":""},{"id":150,"name":"Time of Event (Mountain Time)","value":"08:04:08"},{"id":151,"name":"Denver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4061 --day 2017-07-01</v>
      </c>
      <c r="AN3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727</v>
      </c>
      <c r="B38" s="7">
        <v>4008</v>
      </c>
      <c r="C38" s="21" t="s">
        <v>202</v>
      </c>
      <c r="D38" s="21" t="s">
        <v>479</v>
      </c>
      <c r="E38" s="13">
        <v>42917.276932870373</v>
      </c>
      <c r="F38" s="13">
        <v>42917.281863425924</v>
      </c>
      <c r="G38" s="7">
        <v>1</v>
      </c>
      <c r="H38" s="21" t="s">
        <v>513</v>
      </c>
      <c r="I38" s="13">
        <v>42917.308275462965</v>
      </c>
      <c r="J38" s="7">
        <v>0</v>
      </c>
      <c r="K38" s="89" t="str">
        <f t="shared" si="0"/>
        <v>4007/4008</v>
      </c>
      <c r="L38" s="21" t="str">
        <f>VLOOKUP(A38,'Trips&amp;Operators'!$C$1:$G$99999,5,FALSE)</f>
        <v>MAELZER KURT</v>
      </c>
      <c r="M38" s="6">
        <f t="shared" si="1"/>
        <v>2.641203704115469E-2</v>
      </c>
      <c r="N38" s="7">
        <f t="shared" si="20"/>
        <v>38.033333339262754</v>
      </c>
      <c r="O38" s="7"/>
      <c r="P38" s="7"/>
      <c r="Q38" s="22"/>
      <c r="R38" s="170"/>
      <c r="S38" s="213">
        <f t="shared" si="21"/>
        <v>1</v>
      </c>
      <c r="T38" s="195" t="str">
        <f t="shared" si="2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3"/>
        <v>https://d0f6bd738d7f1b3e5a7ca70fe4ff75f0.us-east-1.aws.found.io/app/kibana#/discover/Steve-Slow-Train-Analysis-(2080s-and-2083s)?_g=(refreshInterval:(display:Off,pause:!f,section:0,value:0),time:(from:'2017-07-01T05:38:47-0600',mode:absolute,to:'2017-07-01T08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197" t="str">
        <f>IF(AA38&lt;VLOOKUP(AG38,Variables!$AC$3:$AD$8,2,FALSE),"Y","N")</f>
        <v>N</v>
      </c>
      <c r="X38" s="197">
        <f t="shared" si="4"/>
        <v>1</v>
      </c>
      <c r="Y38" s="197">
        <f t="shared" si="5"/>
        <v>4.3999999999999997E-2</v>
      </c>
      <c r="Z38" s="197">
        <f t="shared" si="6"/>
        <v>23.3307</v>
      </c>
      <c r="AA38" s="197">
        <f t="shared" si="7"/>
        <v>23.2867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8"/>
        <v>125</v>
      </c>
      <c r="AE38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38" s="74" t="str">
        <f t="shared" si="10"/>
        <v>"C:\Program Files (x86)\AstroGrep\AstroGrep.exe" /e /r /s /spath="%USERPROFILE%\AppData\Local\Temp\OnboardLogs" /stypes="app*4008*20170701*" /stext=" 13:.+((SYSTEM_STATE.+slice.+state.+changed )|(ment ac)|(multiple cpu faults)|(system.+state.+changed )|(\[timeout)|(PRM\|1\|D)|(kpr)|(kdp)|(train st.+moving)|(\|lc)|(penalty))"</v>
      </c>
      <c r="AG38" s="209" t="str">
        <f t="shared" si="11"/>
        <v>EC</v>
      </c>
      <c r="AH38" s="78" t="str">
        <f t="shared" si="16"/>
        <v>"%USERPROFILE%\Documents\GitHub\eaglep3\Utilities\RefineRTDCRunTimes.py" --tripid 125-01 --locoid 4008 --swversion DE.1.0.9.0 --startMP 204:440 --initTime 2017-07-01T06:38:47 --startdatetime 2017-07-01T06:45:53 --delay 1 --endMP 204:233307 --enddatetime 2017-07-01T07:23:55 --enforcementcount 0 &gt;&gt;C:\Users\stu\Documents\GitHub\eaglep3-reporting\EC\2017-07-01-refined-times.txt</v>
      </c>
      <c r="AI3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{"issue":{"subject":"","project_id":79,"tracker_id":40,"status_id":1,"priority_id":2,"assigned_to_id":23,"start_date":"2017-07-01","description":"","custom_fields":[{"id":1,"name":"Subdivision","value":"EC"},{"id":4,"name":"Milepost","value":"23.3307"},{"id":17,"name":"Train ID","value":"125-01"},{"id":16,"name":"Locomotive ID","value":"4008"},{"id":130,"name":"Impact","value":""},{"id":150,"name":"Time of Event (Mountain Time)","value":"07:23:55"},{"id":151,"name":"Denver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4008 --day 2017-07-01</v>
      </c>
      <c r="AN3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735</v>
      </c>
      <c r="B39" s="7">
        <v>4007</v>
      </c>
      <c r="C39" s="21" t="s">
        <v>202</v>
      </c>
      <c r="D39" s="21" t="s">
        <v>441</v>
      </c>
      <c r="E39" s="13">
        <v>42917.313032407408</v>
      </c>
      <c r="F39" s="13">
        <v>42917.321053240739</v>
      </c>
      <c r="G39" s="7">
        <v>0</v>
      </c>
      <c r="H39" s="21" t="s">
        <v>193</v>
      </c>
      <c r="I39" s="13">
        <v>42917.347245370373</v>
      </c>
      <c r="J39" s="7">
        <v>0</v>
      </c>
      <c r="K39" s="89" t="str">
        <f t="shared" si="0"/>
        <v>4007/4008</v>
      </c>
      <c r="L39" s="21" t="str">
        <f>VLOOKUP(A39,'Trips&amp;Operators'!$C$1:$G$99999,5,FALSE)</f>
        <v>MAELZER KURT</v>
      </c>
      <c r="M39" s="6">
        <f t="shared" si="1"/>
        <v>2.6192129633272998E-2</v>
      </c>
      <c r="N39" s="7">
        <f t="shared" si="20"/>
        <v>37.716666671913117</v>
      </c>
      <c r="O39" s="7"/>
      <c r="P39" s="7"/>
      <c r="Q39" s="22"/>
      <c r="R39" s="170"/>
      <c r="S39" s="213">
        <f t="shared" si="21"/>
        <v>1</v>
      </c>
      <c r="T39" s="195" t="str">
        <f t="shared" si="2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3"/>
        <v>https://d0f6bd738d7f1b3e5a7ca70fe4ff75f0.us-east-1.aws.found.io/app/kibana#/discover/Steve-Slow-Train-Analysis-(2080s-and-2083s)?_g=(refreshInterval:(display:Off,pause:!f,section:0,value:0),time:(from:'2017-07-01T06:30:46-0600',mode:absolute,to:'2017-07-01T09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97" t="str">
        <f>IF(AA39&lt;VLOOKUP(AG39,Variables!$AC$3:$AD$8,2,FALSE),"Y","N")</f>
        <v>N</v>
      </c>
      <c r="X39" s="197">
        <f t="shared" si="4"/>
        <v>1</v>
      </c>
      <c r="Y39" s="197">
        <f t="shared" si="5"/>
        <v>23.2971</v>
      </c>
      <c r="Z39" s="197">
        <f t="shared" si="6"/>
        <v>1.52E-2</v>
      </c>
      <c r="AA39" s="197">
        <f t="shared" si="7"/>
        <v>23.2819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8"/>
        <v>126</v>
      </c>
      <c r="AE39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39" s="74" t="str">
        <f t="shared" si="10"/>
        <v>"C:\Program Files (x86)\AstroGrep\AstroGrep.exe" /e /r /s /spath="%USERPROFILE%\AppData\Local\Temp\OnboardLogs" /stypes="app*4007*20170701*" /stext=" 14:.+((SYSTEM_STATE.+slice.+state.+changed )|(ment ac)|(multiple cpu faults)|(system.+state.+changed )|(\[timeout)|(PRM\|1\|D)|(kpr)|(kdp)|(train st.+moving)|(\|lc)|(penalty))"</v>
      </c>
      <c r="AG39" s="209" t="str">
        <f t="shared" si="11"/>
        <v>EC</v>
      </c>
      <c r="AH39" s="78" t="str">
        <f t="shared" si="16"/>
        <v>"%USERPROFILE%\Documents\GitHub\eaglep3\Utilities\RefineRTDCRunTimes.py" --tripid 126-01 --locoid 4007 --swversion DE.1.0.9.0 --startMP 204:232971 --initTime 2017-07-01T07:30:46 --startdatetime 2017-07-01T07:42:19 --delay 0 --endMP 204:152 --enddatetime 2017-07-01T08:20:02 --enforcementcount 0 &gt;&gt;C:\Users\stu\Documents\GitHub\eaglep3-reporting\EC\2017-07-01-refined-times.txt</v>
      </c>
      <c r="AI3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ID","value":"126-01"},{"id":16,"name":"Locomotive ID","value":"4007"},{"id":130,"name":"Impact","value":""},{"id":150,"name":"Time of Event (Mountain Time)","value":"08:20:02"},{"id":151,"name":"Denver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4007 --day 2017-07-01</v>
      </c>
      <c r="AN3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730</v>
      </c>
      <c r="B40" s="7">
        <v>4056</v>
      </c>
      <c r="C40" s="21" t="s">
        <v>202</v>
      </c>
      <c r="D40" s="21" t="s">
        <v>894</v>
      </c>
      <c r="E40" s="13">
        <v>42917.291331018518</v>
      </c>
      <c r="F40" s="13">
        <v>42917.292962962965</v>
      </c>
      <c r="G40" s="7">
        <v>1</v>
      </c>
      <c r="H40" s="21" t="s">
        <v>511</v>
      </c>
      <c r="I40" s="13">
        <v>42917.317708333336</v>
      </c>
      <c r="J40" s="7">
        <v>0</v>
      </c>
      <c r="K40" s="89" t="str">
        <f t="shared" si="0"/>
        <v>4055/4056</v>
      </c>
      <c r="L40" s="21" t="str">
        <f>VLOOKUP(A40,'Trips&amp;Operators'!$C$1:$G$99999,5,FALSE)</f>
        <v>DAVIDSON DAVID</v>
      </c>
      <c r="M40" s="6">
        <f t="shared" si="1"/>
        <v>2.47453703705105E-2</v>
      </c>
      <c r="N40" s="7">
        <f t="shared" si="20"/>
        <v>35.63333333353512</v>
      </c>
      <c r="O40" s="7"/>
      <c r="P40" s="7"/>
      <c r="Q40" s="22"/>
      <c r="R40" s="170"/>
      <c r="S40" s="213">
        <f t="shared" si="21"/>
        <v>1</v>
      </c>
      <c r="T40" s="195" t="str">
        <f t="shared" si="2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3"/>
        <v>https://d0f6bd738d7f1b3e5a7ca70fe4ff75f0.us-east-1.aws.found.io/app/kibana#/discover/Steve-Slow-Train-Analysis-(2080s-and-2083s)?_g=(refreshInterval:(display:Off,pause:!f,section:0,value:0),time:(from:'2017-07-01T05:59:31-0600',mode:absolute,to:'2017-07-01T08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0" s="197" t="str">
        <f>IF(AA40&lt;VLOOKUP(AG40,Variables!$AC$3:$AD$8,2,FALSE),"Y","N")</f>
        <v>N</v>
      </c>
      <c r="X40" s="197">
        <f t="shared" si="4"/>
        <v>1</v>
      </c>
      <c r="Y40" s="197">
        <f t="shared" si="5"/>
        <v>5.4600000000000003E-2</v>
      </c>
      <c r="Z40" s="197">
        <f t="shared" si="6"/>
        <v>23.331900000000001</v>
      </c>
      <c r="AA40" s="197">
        <f t="shared" si="7"/>
        <v>23.2773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8"/>
        <v>127</v>
      </c>
      <c r="AE40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40" s="74" t="str">
        <f t="shared" si="10"/>
        <v>"C:\Program Files (x86)\AstroGrep\AstroGrep.exe" /e /r /s /spath="%USERPROFILE%\AppData\Local\Temp\OnboardLogs" /stypes="app*4056*20170701*" /stext=" 13:.+((SYSTEM_STATE.+slice.+state.+changed )|(ment ac)|(multiple cpu faults)|(system.+state.+changed )|(\[timeout)|(PRM\|1\|D)|(kpr)|(kdp)|(train st.+moving)|(\|lc)|(penalty))"</v>
      </c>
      <c r="AG40" s="209" t="str">
        <f t="shared" si="11"/>
        <v>EC</v>
      </c>
      <c r="AH40" s="78" t="str">
        <f t="shared" si="16"/>
        <v>"%USERPROFILE%\Documents\GitHub\eaglep3\Utilities\RefineRTDCRunTimes.py" --tripid 127-01 --locoid 4056 --swversion DE.1.0.9.0 --startMP 204:546 --initTime 2017-07-01T06:59:31 --startdatetime 2017-07-01T07:01:52 --delay 1 --endMP 204:233319 --enddatetime 2017-07-01T07:37:30 --enforcementcount 0 &gt;&gt;C:\Users\stu\Documents\GitHub\eaglep3-reporting\EC\2017-07-01-refined-times.txt</v>
      </c>
      <c r="AI4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ID","value":"127-01"},{"id":16,"name":"Locomotive ID","value":"4056"},{"id":130,"name":"Impact","value":""},{"id":150,"name":"Time of Event (Mountain Time)","value":"07:37:30"},{"id":151,"name":"Denver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4056 --day 2017-07-01</v>
      </c>
      <c r="AN4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737</v>
      </c>
      <c r="B41" s="7">
        <v>4055</v>
      </c>
      <c r="C41" s="21" t="s">
        <v>202</v>
      </c>
      <c r="D41" s="21" t="s">
        <v>610</v>
      </c>
      <c r="E41" s="13">
        <v>42917.321180555555</v>
      </c>
      <c r="F41" s="13">
        <v>42917.33148148148</v>
      </c>
      <c r="G41" s="7">
        <v>1</v>
      </c>
      <c r="H41" s="21" t="s">
        <v>465</v>
      </c>
      <c r="I41" s="13">
        <v>42917.358738425923</v>
      </c>
      <c r="J41" s="7">
        <v>0</v>
      </c>
      <c r="K41" s="89" t="str">
        <f t="shared" si="0"/>
        <v>4055/4056</v>
      </c>
      <c r="L41" s="21" t="str">
        <f>VLOOKUP(A41,'Trips&amp;Operators'!$C$1:$G$99999,5,FALSE)</f>
        <v>DAVIDSON DAVID</v>
      </c>
      <c r="M41" s="6">
        <f t="shared" si="1"/>
        <v>2.7256944442342501E-2</v>
      </c>
      <c r="N41" s="7">
        <f t="shared" si="20"/>
        <v>39.249999996973202</v>
      </c>
      <c r="O41" s="7"/>
      <c r="P41" s="7"/>
      <c r="Q41" s="22"/>
      <c r="R41" s="170"/>
      <c r="S41" s="213">
        <f t="shared" si="21"/>
        <v>1</v>
      </c>
      <c r="T41" s="195" t="str">
        <f t="shared" si="2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3"/>
        <v>https://d0f6bd738d7f1b3e5a7ca70fe4ff75f0.us-east-1.aws.found.io/app/kibana#/discover/Steve-Slow-Train-Analysis-(2080s-and-2083s)?_g=(refreshInterval:(display:Off,pause:!f,section:0,value:0),time:(from:'2017-07-01T06:42:30-0600',mode:absolute,to:'2017-07-01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1" s="197" t="str">
        <f>IF(AA41&lt;VLOOKUP(AG41,Variables!$AC$3:$AD$8,2,FALSE),"Y","N")</f>
        <v>N</v>
      </c>
      <c r="X41" s="197">
        <f t="shared" si="4"/>
        <v>1</v>
      </c>
      <c r="Y41" s="197">
        <f t="shared" si="5"/>
        <v>23.298300000000001</v>
      </c>
      <c r="Z41" s="197">
        <f t="shared" si="6"/>
        <v>1.61E-2</v>
      </c>
      <c r="AA41" s="197">
        <f t="shared" si="7"/>
        <v>23.2822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8"/>
        <v>128</v>
      </c>
      <c r="AE41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41" s="74" t="str">
        <f t="shared" si="10"/>
        <v>"C:\Program Files (x86)\AstroGrep\AstroGrep.exe" /e /r /s /spath="%USERPROFILE%\AppData\Local\Temp\OnboardLogs" /stypes="app*4055*20170701*" /stext=" 14:.+((SYSTEM_STATE.+slice.+state.+changed )|(ment ac)|(multiple cpu faults)|(system.+state.+changed )|(\[timeout)|(PRM\|1\|D)|(kpr)|(kdp)|(train st.+moving)|(\|lc)|(penalty))"</v>
      </c>
      <c r="AG41" s="209" t="str">
        <f t="shared" si="11"/>
        <v>EC</v>
      </c>
      <c r="AH41" s="78" t="str">
        <f t="shared" si="16"/>
        <v>"%USERPROFILE%\Documents\GitHub\eaglep3\Utilities\RefineRTDCRunTimes.py" --tripid 128-01 --locoid 4055 --swversion DE.1.0.9.0 --startMP 204:232983 --initTime 2017-07-01T07:42:30 --startdatetime 2017-07-01T07:57:20 --delay 1 --endMP 204:161 --enddatetime 2017-07-01T08:36:35 --enforcementcount 0 &gt;&gt;C:\Users\stu\Documents\GitHub\eaglep3-reporting\EC\2017-07-01-refined-times.txt</v>
      </c>
      <c r="AI4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{"issue":{"subject":"","project_id":79,"tracker_id":40,"status_id":1,"priority_id":2,"assigned_to_id":23,"start_date":"2017-07-01","description":"","custom_fields":[{"id":1,"name":"Subdivision","value":"EC"},{"id":4,"name":"Milepost","value":"0.0161"},{"id":17,"name":"Train ID","value":"128-01"},{"id":16,"name":"Locomotive ID","value":"4055"},{"id":130,"name":"Impact","value":""},{"id":150,"name":"Time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4055 --day 2017-07-01</v>
      </c>
      <c r="AN4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732</v>
      </c>
      <c r="B42" s="7">
        <v>4018</v>
      </c>
      <c r="C42" s="21" t="s">
        <v>202</v>
      </c>
      <c r="D42" s="21" t="s">
        <v>354</v>
      </c>
      <c r="E42" s="13">
        <v>42917.30064814815</v>
      </c>
      <c r="F42" s="13">
        <v>42917.30259259259</v>
      </c>
      <c r="G42" s="7">
        <v>1</v>
      </c>
      <c r="H42" s="21" t="s">
        <v>609</v>
      </c>
      <c r="I42" s="13">
        <v>42917.327604166669</v>
      </c>
      <c r="J42" s="7">
        <v>0</v>
      </c>
      <c r="K42" s="89" t="str">
        <f t="shared" si="0"/>
        <v>4017/4018</v>
      </c>
      <c r="L42" s="21" t="str">
        <f>VLOOKUP(A42,'Trips&amp;Operators'!$C$1:$G$99999,5,FALSE)</f>
        <v>BEAM ROSS</v>
      </c>
      <c r="M42" s="6">
        <f t="shared" si="1"/>
        <v>2.5011574078234844E-2</v>
      </c>
      <c r="N42" s="7">
        <f t="shared" si="20"/>
        <v>36.016666672658175</v>
      </c>
      <c r="O42" s="7"/>
      <c r="P42" s="7"/>
      <c r="Q42" s="22"/>
      <c r="R42" s="170"/>
      <c r="S42" s="213">
        <f t="shared" si="21"/>
        <v>1</v>
      </c>
      <c r="T42" s="195" t="str">
        <f t="shared" si="2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3"/>
        <v>https://d0f6bd738d7f1b3e5a7ca70fe4ff75f0.us-east-1.aws.found.io/app/kibana#/discover/Steve-Slow-Train-Analysis-(2080s-and-2083s)?_g=(refreshInterval:(display:Off,pause:!f,section:0,value:0),time:(from:'2017-07-01T06:12:56-0600',mode:absolute,to:'2017-07-01T08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2" s="197" t="str">
        <f>IF(AA42&lt;VLOOKUP(AG42,Variables!$AC$3:$AD$8,2,FALSE),"Y","N")</f>
        <v>N</v>
      </c>
      <c r="X42" s="197">
        <f t="shared" si="4"/>
        <v>1</v>
      </c>
      <c r="Y42" s="197">
        <f t="shared" si="5"/>
        <v>4.53E-2</v>
      </c>
      <c r="Z42" s="197">
        <f t="shared" si="6"/>
        <v>23.330300000000001</v>
      </c>
      <c r="AA42" s="197">
        <f t="shared" si="7"/>
        <v>23.285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8"/>
        <v>129</v>
      </c>
      <c r="AE42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42" s="74" t="str">
        <f t="shared" si="10"/>
        <v>"C:\Program Files (x86)\AstroGrep\AstroGrep.exe" /e /r /s /spath="%USERPROFILE%\AppData\Local\Temp\OnboardLogs" /stypes="app*4018*20170701*" /stext=" 13:.+((SYSTEM_STATE.+slice.+state.+changed )|(ment ac)|(multiple cpu faults)|(system.+state.+changed )|(\[timeout)|(PRM\|1\|D)|(kpr)|(kdp)|(train st.+moving)|(\|lc)|(penalty))"</v>
      </c>
      <c r="AG42" s="209" t="str">
        <f t="shared" si="11"/>
        <v>EC</v>
      </c>
      <c r="AH42" s="78" t="str">
        <f t="shared" si="16"/>
        <v>"%USERPROFILE%\Documents\GitHub\eaglep3\Utilities\RefineRTDCRunTimes.py" --tripid 129-01 --locoid 4018 --swversion DE.1.0.9.0 --startMP 204:453 --initTime 2017-07-01T07:12:56 --startdatetime 2017-07-01T07:15:44 --delay 1 --endMP 204:233303 --enddatetime 2017-07-01T07:51:45 --enforcementcount 0 &gt;&gt;C:\Users\stu\Documents\GitHub\eaglep3-reporting\EC\2017-07-01-refined-times.txt</v>
      </c>
      <c r="AI4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{"issue":{"subject":"","project_id":79,"tracker_id":40,"status_id":1,"priority_id":2,"assigned_to_id":23,"start_date":"2017-07-01","description":"","custom_fields":[{"id":1,"name":"Subdivision","value":"EC"},{"id":4,"name":"Milepost","value":"23.3303"},{"id":17,"name":"Train ID","value":"129-01"},{"id":16,"name":"Locomotive ID","value":"4018"},{"id":130,"name":"Impact","value":""},{"id":150,"name":"Time of Event (Mountain Time)","value":"07:51:45"},{"id":151,"name":"Denver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8"/>
        <v>start /low /b %USERPROFILE%\Documents\GitHub\eaglep3\Utilities\DownloadLogsFromS3.py --loco 4018 --day 2017-07-01</v>
      </c>
      <c r="AN4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645</v>
      </c>
      <c r="B43" s="7">
        <v>4017</v>
      </c>
      <c r="C43" s="21" t="s">
        <v>202</v>
      </c>
      <c r="D43" s="21" t="s">
        <v>478</v>
      </c>
      <c r="E43" s="13">
        <v>42917.331400462965</v>
      </c>
      <c r="F43" s="13">
        <v>42917.342048611114</v>
      </c>
      <c r="G43" s="7">
        <v>1</v>
      </c>
      <c r="H43" s="21" t="s">
        <v>359</v>
      </c>
      <c r="I43" s="13">
        <v>42917.368483796294</v>
      </c>
      <c r="J43" s="7">
        <v>0</v>
      </c>
      <c r="K43" s="89" t="str">
        <f t="shared" si="0"/>
        <v>4017/4018</v>
      </c>
      <c r="L43" s="21" t="str">
        <f>VLOOKUP(A43,'Trips&amp;Operators'!$C$1:$G$99999,5,FALSE)</f>
        <v>BEAM ROSS</v>
      </c>
      <c r="M43" s="6">
        <f t="shared" si="1"/>
        <v>2.643518518016208E-2</v>
      </c>
      <c r="N43" s="7">
        <f t="shared" si="20"/>
        <v>38.066666659433395</v>
      </c>
      <c r="O43" s="7"/>
      <c r="P43" s="7"/>
      <c r="Q43" s="22"/>
      <c r="R43" s="170"/>
      <c r="S43" s="213">
        <f t="shared" si="21"/>
        <v>1</v>
      </c>
      <c r="T43" s="195" t="str">
        <f t="shared" si="2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3"/>
        <v>https://d0f6bd738d7f1b3e5a7ca70fe4ff75f0.us-east-1.aws.found.io/app/kibana#/discover/Steve-Slow-Train-Analysis-(2080s-and-2083s)?_g=(refreshInterval:(display:Off,pause:!f,section:0,value:0),time:(from:'2017-07-01T06:57:13-0600',mode:absolute,to:'2017-07-01T09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3" s="197" t="str">
        <f>IF(AA43&lt;VLOOKUP(AG43,Variables!$AC$3:$AD$8,2,FALSE),"Y","N")</f>
        <v>N</v>
      </c>
      <c r="X43" s="197">
        <f t="shared" si="4"/>
        <v>1</v>
      </c>
      <c r="Y43" s="197">
        <f t="shared" si="5"/>
        <v>23.298400000000001</v>
      </c>
      <c r="Z43" s="197">
        <f t="shared" si="6"/>
        <v>1.47E-2</v>
      </c>
      <c r="AA43" s="197">
        <f t="shared" si="7"/>
        <v>23.2837</v>
      </c>
      <c r="AB43" s="54" t="str">
        <f>VLOOKUP(A43,Enforcements!$C$7:$K$13,8,0)</f>
        <v>Bulletin (2)</v>
      </c>
      <c r="AC43" s="51" t="str">
        <f>VLOOKUP(A43,Enforcements!$C$7:$E$13,3,0)</f>
        <v>GRADE CROSSING</v>
      </c>
      <c r="AD43" s="206">
        <f t="shared" si="8"/>
        <v>130</v>
      </c>
      <c r="AE43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43" s="74" t="str">
        <f t="shared" si="10"/>
        <v>"C:\Program Files (x86)\AstroGrep\AstroGrep.exe" /e /r /s /spath="%USERPROFILE%\AppData\Local\Temp\OnboardLogs" /stypes="app*4017*20170701*" /stext=" 14:.+((SYSTEM_STATE.+slice.+state.+changed )|(ment ac)|(multiple cpu faults)|(system.+state.+changed )|(\[timeout)|(PRM\|1\|D)|(kpr)|(kdp)|(train st.+moving)|(\|lc)|(penalty))"</v>
      </c>
      <c r="AG43" s="209" t="str">
        <f t="shared" si="11"/>
        <v>EC</v>
      </c>
      <c r="AH43" s="78" t="str">
        <f t="shared" si="16"/>
        <v>"%USERPROFILE%\Documents\GitHub\eaglep3\Utilities\RefineRTDCRunTimes.py" --tripid 130-01 --locoid 4017 --swversion DE.1.0.9.0 --startMP 204:232984 --initTime 2017-07-01T07:57:13 --startdatetime 2017-07-01T08:12:33 --delay 1 --endMP 204:147 --enddatetime 2017-07-01T08:50:37 --enforcementcount 0 &gt;&gt;C:\Users\stu\Documents\GitHub\eaglep3-reporting\EC\2017-07-01-refined-times.txt</v>
      </c>
      <c r="AI4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ID","value":"130-01"},{"id":16,"name":"Locomotive ID","value":"4017"},{"id":130,"name":"Impact","value":""},{"id":150,"name":"Time of Event (Mountain Time)","value":"08:50:37"},{"id":151,"name":"Denver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4017 --day 2017-07-01</v>
      </c>
      <c r="AN4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734</v>
      </c>
      <c r="B44" s="7">
        <v>4030</v>
      </c>
      <c r="C44" s="21" t="s">
        <v>202</v>
      </c>
      <c r="D44" s="21" t="s">
        <v>895</v>
      </c>
      <c r="E44" s="13">
        <v>42917.307754629626</v>
      </c>
      <c r="F44" s="13">
        <v>42917.312997685185</v>
      </c>
      <c r="G44" s="7">
        <v>1</v>
      </c>
      <c r="H44" s="21" t="s">
        <v>552</v>
      </c>
      <c r="I44" s="13">
        <v>42917.338171296295</v>
      </c>
      <c r="J44" s="7">
        <v>0</v>
      </c>
      <c r="K44" s="89" t="str">
        <f t="shared" si="0"/>
        <v>4029/4030</v>
      </c>
      <c r="L44" s="21" t="str">
        <f>VLOOKUP(A44,'Trips&amp;Operators'!$C$1:$G$99999,5,FALSE)</f>
        <v>GUZMAN DANNY</v>
      </c>
      <c r="M44" s="6">
        <f t="shared" si="1"/>
        <v>2.5173611109494232E-2</v>
      </c>
      <c r="N44" s="7">
        <f t="shared" si="20"/>
        <v>36.249999997671694</v>
      </c>
      <c r="O44" s="7"/>
      <c r="P44" s="7"/>
      <c r="Q44" s="22"/>
      <c r="R44" s="170"/>
      <c r="S44" s="213">
        <f t="shared" si="21"/>
        <v>1</v>
      </c>
      <c r="T44" s="195" t="str">
        <f t="shared" si="2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3"/>
        <v>https://d0f6bd738d7f1b3e5a7ca70fe4ff75f0.us-east-1.aws.found.io/app/kibana#/discover/Steve-Slow-Train-Analysis-(2080s-and-2083s)?_g=(refreshInterval:(display:Off,pause:!f,section:0,value:0),time:(from:'2017-07-01T06:23:10-0600',mode:absolute,to:'2017-07-01T09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197" t="str">
        <f>IF(AA44&lt;VLOOKUP(AG44,Variables!$AC$3:$AD$8,2,FALSE),"Y","N")</f>
        <v>N</v>
      </c>
      <c r="X44" s="197">
        <f t="shared" si="4"/>
        <v>1</v>
      </c>
      <c r="Y44" s="197">
        <f t="shared" si="5"/>
        <v>4.3099999999999999E-2</v>
      </c>
      <c r="Z44" s="197">
        <f t="shared" si="6"/>
        <v>23.330400000000001</v>
      </c>
      <c r="AA44" s="197">
        <f t="shared" si="7"/>
        <v>23.287300000000002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8"/>
        <v>131</v>
      </c>
      <c r="AE44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44" s="74" t="str">
        <f t="shared" si="10"/>
        <v>"C:\Program Files (x86)\AstroGrep\AstroGrep.exe" /e /r /s /spath="%USERPROFILE%\AppData\Local\Temp\OnboardLogs" /stypes="app*4030*20170701*" /stext=" 14:.+((SYSTEM_STATE.+slice.+state.+changed )|(ment ac)|(multiple cpu faults)|(system.+state.+changed )|(\[timeout)|(PRM\|1\|D)|(kpr)|(kdp)|(train st.+moving)|(\|lc)|(penalty))"</v>
      </c>
      <c r="AG44" s="209" t="str">
        <f t="shared" si="11"/>
        <v>EC</v>
      </c>
      <c r="AH44" s="78" t="str">
        <f t="shared" si="16"/>
        <v>"%USERPROFILE%\Documents\GitHub\eaglep3\Utilities\RefineRTDCRunTimes.py" --tripid 131-01 --locoid 4030 --swversion DE.1.0.9.0 --startMP 204:431 --initTime 2017-07-01T07:23:10 --startdatetime 2017-07-01T07:30:43 --delay 1 --endMP 204:233304 --enddatetime 2017-07-01T08:06:58 --enforcementcount 0 &gt;&gt;C:\Users\stu\Documents\GitHub\eaglep3-reporting\EC\2017-07-01-refined-times.txt</v>
      </c>
      <c r="AI4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{"issue":{"subject":"","project_id":79,"tracker_id":40,"status_id":1,"priority_id":2,"assigned_to_id":23,"start_date":"2017-07-01","description":"","custom_fields":[{"id":1,"name":"Subdivision","value":"EC"},{"id":4,"name":"Milepost","value":"23.3304"},{"id":17,"name":"Train ID","value":"131-01"},{"id":16,"name":"Locomotive ID","value":"4030"},{"id":130,"name":"Impact","value":""},{"id":150,"name":"Time of Event (Mountain Time)","value":"08:06:58"},{"id":151,"name":"Denver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4030 --day 2017-07-01</v>
      </c>
      <c r="AN4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740</v>
      </c>
      <c r="B45" s="7">
        <v>4029</v>
      </c>
      <c r="C45" s="21" t="s">
        <v>202</v>
      </c>
      <c r="D45" s="21" t="s">
        <v>610</v>
      </c>
      <c r="E45" s="13">
        <v>42917.340173611112</v>
      </c>
      <c r="F45" s="13">
        <v>42917.352256944447</v>
      </c>
      <c r="G45" s="7">
        <v>1</v>
      </c>
      <c r="H45" s="21" t="s">
        <v>358</v>
      </c>
      <c r="I45" s="13">
        <v>42917.379120370373</v>
      </c>
      <c r="J45" s="7">
        <v>0</v>
      </c>
      <c r="K45" s="89" t="str">
        <f t="shared" si="0"/>
        <v>4029/4030</v>
      </c>
      <c r="L45" s="21" t="str">
        <f>VLOOKUP(A45,'Trips&amp;Operators'!$C$1:$G$99999,5,FALSE)</f>
        <v>GUZMAN DANNY</v>
      </c>
      <c r="M45" s="6">
        <f t="shared" si="1"/>
        <v>2.6863425926421769E-2</v>
      </c>
      <c r="N45" s="7">
        <f t="shared" si="20"/>
        <v>38.683333334047347</v>
      </c>
      <c r="O45" s="7"/>
      <c r="P45" s="7"/>
      <c r="Q45" s="22"/>
      <c r="R45" s="170"/>
      <c r="S45" s="213">
        <f t="shared" si="21"/>
        <v>1</v>
      </c>
      <c r="T45" s="195" t="str">
        <f t="shared" si="2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3"/>
        <v>https://d0f6bd738d7f1b3e5a7ca70fe4ff75f0.us-east-1.aws.found.io/app/kibana#/discover/Steve-Slow-Train-Analysis-(2080s-and-2083s)?_g=(refreshInterval:(display:Off,pause:!f,section:0,value:0),time:(from:'2017-07-01T07:09:51-0600',mode:absolute,to:'2017-07-01T10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si="5"/>
        <v>23.298300000000001</v>
      </c>
      <c r="Z45" s="197">
        <f t="shared" si="6"/>
        <v>1.41E-2</v>
      </c>
      <c r="AA45" s="197">
        <f t="shared" si="7"/>
        <v>23.284200000000002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8"/>
        <v>132</v>
      </c>
      <c r="AE45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45" s="74" t="str">
        <f t="shared" si="10"/>
        <v>"C:\Program Files (x86)\AstroGrep\AstroGrep.exe" /e /r /s /spath="%USERPROFILE%\AppData\Local\Temp\OnboardLogs" /stypes="app*4029*20170701*" /stext=" 15:.+((SYSTEM_STATE.+slice.+state.+changed )|(ment ac)|(multiple cpu faults)|(system.+state.+changed )|(\[timeout)|(PRM\|1\|D)|(kpr)|(kdp)|(train st.+moving)|(\|lc)|(penalty))"</v>
      </c>
      <c r="AG45" s="209" t="str">
        <f t="shared" si="11"/>
        <v>EC</v>
      </c>
      <c r="AH45" s="78" t="str">
        <f t="shared" si="16"/>
        <v>"%USERPROFILE%\Documents\GitHub\eaglep3\Utilities\RefineRTDCRunTimes.py" --tripid 132-01 --locoid 4029 --swversion DE.1.0.9.0 --startMP 204:232983 --initTime 2017-07-01T08:09:51 --startdatetime 2017-07-01T08:27:15 --delay 1 --endMP 204:141 --enddatetime 2017-07-01T09:05:56 --enforcementcount 0 &gt;&gt;C:\Users\stu\Documents\GitHub\eaglep3-reporting\EC\2017-07-01-refined-times.txt</v>
      </c>
      <c r="AI4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ID","value":"132-01"},{"id":16,"name":"Locomotive ID","value":"4029"},{"id":130,"name":"Impact","value":""},{"id":150,"name":"Time of Event (Mountain Time)","value":"09:05:56"},{"id":151,"name":"Denver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4029 --day 2017-07-01</v>
      </c>
      <c r="AN4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643</v>
      </c>
      <c r="B46" s="7">
        <v>4028</v>
      </c>
      <c r="C46" s="21" t="s">
        <v>202</v>
      </c>
      <c r="D46" s="21" t="s">
        <v>896</v>
      </c>
      <c r="E46" s="13">
        <v>42917.318958333337</v>
      </c>
      <c r="F46" s="13">
        <v>42917.323553240742</v>
      </c>
      <c r="G46" s="7">
        <v>1</v>
      </c>
      <c r="H46" s="21" t="s">
        <v>545</v>
      </c>
      <c r="I46" s="13">
        <v>42917.350555555553</v>
      </c>
      <c r="J46" s="7">
        <v>0</v>
      </c>
      <c r="K46" s="89" t="str">
        <f t="shared" si="0"/>
        <v>4027/4028</v>
      </c>
      <c r="L46" s="21" t="str">
        <f>VLOOKUP(A46,'Trips&amp;Operators'!$C$1:$G$99999,5,FALSE)</f>
        <v>DAVIS WENDY</v>
      </c>
      <c r="M46" s="6">
        <f t="shared" si="1"/>
        <v>2.700231481139781E-2</v>
      </c>
      <c r="N46" s="7">
        <f t="shared" si="20"/>
        <v>38.883333328412846</v>
      </c>
      <c r="O46" s="7"/>
      <c r="P46" s="7"/>
      <c r="Q46" s="22"/>
      <c r="R46" s="170"/>
      <c r="S46" s="213">
        <f t="shared" si="21"/>
        <v>1</v>
      </c>
      <c r="T46" s="195" t="str">
        <f t="shared" si="2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3"/>
        <v>https://d0f6bd738d7f1b3e5a7ca70fe4ff75f0.us-east-1.aws.found.io/app/kibana#/discover/Steve-Slow-Train-Analysis-(2080s-and-2083s)?_g=(refreshInterval:(display:Off,pause:!f,section:0,value:0),time:(from:'2017-07-01T06:39:18-0600',mode:absolute,to:'2017-07-01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5"/>
        <v>4.1599999999999998E-2</v>
      </c>
      <c r="Z46" s="197">
        <f t="shared" si="6"/>
        <v>23.331800000000001</v>
      </c>
      <c r="AA46" s="197">
        <f t="shared" si="7"/>
        <v>23.290200000000002</v>
      </c>
      <c r="AB46" s="54" t="str">
        <f>VLOOKUP(A46,Enforcements!$C$7:$K$13,8,0)</f>
        <v>Bulletin (2)</v>
      </c>
      <c r="AC46" s="51" t="str">
        <f>VLOOKUP(A46,Enforcements!$C$7:$E$13,3,0)</f>
        <v>GRADE CROSSING</v>
      </c>
      <c r="AD46" s="206">
        <f t="shared" si="8"/>
        <v>133</v>
      </c>
      <c r="AE46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46" s="74" t="str">
        <f t="shared" si="10"/>
        <v>"C:\Program Files (x86)\AstroGrep\AstroGrep.exe" /e /r /s /spath="%USERPROFILE%\AppData\Local\Temp\OnboardLogs" /stypes="app*4028*20170701*" /stext=" 14:.+((SYSTEM_STATE.+slice.+state.+changed )|(ment ac)|(multiple cpu faults)|(system.+state.+changed )|(\[timeout)|(PRM\|1\|D)|(kpr)|(kdp)|(train st.+moving)|(\|lc)|(penalty))"</v>
      </c>
      <c r="AG46" s="209" t="str">
        <f t="shared" si="11"/>
        <v>EC</v>
      </c>
      <c r="AH46" s="78" t="str">
        <f t="shared" si="16"/>
        <v>"%USERPROFILE%\Documents\GitHub\eaglep3\Utilities\RefineRTDCRunTimes.py" --tripid 133-01 --locoid 4028 --swversion DE.1.0.9.0 --startMP 204:416 --initTime 2017-07-01T07:39:18 --startdatetime 2017-07-01T07:45:55 --delay 1 --endMP 204:233318 --enddatetime 2017-07-01T08:24:48 --enforcementcount 0 &gt;&gt;C:\Users\stu\Documents\GitHub\eaglep3-reporting\EC\2017-07-01-refined-times.txt</v>
      </c>
      <c r="AI4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{"issue":{"subject":"","project_id":79,"tracker_id":40,"status_id":1,"priority_id":2,"assigned_to_id":23,"start_date":"2017-07-01","description":"","custom_fields":[{"id":1,"name":"Subdivision","value":"EC"},{"id":4,"name":"Milepost","value":"23.3318"},{"id":17,"name":"Train ID","value":"133-01"},{"id":16,"name":"Locomotive ID","value":"4028"},{"id":130,"name":"Impact","value":""},{"id":150,"name":"Time of Event (Mountain Time)","value":"08:24:48"},{"id":151,"name":"Denver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4028 --day 2017-07-01</v>
      </c>
      <c r="AN4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744</v>
      </c>
      <c r="B47" s="7">
        <v>4027</v>
      </c>
      <c r="C47" s="21" t="s">
        <v>202</v>
      </c>
      <c r="D47" s="21" t="s">
        <v>469</v>
      </c>
      <c r="E47" s="13">
        <v>42917.359965277778</v>
      </c>
      <c r="F47" s="13">
        <v>42917.362685185188</v>
      </c>
      <c r="G47" s="7">
        <v>1</v>
      </c>
      <c r="H47" s="21" t="s">
        <v>359</v>
      </c>
      <c r="I47" s="13">
        <v>42917.389872685184</v>
      </c>
      <c r="J47" s="7">
        <v>0</v>
      </c>
      <c r="K47" s="89" t="str">
        <f t="shared" si="0"/>
        <v>4027/4028</v>
      </c>
      <c r="L47" s="21" t="str">
        <f>VLOOKUP(A47,'Trips&amp;Operators'!$C$1:$G$99999,5,FALSE)</f>
        <v>DAVIS WENDY</v>
      </c>
      <c r="M47" s="6">
        <f t="shared" si="1"/>
        <v>2.7187499996216502E-2</v>
      </c>
      <c r="N47" s="7">
        <f t="shared" si="20"/>
        <v>39.149999994551763</v>
      </c>
      <c r="O47" s="7"/>
      <c r="P47" s="7"/>
      <c r="Q47" s="22"/>
      <c r="R47" s="170"/>
      <c r="S47" s="213">
        <f t="shared" si="21"/>
        <v>1</v>
      </c>
      <c r="T47" s="195" t="str">
        <f t="shared" si="2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3"/>
        <v>https://d0f6bd738d7f1b3e5a7ca70fe4ff75f0.us-east-1.aws.found.io/app/kibana#/discover/Steve-Slow-Train-Analysis-(2080s-and-2083s)?_g=(refreshInterval:(display:Off,pause:!f,section:0,value:0),time:(from:'2017-07-01T07:38:21-0600',mode:absolute,to:'2017-07-01T10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5"/>
        <v>23.297799999999999</v>
      </c>
      <c r="Z47" s="197">
        <f t="shared" si="6"/>
        <v>1.47E-2</v>
      </c>
      <c r="AA47" s="197">
        <f t="shared" si="7"/>
        <v>23.283099999999997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8"/>
        <v>134</v>
      </c>
      <c r="AE47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47" s="74" t="str">
        <f t="shared" si="10"/>
        <v>"C:\Program Files (x86)\AstroGrep\AstroGrep.exe" /e /r /s /spath="%USERPROFILE%\AppData\Local\Temp\OnboardLogs" /stypes="app*4027*20170701*" /stext=" 15:.+((SYSTEM_STATE.+slice.+state.+changed )|(ment ac)|(multiple cpu faults)|(system.+state.+changed )|(\[timeout)|(PRM\|1\|D)|(kpr)|(kdp)|(train st.+moving)|(\|lc)|(penalty))"</v>
      </c>
      <c r="AG47" s="209" t="str">
        <f t="shared" si="11"/>
        <v>EC</v>
      </c>
      <c r="AH47" s="78" t="str">
        <f t="shared" si="16"/>
        <v>"%USERPROFILE%\Documents\GitHub\eaglep3\Utilities\RefineRTDCRunTimes.py" --tripid 134-01 --locoid 4027 --swversion DE.1.0.9.0 --startMP 204:232978 --initTime 2017-07-01T08:38:21 --startdatetime 2017-07-01T08:42:16 --delay 1 --endMP 204:147 --enddatetime 2017-07-01T09:21:25 --enforcementcount 0 &gt;&gt;C:\Users\stu\Documents\GitHub\eaglep3-reporting\EC\2017-07-01-refined-times.txt</v>
      </c>
      <c r="AI4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ID","value":"134-01"},{"id":16,"name":"Locomotive ID","value":"4027"},{"id":130,"name":"Impact","value":""},{"id":150,"name":"Time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4027 --day 2017-07-01</v>
      </c>
      <c r="AN4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738</v>
      </c>
      <c r="B48" s="7">
        <v>4014</v>
      </c>
      <c r="C48" s="21" t="s">
        <v>202</v>
      </c>
      <c r="D48" s="21" t="s">
        <v>897</v>
      </c>
      <c r="E48" s="13">
        <v>42917.328692129631</v>
      </c>
      <c r="F48" s="13">
        <v>42917.333854166667</v>
      </c>
      <c r="G48" s="7">
        <v>1</v>
      </c>
      <c r="H48" s="21" t="s">
        <v>898</v>
      </c>
      <c r="I48" s="13">
        <v>42917.358530092592</v>
      </c>
      <c r="J48" s="7">
        <v>0</v>
      </c>
      <c r="K48" s="89" t="str">
        <f t="shared" si="0"/>
        <v>4013/4014</v>
      </c>
      <c r="L48" s="21" t="str">
        <f>VLOOKUP(A48,'Trips&amp;Operators'!$C$1:$G$99999,5,FALSE)</f>
        <v>GEBRETEKLE DAGNEW</v>
      </c>
      <c r="M48" s="6">
        <f t="shared" si="1"/>
        <v>2.4675925924384501E-2</v>
      </c>
      <c r="N48" s="7">
        <f t="shared" si="20"/>
        <v>35.533333331113681</v>
      </c>
      <c r="O48" s="7"/>
      <c r="P48" s="7"/>
      <c r="Q48" s="22"/>
      <c r="R48" s="170"/>
      <c r="S48" s="213">
        <f t="shared" si="21"/>
        <v>1</v>
      </c>
      <c r="T48" s="195" t="str">
        <f t="shared" si="2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3"/>
        <v>https://d0f6bd738d7f1b3e5a7ca70fe4ff75f0.us-east-1.aws.found.io/app/kibana#/discover/Steve-Slow-Train-Analysis-(2080s-and-2083s)?_g=(refreshInterval:(display:Off,pause:!f,section:0,value:0),time:(from:'2017-07-01T06:53:19-0600',mode:absolute,to:'2017-07-01T09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5"/>
        <v>4.3299999999999998E-2</v>
      </c>
      <c r="Z48" s="197">
        <f t="shared" si="6"/>
        <v>23.339300000000001</v>
      </c>
      <c r="AA48" s="197">
        <f t="shared" si="7"/>
        <v>23.296000000000003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8"/>
        <v>135</v>
      </c>
      <c r="AE48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48" s="74" t="str">
        <f t="shared" si="10"/>
        <v>"C:\Program Files (x86)\AstroGrep\AstroGrep.exe" /e /r /s /spath="%USERPROFILE%\AppData\Local\Temp\OnboardLogs" /stypes="app*4014*20170701*" /stext=" 14:.+((SYSTEM_STATE.+slice.+state.+changed )|(ment ac)|(multiple cpu faults)|(system.+state.+changed )|(\[timeout)|(PRM\|1\|D)|(kpr)|(kdp)|(train st.+moving)|(\|lc)|(penalty))"</v>
      </c>
      <c r="AG48" s="209" t="str">
        <f t="shared" si="11"/>
        <v>EC</v>
      </c>
      <c r="AH48" s="78" t="str">
        <f t="shared" si="16"/>
        <v>"%USERPROFILE%\Documents\GitHub\eaglep3\Utilities\RefineRTDCRunTimes.py" --tripid 135-01 --locoid 4014 --swversion DE.1.0.9.0 --startMP 204:433 --initTime 2017-07-01T07:53:19 --startdatetime 2017-07-01T08:00:45 --delay 1 --endMP 204:233393 --enddatetime 2017-07-01T08:36:17 --enforcementcount 0 &gt;&gt;C:\Users\stu\Documents\GitHub\eaglep3-reporting\EC\2017-07-01-refined-times.txt</v>
      </c>
      <c r="AI4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{"issue":{"subject":"","project_id":79,"tracker_id":40,"status_id":1,"priority_id":2,"assigned_to_id":23,"start_date":"2017-07-01","description":"","custom_fields":[{"id":1,"name":"Subdivision","value":"EC"},{"id":4,"name":"Milepost","value":"23.3393"},{"id":17,"name":"Train ID","value":"135-01"},{"id":16,"name":"Locomotive ID","value":"4014"},{"id":130,"name":"Impact","value":""},{"id":150,"name":"Time of Event (Mountain Time)","value":"08:36:17"},{"id":151,"name":"Denver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4014 --day 2017-07-01</v>
      </c>
      <c r="AN4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743</v>
      </c>
      <c r="B49" s="7">
        <v>4013</v>
      </c>
      <c r="C49" s="21" t="s">
        <v>202</v>
      </c>
      <c r="D49" s="21" t="s">
        <v>899</v>
      </c>
      <c r="E49" s="13">
        <v>42917.359942129631</v>
      </c>
      <c r="F49" s="13">
        <v>42917.373124999998</v>
      </c>
      <c r="G49" s="7">
        <v>1</v>
      </c>
      <c r="H49" s="21" t="s">
        <v>900</v>
      </c>
      <c r="I49" s="13">
        <v>42917.399004629631</v>
      </c>
      <c r="J49" s="7">
        <v>0</v>
      </c>
      <c r="K49" s="89" t="str">
        <f t="shared" si="0"/>
        <v>4013/4014</v>
      </c>
      <c r="L49" s="21" t="str">
        <f>VLOOKUP(A49,'Trips&amp;Operators'!$C$1:$G$99999,5,FALSE)</f>
        <v>GEBRETEKLE DAGNEW</v>
      </c>
      <c r="M49" s="6">
        <f t="shared" si="1"/>
        <v>2.587962963298196E-2</v>
      </c>
      <c r="N49" s="7">
        <f t="shared" si="20"/>
        <v>37.266666671494022</v>
      </c>
      <c r="O49" s="7"/>
      <c r="P49" s="7"/>
      <c r="Q49" s="22"/>
      <c r="R49" s="170"/>
      <c r="S49" s="213">
        <f t="shared" si="21"/>
        <v>1</v>
      </c>
      <c r="T49" s="195" t="str">
        <f t="shared" si="2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3"/>
        <v>https://d0f6bd738d7f1b3e5a7ca70fe4ff75f0.us-east-1.aws.found.io/app/kibana#/discover/Steve-Slow-Train-Analysis-(2080s-and-2083s)?_g=(refreshInterval:(display:Off,pause:!f,section:0,value:0),time:(from:'2017-07-01T07:38:19-0600',mode:absolute,to:'2017-07-01T10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5"/>
        <v>23.3066</v>
      </c>
      <c r="Z49" s="197">
        <f t="shared" si="6"/>
        <v>1.72E-2</v>
      </c>
      <c r="AA49" s="197">
        <f t="shared" si="7"/>
        <v>23.289400000000001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8"/>
        <v>136</v>
      </c>
      <c r="AE49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49" s="74" t="str">
        <f t="shared" si="10"/>
        <v>"C:\Program Files (x86)\AstroGrep\AstroGrep.exe" /e /r /s /spath="%USERPROFILE%\AppData\Local\Temp\OnboardLogs" /stypes="app*4013*20170701*" /stext=" 15:.+((SYSTEM_STATE.+slice.+state.+changed )|(ment ac)|(multiple cpu faults)|(system.+state.+changed )|(\[timeout)|(PRM\|1\|D)|(kpr)|(kdp)|(train st.+moving)|(\|lc)|(penalty))"</v>
      </c>
      <c r="AG49" s="209" t="str">
        <f t="shared" si="11"/>
        <v>EC</v>
      </c>
      <c r="AH49" s="78" t="str">
        <f t="shared" si="16"/>
        <v>"%USERPROFILE%\Documents\GitHub\eaglep3\Utilities\RefineRTDCRunTimes.py" --tripid 136-01 --locoid 4013 --swversion DE.1.0.9.0 --startMP 204:233066 --initTime 2017-07-01T08:38:19 --startdatetime 2017-07-01T08:57:18 --delay 1 --endMP 204:172 --enddatetime 2017-07-01T09:34:34 --enforcementcount 0 &gt;&gt;C:\Users\stu\Documents\GitHub\eaglep3-reporting\EC\2017-07-01-refined-times.txt</v>
      </c>
      <c r="AI4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{"issue":{"subject":"","project_id":79,"tracker_id":40,"status_id":1,"priority_id":2,"assigned_to_id":23,"start_date":"2017-07-01","description":"","custom_fields":[{"id":1,"name":"Subdivision","value":"EC"},{"id":4,"name":"Milepost","value":"0.0172"},{"id":17,"name":"Train ID","value":"136-01"},{"id":16,"name":"Locomotive ID","value":"4013"},{"id":130,"name":"Impact","value":""},{"id":150,"name":"Time of Event (Mountain Time)","value":"09:34:34"},{"id":151,"name":"Denver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4013 --day 2017-07-01</v>
      </c>
      <c r="AN4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739</v>
      </c>
      <c r="B50" s="7">
        <v>4062</v>
      </c>
      <c r="C50" s="21" t="s">
        <v>202</v>
      </c>
      <c r="D50" s="21" t="s">
        <v>347</v>
      </c>
      <c r="E50" s="13">
        <v>42917.339282407411</v>
      </c>
      <c r="F50" s="13">
        <v>42917.344386574077</v>
      </c>
      <c r="G50" s="7">
        <v>1</v>
      </c>
      <c r="H50" s="21" t="s">
        <v>901</v>
      </c>
      <c r="I50" s="13">
        <v>42917.368819444448</v>
      </c>
      <c r="J50" s="7">
        <v>0</v>
      </c>
      <c r="K50" s="89" t="str">
        <f t="shared" si="0"/>
        <v>4061/4062</v>
      </c>
      <c r="L50" s="21" t="str">
        <f>VLOOKUP(A50,'Trips&amp;Operators'!$C$1:$G$99999,5,FALSE)</f>
        <v>LALONDE GREGORY</v>
      </c>
      <c r="M50" s="6">
        <f t="shared" si="1"/>
        <v>2.4432870370219462E-2</v>
      </c>
      <c r="N50" s="7">
        <f t="shared" si="20"/>
        <v>35.183333333116025</v>
      </c>
      <c r="O50" s="7"/>
      <c r="P50" s="7"/>
      <c r="Q50" s="22"/>
      <c r="R50" s="170"/>
      <c r="S50" s="213">
        <f t="shared" si="21"/>
        <v>1</v>
      </c>
      <c r="T50" s="195" t="str">
        <f t="shared" si="2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3"/>
        <v>https://d0f6bd738d7f1b3e5a7ca70fe4ff75f0.us-east-1.aws.found.io/app/kibana#/discover/Steve-Slow-Train-Analysis-(2080s-and-2083s)?_g=(refreshInterval:(display:Off,pause:!f,section:0,value:0),time:(from:'2017-07-01T07:08:34-0600',mode:absolute,to:'2017-07-01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5"/>
        <v>4.4600000000000001E-2</v>
      </c>
      <c r="Z50" s="197">
        <f t="shared" si="6"/>
        <v>23.333400000000001</v>
      </c>
      <c r="AA50" s="197">
        <f t="shared" si="7"/>
        <v>23.288800000000002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8"/>
        <v>137</v>
      </c>
      <c r="AE50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50" s="74" t="str">
        <f t="shared" si="10"/>
        <v>"C:\Program Files (x86)\AstroGrep\AstroGrep.exe" /e /r /s /spath="%USERPROFILE%\AppData\Local\Temp\OnboardLogs" /stypes="app*4062*20170701*" /stext=" 14:.+((SYSTEM_STATE.+slice.+state.+changed )|(ment ac)|(multiple cpu faults)|(system.+state.+changed )|(\[timeout)|(PRM\|1\|D)|(kpr)|(kdp)|(train st.+moving)|(\|lc)|(penalty))"</v>
      </c>
      <c r="AG50" s="209" t="str">
        <f t="shared" si="11"/>
        <v>EC</v>
      </c>
      <c r="AH50" s="78" t="str">
        <f t="shared" si="16"/>
        <v>"%USERPROFILE%\Documents\GitHub\eaglep3\Utilities\RefineRTDCRunTimes.py" --tripid 137-01 --locoid 4062 --swversion DE.1.0.9.0 --startMP 204:446 --initTime 2017-07-01T08:08:34 --startdatetime 2017-07-01T08:15:55 --delay 1 --endMP 204:233334 --enddatetime 2017-07-01T08:51:06 --enforcementcount 0 &gt;&gt;C:\Users\stu\Documents\GitHub\eaglep3-reporting\EC\2017-07-01-refined-times.txt</v>
      </c>
      <c r="AI5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{"issue":{"subject":"","project_id":79,"tracker_id":40,"status_id":1,"priority_id":2,"assigned_to_id":23,"start_date":"2017-07-01","description":"","custom_fields":[{"id":1,"name":"Subdivision","value":"EC"},{"id":4,"name":"Milepost","value":"23.3334"},{"id":17,"name":"Train ID","value":"137-01"},{"id":16,"name":"Locomotive ID","value":"4062"},{"id":130,"name":"Impact","value":""},{"id":150,"name":"Time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4062 --day 2017-07-01</v>
      </c>
      <c r="AN5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748</v>
      </c>
      <c r="B51" s="7">
        <v>4061</v>
      </c>
      <c r="C51" s="21" t="s">
        <v>202</v>
      </c>
      <c r="D51" s="21" t="s">
        <v>902</v>
      </c>
      <c r="E51" s="13">
        <v>42917.373414351852</v>
      </c>
      <c r="F51" s="13">
        <v>42917.383599537039</v>
      </c>
      <c r="G51" s="7">
        <v>1</v>
      </c>
      <c r="H51" s="21" t="s">
        <v>394</v>
      </c>
      <c r="I51" s="13">
        <v>42917.409050925926</v>
      </c>
      <c r="J51" s="7">
        <v>0</v>
      </c>
      <c r="K51" s="89" t="str">
        <f t="shared" si="0"/>
        <v>4061/4062</v>
      </c>
      <c r="L51" s="21" t="str">
        <f>VLOOKUP(A51,'Trips&amp;Operators'!$C$1:$G$99999,5,FALSE)</f>
        <v>LALONDE GREGORY</v>
      </c>
      <c r="M51" s="6">
        <f t="shared" si="1"/>
        <v>2.545138888672227E-2</v>
      </c>
      <c r="N51" s="7">
        <f t="shared" si="20"/>
        <v>36.649999996880069</v>
      </c>
      <c r="O51" s="7"/>
      <c r="P51" s="7"/>
      <c r="Q51" s="22"/>
      <c r="R51" s="170"/>
      <c r="S51" s="213">
        <f t="shared" si="21"/>
        <v>1</v>
      </c>
      <c r="T51" s="195" t="str">
        <f t="shared" si="2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3"/>
        <v>https://d0f6bd738d7f1b3e5a7ca70fe4ff75f0.us-east-1.aws.found.io/app/kibana#/discover/Steve-Slow-Train-Analysis-(2080s-and-2083s)?_g=(refreshInterval:(display:Off,pause:!f,section:0,value:0),time:(from:'2017-07-01T07:57:43-0600',mode:absolute,to:'2017-07-01T10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5"/>
        <v>23.303799999999999</v>
      </c>
      <c r="Z51" s="197">
        <f t="shared" si="6"/>
        <v>1.54E-2</v>
      </c>
      <c r="AA51" s="197">
        <f t="shared" si="7"/>
        <v>23.288399999999999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8"/>
        <v>138</v>
      </c>
      <c r="AE51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51" s="74" t="str">
        <f t="shared" si="10"/>
        <v>"C:\Program Files (x86)\AstroGrep\AstroGrep.exe" /e /r /s /spath="%USERPROFILE%\AppData\Local\Temp\OnboardLogs" /stypes="app*4061*20170701*" /stext=" 15:.+((SYSTEM_STATE.+slice.+state.+changed )|(ment ac)|(multiple cpu faults)|(system.+state.+changed )|(\[timeout)|(PRM\|1\|D)|(kpr)|(kdp)|(train st.+moving)|(\|lc)|(penalty))"</v>
      </c>
      <c r="AG51" s="209" t="str">
        <f t="shared" si="11"/>
        <v>EC</v>
      </c>
      <c r="AH51" s="78" t="str">
        <f t="shared" si="16"/>
        <v>"%USERPROFILE%\Documents\GitHub\eaglep3\Utilities\RefineRTDCRunTimes.py" --tripid 138-01 --locoid 4061 --swversion DE.1.0.9.0 --startMP 204:233038 --initTime 2017-07-01T08:57:43 --startdatetime 2017-07-01T09:12:23 --delay 1 --endMP 204:154 --enddatetime 2017-07-01T09:49:02 --enforcementcount 0 &gt;&gt;C:\Users\stu\Documents\GitHub\eaglep3-reporting\EC\2017-07-01-refined-times.txt</v>
      </c>
      <c r="AI5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ID","value":"138-01"},{"id":16,"name":"Locomotive ID","value":"4061"},{"id":130,"name":"Impact","value":""},{"id":150,"name":"Time of Event (Mountain Time)","value":"09:49:02"},{"id":151,"name":"Denver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4061 --day 2017-07-01</v>
      </c>
      <c r="AN5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741</v>
      </c>
      <c r="B52" s="7">
        <v>4008</v>
      </c>
      <c r="C52" s="21" t="s">
        <v>202</v>
      </c>
      <c r="D52" s="21" t="s">
        <v>347</v>
      </c>
      <c r="E52" s="13">
        <v>42917.349386574075</v>
      </c>
      <c r="F52" s="13">
        <v>42917.355162037034</v>
      </c>
      <c r="G52" s="7">
        <v>1</v>
      </c>
      <c r="H52" s="21" t="s">
        <v>510</v>
      </c>
      <c r="I52" s="13">
        <v>42917.379884259259</v>
      </c>
      <c r="J52" s="7">
        <v>0</v>
      </c>
      <c r="K52" s="89" t="str">
        <f t="shared" si="0"/>
        <v>4007/4008</v>
      </c>
      <c r="L52" s="21" t="str">
        <f>VLOOKUP(A52,'Trips&amp;Operators'!$C$1:$G$99999,5,FALSE)</f>
        <v>MAELZER KURT</v>
      </c>
      <c r="M52" s="6">
        <f t="shared" si="1"/>
        <v>2.4722222224227153E-2</v>
      </c>
      <c r="N52" s="7">
        <f t="shared" ref="N52:N68" si="23">24*60*SUM($M52:$M52)</f>
        <v>35.6000000028871</v>
      </c>
      <c r="O52" s="7"/>
      <c r="P52" s="7"/>
      <c r="Q52" s="22"/>
      <c r="R52" s="170"/>
      <c r="S52" s="213">
        <f t="shared" ref="S52:S68" si="24">SUM(U52:U52)/IF(AG52="EC",12,1)</f>
        <v>1</v>
      </c>
      <c r="T52" s="195" t="str">
        <f t="shared" si="2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3"/>
        <v>https://d0f6bd738d7f1b3e5a7ca70fe4ff75f0.us-east-1.aws.found.io/app/kibana#/discover/Steve-Slow-Train-Analysis-(2080s-and-2083s)?_g=(refreshInterval:(display:Off,pause:!f,section:0,value:0),time:(from:'2017-07-01T07:23:07-0600',mode:absolute,to:'2017-07-01T10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5"/>
        <v>4.4600000000000001E-2</v>
      </c>
      <c r="Z52" s="197">
        <f t="shared" si="6"/>
        <v>23.331</v>
      </c>
      <c r="AA52" s="197">
        <f t="shared" si="7"/>
        <v>23.2864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8"/>
        <v>139</v>
      </c>
      <c r="AE52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52" s="74" t="str">
        <f t="shared" si="10"/>
        <v>"C:\Program Files (x86)\AstroGrep\AstroGrep.exe" /e /r /s /spath="%USERPROFILE%\AppData\Local\Temp\OnboardLogs" /stypes="app*4008*20170701*" /stext=" 15:.+((SYSTEM_STATE.+slice.+state.+changed )|(ment ac)|(multiple cpu faults)|(system.+state.+changed )|(\[timeout)|(PRM\|1\|D)|(kpr)|(kdp)|(train st.+moving)|(\|lc)|(penalty))"</v>
      </c>
      <c r="AG52" s="209" t="str">
        <f t="shared" si="11"/>
        <v>EC</v>
      </c>
      <c r="AH52" s="78" t="str">
        <f t="shared" si="16"/>
        <v>"%USERPROFILE%\Documents\GitHub\eaglep3\Utilities\RefineRTDCRunTimes.py" --tripid 139-01 --locoid 4008 --swversion DE.1.0.9.0 --startMP 204:446 --initTime 2017-07-01T08:23:07 --startdatetime 2017-07-01T08:31:26 --delay 1 --endMP 204:233310 --enddatetime 2017-07-01T09:07:02 --enforcementcount 0 &gt;&gt;C:\Users\stu\Documents\GitHub\eaglep3-reporting\EC\2017-07-01-refined-times.txt</v>
      </c>
      <c r="AI5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{"issue":{"subject":"","project_id":79,"tracker_id":40,"status_id":1,"priority_id":2,"assigned_to_id":23,"start_date":"2017-07-01","description":"","custom_fields":[{"id":1,"name":"Subdivision","value":"EC"},{"id":4,"name":"Milepost","value":"23.331"},{"id":17,"name":"Train ID","value":"139-01"},{"id":16,"name":"Locomotive ID","value":"4008"},{"id":130,"name":"Impact","value":""},{"id":150,"name":"Time of Event (Mountain Time)","value":"09:07:02"},{"id":151,"name":"Denver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4008 --day 2017-07-01</v>
      </c>
      <c r="AN5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750</v>
      </c>
      <c r="B53" s="7">
        <v>4007</v>
      </c>
      <c r="C53" s="21" t="s">
        <v>202</v>
      </c>
      <c r="D53" s="21" t="s">
        <v>903</v>
      </c>
      <c r="E53" s="13">
        <v>42917.385682870372</v>
      </c>
      <c r="F53" s="13">
        <v>42917.394004629627</v>
      </c>
      <c r="G53" s="7">
        <v>1</v>
      </c>
      <c r="H53" s="21" t="s">
        <v>356</v>
      </c>
      <c r="I53" s="13">
        <v>42917.420358796298</v>
      </c>
      <c r="J53" s="7">
        <v>0</v>
      </c>
      <c r="K53" s="89" t="str">
        <f t="shared" si="0"/>
        <v>4007/4008</v>
      </c>
      <c r="L53" s="21" t="str">
        <f>VLOOKUP(A53,'Trips&amp;Operators'!$C$1:$G$99999,5,FALSE)</f>
        <v>MAELZER KURT</v>
      </c>
      <c r="M53" s="6">
        <f t="shared" si="1"/>
        <v>2.6354166671808343E-2</v>
      </c>
      <c r="N53" s="7">
        <f t="shared" si="23"/>
        <v>37.950000007404014</v>
      </c>
      <c r="O53" s="7"/>
      <c r="P53" s="7"/>
      <c r="Q53" s="22"/>
      <c r="R53" s="170"/>
      <c r="S53" s="213">
        <f t="shared" si="24"/>
        <v>1</v>
      </c>
      <c r="T53" s="195" t="str">
        <f t="shared" si="2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3"/>
        <v>https://d0f6bd738d7f1b3e5a7ca70fe4ff75f0.us-east-1.aws.found.io/app/kibana#/discover/Steve-Slow-Train-Analysis-(2080s-and-2083s)?_g=(refreshInterval:(display:Off,pause:!f,section:0,value:0),time:(from:'2017-07-01T08:15:23-0600',mode:absolute,to:'2017-07-01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5"/>
        <v>23.299099999999999</v>
      </c>
      <c r="Z53" s="197">
        <f t="shared" si="6"/>
        <v>1.3899999999999999E-2</v>
      </c>
      <c r="AA53" s="197">
        <f t="shared" si="7"/>
        <v>23.2852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8"/>
        <v>140</v>
      </c>
      <c r="AE53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53" s="74" t="str">
        <f t="shared" si="10"/>
        <v>"C:\Program Files (x86)\AstroGrep\AstroGrep.exe" /e /r /s /spath="%USERPROFILE%\AppData\Local\Temp\OnboardLogs" /stypes="app*4007*20170701*" /stext=" 16:.+((SYSTEM_STATE.+slice.+state.+changed )|(ment ac)|(multiple cpu faults)|(system.+state.+changed )|(\[timeout)|(PRM\|1\|D)|(kpr)|(kdp)|(train st.+moving)|(\|lc)|(penalty))"</v>
      </c>
      <c r="AG53" s="209" t="str">
        <f t="shared" si="11"/>
        <v>EC</v>
      </c>
      <c r="AH53" s="78" t="str">
        <f t="shared" si="16"/>
        <v>"%USERPROFILE%\Documents\GitHub\eaglep3\Utilities\RefineRTDCRunTimes.py" --tripid 140-01 --locoid 4007 --swversion DE.1.0.9.0 --startMP 204:232991 --initTime 2017-07-01T09:15:23 --startdatetime 2017-07-01T09:27:22 --delay 1 --endMP 204:139 --enddatetime 2017-07-01T10:05:19 --enforcementcount 0 &gt;&gt;C:\Users\stu\Documents\GitHub\eaglep3-reporting\EC\2017-07-01-refined-times.txt</v>
      </c>
      <c r="AI5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{"issue":{"subject":"","project_id":79,"tracker_id":40,"status_id":1,"priority_id":2,"assigned_to_id":23,"start_date":"2017-07-01","description":"","custom_fields":[{"id":1,"name":"Subdivision","value":"EC"},{"id":4,"name":"Milepost","value":"0.0139"},{"id":17,"name":"Train ID","value":"140-01"},{"id":16,"name":"Locomotive ID","value":"4007"},{"id":130,"name":"Impact","value":""},{"id":150,"name":"Time of Event (Mountain Time)","value":"10:05:19"},{"id":151,"name":"Denver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4007 --day 2017-07-01</v>
      </c>
      <c r="AN5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745</v>
      </c>
      <c r="B54" s="7">
        <v>4056</v>
      </c>
      <c r="C54" s="21" t="s">
        <v>202</v>
      </c>
      <c r="D54" s="21" t="s">
        <v>199</v>
      </c>
      <c r="E54" s="13">
        <v>42917.360011574077</v>
      </c>
      <c r="F54" s="13">
        <v>42917.365127314813</v>
      </c>
      <c r="G54" s="7">
        <v>1</v>
      </c>
      <c r="H54" s="21" t="s">
        <v>904</v>
      </c>
      <c r="I54" s="13">
        <v>42917.390439814815</v>
      </c>
      <c r="J54" s="7">
        <v>0</v>
      </c>
      <c r="K54" s="89" t="str">
        <f t="shared" si="0"/>
        <v>4055/4056</v>
      </c>
      <c r="L54" s="21" t="str">
        <f>VLOOKUP(A54,'Trips&amp;Operators'!$C$1:$G$99999,5,FALSE)</f>
        <v>DAVIDSON DAVID</v>
      </c>
      <c r="M54" s="6">
        <f t="shared" si="1"/>
        <v>2.531250000174623E-2</v>
      </c>
      <c r="N54" s="7">
        <f t="shared" si="23"/>
        <v>36.450000002514571</v>
      </c>
      <c r="O54" s="7"/>
      <c r="P54" s="7"/>
      <c r="Q54" s="22"/>
      <c r="R54" s="170"/>
      <c r="S54" s="213">
        <f t="shared" si="24"/>
        <v>1</v>
      </c>
      <c r="T54" s="195" t="str">
        <f t="shared" si="2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3"/>
        <v>https://d0f6bd738d7f1b3e5a7ca70fe4ff75f0.us-east-1.aws.found.io/app/kibana#/discover/Steve-Slow-Train-Analysis-(2080s-and-2083s)?_g=(refreshInterval:(display:Off,pause:!f,section:0,value:0),time:(from:'2017-07-01T07:38:25-0600',mode:absolute,to:'2017-07-01T10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5"/>
        <v>4.5999999999999999E-2</v>
      </c>
      <c r="Z54" s="197">
        <f t="shared" si="6"/>
        <v>23.327000000000002</v>
      </c>
      <c r="AA54" s="197">
        <f t="shared" si="7"/>
        <v>23.281000000000002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8"/>
        <v>141</v>
      </c>
      <c r="AE54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54" s="74" t="str">
        <f t="shared" si="10"/>
        <v>"C:\Program Files (x86)\AstroGrep\AstroGrep.exe" /e /r /s /spath="%USERPROFILE%\AppData\Local\Temp\OnboardLogs" /stypes="app*4056*20170701*" /stext=" 15:.+((SYSTEM_STATE.+slice.+state.+changed )|(ment ac)|(multiple cpu faults)|(system.+state.+changed )|(\[timeout)|(PRM\|1\|D)|(kpr)|(kdp)|(train st.+moving)|(\|lc)|(penalty))"</v>
      </c>
      <c r="AG54" s="209" t="str">
        <f t="shared" si="11"/>
        <v>EC</v>
      </c>
      <c r="AH54" s="78" t="str">
        <f t="shared" si="16"/>
        <v>"%USERPROFILE%\Documents\GitHub\eaglep3\Utilities\RefineRTDCRunTimes.py" --tripid 141-01 --locoid 4056 --swversion DE.1.0.9.0 --startMP 204:460 --initTime 2017-07-01T08:38:25 --startdatetime 2017-07-01T08:45:47 --delay 1 --endMP 204:233270 --enddatetime 2017-07-01T09:22:14 --enforcementcount 0 &gt;&gt;C:\Users\stu\Documents\GitHub\eaglep3-reporting\EC\2017-07-01-refined-times.txt</v>
      </c>
      <c r="AI5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{"issue":{"subject":"","project_id":79,"tracker_id":40,"status_id":1,"priority_id":2,"assigned_to_id":23,"start_date":"2017-07-01","description":"","custom_fields":[{"id":1,"name":"Subdivision","value":"EC"},{"id":4,"name":"Milepost","value":"23.327"},{"id":17,"name":"Train ID","value":"141-01"},{"id":16,"name":"Locomotive ID","value":"4056"},{"id":130,"name":"Impact","value":""},{"id":150,"name":"Time of Event (Mountain Time)","value":"09:22:14"},{"id":151,"name":"Denver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4056 --day 2017-07-01</v>
      </c>
      <c r="AN5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752</v>
      </c>
      <c r="B55" s="7">
        <v>4055</v>
      </c>
      <c r="C55" s="21" t="s">
        <v>202</v>
      </c>
      <c r="D55" s="21" t="s">
        <v>478</v>
      </c>
      <c r="E55" s="13">
        <v>42917.392337962963</v>
      </c>
      <c r="F55" s="13">
        <v>42917.404351851852</v>
      </c>
      <c r="G55" s="7">
        <v>1</v>
      </c>
      <c r="H55" s="21" t="s">
        <v>614</v>
      </c>
      <c r="I55" s="13">
        <v>42917.431354166663</v>
      </c>
      <c r="J55" s="7">
        <v>0</v>
      </c>
      <c r="K55" s="89" t="str">
        <f t="shared" si="0"/>
        <v>4055/4056</v>
      </c>
      <c r="L55" s="21" t="str">
        <f>VLOOKUP(A55,'Trips&amp;Operators'!$C$1:$G$99999,5,FALSE)</f>
        <v>DAVIDSON DAVID</v>
      </c>
      <c r="M55" s="6">
        <f t="shared" si="1"/>
        <v>2.700231481139781E-2</v>
      </c>
      <c r="N55" s="7">
        <f t="shared" si="23"/>
        <v>38.883333328412846</v>
      </c>
      <c r="O55" s="7"/>
      <c r="P55" s="7"/>
      <c r="Q55" s="22"/>
      <c r="R55" s="170"/>
      <c r="S55" s="213">
        <f t="shared" si="24"/>
        <v>1</v>
      </c>
      <c r="T55" s="195" t="str">
        <f t="shared" si="2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3"/>
        <v>https://d0f6bd738d7f1b3e5a7ca70fe4ff75f0.us-east-1.aws.found.io/app/kibana#/discover/Steve-Slow-Train-Analysis-(2080s-and-2083s)?_g=(refreshInterval:(display:Off,pause:!f,section:0,value:0),time:(from:'2017-07-01T08:24:58-0600',mode:absolute,to:'2017-07-01T11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5"/>
        <v>23.298400000000001</v>
      </c>
      <c r="Z55" s="197">
        <f t="shared" si="6"/>
        <v>1.6E-2</v>
      </c>
      <c r="AA55" s="197">
        <f t="shared" si="7"/>
        <v>23.282400000000003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8"/>
        <v>142</v>
      </c>
      <c r="AE55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55" s="74" t="str">
        <f t="shared" si="10"/>
        <v>"C:\Program Files (x86)\AstroGrep\AstroGrep.exe" /e /r /s /spath="%USERPROFILE%\AppData\Local\Temp\OnboardLogs" /stypes="app*4055*20170701*" /stext=" 16:.+((SYSTEM_STATE.+slice.+state.+changed )|(ment ac)|(multiple cpu faults)|(system.+state.+changed )|(\[timeout)|(PRM\|1\|D)|(kpr)|(kdp)|(train st.+moving)|(\|lc)|(penalty))"</v>
      </c>
      <c r="AG55" s="209" t="str">
        <f t="shared" si="11"/>
        <v>EC</v>
      </c>
      <c r="AH55" s="78" t="str">
        <f t="shared" si="16"/>
        <v>"%USERPROFILE%\Documents\GitHub\eaglep3\Utilities\RefineRTDCRunTimes.py" --tripid 142-01 --locoid 4055 --swversion DE.1.0.9.0 --startMP 204:232984 --initTime 2017-07-01T09:24:58 --startdatetime 2017-07-01T09:42:16 --delay 1 --endMP 204:160 --enddatetime 2017-07-01T10:21:09 --enforcementcount 0 &gt;&gt;C:\Users\stu\Documents\GitHub\eaglep3-reporting\EC\2017-07-01-refined-times.txt</v>
      </c>
      <c r="AI5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{"issue":{"subject":"","project_id":79,"tracker_id":40,"status_id":1,"priority_id":2,"assigned_to_id":23,"start_date":"2017-07-01","description":"","custom_fields":[{"id":1,"name":"Subdivision","value":"EC"},{"id":4,"name":"Milepost","value":"0.016"},{"id":17,"name":"Train ID","value":"142-01"},{"id":16,"name":"Locomotive ID","value":"4055"},{"id":130,"name":"Impact","value":""},{"id":150,"name":"Time of Event (Mountain Time)","value":"10:21:09"},{"id":151,"name":"Denver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4055 --day 2017-07-01</v>
      </c>
      <c r="AN5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746</v>
      </c>
      <c r="B56" s="7">
        <v>4018</v>
      </c>
      <c r="C56" s="21" t="s">
        <v>202</v>
      </c>
      <c r="D56" s="21" t="s">
        <v>454</v>
      </c>
      <c r="E56" s="13">
        <v>42917.372511574074</v>
      </c>
      <c r="F56" s="13">
        <v>42917.375694444447</v>
      </c>
      <c r="G56" s="7">
        <v>1</v>
      </c>
      <c r="H56" s="21" t="s">
        <v>905</v>
      </c>
      <c r="I56" s="13">
        <v>42917.400208333333</v>
      </c>
      <c r="J56" s="7">
        <v>0</v>
      </c>
      <c r="K56" s="89" t="str">
        <f t="shared" si="0"/>
        <v>4017/4018</v>
      </c>
      <c r="L56" s="21" t="str">
        <f>VLOOKUP(A56,'Trips&amp;Operators'!$C$1:$G$99999,5,FALSE)</f>
        <v>BEAM ROSS</v>
      </c>
      <c r="M56" s="6">
        <f t="shared" si="1"/>
        <v>2.4513888885849155E-2</v>
      </c>
      <c r="N56" s="7">
        <f t="shared" si="23"/>
        <v>35.299999995622784</v>
      </c>
      <c r="O56" s="7"/>
      <c r="P56" s="7"/>
      <c r="Q56" s="22"/>
      <c r="R56" s="170"/>
      <c r="S56" s="213">
        <f t="shared" si="24"/>
        <v>1</v>
      </c>
      <c r="T56" s="195" t="str">
        <f t="shared" si="2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3"/>
        <v>https://d0f6bd738d7f1b3e5a7ca70fe4ff75f0.us-east-1.aws.found.io/app/kibana#/discover/Steve-Slow-Train-Analysis-(2080s-and-2083s)?_g=(refreshInterval:(display:Off,pause:!f,section:0,value:0),time:(from:'2017-07-01T07:56:25-0600',mode:absolute,to:'2017-07-01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5"/>
        <v>4.5499999999999999E-2</v>
      </c>
      <c r="Z56" s="197">
        <f t="shared" si="6"/>
        <v>23.334</v>
      </c>
      <c r="AA56" s="197">
        <f t="shared" si="7"/>
        <v>23.288499999999999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8"/>
        <v>143</v>
      </c>
      <c r="AE56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56" s="74" t="str">
        <f t="shared" si="10"/>
        <v>"C:\Program Files (x86)\AstroGrep\AstroGrep.exe" /e /r /s /spath="%USERPROFILE%\AppData\Local\Temp\OnboardLogs" /stypes="app*4018*20170701*" /stext=" 15:.+((SYSTEM_STATE.+slice.+state.+changed )|(ment ac)|(multiple cpu faults)|(system.+state.+changed )|(\[timeout)|(PRM\|1\|D)|(kpr)|(kdp)|(train st.+moving)|(\|lc)|(penalty))"</v>
      </c>
      <c r="AG56" s="209" t="str">
        <f t="shared" si="11"/>
        <v>EC</v>
      </c>
      <c r="AH56" s="78" t="str">
        <f t="shared" si="16"/>
        <v>"%USERPROFILE%\Documents\GitHub\eaglep3\Utilities\RefineRTDCRunTimes.py" --tripid 143-01 --locoid 4018 --swversion DE.1.0.9.0 --startMP 204:455 --initTime 2017-07-01T08:56:25 --startdatetime 2017-07-01T09:01:00 --delay 1 --endMP 204:233340 --enddatetime 2017-07-01T09:36:18 --enforcementcount 0 &gt;&gt;C:\Users\stu\Documents\GitHub\eaglep3-reporting\EC\2017-07-01-refined-times.txt</v>
      </c>
      <c r="AI5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{"issue":{"subject":"","project_id":79,"tracker_id":40,"status_id":1,"priority_id":2,"assigned_to_id":23,"start_date":"2017-07-01","description":"","custom_fields":[{"id":1,"name":"Subdivision","value":"EC"},{"id":4,"name":"Milepost","value":"23.334"},{"id":17,"name":"Train ID","value":"143-01"},{"id":16,"name":"Locomotive ID","value":"4018"},{"id":130,"name":"Impact","value":""},{"id":150,"name":"Time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4018 --day 2017-07-01</v>
      </c>
      <c r="AN5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755</v>
      </c>
      <c r="B57" s="7">
        <v>4017</v>
      </c>
      <c r="C57" s="21" t="s">
        <v>202</v>
      </c>
      <c r="D57" s="21" t="s">
        <v>549</v>
      </c>
      <c r="E57" s="13">
        <v>42917.403553240743</v>
      </c>
      <c r="F57" s="13">
        <v>42917.414826388886</v>
      </c>
      <c r="G57" s="7">
        <v>1</v>
      </c>
      <c r="H57" s="21" t="s">
        <v>394</v>
      </c>
      <c r="I57" s="13">
        <v>42917.440868055557</v>
      </c>
      <c r="J57" s="7">
        <v>0</v>
      </c>
      <c r="K57" s="89" t="str">
        <f t="shared" si="0"/>
        <v>4017/4018</v>
      </c>
      <c r="L57" s="21" t="str">
        <f>VLOOKUP(A57,'Trips&amp;Operators'!$C$1:$G$99999,5,FALSE)</f>
        <v>BEAM ROSS</v>
      </c>
      <c r="M57" s="6">
        <f t="shared" si="1"/>
        <v>2.6041666671517305E-2</v>
      </c>
      <c r="N57" s="7">
        <f t="shared" si="23"/>
        <v>37.500000006984919</v>
      </c>
      <c r="O57" s="7"/>
      <c r="P57" s="7"/>
      <c r="Q57" s="22"/>
      <c r="R57" s="170"/>
      <c r="S57" s="213">
        <f t="shared" si="24"/>
        <v>1</v>
      </c>
      <c r="T57" s="195" t="str">
        <f t="shared" si="2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3"/>
        <v>https://d0f6bd738d7f1b3e5a7ca70fe4ff75f0.us-east-1.aws.found.io/app/kibana#/discover/Steve-Slow-Train-Analysis-(2080s-and-2083s)?_g=(refreshInterval:(display:Off,pause:!f,section:0,value:0),time:(from:'2017-07-01T08:41:07-0600',mode:absolute,to:'2017-07-01T11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5"/>
        <v>23.300599999999999</v>
      </c>
      <c r="Z57" s="197">
        <f t="shared" si="6"/>
        <v>1.54E-2</v>
      </c>
      <c r="AA57" s="197">
        <f t="shared" si="7"/>
        <v>23.2852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8"/>
        <v>144</v>
      </c>
      <c r="AE57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57" s="74" t="str">
        <f t="shared" si="10"/>
        <v>"C:\Program Files (x86)\AstroGrep\AstroGrep.exe" /e /r /s /spath="%USERPROFILE%\AppData\Local\Temp\OnboardLogs" /stypes="app*4017*20170701*" /stext=" 16:.+((SYSTEM_STATE.+slice.+state.+changed )|(ment ac)|(multiple cpu faults)|(system.+state.+changed )|(\[timeout)|(PRM\|1\|D)|(kpr)|(kdp)|(train st.+moving)|(\|lc)|(penalty))"</v>
      </c>
      <c r="AG57" s="209" t="str">
        <f t="shared" si="11"/>
        <v>EC</v>
      </c>
      <c r="AH57" s="78" t="str">
        <f t="shared" si="16"/>
        <v>"%USERPROFILE%\Documents\GitHub\eaglep3\Utilities\RefineRTDCRunTimes.py" --tripid 144-01 --locoid 4017 --swversion DE.1.0.9.0 --startMP 204:233006 --initTime 2017-07-01T09:41:07 --startdatetime 2017-07-01T09:57:21 --delay 1 --endMP 204:154 --enddatetime 2017-07-01T10:34:51 --enforcementcount 0 &gt;&gt;C:\Users\stu\Documents\GitHub\eaglep3-reporting\EC\2017-07-01-refined-times.txt</v>
      </c>
      <c r="AI5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ID","value":"144-01"},{"id":16,"name":"Locomotive ID","value":"4017"},{"id":130,"name":"Impact","value":""},{"id":150,"name":"Time of Event (Mountain Time)","value":"10:34:51"},{"id":151,"name":"Denver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4017 --day 2017-07-01</v>
      </c>
      <c r="AN5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749</v>
      </c>
      <c r="B58" s="7">
        <v>4030</v>
      </c>
      <c r="C58" s="21" t="s">
        <v>202</v>
      </c>
      <c r="D58" s="21" t="s">
        <v>450</v>
      </c>
      <c r="E58" s="13">
        <v>42917.380671296298</v>
      </c>
      <c r="F58" s="13">
        <v>42917.385949074072</v>
      </c>
      <c r="G58" s="7">
        <v>1</v>
      </c>
      <c r="H58" s="21" t="s">
        <v>509</v>
      </c>
      <c r="I58" s="13">
        <v>42917.41128472222</v>
      </c>
      <c r="J58" s="7">
        <v>0</v>
      </c>
      <c r="K58" s="89" t="str">
        <f t="shared" si="0"/>
        <v>4029/4030</v>
      </c>
      <c r="L58" s="21" t="str">
        <f>VLOOKUP(A58,'Trips&amp;Operators'!$C$1:$G$99999,5,FALSE)</f>
        <v>GUZMAN DANNY</v>
      </c>
      <c r="M58" s="6">
        <f t="shared" si="1"/>
        <v>2.5335648148029577E-2</v>
      </c>
      <c r="N58" s="7">
        <f t="shared" si="23"/>
        <v>36.483333333162591</v>
      </c>
      <c r="O58" s="7"/>
      <c r="P58" s="7"/>
      <c r="Q58" s="22"/>
      <c r="R58" s="170"/>
      <c r="S58" s="213">
        <f t="shared" si="24"/>
        <v>1</v>
      </c>
      <c r="T58" s="195" t="str">
        <f t="shared" si="2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3"/>
        <v>https://d0f6bd738d7f1b3e5a7ca70fe4ff75f0.us-east-1.aws.found.io/app/kibana#/discover/Steve-Slow-Train-Analysis-(2080s-and-2083s)?_g=(refreshInterval:(display:Off,pause:!f,section:0,value:0),time:(from:'2017-07-01T08:08:10-0600',mode:absolute,to:'2017-07-01T10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5"/>
        <v>4.3799999999999999E-2</v>
      </c>
      <c r="Z58" s="197">
        <f t="shared" si="6"/>
        <v>23.3291</v>
      </c>
      <c r="AA58" s="197">
        <f t="shared" si="7"/>
        <v>23.285299999999999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8"/>
        <v>145</v>
      </c>
      <c r="AE58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58" s="74" t="str">
        <f t="shared" si="10"/>
        <v>"C:\Program Files (x86)\AstroGrep\AstroGrep.exe" /e /r /s /spath="%USERPROFILE%\AppData\Local\Temp\OnboardLogs" /stypes="app*4030*20170701*" /stext=" 15:.+((SYSTEM_STATE.+slice.+state.+changed )|(ment ac)|(multiple cpu faults)|(system.+state.+changed )|(\[timeout)|(PRM\|1\|D)|(kpr)|(kdp)|(train st.+moving)|(\|lc)|(penalty))"</v>
      </c>
      <c r="AG58" s="209" t="str">
        <f t="shared" si="11"/>
        <v>EC</v>
      </c>
      <c r="AH58" s="78" t="str">
        <f t="shared" si="16"/>
        <v>"%USERPROFILE%\Documents\GitHub\eaglep3\Utilities\RefineRTDCRunTimes.py" --tripid 145-01 --locoid 4030 --swversion DE.1.0.9.0 --startMP 204:438 --initTime 2017-07-01T09:08:10 --startdatetime 2017-07-01T09:15:46 --delay 1 --endMP 204:233291 --enddatetime 2017-07-01T09:52:15 --enforcementcount 0 &gt;&gt;C:\Users\stu\Documents\GitHub\eaglep3-reporting\EC\2017-07-01-refined-times.txt</v>
      </c>
      <c r="AI5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{"issue":{"subject":"","project_id":79,"tracker_id":40,"status_id":1,"priority_id":2,"assigned_to_id":23,"start_date":"2017-07-01","description":"","custom_fields":[{"id":1,"name":"Subdivision","value":"EC"},{"id":4,"name":"Milepost","value":"23.3291"},{"id":17,"name":"Train ID","value":"145-01"},{"id":16,"name":"Locomotive ID","value":"4030"},{"id":130,"name":"Impact","value":""},{"id":150,"name":"Time of Event (Mountain Time)","value":"09:52:15"},{"id":151,"name":"Denver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4030 --day 2017-07-01</v>
      </c>
      <c r="AN5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757</v>
      </c>
      <c r="B59" s="7">
        <v>4029</v>
      </c>
      <c r="C59" s="21" t="s">
        <v>202</v>
      </c>
      <c r="D59" s="21" t="s">
        <v>906</v>
      </c>
      <c r="E59" s="13">
        <v>42917.413043981483</v>
      </c>
      <c r="F59" s="13">
        <v>42917.425243055557</v>
      </c>
      <c r="G59" s="7">
        <v>1</v>
      </c>
      <c r="H59" s="21" t="s">
        <v>348</v>
      </c>
      <c r="I59" s="13">
        <v>42917.451863425929</v>
      </c>
      <c r="J59" s="7">
        <v>0</v>
      </c>
      <c r="K59" s="89" t="str">
        <f t="shared" si="0"/>
        <v>4029/4030</v>
      </c>
      <c r="L59" s="21" t="str">
        <f>VLOOKUP(A59,'Trips&amp;Operators'!$C$1:$G$99999,5,FALSE)</f>
        <v>GUZMAN DANNY</v>
      </c>
      <c r="M59" s="6">
        <f t="shared" si="1"/>
        <v>2.662037037225673E-2</v>
      </c>
      <c r="N59" s="7">
        <f t="shared" si="23"/>
        <v>38.333333336049691</v>
      </c>
      <c r="O59" s="7"/>
      <c r="P59" s="7"/>
      <c r="Q59" s="22"/>
      <c r="R59" s="170"/>
      <c r="S59" s="213">
        <f t="shared" si="24"/>
        <v>1</v>
      </c>
      <c r="T59" s="195" t="str">
        <f t="shared" si="2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3"/>
        <v>https://d0f6bd738d7f1b3e5a7ca70fe4ff75f0.us-east-1.aws.found.io/app/kibana#/discover/Steve-Slow-Train-Analysis-(2080s-and-2083s)?_g=(refreshInterval:(display:Off,pause:!f,section:0,value:0),time:(from:'2017-07-01T08:54:47-0600',mode:absolute,to:'2017-07-01T11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5"/>
        <v>23.297499999999999</v>
      </c>
      <c r="Z59" s="197">
        <f t="shared" si="6"/>
        <v>1.4999999999999999E-2</v>
      </c>
      <c r="AA59" s="197">
        <f t="shared" si="7"/>
        <v>23.282499999999999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8"/>
        <v>146</v>
      </c>
      <c r="AE59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59" s="74" t="str">
        <f t="shared" si="10"/>
        <v>"C:\Program Files (x86)\AstroGrep\AstroGrep.exe" /e /r /s /spath="%USERPROFILE%\AppData\Local\Temp\OnboardLogs" /stypes="app*4029*20170701*" /stext=" 16:.+((SYSTEM_STATE.+slice.+state.+changed )|(ment ac)|(multiple cpu faults)|(system.+state.+changed )|(\[timeout)|(PRM\|1\|D)|(kpr)|(kdp)|(train st.+moving)|(\|lc)|(penalty))"</v>
      </c>
      <c r="AG59" s="209" t="str">
        <f t="shared" si="11"/>
        <v>EC</v>
      </c>
      <c r="AH59" s="78" t="str">
        <f t="shared" si="16"/>
        <v>"%USERPROFILE%\Documents\GitHub\eaglep3\Utilities\RefineRTDCRunTimes.py" --tripid 146-01 --locoid 4029 --swversion DE.1.0.9.0 --startMP 204:232975 --initTime 2017-07-01T09:54:47 --startdatetime 2017-07-01T10:12:21 --delay 1 --endMP 204:150 --enddatetime 2017-07-01T10:50:41 --enforcementcount 0 &gt;&gt;C:\Users\stu\Documents\GitHub\eaglep3-reporting\EC\2017-07-01-refined-times.txt</v>
      </c>
      <c r="AI5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ID","value":"146-01"},{"id":16,"name":"Locomotive ID","value":"4029"},{"id":130,"name":"Impact","value":""},{"id":150,"name":"Time of Event (Mountain Time)","value":"10:50:41"},{"id":151,"name":"Denver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4029 --day 2017-07-01</v>
      </c>
      <c r="AN5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751</v>
      </c>
      <c r="B60" s="7">
        <v>4028</v>
      </c>
      <c r="C60" s="21" t="s">
        <v>202</v>
      </c>
      <c r="D60" s="21" t="s">
        <v>198</v>
      </c>
      <c r="E60" s="13">
        <v>42917.39203703704</v>
      </c>
      <c r="F60" s="13">
        <v>42917.396354166667</v>
      </c>
      <c r="G60" s="7">
        <v>1</v>
      </c>
      <c r="H60" s="21" t="s">
        <v>511</v>
      </c>
      <c r="I60" s="13">
        <v>42917.422384259262</v>
      </c>
      <c r="J60" s="7">
        <v>0</v>
      </c>
      <c r="K60" s="89" t="str">
        <f t="shared" si="0"/>
        <v>4027/4028</v>
      </c>
      <c r="L60" s="21" t="str">
        <f>VLOOKUP(A60,'Trips&amp;Operators'!$C$1:$G$99999,5,FALSE)</f>
        <v>DAVIS WENDY</v>
      </c>
      <c r="M60" s="6">
        <f t="shared" si="1"/>
        <v>2.6030092594737653E-2</v>
      </c>
      <c r="N60" s="7">
        <f t="shared" si="23"/>
        <v>37.48333333642222</v>
      </c>
      <c r="O60" s="7"/>
      <c r="P60" s="7"/>
      <c r="Q60" s="22"/>
      <c r="R60" s="170"/>
      <c r="S60" s="213">
        <f t="shared" si="24"/>
        <v>1</v>
      </c>
      <c r="T60" s="195" t="str">
        <f t="shared" si="2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3"/>
        <v>https://d0f6bd738d7f1b3e5a7ca70fe4ff75f0.us-east-1.aws.found.io/app/kibana#/discover/Steve-Slow-Train-Analysis-(2080s-and-2083s)?_g=(refreshInterval:(display:Off,pause:!f,section:0,value:0),time:(from:'2017-07-01T08:24:32-0600',mode:absolute,to:'2017-07-01T11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5"/>
        <v>4.5699999999999998E-2</v>
      </c>
      <c r="Z60" s="197">
        <f t="shared" si="6"/>
        <v>23.331900000000001</v>
      </c>
      <c r="AA60" s="197">
        <f t="shared" si="7"/>
        <v>23.286200000000001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8"/>
        <v>147</v>
      </c>
      <c r="AE60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60" s="74" t="str">
        <f t="shared" si="10"/>
        <v>"C:\Program Files (x86)\AstroGrep\AstroGrep.exe" /e /r /s /spath="%USERPROFILE%\AppData\Local\Temp\OnboardLogs" /stypes="app*4028*20170701*" /stext=" 16:.+((SYSTEM_STATE.+slice.+state.+changed )|(ment ac)|(multiple cpu faults)|(system.+state.+changed )|(\[timeout)|(PRM\|1\|D)|(kpr)|(kdp)|(train st.+moving)|(\|lc)|(penalty))"</v>
      </c>
      <c r="AG60" s="209" t="str">
        <f t="shared" si="11"/>
        <v>EC</v>
      </c>
      <c r="AH60" s="78" t="str">
        <f t="shared" si="16"/>
        <v>"%USERPROFILE%\Documents\GitHub\eaglep3\Utilities\RefineRTDCRunTimes.py" --tripid 147-01 --locoid 4028 --swversion DE.1.0.9.0 --startMP 204:457 --initTime 2017-07-01T09:24:32 --startdatetime 2017-07-01T09:30:45 --delay 1 --endMP 204:233319 --enddatetime 2017-07-01T10:08:14 --enforcementcount 0 &gt;&gt;C:\Users\stu\Documents\GitHub\eaglep3-reporting\EC\2017-07-01-refined-times.txt</v>
      </c>
      <c r="AI6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ID","value":"147-01"},{"id":16,"name":"Locomotive ID","value":"4028"},{"id":130,"name":"Impact","value":""},{"id":150,"name":"Time of Event (Mountain Time)","value":"10:08:14"},{"id":151,"name":"Denver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4028 --day 2017-07-01</v>
      </c>
      <c r="AN6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762</v>
      </c>
      <c r="B61" s="7">
        <v>4027</v>
      </c>
      <c r="C61" s="21" t="s">
        <v>202</v>
      </c>
      <c r="D61" s="21" t="s">
        <v>907</v>
      </c>
      <c r="E61" s="13">
        <v>42917.433865740742</v>
      </c>
      <c r="F61" s="13">
        <v>42917.435578703706</v>
      </c>
      <c r="G61" s="7">
        <v>0</v>
      </c>
      <c r="H61" s="21" t="s">
        <v>194</v>
      </c>
      <c r="I61" s="13">
        <v>42917.462430555555</v>
      </c>
      <c r="J61" s="7">
        <v>0</v>
      </c>
      <c r="K61" s="89" t="str">
        <f t="shared" si="0"/>
        <v>4027/4028</v>
      </c>
      <c r="L61" s="21" t="str">
        <f>VLOOKUP(A61,'Trips&amp;Operators'!$C$1:$G$99999,5,FALSE)</f>
        <v>DAVIS WENDY</v>
      </c>
      <c r="M61" s="6">
        <f t="shared" si="1"/>
        <v>2.6851851849642117E-2</v>
      </c>
      <c r="N61" s="7">
        <f t="shared" si="23"/>
        <v>38.666666663484648</v>
      </c>
      <c r="O61" s="7"/>
      <c r="P61" s="7"/>
      <c r="Q61" s="22"/>
      <c r="R61" s="170"/>
      <c r="S61" s="213">
        <f t="shared" si="24"/>
        <v>1</v>
      </c>
      <c r="T61" s="195" t="str">
        <f t="shared" si="2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3"/>
        <v>https://d0f6bd738d7f1b3e5a7ca70fe4ff75f0.us-east-1.aws.found.io/app/kibana#/discover/Steve-Slow-Train-Analysis-(2080s-and-2083s)?_g=(refreshInterval:(display:Off,pause:!f,section:0,value:0),time:(from:'2017-07-01T09:24:46-0600',mode:absolute,to:'2017-07-01T12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5"/>
        <v>23.302099999999999</v>
      </c>
      <c r="Z61" s="197">
        <f t="shared" si="6"/>
        <v>1.5800000000000002E-2</v>
      </c>
      <c r="AA61" s="197">
        <f t="shared" si="7"/>
        <v>23.286300000000001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8"/>
        <v>148</v>
      </c>
      <c r="AE61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61" s="74" t="str">
        <f t="shared" si="10"/>
        <v>"C:\Program Files (x86)\AstroGrep\AstroGrep.exe" /e /r /s /spath="%USERPROFILE%\AppData\Local\Temp\OnboardLogs" /stypes="app*4027*20170701*" /stext=" 17:.+((SYSTEM_STATE.+slice.+state.+changed )|(ment ac)|(multiple cpu faults)|(system.+state.+changed )|(\[timeout)|(PRM\|1\|D)|(kpr)|(kdp)|(train st.+moving)|(\|lc)|(penalty))"</v>
      </c>
      <c r="AG61" s="209" t="str">
        <f t="shared" si="11"/>
        <v>EC</v>
      </c>
      <c r="AH61" s="78" t="str">
        <f t="shared" si="16"/>
        <v>"%USERPROFILE%\Documents\GitHub\eaglep3\Utilities\RefineRTDCRunTimes.py" --tripid 148-01 --locoid 4027 --swversion DE.1.0.9.0 --startMP 204:233021 --initTime 2017-07-01T10:24:46 --startdatetime 2017-07-01T10:27:14 --delay 0 --endMP 204:158 --enddatetime 2017-07-01T11:05:54 --enforcementcount 0 &gt;&gt;C:\Users\stu\Documents\GitHub\eaglep3-reporting\EC\2017-07-01-refined-times.txt</v>
      </c>
      <c r="AI6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{"issue":{"subject":"","project_id":79,"tracker_id":40,"status_id":1,"priority_id":2,"assigned_to_id":23,"start_date":"2017-07-01","description":"","custom_fields":[{"id":1,"name":"Subdivision","value":"EC"},{"id":4,"name":"Milepost","value":"0.0158"},{"id":17,"name":"Train ID","value":"148-01"},{"id":16,"name":"Locomotive ID","value":"4027"},{"id":130,"name":"Impact","value":""},{"id":150,"name":"Time of Event (Mountain Time)","value":"11:05:54"},{"id":151,"name":"Denver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4027 --day 2017-07-01</v>
      </c>
      <c r="AN6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754</v>
      </c>
      <c r="B62" s="7">
        <v>4014</v>
      </c>
      <c r="C62" s="21" t="s">
        <v>202</v>
      </c>
      <c r="D62" s="21" t="s">
        <v>470</v>
      </c>
      <c r="E62" s="13">
        <v>42917.401817129627</v>
      </c>
      <c r="F62" s="13">
        <v>42917.406747685185</v>
      </c>
      <c r="G62" s="7">
        <v>1</v>
      </c>
      <c r="H62" s="21" t="s">
        <v>616</v>
      </c>
      <c r="I62" s="13">
        <v>42917.431458333333</v>
      </c>
      <c r="J62" s="7">
        <v>0</v>
      </c>
      <c r="K62" s="89" t="str">
        <f t="shared" si="0"/>
        <v>4013/4014</v>
      </c>
      <c r="L62" s="21" t="str">
        <f>VLOOKUP(A62,'Trips&amp;Operators'!$C$1:$G$99999,5,FALSE)</f>
        <v>GEBRETEKLE DAGNEW</v>
      </c>
      <c r="M62" s="6">
        <f t="shared" si="1"/>
        <v>2.47106481474475E-2</v>
      </c>
      <c r="N62" s="7">
        <f t="shared" si="23"/>
        <v>35.583333332324401</v>
      </c>
      <c r="O62" s="7"/>
      <c r="P62" s="7"/>
      <c r="Q62" s="22"/>
      <c r="R62" s="170"/>
      <c r="S62" s="213">
        <f t="shared" si="24"/>
        <v>1</v>
      </c>
      <c r="T62" s="195" t="str">
        <f t="shared" si="2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3"/>
        <v>https://d0f6bd738d7f1b3e5a7ca70fe4ff75f0.us-east-1.aws.found.io/app/kibana#/discover/Steve-Slow-Train-Analysis-(2080s-and-2083s)?_g=(refreshInterval:(display:Off,pause:!f,section:0,value:0),time:(from:'2017-07-01T08:38:37-0600',mode:absolute,to:'2017-07-01T11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5"/>
        <v>4.58E-2</v>
      </c>
      <c r="Z62" s="197">
        <f t="shared" si="6"/>
        <v>23.3353</v>
      </c>
      <c r="AA62" s="197">
        <f t="shared" si="7"/>
        <v>23.2895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8"/>
        <v>149</v>
      </c>
      <c r="AE62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62" s="74" t="str">
        <f t="shared" si="10"/>
        <v>"C:\Program Files (x86)\AstroGrep\AstroGrep.exe" /e /r /s /spath="%USERPROFILE%\AppData\Local\Temp\OnboardLogs" /stypes="app*4014*20170701*" /stext=" 16:.+((SYSTEM_STATE.+slice.+state.+changed )|(ment ac)|(multiple cpu faults)|(system.+state.+changed )|(\[timeout)|(PRM\|1\|D)|(kpr)|(kdp)|(train st.+moving)|(\|lc)|(penalty))"</v>
      </c>
      <c r="AG62" s="209" t="str">
        <f t="shared" si="11"/>
        <v>EC</v>
      </c>
      <c r="AH62" s="78" t="str">
        <f t="shared" si="16"/>
        <v>"%USERPROFILE%\Documents\GitHub\eaglep3\Utilities\RefineRTDCRunTimes.py" --tripid 149-01 --locoid 4014 --swversion DE.1.0.9.0 --startMP 204:458 --initTime 2017-07-01T09:38:37 --startdatetime 2017-07-01T09:45:43 --delay 1 --endMP 204:233353 --enddatetime 2017-07-01T10:21:18 --enforcementcount 0 &gt;&gt;C:\Users\stu\Documents\GitHub\eaglep3-reporting\EC\2017-07-01-refined-times.txt</v>
      </c>
      <c r="AI6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{"issue":{"subject":"","project_id":79,"tracker_id":40,"status_id":1,"priority_id":2,"assigned_to_id":23,"start_date":"2017-07-01","description":"","custom_fields":[{"id":1,"name":"Subdivision","value":"EC"},{"id":4,"name":"Milepost","value":"23.3353"},{"id":17,"name":"Train ID","value":"149-01"},{"id":16,"name":"Locomotive ID","value":"4014"},{"id":130,"name":"Impact","value":""},{"id":150,"name":"Time of Event (Mountain Time)","value":"10:21:18"},{"id":151,"name":"Denver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4014 --day 2017-07-01</v>
      </c>
      <c r="AN6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761</v>
      </c>
      <c r="B63" s="7">
        <v>4013</v>
      </c>
      <c r="C63" s="21" t="s">
        <v>202</v>
      </c>
      <c r="D63" s="21" t="s">
        <v>908</v>
      </c>
      <c r="E63" s="13">
        <v>42917.432939814818</v>
      </c>
      <c r="F63" s="13">
        <v>42917.446076388886</v>
      </c>
      <c r="G63" s="7">
        <v>1</v>
      </c>
      <c r="H63" s="21" t="s">
        <v>436</v>
      </c>
      <c r="I63" s="13">
        <v>42917.472881944443</v>
      </c>
      <c r="J63" s="7">
        <v>0</v>
      </c>
      <c r="K63" s="89" t="str">
        <f t="shared" si="0"/>
        <v>4013/4014</v>
      </c>
      <c r="L63" s="21" t="str">
        <f>VLOOKUP(A63,'Trips&amp;Operators'!$C$1:$G$99999,5,FALSE)</f>
        <v>GEBRETEKLE DAGNEW</v>
      </c>
      <c r="M63" s="6">
        <f t="shared" si="1"/>
        <v>2.6805555557075422E-2</v>
      </c>
      <c r="N63" s="7">
        <f t="shared" si="23"/>
        <v>38.600000002188608</v>
      </c>
      <c r="O63" s="7"/>
      <c r="P63" s="7"/>
      <c r="Q63" s="22"/>
      <c r="R63" s="170"/>
      <c r="S63" s="213">
        <f t="shared" si="24"/>
        <v>1</v>
      </c>
      <c r="T63" s="195" t="str">
        <f t="shared" si="2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3"/>
        <v>https://d0f6bd738d7f1b3e5a7ca70fe4ff75f0.us-east-1.aws.found.io/app/kibana#/discover/Steve-Slow-Train-Analysis-(2080s-and-2083s)?_g=(refreshInterval:(display:Off,pause:!f,section:0,value:0),time:(from:'2017-07-01T09:23:26-0600',mode:absolute,to:'2017-07-01T12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5"/>
        <v>23.307600000000001</v>
      </c>
      <c r="Z63" s="197">
        <f t="shared" si="6"/>
        <v>1.5599999999999999E-2</v>
      </c>
      <c r="AA63" s="197">
        <f t="shared" si="7"/>
        <v>23.292000000000002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8"/>
        <v>150</v>
      </c>
      <c r="AE63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63" s="74" t="str">
        <f t="shared" si="10"/>
        <v>"C:\Program Files (x86)\AstroGrep\AstroGrep.exe" /e /r /s /spath="%USERPROFILE%\AppData\Local\Temp\OnboardLogs" /stypes="app*4013*20170701*" /stext=" 17:.+((SYSTEM_STATE.+slice.+state.+changed )|(ment ac)|(multiple cpu faults)|(system.+state.+changed )|(\[timeout)|(PRM\|1\|D)|(kpr)|(kdp)|(train st.+moving)|(\|lc)|(penalty))"</v>
      </c>
      <c r="AG63" s="209" t="str">
        <f t="shared" si="11"/>
        <v>EC</v>
      </c>
      <c r="AH63" s="78" t="str">
        <f t="shared" si="16"/>
        <v>"%USERPROFILE%\Documents\GitHub\eaglep3\Utilities\RefineRTDCRunTimes.py" --tripid 150-01 --locoid 4013 --swversion DE.1.0.9.0 --startMP 204:233076 --initTime 2017-07-01T10:23:26 --startdatetime 2017-07-01T10:42:21 --delay 1 --endMP 204:156 --enddatetime 2017-07-01T11:20:57 --enforcementcount 0 &gt;&gt;C:\Users\stu\Documents\GitHub\eaglep3-reporting\EC\2017-07-01-refined-times.txt</v>
      </c>
      <c r="AI6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{"issue":{"subject":"","project_id":79,"tracker_id":40,"status_id":1,"priority_id":2,"assigned_to_id":23,"start_date":"2017-07-01","description":"","custom_fields":[{"id":1,"name":"Subdivision","value":"EC"},{"id":4,"name":"Milepost","value":"0.0156"},{"id":17,"name":"Train ID","value":"150-01"},{"id":16,"name":"Locomotive ID","value":"4013"},{"id":130,"name":"Impact","value":""},{"id":150,"name":"Time of Event (Mountain Time)","value":"11:20:57"},{"id":151,"name":"Denver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4013 --day 2017-07-01</v>
      </c>
      <c r="AN6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756</v>
      </c>
      <c r="B64" s="7">
        <v>4062</v>
      </c>
      <c r="C64" s="21" t="s">
        <v>202</v>
      </c>
      <c r="D64" s="21" t="s">
        <v>391</v>
      </c>
      <c r="E64" s="13">
        <v>42917.412523148145</v>
      </c>
      <c r="F64" s="13">
        <v>42917.417291666665</v>
      </c>
      <c r="G64" s="7">
        <v>1</v>
      </c>
      <c r="H64" s="21" t="s">
        <v>909</v>
      </c>
      <c r="I64" s="13">
        <v>42917.440937500003</v>
      </c>
      <c r="J64" s="7">
        <v>0</v>
      </c>
      <c r="K64" s="89" t="str">
        <f t="shared" si="0"/>
        <v>4061/4062</v>
      </c>
      <c r="L64" s="21" t="str">
        <f>VLOOKUP(A64,'Trips&amp;Operators'!$C$1:$G$99999,5,FALSE)</f>
        <v>LALONDE GREGORY</v>
      </c>
      <c r="M64" s="6">
        <f t="shared" si="1"/>
        <v>2.3645833338377997E-2</v>
      </c>
      <c r="N64" s="7">
        <f t="shared" si="23"/>
        <v>34.050000007264316</v>
      </c>
      <c r="O64" s="7"/>
      <c r="P64" s="7"/>
      <c r="Q64" s="22"/>
      <c r="R64" s="170"/>
      <c r="S64" s="213">
        <f t="shared" si="24"/>
        <v>1</v>
      </c>
      <c r="T64" s="195" t="str">
        <f t="shared" si="2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3"/>
        <v>https://d0f6bd738d7f1b3e5a7ca70fe4ff75f0.us-east-1.aws.found.io/app/kibana#/discover/Steve-Slow-Train-Analysis-(2080s-and-2083s)?_g=(refreshInterval:(display:Off,pause:!f,section:0,value:0),time:(from:'2017-07-01T08:54:02-0600',mode:absolute,to:'2017-07-01T11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5"/>
        <v>4.6199999999999998E-2</v>
      </c>
      <c r="Z64" s="197">
        <f t="shared" si="6"/>
        <v>23.335100000000001</v>
      </c>
      <c r="AA64" s="197">
        <f t="shared" si="7"/>
        <v>23.288900000000002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8"/>
        <v>151</v>
      </c>
      <c r="AE64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64" s="74" t="str">
        <f t="shared" si="10"/>
        <v>"C:\Program Files (x86)\AstroGrep\AstroGrep.exe" /e /r /s /spath="%USERPROFILE%\AppData\Local\Temp\OnboardLogs" /stypes="app*4062*20170701*" /stext=" 16:.+((SYSTEM_STATE.+slice.+state.+changed )|(ment ac)|(multiple cpu faults)|(system.+state.+changed )|(\[timeout)|(PRM\|1\|D)|(kpr)|(kdp)|(train st.+moving)|(\|lc)|(penalty))"</v>
      </c>
      <c r="AG64" s="209" t="str">
        <f t="shared" si="11"/>
        <v>EC</v>
      </c>
      <c r="AH64" s="78" t="str">
        <f t="shared" si="16"/>
        <v>"%USERPROFILE%\Documents\GitHub\eaglep3\Utilities\RefineRTDCRunTimes.py" --tripid 151-01 --locoid 4062 --swversion DE.1.0.9.0 --startMP 204:462 --initTime 2017-07-01T09:54:02 --startdatetime 2017-07-01T10:00:54 --delay 1 --endMP 204:233351 --enddatetime 2017-07-01T10:34:57 --enforcementcount 0 &gt;&gt;C:\Users\stu\Documents\GitHub\eaglep3-reporting\EC\2017-07-01-refined-times.txt</v>
      </c>
      <c r="AI6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{"issue":{"subject":"","project_id":79,"tracker_id":40,"status_id":1,"priority_id":2,"assigned_to_id":23,"start_date":"2017-07-01","description":"","custom_fields":[{"id":1,"name":"Subdivision","value":"EC"},{"id":4,"name":"Milepost","value":"23.3351"},{"id":17,"name":"Train ID","value":"151-01"},{"id":16,"name":"Locomotive ID","value":"4062"},{"id":130,"name":"Impact","value":""},{"id":150,"name":"Time of Event (Mountain Time)","value":"10:34:57"},{"id":151,"name":"Denver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4062 --day 2017-07-01</v>
      </c>
      <c r="AN6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765</v>
      </c>
      <c r="B65" s="7">
        <v>4061</v>
      </c>
      <c r="C65" s="21" t="s">
        <v>202</v>
      </c>
      <c r="D65" s="21" t="s">
        <v>910</v>
      </c>
      <c r="E65" s="13">
        <v>42917.445451388892</v>
      </c>
      <c r="F65" s="13">
        <v>42917.456400462965</v>
      </c>
      <c r="G65" s="7">
        <v>0</v>
      </c>
      <c r="H65" s="21" t="s">
        <v>359</v>
      </c>
      <c r="I65" s="13">
        <v>42917.481909722221</v>
      </c>
      <c r="J65" s="7">
        <v>0</v>
      </c>
      <c r="K65" s="89" t="str">
        <f t="shared" si="0"/>
        <v>4061/4062</v>
      </c>
      <c r="L65" s="21" t="str">
        <f>VLOOKUP(A65,'Trips&amp;Operators'!$C$1:$G$99999,5,FALSE)</f>
        <v>LALONDE GREGORY</v>
      </c>
      <c r="M65" s="6">
        <f t="shared" si="1"/>
        <v>2.5509259256068617E-2</v>
      </c>
      <c r="N65" s="7">
        <f t="shared" si="23"/>
        <v>36.733333328738809</v>
      </c>
      <c r="O65" s="7"/>
      <c r="P65" s="7"/>
      <c r="Q65" s="22"/>
      <c r="R65" s="170"/>
      <c r="S65" s="213">
        <f t="shared" si="24"/>
        <v>1</v>
      </c>
      <c r="T65" s="195" t="str">
        <f t="shared" si="2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3"/>
        <v>https://d0f6bd738d7f1b3e5a7ca70fe4ff75f0.us-east-1.aws.found.io/app/kibana#/discover/Steve-Slow-Train-Analysis-(2080s-and-2083s)?_g=(refreshInterval:(display:Off,pause:!f,section:0,value:0),time:(from:'2017-07-01T09:41:27-0600',mode:absolute,to:'2017-07-01T12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5"/>
        <v>23.303599999999999</v>
      </c>
      <c r="Z65" s="197">
        <f t="shared" si="6"/>
        <v>1.47E-2</v>
      </c>
      <c r="AA65" s="197">
        <f t="shared" si="7"/>
        <v>23.288899999999998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8"/>
        <v>152</v>
      </c>
      <c r="AE65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65" s="74" t="str">
        <f t="shared" si="10"/>
        <v>"C:\Program Files (x86)\AstroGrep\AstroGrep.exe" /e /r /s /spath="%USERPROFILE%\AppData\Local\Temp\OnboardLogs" /stypes="app*4061*20170701*" /stext=" 17:.+((SYSTEM_STATE.+slice.+state.+changed )|(ment ac)|(multiple cpu faults)|(system.+state.+changed )|(\[timeout)|(PRM\|1\|D)|(kpr)|(kdp)|(train st.+moving)|(\|lc)|(penalty))"</v>
      </c>
      <c r="AG65" s="209" t="str">
        <f t="shared" si="11"/>
        <v>EC</v>
      </c>
      <c r="AH65" s="78" t="str">
        <f t="shared" si="16"/>
        <v>"%USERPROFILE%\Documents\GitHub\eaglep3\Utilities\RefineRTDCRunTimes.py" --tripid 152-01 --locoid 4061 --swversion DE.1.0.9.0 --startMP 204:233036 --initTime 2017-07-01T10:41:27 --startdatetime 2017-07-01T10:57:13 --delay 0 --endMP 204:147 --enddatetime 2017-07-01T11:33:57 --enforcementcount 0 &gt;&gt;C:\Users\stu\Documents\GitHub\eaglep3-reporting\EC\2017-07-01-refined-times.txt</v>
      </c>
      <c r="AI6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ID","value":"152-01"},{"id":16,"name":"Locomotive ID","value":"4061"},{"id":130,"name":"Impact","value":""},{"id":150,"name":"Time of Event (Mountain Time)","value":"11:33:57"},{"id":151,"name":"Denver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4061 --day 2017-07-01</v>
      </c>
      <c r="AN6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759</v>
      </c>
      <c r="B66" s="7">
        <v>4008</v>
      </c>
      <c r="C66" s="21" t="s">
        <v>202</v>
      </c>
      <c r="D66" s="21" t="s">
        <v>343</v>
      </c>
      <c r="E66" s="13">
        <v>42917.423530092594</v>
      </c>
      <c r="F66" s="13">
        <v>42917.42759259259</v>
      </c>
      <c r="G66" s="7">
        <v>1</v>
      </c>
      <c r="H66" s="21" t="s">
        <v>911</v>
      </c>
      <c r="I66" s="13">
        <v>42917.452291666668</v>
      </c>
      <c r="J66" s="7">
        <v>0</v>
      </c>
      <c r="K66" s="89" t="str">
        <f t="shared" si="0"/>
        <v>4007/4008</v>
      </c>
      <c r="L66" s="21" t="str">
        <f>VLOOKUP(A66,'Trips&amp;Operators'!$C$1:$G$99999,5,FALSE)</f>
        <v>NEWELL JAMES</v>
      </c>
      <c r="M66" s="6">
        <f t="shared" si="1"/>
        <v>2.4699074077943806E-2</v>
      </c>
      <c r="N66" s="7">
        <f t="shared" si="23"/>
        <v>35.56666667223908</v>
      </c>
      <c r="O66" s="7"/>
      <c r="P66" s="7"/>
      <c r="Q66" s="22"/>
      <c r="R66" s="170"/>
      <c r="S66" s="213">
        <f t="shared" si="24"/>
        <v>1</v>
      </c>
      <c r="T66" s="195" t="str">
        <f t="shared" si="2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3"/>
        <v>https://d0f6bd738d7f1b3e5a7ca70fe4ff75f0.us-east-1.aws.found.io/app/kibana#/discover/Steve-Slow-Train-Analysis-(2080s-and-2083s)?_g=(refreshInterval:(display:Off,pause:!f,section:0,value:0),time:(from:'2017-07-01T09:09:53-0600',mode:absolute,to:'2017-07-01T11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5"/>
        <v>4.4900000000000002E-2</v>
      </c>
      <c r="Z66" s="197">
        <f t="shared" si="6"/>
        <v>23.329899999999999</v>
      </c>
      <c r="AA66" s="197">
        <f t="shared" si="7"/>
        <v>23.285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8"/>
        <v>153</v>
      </c>
      <c r="AE66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66" s="74" t="str">
        <f t="shared" si="10"/>
        <v>"C:\Program Files (x86)\AstroGrep\AstroGrep.exe" /e /r /s /spath="%USERPROFILE%\AppData\Local\Temp\OnboardLogs" /stypes="app*4008*20170701*" /stext=" 16:.+((SYSTEM_STATE.+slice.+state.+changed )|(ment ac)|(multiple cpu faults)|(system.+state.+changed )|(\[timeout)|(PRM\|1\|D)|(kpr)|(kdp)|(train st.+moving)|(\|lc)|(penalty))"</v>
      </c>
      <c r="AG66" s="209" t="str">
        <f t="shared" si="11"/>
        <v>EC</v>
      </c>
      <c r="AH66" s="78" t="str">
        <f t="shared" si="16"/>
        <v>"%USERPROFILE%\Documents\GitHub\eaglep3\Utilities\RefineRTDCRunTimes.py" --tripid 153-01 --locoid 4008 --swversion DE.1.0.9.0 --startMP 204:449 --initTime 2017-07-01T10:09:53 --startdatetime 2017-07-01T10:15:44 --delay 1 --endMP 204:233299 --enddatetime 2017-07-01T10:51:18 --enforcementcount 0 &gt;&gt;C:\Users\stu\Documents\GitHub\eaglep3-reporting\EC\2017-07-01-refined-times.txt</v>
      </c>
      <c r="AI6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{"issue":{"subject":"","project_id":79,"tracker_id":40,"status_id":1,"priority_id":2,"assigned_to_id":23,"start_date":"2017-07-01","description":"","custom_fields":[{"id":1,"name":"Subdivision","value":"EC"},{"id":4,"name":"Milepost","value":"23.3299"},{"id":17,"name":"Train ID","value":"153-01"},{"id":16,"name":"Locomotive ID","value":"4008"},{"id":130,"name":"Impact","value":""},{"id":150,"name":"Time of Event (Mountain Time)","value":"10:51:18"},{"id":151,"name":"Denver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4008 --day 2017-07-01</v>
      </c>
      <c r="AN6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766</v>
      </c>
      <c r="B67" s="7">
        <v>4007</v>
      </c>
      <c r="C67" s="21" t="s">
        <v>202</v>
      </c>
      <c r="D67" s="21" t="s">
        <v>466</v>
      </c>
      <c r="E67" s="13">
        <v>42917.456608796296</v>
      </c>
      <c r="F67" s="13">
        <v>42917.466817129629</v>
      </c>
      <c r="G67" s="7">
        <v>1</v>
      </c>
      <c r="H67" s="21" t="s">
        <v>193</v>
      </c>
      <c r="I67" s="13">
        <v>42917.492268518516</v>
      </c>
      <c r="J67" s="7">
        <v>0</v>
      </c>
      <c r="K67" s="89" t="str">
        <f t="shared" si="0"/>
        <v>4007/4008</v>
      </c>
      <c r="L67" s="21" t="str">
        <f>VLOOKUP(A67,'Trips&amp;Operators'!$C$1:$G$99999,5,FALSE)</f>
        <v>NEWELL JAMES</v>
      </c>
      <c r="M67" s="6">
        <f t="shared" si="1"/>
        <v>2.545138888672227E-2</v>
      </c>
      <c r="N67" s="7">
        <f t="shared" si="23"/>
        <v>36.649999996880069</v>
      </c>
      <c r="O67" s="7"/>
      <c r="P67" s="7"/>
      <c r="Q67" s="22"/>
      <c r="R67" s="170"/>
      <c r="S67" s="213">
        <f t="shared" si="24"/>
        <v>1</v>
      </c>
      <c r="T67" s="195" t="str">
        <f t="shared" si="2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3"/>
        <v>https://d0f6bd738d7f1b3e5a7ca70fe4ff75f0.us-east-1.aws.found.io/app/kibana#/discover/Steve-Slow-Train-Analysis-(2080s-and-2083s)?_g=(refreshInterval:(display:Off,pause:!f,section:0,value:0),time:(from:'2017-07-01T09:57:31-0600',mode:absolute,to:'2017-07-01T12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5"/>
        <v>23.297699999999999</v>
      </c>
      <c r="Z67" s="197">
        <f t="shared" si="6"/>
        <v>1.52E-2</v>
      </c>
      <c r="AA67" s="197">
        <f t="shared" si="7"/>
        <v>23.282499999999999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8"/>
        <v>154</v>
      </c>
      <c r="AE67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67" s="74" t="str">
        <f t="shared" si="10"/>
        <v>"C:\Program Files (x86)\AstroGrep\AstroGrep.exe" /e /r /s /spath="%USERPROFILE%\AppData\Local\Temp\OnboardLogs" /stypes="app*4007*20170701*" /stext=" 17:.+((SYSTEM_STATE.+slice.+state.+changed )|(ment ac)|(multiple cpu faults)|(system.+state.+changed )|(\[timeout)|(PRM\|1\|D)|(kpr)|(kdp)|(train st.+moving)|(\|lc)|(penalty))"</v>
      </c>
      <c r="AG67" s="209" t="str">
        <f t="shared" si="11"/>
        <v>EC</v>
      </c>
      <c r="AH67" s="78" t="str">
        <f t="shared" si="16"/>
        <v>"%USERPROFILE%\Documents\GitHub\eaglep3\Utilities\RefineRTDCRunTimes.py" --tripid 154-01 --locoid 4007 --swversion DE.1.0.9.0 --startMP 204:232977 --initTime 2017-07-01T10:57:31 --startdatetime 2017-07-01T11:12:13 --delay 1 --endMP 204:152 --enddatetime 2017-07-01T11:48:52 --enforcementcount 0 &gt;&gt;C:\Users\stu\Documents\GitHub\eaglep3-reporting\EC\2017-07-01-refined-times.txt</v>
      </c>
      <c r="AI6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ID","value":"154-01"},{"id":16,"name":"Locomotive ID","value":"4007"},{"id":130,"name":"Impact","value":""},{"id":150,"name":"Time of Event (Mountain Time)","value":"11:48:52"},{"id":151,"name":"Denver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4007 --day 2017-07-01</v>
      </c>
      <c r="AN6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760</v>
      </c>
      <c r="B68" s="7">
        <v>4056</v>
      </c>
      <c r="C68" s="21" t="s">
        <v>202</v>
      </c>
      <c r="D68" s="21" t="s">
        <v>391</v>
      </c>
      <c r="E68" s="13">
        <v>42917.432835648149</v>
      </c>
      <c r="F68" s="13">
        <v>42917.438043981485</v>
      </c>
      <c r="G68" s="7">
        <v>1</v>
      </c>
      <c r="H68" s="21" t="s">
        <v>912</v>
      </c>
      <c r="I68" s="13">
        <v>42917.463530092595</v>
      </c>
      <c r="J68" s="7">
        <v>0</v>
      </c>
      <c r="K68" s="89" t="str">
        <f t="shared" si="0"/>
        <v>4055/4056</v>
      </c>
      <c r="L68" s="21" t="str">
        <f>VLOOKUP(A68,'Trips&amp;Operators'!$C$1:$G$99999,5,FALSE)</f>
        <v>DAVIDSON DAVID</v>
      </c>
      <c r="M68" s="6">
        <f t="shared" si="1"/>
        <v>2.548611110978527E-2</v>
      </c>
      <c r="N68" s="7">
        <f t="shared" si="23"/>
        <v>36.699999998090789</v>
      </c>
      <c r="O68" s="7"/>
      <c r="P68" s="7"/>
      <c r="Q68" s="22"/>
      <c r="R68" s="170"/>
      <c r="S68" s="213">
        <f t="shared" si="24"/>
        <v>1</v>
      </c>
      <c r="T68" s="195" t="str">
        <f t="shared" si="2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3"/>
        <v>https://d0f6bd738d7f1b3e5a7ca70fe4ff75f0.us-east-1.aws.found.io/app/kibana#/discover/Steve-Slow-Train-Analysis-(2080s-and-2083s)?_g=(refreshInterval:(display:Off,pause:!f,section:0,value:0),time:(from:'2017-07-01T09:23:17-0600',mode:absolute,to:'2017-07-01T12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5"/>
        <v>4.6199999999999998E-2</v>
      </c>
      <c r="Z68" s="197">
        <f t="shared" si="6"/>
        <v>23.331499999999998</v>
      </c>
      <c r="AA68" s="197">
        <f t="shared" si="7"/>
        <v>23.285299999999999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8"/>
        <v>155</v>
      </c>
      <c r="AE68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68" s="74" t="str">
        <f t="shared" si="10"/>
        <v>"C:\Program Files (x86)\AstroGrep\AstroGrep.exe" /e /r /s /spath="%USERPROFILE%\AppData\Local\Temp\OnboardLogs" /stypes="app*4056*20170701*" /stext=" 17:.+((SYSTEM_STATE.+slice.+state.+changed )|(ment ac)|(multiple cpu faults)|(system.+state.+changed )|(\[timeout)|(PRM\|1\|D)|(kpr)|(kdp)|(train st.+moving)|(\|lc)|(penalty))"</v>
      </c>
      <c r="AG68" s="209" t="str">
        <f t="shared" si="11"/>
        <v>EC</v>
      </c>
      <c r="AH68" s="78" t="str">
        <f t="shared" si="16"/>
        <v>"%USERPROFILE%\Documents\GitHub\eaglep3\Utilities\RefineRTDCRunTimes.py" --tripid 155-01 --locoid 4056 --swversion DE.1.0.9.0 --startMP 204:462 --initTime 2017-07-01T10:23:17 --startdatetime 2017-07-01T10:30:47 --delay 1 --endMP 204:233315 --enddatetime 2017-07-01T11:07:29 --enforcementcount 0 &gt;&gt;C:\Users\stu\Documents\GitHub\eaglep3-reporting\EC\2017-07-01-refined-times.txt</v>
      </c>
      <c r="AI6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{"issue":{"subject":"","project_id":79,"tracker_id":40,"status_id":1,"priority_id":2,"assigned_to_id":23,"start_date":"2017-07-01","description":"","custom_fields":[{"id":1,"name":"Subdivision","value":"EC"},{"id":4,"name":"Milepost","value":"23.3315"},{"id":17,"name":"Train ID","value":"155-01"},{"id":16,"name":"Locomotive ID","value":"4056"},{"id":130,"name":"Impact","value":""},{"id":150,"name":"Time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4056 --day 2017-07-01</v>
      </c>
      <c r="AN6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648</v>
      </c>
      <c r="B69" s="7">
        <v>4055</v>
      </c>
      <c r="C69" s="21" t="s">
        <v>202</v>
      </c>
      <c r="D69" s="21" t="s">
        <v>913</v>
      </c>
      <c r="E69" s="13">
        <v>42917.501747685186</v>
      </c>
      <c r="F69" s="13">
        <v>42917.502488425926</v>
      </c>
      <c r="G69" s="7">
        <v>1</v>
      </c>
      <c r="H69" s="21" t="s">
        <v>193</v>
      </c>
      <c r="I69" s="13">
        <v>42917.507256944446</v>
      </c>
      <c r="J69" s="7">
        <v>1</v>
      </c>
      <c r="K69" s="89" t="str">
        <f t="shared" si="0"/>
        <v>4055/4056</v>
      </c>
      <c r="L69" s="21" t="str">
        <f>VLOOKUP(A69,'Trips&amp;Operators'!$C$1:$G$99999,5,FALSE)</f>
        <v>DAVIDSON DAVID</v>
      </c>
      <c r="M69" s="6">
        <f t="shared" si="1"/>
        <v>4.7685185199952684E-3</v>
      </c>
      <c r="N69" s="7"/>
      <c r="O69" s="7"/>
      <c r="P69" s="7">
        <f>24*60*SUM($M69:$M70)</f>
        <v>55.816666670143604</v>
      </c>
      <c r="Q69" s="22"/>
      <c r="R69" s="170" t="s">
        <v>1037</v>
      </c>
      <c r="S69" s="213">
        <f>SUM(U69:U70)/IF(AG69="EC",12,1)</f>
        <v>1</v>
      </c>
      <c r="T69" s="195" t="str">
        <f t="shared" si="2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96" t="str">
        <f t="shared" si="3"/>
        <v>https://d0f6bd738d7f1b3e5a7ca70fe4ff75f0.us-east-1.aws.found.io/app/kibana#/discover/Steve-Slow-Train-Analysis-(2080s-and-2083s)?_g=(refreshInterval:(display:Off,pause:!f,section:0,value:0),time:(from:'2017-07-01T11:02:31-0600',mode:absolute,to:'2017-07-01T13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9" s="197" t="str">
        <f>IF(AA69&lt;VLOOKUP(AG69,Variables!$AC$3:$AD$8,2,FALSE),"Y","N")</f>
        <v>Y</v>
      </c>
      <c r="X69" s="197">
        <f t="shared" si="22"/>
        <v>1</v>
      </c>
      <c r="Y69" s="197">
        <f t="shared" si="5"/>
        <v>1.8772</v>
      </c>
      <c r="Z69" s="197">
        <f t="shared" si="6"/>
        <v>1.52E-2</v>
      </c>
      <c r="AA69" s="197">
        <f t="shared" si="7"/>
        <v>1.8619999999999999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8"/>
        <v>156</v>
      </c>
      <c r="AE69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69" s="74" t="str">
        <f t="shared" si="10"/>
        <v>"C:\Program Files (x86)\AstroGrep\AstroGrep.exe" /e /r /s /spath="%USERPROFILE%\AppData\Local\Temp\OnboardLogs" /stypes="app*4055*20170701*" /stext=" 18:.+((SYSTEM_STATE.+slice.+state.+changed )|(ment ac)|(multiple cpu faults)|(system.+state.+changed )|(\[timeout)|(PRM\|1\|D)|(kpr)|(kdp)|(train st.+moving)|(\|lc)|(penalty))"</v>
      </c>
      <c r="AG69" s="209" t="str">
        <f t="shared" si="11"/>
        <v>EC</v>
      </c>
      <c r="AH69" s="78" t="str">
        <f t="shared" si="16"/>
        <v>"%USERPROFILE%\Documents\GitHub\eaglep3\Utilities\RefineRTDCRunTimes.py" --tripid 156-01 --locoid 4055 --swversion DE.1.0.9.0 --startMP 204:18772 --initTime 2017-07-01T12:02:31 --startdatetime 2017-07-01T12:03:35 --delay 1 --endMP 204:152 --enddatetime 2017-07-01T12:10:27 --enforcementcount 1 &gt;&gt;C:\Users\stu\Documents\GitHub\eaglep3-reporting\EC\2017-07-01-refined-times.txt</v>
      </c>
      <c r="AI69" s="96" t="str">
        <f t="shared" si="17"/>
        <v>echo {"issue":{"subject":"Minor onboard in-route failure caused comm outage","project_id":79,"tracker_id":40,"status_id":1,"priority_id":2,"assigned_to_id":23,"start_date":"2017-07-01","description":"","custom_fields":[{"id":1,"name":"Subdivision","value":"EC"},{"id":4,"name":"Milepost","value":"0.0152"},{"id":17,"name":"Train ID","value":"156-01"},{"id":16,"name":"Locomotive ID","value":"4055"},{"id":130,"name":"Impact","value":""},{"id":150,"name":"Time of Event (Mountain Time)","value":"12:10:27"},{"id":151,"name":"Denver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4055 --day 2017-07-01</v>
      </c>
      <c r="AN69" s="151" t="str">
        <f t="shared" si="19"/>
        <v>echo {"issue":{"subject":"Minor onboard in-route failure caused comm outage","project_id":30,"tracker_id":4,"status_id":1,"priority_id":1,"assigned_to_id":10,"start_date":"2017-07-01","description":"","custom_fields":[{"id":30,"name":"Category","value":"Issue"},{"id":3,"name":"Functional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18:10:27"},{"id":29,"name":"Sharepoint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648</v>
      </c>
      <c r="B70" s="7">
        <v>4055</v>
      </c>
      <c r="C70" s="21" t="s">
        <v>202</v>
      </c>
      <c r="D70" s="21" t="s">
        <v>602</v>
      </c>
      <c r="E70" s="13">
        <v>42917.465127314812</v>
      </c>
      <c r="F70" s="13">
        <v>42917.466006944444</v>
      </c>
      <c r="G70" s="7">
        <v>1</v>
      </c>
      <c r="H70" s="21" t="s">
        <v>914</v>
      </c>
      <c r="I70" s="13">
        <v>42917.5</v>
      </c>
      <c r="J70" s="7"/>
      <c r="K70" s="89" t="str">
        <f t="shared" si="0"/>
        <v>4055/4056</v>
      </c>
      <c r="L70" s="21" t="str">
        <f>VLOOKUP(A70,'Trips&amp;Operators'!$C$1:$G$99999,5,FALSE)</f>
        <v>DAVIDSON DAVID</v>
      </c>
      <c r="M70" s="6">
        <f t="shared" si="1"/>
        <v>3.3993055556493346E-2</v>
      </c>
      <c r="N70" s="7"/>
      <c r="O70" s="7"/>
      <c r="P70" s="7"/>
      <c r="Q70" s="22"/>
      <c r="R70" s="170"/>
      <c r="S70" s="213"/>
      <c r="T70" s="195" t="str">
        <f t="shared" si="2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3"/>
        <v>https://d0f6bd738d7f1b3e5a7ca70fe4ff75f0.us-east-1.aws.found.io/app/kibana#/discover/Steve-Slow-Train-Analysis-(2080s-and-2083s)?_g=(refreshInterval:(display:Off,pause:!f,section:0,value:0),time:(from:'2017-07-01T10:09:47-0600',mode:absolute,to:'2017-07-01T13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197" t="str">
        <f>IF(AA70&lt;VLOOKUP(AG70,Variables!$AC$3:$AD$8,2,FALSE),"Y","N")</f>
        <v>Y</v>
      </c>
      <c r="X70" s="197">
        <f t="shared" si="22"/>
        <v>0</v>
      </c>
      <c r="Y70" s="197">
        <f t="shared" si="5"/>
        <v>23.299299999999999</v>
      </c>
      <c r="Z70" s="197">
        <f t="shared" si="6"/>
        <v>2.1440999999999999</v>
      </c>
      <c r="AA70" s="197">
        <f t="shared" si="7"/>
        <v>21.155200000000001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8"/>
        <v>156</v>
      </c>
      <c r="AE70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70" s="74" t="str">
        <f t="shared" si="10"/>
        <v>"C:\Program Files (x86)\AstroGrep\AstroGrep.exe" /e /r /s /spath="%USERPROFILE%\AppData\Local\Temp\OnboardLogs" /stypes="app*4055*20170701*" /stext=" 18:.+((SYSTEM_STATE.+slice.+state.+changed )|(ment ac)|(multiple cpu faults)|(system.+state.+changed )|(\[timeout)|(PRM\|1\|D)|(kpr)|(kdp)|(train st.+moving)|(\|lc)|(penalty))"</v>
      </c>
      <c r="AG70" s="209" t="str">
        <f t="shared" si="11"/>
        <v>EC</v>
      </c>
      <c r="AH70" s="78" t="str">
        <f t="shared" si="16"/>
        <v>"%USERPROFILE%\Documents\GitHub\eaglep3\Utilities\RefineRTDCRunTimes.py" --tripid 156-01 --locoid 4055 --swversion DE.1.0.9.0 --startMP 204:232993 --initTime 2017-07-01T11:09:47 --startdatetime 2017-07-01T11:11:03 --delay 1 --endMP 204:21441 --enddatetime 2017-07-01T12:00:00 --enforcementcount  &gt;&gt;C:\Users\stu\Documents\GitHub\eaglep3-reporting\EC\2017-07-01-refined-times.txt</v>
      </c>
      <c r="AI7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{"issue":{"subject":"","project_id":79,"tracker_id":40,"status_id":1,"priority_id":2,"assigned_to_id":23,"start_date":"2017-07-01","description":"","custom_fields":[{"id":1,"name":"Subdivision","value":"EC"},{"id":4,"name":"Milepost","value":"2.1441"},{"id":17,"name":"Train ID","value":"156-01"},{"id":16,"name":"Locomotive ID","value":"4055"},{"id":130,"name":"Impact","value":""},{"id":150,"name":"Time of Event (Mountain Time)","value":"12:00:00"},{"id":151,"name":"Denver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4055 --day 2017-07-01</v>
      </c>
      <c r="AN7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764</v>
      </c>
      <c r="B71" s="7">
        <v>4018</v>
      </c>
      <c r="C71" s="21" t="s">
        <v>202</v>
      </c>
      <c r="D71" s="21" t="s">
        <v>343</v>
      </c>
      <c r="E71" s="13">
        <v>42917.442708333336</v>
      </c>
      <c r="F71" s="13">
        <v>42917.448425925926</v>
      </c>
      <c r="G71" s="7">
        <v>1</v>
      </c>
      <c r="H71" s="21" t="s">
        <v>915</v>
      </c>
      <c r="I71" s="13">
        <v>42917.473599537036</v>
      </c>
      <c r="J71" s="7">
        <v>0</v>
      </c>
      <c r="K71" s="89" t="str">
        <f t="shared" si="0"/>
        <v>4017/4018</v>
      </c>
      <c r="L71" s="21" t="str">
        <f>VLOOKUP(A71,'Trips&amp;Operators'!$C$1:$G$99999,5,FALSE)</f>
        <v>STEWART MICHAEL</v>
      </c>
      <c r="M71" s="6">
        <f t="shared" si="1"/>
        <v>2.5173611109494232E-2</v>
      </c>
      <c r="N71" s="7">
        <f t="shared" ref="N71:N90" si="25">24*60*SUM($M71:$M71)</f>
        <v>36.249999997671694</v>
      </c>
      <c r="O71" s="7"/>
      <c r="P71" s="7"/>
      <c r="Q71" s="22"/>
      <c r="R71" s="170"/>
      <c r="S71" s="213">
        <f t="shared" ref="S71:S102" si="26">SUM(U71:U71)/IF(AG71="EC",12,1)</f>
        <v>1</v>
      </c>
      <c r="T71" s="195" t="str">
        <f t="shared" si="2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3"/>
        <v>https://d0f6bd738d7f1b3e5a7ca70fe4ff75f0.us-east-1.aws.found.io/app/kibana#/discover/Steve-Slow-Train-Analysis-(2080s-and-2083s)?_g=(refreshInterval:(display:Off,pause:!f,section:0,value:0),time:(from:'2017-07-01T09:37:30-0600',mode:absolute,to:'2017-07-01T12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5"/>
        <v>4.4900000000000002E-2</v>
      </c>
      <c r="Z71" s="197">
        <f t="shared" si="6"/>
        <v>23.328800000000001</v>
      </c>
      <c r="AA71" s="197">
        <f t="shared" si="7"/>
        <v>23.283900000000003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8"/>
        <v>157</v>
      </c>
      <c r="AE71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71" s="74" t="str">
        <f t="shared" si="10"/>
        <v>"C:\Program Files (x86)\AstroGrep\AstroGrep.exe" /e /r /s /spath="%USERPROFILE%\AppData\Local\Temp\OnboardLogs" /stypes="app*4018*20170701*" /stext=" 17:.+((SYSTEM_STATE.+slice.+state.+changed )|(ment ac)|(multiple cpu faults)|(system.+state.+changed )|(\[timeout)|(PRM\|1\|D)|(kpr)|(kdp)|(train st.+moving)|(\|lc)|(penalty))"</v>
      </c>
      <c r="AG71" s="209" t="str">
        <f t="shared" si="11"/>
        <v>EC</v>
      </c>
      <c r="AH71" s="78" t="str">
        <f t="shared" si="16"/>
        <v>"%USERPROFILE%\Documents\GitHub\eaglep3\Utilities\RefineRTDCRunTimes.py" --tripid 157-01 --locoid 4018 --swversion DE.1.0.9.0 --startMP 204:449 --initTime 2017-07-01T10:37:30 --startdatetime 2017-07-01T10:45:44 --delay 1 --endMP 204:233288 --enddatetime 2017-07-01T11:21:59 --enforcementcount 0 &gt;&gt;C:\Users\stu\Documents\GitHub\eaglep3-reporting\EC\2017-07-01-refined-times.txt</v>
      </c>
      <c r="AI7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{"issue":{"subject":"","project_id":79,"tracker_id":40,"status_id":1,"priority_id":2,"assigned_to_id":23,"start_date":"2017-07-01","description":"","custom_fields":[{"id":1,"name":"Subdivision","value":"EC"},{"id":4,"name":"Milepost","value":"23.3288"},{"id":17,"name":"Train ID","value":"157-01"},{"id":16,"name":"Locomotive ID","value":"4018"},{"id":130,"name":"Impact","value":""},{"id":150,"name":"Time of Event (Mountain Time)","value":"11:21:59"},{"id":151,"name":"Denver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4018 --day 2017-07-01</v>
      </c>
      <c r="AN7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776</v>
      </c>
      <c r="B72" s="7">
        <v>4017</v>
      </c>
      <c r="C72" s="21" t="s">
        <v>202</v>
      </c>
      <c r="D72" s="21" t="s">
        <v>916</v>
      </c>
      <c r="E72" s="13">
        <v>42917.485497685186</v>
      </c>
      <c r="F72" s="13">
        <v>42917.487824074073</v>
      </c>
      <c r="G72" s="7">
        <v>1</v>
      </c>
      <c r="H72" s="21" t="s">
        <v>436</v>
      </c>
      <c r="I72" s="13">
        <v>42917.514398148145</v>
      </c>
      <c r="J72" s="7">
        <v>0</v>
      </c>
      <c r="K72" s="89" t="str">
        <f t="shared" si="0"/>
        <v>4017/4018</v>
      </c>
      <c r="L72" s="21" t="str">
        <f>VLOOKUP(A72,'Trips&amp;Operators'!$C$1:$G$99999,5,FALSE)</f>
        <v>STEWART MICHAEL</v>
      </c>
      <c r="M72" s="6">
        <f t="shared" si="1"/>
        <v>2.6574074072414078E-2</v>
      </c>
      <c r="N72" s="7">
        <f t="shared" si="25"/>
        <v>38.266666664276272</v>
      </c>
      <c r="O72" s="7"/>
      <c r="P72" s="7"/>
      <c r="Q72" s="22"/>
      <c r="R72" s="170"/>
      <c r="S72" s="213">
        <f t="shared" si="26"/>
        <v>1</v>
      </c>
      <c r="T72" s="195" t="str">
        <f t="shared" si="2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3"/>
        <v>https://d0f6bd738d7f1b3e5a7ca70fe4ff75f0.us-east-1.aws.found.io/app/kibana#/discover/Steve-Slow-Train-Analysis-(2080s-and-2083s)?_g=(refreshInterval:(display:Off,pause:!f,section:0,value:0),time:(from:'2017-07-01T10:39:07-0600',mode:absolute,to:'2017-07-01T13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5"/>
        <v>23.296500000000002</v>
      </c>
      <c r="Z72" s="197">
        <f t="shared" si="6"/>
        <v>1.5599999999999999E-2</v>
      </c>
      <c r="AA72" s="197">
        <f t="shared" si="7"/>
        <v>23.280900000000003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8"/>
        <v>158</v>
      </c>
      <c r="AE72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72" s="74" t="str">
        <f t="shared" si="10"/>
        <v>"C:\Program Files (x86)\AstroGrep\AstroGrep.exe" /e /r /s /spath="%USERPROFILE%\AppData\Local\Temp\OnboardLogs" /stypes="app*4017*20170701*" /stext=" 18:.+((SYSTEM_STATE.+slice.+state.+changed )|(ment ac)|(multiple cpu faults)|(system.+state.+changed )|(\[timeout)|(PRM\|1\|D)|(kpr)|(kdp)|(train st.+moving)|(\|lc)|(penalty))"</v>
      </c>
      <c r="AG72" s="209" t="str">
        <f t="shared" si="11"/>
        <v>EC</v>
      </c>
      <c r="AH72" s="78" t="str">
        <f t="shared" si="16"/>
        <v>"%USERPROFILE%\Documents\GitHub\eaglep3\Utilities\RefineRTDCRunTimes.py" --tripid 158-01 --locoid 4017 --swversion DE.1.0.9.0 --startMP 204:232965 --initTime 2017-07-01T11:39:07 --startdatetime 2017-07-01T11:42:28 --delay 1 --endMP 204:156 --enddatetime 2017-07-01T12:20:44 --enforcementcount 0 &gt;&gt;C:\Users\stu\Documents\GitHub\eaglep3-reporting\EC\2017-07-01-refined-times.txt</v>
      </c>
      <c r="AI7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{"issue":{"subject":"","project_id":79,"tracker_id":40,"status_id":1,"priority_id":2,"assigned_to_id":23,"start_date":"2017-07-01","description":"","custom_fields":[{"id":1,"name":"Subdivision","value":"EC"},{"id":4,"name":"Milepost","value":"0.0156"},{"id":17,"name":"Train ID","value":"158-01"},{"id":16,"name":"Locomotive ID","value":"4017"},{"id":130,"name":"Impact","value":""},{"id":150,"name":"Time of Event (Mountain Time)","value":"12:20:44"},{"id":151,"name":"Denver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4017 --day 2017-07-01</v>
      </c>
      <c r="AN7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647</v>
      </c>
      <c r="B73" s="7">
        <v>4030</v>
      </c>
      <c r="C73" s="21" t="s">
        <v>202</v>
      </c>
      <c r="D73" s="21" t="s">
        <v>455</v>
      </c>
      <c r="E73" s="13">
        <v>42917.453425925924</v>
      </c>
      <c r="F73" s="13">
        <v>42917.45884259259</v>
      </c>
      <c r="G73" s="7">
        <v>1</v>
      </c>
      <c r="H73" s="21" t="s">
        <v>604</v>
      </c>
      <c r="I73" s="13">
        <v>42917.484305555554</v>
      </c>
      <c r="J73" s="7">
        <v>0</v>
      </c>
      <c r="K73" s="89" t="str">
        <f t="shared" si="0"/>
        <v>4029/4030</v>
      </c>
      <c r="L73" s="21" t="str">
        <f>VLOOKUP(A73,'Trips&amp;Operators'!$C$1:$G$99999,5,FALSE)</f>
        <v>GUZMAN DANNY</v>
      </c>
      <c r="M73" s="6">
        <f t="shared" si="1"/>
        <v>2.5462962963501923E-2</v>
      </c>
      <c r="N73" s="7">
        <f t="shared" si="25"/>
        <v>36.666666667442769</v>
      </c>
      <c r="O73" s="7"/>
      <c r="P73" s="7"/>
      <c r="Q73" s="22"/>
      <c r="R73" s="170"/>
      <c r="S73" s="213">
        <f t="shared" si="26"/>
        <v>1</v>
      </c>
      <c r="T73" s="195" t="str">
        <f t="shared" si="2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3"/>
        <v>https://d0f6bd738d7f1b3e5a7ca70fe4ff75f0.us-east-1.aws.found.io/app/kibana#/discover/Steve-Slow-Train-Analysis-(2080s-and-2083s)?_g=(refreshInterval:(display:Off,pause:!f,section:0,value:0),time:(from:'2017-07-01T09:52:56-0600',mode:absolute,to:'2017-07-01T12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5"/>
        <v>4.6399999999999997E-2</v>
      </c>
      <c r="Z73" s="197">
        <f t="shared" si="6"/>
        <v>23.329499999999999</v>
      </c>
      <c r="AA73" s="197">
        <f t="shared" si="7"/>
        <v>23.283100000000001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8"/>
        <v>159</v>
      </c>
      <c r="AE73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73" s="74" t="str">
        <f t="shared" si="10"/>
        <v>"C:\Program Files (x86)\AstroGrep\AstroGrep.exe" /e /r /s /spath="%USERPROFILE%\AppData\Local\Temp\OnboardLogs" /stypes="app*4030*20170701*" /stext=" 17:.+((SYSTEM_STATE.+slice.+state.+changed )|(ment ac)|(multiple cpu faults)|(system.+state.+changed )|(\[timeout)|(PRM\|1\|D)|(kpr)|(kdp)|(train st.+moving)|(\|lc)|(penalty))"</v>
      </c>
      <c r="AG73" s="209" t="str">
        <f t="shared" si="11"/>
        <v>EC</v>
      </c>
      <c r="AH73" s="78" t="str">
        <f t="shared" si="16"/>
        <v>"%USERPROFILE%\Documents\GitHub\eaglep3\Utilities\RefineRTDCRunTimes.py" --tripid 159-01 --locoid 4030 --swversion DE.1.0.9.0 --startMP 204:464 --initTime 2017-07-01T10:52:56 --startdatetime 2017-07-01T11:00:44 --delay 1 --endMP 204:233295 --enddatetime 2017-07-01T11:37:24 --enforcementcount 0 &gt;&gt;C:\Users\stu\Documents\GitHub\eaglep3-reporting\EC\2017-07-01-refined-times.txt</v>
      </c>
      <c r="AI7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{"issue":{"subject":"","project_id":79,"tracker_id":40,"status_id":1,"priority_id":2,"assigned_to_id":23,"start_date":"2017-07-01","description":"","custom_fields":[{"id":1,"name":"Subdivision","value":"EC"},{"id":4,"name":"Milepost","value":"23.3295"},{"id":17,"name":"Train ID","value":"159-01"},{"id":16,"name":"Locomotive ID","value":"4030"},{"id":130,"name":"Impact","value":""},{"id":150,"name":"Time of Event (Mountain Time)","value":"11:37:24"},{"id":151,"name":"Denver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4030 --day 2017-07-01</v>
      </c>
      <c r="AN7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650</v>
      </c>
      <c r="B74" s="7">
        <v>4029</v>
      </c>
      <c r="C74" s="21" t="s">
        <v>202</v>
      </c>
      <c r="D74" s="21" t="s">
        <v>499</v>
      </c>
      <c r="E74" s="13">
        <v>42917.486377314817</v>
      </c>
      <c r="F74" s="13">
        <v>42917.498090277775</v>
      </c>
      <c r="G74" s="7">
        <v>1</v>
      </c>
      <c r="H74" s="21" t="s">
        <v>193</v>
      </c>
      <c r="I74" s="13">
        <v>42917.525694444441</v>
      </c>
      <c r="J74" s="7">
        <v>0</v>
      </c>
      <c r="K74" s="89" t="str">
        <f t="shared" si="0"/>
        <v>4029/4030</v>
      </c>
      <c r="L74" s="21" t="str">
        <f>VLOOKUP(A74,'Trips&amp;Operators'!$C$1:$G$99999,5,FALSE)</f>
        <v>GUZMAN DANNY</v>
      </c>
      <c r="M74" s="6">
        <f t="shared" si="1"/>
        <v>2.7604166665696539E-2</v>
      </c>
      <c r="N74" s="7">
        <f t="shared" si="25"/>
        <v>39.749999998603016</v>
      </c>
      <c r="O74" s="7"/>
      <c r="P74" s="7"/>
      <c r="Q74" s="22"/>
      <c r="R74" s="170"/>
      <c r="S74" s="213">
        <f t="shared" si="26"/>
        <v>1</v>
      </c>
      <c r="T74" s="195" t="str">
        <f t="shared" si="2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3"/>
        <v>https://d0f6bd738d7f1b3e5a7ca70fe4ff75f0.us-east-1.aws.found.io/app/kibana#/discover/Steve-Slow-Train-Analysis-(2080s-and-2083s)?_g=(refreshInterval:(display:Off,pause:!f,section:0,value:0),time:(from:'2017-07-01T10:40:23-0600',mode:absolute,to:'2017-07-01T13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5"/>
        <v>23.2989</v>
      </c>
      <c r="Z74" s="197">
        <f t="shared" si="6"/>
        <v>1.52E-2</v>
      </c>
      <c r="AA74" s="197">
        <f t="shared" si="7"/>
        <v>23.2837</v>
      </c>
      <c r="AB74" s="54" t="str">
        <f>VLOOKUP(A74,Enforcements!$C$7:$K$13,8,0)</f>
        <v>Bulletin (2)</v>
      </c>
      <c r="AC74" s="51" t="str">
        <f>VLOOKUP(A74,Enforcements!$C$7:$E$13,3,0)</f>
        <v>GRADE CROSSING</v>
      </c>
      <c r="AD74" s="206">
        <f t="shared" si="8"/>
        <v>160</v>
      </c>
      <c r="AE74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74" s="74" t="str">
        <f t="shared" si="10"/>
        <v>"C:\Program Files (x86)\AstroGrep\AstroGrep.exe" /e /r /s /spath="%USERPROFILE%\AppData\Local\Temp\OnboardLogs" /stypes="app*4029*20170701*" /stext=" 18:.+((SYSTEM_STATE.+slice.+state.+changed )|(ment ac)|(multiple cpu faults)|(system.+state.+changed )|(\[timeout)|(PRM\|1\|D)|(kpr)|(kdp)|(train st.+moving)|(\|lc)|(penalty))"</v>
      </c>
      <c r="AG74" s="209" t="str">
        <f t="shared" si="11"/>
        <v>EC</v>
      </c>
      <c r="AH74" s="78" t="str">
        <f t="shared" si="16"/>
        <v>"%USERPROFILE%\Documents\GitHub\eaglep3\Utilities\RefineRTDCRunTimes.py" --tripid 160-01 --locoid 4029 --swversion DE.1.0.9.0 --startMP 204:232989 --initTime 2017-07-01T11:40:23 --startdatetime 2017-07-01T11:57:15 --delay 1 --endMP 204:152 --enddatetime 2017-07-01T12:37:00 --enforcementcount 0 &gt;&gt;C:\Users\stu\Documents\GitHub\eaglep3-reporting\EC\2017-07-01-refined-times.txt</v>
      </c>
      <c r="AI7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ID","value":"160-01"},{"id":16,"name":"Locomotive ID","value":"4029"},{"id":130,"name":"Impact","value":""},{"id":150,"name":"Time of Event (Mountain Time)","value":"12:37:00"},{"id":151,"name":"Denver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4029 --day 2017-07-01</v>
      </c>
      <c r="AN7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767</v>
      </c>
      <c r="B75" s="7">
        <v>4028</v>
      </c>
      <c r="C75" s="21" t="s">
        <v>202</v>
      </c>
      <c r="D75" s="21" t="s">
        <v>198</v>
      </c>
      <c r="E75" s="13">
        <v>42917.464699074073</v>
      </c>
      <c r="F75" s="13">
        <v>42917.469270833331</v>
      </c>
      <c r="G75" s="7">
        <v>2</v>
      </c>
      <c r="H75" s="21" t="s">
        <v>604</v>
      </c>
      <c r="I75" s="13">
        <v>42917.494120370371</v>
      </c>
      <c r="J75" s="7">
        <v>0</v>
      </c>
      <c r="K75" s="89" t="str">
        <f t="shared" si="0"/>
        <v>4027/4028</v>
      </c>
      <c r="L75" s="21" t="str">
        <f>VLOOKUP(A75,'Trips&amp;Operators'!$C$1:$G$99999,5,FALSE)</f>
        <v>LOPES KIMBERLY</v>
      </c>
      <c r="M75" s="6">
        <f t="shared" si="1"/>
        <v>2.4849537039699499E-2</v>
      </c>
      <c r="N75" s="7">
        <f t="shared" si="25"/>
        <v>35.783333337167278</v>
      </c>
      <c r="O75" s="7"/>
      <c r="P75" s="7"/>
      <c r="Q75" s="22"/>
      <c r="R75" s="170"/>
      <c r="S75" s="213">
        <f t="shared" si="26"/>
        <v>1</v>
      </c>
      <c r="T75" s="195" t="str">
        <f t="shared" si="2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3"/>
        <v>https://d0f6bd738d7f1b3e5a7ca70fe4ff75f0.us-east-1.aws.found.io/app/kibana#/discover/Steve-Slow-Train-Analysis-(2080s-and-2083s)?_g=(refreshInterval:(display:Off,pause:!f,section:0,value:0),time:(from:'2017-07-01T10:09:10-0600',mode:absolute,to:'2017-07-01T12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5"/>
        <v>4.5699999999999998E-2</v>
      </c>
      <c r="Z75" s="197">
        <f t="shared" si="6"/>
        <v>23.329499999999999</v>
      </c>
      <c r="AA75" s="197">
        <f t="shared" si="7"/>
        <v>23.283799999999999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8"/>
        <v>161</v>
      </c>
      <c r="AE75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75" s="74" t="str">
        <f t="shared" si="10"/>
        <v>"C:\Program Files (x86)\AstroGrep\AstroGrep.exe" /e /r /s /spath="%USERPROFILE%\AppData\Local\Temp\OnboardLogs" /stypes="app*4028*20170701*" /stext=" 17:.+((SYSTEM_STATE.+slice.+state.+changed )|(ment ac)|(multiple cpu faults)|(system.+state.+changed )|(\[timeout)|(PRM\|1\|D)|(kpr)|(kdp)|(train st.+moving)|(\|lc)|(penalty))"</v>
      </c>
      <c r="AG75" s="209" t="str">
        <f t="shared" si="11"/>
        <v>EC</v>
      </c>
      <c r="AH75" s="78" t="str">
        <f t="shared" si="16"/>
        <v>"%USERPROFILE%\Documents\GitHub\eaglep3\Utilities\RefineRTDCRunTimes.py" --tripid 161-01 --locoid 4028 --swversion DE.1.0.9.0 --startMP 204:457 --initTime 2017-07-01T11:09:10 --startdatetime 2017-07-01T11:15:45 --delay 2 --endMP 204:233295 --enddatetime 2017-07-01T11:51:32 --enforcementcount 0 &gt;&gt;C:\Users\stu\Documents\GitHub\eaglep3-reporting\EC\2017-07-01-refined-times.txt</v>
      </c>
      <c r="AI7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{"issue":{"subject":"","project_id":79,"tracker_id":40,"status_id":1,"priority_id":2,"assigned_to_id":23,"start_date":"2017-07-01","description":"","custom_fields":[{"id":1,"name":"Subdivision","value":"EC"},{"id":4,"name":"Milepost","value":"23.3295"},{"id":17,"name":"Train ID","value":"161-01"},{"id":16,"name":"Locomotive ID","value":"4028"},{"id":130,"name":"Impact","value":""},{"id":150,"name":"Time of Event (Mountain Time)","value":"11:51:32"},{"id":151,"name":"Denver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4028 --day 2017-07-01</v>
      </c>
      <c r="AN7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780</v>
      </c>
      <c r="B76" s="7">
        <v>4027</v>
      </c>
      <c r="C76" s="21" t="s">
        <v>202</v>
      </c>
      <c r="D76" s="21" t="s">
        <v>512</v>
      </c>
      <c r="E76" s="13">
        <v>42917.503958333335</v>
      </c>
      <c r="F76" s="13">
        <v>42917.508506944447</v>
      </c>
      <c r="G76" s="7">
        <v>1</v>
      </c>
      <c r="H76" s="21" t="s">
        <v>394</v>
      </c>
      <c r="I76" s="13">
        <v>42917.534629629627</v>
      </c>
      <c r="J76" s="7">
        <v>0</v>
      </c>
      <c r="K76" s="89" t="str">
        <f t="shared" si="0"/>
        <v>4027/4028</v>
      </c>
      <c r="L76" s="21" t="str">
        <f>VLOOKUP(A76,'Trips&amp;Operators'!$C$1:$G$99999,5,FALSE)</f>
        <v>LOPES KIMBERLY</v>
      </c>
      <c r="M76" s="6">
        <f t="shared" si="1"/>
        <v>2.6122685179871041E-2</v>
      </c>
      <c r="N76" s="7">
        <f t="shared" si="25"/>
        <v>37.6166666590143</v>
      </c>
      <c r="O76" s="7"/>
      <c r="P76" s="7"/>
      <c r="Q76" s="22"/>
      <c r="R76" s="170"/>
      <c r="S76" s="213">
        <f t="shared" si="26"/>
        <v>1</v>
      </c>
      <c r="T76" s="195" t="str">
        <f t="shared" si="2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3"/>
        <v>https://d0f6bd738d7f1b3e5a7ca70fe4ff75f0.us-east-1.aws.found.io/app/kibana#/discover/Steve-Slow-Train-Analysis-(2080s-and-2083s)?_g=(refreshInterval:(display:Off,pause:!f,section:0,value:0),time:(from:'2017-07-01T11:05:42-0600',mode:absolute,to:'2017-07-01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5"/>
        <v>23.297999999999998</v>
      </c>
      <c r="Z76" s="197">
        <f t="shared" si="6"/>
        <v>1.54E-2</v>
      </c>
      <c r="AA76" s="197">
        <f t="shared" si="7"/>
        <v>23.282599999999999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8"/>
        <v>162</v>
      </c>
      <c r="AE76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76" s="74" t="str">
        <f t="shared" si="10"/>
        <v>"C:\Program Files (x86)\AstroGrep\AstroGrep.exe" /e /r /s /spath="%USERPROFILE%\AppData\Local\Temp\OnboardLogs" /stypes="app*4027*20170701*" /stext=" 18:.+((SYSTEM_STATE.+slice.+state.+changed )|(ment ac)|(multiple cpu faults)|(system.+state.+changed )|(\[timeout)|(PRM\|1\|D)|(kpr)|(kdp)|(train st.+moving)|(\|lc)|(penalty))"</v>
      </c>
      <c r="AG76" s="209" t="str">
        <f t="shared" si="11"/>
        <v>EC</v>
      </c>
      <c r="AH76" s="78" t="str">
        <f t="shared" si="16"/>
        <v>"%USERPROFILE%\Documents\GitHub\eaglep3\Utilities\RefineRTDCRunTimes.py" --tripid 162-01 --locoid 4027 --swversion DE.1.0.9.0 --startMP 204:232980 --initTime 2017-07-01T12:05:42 --startdatetime 2017-07-01T12:12:15 --delay 1 --endMP 204:154 --enddatetime 2017-07-01T12:49:52 --enforcementcount 0 &gt;&gt;C:\Users\stu\Documents\GitHub\eaglep3-reporting\EC\2017-07-01-refined-times.txt</v>
      </c>
      <c r="AI7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ID","value":"162-01"},{"id":16,"name":"Locomotive ID","value":"4027"},{"id":130,"name":"Impact","value":""},{"id":150,"name":"Time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4027 --day 2017-07-01</v>
      </c>
      <c r="AN7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773</v>
      </c>
      <c r="B77" s="7">
        <v>4014</v>
      </c>
      <c r="C77" s="21" t="s">
        <v>202</v>
      </c>
      <c r="D77" s="21" t="s">
        <v>491</v>
      </c>
      <c r="E77" s="13">
        <v>42917.475393518522</v>
      </c>
      <c r="F77" s="13">
        <v>42917.479722222219</v>
      </c>
      <c r="G77" s="7">
        <v>1</v>
      </c>
      <c r="H77" s="21" t="s">
        <v>511</v>
      </c>
      <c r="I77" s="13">
        <v>42917.505277777775</v>
      </c>
      <c r="J77" s="7">
        <v>0</v>
      </c>
      <c r="K77" s="89" t="str">
        <f t="shared" ref="K77:K140" si="27">IF(ISEVEN(B77),(B77-1)&amp;"/"&amp;B77,B77&amp;"/"&amp;(B77+1))</f>
        <v>4013/4014</v>
      </c>
      <c r="L77" s="21" t="str">
        <f>VLOOKUP(A77,'Trips&amp;Operators'!$C$1:$G$99999,5,FALSE)</f>
        <v>BRANDNER MELINDA</v>
      </c>
      <c r="M77" s="6">
        <f t="shared" ref="M77:M140" si="28">I77-F77</f>
        <v>2.5555555555911269E-2</v>
      </c>
      <c r="N77" s="7">
        <f t="shared" si="25"/>
        <v>36.800000000512227</v>
      </c>
      <c r="O77" s="7"/>
      <c r="P77" s="7"/>
      <c r="Q77" s="22"/>
      <c r="R77" s="170"/>
      <c r="S77" s="213">
        <f t="shared" si="26"/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-01T10:24:34-0600',mode:absolute,to:'2017-07-01T13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197" t="str">
        <f>IF(AA77&lt;VLOOKUP(AG77,Variables!$AC$3:$AD$8,2,FALSE),"Y","N")</f>
        <v>N</v>
      </c>
      <c r="X77" s="197">
        <f t="shared" ref="X77:X108" si="31">VALUE(LEFT(AD77,4))-VALUE(LEFT(AD76,4))</f>
        <v>1</v>
      </c>
      <c r="Y77" s="197">
        <f t="shared" ref="Y77:Y140" si="32">RIGHT(D77,LEN(D77)-4)/10000</f>
        <v>4.7500000000000001E-2</v>
      </c>
      <c r="Z77" s="197">
        <f t="shared" ref="Z77:Z140" si="33">RIGHT(H77,LEN(H77)-4)/10000</f>
        <v>23.331900000000001</v>
      </c>
      <c r="AA77" s="197">
        <f t="shared" ref="AA77:AA140" si="34">ABS(Z77-Y77)</f>
        <v>23.284400000000002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163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/stypes="app*4014*20170701*"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6"/>
        <v>"%USERPROFILE%\Documents\GitHub\eaglep3\Utilities\RefineRTDCRunTimes.py" --tripid 163-01 --locoid 4014 --swversion DE.1.0.9.0 --startMP 204:475 --initTime 2017-07-01T11:24:34 --startdatetime 2017-07-01T11:30:48 --delay 1 --endMP 204:233319 --enddatetime 2017-07-01T12:07:36 --enforcementcount 0 &gt;&gt;C:\Users\stu\Documents\GitHub\eaglep3-reporting\EC\2017-07-01-refined-times.txt</v>
      </c>
      <c r="AI7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ID","value":"163-01"},{"id":16,"name":"Locomotive ID","value":"4014"},{"id":130,"name":"Impact","value":""},{"id":150,"name":"Time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4014 --day 2017-07-01</v>
      </c>
      <c r="AN7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653</v>
      </c>
      <c r="B78" s="7">
        <v>4013</v>
      </c>
      <c r="C78" s="21" t="s">
        <v>202</v>
      </c>
      <c r="D78" s="21" t="s">
        <v>917</v>
      </c>
      <c r="E78" s="13">
        <v>42917.516226851854</v>
      </c>
      <c r="F78" s="13">
        <v>42917.520243055558</v>
      </c>
      <c r="G78" s="7">
        <v>5</v>
      </c>
      <c r="H78" s="21" t="s">
        <v>918</v>
      </c>
      <c r="I78" s="13">
        <v>42917.547465277778</v>
      </c>
      <c r="J78" s="7">
        <v>0</v>
      </c>
      <c r="K78" s="89" t="str">
        <f t="shared" si="27"/>
        <v>4013/4014</v>
      </c>
      <c r="L78" s="21" t="str">
        <f>VLOOKUP(A78,'Trips&amp;Operators'!$C$1:$G$99999,5,FALSE)</f>
        <v>BRANDNER MELINDA</v>
      </c>
      <c r="M78" s="6">
        <f t="shared" si="28"/>
        <v>2.7222222219279502E-2</v>
      </c>
      <c r="N78" s="7">
        <f t="shared" si="25"/>
        <v>39.199999995762482</v>
      </c>
      <c r="O78" s="7"/>
      <c r="P78" s="7"/>
      <c r="Q78" s="22"/>
      <c r="R78" s="170"/>
      <c r="S78" s="213">
        <f t="shared" si="26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-01T11:23:22-0600',mode:absolute,to:'2017-07-01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23.1007</v>
      </c>
      <c r="Z78" s="197">
        <f t="shared" si="33"/>
        <v>1.2999999999999999E-2</v>
      </c>
      <c r="AA78" s="197">
        <f t="shared" si="34"/>
        <v>23.087699999999998</v>
      </c>
      <c r="AB78" s="54" t="str">
        <f>VLOOKUP(A78,Enforcements!$C$7:$K$13,8,0)</f>
        <v>Bulletin (2)</v>
      </c>
      <c r="AC78" s="51" t="str">
        <f>VLOOKUP(A78,Enforcements!$C$7:$E$13,3,0)</f>
        <v>GRADE CROSSING</v>
      </c>
      <c r="AD78" s="206">
        <f t="shared" si="35"/>
        <v>164</v>
      </c>
      <c r="AE78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78" s="74" t="str">
        <f t="shared" si="37"/>
        <v>"C:\Program Files (x86)\AstroGrep\AstroGrep.exe" /e /r /s /spath="%USERPROFILE%\AppData\Local\Temp\OnboardLogs" /stypes="app*4013*20170701*"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164-01 --locoid 4013 --swversion DE.1.0.9.0 --startMP 204:231007 --initTime 2017-07-01T12:23:22 --startdatetime 2017-07-01T12:29:09 --delay 5 --endMP 204:130 --enddatetime 2017-07-01T13:08:21 --enforcementcount 0 &gt;&gt;C:\Users\stu\Documents\GitHub\eaglep3-reporting\EC\2017-07-01-refined-times.txt</v>
      </c>
      <c r="AI78" s="96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{"issue":{"subject":"","project_id":79,"tracker_id":40,"status_id":1,"priority_id":2,"assigned_to_id":23,"start_date":"2017-07-01","description":"","custom_fields":[{"id":1,"name":"Subdivision","value":"EC"},{"id":4,"name":"Milepost","value":"0.013"},{"id":17,"name":"Train ID","value":"164-01"},{"id":16,"name":"Locomotive ID","value":"4013"},{"id":130,"name":"Impact","value":""},{"id":150,"name":"Time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1">"start /low /b "&amp;dls3logs&amp;" --loco "&amp;B78&amp;" --day "&amp;TEXT(F78,"YYYY-MM-DD")</f>
        <v>start /low /b %USERPROFILE%\Documents\GitHub\eaglep3\Utilities\DownloadLogsFromS3.py --loco 4013 --day 2017-07-01</v>
      </c>
      <c r="AN78" s="15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777</v>
      </c>
      <c r="B79" s="7">
        <v>4062</v>
      </c>
      <c r="C79" s="21" t="s">
        <v>202</v>
      </c>
      <c r="D79" s="21" t="s">
        <v>919</v>
      </c>
      <c r="E79" s="13">
        <v>42917.485613425924</v>
      </c>
      <c r="F79" s="13">
        <v>42917.49009259259</v>
      </c>
      <c r="G79" s="7">
        <v>2</v>
      </c>
      <c r="H79" s="21" t="s">
        <v>486</v>
      </c>
      <c r="I79" s="13">
        <v>42917.514965277776</v>
      </c>
      <c r="J79" s="7">
        <v>0</v>
      </c>
      <c r="K79" s="89" t="str">
        <f t="shared" si="27"/>
        <v>4061/4062</v>
      </c>
      <c r="L79" s="21" t="str">
        <f>VLOOKUP(A79,'Trips&amp;Operators'!$C$1:$G$99999,5,FALSE)</f>
        <v>BRUDER RICHARD</v>
      </c>
      <c r="M79" s="6">
        <f t="shared" si="28"/>
        <v>2.4872685185982846E-2</v>
      </c>
      <c r="N79" s="7">
        <f t="shared" si="25"/>
        <v>35.816666667815298</v>
      </c>
      <c r="O79" s="7"/>
      <c r="P79" s="7"/>
      <c r="Q79" s="22"/>
      <c r="R79" s="170"/>
      <c r="S79" s="213">
        <f t="shared" si="26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-01T10:39:17-0600',mode:absolute,to:'2017-07-01T13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4.9099999999999998E-2</v>
      </c>
      <c r="Z79" s="197">
        <f t="shared" si="33"/>
        <v>23.330100000000002</v>
      </c>
      <c r="AA79" s="197">
        <f t="shared" si="34"/>
        <v>23.281000000000002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165</v>
      </c>
      <c r="AE79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79" s="74" t="str">
        <f t="shared" si="37"/>
        <v>"C:\Program Files (x86)\AstroGrep\AstroGrep.exe" /e /r /s /spath="%USERPROFILE%\AppData\Local\Temp\OnboardLogs" /stypes="app*4062*20170701*"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165-01 --locoid 4062 --swversion DE.1.0.9.0 --startMP 204:491 --initTime 2017-07-01T11:39:17 --startdatetime 2017-07-01T11:45:44 --delay 2 --endMP 204:233301 --enddatetime 2017-07-01T12:21:33 --enforcementcount 0 &gt;&gt;C:\Users\stu\Documents\GitHub\eaglep3-reporting\EC\2017-07-01-refined-times.txt</v>
      </c>
      <c r="AI7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{"issue":{"subject":"","project_id":79,"tracker_id":40,"status_id":1,"priority_id":2,"assigned_to_id":23,"start_date":"2017-07-01","description":"","custom_fields":[{"id":1,"name":"Subdivision","value":"EC"},{"id":4,"name":"Milepost","value":"23.3301"},{"id":17,"name":"Train ID","value":"165-01"},{"id":16,"name":"Locomotive ID","value":"4062"},{"id":130,"name":"Impact","value":""},{"id":150,"name":"Time of Event (Mountain Time)","value":"12:21:33"},{"id":151,"name":"Denver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4062 --day 2017-07-01</v>
      </c>
      <c r="AN7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654</v>
      </c>
      <c r="B80" s="7">
        <v>4061</v>
      </c>
      <c r="C80" s="21" t="s">
        <v>202</v>
      </c>
      <c r="D80" s="21" t="s">
        <v>603</v>
      </c>
      <c r="E80" s="13">
        <v>42917.525613425925</v>
      </c>
      <c r="F80" s="13">
        <v>42917.529363425929</v>
      </c>
      <c r="G80" s="7">
        <v>3</v>
      </c>
      <c r="H80" s="21" t="s">
        <v>920</v>
      </c>
      <c r="I80" s="13">
        <v>42917.555578703701</v>
      </c>
      <c r="J80" s="7">
        <v>0</v>
      </c>
      <c r="K80" s="89" t="str">
        <f t="shared" si="27"/>
        <v>4061/4062</v>
      </c>
      <c r="L80" s="21" t="str">
        <f>VLOOKUP(A80,'Trips&amp;Operators'!$C$1:$G$99999,5,FALSE)</f>
        <v>BRUDER RICHARD</v>
      </c>
      <c r="M80" s="6">
        <f t="shared" si="28"/>
        <v>2.6215277772280388E-2</v>
      </c>
      <c r="N80" s="7">
        <f t="shared" si="25"/>
        <v>37.749999992083758</v>
      </c>
      <c r="O80" s="7"/>
      <c r="P80" s="7"/>
      <c r="Q80" s="22"/>
      <c r="R80" s="170"/>
      <c r="S80" s="213">
        <f t="shared" si="26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-01T11:36:53-0600',mode:absolute,to:'2017-07-01T14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23.296700000000001</v>
      </c>
      <c r="Z80" s="197">
        <f t="shared" si="33"/>
        <v>1.9199999999999998E-2</v>
      </c>
      <c r="AA80" s="197">
        <f t="shared" si="34"/>
        <v>23.2775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166</v>
      </c>
      <c r="AE80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80" s="74" t="str">
        <f t="shared" si="37"/>
        <v>"C:\Program Files (x86)\AstroGrep\AstroGrep.exe" /e /r /s /spath="%USERPROFILE%\AppData\Local\Temp\OnboardLogs" /stypes="app*4061*20170701*"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166-01 --locoid 4061 --swversion DE.1.0.9.0 --startMP 204:232967 --initTime 2017-07-01T12:36:53 --startdatetime 2017-07-01T12:42:17 --delay 3 --endMP 204:192 --enddatetime 2017-07-01T13:20:02 --enforcementcount 0 &gt;&gt;C:\Users\stu\Documents\GitHub\eaglep3-reporting\EC\2017-07-01-refined-times.txt</v>
      </c>
      <c r="AI8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{"issue":{"subject":"","project_id":79,"tracker_id":40,"status_id":1,"priority_id":2,"assigned_to_id":23,"start_date":"2017-07-01","description":"","custom_fields":[{"id":1,"name":"Subdivision","value":"EC"},{"id":4,"name":"Milepost","value":"0.0192"},{"id":17,"name":"Train ID","value":"166-01"},{"id":16,"name":"Locomotive ID","value":"4061"},{"id":130,"name":"Impact","value":""},{"id":150,"name":"Time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4061 --day 2017-07-01</v>
      </c>
      <c r="AN8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779</v>
      </c>
      <c r="B81" s="7">
        <v>4008</v>
      </c>
      <c r="C81" s="21" t="s">
        <v>202</v>
      </c>
      <c r="D81" s="21" t="s">
        <v>491</v>
      </c>
      <c r="E81" s="13">
        <v>42917.494803240741</v>
      </c>
      <c r="F81" s="13">
        <v>42917.500497685185</v>
      </c>
      <c r="G81" s="7">
        <v>1</v>
      </c>
      <c r="H81" s="21" t="s">
        <v>606</v>
      </c>
      <c r="I81" s="13">
        <v>42917.52579861111</v>
      </c>
      <c r="J81" s="7">
        <v>0</v>
      </c>
      <c r="K81" s="89" t="str">
        <f t="shared" si="27"/>
        <v>4007/4008</v>
      </c>
      <c r="L81" s="21" t="str">
        <f>VLOOKUP(A81,'Trips&amp;Operators'!$C$1:$G$99999,5,FALSE)</f>
        <v>NEWELL JAMES</v>
      </c>
      <c r="M81" s="6">
        <f t="shared" si="28"/>
        <v>2.5300925924966577E-2</v>
      </c>
      <c r="N81" s="7">
        <f t="shared" si="25"/>
        <v>36.433333331951872</v>
      </c>
      <c r="O81" s="7"/>
      <c r="P81" s="7"/>
      <c r="Q81" s="22"/>
      <c r="R81" s="170"/>
      <c r="S81" s="213">
        <f t="shared" si="26"/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-01T10:52:31-0600',mode:absolute,to:'2017-07-01T13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4.7500000000000001E-2</v>
      </c>
      <c r="Z81" s="197">
        <f t="shared" si="33"/>
        <v>23.3306</v>
      </c>
      <c r="AA81" s="197">
        <f t="shared" si="34"/>
        <v>23.283100000000001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167</v>
      </c>
      <c r="AE81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81" s="74" t="str">
        <f t="shared" si="37"/>
        <v>"C:\Program Files (x86)\AstroGrep\AstroGrep.exe" /e /r /s /spath="%USERPROFILE%\AppData\Local\Temp\OnboardLogs" /stypes="app*4008*20170701*"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167-01 --locoid 4008 --swversion DE.1.0.9.0 --startMP 204:475 --initTime 2017-07-01T11:52:31 --startdatetime 2017-07-01T12:00:43 --delay 1 --endMP 204:233306 --enddatetime 2017-07-01T12:37:09 --enforcementcount 0 &gt;&gt;C:\Users\stu\Documents\GitHub\eaglep3-reporting\EC\2017-07-01-refined-times.txt</v>
      </c>
      <c r="AI8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{"issue":{"subject":"","project_id":79,"tracker_id":40,"status_id":1,"priority_id":2,"assigned_to_id":23,"start_date":"2017-07-01","description":"","custom_fields":[{"id":1,"name":"Subdivision","value":"EC"},{"id":4,"name":"Milepost","value":"23.3306"},{"id":17,"name":"Train ID","value":"167-01"},{"id":16,"name":"Locomotive ID","value":"4008"},{"id":130,"name":"Impact","value":""},{"id":150,"name":"Time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4008 --day 2017-07-01</v>
      </c>
      <c r="AN8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785</v>
      </c>
      <c r="B82" s="7">
        <v>4007</v>
      </c>
      <c r="C82" s="21" t="s">
        <v>202</v>
      </c>
      <c r="D82" s="21" t="s">
        <v>602</v>
      </c>
      <c r="E82" s="13">
        <v>42917.526631944442</v>
      </c>
      <c r="F82" s="13">
        <v>42917.539826388886</v>
      </c>
      <c r="G82" s="7">
        <v>1</v>
      </c>
      <c r="H82" s="21" t="s">
        <v>921</v>
      </c>
      <c r="I82" s="13">
        <v>42917.565555555557</v>
      </c>
      <c r="J82" s="7">
        <v>0</v>
      </c>
      <c r="K82" s="89" t="str">
        <f t="shared" si="27"/>
        <v>4007/4008</v>
      </c>
      <c r="L82" s="21" t="str">
        <f>VLOOKUP(A82,'Trips&amp;Operators'!$C$1:$G$99999,5,FALSE)</f>
        <v>NEWELL JAMES</v>
      </c>
      <c r="M82" s="6">
        <f t="shared" si="28"/>
        <v>2.5729166671226267E-2</v>
      </c>
      <c r="N82" s="7">
        <f t="shared" si="25"/>
        <v>37.050000006565824</v>
      </c>
      <c r="O82" s="7"/>
      <c r="P82" s="7"/>
      <c r="Q82" s="22"/>
      <c r="R82" s="170"/>
      <c r="S82" s="213">
        <f t="shared" si="26"/>
        <v>1</v>
      </c>
      <c r="T82" s="195" t="str">
        <f t="shared" si="2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-01T11:38:21-0600',mode:absolute,to:'2017-07-01T14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23.299299999999999</v>
      </c>
      <c r="Z82" s="197">
        <f t="shared" si="33"/>
        <v>1.8100000000000002E-2</v>
      </c>
      <c r="AA82" s="197">
        <f t="shared" si="34"/>
        <v>23.281199999999998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168</v>
      </c>
      <c r="AE82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82" s="74" t="str">
        <f t="shared" si="37"/>
        <v>"C:\Program Files (x86)\AstroGrep\AstroGrep.exe" /e /r /s /spath="%USERPROFILE%\AppData\Local\Temp\OnboardLogs" /stypes="app*4007*20170701*" /stext=" 19:.+((SYSTEM_STATE.+slice.+state.+changed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168-01 --locoid 4007 --swversion DE.1.0.9.0 --startMP 204:232993 --initTime 2017-07-01T12:38:21 --startdatetime 2017-07-01T12:57:21 --delay 1 --endMP 204:181 --enddatetime 2017-07-01T13:34:24 --enforcementcount 0 &gt;&gt;C:\Users\stu\Documents\GitHub\eaglep3-reporting\EC\2017-07-01-refined-times.txt</v>
      </c>
      <c r="AI8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{"issue":{"subject":"","project_id":79,"tracker_id":40,"status_id":1,"priority_id":2,"assigned_to_id":23,"start_date":"2017-07-01","description":"","custom_fields":[{"id":1,"name":"Subdivision","value":"EC"},{"id":4,"name":"Milepost","value":"0.0181"},{"id":17,"name":"Train ID","value":"168-01"},{"id":16,"name":"Locomotive ID","value":"4007"},{"id":130,"name":"Impact","value":""},{"id":150,"name":"Time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4007 --day 2017-07-01</v>
      </c>
      <c r="AN8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781</v>
      </c>
      <c r="B83" s="7">
        <v>4056</v>
      </c>
      <c r="C83" s="21" t="s">
        <v>202</v>
      </c>
      <c r="D83" s="21" t="s">
        <v>454</v>
      </c>
      <c r="E83" s="13">
        <v>42917.508819444447</v>
      </c>
      <c r="F83" s="13">
        <v>42917.51085648148</v>
      </c>
      <c r="G83" s="7">
        <v>1</v>
      </c>
      <c r="H83" s="21" t="s">
        <v>922</v>
      </c>
      <c r="I83" s="13">
        <v>42917.535613425927</v>
      </c>
      <c r="J83" s="7">
        <v>0</v>
      </c>
      <c r="K83" s="89" t="str">
        <f t="shared" si="27"/>
        <v>4055/4056</v>
      </c>
      <c r="L83" s="21" t="str">
        <f>VLOOKUP(A83,'Trips&amp;Operators'!$C$1:$G$99999,5,FALSE)</f>
        <v>DELGADO DIANAH</v>
      </c>
      <c r="M83" s="6">
        <f t="shared" si="28"/>
        <v>2.4756944447290152E-2</v>
      </c>
      <c r="N83" s="7">
        <f t="shared" si="25"/>
        <v>35.650000004097819</v>
      </c>
      <c r="O83" s="7"/>
      <c r="P83" s="7"/>
      <c r="Q83" s="22"/>
      <c r="R83" s="170"/>
      <c r="S83" s="213">
        <f t="shared" si="26"/>
        <v>1</v>
      </c>
      <c r="T83" s="195" t="str">
        <f t="shared" si="2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-01T11:12:42-0600',mode:absolute,to:'2017-07-01T13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4.5499999999999999E-2</v>
      </c>
      <c r="Z83" s="197">
        <f t="shared" si="33"/>
        <v>23.338899999999999</v>
      </c>
      <c r="AA83" s="197">
        <f t="shared" si="34"/>
        <v>23.293399999999998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169</v>
      </c>
      <c r="AE83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83" s="74" t="str">
        <f t="shared" si="37"/>
        <v>"C:\Program Files (x86)\AstroGrep\AstroGrep.exe" /e /r /s /spath="%USERPROFILE%\AppData\Local\Temp\OnboardLogs" /stypes="app*4056*20170701*" /stext=" 18:.+((SYSTEM_STATE.+slice.+state.+changed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169-01 --locoid 4056 --swversion DE.1.0.9.0 --startMP 204:455 --initTime 2017-07-01T12:12:42 --startdatetime 2017-07-01T12:15:38 --delay 1 --endMP 204:233389 --enddatetime 2017-07-01T12:51:17 --enforcementcount 0 &gt;&gt;C:\Users\stu\Documents\GitHub\eaglep3-reporting\EC\2017-07-01-refined-times.txt</v>
      </c>
      <c r="AI8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{"issue":{"subject":"","project_id":79,"tracker_id":40,"status_id":1,"priority_id":2,"assigned_to_id":23,"start_date":"2017-07-01","description":"","custom_fields":[{"id":1,"name":"Subdivision","value":"EC"},{"id":4,"name":"Milepost","value":"23.3389"},{"id":17,"name":"Train ID","value":"169-01"},{"id":16,"name":"Locomotive ID","value":"4056"},{"id":130,"name":"Impact","value":""},{"id":150,"name":"Time of Event (Mountain Time)","value":"12:51:17"},{"id":151,"name":"Denver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4056 --day 2017-07-01</v>
      </c>
      <c r="AN8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787</v>
      </c>
      <c r="B84" s="7">
        <v>4055</v>
      </c>
      <c r="C84" s="21" t="s">
        <v>202</v>
      </c>
      <c r="D84" s="21" t="s">
        <v>617</v>
      </c>
      <c r="E84" s="13">
        <v>42917.544999999998</v>
      </c>
      <c r="F84" s="13">
        <v>42917.550173611111</v>
      </c>
      <c r="G84" s="7">
        <v>1</v>
      </c>
      <c r="H84" s="21" t="s">
        <v>416</v>
      </c>
      <c r="I84" s="13">
        <v>42917.575925925928</v>
      </c>
      <c r="J84" s="7">
        <v>0</v>
      </c>
      <c r="K84" s="89" t="str">
        <f t="shared" si="27"/>
        <v>4055/4056</v>
      </c>
      <c r="L84" s="21" t="str">
        <f>VLOOKUP(A84,'Trips&amp;Operators'!$C$1:$G$99999,5,FALSE)</f>
        <v>DELGADO DIANAH</v>
      </c>
      <c r="M84" s="6">
        <f t="shared" si="28"/>
        <v>2.5752314817509614E-2</v>
      </c>
      <c r="N84" s="7">
        <f t="shared" si="25"/>
        <v>37.083333337213844</v>
      </c>
      <c r="O84" s="7"/>
      <c r="P84" s="7"/>
      <c r="Q84" s="22"/>
      <c r="R84" s="170"/>
      <c r="S84" s="213">
        <f t="shared" si="26"/>
        <v>1</v>
      </c>
      <c r="T84" s="195" t="str">
        <f t="shared" si="2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-01T12:04:48-0600',mode:absolute,to:'2017-07-01T14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23.305900000000001</v>
      </c>
      <c r="Z84" s="197">
        <f t="shared" si="33"/>
        <v>1.4500000000000001E-2</v>
      </c>
      <c r="AA84" s="197">
        <f t="shared" si="34"/>
        <v>23.291399999999999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170</v>
      </c>
      <c r="AE84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84" s="74" t="str">
        <f t="shared" si="37"/>
        <v>"C:\Program Files (x86)\AstroGrep\AstroGrep.exe" /e /r /s /spath="%USERPROFILE%\AppData\Local\Temp\OnboardLogs" /stypes="app*4055*20170701*"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170-01 --locoid 4055 --swversion DE.1.0.9.0 --startMP 204:233059 --initTime 2017-07-01T13:04:48 --startdatetime 2017-07-01T13:12:15 --delay 1 --endMP 204:145 --enddatetime 2017-07-01T13:49:20 --enforcementcount 0 &gt;&gt;C:\Users\stu\Documents\GitHub\eaglep3-reporting\EC\2017-07-01-refined-times.txt</v>
      </c>
      <c r="AI8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ID","value":"170-01"},{"id":16,"name":"Locomotive ID","value":"4055"},{"id":130,"name":"Impact","value":""},{"id":150,"name":"Time of Event (Mountain Time)","value":"13:49:20"},{"id":151,"name":"Denver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4055 --day 2017-07-01</v>
      </c>
      <c r="AN8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784</v>
      </c>
      <c r="B85" s="7">
        <v>4018</v>
      </c>
      <c r="C85" s="21" t="s">
        <v>202</v>
      </c>
      <c r="D85" s="21" t="s">
        <v>455</v>
      </c>
      <c r="E85" s="13">
        <v>42917.516828703701</v>
      </c>
      <c r="F85" s="13">
        <v>42917.521493055552</v>
      </c>
      <c r="G85" s="7">
        <v>1</v>
      </c>
      <c r="H85" s="21" t="s">
        <v>604</v>
      </c>
      <c r="I85" s="13">
        <v>42917.546064814815</v>
      </c>
      <c r="J85" s="7">
        <v>0</v>
      </c>
      <c r="K85" s="89" t="str">
        <f t="shared" si="27"/>
        <v>4017/4018</v>
      </c>
      <c r="L85" s="21" t="str">
        <f>VLOOKUP(A85,'Trips&amp;Operators'!$C$1:$G$99999,5,FALSE)</f>
        <v>STEWART MICHAEL</v>
      </c>
      <c r="M85" s="6">
        <f t="shared" si="28"/>
        <v>2.457175926247146E-2</v>
      </c>
      <c r="N85" s="7">
        <f t="shared" si="25"/>
        <v>35.383333337958902</v>
      </c>
      <c r="O85" s="7"/>
      <c r="P85" s="7"/>
      <c r="Q85" s="22"/>
      <c r="R85" s="170"/>
      <c r="S85" s="213">
        <f t="shared" si="26"/>
        <v>1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-01T11:24:14-0600',mode:absolute,to:'2017-07-01T14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4.6399999999999997E-2</v>
      </c>
      <c r="Z85" s="197">
        <f t="shared" si="33"/>
        <v>23.329499999999999</v>
      </c>
      <c r="AA85" s="197">
        <f t="shared" si="34"/>
        <v>23.283100000000001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171</v>
      </c>
      <c r="AE85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85" s="74" t="str">
        <f t="shared" si="37"/>
        <v>"C:\Program Files (x86)\AstroGrep\AstroGrep.exe" /e /r /s /spath="%USERPROFILE%\AppData\Local\Temp\OnboardLogs" /stypes="app*4018*20170701*"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171-01 --locoid 4018 --swversion DE.1.0.9.0 --startMP 204:464 --initTime 2017-07-01T12:24:14 --startdatetime 2017-07-01T12:30:57 --delay 1 --endMP 204:233295 --enddatetime 2017-07-01T13:06:20 --enforcementcount 0 &gt;&gt;C:\Users\stu\Documents\GitHub\eaglep3-reporting\EC\2017-07-01-refined-times.txt</v>
      </c>
      <c r="AI8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{"issue":{"subject":"","project_id":79,"tracker_id":40,"status_id":1,"priority_id":2,"assigned_to_id":23,"start_date":"2017-07-01","description":"","custom_fields":[{"id":1,"name":"Subdivision","value":"EC"},{"id":4,"name":"Milepost","value":"23.3295"},{"id":17,"name":"Train ID","value":"171-01"},{"id":16,"name":"Locomotive ID","value":"4018"},{"id":130,"name":"Impact","value":""},{"id":150,"name":"Time of Event (Mountain Time)","value":"13:06:20"},{"id":151,"name":"Denver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4018 --day 2017-07-01</v>
      </c>
      <c r="AN8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789</v>
      </c>
      <c r="B86" s="7">
        <v>4017</v>
      </c>
      <c r="C86" s="21" t="s">
        <v>202</v>
      </c>
      <c r="D86" s="21" t="s">
        <v>599</v>
      </c>
      <c r="E86" s="13">
        <v>42917.556828703702</v>
      </c>
      <c r="F86" s="13">
        <v>42917.560636574075</v>
      </c>
      <c r="G86" s="7">
        <v>1</v>
      </c>
      <c r="H86" s="21" t="s">
        <v>485</v>
      </c>
      <c r="I86" s="13">
        <v>42917.588310185187</v>
      </c>
      <c r="J86" s="7">
        <v>0</v>
      </c>
      <c r="K86" s="89" t="str">
        <f t="shared" si="27"/>
        <v>4017/4018</v>
      </c>
      <c r="L86" s="21" t="str">
        <f>VLOOKUP(A86,'Trips&amp;Operators'!$C$1:$G$99999,5,FALSE)</f>
        <v>STEWART MICHAEL</v>
      </c>
      <c r="M86" s="6">
        <f t="shared" si="28"/>
        <v>2.7673611111822538E-2</v>
      </c>
      <c r="N86" s="7">
        <f t="shared" si="25"/>
        <v>39.850000001024455</v>
      </c>
      <c r="O86" s="7"/>
      <c r="P86" s="7"/>
      <c r="Q86" s="22"/>
      <c r="R86" s="170"/>
      <c r="S86" s="213">
        <f t="shared" si="26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-01T12:21:50-0600',mode:absolute,to:'2017-07-01T15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23.2972</v>
      </c>
      <c r="Z86" s="197">
        <f t="shared" si="33"/>
        <v>1.6299999999999999E-2</v>
      </c>
      <c r="AA86" s="197">
        <f t="shared" si="34"/>
        <v>23.280899999999999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172</v>
      </c>
      <c r="AE86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86" s="74" t="str">
        <f t="shared" si="37"/>
        <v>"C:\Program Files (x86)\AstroGrep\AstroGrep.exe" /e /r /s /spath="%USERPROFILE%\AppData\Local\Temp\OnboardLogs" /stypes="app*4017*20170701*" /stext=" 20:.+((SYSTEM_STATE.+slice.+state.+changed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172-01 --locoid 4017 --swversion DE.1.0.9.0 --startMP 204:232972 --initTime 2017-07-01T13:21:50 --startdatetime 2017-07-01T13:27:19 --delay 1 --endMP 204:163 --enddatetime 2017-07-01T14:07:10 --enforcementcount 0 &gt;&gt;C:\Users\stu\Documents\GitHub\eaglep3-reporting\EC\2017-07-01-refined-times.txt</v>
      </c>
      <c r="AI8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{"issue":{"subject":"","project_id":79,"tracker_id":40,"status_id":1,"priority_id":2,"assigned_to_id":23,"start_date":"2017-07-01","description":"","custom_fields":[{"id":1,"name":"Subdivision","value":"EC"},{"id":4,"name":"Milepost","value":"0.0163"},{"id":17,"name":"Train ID","value":"172-01"},{"id":16,"name":"Locomotive ID","value":"4017"},{"id":130,"name":"Impact","value":""},{"id":150,"name":"Time of Event (Mountain Time)","value":"14:07:10"},{"id":151,"name":"Denver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4017 --day 2017-07-01</v>
      </c>
      <c r="AN8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655</v>
      </c>
      <c r="B87" s="7">
        <v>4030</v>
      </c>
      <c r="C87" s="21" t="s">
        <v>202</v>
      </c>
      <c r="D87" s="21" t="s">
        <v>355</v>
      </c>
      <c r="E87" s="13">
        <v>42917.528136574074</v>
      </c>
      <c r="F87" s="13">
        <v>42917.531446759262</v>
      </c>
      <c r="G87" s="7">
        <v>1</v>
      </c>
      <c r="H87" s="21" t="s">
        <v>542</v>
      </c>
      <c r="I87" s="13">
        <v>42917.557129629633</v>
      </c>
      <c r="J87" s="7">
        <v>0</v>
      </c>
      <c r="K87" s="89" t="str">
        <f t="shared" si="27"/>
        <v>4029/4030</v>
      </c>
      <c r="L87" s="21" t="str">
        <f>VLOOKUP(A87,'Trips&amp;Operators'!$C$1:$G$99999,5,FALSE)</f>
        <v>HOLCOMB KAMDEN</v>
      </c>
      <c r="M87" s="6">
        <f t="shared" si="28"/>
        <v>2.5682870371383615E-2</v>
      </c>
      <c r="N87" s="7">
        <f t="shared" si="25"/>
        <v>36.983333334792405</v>
      </c>
      <c r="O87" s="7"/>
      <c r="P87" s="7"/>
      <c r="Q87" s="22"/>
      <c r="R87" s="170"/>
      <c r="S87" s="213">
        <f t="shared" si="26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-01T11:40:31-0600',mode:absolute,to:'2017-07-01T14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4.4699999999999997E-2</v>
      </c>
      <c r="Z87" s="197">
        <f t="shared" si="33"/>
        <v>23.329699999999999</v>
      </c>
      <c r="AA87" s="197">
        <f t="shared" si="34"/>
        <v>23.285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173</v>
      </c>
      <c r="AE87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87" s="74" t="str">
        <f t="shared" si="37"/>
        <v>"C:\Program Files (x86)\AstroGrep\AstroGrep.exe" /e /r /s /spath="%USERPROFILE%\AppData\Local\Temp\OnboardLogs" /stypes="app*4030*20170701*"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173-01 --locoid 4030 --swversion DE.1.0.9.0 --startMP 204:447 --initTime 2017-07-01T12:40:31 --startdatetime 2017-07-01T12:45:17 --delay 1 --endMP 204:233297 --enddatetime 2017-07-01T13:22:16 --enforcementcount 0 &gt;&gt;C:\Users\stu\Documents\GitHub\eaglep3-reporting\EC\2017-07-01-refined-times.txt</v>
      </c>
      <c r="AI8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{"issue":{"subject":"","project_id":79,"tracker_id":40,"status_id":1,"priority_id":2,"assigned_to_id":23,"start_date":"2017-07-01","description":"","custom_fields":[{"id":1,"name":"Subdivision","value":"EC"},{"id":4,"name":"Milepost","value":"23.3297"},{"id":17,"name":"Train ID","value":"173-01"},{"id":16,"name":"Locomotive ID","value":"4030"},{"id":130,"name":"Impact","value":""},{"id":150,"name":"Time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4030 --day 2017-07-01</v>
      </c>
      <c r="AN8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793</v>
      </c>
      <c r="B88" s="7">
        <v>4029</v>
      </c>
      <c r="C88" s="21" t="s">
        <v>202</v>
      </c>
      <c r="D88" s="21" t="s">
        <v>466</v>
      </c>
      <c r="E88" s="13">
        <v>42917.569965277777</v>
      </c>
      <c r="F88" s="13">
        <v>42917.57130787037</v>
      </c>
      <c r="G88" s="7">
        <v>1</v>
      </c>
      <c r="H88" s="21" t="s">
        <v>923</v>
      </c>
      <c r="I88" s="13">
        <v>42917.599097222221</v>
      </c>
      <c r="J88" s="7">
        <v>0</v>
      </c>
      <c r="K88" s="89" t="str">
        <f t="shared" si="27"/>
        <v>4029/4030</v>
      </c>
      <c r="L88" s="21" t="str">
        <f>VLOOKUP(A88,'Trips&amp;Operators'!$C$1:$G$99999,5,FALSE)</f>
        <v>HOLCOMB KAMDEN</v>
      </c>
      <c r="M88" s="6">
        <f t="shared" si="28"/>
        <v>2.7789351850515231E-2</v>
      </c>
      <c r="N88" s="7">
        <f t="shared" si="25"/>
        <v>40.016666664741933</v>
      </c>
      <c r="O88" s="7"/>
      <c r="P88" s="7"/>
      <c r="Q88" s="22"/>
      <c r="R88" s="170"/>
      <c r="S88" s="213">
        <f t="shared" si="26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-01T12:40:45-0600',mode:absolute,to:'2017-07-01T15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23.297699999999999</v>
      </c>
      <c r="Z88" s="197">
        <f t="shared" si="33"/>
        <v>1.34E-2</v>
      </c>
      <c r="AA88" s="197">
        <f t="shared" si="34"/>
        <v>23.284299999999998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174</v>
      </c>
      <c r="AE88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88" s="74" t="str">
        <f t="shared" si="37"/>
        <v>"C:\Program Files (x86)\AstroGrep\AstroGrep.exe" /e /r /s /spath="%USERPROFILE%\AppData\Local\Temp\OnboardLogs" /stypes="app*4029*20170701*"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174-01 --locoid 4029 --swversion DE.1.0.9.0 --startMP 204:232977 --initTime 2017-07-01T13:40:45 --startdatetime 2017-07-01T13:42:41 --delay 1 --endMP 204:134 --enddatetime 2017-07-01T14:22:42 --enforcementcount 0 &gt;&gt;C:\Users\stu\Documents\GitHub\eaglep3-reporting\EC\2017-07-01-refined-times.txt</v>
      </c>
      <c r="AI8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{"issue":{"subject":"","project_id":79,"tracker_id":40,"status_id":1,"priority_id":2,"assigned_to_id":23,"start_date":"2017-07-01","description":"","custom_fields":[{"id":1,"name":"Subdivision","value":"EC"},{"id":4,"name":"Milepost","value":"0.0134"},{"id":17,"name":"Train ID","value":"174-01"},{"id":16,"name":"Locomotive ID","value":"4029"},{"id":130,"name":"Impact","value":""},{"id":150,"name":"Time of Event (Mountain Time)","value":"14:22:42"},{"id":151,"name":"Denver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4029 --day 2017-07-01</v>
      </c>
      <c r="AN88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786</v>
      </c>
      <c r="B89" s="7">
        <v>4028</v>
      </c>
      <c r="C89" s="21" t="s">
        <v>202</v>
      </c>
      <c r="D89" s="21" t="s">
        <v>470</v>
      </c>
      <c r="E89" s="13">
        <v>42917.536041666666</v>
      </c>
      <c r="F89" s="13">
        <v>42917.542175925926</v>
      </c>
      <c r="G89" s="7">
        <v>1</v>
      </c>
      <c r="H89" s="21" t="s">
        <v>606</v>
      </c>
      <c r="I89" s="13">
        <v>42917.56690972222</v>
      </c>
      <c r="J89" s="7">
        <v>0</v>
      </c>
      <c r="K89" s="89" t="str">
        <f t="shared" si="27"/>
        <v>4027/4028</v>
      </c>
      <c r="L89" s="21" t="str">
        <f>VLOOKUP(A89,'Trips&amp;Operators'!$C$1:$G$99999,5,FALSE)</f>
        <v>LOPES KIMBERLY</v>
      </c>
      <c r="M89" s="6">
        <f t="shared" si="28"/>
        <v>2.4733796293730848E-2</v>
      </c>
      <c r="N89" s="7">
        <f t="shared" si="25"/>
        <v>35.61666666297242</v>
      </c>
      <c r="O89" s="7"/>
      <c r="P89" s="7"/>
      <c r="Q89" s="22"/>
      <c r="R89" s="170"/>
      <c r="S89" s="213">
        <f t="shared" si="26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-01T11:51:54-0600',mode:absolute,to:'2017-07-01T14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4.58E-2</v>
      </c>
      <c r="Z89" s="197">
        <f t="shared" si="33"/>
        <v>23.3306</v>
      </c>
      <c r="AA89" s="197">
        <f t="shared" si="34"/>
        <v>23.284800000000001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175</v>
      </c>
      <c r="AE89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89" s="74" t="str">
        <f t="shared" si="37"/>
        <v>"C:\Program Files (x86)\AstroGrep\AstroGrep.exe" /e /r /s /spath="%USERPROFILE%\AppData\Local\Temp\OnboardLogs" /stypes="app*4028*20170701*"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175-01 --locoid 4028 --swversion DE.1.0.9.0 --startMP 204:458 --initTime 2017-07-01T12:51:54 --startdatetime 2017-07-01T13:00:44 --delay 1 --endMP 204:233306 --enddatetime 2017-07-01T13:36:21 --enforcementcount 0 &gt;&gt;C:\Users\stu\Documents\GitHub\eaglep3-reporting\EC\2017-07-01-refined-times.txt</v>
      </c>
      <c r="AI8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{"issue":{"subject":"","project_id":79,"tracker_id":40,"status_id":1,"priority_id":2,"assigned_to_id":23,"start_date":"2017-07-01","description":"","custom_fields":[{"id":1,"name":"Subdivision","value":"EC"},{"id":4,"name":"Milepost","value":"23.3306"},{"id":17,"name":"Train ID","value":"175-01"},{"id":16,"name":"Locomotive ID","value":"4028"},{"id":130,"name":"Impact","value":""},{"id":150,"name":"Time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4028 --day 2017-07-01</v>
      </c>
      <c r="AN8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</row>
    <row r="90" spans="1:91" s="20" customFormat="1" x14ac:dyDescent="0.25">
      <c r="A90" s="32" t="s">
        <v>794</v>
      </c>
      <c r="B90" s="7">
        <v>4027</v>
      </c>
      <c r="C90" s="21" t="s">
        <v>202</v>
      </c>
      <c r="D90" s="21" t="s">
        <v>466</v>
      </c>
      <c r="E90" s="13">
        <v>42917.572465277779</v>
      </c>
      <c r="F90" s="13">
        <v>42917.58148148148</v>
      </c>
      <c r="G90" s="7">
        <v>6</v>
      </c>
      <c r="H90" s="21" t="s">
        <v>416</v>
      </c>
      <c r="I90" s="13">
        <v>42917.60864583333</v>
      </c>
      <c r="J90" s="7">
        <v>0</v>
      </c>
      <c r="K90" s="89" t="str">
        <f t="shared" si="27"/>
        <v>4027/4028</v>
      </c>
      <c r="L90" s="21" t="str">
        <f>VLOOKUP(A90,'Trips&amp;Operators'!$C$1:$G$99999,5,FALSE)</f>
        <v>LOPES KIMBERLY</v>
      </c>
      <c r="M90" s="6">
        <f t="shared" si="28"/>
        <v>2.7164351849933155E-2</v>
      </c>
      <c r="N90" s="7">
        <f t="shared" si="25"/>
        <v>39.116666663903743</v>
      </c>
      <c r="O90" s="7"/>
      <c r="P90" s="7"/>
      <c r="Q90" s="22"/>
      <c r="R90" s="170"/>
      <c r="S90" s="213">
        <f t="shared" si="26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-01T12:44:21-0600',mode:absolute,to:'2017-07-01T15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23.297699999999999</v>
      </c>
      <c r="Z90" s="197">
        <f t="shared" si="33"/>
        <v>1.4500000000000001E-2</v>
      </c>
      <c r="AA90" s="197">
        <f t="shared" si="34"/>
        <v>23.283199999999997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176</v>
      </c>
      <c r="AE90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90" s="74" t="str">
        <f t="shared" si="37"/>
        <v>"C:\Program Files (x86)\AstroGrep\AstroGrep.exe" /e /r /s /spath="%USERPROFILE%\AppData\Local\Temp\OnboardLogs" /stypes="app*4027*20170701*"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176-01 --locoid 4027 --swversion DE.1.0.9.0 --startMP 204:232977 --initTime 2017-07-01T13:44:21 --startdatetime 2017-07-01T13:57:20 --delay 6 --endMP 204:145 --enddatetime 2017-07-01T14:36:27 --enforcementcount 0 &gt;&gt;C:\Users\stu\Documents\GitHub\eaglep3-reporting\EC\2017-07-01-refined-times.txt</v>
      </c>
      <c r="AI9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ID","value":"176-01"},{"id":16,"name":"Locomotive ID","value":"4027"},{"id":130,"name":"Impact","value":""},{"id":150,"name":"Time of Event (Mountain Time)","value":"14:36:27"},{"id":151,"name":"Denver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1"/>
        <v>start /low /b %USERPROFILE%\Documents\GitHub\eaglep3\Utilities\DownloadLogsFromS3.py --loco 4027 --day 2017-07-01</v>
      </c>
      <c r="AN9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656</v>
      </c>
      <c r="B91" s="7">
        <v>4014</v>
      </c>
      <c r="C91" s="21" t="s">
        <v>202</v>
      </c>
      <c r="D91" s="21" t="s">
        <v>924</v>
      </c>
      <c r="E91" s="13">
        <v>42917.549120370371</v>
      </c>
      <c r="F91" s="13">
        <v>42917.558587962965</v>
      </c>
      <c r="G91" s="7">
        <v>13</v>
      </c>
      <c r="H91" s="21" t="s">
        <v>486</v>
      </c>
      <c r="I91" s="13">
        <v>42917.580335648148</v>
      </c>
      <c r="J91" s="7">
        <v>0</v>
      </c>
      <c r="K91" s="89" t="str">
        <f t="shared" si="27"/>
        <v>4013/4014</v>
      </c>
      <c r="L91" s="21" t="str">
        <f>VLOOKUP(A91,'Trips&amp;Operators'!$C$1:$G$99999,5,FALSE)</f>
        <v>BRANDNER MELINDA</v>
      </c>
      <c r="M91" s="6">
        <f t="shared" si="28"/>
        <v>2.1747685183072463E-2</v>
      </c>
      <c r="N91" s="7"/>
      <c r="O91" s="7"/>
      <c r="P91" s="7">
        <f>24*60*SUM($M91:$M91)</f>
        <v>31.316666663624346</v>
      </c>
      <c r="Q91" s="22"/>
      <c r="R91" s="170" t="s">
        <v>503</v>
      </c>
      <c r="S91" s="213">
        <f t="shared" si="26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-01T12:10:44-0600',mode:absolute,to:'2017-07-01T14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1" s="197" t="str">
        <f>IF(AA91&lt;VLOOKUP(AG91,Variables!$AC$3:$AD$8,2,FALSE),"Y","N")</f>
        <v>Y</v>
      </c>
      <c r="X91" s="197">
        <f t="shared" si="31"/>
        <v>1</v>
      </c>
      <c r="Y91" s="197">
        <f t="shared" si="32"/>
        <v>1.9152</v>
      </c>
      <c r="Z91" s="197">
        <f t="shared" si="33"/>
        <v>23.330100000000002</v>
      </c>
      <c r="AA91" s="197">
        <f t="shared" si="34"/>
        <v>21.414900000000003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177</v>
      </c>
      <c r="AE91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91" s="74" t="str">
        <f t="shared" si="37"/>
        <v>"C:\Program Files (x86)\AstroGrep\AstroGrep.exe" /e /r /s /spath="%USERPROFILE%\AppData\Local\Temp\OnboardLogs" /stypes="app*4014*20170701*" /stext=" 19:.+((SYSTEM_STATE.+slice.+state.+changed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177-01 --locoid 4014 --swversion DE.1.0.9.0 --startMP 204:19152 --initTime 2017-07-01T13:10:44 --startdatetime 2017-07-01T13:24:22 --delay 13 --endMP 204:233301 --enddatetime 2017-07-01T13:55:41 --enforcementcount 0 &gt;&gt;C:\Users\stu\Documents\GitHub\eaglep3-reporting\EC\2017-07-01-refined-times.txt</v>
      </c>
      <c r="AI91" s="96" t="str">
        <f t="shared" si="40"/>
        <v>echo {"issue":{"subject":"Onboard in-route failure","project_id":79,"tracker_id":40,"status_id":1,"priority_id":2,"assigned_to_id":23,"start_date":"2017-07-01","description":"","custom_fields":[{"id":1,"name":"Subdivision","value":"EC"},{"id":4,"name":"Milepost","value":"23.3301"},{"id":17,"name":"Train ID","value":"177-01"},{"id":16,"name":"Locomotive ID","value":"4014"},{"id":130,"name":"Impact","value":""},{"id":150,"name":"Time of Event (Mountain Time)","value":"13:55:41"},{"id":151,"name":"Denver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4014 --day 2017-07-01</v>
      </c>
      <c r="AN91" s="151" t="str">
        <f t="shared" si="42"/>
        <v>echo {"issue":{"subject":"Onboard in-route failure","project_id":30,"tracker_id":4,"status_id":1,"priority_id":1,"assigned_to_id":10,"start_date":"2017-07-01","description":"","custom_fields":[{"id":30,"name":"Category","value":"Issue"},{"id":3,"name":"Functional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657</v>
      </c>
      <c r="B92" s="7">
        <v>4013</v>
      </c>
      <c r="C92" s="21" t="s">
        <v>202</v>
      </c>
      <c r="D92" s="21" t="s">
        <v>471</v>
      </c>
      <c r="E92" s="13">
        <v>42917.590833333335</v>
      </c>
      <c r="F92" s="13">
        <v>42917.592118055552</v>
      </c>
      <c r="G92" s="7">
        <v>1</v>
      </c>
      <c r="H92" s="21" t="s">
        <v>350</v>
      </c>
      <c r="I92" s="13">
        <v>42917.619525462964</v>
      </c>
      <c r="J92" s="7">
        <v>0</v>
      </c>
      <c r="K92" s="89" t="str">
        <f t="shared" si="27"/>
        <v>4013/4014</v>
      </c>
      <c r="L92" s="21" t="str">
        <f>VLOOKUP(A92,'Trips&amp;Operators'!$C$1:$G$99999,5,FALSE)</f>
        <v>BRANDNER MELINDA</v>
      </c>
      <c r="M92" s="6">
        <f t="shared" si="28"/>
        <v>2.7407407411374152E-2</v>
      </c>
      <c r="N92" s="7">
        <f t="shared" ref="N92:N123" si="43">24*60*SUM($M92:$M92)</f>
        <v>39.466666672378778</v>
      </c>
      <c r="O92" s="7"/>
      <c r="P92" s="7"/>
      <c r="Q92" s="22"/>
      <c r="R92" s="170"/>
      <c r="S92" s="213">
        <f t="shared" si="26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-01T13:10:48-0600',mode:absolute,to:'2017-07-01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23.3</v>
      </c>
      <c r="Z92" s="197">
        <f t="shared" si="33"/>
        <v>1.43E-2</v>
      </c>
      <c r="AA92" s="197">
        <f t="shared" si="34"/>
        <v>23.285700000000002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178</v>
      </c>
      <c r="AE92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92" s="74" t="str">
        <f t="shared" si="37"/>
        <v>"C:\Program Files (x86)\AstroGrep\AstroGrep.exe" /e /r /s /spath="%USERPROFILE%\AppData\Local\Temp\OnboardLogs" /stypes="app*4013*20170701*"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178-01 --locoid 4013 --swversion DE.1.0.9.0 --startMP 204:233000 --initTime 2017-07-01T14:10:48 --startdatetime 2017-07-01T14:12:39 --delay 1 --endMP 204:143 --enddatetime 2017-07-01T14:52:07 --enforcementcount 0 &gt;&gt;C:\Users\stu\Documents\GitHub\eaglep3-reporting\EC\2017-07-01-refined-times.txt</v>
      </c>
      <c r="AI9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{"issue":{"subject":"","project_id":79,"tracker_id":40,"status_id":1,"priority_id":2,"assigned_to_id":23,"start_date":"2017-07-01","description":"","custom_fields":[{"id":1,"name":"Subdivision","value":"EC"},{"id":4,"name":"Milepost","value":"0.0143"},{"id":17,"name":"Train ID","value":"178-01"},{"id":16,"name":"Locomotive ID","value":"4013"},{"id":130,"name":"Impact","value":""},{"id":150,"name":"Time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4013 --day 2017-07-01</v>
      </c>
      <c r="AN9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790</v>
      </c>
      <c r="B93" s="7">
        <v>4062</v>
      </c>
      <c r="C93" s="21" t="s">
        <v>202</v>
      </c>
      <c r="D93" s="21" t="s">
        <v>925</v>
      </c>
      <c r="E93" s="13">
        <v>42917.557592592595</v>
      </c>
      <c r="F93" s="13">
        <v>42917.563009259262</v>
      </c>
      <c r="G93" s="7">
        <v>1</v>
      </c>
      <c r="H93" s="21" t="s">
        <v>926</v>
      </c>
      <c r="I93" s="13">
        <v>42917.587719907409</v>
      </c>
      <c r="J93" s="7">
        <v>0</v>
      </c>
      <c r="K93" s="89" t="str">
        <f t="shared" si="27"/>
        <v>4061/4062</v>
      </c>
      <c r="L93" s="21" t="str">
        <f>VLOOKUP(A93,'Trips&amp;Operators'!$C$1:$G$99999,5,FALSE)</f>
        <v>BRUDER RICHARD</v>
      </c>
      <c r="M93" s="6">
        <f t="shared" si="28"/>
        <v>2.47106481474475E-2</v>
      </c>
      <c r="N93" s="7">
        <f t="shared" si="43"/>
        <v>35.583333332324401</v>
      </c>
      <c r="O93" s="7"/>
      <c r="P93" s="7"/>
      <c r="Q93" s="22"/>
      <c r="R93" s="170"/>
      <c r="S93" s="213">
        <f t="shared" si="26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-01T12:22:56-0600',mode:absolute,to:'2017-07-01T15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4.7699999999999999E-2</v>
      </c>
      <c r="Z93" s="197">
        <f t="shared" si="33"/>
        <v>23.330200000000001</v>
      </c>
      <c r="AA93" s="197">
        <f t="shared" si="34"/>
        <v>23.282500000000002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179</v>
      </c>
      <c r="AE93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93" s="74" t="str">
        <f t="shared" si="37"/>
        <v>"C:\Program Files (x86)\AstroGrep\AstroGrep.exe" /e /r /s /spath="%USERPROFILE%\AppData\Local\Temp\OnboardLogs" /stypes="app*4062*20170701*"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179-01 --locoid 4062 --swversion DE.1.0.9.0 --startMP 204:477 --initTime 2017-07-01T13:22:56 --startdatetime 2017-07-01T13:30:44 --delay 1 --endMP 204:233302 --enddatetime 2017-07-01T14:06:19 --enforcementcount 0 &gt;&gt;C:\Users\stu\Documents\GitHub\eaglep3-reporting\EC\2017-07-01-refined-times.txt</v>
      </c>
      <c r="AI9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{"issue":{"subject":"","project_id":79,"tracker_id":40,"status_id":1,"priority_id":2,"assigned_to_id":23,"start_date":"2017-07-01","description":"","custom_fields":[{"id":1,"name":"Subdivision","value":"EC"},{"id":4,"name":"Milepost","value":"23.3302"},{"id":17,"name":"Train ID","value":"179-01"},{"id":16,"name":"Locomotive ID","value":"4062"},{"id":130,"name":"Impact","value":""},{"id":150,"name":"Time of Event (Mountain Time)","value":"14:06:19"},{"id":151,"name":"Denver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4062 --day 2017-07-01</v>
      </c>
      <c r="AN9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800</v>
      </c>
      <c r="B94" s="7">
        <v>4061</v>
      </c>
      <c r="C94" s="21" t="s">
        <v>202</v>
      </c>
      <c r="D94" s="21" t="s">
        <v>607</v>
      </c>
      <c r="E94" s="13">
        <v>42917.597662037035</v>
      </c>
      <c r="F94" s="13">
        <v>42917.602280092593</v>
      </c>
      <c r="G94" s="7">
        <v>1</v>
      </c>
      <c r="H94" s="21" t="s">
        <v>416</v>
      </c>
      <c r="I94" s="13">
        <v>42917.628298611111</v>
      </c>
      <c r="J94" s="7">
        <v>0</v>
      </c>
      <c r="K94" s="89" t="str">
        <f t="shared" si="27"/>
        <v>4061/4062</v>
      </c>
      <c r="L94" s="21" t="str">
        <f>VLOOKUP(A94,'Trips&amp;Operators'!$C$1:$G$99999,5,FALSE)</f>
        <v>BRUDER RICHARD</v>
      </c>
      <c r="M94" s="6">
        <f t="shared" si="28"/>
        <v>2.6018518517958E-2</v>
      </c>
      <c r="N94" s="7">
        <f t="shared" si="43"/>
        <v>37.46666666585952</v>
      </c>
      <c r="O94" s="7"/>
      <c r="P94" s="7"/>
      <c r="Q94" s="22"/>
      <c r="R94" s="170"/>
      <c r="S94" s="213">
        <f t="shared" si="26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-01T13:20:38-0600',mode:absolute,to:'2017-07-01T16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23.299399999999999</v>
      </c>
      <c r="Z94" s="197">
        <f t="shared" si="33"/>
        <v>1.4500000000000001E-2</v>
      </c>
      <c r="AA94" s="197">
        <f t="shared" si="34"/>
        <v>23.284899999999997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180</v>
      </c>
      <c r="AE94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94" s="74" t="str">
        <f t="shared" si="37"/>
        <v>"C:\Program Files (x86)\AstroGrep\AstroGrep.exe" /e /r /s /spath="%USERPROFILE%\AppData\Local\Temp\OnboardLogs" /stypes="app*4061*20170701*"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180-01 --locoid 4061 --swversion DE.1.0.9.0 --startMP 204:232994 --initTime 2017-07-01T14:20:38 --startdatetime 2017-07-01T14:27:17 --delay 1 --endMP 204:145 --enddatetime 2017-07-01T15:04:45 --enforcementcount 0 &gt;&gt;C:\Users\stu\Documents\GitHub\eaglep3-reporting\EC\2017-07-01-refined-times.txt</v>
      </c>
      <c r="AI9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ID","value":"180-01"},{"id":16,"name":"Locomotive ID","value":"4061"},{"id":130,"name":"Impact","value":""},{"id":150,"name":"Time of Event (Mountain Time)","value":"15:04:45"},{"id":151,"name":"Denver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4061 --day 2017-07-01</v>
      </c>
      <c r="AN9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792</v>
      </c>
      <c r="B95" s="7">
        <v>4008</v>
      </c>
      <c r="C95" s="21" t="s">
        <v>202</v>
      </c>
      <c r="D95" s="21" t="s">
        <v>343</v>
      </c>
      <c r="E95" s="13">
        <v>42917.569803240738</v>
      </c>
      <c r="F95" s="13">
        <v>42917.573437500003</v>
      </c>
      <c r="G95" s="7">
        <v>1</v>
      </c>
      <c r="H95" s="21" t="s">
        <v>500</v>
      </c>
      <c r="I95" s="13">
        <v>42917.598078703704</v>
      </c>
      <c r="J95" s="7">
        <v>0</v>
      </c>
      <c r="K95" s="89" t="str">
        <f t="shared" si="27"/>
        <v>4007/4008</v>
      </c>
      <c r="L95" s="21" t="str">
        <f>VLOOKUP(A95,'Trips&amp;Operators'!$C$1:$G$99999,5,FALSE)</f>
        <v>NEWELL JAMES</v>
      </c>
      <c r="M95" s="6">
        <f t="shared" si="28"/>
        <v>2.4641203701321501E-2</v>
      </c>
      <c r="N95" s="7">
        <f t="shared" si="43"/>
        <v>35.483333329902962</v>
      </c>
      <c r="O95" s="7"/>
      <c r="P95" s="7"/>
      <c r="Q95" s="22"/>
      <c r="R95" s="170"/>
      <c r="S95" s="213">
        <f t="shared" si="26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-01T12:40:31-0600',mode:absolute,to:'2017-07-01T15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4.4900000000000002E-2</v>
      </c>
      <c r="Z95" s="197">
        <f t="shared" si="33"/>
        <v>23.3293</v>
      </c>
      <c r="AA95" s="197">
        <f t="shared" si="34"/>
        <v>23.284400000000002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181</v>
      </c>
      <c r="AE95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95" s="74" t="str">
        <f t="shared" si="37"/>
        <v>"C:\Program Files (x86)\AstroGrep\AstroGrep.exe" /e /r /s /spath="%USERPROFILE%\AppData\Local\Temp\OnboardLogs" /stypes="app*4008*20170701*"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181-01 --locoid 4008 --swversion DE.1.0.9.0 --startMP 204:449 --initTime 2017-07-01T13:40:31 --startdatetime 2017-07-01T13:45:45 --delay 1 --endMP 204:233293 --enddatetime 2017-07-01T14:21:14 --enforcementcount 0 &gt;&gt;C:\Users\stu\Documents\GitHub\eaglep3-reporting\EC\2017-07-01-refined-times.txt</v>
      </c>
      <c r="AI9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{"issue":{"subject":"","project_id":79,"tracker_id":40,"status_id":1,"priority_id":2,"assigned_to_id":23,"start_date":"2017-07-01","description":"","custom_fields":[{"id":1,"name":"Subdivision","value":"EC"},{"id":4,"name":"Milepost","value":"23.3293"},{"id":17,"name":"Train ID","value":"181-01"},{"id":16,"name":"Locomotive ID","value":"4008"},{"id":130,"name":"Impact","value":""},{"id":150,"name":"Time of Event (Mountain Time)","value":"14:21:14"},{"id":151,"name":"Denver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4008 --day 2017-07-01</v>
      </c>
      <c r="AN9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658</v>
      </c>
      <c r="B96" s="7">
        <v>4007</v>
      </c>
      <c r="C96" s="21" t="s">
        <v>202</v>
      </c>
      <c r="D96" s="21" t="s">
        <v>441</v>
      </c>
      <c r="E96" s="13">
        <v>42917.601122685184</v>
      </c>
      <c r="F96" s="13">
        <v>42917.612662037034</v>
      </c>
      <c r="G96" s="7">
        <v>1</v>
      </c>
      <c r="H96" s="21" t="s">
        <v>954</v>
      </c>
      <c r="I96" s="13">
        <v>42917.638854166667</v>
      </c>
      <c r="J96" s="7">
        <v>0</v>
      </c>
      <c r="K96" s="89" t="str">
        <f t="shared" si="27"/>
        <v>4007/4008</v>
      </c>
      <c r="L96" s="21" t="str">
        <f>VLOOKUP(A96,'Trips&amp;Operators'!$C$1:$G$99999,5,FALSE)</f>
        <v>NEWELL JAMES</v>
      </c>
      <c r="M96" s="6">
        <f t="shared" si="28"/>
        <v>2.6192129633272998E-2</v>
      </c>
      <c r="N96" s="7">
        <f t="shared" si="43"/>
        <v>37.716666671913117</v>
      </c>
      <c r="O96" s="7"/>
      <c r="P96" s="7"/>
      <c r="Q96" s="22"/>
      <c r="R96" s="170"/>
      <c r="S96" s="213">
        <f t="shared" si="26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-01T13:25:37-0600',mode:absolute,to:'2017-07-01T16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23.2971</v>
      </c>
      <c r="Z96" s="197">
        <f t="shared" si="33"/>
        <v>1.0999999999999999E-2</v>
      </c>
      <c r="AA96" s="197">
        <f t="shared" si="34"/>
        <v>23.286100000000001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182</v>
      </c>
      <c r="AE96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96" s="74" t="str">
        <f t="shared" si="37"/>
        <v>"C:\Program Files (x86)\AstroGrep\AstroGrep.exe" /e /r /s /spath="%USERPROFILE%\AppData\Local\Temp\OnboardLogs" /stypes="app*4007*20170701*"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182-01 --locoid 4007 --swversion DE.1.0.9.0 --startMP 204:232971 --initTime 2017-07-01T14:25:37 --startdatetime 2017-07-01T14:42:14 --delay 1 --endMP 204:110 --enddatetime 2017-07-01T15:19:57 --enforcementcount 0 &gt;&gt;C:\Users\stu\Documents\GitHub\eaglep3-reporting\EC\2017-07-01-refined-times.txt</v>
      </c>
      <c r="AI9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{"issue":{"subject":"","project_id":79,"tracker_id":40,"status_id":1,"priority_id":2,"assigned_to_id":23,"start_date":"2017-07-01","description":"","custom_fields":[{"id":1,"name":"Subdivision","value":"EC"},{"id":4,"name":"Milepost","value":"0.011"},{"id":17,"name":"Train ID","value":"182-01"},{"id":16,"name":"Locomotive ID","value":"4007"},{"id":130,"name":"Impact","value":""},{"id":150,"name":"Time of Event (Mountain Time)","value":"15:19:57"},{"id":151,"name":"Denver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4007 --day 2017-07-01</v>
      </c>
      <c r="AN9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795</v>
      </c>
      <c r="B97" s="7">
        <v>4056</v>
      </c>
      <c r="C97" s="21" t="s">
        <v>202</v>
      </c>
      <c r="D97" s="21" t="s">
        <v>355</v>
      </c>
      <c r="E97" s="13">
        <v>42917.578587962962</v>
      </c>
      <c r="F97" s="13">
        <v>42917.583784722221</v>
      </c>
      <c r="G97" s="7">
        <v>1</v>
      </c>
      <c r="H97" s="21" t="s">
        <v>905</v>
      </c>
      <c r="I97" s="13">
        <v>42917.608402777776</v>
      </c>
      <c r="J97" s="7">
        <v>0</v>
      </c>
      <c r="K97" s="89" t="str">
        <f t="shared" si="27"/>
        <v>4055/4056</v>
      </c>
      <c r="L97" s="21" t="str">
        <f>VLOOKUP(A97,'Trips&amp;Operators'!$C$1:$G$99999,5,FALSE)</f>
        <v>DELGADO DIANAH</v>
      </c>
      <c r="M97" s="6">
        <f t="shared" si="28"/>
        <v>2.4618055555038154E-2</v>
      </c>
      <c r="N97" s="7">
        <f t="shared" si="43"/>
        <v>35.449999999254942</v>
      </c>
      <c r="O97" s="7"/>
      <c r="P97" s="7"/>
      <c r="Q97" s="22"/>
      <c r="R97" s="170"/>
      <c r="S97" s="213">
        <f t="shared" si="26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-01T12:53:10-0600',mode:absolute,to:'2017-07-01T15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4.4699999999999997E-2</v>
      </c>
      <c r="Z97" s="197">
        <f t="shared" si="33"/>
        <v>23.334</v>
      </c>
      <c r="AA97" s="197">
        <f t="shared" si="34"/>
        <v>23.289300000000001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183</v>
      </c>
      <c r="AE97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97" s="74" t="str">
        <f t="shared" si="37"/>
        <v>"C:\Program Files (x86)\AstroGrep\AstroGrep.exe" /e /r /s /spath="%USERPROFILE%\AppData\Local\Temp\OnboardLogs" /stypes="app*4056*20170701*"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183-01 --locoid 4056 --swversion DE.1.0.9.0 --startMP 204:447 --initTime 2017-07-01T13:53:10 --startdatetime 2017-07-01T14:00:39 --delay 1 --endMP 204:233340 --enddatetime 2017-07-01T14:36:06 --enforcementcount 0 &gt;&gt;C:\Users\stu\Documents\GitHub\eaglep3-reporting\EC\2017-07-01-refined-times.txt</v>
      </c>
      <c r="AI9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{"issue":{"subject":"","project_id":79,"tracker_id":40,"status_id":1,"priority_id":2,"assigned_to_id":23,"start_date":"2017-07-01","description":"","custom_fields":[{"id":1,"name":"Subdivision","value":"EC"},{"id":4,"name":"Milepost","value":"23.334"},{"id":17,"name":"Train ID","value":"183-01"},{"id":16,"name":"Locomotive ID","value":"4056"},{"id":130,"name":"Impact","value":""},{"id":150,"name":"Time of Event (Mountain Time)","value":"14:36:06"},{"id":151,"name":"Denver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4056 --day 2017-07-01</v>
      </c>
      <c r="AN9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804</v>
      </c>
      <c r="B98" s="7">
        <v>4055</v>
      </c>
      <c r="C98" s="21" t="s">
        <v>202</v>
      </c>
      <c r="D98" s="21" t="s">
        <v>617</v>
      </c>
      <c r="E98" s="13">
        <v>42917.619722222225</v>
      </c>
      <c r="F98" s="13">
        <v>42917.623067129629</v>
      </c>
      <c r="G98" s="7">
        <v>1</v>
      </c>
      <c r="H98" s="21" t="s">
        <v>614</v>
      </c>
      <c r="I98" s="13">
        <v>42917.648541666669</v>
      </c>
      <c r="J98" s="7">
        <v>0</v>
      </c>
      <c r="K98" s="89" t="str">
        <f t="shared" si="27"/>
        <v>4055/4056</v>
      </c>
      <c r="L98" s="21" t="str">
        <f>VLOOKUP(A98,'Trips&amp;Operators'!$C$1:$G$99999,5,FALSE)</f>
        <v>DELGADO DIANAH</v>
      </c>
      <c r="M98" s="6">
        <f t="shared" si="28"/>
        <v>2.5474537040281575E-2</v>
      </c>
      <c r="N98" s="7">
        <f t="shared" si="43"/>
        <v>36.683333338005468</v>
      </c>
      <c r="O98" s="7"/>
      <c r="P98" s="7"/>
      <c r="Q98" s="22"/>
      <c r="R98" s="170"/>
      <c r="S98" s="213">
        <f t="shared" si="26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-01T13:52:24-0600',mode:absolute,to:'2017-07-01T16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23.305900000000001</v>
      </c>
      <c r="Z98" s="197">
        <f t="shared" si="33"/>
        <v>1.6E-2</v>
      </c>
      <c r="AA98" s="197">
        <f t="shared" si="34"/>
        <v>23.289900000000003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184</v>
      </c>
      <c r="AE98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98" s="74" t="str">
        <f t="shared" si="37"/>
        <v>"C:\Program Files (x86)\AstroGrep\AstroGrep.exe" /e /r /s /spath="%USERPROFILE%\AppData\Local\Temp\OnboardLogs" /stypes="app*4055*20170701*"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184-01 --locoid 4055 --swversion DE.1.0.9.0 --startMP 204:233059 --initTime 2017-07-01T14:52:24 --startdatetime 2017-07-01T14:57:13 --delay 1 --endMP 204:160 --enddatetime 2017-07-01T15:33:54 --enforcementcount 0 &gt;&gt;C:\Users\stu\Documents\GitHub\eaglep3-reporting\EC\2017-07-01-refined-times.txt</v>
      </c>
      <c r="AI9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{"issue":{"subject":"","project_id":79,"tracker_id":40,"status_id":1,"priority_id":2,"assigned_to_id":23,"start_date":"2017-07-01","description":"","custom_fields":[{"id":1,"name":"Subdivision","value":"EC"},{"id":4,"name":"Milepost","value":"0.016"},{"id":17,"name":"Train ID","value":"184-01"},{"id":16,"name":"Locomotive ID","value":"4055"},{"id":130,"name":"Impact","value":""},{"id":150,"name":"Time of Event (Mountain Time)","value":"15:33:54"},{"id":151,"name":"Denver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4055 --day 2017-07-01</v>
      </c>
      <c r="AN98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799</v>
      </c>
      <c r="B99" s="7">
        <v>4018</v>
      </c>
      <c r="C99" s="21" t="s">
        <v>202</v>
      </c>
      <c r="D99" s="21" t="s">
        <v>198</v>
      </c>
      <c r="E99" s="13">
        <v>42917.590624999997</v>
      </c>
      <c r="F99" s="13">
        <v>42917.594259259262</v>
      </c>
      <c r="G99" s="7">
        <v>1</v>
      </c>
      <c r="H99" s="21" t="s">
        <v>911</v>
      </c>
      <c r="I99" s="13">
        <v>42917.61928240741</v>
      </c>
      <c r="J99" s="7">
        <v>0</v>
      </c>
      <c r="K99" s="89" t="str">
        <f t="shared" si="27"/>
        <v>4017/4018</v>
      </c>
      <c r="L99" s="21" t="str">
        <f>VLOOKUP(A99,'Trips&amp;Operators'!$C$1:$G$99999,5,FALSE)</f>
        <v>STEWART MICHAEL</v>
      </c>
      <c r="M99" s="6">
        <f t="shared" si="28"/>
        <v>2.5023148147738539E-2</v>
      </c>
      <c r="N99" s="7">
        <f t="shared" si="43"/>
        <v>36.033333332743496</v>
      </c>
      <c r="O99" s="7"/>
      <c r="P99" s="7"/>
      <c r="Q99" s="22"/>
      <c r="R99" s="170"/>
      <c r="S99" s="213">
        <f t="shared" si="26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-01T13:10:30-0600',mode:absolute,to:'2017-07-01T15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4.5699999999999998E-2</v>
      </c>
      <c r="Z99" s="197">
        <f t="shared" si="33"/>
        <v>23.329899999999999</v>
      </c>
      <c r="AA99" s="197">
        <f t="shared" si="34"/>
        <v>23.284199999999998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185</v>
      </c>
      <c r="AE99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99" s="74" t="str">
        <f t="shared" si="37"/>
        <v>"C:\Program Files (x86)\AstroGrep\AstroGrep.exe" /e /r /s /spath="%USERPROFILE%\AppData\Local\Temp\OnboardLogs" /stypes="app*4018*20170701*" /stext=" 20:.+((SYSTEM_STATE.+slice.+state.+changed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185-01 --locoid 4018 --swversion DE.1.0.9.0 --startMP 204:457 --initTime 2017-07-01T14:10:30 --startdatetime 2017-07-01T14:15:44 --delay 1 --endMP 204:233299 --enddatetime 2017-07-01T14:51:46 --enforcementcount 0 &gt;&gt;C:\Users\stu\Documents\GitHub\eaglep3-reporting\EC\2017-07-01-refined-times.txt</v>
      </c>
      <c r="AI9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{"issue":{"subject":"","project_id":79,"tracker_id":40,"status_id":1,"priority_id":2,"assigned_to_id":23,"start_date":"2017-07-01","description":"","custom_fields":[{"id":1,"name":"Subdivision","value":"EC"},{"id":4,"name":"Milepost","value":"23.3299"},{"id":17,"name":"Train ID","value":"185-01"},{"id":16,"name":"Locomotive ID","value":"4018"},{"id":130,"name":"Impact","value":""},{"id":150,"name":"Time of Event (Mountain Time)","value":"14:51:46"},{"id":151,"name":"Denver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4018 --day 2017-07-01</v>
      </c>
      <c r="AN9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807</v>
      </c>
      <c r="B100" s="7">
        <v>4017</v>
      </c>
      <c r="C100" s="21" t="s">
        <v>202</v>
      </c>
      <c r="D100" s="21" t="s">
        <v>489</v>
      </c>
      <c r="E100" s="13">
        <v>42917.63076388889</v>
      </c>
      <c r="F100" s="13">
        <v>42917.633530092593</v>
      </c>
      <c r="G100" s="7">
        <v>1</v>
      </c>
      <c r="H100" s="21" t="s">
        <v>394</v>
      </c>
      <c r="I100" s="13">
        <v>42917.660358796296</v>
      </c>
      <c r="J100" s="7">
        <v>0</v>
      </c>
      <c r="K100" s="89" t="str">
        <f t="shared" si="27"/>
        <v>4017/4018</v>
      </c>
      <c r="L100" s="21" t="str">
        <f>VLOOKUP(A100,'Trips&amp;Operators'!$C$1:$G$99999,5,FALSE)</f>
        <v>STEWART MICHAEL</v>
      </c>
      <c r="M100" s="6">
        <f t="shared" si="28"/>
        <v>2.6828703703358769E-2</v>
      </c>
      <c r="N100" s="7">
        <f t="shared" si="43"/>
        <v>38.633333332836628</v>
      </c>
      <c r="O100" s="7"/>
      <c r="P100" s="7"/>
      <c r="Q100" s="22"/>
      <c r="R100" s="170"/>
      <c r="S100" s="213">
        <f t="shared" si="26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-01T14:08:18-0600',mode:absolute,to:'2017-07-01T16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23.2973</v>
      </c>
      <c r="Z100" s="197">
        <f t="shared" si="33"/>
        <v>1.54E-2</v>
      </c>
      <c r="AA100" s="197">
        <f t="shared" si="34"/>
        <v>23.2819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186</v>
      </c>
      <c r="AE100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00" s="74" t="str">
        <f t="shared" si="37"/>
        <v>"C:\Program Files (x86)\AstroGrep\AstroGrep.exe" /e /r /s /spath="%USERPROFILE%\AppData\Local\Temp\OnboardLogs" /stypes="app*4017*20170701*"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186-01 --locoid 4017 --swversion DE.1.0.9.0 --startMP 204:232973 --initTime 2017-07-01T15:08:18 --startdatetime 2017-07-01T15:12:17 --delay 1 --endMP 204:154 --enddatetime 2017-07-01T15:50:55 --enforcementcount 0 &gt;&gt;C:\Users\stu\Documents\GitHub\eaglep3-reporting\EC\2017-07-01-refined-times.txt</v>
      </c>
      <c r="AI10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ID","value":"186-01"},{"id":16,"name":"Locomotive ID","value":"4017"},{"id":130,"name":"Impact","value":""},{"id":150,"name":"Time of Event (Mountain Time)","value":"15:50:55"},{"id":151,"name":"Denver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4017 --day 2017-07-01</v>
      </c>
      <c r="AN10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801</v>
      </c>
      <c r="B101" s="7">
        <v>4030</v>
      </c>
      <c r="C101" s="21" t="s">
        <v>202</v>
      </c>
      <c r="D101" s="21" t="s">
        <v>968</v>
      </c>
      <c r="E101" s="13">
        <v>42917.600219907406</v>
      </c>
      <c r="F101" s="13">
        <v>42917.604618055557</v>
      </c>
      <c r="G101" s="7">
        <v>1</v>
      </c>
      <c r="H101" s="21" t="s">
        <v>601</v>
      </c>
      <c r="I101" s="13">
        <v>42917.629513888889</v>
      </c>
      <c r="J101" s="7">
        <v>0</v>
      </c>
      <c r="K101" s="89" t="str">
        <f t="shared" si="27"/>
        <v>4029/4030</v>
      </c>
      <c r="L101" s="21" t="str">
        <f>VLOOKUP(A101,'Trips&amp;Operators'!$C$1:$G$99999,5,FALSE)</f>
        <v>HOLCOMB KAMDEN</v>
      </c>
      <c r="M101" s="6">
        <f t="shared" si="28"/>
        <v>2.4895833332266193E-2</v>
      </c>
      <c r="N101" s="7">
        <f t="shared" si="43"/>
        <v>35.849999998463318</v>
      </c>
      <c r="O101" s="7"/>
      <c r="P101" s="7"/>
      <c r="Q101" s="22"/>
      <c r="R101" s="170"/>
      <c r="S101" s="213">
        <f t="shared" si="26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-01T13:24:19-0600',mode:absolute,to:'2017-07-01T16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4.2599999999999999E-2</v>
      </c>
      <c r="Z101" s="197">
        <f t="shared" si="33"/>
        <v>23.332100000000001</v>
      </c>
      <c r="AA101" s="197">
        <f t="shared" si="34"/>
        <v>23.2895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187</v>
      </c>
      <c r="AE101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101" s="74" t="str">
        <f t="shared" si="37"/>
        <v>"C:\Program Files (x86)\AstroGrep\AstroGrep.exe" /e /r /s /spath="%USERPROFILE%\AppData\Local\Temp\OnboardLogs" /stypes="app*4030*20170701*" /stext=" 21:.+((SYSTEM_STATE.+slice.+state.+changed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187-01 --locoid 4030 --swversion DE.1.0.9.0 --startMP 204:426 --initTime 2017-07-01T14:24:19 --startdatetime 2017-07-01T14:30:39 --delay 1 --endMP 204:233321 --enddatetime 2017-07-01T15:06:30 --enforcementcount 0 &gt;&gt;C:\Users\stu\Documents\GitHub\eaglep3-reporting\EC\2017-07-01-refined-times.txt</v>
      </c>
      <c r="AI10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{"issue":{"subject":"","project_id":79,"tracker_id":40,"status_id":1,"priority_id":2,"assigned_to_id":23,"start_date":"2017-07-01","description":"","custom_fields":[{"id":1,"name":"Subdivision","value":"EC"},{"id":4,"name":"Milepost","value":"23.3321"},{"id":17,"name":"Train ID","value":"187-01"},{"id":16,"name":"Locomotive ID","value":"4030"},{"id":130,"name":"Impact","value":""},{"id":150,"name":"Time of Event (Mountain Time)","value":"15:06:30"},{"id":151,"name":"Denver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4030 --day 2017-07-01</v>
      </c>
      <c r="AN10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808</v>
      </c>
      <c r="B102" s="7">
        <v>4029</v>
      </c>
      <c r="C102" s="21" t="s">
        <v>202</v>
      </c>
      <c r="D102" s="21" t="s">
        <v>969</v>
      </c>
      <c r="E102" s="13">
        <v>42917.642071759263</v>
      </c>
      <c r="F102" s="13">
        <v>42917.644016203703</v>
      </c>
      <c r="G102" s="7">
        <v>1</v>
      </c>
      <c r="H102" s="21" t="s">
        <v>350</v>
      </c>
      <c r="I102" s="13">
        <v>42917.670104166667</v>
      </c>
      <c r="J102" s="7">
        <v>0</v>
      </c>
      <c r="K102" s="89" t="str">
        <f t="shared" si="27"/>
        <v>4029/4030</v>
      </c>
      <c r="L102" s="21" t="str">
        <f>VLOOKUP(A102,'Trips&amp;Operators'!$C$1:$G$99999,5,FALSE)</f>
        <v>HOLCOMB KAMDEN</v>
      </c>
      <c r="M102" s="6">
        <f t="shared" si="28"/>
        <v>2.6087962964083999E-2</v>
      </c>
      <c r="N102" s="7">
        <f t="shared" si="43"/>
        <v>37.566666668280959</v>
      </c>
      <c r="O102" s="7"/>
      <c r="P102" s="7"/>
      <c r="Q102" s="22"/>
      <c r="R102" s="170"/>
      <c r="S102" s="213">
        <f t="shared" si="26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-01T14:24:35-0600',mode:absolute,to:'2017-07-01T17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23.300799999999999</v>
      </c>
      <c r="Z102" s="197">
        <f t="shared" si="33"/>
        <v>1.43E-2</v>
      </c>
      <c r="AA102" s="197">
        <f t="shared" si="34"/>
        <v>23.2865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188</v>
      </c>
      <c r="AE102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102" s="74" t="str">
        <f t="shared" si="37"/>
        <v>"C:\Program Files (x86)\AstroGrep\AstroGrep.exe" /e /r /s /spath="%USERPROFILE%\AppData\Local\Temp\OnboardLogs" /stypes="app*4029*20170701*" /stext=" 22:.+((SYSTEM_STATE.+slice.+state.+changed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188-01 --locoid 4029 --swversion DE.1.0.9.0 --startMP 204:233008 --initTime 2017-07-01T15:24:35 --startdatetime 2017-07-01T15:27:23 --delay 1 --endMP 204:143 --enddatetime 2017-07-01T16:04:57 --enforcementcount 0 &gt;&gt;C:\Users\stu\Documents\GitHub\eaglep3-reporting\EC\2017-07-01-refined-times.txt</v>
      </c>
      <c r="AI10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{"issue":{"subject":"","project_id":79,"tracker_id":40,"status_id":1,"priority_id":2,"assigned_to_id":23,"start_date":"2017-07-01","description":"","custom_fields":[{"id":1,"name":"Subdivision","value":"EC"},{"id":4,"name":"Milepost","value":"0.0143"},{"id":17,"name":"Train ID","value":"188-01"},{"id":16,"name":"Locomotive ID","value":"4029"},{"id":130,"name":"Impact","value":""},{"id":150,"name":"Time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4029 --day 2017-07-01</v>
      </c>
      <c r="AN10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803</v>
      </c>
      <c r="B103" s="7">
        <v>4028</v>
      </c>
      <c r="C103" s="21" t="s">
        <v>202</v>
      </c>
      <c r="D103" s="21" t="s">
        <v>351</v>
      </c>
      <c r="E103" s="13">
        <v>42917.610081018516</v>
      </c>
      <c r="F103" s="13">
        <v>42917.61509259259</v>
      </c>
      <c r="G103" s="7">
        <v>1</v>
      </c>
      <c r="H103" s="21" t="s">
        <v>551</v>
      </c>
      <c r="I103" s="13">
        <v>42917.639756944445</v>
      </c>
      <c r="J103" s="7">
        <v>0</v>
      </c>
      <c r="K103" s="89" t="str">
        <f t="shared" si="27"/>
        <v>4027/4028</v>
      </c>
      <c r="L103" s="21" t="str">
        <f>VLOOKUP(A103,'Trips&amp;Operators'!$C$1:$G$99999,5,FALSE)</f>
        <v>LOPES KIMBERLY</v>
      </c>
      <c r="M103" s="6">
        <f t="shared" si="28"/>
        <v>2.4664351854880806E-2</v>
      </c>
      <c r="N103" s="7">
        <f t="shared" si="43"/>
        <v>35.516666671028361</v>
      </c>
      <c r="O103" s="7"/>
      <c r="P103" s="7"/>
      <c r="Q103" s="22"/>
      <c r="R103" s="170"/>
      <c r="S103" s="213">
        <f t="shared" ref="S103:S134" si="44">SUM(U103:U103)/IF(AG103="EC",12,1)</f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-01T13:38:31-0600',mode:absolute,to:'2017-07-01T16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4.6600000000000003E-2</v>
      </c>
      <c r="Z103" s="197">
        <f t="shared" si="33"/>
        <v>23.332000000000001</v>
      </c>
      <c r="AA103" s="197">
        <f t="shared" si="34"/>
        <v>23.285399999999999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189</v>
      </c>
      <c r="AE103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03" s="74" t="str">
        <f t="shared" si="37"/>
        <v>"C:\Program Files (x86)\AstroGrep\AstroGrep.exe" /e /r /s /spath="%USERPROFILE%\AppData\Local\Temp\OnboardLogs" /stypes="app*4028*20170701*"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189-01 --locoid 4028 --swversion DE.1.0.9.0 --startMP 204:466 --initTime 2017-07-01T14:38:31 --startdatetime 2017-07-01T14:45:44 --delay 1 --endMP 204:233320 --enddatetime 2017-07-01T15:21:15 --enforcementcount 0 &gt;&gt;C:\Users\stu\Documents\GitHub\eaglep3-reporting\EC\2017-07-01-refined-times.txt</v>
      </c>
      <c r="AI10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{"issue":{"subject":"","project_id":79,"tracker_id":40,"status_id":1,"priority_id":2,"assigned_to_id":23,"start_date":"2017-07-01","description":"","custom_fields":[{"id":1,"name":"Subdivision","value":"EC"},{"id":4,"name":"Milepost","value":"23.332"},{"id":17,"name":"Train ID","value":"189-01"},{"id":16,"name":"Locomotive ID","value":"4028"},{"id":130,"name":"Impact","value":""},{"id":150,"name":"Time of Event (Mountain Time)","value":"15:21:15"},{"id":151,"name":"Denver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4028 --day 2017-07-01</v>
      </c>
      <c r="AN10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660</v>
      </c>
      <c r="B104" s="7">
        <v>4027</v>
      </c>
      <c r="C104" s="21" t="s">
        <v>202</v>
      </c>
      <c r="D104" s="21" t="s">
        <v>970</v>
      </c>
      <c r="E104" s="13">
        <v>42917.64980324074</v>
      </c>
      <c r="F104" s="13">
        <v>42917.654363425929</v>
      </c>
      <c r="G104" s="7">
        <v>1</v>
      </c>
      <c r="H104" s="21" t="s">
        <v>394</v>
      </c>
      <c r="I104" s="13">
        <v>42917.68068287037</v>
      </c>
      <c r="J104" s="7">
        <v>0</v>
      </c>
      <c r="K104" s="89" t="str">
        <f t="shared" si="27"/>
        <v>4027/4028</v>
      </c>
      <c r="L104" s="21" t="str">
        <f>VLOOKUP(A104,'Trips&amp;Operators'!$C$1:$G$99999,5,FALSE)</f>
        <v>LOPES KIMBERLY</v>
      </c>
      <c r="M104" s="6">
        <f t="shared" si="28"/>
        <v>2.6319444441469386E-2</v>
      </c>
      <c r="N104" s="7">
        <f t="shared" si="43"/>
        <v>37.899999995715916</v>
      </c>
      <c r="O104" s="7"/>
      <c r="P104" s="7"/>
      <c r="Q104" s="22"/>
      <c r="R104" s="170"/>
      <c r="S104" s="213">
        <f t="shared" si="44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-01T14:35:43-0600',mode:absolute,to:'2017-07-01T17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23.2988</v>
      </c>
      <c r="Z104" s="197">
        <f t="shared" si="33"/>
        <v>1.54E-2</v>
      </c>
      <c r="AA104" s="197">
        <f t="shared" si="34"/>
        <v>23.2834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190</v>
      </c>
      <c r="AE104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04" s="74" t="str">
        <f t="shared" si="37"/>
        <v>"C:\Program Files (x86)\AstroGrep\AstroGrep.exe" /e /r /s /spath="%USERPROFILE%\AppData\Local\Temp\OnboardLogs" /stypes="app*4027*20170701*"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190-01 --locoid 4027 --swversion DE.1.0.9.0 --startMP 204:232988 --initTime 2017-07-01T15:35:43 --startdatetime 2017-07-01T15:42:17 --delay 1 --endMP 204:154 --enddatetime 2017-07-01T16:20:11 --enforcementcount 0 &gt;&gt;C:\Users\stu\Documents\GitHub\eaglep3-reporting\EC\2017-07-01-refined-times.txt</v>
      </c>
      <c r="AI10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ID","value":"190-01"},{"id":16,"name":"Locomotive ID","value":"4027"},{"id":130,"name":"Impact","value":""},{"id":150,"name":"Time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4027 --day 2017-07-01</v>
      </c>
      <c r="AN10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659</v>
      </c>
      <c r="B105" s="7">
        <v>4014</v>
      </c>
      <c r="C105" s="21" t="s">
        <v>202</v>
      </c>
      <c r="D105" s="21" t="s">
        <v>198</v>
      </c>
      <c r="E105" s="13">
        <v>42917.621516203704</v>
      </c>
      <c r="F105" s="13">
        <v>42917.625567129631</v>
      </c>
      <c r="G105" s="7">
        <v>2</v>
      </c>
      <c r="H105" s="21" t="s">
        <v>509</v>
      </c>
      <c r="I105" s="13">
        <v>42917.651886574073</v>
      </c>
      <c r="J105" s="7">
        <v>0</v>
      </c>
      <c r="K105" s="89" t="str">
        <f t="shared" si="27"/>
        <v>4013/4014</v>
      </c>
      <c r="L105" s="21" t="str">
        <f>VLOOKUP(A105,'Trips&amp;Operators'!$C$1:$G$99999,5,FALSE)</f>
        <v>BRANDNER MELINDA</v>
      </c>
      <c r="M105" s="6">
        <f t="shared" si="28"/>
        <v>2.6319444441469386E-2</v>
      </c>
      <c r="N105" s="7">
        <f t="shared" si="43"/>
        <v>37.899999995715916</v>
      </c>
      <c r="O105" s="7"/>
      <c r="P105" s="7"/>
      <c r="Q105" s="22"/>
      <c r="R105" s="170"/>
      <c r="S105" s="213">
        <f t="shared" si="44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-01T13:54:59-0600',mode:absolute,to:'2017-07-01T16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4.5699999999999998E-2</v>
      </c>
      <c r="Z105" s="197">
        <f t="shared" si="33"/>
        <v>23.3291</v>
      </c>
      <c r="AA105" s="197">
        <f t="shared" si="34"/>
        <v>23.2834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191</v>
      </c>
      <c r="AE105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05" s="74" t="str">
        <f t="shared" si="37"/>
        <v>"C:\Program Files (x86)\AstroGrep\AstroGrep.exe" /e /r /s /spath="%USERPROFILE%\AppData\Local\Temp\OnboardLogs" /stypes="app*4014*20170701*"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191-01 --locoid 4014 --swversion DE.1.0.9.0 --startMP 204:457 --initTime 2017-07-01T14:54:59 --startdatetime 2017-07-01T15:00:49 --delay 2 --endMP 204:233291 --enddatetime 2017-07-01T15:38:43 --enforcementcount 0 &gt;&gt;C:\Users\stu\Documents\GitHub\eaglep3-reporting\EC\2017-07-01-refined-times.txt</v>
      </c>
      <c r="AI10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{"issue":{"subject":"","project_id":79,"tracker_id":40,"status_id":1,"priority_id":2,"assigned_to_id":23,"start_date":"2017-07-01","description":"","custom_fields":[{"id":1,"name":"Subdivision","value":"EC"},{"id":4,"name":"Milepost","value":"23.3291"},{"id":17,"name":"Train ID","value":"191-01"},{"id":16,"name":"Locomotive ID","value":"4014"},{"id":130,"name":"Impact","value":""},{"id":150,"name":"Time of Event (Mountain Time)","value":"15:38:43"},{"id":151,"name":"Denver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4014 --day 2017-07-01</v>
      </c>
      <c r="AN10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812</v>
      </c>
      <c r="B106" s="7">
        <v>4013</v>
      </c>
      <c r="C106" s="21" t="s">
        <v>202</v>
      </c>
      <c r="D106" s="21" t="s">
        <v>599</v>
      </c>
      <c r="E106" s="13">
        <v>42917.659525462965</v>
      </c>
      <c r="F106" s="13">
        <v>42917.665081018517</v>
      </c>
      <c r="G106" s="7">
        <v>1</v>
      </c>
      <c r="H106" s="21" t="s">
        <v>416</v>
      </c>
      <c r="I106" s="13">
        <v>42917.692615740743</v>
      </c>
      <c r="J106" s="7">
        <v>0</v>
      </c>
      <c r="K106" s="89" t="str">
        <f t="shared" si="27"/>
        <v>4013/4014</v>
      </c>
      <c r="L106" s="21" t="str">
        <f>VLOOKUP(A106,'Trips&amp;Operators'!$C$1:$G$99999,5,FALSE)</f>
        <v>BRANDNER MELINDA</v>
      </c>
      <c r="M106" s="6">
        <f t="shared" si="28"/>
        <v>2.7534722226846498E-2</v>
      </c>
      <c r="N106" s="7">
        <f t="shared" si="43"/>
        <v>39.650000006658956</v>
      </c>
      <c r="O106" s="7"/>
      <c r="P106" s="7"/>
      <c r="Q106" s="22"/>
      <c r="R106" s="170"/>
      <c r="S106" s="213">
        <f t="shared" si="44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-01T14:49:43-0600',mode:absolute,to:'2017-07-01T17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23.2972</v>
      </c>
      <c r="Z106" s="197">
        <f t="shared" si="33"/>
        <v>1.4500000000000001E-2</v>
      </c>
      <c r="AA106" s="197">
        <f t="shared" si="34"/>
        <v>23.282699999999998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192</v>
      </c>
      <c r="AE106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06" s="74" t="str">
        <f t="shared" si="37"/>
        <v>"C:\Program Files (x86)\AstroGrep\AstroGrep.exe" /e /r /s /spath="%USERPROFILE%\AppData\Local\Temp\OnboardLogs" /stypes="app*4013*20170701*"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192-01 --locoid 4013 --swversion DE.1.0.9.0 --startMP 204:232972 --initTime 2017-07-01T15:49:43 --startdatetime 2017-07-01T15:57:43 --delay 1 --endMP 204:145 --enddatetime 2017-07-01T16:37:22 --enforcementcount 0 &gt;&gt;C:\Users\stu\Documents\GitHub\eaglep3-reporting\EC\2017-07-01-refined-times.txt</v>
      </c>
      <c r="AI10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ID","value":"192-01"},{"id":16,"name":"Locomotive ID","value":"4013"},{"id":130,"name":"Impact","value":""},{"id":150,"name":"Time of Event (Mountain Time)","value":"16:37:22"},{"id":151,"name":"Denver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4013 --day 2017-07-01</v>
      </c>
      <c r="AN10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806</v>
      </c>
      <c r="B107" s="7">
        <v>4062</v>
      </c>
      <c r="C107" s="21" t="s">
        <v>202</v>
      </c>
      <c r="D107" s="21" t="s">
        <v>354</v>
      </c>
      <c r="E107" s="13">
        <v>42917.630659722221</v>
      </c>
      <c r="F107" s="13">
        <v>42917.635960648149</v>
      </c>
      <c r="G107" s="7">
        <v>1</v>
      </c>
      <c r="H107" s="21" t="s">
        <v>911</v>
      </c>
      <c r="I107" s="13">
        <v>42917.660821759258</v>
      </c>
      <c r="J107" s="7">
        <v>0</v>
      </c>
      <c r="K107" s="89" t="str">
        <f t="shared" si="27"/>
        <v>4061/4062</v>
      </c>
      <c r="L107" s="21" t="str">
        <f>VLOOKUP(A107,'Trips&amp;Operators'!$C$1:$G$99999,5,FALSE)</f>
        <v>BRUDER RICHARD</v>
      </c>
      <c r="M107" s="6">
        <f t="shared" si="28"/>
        <v>2.4861111109203193E-2</v>
      </c>
      <c r="N107" s="7">
        <f t="shared" si="43"/>
        <v>35.799999997252598</v>
      </c>
      <c r="O107" s="7"/>
      <c r="P107" s="7"/>
      <c r="Q107" s="22"/>
      <c r="R107" s="170"/>
      <c r="S107" s="213">
        <f t="shared" si="44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-01T14:08:09-0600',mode:absolute,to:'2017-07-01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4.53E-2</v>
      </c>
      <c r="Z107" s="197">
        <f t="shared" si="33"/>
        <v>23.329899999999999</v>
      </c>
      <c r="AA107" s="197">
        <f t="shared" si="34"/>
        <v>23.284599999999998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193</v>
      </c>
      <c r="AE107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107" s="74" t="str">
        <f t="shared" si="37"/>
        <v>"C:\Program Files (x86)\AstroGrep\AstroGrep.exe" /e /r /s /spath="%USERPROFILE%\AppData\Local\Temp\OnboardLogs" /stypes="app*4062*20170701*" /stext=" 21:.+((SYSTEM_STATE.+slice.+state.+changed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193-01 --locoid 4062 --swversion DE.1.0.9.0 --startMP 204:453 --initTime 2017-07-01T15:08:09 --startdatetime 2017-07-01T15:15:47 --delay 1 --endMP 204:233299 --enddatetime 2017-07-01T15:51:35 --enforcementcount 0 &gt;&gt;C:\Users\stu\Documents\GitHub\eaglep3-reporting\EC\2017-07-01-refined-times.txt</v>
      </c>
      <c r="AI10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{"issue":{"subject":"","project_id":79,"tracker_id":40,"status_id":1,"priority_id":2,"assigned_to_id":23,"start_date":"2017-07-01","description":"","custom_fields":[{"id":1,"name":"Subdivision","value":"EC"},{"id":4,"name":"Milepost","value":"23.3299"},{"id":17,"name":"Train ID","value":"193-01"},{"id":16,"name":"Locomotive ID","value":"4062"},{"id":130,"name":"Impact","value":""},{"id":150,"name":"Time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4062 --day 2017-07-01</v>
      </c>
      <c r="AN10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815</v>
      </c>
      <c r="B108" s="7">
        <v>4061</v>
      </c>
      <c r="C108" s="21" t="s">
        <v>202</v>
      </c>
      <c r="D108" s="21" t="s">
        <v>469</v>
      </c>
      <c r="E108" s="13">
        <v>42917.670370370368</v>
      </c>
      <c r="F108" s="13">
        <v>42917.67523148148</v>
      </c>
      <c r="G108" s="7">
        <v>1</v>
      </c>
      <c r="H108" s="21" t="s">
        <v>348</v>
      </c>
      <c r="I108" s="13">
        <v>42917.702164351853</v>
      </c>
      <c r="J108" s="7">
        <v>0</v>
      </c>
      <c r="K108" s="89" t="str">
        <f t="shared" si="27"/>
        <v>4061/4062</v>
      </c>
      <c r="L108" s="21" t="str">
        <f>VLOOKUP(A108,'Trips&amp;Operators'!$C$1:$G$99999,5,FALSE)</f>
        <v>BRUDER RICHARD</v>
      </c>
      <c r="M108" s="6">
        <f t="shared" si="28"/>
        <v>2.6932870372547768E-2</v>
      </c>
      <c r="N108" s="7">
        <f t="shared" si="43"/>
        <v>38.783333336468786</v>
      </c>
      <c r="O108" s="7"/>
      <c r="P108" s="7"/>
      <c r="Q108" s="22"/>
      <c r="R108" s="170"/>
      <c r="S108" s="213">
        <f t="shared" si="44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-01T15:05:20-0600',mode:absolute,to:'2017-07-01T17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23.297799999999999</v>
      </c>
      <c r="Z108" s="197">
        <f t="shared" si="33"/>
        <v>1.4999999999999999E-2</v>
      </c>
      <c r="AA108" s="197">
        <f t="shared" si="34"/>
        <v>23.282799999999998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194</v>
      </c>
      <c r="AE108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108" s="74" t="str">
        <f t="shared" si="37"/>
        <v>"C:\Program Files (x86)\AstroGrep\AstroGrep.exe" /e /r /s /spath="%USERPROFILE%\AppData\Local\Temp\OnboardLogs" /stypes="app*4061*20170701*"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194-01 --locoid 4061 --swversion DE.1.0.9.0 --startMP 204:232978 --initTime 2017-07-01T16:05:20 --startdatetime 2017-07-01T16:12:20 --delay 1 --endMP 204:150 --enddatetime 2017-07-01T16:51:07 --enforcementcount 0 &gt;&gt;C:\Users\stu\Documents\GitHub\eaglep3-reporting\EC\2017-07-01-refined-times.txt</v>
      </c>
      <c r="AI10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ID","value":"194-01"},{"id":16,"name":"Locomotive ID","value":"4061"},{"id":130,"name":"Impact","value":""},{"id":150,"name":"Time of Event (Mountain Time)","value":"16:51:07"},{"id":151,"name":"Denver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4061 --day 2017-07-01</v>
      </c>
      <c r="AN108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809</v>
      </c>
      <c r="B109" s="7">
        <v>4008</v>
      </c>
      <c r="C109" s="21" t="s">
        <v>202</v>
      </c>
      <c r="D109" s="21" t="s">
        <v>972</v>
      </c>
      <c r="E109" s="13">
        <v>42917.64303240741</v>
      </c>
      <c r="F109" s="13">
        <v>42917.685590277775</v>
      </c>
      <c r="G109" s="7">
        <v>1</v>
      </c>
      <c r="H109" s="21" t="s">
        <v>473</v>
      </c>
      <c r="I109" s="13">
        <v>42917.711134259262</v>
      </c>
      <c r="J109" s="7">
        <v>0</v>
      </c>
      <c r="K109" s="89" t="str">
        <f t="shared" si="27"/>
        <v>4007/4008</v>
      </c>
      <c r="L109" s="21" t="str">
        <f>VLOOKUP(A109,'Trips&amp;Operators'!$C$1:$G$99999,5,FALSE)</f>
        <v>NEWELL JAMES</v>
      </c>
      <c r="M109" s="6">
        <f t="shared" si="28"/>
        <v>2.5543981486407574E-2</v>
      </c>
      <c r="N109" s="7">
        <f t="shared" si="43"/>
        <v>36.783333340426907</v>
      </c>
      <c r="O109" s="7"/>
      <c r="P109" s="7"/>
      <c r="Q109" s="22"/>
      <c r="R109" s="170"/>
      <c r="S109" s="213">
        <f t="shared" si="44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-01T14:25:58-0600',mode:absolute,to:'2017-07-01T18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97" t="str">
        <f>IF(AA109&lt;VLOOKUP(AG109,Variables!$AC$3:$AD$8,2,FALSE),"Y","N")</f>
        <v>N</v>
      </c>
      <c r="X109" s="197">
        <f t="shared" ref="X109:X140" si="45">VALUE(LEFT(AD109,4))-VALUE(LEFT(AD108,4))</f>
        <v>1</v>
      </c>
      <c r="Y109" s="197">
        <f t="shared" si="32"/>
        <v>4.2700000000000002E-2</v>
      </c>
      <c r="Z109" s="197">
        <f t="shared" si="33"/>
        <v>23.3308</v>
      </c>
      <c r="AA109" s="197">
        <f t="shared" si="34"/>
        <v>23.2881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195</v>
      </c>
      <c r="AE109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09" s="74" t="str">
        <f t="shared" si="37"/>
        <v>"C:\Program Files (x86)\AstroGrep\AstroGrep.exe" /e /r /s /spath="%USERPROFILE%\AppData\Local\Temp\OnboardLogs" /stypes="app*4008*20170701*"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195-01 --locoid 4008 --swversion DE.1.0.9.0 --startMP 204:427 --initTime 2017-07-01T15:25:58 --startdatetime 2017-07-01T16:27:15 --delay 1 --endMP 204:233308 --enddatetime 2017-07-01T17:04:02 --enforcementcount 0 &gt;&gt;C:\Users\stu\Documents\GitHub\eaglep3-reporting\EC\2017-07-01-refined-times.txt</v>
      </c>
      <c r="AI10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{"issue":{"subject":"","project_id":79,"tracker_id":40,"status_id":1,"priority_id":2,"assigned_to_id":23,"start_date":"2017-07-01","description":"","custom_fields":[{"id":1,"name":"Subdivision","value":"EC"},{"id":4,"name":"Milepost","value":"23.3308"},{"id":17,"name":"Train ID","value":"195-01"},{"id":16,"name":"Locomotive ID","value":"4008"},{"id":130,"name":"Impact","value":""},{"id":150,"name":"Time of Event (Mountain Time)","value":"17:04:02"},{"id":151,"name":"Denver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4008 --day 2017-07-01</v>
      </c>
      <c r="AN10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816</v>
      </c>
      <c r="B110" s="7">
        <v>4007</v>
      </c>
      <c r="C110" s="21" t="s">
        <v>202</v>
      </c>
      <c r="D110" s="21" t="s">
        <v>903</v>
      </c>
      <c r="E110" s="13">
        <v>42917.673726851855</v>
      </c>
      <c r="F110" s="13">
        <v>42917.685590277775</v>
      </c>
      <c r="G110" s="7">
        <v>1</v>
      </c>
      <c r="H110" s="21" t="s">
        <v>358</v>
      </c>
      <c r="I110" s="13">
        <v>42917.711134259262</v>
      </c>
      <c r="J110" s="7">
        <v>0</v>
      </c>
      <c r="K110" s="89" t="str">
        <f t="shared" si="27"/>
        <v>4007/4008</v>
      </c>
      <c r="L110" s="21" t="str">
        <f>VLOOKUP(A110,'Trips&amp;Operators'!$C$1:$G$99999,5,FALSE)</f>
        <v>NEWELL JAMES</v>
      </c>
      <c r="M110" s="6">
        <f t="shared" si="28"/>
        <v>2.5543981486407574E-2</v>
      </c>
      <c r="N110" s="7">
        <f t="shared" si="43"/>
        <v>36.783333340426907</v>
      </c>
      <c r="O110" s="7"/>
      <c r="P110" s="7"/>
      <c r="Q110" s="22"/>
      <c r="R110" s="170"/>
      <c r="S110" s="213">
        <f t="shared" si="44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-01T15:10:10-0600',mode:absolute,to:'2017-07-01T18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32"/>
        <v>23.299099999999999</v>
      </c>
      <c r="Z110" s="197">
        <f t="shared" si="33"/>
        <v>1.41E-2</v>
      </c>
      <c r="AA110" s="197">
        <f t="shared" si="34"/>
        <v>23.285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196</v>
      </c>
      <c r="AE110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10" s="74" t="str">
        <f t="shared" si="37"/>
        <v>"C:\Program Files (x86)\AstroGrep\AstroGrep.exe" /e /r /s /spath="%USERPROFILE%\AppData\Local\Temp\OnboardLogs" /stypes="app*4007*20170701*" /stext=" 23:.+((SYSTEM_STATE.+slice.+state.+changed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196-01 --locoid 4007 --swversion DE.1.0.9.0 --startMP 204:232991 --initTime 2017-07-01T16:10:10 --startdatetime 2017-07-01T16:27:15 --delay 1 --endMP 204:141 --enddatetime 2017-07-01T17:04:02 --enforcementcount 0 &gt;&gt;C:\Users\stu\Documents\GitHub\eaglep3-reporting\EC\2017-07-01-refined-times.txt</v>
      </c>
      <c r="AI11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ID","value":"196-01"},{"id":16,"name":"Locomotive ID","value":"4007"},{"id":130,"name":"Impact","value":""},{"id":150,"name":"Time of Event (Mountain Time)","value":"17:04:02"},{"id":151,"name":"Denver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4007 --day 2017-07-01</v>
      </c>
      <c r="AN11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811</v>
      </c>
      <c r="B111" s="7">
        <v>4056</v>
      </c>
      <c r="C111" s="21" t="s">
        <v>202</v>
      </c>
      <c r="D111" s="21" t="s">
        <v>973</v>
      </c>
      <c r="E111" s="13">
        <v>42917.651192129626</v>
      </c>
      <c r="F111" s="13">
        <v>42917.656736111108</v>
      </c>
      <c r="G111" s="7">
        <v>1</v>
      </c>
      <c r="H111" s="21" t="s">
        <v>618</v>
      </c>
      <c r="I111" s="13">
        <v>42917.68136574074</v>
      </c>
      <c r="J111" s="7">
        <v>0</v>
      </c>
      <c r="K111" s="89" t="str">
        <f t="shared" si="27"/>
        <v>4055/4056</v>
      </c>
      <c r="L111" s="21" t="str">
        <f>VLOOKUP(A111,'Trips&amp;Operators'!$C$1:$G$99999,5,FALSE)</f>
        <v>DELGADO DIANAH</v>
      </c>
      <c r="M111" s="6">
        <f t="shared" si="28"/>
        <v>2.4629629631817807E-2</v>
      </c>
      <c r="N111" s="7">
        <f t="shared" si="43"/>
        <v>35.466666669817641</v>
      </c>
      <c r="O111" s="7"/>
      <c r="P111" s="7"/>
      <c r="Q111" s="22"/>
      <c r="R111" s="170"/>
      <c r="S111" s="213">
        <f t="shared" si="44"/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-01T14:37:43-0600',mode:absolute,to:'2017-07-01T17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32"/>
        <v>4.9500000000000002E-2</v>
      </c>
      <c r="Z111" s="197">
        <f t="shared" si="33"/>
        <v>23.339099999999998</v>
      </c>
      <c r="AA111" s="197">
        <f t="shared" si="34"/>
        <v>23.2896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197</v>
      </c>
      <c r="AE111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111" s="74" t="str">
        <f t="shared" si="37"/>
        <v>"C:\Program Files (x86)\AstroGrep\AstroGrep.exe" /e /r /s /spath="%USERPROFILE%\AppData\Local\Temp\OnboardLogs" /stypes="app*4056*20170701*"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197-01 --locoid 4056 --swversion DE.1.0.9.0 --startMP 204:495 --initTime 2017-07-01T15:37:43 --startdatetime 2017-07-01T15:45:42 --delay 1 --endMP 204:233391 --enddatetime 2017-07-01T16:21:10 --enforcementcount 0 &gt;&gt;C:\Users\stu\Documents\GitHub\eaglep3-reporting\EC\2017-07-01-refined-times.txt</v>
      </c>
      <c r="AI11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{"issue":{"subject":"","project_id":79,"tracker_id":40,"status_id":1,"priority_id":2,"assigned_to_id":23,"start_date":"2017-07-01","description":"","custom_fields":[{"id":1,"name":"Subdivision","value":"EC"},{"id":4,"name":"Milepost","value":"23.3391"},{"id":17,"name":"Train ID","value":"197-01"},{"id":16,"name":"Locomotive ID","value":"4056"},{"id":130,"name":"Impact","value":""},{"id":150,"name":"Time of Event (Mountain Time)","value":"16:21:10"},{"id":151,"name":"Denver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4056 --day 2017-07-01</v>
      </c>
      <c r="AN11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817</v>
      </c>
      <c r="B112" s="7">
        <v>4055</v>
      </c>
      <c r="C112" s="21" t="s">
        <v>202</v>
      </c>
      <c r="D112" s="21" t="s">
        <v>974</v>
      </c>
      <c r="E112" s="13">
        <v>42917.691747685189</v>
      </c>
      <c r="F112" s="13">
        <v>42917.69599537037</v>
      </c>
      <c r="G112" s="7">
        <v>1</v>
      </c>
      <c r="H112" s="21" t="s">
        <v>975</v>
      </c>
      <c r="I112" s="13">
        <v>42917.721354166664</v>
      </c>
      <c r="J112" s="7">
        <v>0</v>
      </c>
      <c r="K112" s="89" t="str">
        <f t="shared" si="27"/>
        <v>4055/4056</v>
      </c>
      <c r="L112" s="21" t="str">
        <f>VLOOKUP(A112,'Trips&amp;Operators'!$C$1:$G$99999,5,FALSE)</f>
        <v>DELGADO DIANAH</v>
      </c>
      <c r="M112" s="6">
        <f t="shared" si="28"/>
        <v>2.5358796294312924E-2</v>
      </c>
      <c r="N112" s="7">
        <f t="shared" si="43"/>
        <v>36.516666663810611</v>
      </c>
      <c r="O112" s="7"/>
      <c r="P112" s="7"/>
      <c r="Q112" s="22"/>
      <c r="R112" s="170"/>
      <c r="S112" s="213">
        <f t="shared" si="44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-01T15:36:07-0600',mode:absolute,to:'2017-07-01T18:18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32"/>
        <v>23.308</v>
      </c>
      <c r="Z112" s="197">
        <f t="shared" si="33"/>
        <v>1.8700000000000001E-2</v>
      </c>
      <c r="AA112" s="197">
        <f t="shared" si="34"/>
        <v>23.289300000000001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198</v>
      </c>
      <c r="AE112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112" s="74" t="str">
        <f t="shared" si="37"/>
        <v>"C:\Program Files (x86)\AstroGrep\AstroGrep.exe" /e /r /s /spath="%USERPROFILE%\AppData\Local\Temp\OnboardLogs" /stypes="app*4055*20170701*"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198-01 --locoid 4055 --swversion DE.1.0.9.0 --startMP 204:233080 --initTime 2017-07-01T16:36:07 --startdatetime 2017-07-01T16:42:14 --delay 1 --endMP 204:187 --enddatetime 2017-07-01T17:18:45 --enforcementcount 0 &gt;&gt;C:\Users\stu\Documents\GitHub\eaglep3-reporting\EC\2017-07-01-refined-times.txt</v>
      </c>
      <c r="AI11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{"issue":{"subject":"","project_id":79,"tracker_id":40,"status_id":1,"priority_id":2,"assigned_to_id":23,"start_date":"2017-07-01","description":"","custom_fields":[{"id":1,"name":"Subdivision","value":"EC"},{"id":4,"name":"Milepost","value":"0.0187"},{"id":17,"name":"Train ID","value":"198-01"},{"id":16,"name":"Locomotive ID","value":"4055"},{"id":130,"name":"Impact","value":""},{"id":150,"name":"Time of Event (Mountain Time)","value":"17:18:45"},{"id":151,"name":"Denver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4055 --day 2017-07-01</v>
      </c>
      <c r="AN11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813</v>
      </c>
      <c r="B113" s="7">
        <v>4018</v>
      </c>
      <c r="C113" s="21" t="s">
        <v>202</v>
      </c>
      <c r="D113" s="21" t="s">
        <v>470</v>
      </c>
      <c r="E113" s="13">
        <v>42917.663958333331</v>
      </c>
      <c r="F113" s="13">
        <v>42917.667245370372</v>
      </c>
      <c r="G113" s="7">
        <v>1</v>
      </c>
      <c r="H113" s="21" t="s">
        <v>976</v>
      </c>
      <c r="I113" s="13">
        <v>42917.692048611112</v>
      </c>
      <c r="J113" s="7">
        <v>0</v>
      </c>
      <c r="K113" s="89" t="str">
        <f t="shared" si="27"/>
        <v>4017/4018</v>
      </c>
      <c r="L113" s="21" t="str">
        <f>VLOOKUP(A113,'Trips&amp;Operators'!$C$1:$G$99999,5,FALSE)</f>
        <v>STEWART MICHAEL</v>
      </c>
      <c r="M113" s="6">
        <f t="shared" si="28"/>
        <v>2.4803240739856847E-2</v>
      </c>
      <c r="N113" s="7">
        <f t="shared" si="43"/>
        <v>35.716666665393859</v>
      </c>
      <c r="O113" s="7"/>
      <c r="P113" s="7"/>
      <c r="Q113" s="22"/>
      <c r="R113" s="170"/>
      <c r="S113" s="213">
        <f t="shared" si="44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-01T14:56:06-0600',mode:absolute,to:'2017-07-01T17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32"/>
        <v>4.58E-2</v>
      </c>
      <c r="Z113" s="197">
        <f t="shared" si="33"/>
        <v>23.3263</v>
      </c>
      <c r="AA113" s="197">
        <f t="shared" si="34"/>
        <v>23.2805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199</v>
      </c>
      <c r="AE113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13" s="74" t="str">
        <f t="shared" si="37"/>
        <v>"C:\Program Files (x86)\AstroGrep\AstroGrep.exe" /e /r /s /spath="%USERPROFILE%\AppData\Local\Temp\OnboardLogs" /stypes="app*4018*20170701*"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199-01 --locoid 4018 --swversion DE.1.0.9.0 --startMP 204:458 --initTime 2017-07-01T15:56:06 --startdatetime 2017-07-01T16:00:50 --delay 1 --endMP 204:233263 --enddatetime 2017-07-01T16:36:33 --enforcementcount 0 &gt;&gt;C:\Users\stu\Documents\GitHub\eaglep3-reporting\EC\2017-07-01-refined-times.txt</v>
      </c>
      <c r="AI11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{"issue":{"subject":"","project_id":79,"tracker_id":40,"status_id":1,"priority_id":2,"assigned_to_id":23,"start_date":"2017-07-01","description":"","custom_fields":[{"id":1,"name":"Subdivision","value":"EC"},{"id":4,"name":"Milepost","value":"23.3263"},{"id":17,"name":"Train ID","value":"199-01"},{"id":16,"name":"Locomotive ID","value":"4018"},{"id":130,"name":"Impact","value":""},{"id":150,"name":"Time of Event (Mountain Time)","value":"16:36:33"},{"id":151,"name":"Denver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4018 --day 2017-07-01</v>
      </c>
      <c r="AN11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663</v>
      </c>
      <c r="B114" s="7">
        <v>4017</v>
      </c>
      <c r="C114" s="21" t="s">
        <v>202</v>
      </c>
      <c r="D114" s="21" t="s">
        <v>543</v>
      </c>
      <c r="E114" s="13">
        <v>42917.704097222224</v>
      </c>
      <c r="F114" s="13">
        <v>42917.706574074073</v>
      </c>
      <c r="G114" s="7">
        <v>1</v>
      </c>
      <c r="H114" s="21" t="s">
        <v>394</v>
      </c>
      <c r="I114" s="13">
        <v>42917.734236111108</v>
      </c>
      <c r="J114" s="7">
        <v>0</v>
      </c>
      <c r="K114" s="89" t="str">
        <f t="shared" si="27"/>
        <v>4017/4018</v>
      </c>
      <c r="L114" s="21" t="str">
        <f>VLOOKUP(A114,'Trips&amp;Operators'!$C$1:$G$99999,5,FALSE)</f>
        <v>STEWART MICHAEL</v>
      </c>
      <c r="M114" s="6">
        <f t="shared" si="28"/>
        <v>2.7662037035042886E-2</v>
      </c>
      <c r="N114" s="7">
        <f t="shared" si="43"/>
        <v>39.833333330461755</v>
      </c>
      <c r="O114" s="7"/>
      <c r="P114" s="7"/>
      <c r="Q114" s="22"/>
      <c r="R114" s="170"/>
      <c r="S114" s="213">
        <f t="shared" si="44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-01T15:53:54-0600',mode:absolute,to:'2017-07-01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197" t="str">
        <f>IF(AA114&lt;VLOOKUP(AG114,Variables!$AC$3:$AD$8,2,FALSE),"Y","N")</f>
        <v>N</v>
      </c>
      <c r="X114" s="197">
        <f t="shared" si="45"/>
        <v>1</v>
      </c>
      <c r="Y114" s="197">
        <f t="shared" si="32"/>
        <v>23.297599999999999</v>
      </c>
      <c r="Z114" s="197">
        <f t="shared" si="33"/>
        <v>1.54E-2</v>
      </c>
      <c r="AA114" s="197">
        <f t="shared" si="34"/>
        <v>23.2822</v>
      </c>
      <c r="AB114" s="54" t="str">
        <f>VLOOKUP(A114,Enforcements!$C$7:$K$13,8,0)</f>
        <v>Bulletin (2)</v>
      </c>
      <c r="AC114" s="51" t="str">
        <f>VLOOKUP(A114,Enforcements!$C$7:$E$13,3,0)</f>
        <v>GRADE CROSSING</v>
      </c>
      <c r="AD114" s="206">
        <f t="shared" si="35"/>
        <v>200</v>
      </c>
      <c r="AE114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14" s="74" t="str">
        <f t="shared" si="37"/>
        <v>"C:\Program Files (x86)\AstroGrep\AstroGrep.exe" /e /r /s /spath="%USERPROFILE%\AppData\Local\Temp\OnboardLogs" /stypes="app*4017*20170701*"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200-01 --locoid 4017 --swversion DE.1.0.9.0 --startMP 204:232976 --initTime 2017-07-01T16:53:54 --startdatetime 2017-07-01T16:57:28 --delay 1 --endMP 204:154 --enddatetime 2017-07-01T17:37:18 --enforcementcount 0 &gt;&gt;C:\Users\stu\Documents\GitHub\eaglep3-reporting\EC\2017-07-01-refined-times.txt</v>
      </c>
      <c r="AI11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ID","value":"200-01"},{"id":16,"name":"Locomotive ID","value":"4017"},{"id":130,"name":"Impact","value":""},{"id":150,"name":"Time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4017 --day 2017-07-01</v>
      </c>
      <c r="AN11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662</v>
      </c>
      <c r="B115" s="7">
        <v>4030</v>
      </c>
      <c r="C115" s="21" t="s">
        <v>202</v>
      </c>
      <c r="D115" s="21" t="s">
        <v>479</v>
      </c>
      <c r="E115" s="13">
        <v>42917.672129629631</v>
      </c>
      <c r="F115" s="13">
        <v>42917.677268518521</v>
      </c>
      <c r="G115" s="7">
        <v>1</v>
      </c>
      <c r="H115" s="21" t="s">
        <v>977</v>
      </c>
      <c r="I115" s="13">
        <v>42917.702986111108</v>
      </c>
      <c r="J115" s="7">
        <v>0</v>
      </c>
      <c r="K115" s="89" t="str">
        <f t="shared" si="27"/>
        <v>4029/4030</v>
      </c>
      <c r="L115" s="21" t="str">
        <f>VLOOKUP(A115,'Trips&amp;Operators'!$C$1:$G$99999,5,FALSE)</f>
        <v>HOLCOMB KAMDEN</v>
      </c>
      <c r="M115" s="6">
        <f t="shared" si="28"/>
        <v>2.5717592587170657E-2</v>
      </c>
      <c r="N115" s="7">
        <f t="shared" si="43"/>
        <v>37.033333325525746</v>
      </c>
      <c r="O115" s="7"/>
      <c r="P115" s="7"/>
      <c r="Q115" s="22"/>
      <c r="R115" s="170"/>
      <c r="S115" s="213">
        <f t="shared" si="44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-01T15:07:52-0600',mode:absolute,to:'2017-07-01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32"/>
        <v>4.3999999999999997E-2</v>
      </c>
      <c r="Z115" s="197">
        <f t="shared" si="33"/>
        <v>23.325299999999999</v>
      </c>
      <c r="AA115" s="197">
        <f t="shared" si="34"/>
        <v>23.281299999999998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201</v>
      </c>
      <c r="AE115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115" s="74" t="str">
        <f t="shared" si="37"/>
        <v>"C:\Program Files (x86)\AstroGrep\AstroGrep.exe" /e /r /s /spath="%USERPROFILE%\AppData\Local\Temp\OnboardLogs" /stypes="app*4030*20170701*" /stext=" 22:.+((SYSTEM_STATE.+slice.+state.+changed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201-01 --locoid 4030 --swversion DE.1.0.9.0 --startMP 204:440 --initTime 2017-07-01T16:07:52 --startdatetime 2017-07-01T16:15:16 --delay 1 --endMP 204:233253 --enddatetime 2017-07-01T16:52:18 --enforcementcount 0 &gt;&gt;C:\Users\stu\Documents\GitHub\eaglep3-reporting\EC\2017-07-01-refined-times.txt</v>
      </c>
      <c r="AI11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{"issue":{"subject":"","project_id":79,"tracker_id":40,"status_id":1,"priority_id":2,"assigned_to_id":23,"start_date":"2017-07-01","description":"","custom_fields":[{"id":1,"name":"Subdivision","value":"EC"},{"id":4,"name":"Milepost","value":"23.3253"},{"id":17,"name":"Train ID","value":"201-01"},{"id":16,"name":"Locomotive ID","value":"4030"},{"id":130,"name":"Impact","value":""},{"id":150,"name":"Time of Event (Mountain Time)","value":"16:52:18"},{"id":151,"name":"Denver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4030 --day 2017-07-01</v>
      </c>
      <c r="AN11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823</v>
      </c>
      <c r="B116" s="7">
        <v>4029</v>
      </c>
      <c r="C116" s="21" t="s">
        <v>202</v>
      </c>
      <c r="D116" s="21" t="s">
        <v>978</v>
      </c>
      <c r="E116" s="13">
        <v>42917.715543981481</v>
      </c>
      <c r="F116" s="13">
        <v>42917.71707175926</v>
      </c>
      <c r="G116" s="7">
        <v>1</v>
      </c>
      <c r="H116" s="21" t="s">
        <v>923</v>
      </c>
      <c r="I116" s="13">
        <v>42917.743495370371</v>
      </c>
      <c r="J116" s="7">
        <v>0</v>
      </c>
      <c r="K116" s="89" t="str">
        <f t="shared" si="27"/>
        <v>4029/4030</v>
      </c>
      <c r="L116" s="21" t="str">
        <f>VLOOKUP(A116,'Trips&amp;Operators'!$C$1:$G$99999,5,FALSE)</f>
        <v>HOLCOMB KAMDEN</v>
      </c>
      <c r="M116" s="6">
        <f t="shared" si="28"/>
        <v>2.6423611110658385E-2</v>
      </c>
      <c r="N116" s="7">
        <f t="shared" si="43"/>
        <v>38.049999999348074</v>
      </c>
      <c r="O116" s="7"/>
      <c r="P116" s="7"/>
      <c r="Q116" s="22"/>
      <c r="R116" s="170"/>
      <c r="S116" s="213">
        <f t="shared" si="44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-01T16:10:23-0600',mode:absolute,to:'2017-07-01T18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32"/>
        <v>23.293399999999998</v>
      </c>
      <c r="Z116" s="197">
        <f t="shared" si="33"/>
        <v>1.34E-2</v>
      </c>
      <c r="AA116" s="197">
        <f t="shared" si="34"/>
        <v>23.279999999999998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202</v>
      </c>
      <c r="AE116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116" s="74" t="str">
        <f t="shared" si="37"/>
        <v>"C:\Program Files (x86)\AstroGrep\AstroGrep.exe" /e /r /s /spath="%USERPROFILE%\AppData\Local\Temp\OnboardLogs" /stypes="app*4029*20170701*"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202-01 --locoid 4029 --swversion DE.1.0.9.0 --startMP 204:232934 --initTime 2017-07-01T17:10:23 --startdatetime 2017-07-01T17:12:35 --delay 1 --endMP 204:134 --enddatetime 2017-07-01T17:50:38 --enforcementcount 0 &gt;&gt;C:\Users\stu\Documents\GitHub\eaglep3-reporting\EC\2017-07-01-refined-times.txt</v>
      </c>
      <c r="AI11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{"issue":{"subject":"","project_id":79,"tracker_id":40,"status_id":1,"priority_id":2,"assigned_to_id":23,"start_date":"2017-07-01","description":"","custom_fields":[{"id":1,"name":"Subdivision","value":"EC"},{"id":4,"name":"Milepost","value":"0.0134"},{"id":17,"name":"Train ID","value":"202-01"},{"id":16,"name":"Locomotive ID","value":"4029"},{"id":130,"name":"Impact","value":""},{"id":150,"name":"Time of Event (Mountain Time)","value":"17:50:38"},{"id":151,"name":"Denver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4029 --day 2017-07-01</v>
      </c>
      <c r="AN11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661</v>
      </c>
      <c r="B117" s="7">
        <v>4028</v>
      </c>
      <c r="C117" s="21" t="s">
        <v>202</v>
      </c>
      <c r="D117" s="21" t="s">
        <v>351</v>
      </c>
      <c r="E117" s="13">
        <v>42917.682199074072</v>
      </c>
      <c r="F117" s="13">
        <v>42917.688020833331</v>
      </c>
      <c r="G117" s="7">
        <v>1</v>
      </c>
      <c r="H117" s="21" t="s">
        <v>487</v>
      </c>
      <c r="I117" s="13">
        <v>42917.713796296295</v>
      </c>
      <c r="J117" s="7">
        <v>0</v>
      </c>
      <c r="K117" s="89" t="str">
        <f t="shared" si="27"/>
        <v>4027/4028</v>
      </c>
      <c r="L117" s="21" t="str">
        <f>VLOOKUP(A117,'Trips&amp;Operators'!$C$1:$G$99999,5,FALSE)</f>
        <v>LOPES KIMBERLY</v>
      </c>
      <c r="M117" s="6">
        <f t="shared" si="28"/>
        <v>2.5775462963792961E-2</v>
      </c>
      <c r="N117" s="7">
        <f t="shared" si="43"/>
        <v>37.116666667861864</v>
      </c>
      <c r="O117" s="7"/>
      <c r="P117" s="7"/>
      <c r="Q117" s="22"/>
      <c r="R117" s="170"/>
      <c r="S117" s="213">
        <f t="shared" si="44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-01T15:22:22-0600',mode:absolute,to:'2017-07-01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32"/>
        <v>4.6600000000000003E-2</v>
      </c>
      <c r="Z117" s="197">
        <f t="shared" si="33"/>
        <v>23.332899999999999</v>
      </c>
      <c r="AA117" s="197">
        <f t="shared" si="34"/>
        <v>23.286299999999997</v>
      </c>
      <c r="AB117" s="54" t="str">
        <f>VLOOKUP(A117,Enforcements!$C$7:$K$13,8,0)</f>
        <v>Bulletin (2)</v>
      </c>
      <c r="AC117" s="51" t="str">
        <f>VLOOKUP(A117,Enforcements!$C$7:$E$13,3,0)</f>
        <v>GRADE CROSSING</v>
      </c>
      <c r="AD117" s="206">
        <f t="shared" si="35"/>
        <v>203</v>
      </c>
      <c r="AE117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17" s="74" t="str">
        <f t="shared" si="37"/>
        <v>"C:\Program Files (x86)\AstroGrep\AstroGrep.exe" /e /r /s /spath="%USERPROFILE%\AppData\Local\Temp\OnboardLogs" /stypes="app*4028*20170701*" /stext=" 23:.+((SYSTEM_STATE.+slice.+state.+changed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203-01 --locoid 4028 --swversion DE.1.0.9.0 --startMP 204:466 --initTime 2017-07-01T16:22:22 --startdatetime 2017-07-01T16:30:45 --delay 1 --endMP 204:233329 --enddatetime 2017-07-01T17:07:52 --enforcementcount 0 &gt;&gt;C:\Users\stu\Documents\GitHub\eaglep3-reporting\EC\2017-07-01-refined-times.txt</v>
      </c>
      <c r="AI11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{"issue":{"subject":"","project_id":79,"tracker_id":40,"status_id":1,"priority_id":2,"assigned_to_id":23,"start_date":"2017-07-01","description":"","custom_fields":[{"id":1,"name":"Subdivision","value":"EC"},{"id":4,"name":"Milepost","value":"23.3329"},{"id":17,"name":"Train ID","value":"203-01"},{"id":16,"name":"Locomotive ID","value":"4028"},{"id":130,"name":"Impact","value":""},{"id":150,"name":"Time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4028 --day 2017-07-01</v>
      </c>
      <c r="AN11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824</v>
      </c>
      <c r="B118" s="7">
        <v>4027</v>
      </c>
      <c r="C118" s="21" t="s">
        <v>202</v>
      </c>
      <c r="D118" s="21" t="s">
        <v>484</v>
      </c>
      <c r="E118" s="13">
        <v>42917.72378472222</v>
      </c>
      <c r="F118" s="13">
        <v>42917.727372685185</v>
      </c>
      <c r="G118" s="7">
        <v>1</v>
      </c>
      <c r="H118" s="21" t="s">
        <v>416</v>
      </c>
      <c r="I118" s="13">
        <v>42917.75335648148</v>
      </c>
      <c r="J118" s="7">
        <v>0</v>
      </c>
      <c r="K118" s="89" t="str">
        <f t="shared" si="27"/>
        <v>4027/4028</v>
      </c>
      <c r="L118" s="21" t="str">
        <f>VLOOKUP(A118,'Trips&amp;Operators'!$C$1:$G$99999,5,FALSE)</f>
        <v>LOPES KIMBERLY</v>
      </c>
      <c r="M118" s="6">
        <f t="shared" si="28"/>
        <v>2.5983796294895001E-2</v>
      </c>
      <c r="N118" s="7">
        <f t="shared" si="43"/>
        <v>37.416666664648801</v>
      </c>
      <c r="O118" s="7"/>
      <c r="P118" s="7"/>
      <c r="Q118" s="22"/>
      <c r="R118" s="170"/>
      <c r="S118" s="213">
        <f t="shared" si="44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-01T16:22:15-0600',mode:absolute,to:'2017-07-01T19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32"/>
        <v>23.301500000000001</v>
      </c>
      <c r="Z118" s="197">
        <f t="shared" si="33"/>
        <v>1.4500000000000001E-2</v>
      </c>
      <c r="AA118" s="197">
        <f t="shared" si="34"/>
        <v>23.286999999999999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204</v>
      </c>
      <c r="AE118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18" s="74" t="str">
        <f t="shared" si="37"/>
        <v>"C:\Program Files (x86)\AstroGrep\AstroGrep.exe" /e /r /s /spath="%USERPROFILE%\AppData\Local\Temp\OnboardLogs" /stypes="app*4027*20170702*" /stext=" 00:.+((SYSTEM_STATE.+slice.+state.+changed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204-01 --locoid 4027 --swversion DE.1.0.9.0 --startMP 204:233015 --initTime 2017-07-01T17:22:15 --startdatetime 2017-07-01T17:27:25 --delay 1 --endMP 204:145 --enddatetime 2017-07-01T18:04:50 --enforcementcount 0 &gt;&gt;C:\Users\stu\Documents\GitHub\eaglep3-reporting\EC\2017-07-01-refined-times.txt</v>
      </c>
      <c r="AI11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ID","value":"204-01"},{"id":16,"name":"Locomotive ID","value":"4027"},{"id":130,"name":"Impact","value":""},{"id":150,"name":"Time of Event (Mountain Time)","value":"18:04:50"},{"id":151,"name":"Denver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4027 --day 2017-07-01</v>
      </c>
      <c r="AN118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819</v>
      </c>
      <c r="B119" s="7">
        <v>4014</v>
      </c>
      <c r="C119" s="21" t="s">
        <v>202</v>
      </c>
      <c r="D119" s="21" t="s">
        <v>477</v>
      </c>
      <c r="E119" s="13">
        <v>42917.694456018522</v>
      </c>
      <c r="F119" s="13">
        <v>42917.698379629626</v>
      </c>
      <c r="G119" s="7">
        <v>1</v>
      </c>
      <c r="H119" s="21" t="s">
        <v>979</v>
      </c>
      <c r="I119" s="13">
        <v>42917.725092592591</v>
      </c>
      <c r="J119" s="7">
        <v>0</v>
      </c>
      <c r="K119" s="89" t="str">
        <f t="shared" si="27"/>
        <v>4013/4014</v>
      </c>
      <c r="L119" s="21" t="str">
        <f>VLOOKUP(A119,'Trips&amp;Operators'!$C$1:$G$99999,5,FALSE)</f>
        <v>BRANDNER MELINDA</v>
      </c>
      <c r="M119" s="6">
        <f t="shared" si="28"/>
        <v>2.6712962964666076E-2</v>
      </c>
      <c r="N119" s="7">
        <f t="shared" si="43"/>
        <v>38.466666669119149</v>
      </c>
      <c r="O119" s="7"/>
      <c r="P119" s="7"/>
      <c r="Q119" s="22"/>
      <c r="R119" s="170"/>
      <c r="S119" s="213">
        <f t="shared" si="44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-01T15:40:01-0600',mode:absolute,to:'2017-07-01T18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9" s="197" t="str">
        <f>IF(AA119&lt;VLOOKUP(AG119,Variables!$AC$3:$AD$8,2,FALSE),"Y","N")</f>
        <v>N</v>
      </c>
      <c r="X119" s="197">
        <f t="shared" si="45"/>
        <v>1</v>
      </c>
      <c r="Y119" s="197">
        <f t="shared" si="32"/>
        <v>4.4400000000000002E-2</v>
      </c>
      <c r="Z119" s="197">
        <f t="shared" si="33"/>
        <v>23.331600000000002</v>
      </c>
      <c r="AA119" s="197">
        <f t="shared" si="34"/>
        <v>23.287200000000002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205</v>
      </c>
      <c r="AE119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19" s="74" t="str">
        <f t="shared" si="37"/>
        <v>"C:\Program Files (x86)\AstroGrep\AstroGrep.exe" /e /r /s /spath="%USERPROFILE%\AppData\Local\Temp\OnboardLogs" /stypes="app*4014*20170701*"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205-01 --locoid 4014 --swversion DE.1.0.9.0 --startMP 204:444 --initTime 2017-07-01T16:40:01 --startdatetime 2017-07-01T16:45:40 --delay 1 --endMP 204:233316 --enddatetime 2017-07-01T17:24:08 --enforcementcount 0 &gt;&gt;C:\Users\stu\Documents\GitHub\eaglep3-reporting\EC\2017-07-01-refined-times.txt</v>
      </c>
      <c r="AI11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{"issue":{"subject":"","project_id":79,"tracker_id":40,"status_id":1,"priority_id":2,"assigned_to_id":23,"start_date":"2017-07-01","description":"","custom_fields":[{"id":1,"name":"Subdivision","value":"EC"},{"id":4,"name":"Milepost","value":"23.3316"},{"id":17,"name":"Train ID","value":"205-01"},{"id":16,"name":"Locomotive ID","value":"4014"},{"id":130,"name":"Impact","value":""},{"id":150,"name":"Time of Event (Mountain Time)","value":"17:24:08"},{"id":151,"name":"Denver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4014 --day 2017-07-01</v>
      </c>
      <c r="AN11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827</v>
      </c>
      <c r="B120" s="7">
        <v>4013</v>
      </c>
      <c r="C120" s="21" t="s">
        <v>202</v>
      </c>
      <c r="D120" s="21" t="s">
        <v>547</v>
      </c>
      <c r="E120" s="13">
        <v>42917.735358796293</v>
      </c>
      <c r="F120" s="13">
        <v>42917.737847222219</v>
      </c>
      <c r="G120" s="7">
        <v>1</v>
      </c>
      <c r="H120" s="21" t="s">
        <v>918</v>
      </c>
      <c r="I120" s="13">
        <v>42917.765532407408</v>
      </c>
      <c r="J120" s="7">
        <v>0</v>
      </c>
      <c r="K120" s="89" t="str">
        <f t="shared" si="27"/>
        <v>4013/4014</v>
      </c>
      <c r="L120" s="21" t="str">
        <f>VLOOKUP(A120,'Trips&amp;Operators'!$C$1:$G$99999,5,FALSE)</f>
        <v>BRANDNER MELINDA</v>
      </c>
      <c r="M120" s="6">
        <f t="shared" si="28"/>
        <v>2.768518518860219E-2</v>
      </c>
      <c r="N120" s="7">
        <f t="shared" si="43"/>
        <v>39.866666671587154</v>
      </c>
      <c r="O120" s="7"/>
      <c r="P120" s="7"/>
      <c r="Q120" s="22"/>
      <c r="R120" s="170"/>
      <c r="S120" s="213">
        <f t="shared" si="44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-01T16:38:55-0600',mode:absolute,to:'2017-07-01T19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f t="shared" si="32"/>
        <v>23.299800000000001</v>
      </c>
      <c r="Z120" s="197">
        <f t="shared" si="33"/>
        <v>1.2999999999999999E-2</v>
      </c>
      <c r="AA120" s="197">
        <f t="shared" si="34"/>
        <v>23.286799999999999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206</v>
      </c>
      <c r="AE120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20" s="74" t="str">
        <f t="shared" si="37"/>
        <v>"C:\Program Files (x86)\AstroGrep\AstroGrep.exe" /e /r /s /spath="%USERPROFILE%\AppData\Local\Temp\OnboardLogs" /stypes="app*4013*20170702*"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206-01 --locoid 4013 --swversion DE.1.0.9.0 --startMP 204:232998 --initTime 2017-07-01T17:38:55 --startdatetime 2017-07-01T17:42:30 --delay 1 --endMP 204:130 --enddatetime 2017-07-01T18:22:22 --enforcementcount 0 &gt;&gt;C:\Users\stu\Documents\GitHub\eaglep3-reporting\EC\2017-07-01-refined-times.txt</v>
      </c>
      <c r="AI12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{"issue":{"subject":"","project_id":79,"tracker_id":40,"status_id":1,"priority_id":2,"assigned_to_id":23,"start_date":"2017-07-01","description":"","custom_fields":[{"id":1,"name":"Subdivision","value":"EC"},{"id":4,"name":"Milepost","value":"0.013"},{"id":17,"name":"Train ID","value":"206-01"},{"id":16,"name":"Locomotive ID","value":"4013"},{"id":130,"name":"Impact","value":""},{"id":150,"name":"Time of Event (Mountain Time)","value":"18:22:22"},{"id":151,"name":"Denver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4013 --day 2017-07-01</v>
      </c>
      <c r="AN120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820</v>
      </c>
      <c r="B121" s="7">
        <v>4062</v>
      </c>
      <c r="C121" s="21" t="s">
        <v>202</v>
      </c>
      <c r="D121" s="21" t="s">
        <v>895</v>
      </c>
      <c r="E121" s="13">
        <v>42917.704143518517</v>
      </c>
      <c r="F121" s="13">
        <v>42917.708819444444</v>
      </c>
      <c r="G121" s="7">
        <v>1</v>
      </c>
      <c r="H121" s="21" t="s">
        <v>548</v>
      </c>
      <c r="I121" s="13">
        <v>42917.733402777776</v>
      </c>
      <c r="J121" s="7">
        <v>0</v>
      </c>
      <c r="K121" s="89" t="str">
        <f t="shared" si="27"/>
        <v>4061/4062</v>
      </c>
      <c r="L121" s="21" t="str">
        <f>VLOOKUP(A121,'Trips&amp;Operators'!$C$1:$G$99999,5,FALSE)</f>
        <v>BRUDER RICHARD</v>
      </c>
      <c r="M121" s="6">
        <f t="shared" si="28"/>
        <v>2.4583333331975155E-2</v>
      </c>
      <c r="N121" s="7">
        <f t="shared" si="43"/>
        <v>35.399999998044223</v>
      </c>
      <c r="O121" s="7"/>
      <c r="P121" s="7"/>
      <c r="Q121" s="22"/>
      <c r="R121" s="170"/>
      <c r="S121" s="213">
        <f t="shared" si="44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-01T15:53:58-0600',mode:absolute,to:'2017-07-01T18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 t="shared" si="32"/>
        <v>4.3099999999999999E-2</v>
      </c>
      <c r="Z121" s="197">
        <f t="shared" si="33"/>
        <v>23.331399999999999</v>
      </c>
      <c r="AA121" s="197">
        <f t="shared" si="34"/>
        <v>23.2883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207</v>
      </c>
      <c r="AE121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121" s="74" t="str">
        <f t="shared" si="37"/>
        <v>"C:\Program Files (x86)\AstroGrep\AstroGrep.exe" /e /r /s /spath="%USERPROFILE%\AppData\Local\Temp\OnboardLogs" /stypes="app*4062*20170701*"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207-01 --locoid 4062 --swversion DE.1.0.9.0 --startMP 204:431 --initTime 2017-07-01T16:53:58 --startdatetime 2017-07-01T17:00:42 --delay 1 --endMP 204:233314 --enddatetime 2017-07-01T17:36:06 --enforcementcount 0 &gt;&gt;C:\Users\stu\Documents\GitHub\eaglep3-reporting\EC\2017-07-01-refined-times.txt</v>
      </c>
      <c r="AI12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{"issue":{"subject":"","project_id":79,"tracker_id":40,"status_id":1,"priority_id":2,"assigned_to_id":23,"start_date":"2017-07-01","description":"","custom_fields":[{"id":1,"name":"Subdivision","value":"EC"},{"id":4,"name":"Milepost","value":"23.3314"},{"id":17,"name":"Train ID","value":"207-01"},{"id":16,"name":"Locomotive ID","value":"4062"},{"id":130,"name":"Impact","value":""},{"id":150,"name":"Time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4062 --day 2017-07-01</v>
      </c>
      <c r="AN12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831</v>
      </c>
      <c r="B122" s="7">
        <v>4061</v>
      </c>
      <c r="C122" s="21" t="s">
        <v>202</v>
      </c>
      <c r="D122" s="21" t="s">
        <v>980</v>
      </c>
      <c r="E122" s="13">
        <v>42917.743807870371</v>
      </c>
      <c r="F122" s="13">
        <v>42917.748182870368</v>
      </c>
      <c r="G122" s="7">
        <v>1</v>
      </c>
      <c r="H122" s="21" t="s">
        <v>193</v>
      </c>
      <c r="I122" s="13">
        <v>42917.77416666667</v>
      </c>
      <c r="J122" s="7">
        <v>0</v>
      </c>
      <c r="K122" s="89" t="str">
        <f t="shared" si="27"/>
        <v>4061/4062</v>
      </c>
      <c r="L122" s="21" t="str">
        <f>VLOOKUP(A122,'Trips&amp;Operators'!$C$1:$G$99999,5,FALSE)</f>
        <v>BRUDER RICHARD</v>
      </c>
      <c r="M122" s="6">
        <f t="shared" si="28"/>
        <v>2.5983796302170958E-2</v>
      </c>
      <c r="N122" s="7">
        <f t="shared" si="43"/>
        <v>37.41666667512618</v>
      </c>
      <c r="O122" s="7"/>
      <c r="P122" s="7"/>
      <c r="Q122" s="22"/>
      <c r="R122" s="170"/>
      <c r="S122" s="213">
        <f t="shared" si="44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-01T16:51:05-0600',mode:absolute,to:'2017-07-01T19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 t="shared" si="32"/>
        <v>23.298500000000001</v>
      </c>
      <c r="Z122" s="197">
        <f t="shared" si="33"/>
        <v>1.52E-2</v>
      </c>
      <c r="AA122" s="197">
        <f t="shared" si="34"/>
        <v>23.283300000000001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208</v>
      </c>
      <c r="AE122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122" s="74" t="str">
        <f t="shared" si="37"/>
        <v>"C:\Program Files (x86)\AstroGrep\AstroGrep.exe" /e /r /s /spath="%USERPROFILE%\AppData\Local\Temp\OnboardLogs" /stypes="app*4061*20170702*"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208-01 --locoid 4061 --swversion DE.1.0.9.0 --startMP 204:232985 --initTime 2017-07-01T17:51:05 --startdatetime 2017-07-01T17:57:23 --delay 1 --endMP 204:152 --enddatetime 2017-07-01T18:34:48 --enforcementcount 0 &gt;&gt;C:\Users\stu\Documents\GitHub\eaglep3-reporting\EC\2017-07-01-refined-times.txt</v>
      </c>
      <c r="AI12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ID","value":"208-01"},{"id":16,"name":"Locomotive ID","value":"4061"},{"id":130,"name":"Impact","value":""},{"id":150,"name":"Time of Event (Mountain Time)","value":"18:34:48"},{"id":151,"name":"Denver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4061 --day 2017-07-01</v>
      </c>
      <c r="AN122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822</v>
      </c>
      <c r="B123" s="7">
        <v>4008</v>
      </c>
      <c r="C123" s="21" t="s">
        <v>202</v>
      </c>
      <c r="D123" s="21" t="s">
        <v>351</v>
      </c>
      <c r="E123" s="13">
        <v>42917.714421296296</v>
      </c>
      <c r="F123" s="13">
        <v>42917.719247685185</v>
      </c>
      <c r="G123" s="7">
        <v>1</v>
      </c>
      <c r="H123" s="21" t="s">
        <v>605</v>
      </c>
      <c r="I123" s="13">
        <v>42917.743854166663</v>
      </c>
      <c r="J123" s="7">
        <v>0</v>
      </c>
      <c r="K123" s="89" t="str">
        <f t="shared" si="27"/>
        <v>4007/4008</v>
      </c>
      <c r="L123" s="21" t="str">
        <f>VLOOKUP(A123,'Trips&amp;Operators'!$C$1:$G$99999,5,FALSE)</f>
        <v>NEWELL JAMES</v>
      </c>
      <c r="M123" s="6">
        <f t="shared" si="28"/>
        <v>2.4606481478258502E-2</v>
      </c>
      <c r="N123" s="7">
        <f t="shared" si="43"/>
        <v>35.433333328692243</v>
      </c>
      <c r="O123" s="7"/>
      <c r="P123" s="7"/>
      <c r="Q123" s="22"/>
      <c r="R123" s="170"/>
      <c r="S123" s="213">
        <f t="shared" si="44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-01T16:08:46-0600',mode:absolute,to:'2017-07-01T18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32"/>
        <v>4.6600000000000003E-2</v>
      </c>
      <c r="Z123" s="197">
        <f t="shared" si="33"/>
        <v>23.3261</v>
      </c>
      <c r="AA123" s="197">
        <f t="shared" si="34"/>
        <v>23.279499999999999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209</v>
      </c>
      <c r="AE123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23" s="74" t="str">
        <f t="shared" si="37"/>
        <v>"C:\Program Files (x86)\AstroGrep\AstroGrep.exe" /e /r /s /spath="%USERPROFILE%\AppData\Local\Temp\OnboardLogs" /stypes="app*4008*20170701*"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209-01 --locoid 4008 --swversion DE.1.0.9.0 --startMP 204:466 --initTime 2017-07-01T17:08:46 --startdatetime 2017-07-01T17:15:43 --delay 1 --endMP 204:233261 --enddatetime 2017-07-01T17:51:09 --enforcementcount 0 &gt;&gt;C:\Users\stu\Documents\GitHub\eaglep3-reporting\EC\2017-07-01-refined-times.txt</v>
      </c>
      <c r="AI12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{"issue":{"subject":"","project_id":79,"tracker_id":40,"status_id":1,"priority_id":2,"assigned_to_id":23,"start_date":"2017-07-01","description":"","custom_fields":[{"id":1,"name":"Subdivision","value":"EC"},{"id":4,"name":"Milepost","value":"23.3261"},{"id":17,"name":"Train ID","value":"209-01"},{"id":16,"name":"Locomotive ID","value":"4008"},{"id":130,"name":"Impact","value":""},{"id":150,"name":"Time of Event (Mountain Time)","value":"17:51:09"},{"id":151,"name":"Denver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4008 --day 2017-07-01</v>
      </c>
      <c r="AN12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832</v>
      </c>
      <c r="B124" s="7">
        <v>4007</v>
      </c>
      <c r="C124" s="21" t="s">
        <v>202</v>
      </c>
      <c r="D124" s="21" t="s">
        <v>970</v>
      </c>
      <c r="E124" s="13">
        <v>42917.745289351849</v>
      </c>
      <c r="F124" s="13">
        <v>42917.75854166667</v>
      </c>
      <c r="G124" s="7">
        <v>1</v>
      </c>
      <c r="H124" s="21" t="s">
        <v>348</v>
      </c>
      <c r="I124" s="13">
        <v>42917.784131944441</v>
      </c>
      <c r="J124" s="7">
        <v>0</v>
      </c>
      <c r="K124" s="89" t="str">
        <f t="shared" si="27"/>
        <v>4007/4008</v>
      </c>
      <c r="L124" s="21" t="str">
        <f>VLOOKUP(A124,'Trips&amp;Operators'!$C$1:$G$99999,5,FALSE)</f>
        <v>NEWELL JAMES</v>
      </c>
      <c r="M124" s="6">
        <f t="shared" si="28"/>
        <v>2.5590277771698311E-2</v>
      </c>
      <c r="N124" s="7">
        <f t="shared" ref="N124:N155" si="46">24*60*SUM($M124:$M124)</f>
        <v>36.849999991245568</v>
      </c>
      <c r="O124" s="7"/>
      <c r="P124" s="7"/>
      <c r="Q124" s="22"/>
      <c r="R124" s="170"/>
      <c r="S124" s="213">
        <f t="shared" si="44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-01T16:53:13-0600',mode:absolute,to:'2017-07-01T19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32"/>
        <v>23.2988</v>
      </c>
      <c r="Z124" s="197">
        <f t="shared" si="33"/>
        <v>1.4999999999999999E-2</v>
      </c>
      <c r="AA124" s="197">
        <f t="shared" si="34"/>
        <v>23.283799999999999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210</v>
      </c>
      <c r="AE124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24" s="74" t="str">
        <f t="shared" si="37"/>
        <v>"C:\Program Files (x86)\AstroGrep\AstroGrep.exe" /e /r /s /spath="%USERPROFILE%\AppData\Local\Temp\OnboardLogs" /stypes="app*4007*20170702*"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210-01 --locoid 4007 --swversion DE.1.0.9.0 --startMP 204:232988 --initTime 2017-07-01T17:53:13 --startdatetime 2017-07-01T18:12:18 --delay 1 --endMP 204:150 --enddatetime 2017-07-01T18:49:09 --enforcementcount 0 &gt;&gt;C:\Users\stu\Documents\GitHub\eaglep3-reporting\EC\2017-07-01-refined-times.txt</v>
      </c>
      <c r="AI12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ID","value":"210-01"},{"id":16,"name":"Locomotive ID","value":"4007"},{"id":130,"name":"Impact","value":""},{"id":150,"name":"Time of Event (Mountain Time)","value":"18:49:09"},{"id":151,"name":"Denver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4007 --day 2017-07-01</v>
      </c>
      <c r="AN124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825</v>
      </c>
      <c r="B125" s="7">
        <v>4056</v>
      </c>
      <c r="C125" s="21" t="s">
        <v>202</v>
      </c>
      <c r="D125" s="21" t="s">
        <v>435</v>
      </c>
      <c r="E125" s="13">
        <v>42917.727175925924</v>
      </c>
      <c r="F125" s="13">
        <v>42917.729664351849</v>
      </c>
      <c r="G125" s="7">
        <v>0</v>
      </c>
      <c r="H125" s="21" t="s">
        <v>981</v>
      </c>
      <c r="I125" s="13">
        <v>42917.754502314812</v>
      </c>
      <c r="J125" s="7">
        <v>0</v>
      </c>
      <c r="K125" s="89" t="str">
        <f t="shared" si="27"/>
        <v>4055/4056</v>
      </c>
      <c r="L125" s="21" t="str">
        <f>VLOOKUP(A125,'Trips&amp;Operators'!$C$1:$G$99999,5,FALSE)</f>
        <v>DELGADO DIANAH</v>
      </c>
      <c r="M125" s="6">
        <f t="shared" si="28"/>
        <v>2.4837962962919846E-2</v>
      </c>
      <c r="N125" s="7">
        <f t="shared" si="46"/>
        <v>35.766666666604578</v>
      </c>
      <c r="O125" s="7"/>
      <c r="P125" s="7"/>
      <c r="Q125" s="22"/>
      <c r="R125" s="170"/>
      <c r="S125" s="213">
        <f t="shared" si="44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-01T16:27:08-0600',mode:absolute,to:'2017-07-01T19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32"/>
        <v>4.6699999999999998E-2</v>
      </c>
      <c r="Z125" s="197">
        <f t="shared" si="33"/>
        <v>23.334199999999999</v>
      </c>
      <c r="AA125" s="197">
        <f t="shared" si="34"/>
        <v>23.287499999999998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211</v>
      </c>
      <c r="AE125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125" s="74" t="str">
        <f t="shared" si="37"/>
        <v>"C:\Program Files (x86)\AstroGrep\AstroGrep.exe" /e /r /s /spath="%USERPROFILE%\AppData\Local\Temp\OnboardLogs" /stypes="app*4056*20170702*"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211-01 --locoid 4056 --swversion DE.1.0.9.0 --startMP 204:467 --initTime 2017-07-01T17:27:08 --startdatetime 2017-07-01T17:30:43 --delay 0 --endMP 204:233342 --enddatetime 2017-07-01T18:06:29 --enforcementcount 0 &gt;&gt;C:\Users\stu\Documents\GitHub\eaglep3-reporting\EC\2017-07-01-refined-times.txt</v>
      </c>
      <c r="AI12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{"issue":{"subject":"","project_id":79,"tracker_id":40,"status_id":1,"priority_id":2,"assigned_to_id":23,"start_date":"2017-07-01","description":"","custom_fields":[{"id":1,"name":"Subdivision","value":"EC"},{"id":4,"name":"Milepost","value":"23.3342"},{"id":17,"name":"Train ID","value":"211-01"},{"id":16,"name":"Locomotive ID","value":"4056"},{"id":130,"name":"Impact","value":""},{"id":150,"name":"Time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4056 --day 2017-07-01</v>
      </c>
      <c r="AN125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834</v>
      </c>
      <c r="B126" s="7">
        <v>4055</v>
      </c>
      <c r="C126" s="21" t="s">
        <v>202</v>
      </c>
      <c r="D126" s="21" t="s">
        <v>982</v>
      </c>
      <c r="E126" s="13">
        <v>42917.760682870372</v>
      </c>
      <c r="F126" s="13">
        <v>42917.768923611111</v>
      </c>
      <c r="G126" s="7">
        <v>2</v>
      </c>
      <c r="H126" s="21" t="s">
        <v>193</v>
      </c>
      <c r="I126" s="13">
        <v>42917.794282407405</v>
      </c>
      <c r="J126" s="7">
        <v>0</v>
      </c>
      <c r="K126" s="89" t="str">
        <f t="shared" si="27"/>
        <v>4055/4056</v>
      </c>
      <c r="L126" s="21" t="str">
        <f>VLOOKUP(A126,'Trips&amp;Operators'!$C$1:$G$99999,5,FALSE)</f>
        <v>DELGADO DIANAH</v>
      </c>
      <c r="M126" s="6">
        <f t="shared" si="28"/>
        <v>2.5358796294312924E-2</v>
      </c>
      <c r="N126" s="7">
        <f t="shared" si="46"/>
        <v>36.516666663810611</v>
      </c>
      <c r="O126" s="7"/>
      <c r="P126" s="7"/>
      <c r="Q126" s="22"/>
      <c r="R126" s="170"/>
      <c r="S126" s="213">
        <f t="shared" si="44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-01T17:15:23-0600',mode:absolute,to:'2017-07-01T20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32"/>
        <v>23.3019</v>
      </c>
      <c r="Z126" s="197">
        <f t="shared" si="33"/>
        <v>1.52E-2</v>
      </c>
      <c r="AA126" s="197">
        <f t="shared" si="34"/>
        <v>23.2867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212</v>
      </c>
      <c r="AE126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126" s="74" t="str">
        <f t="shared" si="37"/>
        <v>"C:\Program Files (x86)\AstroGrep\AstroGrep.exe" /e /r /s /spath="%USERPROFILE%\AppData\Local\Temp\OnboardLogs" /stypes="app*4055*20170702*"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212-01 --locoid 4055 --swversion DE.1.0.9.0 --startMP 204:233019 --initTime 2017-07-01T18:15:23 --startdatetime 2017-07-01T18:27:15 --delay 2 --endMP 204:152 --enddatetime 2017-07-01T19:03:46 --enforcementcount 0 &gt;&gt;C:\Users\stu\Documents\GitHub\eaglep3-reporting\EC\2017-07-01-refined-times.txt</v>
      </c>
      <c r="AI12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ID","value":"212-01"},{"id":16,"name":"Locomotive ID","value":"4055"},{"id":130,"name":"Impact","value":""},{"id":150,"name":"Time of Event (Mountain Time)","value":"19:03:46"},{"id":151,"name":"Denver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4055 --day 2017-07-01</v>
      </c>
      <c r="AN126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828</v>
      </c>
      <c r="B127" s="7">
        <v>4018</v>
      </c>
      <c r="C127" s="21" t="s">
        <v>202</v>
      </c>
      <c r="D127" s="21" t="s">
        <v>354</v>
      </c>
      <c r="E127" s="13">
        <v>42917.737858796296</v>
      </c>
      <c r="F127" s="13">
        <v>42917.740289351852</v>
      </c>
      <c r="G127" s="7">
        <v>1</v>
      </c>
      <c r="H127" s="21" t="s">
        <v>983</v>
      </c>
      <c r="I127" s="13">
        <v>42917.765451388892</v>
      </c>
      <c r="J127" s="7">
        <v>0</v>
      </c>
      <c r="K127" s="89" t="str">
        <f t="shared" si="27"/>
        <v>4017/4018</v>
      </c>
      <c r="L127" s="21" t="str">
        <f>VLOOKUP(A127,'Trips&amp;Operators'!$C$1:$G$99999,5,FALSE)</f>
        <v>YANG JAN</v>
      </c>
      <c r="M127" s="6">
        <f t="shared" si="28"/>
        <v>2.5162037039990537E-2</v>
      </c>
      <c r="N127" s="7">
        <f t="shared" si="46"/>
        <v>36.233333337586373</v>
      </c>
      <c r="O127" s="7"/>
      <c r="P127" s="7"/>
      <c r="Q127" s="22"/>
      <c r="R127" s="170"/>
      <c r="S127" s="213">
        <f t="shared" si="44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-01T16:42:31-0600',mode:absolute,to:'2017-07-01T19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32"/>
        <v>4.53E-2</v>
      </c>
      <c r="Z127" s="197">
        <f t="shared" si="33"/>
        <v>23.331099999999999</v>
      </c>
      <c r="AA127" s="197">
        <f t="shared" si="34"/>
        <v>23.285799999999998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213</v>
      </c>
      <c r="AE127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27" s="74" t="str">
        <f t="shared" si="37"/>
        <v>"C:\Program Files (x86)\AstroGrep\AstroGrep.exe" /e /r /s /spath="%USERPROFILE%\AppData\Local\Temp\OnboardLogs" /stypes="app*4018*20170702*"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213-01 --locoid 4018 --swversion DE.1.0.9.0 --startMP 204:453 --initTime 2017-07-01T17:42:31 --startdatetime 2017-07-01T17:46:01 --delay 1 --endMP 204:233311 --enddatetime 2017-07-01T18:22:15 --enforcementcount 0 &gt;&gt;C:\Users\stu\Documents\GitHub\eaglep3-reporting\EC\2017-07-01-refined-times.txt</v>
      </c>
      <c r="AI12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{"issue":{"subject":"","project_id":79,"tracker_id":40,"status_id":1,"priority_id":2,"assigned_to_id":23,"start_date":"2017-07-01","description":"","custom_fields":[{"id":1,"name":"Subdivision","value":"EC"},{"id":4,"name":"Milepost","value":"23.3311"},{"id":17,"name":"Train ID","value":"213-01"},{"id":16,"name":"Locomotive ID","value":"4018"},{"id":130,"name":"Impact","value":""},{"id":150,"name":"Time of Event (Mountain Time)","value":"18:22:15"},{"id":151,"name":"Denver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4018 --day 2017-07-01</v>
      </c>
      <c r="AN127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836</v>
      </c>
      <c r="B128" s="7">
        <v>4017</v>
      </c>
      <c r="C128" s="21" t="s">
        <v>202</v>
      </c>
      <c r="D128" s="21" t="s">
        <v>464</v>
      </c>
      <c r="E128" s="13">
        <v>42917.773981481485</v>
      </c>
      <c r="F128" s="13">
        <v>42917.779398148145</v>
      </c>
      <c r="G128" s="7">
        <v>1</v>
      </c>
      <c r="H128" s="21" t="s">
        <v>394</v>
      </c>
      <c r="I128" s="13">
        <v>42917.805590277778</v>
      </c>
      <c r="J128" s="7">
        <v>0</v>
      </c>
      <c r="K128" s="89" t="str">
        <f t="shared" si="27"/>
        <v>4017/4018</v>
      </c>
      <c r="L128" s="21" t="str">
        <f>VLOOKUP(A128,'Trips&amp;Operators'!$C$1:$G$99999,5,FALSE)</f>
        <v>YANG JAN</v>
      </c>
      <c r="M128" s="6">
        <f t="shared" si="28"/>
        <v>2.6192129633272998E-2</v>
      </c>
      <c r="N128" s="7">
        <f t="shared" si="46"/>
        <v>37.716666671913117</v>
      </c>
      <c r="O128" s="7"/>
      <c r="P128" s="7"/>
      <c r="Q128" s="22"/>
      <c r="R128" s="170"/>
      <c r="S128" s="213">
        <f t="shared" si="44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-01T17:34:32-0600',mode:absolute,to:'2017-07-01T20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32"/>
        <v>23.2986</v>
      </c>
      <c r="Z128" s="197">
        <f t="shared" si="33"/>
        <v>1.54E-2</v>
      </c>
      <c r="AA128" s="197">
        <f t="shared" si="34"/>
        <v>23.283200000000001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214</v>
      </c>
      <c r="AE128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28" s="74" t="str">
        <f t="shared" si="37"/>
        <v>"C:\Program Files (x86)\AstroGrep\AstroGrep.exe" /e /r /s /spath="%USERPROFILE%\AppData\Local\Temp\OnboardLogs" /stypes="app*4017*20170702*"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214-01 --locoid 4017 --swversion DE.1.0.9.0 --startMP 204:232986 --initTime 2017-07-01T18:34:32 --startdatetime 2017-07-01T18:42:20 --delay 1 --endMP 204:154 --enddatetime 2017-07-01T19:20:03 --enforcementcount 0 &gt;&gt;C:\Users\stu\Documents\GitHub\eaglep3-reporting\EC\2017-07-01-refined-times.txt</v>
      </c>
      <c r="AI12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ID","value":"214-01"},{"id":16,"name":"Locomotive ID","value":"4017"},{"id":130,"name":"Impact","value":""},{"id":150,"name":"Time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4017 --day 2017-07-01</v>
      </c>
      <c r="AN128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665</v>
      </c>
      <c r="B129" s="7">
        <v>4030</v>
      </c>
      <c r="C129" s="21" t="s">
        <v>202</v>
      </c>
      <c r="D129" s="21" t="s">
        <v>355</v>
      </c>
      <c r="E129" s="13">
        <v>42917.747037037036</v>
      </c>
      <c r="F129" s="13">
        <v>42917.750497685185</v>
      </c>
      <c r="G129" s="7">
        <v>1</v>
      </c>
      <c r="H129" s="21" t="s">
        <v>984</v>
      </c>
      <c r="I129" s="13">
        <v>42917.775787037041</v>
      </c>
      <c r="J129" s="7">
        <v>0</v>
      </c>
      <c r="K129" s="89" t="str">
        <f t="shared" si="27"/>
        <v>4029/4030</v>
      </c>
      <c r="L129" s="21" t="str">
        <f>VLOOKUP(A129,'Trips&amp;Operators'!$C$1:$G$99999,5,FALSE)</f>
        <v>HOLCOMB KAMDEN</v>
      </c>
      <c r="M129" s="6">
        <f t="shared" si="28"/>
        <v>2.5289351855462883E-2</v>
      </c>
      <c r="N129" s="7">
        <f t="shared" si="46"/>
        <v>36.416666671866551</v>
      </c>
      <c r="O129" s="7"/>
      <c r="P129" s="7"/>
      <c r="Q129" s="22"/>
      <c r="R129" s="170"/>
      <c r="S129" s="213">
        <f t="shared" si="44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-01T16:55:44-0600',mode:absolute,to:'2017-07-01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32"/>
        <v>4.4699999999999997E-2</v>
      </c>
      <c r="Z129" s="197">
        <f t="shared" si="33"/>
        <v>23.331700000000001</v>
      </c>
      <c r="AA129" s="197">
        <f t="shared" si="34"/>
        <v>23.287000000000003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215</v>
      </c>
      <c r="AE129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129" s="74" t="str">
        <f t="shared" si="37"/>
        <v>"C:\Program Files (x86)\AstroGrep\AstroGrep.exe" /e /r /s /spath="%USERPROFILE%\AppData\Local\Temp\OnboardLogs" /stypes="app*4030*20170702*"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215-01 --locoid 4030 --swversion DE.1.0.9.0 --startMP 204:447 --initTime 2017-07-01T17:55:44 --startdatetime 2017-07-01T18:00:43 --delay 1 --endMP 204:233317 --enddatetime 2017-07-01T18:37:08 --enforcementcount 0 &gt;&gt;C:\Users\stu\Documents\GitHub\eaglep3-reporting\EC\2017-07-01-refined-times.txt</v>
      </c>
      <c r="AI12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{"issue":{"subject":"","project_id":79,"tracker_id":40,"status_id":1,"priority_id":2,"assigned_to_id":23,"start_date":"2017-07-01","description":"","custom_fields":[{"id":1,"name":"Subdivision","value":"EC"},{"id":4,"name":"Milepost","value":"23.3317"},{"id":17,"name":"Train ID","value":"215-01"},{"id":16,"name":"Locomotive ID","value":"4030"},{"id":130,"name":"Impact","value":""},{"id":150,"name":"Time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4030 --day 2017-07-01</v>
      </c>
      <c r="AN129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840</v>
      </c>
      <c r="B130" s="7">
        <v>4029</v>
      </c>
      <c r="C130" s="21" t="s">
        <v>202</v>
      </c>
      <c r="D130" s="21" t="s">
        <v>607</v>
      </c>
      <c r="E130" s="13">
        <v>42917.788935185185</v>
      </c>
      <c r="F130" s="13">
        <v>42917.790266203701</v>
      </c>
      <c r="G130" s="7">
        <v>1</v>
      </c>
      <c r="H130" s="21" t="s">
        <v>985</v>
      </c>
      <c r="I130" s="13">
        <v>42917.816307870373</v>
      </c>
      <c r="J130" s="7">
        <v>0</v>
      </c>
      <c r="K130" s="89" t="str">
        <f t="shared" si="27"/>
        <v>4029/4030</v>
      </c>
      <c r="L130" s="21" t="str">
        <f>VLOOKUP(A130,'Trips&amp;Operators'!$C$1:$G$99999,5,FALSE)</f>
        <v>HOLCOMB KAMDEN</v>
      </c>
      <c r="M130" s="6">
        <f t="shared" si="28"/>
        <v>2.6041666671517305E-2</v>
      </c>
      <c r="N130" s="7">
        <f t="shared" si="46"/>
        <v>37.500000006984919</v>
      </c>
      <c r="O130" s="7"/>
      <c r="P130" s="7"/>
      <c r="Q130" s="22"/>
      <c r="R130" s="170"/>
      <c r="S130" s="213">
        <f t="shared" si="44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-01T17:56:04-0600',mode:absolute,to:'2017-07-01T20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32"/>
        <v>23.299399999999999</v>
      </c>
      <c r="Z130" s="197">
        <f t="shared" si="33"/>
        <v>1.32E-2</v>
      </c>
      <c r="AA130" s="197">
        <f t="shared" si="34"/>
        <v>23.286199999999997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216</v>
      </c>
      <c r="AE130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130" s="74" t="str">
        <f t="shared" si="37"/>
        <v>"C:\Program Files (x86)\AstroGrep\AstroGrep.exe" /e /r /s /spath="%USERPROFILE%\AppData\Local\Temp\OnboardLogs" /stypes="app*4029*20170702*"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216-01 --locoid 4029 --swversion DE.1.0.9.0 --startMP 204:232994 --initTime 2017-07-01T18:56:04 --startdatetime 2017-07-01T18:57:59 --delay 1 --endMP 204:132 --enddatetime 2017-07-01T19:35:29 --enforcementcount 0 &gt;&gt;C:\Users\stu\Documents\GitHub\eaglep3-reporting\EC\2017-07-01-refined-times.txt</v>
      </c>
      <c r="AI13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{"issue":{"subject":"","project_id":79,"tracker_id":40,"status_id":1,"priority_id":2,"assigned_to_id":23,"start_date":"2017-07-01","description":"","custom_fields":[{"id":1,"name":"Subdivision","value":"EC"},{"id":4,"name":"Milepost","value":"0.0132"},{"id":17,"name":"Train ID","value":"216-01"},{"id":16,"name":"Locomotive ID","value":"4029"},{"id":130,"name":"Impact","value":""},{"id":150,"name":"Time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4029 --day 2017-07-01</v>
      </c>
      <c r="AN130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666</v>
      </c>
      <c r="B131" s="7">
        <v>4028</v>
      </c>
      <c r="C131" s="21" t="s">
        <v>202</v>
      </c>
      <c r="D131" s="21" t="s">
        <v>986</v>
      </c>
      <c r="E131" s="13">
        <v>42917.755740740744</v>
      </c>
      <c r="F131" s="13">
        <v>42917.761331018519</v>
      </c>
      <c r="G131" s="7">
        <v>1</v>
      </c>
      <c r="H131" s="21" t="s">
        <v>901</v>
      </c>
      <c r="I131" s="13">
        <v>42917.786076388889</v>
      </c>
      <c r="J131" s="7">
        <v>0</v>
      </c>
      <c r="K131" s="89" t="str">
        <f t="shared" si="27"/>
        <v>4027/4028</v>
      </c>
      <c r="L131" s="21" t="str">
        <f>VLOOKUP(A131,'Trips&amp;Operators'!$C$1:$G$99999,5,FALSE)</f>
        <v>PERKINS DARREN</v>
      </c>
      <c r="M131" s="6">
        <f t="shared" si="28"/>
        <v>2.47453703705105E-2</v>
      </c>
      <c r="N131" s="7">
        <f t="shared" si="46"/>
        <v>35.63333333353512</v>
      </c>
      <c r="O131" s="7"/>
      <c r="P131" s="7"/>
      <c r="Q131" s="22"/>
      <c r="R131" s="170"/>
      <c r="S131" s="213">
        <f t="shared" si="44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-01T17:08:16-0600',mode:absolute,to:'2017-07-01T19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32"/>
        <v>4.1300000000000003E-2</v>
      </c>
      <c r="Z131" s="197">
        <f t="shared" si="33"/>
        <v>23.333400000000001</v>
      </c>
      <c r="AA131" s="197">
        <f t="shared" si="34"/>
        <v>23.292100000000001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217</v>
      </c>
      <c r="AE131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31" s="74" t="str">
        <f t="shared" si="37"/>
        <v>"C:\Program Files (x86)\AstroGrep\AstroGrep.exe" /e /r /s /spath="%USERPROFILE%\AppData\Local\Temp\OnboardLogs" /stypes="app*4028*20170702*"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217-01 --locoid 4028 --swversion DE.1.0.9.0 --startMP 204:413 --initTime 2017-07-01T18:08:16 --startdatetime 2017-07-01T18:16:19 --delay 1 --endMP 204:233334 --enddatetime 2017-07-01T18:51:57 --enforcementcount 0 &gt;&gt;C:\Users\stu\Documents\GitHub\eaglep3-reporting\EC\2017-07-01-refined-times.txt</v>
      </c>
      <c r="AI13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{"issue":{"subject":"","project_id":79,"tracker_id":40,"status_id":1,"priority_id":2,"assigned_to_id":23,"start_date":"2017-07-01","description":"","custom_fields":[{"id":1,"name":"Subdivision","value":"EC"},{"id":4,"name":"Milepost","value":"23.3334"},{"id":17,"name":"Train ID","value":"217-01"},{"id":16,"name":"Locomotive ID","value":"4028"},{"id":130,"name":"Impact","value":""},{"id":150,"name":"Time of Event (Mountain Time)","value":"18:51:57"},{"id":151,"name":"Denver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4028 --day 2017-07-01</v>
      </c>
      <c r="AN131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841</v>
      </c>
      <c r="B132" s="7">
        <v>4027</v>
      </c>
      <c r="C132" s="21" t="s">
        <v>202</v>
      </c>
      <c r="D132" s="21" t="s">
        <v>607</v>
      </c>
      <c r="E132" s="13">
        <v>42917.79519675926</v>
      </c>
      <c r="F132" s="13">
        <v>42917.80027777778</v>
      </c>
      <c r="G132" s="7">
        <v>1</v>
      </c>
      <c r="H132" s="21" t="s">
        <v>416</v>
      </c>
      <c r="I132" s="13">
        <v>42917.826377314814</v>
      </c>
      <c r="J132" s="7">
        <v>0</v>
      </c>
      <c r="K132" s="89" t="str">
        <f t="shared" si="27"/>
        <v>4027/4028</v>
      </c>
      <c r="L132" s="21" t="str">
        <f>VLOOKUP(A132,'Trips&amp;Operators'!$C$1:$G$99999,5,FALSE)</f>
        <v>PERKINS DARREN</v>
      </c>
      <c r="M132" s="6">
        <f t="shared" si="28"/>
        <v>2.6099537033587694E-2</v>
      </c>
      <c r="N132" s="7">
        <f t="shared" si="46"/>
        <v>37.58333332836628</v>
      </c>
      <c r="O132" s="7"/>
      <c r="P132" s="7"/>
      <c r="Q132" s="22"/>
      <c r="R132" s="170"/>
      <c r="S132" s="213">
        <f t="shared" si="44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-01T18:05:05-0600',mode:absolute,to:'2017-07-01T20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32"/>
        <v>23.299399999999999</v>
      </c>
      <c r="Z132" s="197">
        <f t="shared" si="33"/>
        <v>1.4500000000000001E-2</v>
      </c>
      <c r="AA132" s="197">
        <f t="shared" si="34"/>
        <v>23.284899999999997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218</v>
      </c>
      <c r="AE132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32" s="74" t="str">
        <f t="shared" si="37"/>
        <v>"C:\Program Files (x86)\AstroGrep\AstroGrep.exe" /e /r /s /spath="%USERPROFILE%\AppData\Local\Temp\OnboardLogs" /stypes="app*4027*20170702*"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218-01 --locoid 4027 --swversion DE.1.0.9.0 --startMP 204:232994 --initTime 2017-07-01T19:05:05 --startdatetime 2017-07-01T19:12:24 --delay 1 --endMP 204:145 --enddatetime 2017-07-01T19:49:59 --enforcementcount 0 &gt;&gt;C:\Users\stu\Documents\GitHub\eaglep3-reporting\EC\2017-07-01-refined-times.txt</v>
      </c>
      <c r="AI13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ID","value":"218-01"},{"id":16,"name":"Locomotive ID","value":"4027"},{"id":130,"name":"Impact","value":""},{"id":150,"name":"Time of Event (Mountain Time)","value":"19:49:59"},{"id":151,"name":"Denver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4027 --day 2017-07-01</v>
      </c>
      <c r="AN132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835</v>
      </c>
      <c r="B133" s="7">
        <v>4014</v>
      </c>
      <c r="C133" s="21" t="s">
        <v>202</v>
      </c>
      <c r="D133" s="21" t="s">
        <v>897</v>
      </c>
      <c r="E133" s="13">
        <v>42917.767453703702</v>
      </c>
      <c r="F133" s="13">
        <v>42917.771493055552</v>
      </c>
      <c r="G133" s="7">
        <v>1</v>
      </c>
      <c r="H133" s="21" t="s">
        <v>601</v>
      </c>
      <c r="I133" s="13">
        <v>42917.796446759261</v>
      </c>
      <c r="J133" s="7">
        <v>0</v>
      </c>
      <c r="K133" s="89" t="str">
        <f t="shared" si="27"/>
        <v>4013/4014</v>
      </c>
      <c r="L133" s="21" t="str">
        <f>VLOOKUP(A133,'Trips&amp;Operators'!$C$1:$G$99999,5,FALSE)</f>
        <v>FORTUNATO FRANK</v>
      </c>
      <c r="M133" s="6">
        <f t="shared" si="28"/>
        <v>2.4953703708888497E-2</v>
      </c>
      <c r="N133" s="7">
        <f t="shared" si="46"/>
        <v>35.933333340799436</v>
      </c>
      <c r="O133" s="7"/>
      <c r="P133" s="7"/>
      <c r="Q133" s="22"/>
      <c r="R133" s="170"/>
      <c r="S133" s="213">
        <f t="shared" si="44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-01T17:25:08-0600',mode:absolute,to:'2017-07-01T20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32"/>
        <v>4.3299999999999998E-2</v>
      </c>
      <c r="Z133" s="197">
        <f t="shared" si="33"/>
        <v>23.332100000000001</v>
      </c>
      <c r="AA133" s="197">
        <f t="shared" si="34"/>
        <v>23.288800000000002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219</v>
      </c>
      <c r="AE133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33" s="74" t="str">
        <f t="shared" si="37"/>
        <v>"C:\Program Files (x86)\AstroGrep\AstroGrep.exe" /e /r /s /spath="%USERPROFILE%\AppData\Local\Temp\OnboardLogs" /stypes="app*4014*20170702*"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219-01 --locoid 4014 --swversion DE.1.0.9.0 --startMP 204:433 --initTime 2017-07-01T18:25:08 --startdatetime 2017-07-01T18:30:57 --delay 1 --endMP 204:233321 --enddatetime 2017-07-01T19:06:53 --enforcementcount 0 &gt;&gt;C:\Users\stu\Documents\GitHub\eaglep3-reporting\EC\2017-07-01-refined-times.txt</v>
      </c>
      <c r="AI13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{"issue":{"subject":"","project_id":79,"tracker_id":40,"status_id":1,"priority_id":2,"assigned_to_id":23,"start_date":"2017-07-01","description":"","custom_fields":[{"id":1,"name":"Subdivision","value":"EC"},{"id":4,"name":"Milepost","value":"23.3321"},{"id":17,"name":"Train ID","value":"219-01"},{"id":16,"name":"Locomotive ID","value":"4014"},{"id":130,"name":"Impact","value":""},{"id":150,"name":"Time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4014 --day 2017-07-01</v>
      </c>
      <c r="AN133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667</v>
      </c>
      <c r="B134" s="7">
        <v>4013</v>
      </c>
      <c r="C134" s="21" t="s">
        <v>202</v>
      </c>
      <c r="D134" s="21" t="s">
        <v>547</v>
      </c>
      <c r="E134" s="13">
        <v>42917.80091435185</v>
      </c>
      <c r="F134" s="13">
        <v>42917.81144675926</v>
      </c>
      <c r="G134" s="7">
        <v>1</v>
      </c>
      <c r="H134" s="21" t="s">
        <v>615</v>
      </c>
      <c r="I134" s="13">
        <v>42917.838460648149</v>
      </c>
      <c r="J134" s="7">
        <v>0</v>
      </c>
      <c r="K134" s="89" t="str">
        <f t="shared" si="27"/>
        <v>4013/4014</v>
      </c>
      <c r="L134" s="21" t="str">
        <f>VLOOKUP(A134,'Trips&amp;Operators'!$C$1:$G$99999,5,FALSE)</f>
        <v>FORTUNATO FRANK</v>
      </c>
      <c r="M134" s="6">
        <f t="shared" si="28"/>
        <v>2.7013888888177462E-2</v>
      </c>
      <c r="N134" s="7">
        <f t="shared" si="46"/>
        <v>38.899999998975545</v>
      </c>
      <c r="O134" s="7"/>
      <c r="P134" s="7"/>
      <c r="Q134" s="22"/>
      <c r="R134" s="170"/>
      <c r="S134" s="213">
        <f t="shared" si="44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-01T18:13:19-0600',mode:absolute,to:'2017-07-01T21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32"/>
        <v>23.299800000000001</v>
      </c>
      <c r="Z134" s="197">
        <f t="shared" si="33"/>
        <v>1.2699999999999999E-2</v>
      </c>
      <c r="AA134" s="197">
        <f t="shared" si="34"/>
        <v>23.287100000000002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220</v>
      </c>
      <c r="AE134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34" s="74" t="str">
        <f t="shared" si="37"/>
        <v>"C:\Program Files (x86)\AstroGrep\AstroGrep.exe" /e /r /s /spath="%USERPROFILE%\AppData\Local\Temp\OnboardLogs" /stypes="app*4013*20170702*"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220-01 --locoid 4013 --swversion DE.1.0.9.0 --startMP 204:232998 --initTime 2017-07-01T19:13:19 --startdatetime 2017-07-01T19:28:29 --delay 1 --endMP 204:127 --enddatetime 2017-07-01T20:07:23 --enforcementcount 0 &gt;&gt;C:\Users\stu\Documents\GitHub\eaglep3-reporting\EC\2017-07-01-refined-times.txt</v>
      </c>
      <c r="AI13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{"issue":{"subject":"","project_id":79,"tracker_id":40,"status_id":1,"priority_id":2,"assigned_to_id":23,"start_date":"2017-07-01","description":"","custom_fields":[{"id":1,"name":"Subdivision","value":"EC"},{"id":4,"name":"Milepost","value":"0.0127"},{"id":17,"name":"Train ID","value":"220-01"},{"id":16,"name":"Locomotive ID","value":"4013"},{"id":130,"name":"Impact","value":""},{"id":150,"name":"Time of Event (Mountain Time)","value":"20:07:23"},{"id":151,"name":"Denver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4013 --day 2017-07-01</v>
      </c>
      <c r="AN134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839</v>
      </c>
      <c r="B135" s="7">
        <v>4008</v>
      </c>
      <c r="C135" s="21" t="s">
        <v>202</v>
      </c>
      <c r="D135" s="21" t="s">
        <v>391</v>
      </c>
      <c r="E135" s="13">
        <v>42917.787222222221</v>
      </c>
      <c r="F135" s="13">
        <v>42917.792256944442</v>
      </c>
      <c r="G135" s="7">
        <v>3</v>
      </c>
      <c r="H135" s="21" t="s">
        <v>488</v>
      </c>
      <c r="I135" s="13">
        <v>42917.816736111112</v>
      </c>
      <c r="J135" s="7">
        <v>0</v>
      </c>
      <c r="K135" s="89" t="str">
        <f t="shared" si="27"/>
        <v>4007/4008</v>
      </c>
      <c r="L135" s="21" t="str">
        <f>VLOOKUP(A135,'Trips&amp;Operators'!$C$1:$G$99999,5,FALSE)</f>
        <v>LAMAR NEKESHA</v>
      </c>
      <c r="M135" s="6">
        <f t="shared" si="28"/>
        <v>2.4479166670062114E-2</v>
      </c>
      <c r="N135" s="7">
        <f t="shared" si="46"/>
        <v>35.250000004889444</v>
      </c>
      <c r="O135" s="7"/>
      <c r="P135" s="7"/>
      <c r="Q135" s="22"/>
      <c r="R135" s="170"/>
      <c r="S135" s="213">
        <f t="shared" ref="S135:S166" si="47">SUM(U135:U135)/IF(AG135="EC",12,1)</f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-01T17:53:36-0600',mode:absolute,to:'2017-07-01T20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32"/>
        <v>4.6199999999999998E-2</v>
      </c>
      <c r="Z135" s="197">
        <f t="shared" si="33"/>
        <v>23.328900000000001</v>
      </c>
      <c r="AA135" s="197">
        <f t="shared" si="34"/>
        <v>23.282700000000002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221</v>
      </c>
      <c r="AE135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35" s="74" t="str">
        <f t="shared" si="37"/>
        <v>"C:\Program Files (x86)\AstroGrep\AstroGrep.exe" /e /r /s /spath="%USERPROFILE%\AppData\Local\Temp\OnboardLogs" /stypes="app*4008*20170702*"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221-01 --locoid 4008 --swversion DE.1.0.9.0 --startMP 204:462 --initTime 2017-07-01T18:53:36 --startdatetime 2017-07-01T19:00:51 --delay 3 --endMP 204:233289 --enddatetime 2017-07-01T19:36:06 --enforcementcount 0 &gt;&gt;C:\Users\stu\Documents\GitHub\eaglep3-reporting\EC\2017-07-01-refined-times.txt</v>
      </c>
      <c r="AI13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{"issue":{"subject":"","project_id":79,"tracker_id":40,"status_id":1,"priority_id":2,"assigned_to_id":23,"start_date":"2017-07-01","description":"","custom_fields":[{"id":1,"name":"Subdivision","value":"EC"},{"id":4,"name":"Milepost","value":"23.3289"},{"id":17,"name":"Train ID","value":"221-01"},{"id":16,"name":"Locomotive ID","value":"4008"},{"id":130,"name":"Impact","value":""},{"id":150,"name":"Time of Event (Mountain Time)","value":"19:36:06"},{"id":151,"name":"Denver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4008 --day 2017-07-01</v>
      </c>
      <c r="AN135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847</v>
      </c>
      <c r="B136" s="7">
        <v>4007</v>
      </c>
      <c r="C136" s="21" t="s">
        <v>202</v>
      </c>
      <c r="D136" s="21" t="s">
        <v>441</v>
      </c>
      <c r="E136" s="13">
        <v>42917.828206018516</v>
      </c>
      <c r="F136" s="13">
        <v>42917.831423611111</v>
      </c>
      <c r="G136" s="7">
        <v>2</v>
      </c>
      <c r="H136" s="21" t="s">
        <v>349</v>
      </c>
      <c r="I136" s="13">
        <v>42917.858159722222</v>
      </c>
      <c r="J136" s="7">
        <v>0</v>
      </c>
      <c r="K136" s="89" t="str">
        <f t="shared" si="27"/>
        <v>4007/4008</v>
      </c>
      <c r="L136" s="21" t="str">
        <f>VLOOKUP(A136,'Trips&amp;Operators'!$C$1:$G$99999,5,FALSE)</f>
        <v>LAMAR NEKESHA</v>
      </c>
      <c r="M136" s="6">
        <f t="shared" si="28"/>
        <v>2.6736111110949423E-2</v>
      </c>
      <c r="N136" s="7">
        <f t="shared" si="46"/>
        <v>38.499999999767169</v>
      </c>
      <c r="O136" s="7"/>
      <c r="P136" s="7"/>
      <c r="Q136" s="22"/>
      <c r="R136" s="170"/>
      <c r="S136" s="213">
        <f t="shared" si="47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-01T18:52:37-0600',mode:absolute,to:'2017-07-01T21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32"/>
        <v>23.2971</v>
      </c>
      <c r="Z136" s="197">
        <f t="shared" si="33"/>
        <v>1.49E-2</v>
      </c>
      <c r="AA136" s="197">
        <f t="shared" si="34"/>
        <v>23.2822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222</v>
      </c>
      <c r="AE136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36" s="74" t="str">
        <f t="shared" si="37"/>
        <v>"C:\Program Files (x86)\AstroGrep\AstroGrep.exe" /e /r /s /spath="%USERPROFILE%\AppData\Local\Temp\OnboardLogs" /stypes="app*4007*20170702*"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222-01 --locoid 4007 --swversion DE.1.0.9.0 --startMP 204:232971 --initTime 2017-07-01T19:52:37 --startdatetime 2017-07-01T19:57:15 --delay 2 --endMP 204:149 --enddatetime 2017-07-01T20:35:45 --enforcementcount 0 &gt;&gt;C:\Users\stu\Documents\GitHub\eaglep3-reporting\EC\2017-07-01-refined-times.txt</v>
      </c>
      <c r="AI13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{"issue":{"subject":"","project_id":79,"tracker_id":40,"status_id":1,"priority_id":2,"assigned_to_id":23,"start_date":"2017-07-01","description":"","custom_fields":[{"id":1,"name":"Subdivision","value":"EC"},{"id":4,"name":"Milepost","value":"0.0149"},{"id":17,"name":"Train ID","value":"222-01"},{"id":16,"name":"Locomotive ID","value":"4007"},{"id":130,"name":"Impact","value":""},{"id":150,"name":"Time of Event (Mountain Time)","value":"20:35:45"},{"id":151,"name":"Denver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4007 --day 2017-07-01</v>
      </c>
      <c r="AN136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844</v>
      </c>
      <c r="B137" s="7">
        <v>4018</v>
      </c>
      <c r="C137" s="21" t="s">
        <v>202</v>
      </c>
      <c r="D137" s="21" t="s">
        <v>352</v>
      </c>
      <c r="E137" s="13">
        <v>42917.808379629627</v>
      </c>
      <c r="F137" s="13">
        <v>42917.813032407408</v>
      </c>
      <c r="G137" s="7">
        <v>1</v>
      </c>
      <c r="H137" s="21" t="s">
        <v>487</v>
      </c>
      <c r="I137" s="13">
        <v>42917.838530092595</v>
      </c>
      <c r="J137" s="7">
        <v>0</v>
      </c>
      <c r="K137" s="89" t="str">
        <f t="shared" si="27"/>
        <v>4017/4018</v>
      </c>
      <c r="L137" s="21" t="str">
        <f>VLOOKUP(A137,'Trips&amp;Operators'!$C$1:$G$99999,5,FALSE)</f>
        <v>YANG JAN</v>
      </c>
      <c r="M137" s="6">
        <f t="shared" si="28"/>
        <v>2.5497685186564922E-2</v>
      </c>
      <c r="N137" s="7">
        <f t="shared" si="46"/>
        <v>36.716666668653488</v>
      </c>
      <c r="O137" s="7"/>
      <c r="P137" s="7"/>
      <c r="Q137" s="22"/>
      <c r="R137" s="170"/>
      <c r="S137" s="213">
        <f t="shared" si="47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-01T18:24:04-0600',mode:absolute,to:'2017-07-01T21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32"/>
        <v>4.5100000000000001E-2</v>
      </c>
      <c r="Z137" s="197">
        <f t="shared" si="33"/>
        <v>23.332899999999999</v>
      </c>
      <c r="AA137" s="197">
        <f t="shared" si="34"/>
        <v>23.287799999999997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223</v>
      </c>
      <c r="AE137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37" s="74" t="str">
        <f t="shared" si="37"/>
        <v>"C:\Program Files (x86)\AstroGrep\AstroGrep.exe" /e /r /s /spath="%USERPROFILE%\AppData\Local\Temp\OnboardLogs" /stypes="app*4018*20170702*"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223-01 --locoid 4018 --swversion DE.1.0.9.0 --startMP 204:451 --initTime 2017-07-01T19:24:04 --startdatetime 2017-07-01T19:30:46 --delay 1 --endMP 204:233329 --enddatetime 2017-07-01T20:07:29 --enforcementcount 0 &gt;&gt;C:\Users\stu\Documents\GitHub\eaglep3-reporting\EC\2017-07-01-refined-times.txt</v>
      </c>
      <c r="AI13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{"issue":{"subject":"","project_id":79,"tracker_id":40,"status_id":1,"priority_id":2,"assigned_to_id":23,"start_date":"2017-07-01","description":"","custom_fields":[{"id":1,"name":"Subdivision","value":"EC"},{"id":4,"name":"Milepost","value":"23.3329"},{"id":17,"name":"Train ID","value":"223-01"},{"id":16,"name":"Locomotive ID","value":"4018"},{"id":130,"name":"Impact","value":""},{"id":150,"name":"Time of Event (Mountain Time)","value":"20:07:29"},{"id":151,"name":"Denver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4018 --day 2017-07-01</v>
      </c>
      <c r="AN137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850</v>
      </c>
      <c r="B138" s="7">
        <v>4017</v>
      </c>
      <c r="C138" s="21" t="s">
        <v>202</v>
      </c>
      <c r="D138" s="21" t="s">
        <v>885</v>
      </c>
      <c r="E138" s="13">
        <v>42917.847893518519</v>
      </c>
      <c r="F138" s="13">
        <v>42917.852384259262</v>
      </c>
      <c r="G138" s="7">
        <v>1</v>
      </c>
      <c r="H138" s="21" t="s">
        <v>349</v>
      </c>
      <c r="I138" s="13">
        <v>42917.878657407404</v>
      </c>
      <c r="J138" s="7">
        <v>0</v>
      </c>
      <c r="K138" s="89" t="str">
        <f t="shared" si="27"/>
        <v>4017/4018</v>
      </c>
      <c r="L138" s="21" t="str">
        <f>VLOOKUP(A138,'Trips&amp;Operators'!$C$1:$G$99999,5,FALSE)</f>
        <v>YANG JAN</v>
      </c>
      <c r="M138" s="6">
        <f t="shared" si="28"/>
        <v>2.6273148141626734E-2</v>
      </c>
      <c r="N138" s="7">
        <f t="shared" si="46"/>
        <v>37.833333323942497</v>
      </c>
      <c r="O138" s="7"/>
      <c r="P138" s="7"/>
      <c r="Q138" s="22"/>
      <c r="R138" s="170"/>
      <c r="S138" s="213">
        <f t="shared" si="47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-01T19:20:58-0600',mode:absolute,to:'2017-07-01T22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32"/>
        <v>23.302299999999999</v>
      </c>
      <c r="Z138" s="197">
        <f t="shared" si="33"/>
        <v>1.49E-2</v>
      </c>
      <c r="AA138" s="197">
        <f t="shared" si="34"/>
        <v>23.287399999999998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224</v>
      </c>
      <c r="AE138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38" s="74" t="str">
        <f t="shared" si="37"/>
        <v>"C:\Program Files (x86)\AstroGrep\AstroGrep.exe" /e /r /s /spath="%USERPROFILE%\AppData\Local\Temp\OnboardLogs" /stypes="app*4017*20170702*"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224-01 --locoid 4017 --swversion DE.1.0.9.0 --startMP 204:233023 --initTime 2017-07-01T20:20:58 --startdatetime 2017-07-01T20:27:26 --delay 1 --endMP 204:149 --enddatetime 2017-07-01T21:05:16 --enforcementcount 0 &gt;&gt;C:\Users\stu\Documents\GitHub\eaglep3-reporting\EC\2017-07-01-refined-times.txt</v>
      </c>
      <c r="AI13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{"issue":{"subject":"","project_id":79,"tracker_id":40,"status_id":1,"priority_id":2,"assigned_to_id":23,"start_date":"2017-07-01","description":"","custom_fields":[{"id":1,"name":"Subdivision","value":"EC"},{"id":4,"name":"Milepost","value":"0.0149"},{"id":17,"name":"Train ID","value":"224-01"},{"id":16,"name":"Locomotive ID","value":"4017"},{"id":130,"name":"Impact","value":""},{"id":150,"name":"Time of Event (Mountain Time)","value":"21:05:16"},{"id":151,"name":"Denver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4017 --day 2017-07-01</v>
      </c>
      <c r="AN138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668</v>
      </c>
      <c r="B139" s="7">
        <v>4028</v>
      </c>
      <c r="C139" s="21" t="s">
        <v>202</v>
      </c>
      <c r="D139" s="21" t="s">
        <v>544</v>
      </c>
      <c r="E139" s="13">
        <v>42917.828715277778</v>
      </c>
      <c r="F139" s="13">
        <v>42917.83384259259</v>
      </c>
      <c r="G139" s="7">
        <v>1</v>
      </c>
      <c r="H139" s="21" t="s">
        <v>983</v>
      </c>
      <c r="I139" s="13">
        <v>42917.858020833337</v>
      </c>
      <c r="J139" s="7">
        <v>0</v>
      </c>
      <c r="K139" s="89" t="str">
        <f t="shared" si="27"/>
        <v>4027/4028</v>
      </c>
      <c r="L139" s="21" t="str">
        <f>VLOOKUP(A139,'Trips&amp;Operators'!$C$1:$G$99999,5,FALSE)</f>
        <v>PERKINS DARREN</v>
      </c>
      <c r="M139" s="6">
        <f t="shared" si="28"/>
        <v>2.4178240746550728E-2</v>
      </c>
      <c r="N139" s="7">
        <f t="shared" si="46"/>
        <v>34.816666675033048</v>
      </c>
      <c r="O139" s="7"/>
      <c r="P139" s="7"/>
      <c r="Q139" s="22"/>
      <c r="R139" s="170"/>
      <c r="S139" s="213">
        <f t="shared" si="47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-01T18:53:21-0600',mode:absolute,to:'2017-07-01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7" t="str">
        <f>IF(AA139&lt;VLOOKUP(AG139,Variables!$AC$3:$AD$8,2,FALSE),"Y","N")</f>
        <v>N</v>
      </c>
      <c r="X139" s="197">
        <f t="shared" si="45"/>
        <v>1</v>
      </c>
      <c r="Y139" s="197">
        <f t="shared" si="32"/>
        <v>4.3499999999999997E-2</v>
      </c>
      <c r="Z139" s="197">
        <f t="shared" si="33"/>
        <v>23.331099999999999</v>
      </c>
      <c r="AA139" s="197">
        <f t="shared" si="34"/>
        <v>23.287599999999998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225</v>
      </c>
      <c r="AE139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39" s="74" t="str">
        <f t="shared" si="37"/>
        <v>"C:\Program Files (x86)\AstroGrep\AstroGrep.exe" /e /r /s /spath="%USERPROFILE%\AppData\Local\Temp\OnboardLogs" /stypes="app*4028*20170702*"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225-01 --locoid 4028 --swversion DE.1.0.9.0 --startMP 204:435 --initTime 2017-07-01T19:53:21 --startdatetime 2017-07-01T20:00:44 --delay 1 --endMP 204:233311 --enddatetime 2017-07-01T20:35:33 --enforcementcount 0 &gt;&gt;C:\Users\stu\Documents\GitHub\eaglep3-reporting\EC\2017-07-01-refined-times.txt</v>
      </c>
      <c r="AI13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{"issue":{"subject":"","project_id":79,"tracker_id":40,"status_id":1,"priority_id":2,"assigned_to_id":23,"start_date":"2017-07-01","description":"","custom_fields":[{"id":1,"name":"Subdivision","value":"EC"},{"id":4,"name":"Milepost","value":"23.3311"},{"id":17,"name":"Train ID","value":"225-01"},{"id":16,"name":"Locomotive ID","value":"4028"},{"id":130,"name":"Impact","value":""},{"id":150,"name":"Time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4028 --day 2017-07-01</v>
      </c>
      <c r="AN139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852</v>
      </c>
      <c r="B140" s="7">
        <v>4027</v>
      </c>
      <c r="C140" s="21" t="s">
        <v>202</v>
      </c>
      <c r="D140" s="21" t="s">
        <v>541</v>
      </c>
      <c r="E140" s="13">
        <v>42917.864328703705</v>
      </c>
      <c r="F140" s="13">
        <v>42917.873113425929</v>
      </c>
      <c r="G140" s="7">
        <v>1</v>
      </c>
      <c r="H140" s="21" t="s">
        <v>358</v>
      </c>
      <c r="I140" s="13">
        <v>42917.899548611109</v>
      </c>
      <c r="J140" s="7">
        <v>0</v>
      </c>
      <c r="K140" s="89" t="str">
        <f t="shared" si="27"/>
        <v>4027/4028</v>
      </c>
      <c r="L140" s="21" t="str">
        <f>VLOOKUP(A140,'Trips&amp;Operators'!$C$1:$G$99999,5,FALSE)</f>
        <v>PERKINS DARREN</v>
      </c>
      <c r="M140" s="6">
        <f t="shared" si="28"/>
        <v>2.643518518016208E-2</v>
      </c>
      <c r="N140" s="7">
        <f t="shared" si="46"/>
        <v>38.066666659433395</v>
      </c>
      <c r="O140" s="7"/>
      <c r="P140" s="7"/>
      <c r="Q140" s="22"/>
      <c r="R140" s="170"/>
      <c r="S140" s="213">
        <f t="shared" si="47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-01T19:44:38-0600',mode:absolute,to:'2017-07-01T22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32"/>
        <v>23.299199999999999</v>
      </c>
      <c r="Z140" s="197">
        <f t="shared" si="33"/>
        <v>1.41E-2</v>
      </c>
      <c r="AA140" s="197">
        <f t="shared" si="34"/>
        <v>23.2851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226</v>
      </c>
      <c r="AE140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40" s="74" t="str">
        <f t="shared" si="37"/>
        <v>"C:\Program Files (x86)\AstroGrep\AstroGrep.exe" /e /r /s /spath="%USERPROFILE%\AppData\Local\Temp\OnboardLogs" /stypes="app*4027*20170702*"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226-01 --locoid 4027 --swversion DE.1.0.9.0 --startMP 204:232992 --initTime 2017-07-01T20:44:38 --startdatetime 2017-07-01T20:57:17 --delay 1 --endMP 204:141 --enddatetime 2017-07-01T21:35:21 --enforcementcount 0 &gt;&gt;C:\Users\stu\Documents\GitHub\eaglep3-reporting\EC\2017-07-01-refined-times.txt</v>
      </c>
      <c r="AI14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ID","value":"226-01"},{"id":16,"name":"Locomotive ID","value":"4027"},{"id":130,"name":"Impact","value":""},{"id":150,"name":"Time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4027 --day 2017-07-01</v>
      </c>
      <c r="AN140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849</v>
      </c>
      <c r="B141" s="7">
        <v>4014</v>
      </c>
      <c r="C141" s="21" t="s">
        <v>202</v>
      </c>
      <c r="D141" s="21" t="s">
        <v>897</v>
      </c>
      <c r="E141" s="13">
        <v>42917.842557870368</v>
      </c>
      <c r="F141" s="13">
        <v>42917.85465277778</v>
      </c>
      <c r="G141" s="7">
        <v>1</v>
      </c>
      <c r="H141" s="21" t="s">
        <v>473</v>
      </c>
      <c r="I141" s="13">
        <v>42917.880011574074</v>
      </c>
      <c r="J141" s="7">
        <v>0</v>
      </c>
      <c r="K141" s="89" t="str">
        <f t="shared" ref="K141:K204" si="48">IF(ISEVEN(B141),(B141-1)&amp;"/"&amp;B141,B141&amp;"/"&amp;(B141+1))</f>
        <v>4013/4014</v>
      </c>
      <c r="L141" s="21" t="str">
        <f>VLOOKUP(A141,'Trips&amp;Operators'!$C$1:$G$99999,5,FALSE)</f>
        <v>FORTUNATO FRANK</v>
      </c>
      <c r="M141" s="6">
        <f t="shared" ref="M141:M204" si="49">I141-F141</f>
        <v>2.5358796294312924E-2</v>
      </c>
      <c r="N141" s="7">
        <f t="shared" si="46"/>
        <v>36.516666663810611</v>
      </c>
      <c r="O141" s="7"/>
      <c r="P141" s="7"/>
      <c r="Q141" s="22"/>
      <c r="R141" s="170"/>
      <c r="S141" s="213">
        <f t="shared" si="47"/>
        <v>1</v>
      </c>
      <c r="T141" s="195" t="str">
        <f t="shared" ref="T141:T204" si="50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-01T19:13:17-0600',mode:absolute,to:'2017-07-01T22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1" s="197" t="str">
        <f>IF(AA141&lt;VLOOKUP(AG141,Variables!$AC$3:$AD$8,2,FALSE),"Y","N")</f>
        <v>N</v>
      </c>
      <c r="X141" s="197">
        <f t="shared" ref="X141:X158" si="52">VALUE(LEFT(AD141,4))-VALUE(LEFT(AD140,4))</f>
        <v>1</v>
      </c>
      <c r="Y141" s="197">
        <f t="shared" ref="Y141:Y204" si="53">RIGHT(D141,LEN(D141)-4)/10000</f>
        <v>4.3299999999999998E-2</v>
      </c>
      <c r="Z141" s="197">
        <f t="shared" ref="Z141:Z204" si="54">RIGHT(H141,LEN(H141)-4)/10000</f>
        <v>23.3308</v>
      </c>
      <c r="AA141" s="197">
        <f t="shared" ref="AA141:AA204" si="55">ABS(Z141-Y141)</f>
        <v>23.287500000000001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6">VALUE(LEFT(A141,LEN(A141)-3))</f>
        <v>227</v>
      </c>
      <c r="AE141" s="77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41" s="74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/stypes="app*4014*20170702*"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9">DetSubdiv(A141)</f>
        <v>EC</v>
      </c>
      <c r="AH141" s="78" t="str">
        <f t="shared" si="39"/>
        <v>"%USERPROFILE%\Documents\GitHub\eaglep3\Utilities\RefineRTDCRunTimes.py" --tripid 227-01 --locoid 4014 --swversion DE.1.0.9.0 --startMP 204:433 --initTime 2017-07-01T20:13:17 --startdatetime 2017-07-01T20:30:42 --delay 1 --endMP 204:233308 --enddatetime 2017-07-01T21:07:13 --enforcementcount 0 &gt;&gt;C:\Users\stu\Documents\GitHub\eaglep3-reporting\EC\2017-07-01-refined-times.txt</v>
      </c>
      <c r="AI14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{"issue":{"subject":"","project_id":79,"tracker_id":40,"status_id":1,"priority_id":2,"assigned_to_id":23,"start_date":"2017-07-01","description":"","custom_fields":[{"id":1,"name":"Subdivision","value":"EC"},{"id":4,"name":"Milepost","value":"23.3308"},{"id":17,"name":"Train ID","value":"227-01"},{"id":16,"name":"Locomotive ID","value":"4014"},{"id":130,"name":"Impact","value":""},{"id":150,"name":"Time of Event (Mountain Time)","value":"21:07:13"},{"id":151,"name":"Denver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4014 --day 2017-07-01</v>
      </c>
      <c r="AN141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855</v>
      </c>
      <c r="B142" s="7">
        <v>4013</v>
      </c>
      <c r="C142" s="21" t="s">
        <v>202</v>
      </c>
      <c r="D142" s="21" t="s">
        <v>987</v>
      </c>
      <c r="E142" s="13">
        <v>42917.885868055557</v>
      </c>
      <c r="F142" s="13">
        <v>42917.893923611111</v>
      </c>
      <c r="G142" s="7">
        <v>1</v>
      </c>
      <c r="H142" s="21" t="s">
        <v>356</v>
      </c>
      <c r="I142" s="13">
        <v>42917.921412037038</v>
      </c>
      <c r="J142" s="7">
        <v>0</v>
      </c>
      <c r="K142" s="89" t="str">
        <f t="shared" si="48"/>
        <v>4013/4014</v>
      </c>
      <c r="L142" s="21" t="str">
        <f>VLOOKUP(A142,'Trips&amp;Operators'!$C$1:$G$99999,5,FALSE)</f>
        <v>FORTUNATO FRANK</v>
      </c>
      <c r="M142" s="6">
        <f t="shared" si="49"/>
        <v>2.7488425927003846E-2</v>
      </c>
      <c r="N142" s="7">
        <f t="shared" si="46"/>
        <v>39.583333334885538</v>
      </c>
      <c r="O142" s="7"/>
      <c r="P142" s="7"/>
      <c r="Q142" s="22"/>
      <c r="R142" s="170"/>
      <c r="S142" s="213">
        <f t="shared" si="47"/>
        <v>1</v>
      </c>
      <c r="T142" s="195" t="str">
        <f t="shared" si="50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1"/>
        <v>https://d0f6bd738d7f1b3e5a7ca70fe4ff75f0.us-east-1.aws.found.io/app/kibana#/discover/Steve-Slow-Train-Analysis-(2080s-and-2083s)?_g=(refreshInterval:(display:Off,pause:!f,section:0,value:0),time:(from:'2017-07-01T20:15:39-0600',mode:absolute,to:'2017-07-01T23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2" s="197" t="str">
        <f>IF(AA142&lt;VLOOKUP(AG142,Variables!$AC$3:$AD$8,2,FALSE),"Y","N")</f>
        <v>N</v>
      </c>
      <c r="X142" s="197">
        <f t="shared" si="52"/>
        <v>1</v>
      </c>
      <c r="Y142" s="197">
        <f t="shared" si="53"/>
        <v>23.3002</v>
      </c>
      <c r="Z142" s="197">
        <f t="shared" si="54"/>
        <v>1.3899999999999999E-2</v>
      </c>
      <c r="AA142" s="197">
        <f t="shared" si="55"/>
        <v>23.286300000000001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6"/>
        <v>228</v>
      </c>
      <c r="AE142" s="77" t="str">
        <f t="shared" si="57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42" s="74" t="str">
        <f t="shared" si="58"/>
        <v>"C:\Program Files (x86)\AstroGrep\AstroGrep.exe" /e /r /s /spath="%USERPROFILE%\AppData\Local\Temp\OnboardLogs" /stypes="app*4013*20170702*" /stext=" 04:.+((SYSTEM_STATE.+slice.+state.+changed )|(ment ac)|(multiple cpu faults)|(system.+state.+changed )|(\[timeout)|(PRM\|1\|D)|(kpr)|(kdp)|(train st.+moving)|(\|lc)|(penalty))"</v>
      </c>
      <c r="AG142" s="209" t="str">
        <f t="shared" si="59"/>
        <v>EC</v>
      </c>
      <c r="AH142" s="78" t="str">
        <f t="shared" ref="AH142:AH204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228-01 --locoid 4013 --swversion DE.1.0.9.0 --startMP 204:233002 --initTime 2017-07-01T21:15:39 --startdatetime 2017-07-01T21:27:15 --delay 1 --endMP 204:139 --enddatetime 2017-07-01T22:06:50 --enforcementcount 0 &gt;&gt;C:\Users\stu\Documents\GitHub\eaglep3-reporting\EC\2017-07-01-refined-times.txt</v>
      </c>
      <c r="AI142" s="96" t="str">
        <f t="shared" ref="AI142:AI204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{"issue":{"subject":"","project_id":79,"tracker_id":40,"status_id":1,"priority_id":2,"assigned_to_id":23,"start_date":"2017-07-01","description":"","custom_fields":[{"id":1,"name":"Subdivision","value":"EC"},{"id":4,"name":"Milepost","value":"0.0139"},{"id":17,"name":"Train ID","value":"228-01"},{"id":16,"name":"Locomotive ID","value":"4013"},{"id":130,"name":"Impact","value":""},{"id":150,"name":"Time of Event (Mountain Time)","value":"22:06:50"},{"id":151,"name":"Denver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62">"start /low /b "&amp;dls3logs&amp;" --loco "&amp;B142&amp;" --day "&amp;TEXT(F142,"YYYY-MM-DD")</f>
        <v>start /low /b %USERPROFILE%\Documents\GitHub\eaglep3\Utilities\DownloadLogsFromS3.py --loco 4013 --day 2017-07-01</v>
      </c>
      <c r="AN142" s="151" t="str">
        <f t="shared" ref="AN142:AN204" si="6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853</v>
      </c>
      <c r="B143" s="7">
        <v>4008</v>
      </c>
      <c r="C143" s="21" t="s">
        <v>202</v>
      </c>
      <c r="D143" s="21" t="s">
        <v>620</v>
      </c>
      <c r="E143" s="13">
        <v>42917.870393518519</v>
      </c>
      <c r="F143" s="13">
        <v>42917.875497685185</v>
      </c>
      <c r="G143" s="7">
        <v>1</v>
      </c>
      <c r="H143" s="21" t="s">
        <v>988</v>
      </c>
      <c r="I143" s="13">
        <v>42917.900439814817</v>
      </c>
      <c r="J143" s="7">
        <v>0</v>
      </c>
      <c r="K143" s="89" t="str">
        <f t="shared" si="48"/>
        <v>4007/4008</v>
      </c>
      <c r="L143" s="21" t="str">
        <f>VLOOKUP(A143,'Trips&amp;Operators'!$C$1:$G$99999,5,FALSE)</f>
        <v>LAMAR NEKESHA</v>
      </c>
      <c r="M143" s="6">
        <f t="shared" si="49"/>
        <v>2.4942129632108845E-2</v>
      </c>
      <c r="N143" s="7">
        <f t="shared" si="46"/>
        <v>35.916666670236737</v>
      </c>
      <c r="O143" s="7"/>
      <c r="P143" s="7"/>
      <c r="Q143" s="22"/>
      <c r="R143" s="170"/>
      <c r="S143" s="213">
        <f t="shared" si="47"/>
        <v>1</v>
      </c>
      <c r="T143" s="195" t="str">
        <f t="shared" si="50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1"/>
        <v>https://d0f6bd738d7f1b3e5a7ca70fe4ff75f0.us-east-1.aws.found.io/app/kibana#/discover/Steve-Slow-Train-Analysis-(2080s-and-2083s)?_g=(refreshInterval:(display:Off,pause:!f,section:0,value:0),time:(from:'2017-07-01T19:53:22-0600',mode:absolute,to:'2017-07-01T22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97" t="str">
        <f>IF(AA143&lt;VLOOKUP(AG143,Variables!$AC$3:$AD$8,2,FALSE),"Y","N")</f>
        <v>N</v>
      </c>
      <c r="X143" s="197">
        <f t="shared" si="52"/>
        <v>1</v>
      </c>
      <c r="Y143" s="197">
        <f t="shared" si="53"/>
        <v>4.7100000000000003E-2</v>
      </c>
      <c r="Z143" s="197">
        <f t="shared" si="54"/>
        <v>23.325500000000002</v>
      </c>
      <c r="AA143" s="197">
        <f t="shared" si="55"/>
        <v>23.278400000000001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6"/>
        <v>229</v>
      </c>
      <c r="AE143" s="77" t="str">
        <f t="shared" si="57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43" s="74" t="str">
        <f t="shared" si="58"/>
        <v>"C:\Program Files (x86)\AstroGrep\AstroGrep.exe" /e /r /s /spath="%USERPROFILE%\AppData\Local\Temp\OnboardLogs" /stypes="app*4008*20170702*" /stext=" 03:.+((SYSTEM_STATE.+slice.+state.+changed )|(ment ac)|(multiple cpu faults)|(system.+state.+changed )|(\[timeout)|(PRM\|1\|D)|(kpr)|(kdp)|(train st.+moving)|(\|lc)|(penalty))"</v>
      </c>
      <c r="AG143" s="209" t="str">
        <f t="shared" si="59"/>
        <v>EC</v>
      </c>
      <c r="AH143" s="78" t="str">
        <f t="shared" si="60"/>
        <v>"%USERPROFILE%\Documents\GitHub\eaglep3\Utilities\RefineRTDCRunTimes.py" --tripid 229-01 --locoid 4008 --swversion DE.1.0.9.0 --startMP 204:471 --initTime 2017-07-01T20:53:22 --startdatetime 2017-07-01T21:00:43 --delay 1 --endMP 204:233255 --enddatetime 2017-07-01T21:36:38 --enforcementcount 0 &gt;&gt;C:\Users\stu\Documents\GitHub\eaglep3-reporting\EC\2017-07-01-refined-times.txt</v>
      </c>
      <c r="AI143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{"issue":{"subject":"","project_id":79,"tracker_id":40,"status_id":1,"priority_id":2,"assigned_to_id":23,"start_date":"2017-07-01","description":"","custom_fields":[{"id":1,"name":"Subdivision","value":"EC"},{"id":4,"name":"Milepost","value":"23.3255"},{"id":17,"name":"Train ID","value":"229-01"},{"id":16,"name":"Locomotive ID","value":"4008"},{"id":130,"name":"Impact","value":""},{"id":150,"name":"Time of Event (Mountain Time)","value":"21:36:38"},{"id":151,"name":"Denver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2"/>
        <v>start /low /b %USERPROFILE%\Documents\GitHub\eaglep3\Utilities\DownloadLogsFromS3.py --loco 4008 --day 2017-07-01</v>
      </c>
      <c r="AN143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859</v>
      </c>
      <c r="B144" s="7">
        <v>4007</v>
      </c>
      <c r="C144" s="21" t="s">
        <v>202</v>
      </c>
      <c r="D144" s="21" t="s">
        <v>489</v>
      </c>
      <c r="E144" s="13">
        <v>42917.910567129627</v>
      </c>
      <c r="F144" s="13">
        <v>42917.914965277778</v>
      </c>
      <c r="G144" s="7">
        <v>1</v>
      </c>
      <c r="H144" s="21" t="s">
        <v>359</v>
      </c>
      <c r="I144" s="13">
        <v>42917.94158564815</v>
      </c>
      <c r="J144" s="7">
        <v>0</v>
      </c>
      <c r="K144" s="89" t="str">
        <f t="shared" si="48"/>
        <v>4007/4008</v>
      </c>
      <c r="L144" s="21" t="str">
        <f>VLOOKUP(A144,'Trips&amp;Operators'!$C$1:$G$99999,5,FALSE)</f>
        <v>LAMAR NEKESHA</v>
      </c>
      <c r="M144" s="6">
        <f t="shared" si="49"/>
        <v>2.662037037225673E-2</v>
      </c>
      <c r="N144" s="7">
        <f t="shared" si="46"/>
        <v>38.333333336049691</v>
      </c>
      <c r="O144" s="7"/>
      <c r="P144" s="7"/>
      <c r="Q144" s="22"/>
      <c r="R144" s="170"/>
      <c r="S144" s="213">
        <f t="shared" si="47"/>
        <v>1</v>
      </c>
      <c r="T144" s="195" t="str">
        <f t="shared" si="50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1"/>
        <v>https://d0f6bd738d7f1b3e5a7ca70fe4ff75f0.us-east-1.aws.found.io/app/kibana#/discover/Steve-Slow-Train-Analysis-(2080s-and-2083s)?_g=(refreshInterval:(display:Off,pause:!f,section:0,value:0),time:(from:'2017-07-01T20:51:13-0600',mode:absolute,to:'2017-07-01T23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97" t="str">
        <f>IF(AA144&lt;VLOOKUP(AG144,Variables!$AC$3:$AD$8,2,FALSE),"Y","N")</f>
        <v>N</v>
      </c>
      <c r="X144" s="197">
        <f t="shared" si="52"/>
        <v>1</v>
      </c>
      <c r="Y144" s="197">
        <f t="shared" si="53"/>
        <v>23.2973</v>
      </c>
      <c r="Z144" s="197">
        <f t="shared" si="54"/>
        <v>1.47E-2</v>
      </c>
      <c r="AA144" s="197">
        <f t="shared" si="55"/>
        <v>23.282599999999999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6"/>
        <v>230</v>
      </c>
      <c r="AE144" s="77" t="str">
        <f t="shared" si="57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44" s="74" t="str">
        <f t="shared" si="58"/>
        <v>"C:\Program Files (x86)\AstroGrep\AstroGrep.exe" /e /r /s /spath="%USERPROFILE%\AppData\Local\Temp\OnboardLogs" /stypes="app*4007*20170702*" /stext=" 04:.+((SYSTEM_STATE.+slice.+state.+changed )|(ment ac)|(multiple cpu faults)|(system.+state.+changed )|(\[timeout)|(PRM\|1\|D)|(kpr)|(kdp)|(train st.+moving)|(\|lc)|(penalty))"</v>
      </c>
      <c r="AG144" s="209" t="str">
        <f t="shared" si="59"/>
        <v>EC</v>
      </c>
      <c r="AH144" s="78" t="str">
        <f t="shared" si="60"/>
        <v>"%USERPROFILE%\Documents\GitHub\eaglep3\Utilities\RefineRTDCRunTimes.py" --tripid 230-01 --locoid 4007 --swversion DE.1.0.9.0 --startMP 204:232973 --initTime 2017-07-01T21:51:13 --startdatetime 2017-07-01T21:57:33 --delay 1 --endMP 204:147 --enddatetime 2017-07-01T22:35:53 --enforcementcount 0 &gt;&gt;C:\Users\stu\Documents\GitHub\eaglep3-reporting\EC\2017-07-01-refined-times.txt</v>
      </c>
      <c r="AI144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ID","value":"230-01"},{"id":16,"name":"Locomotive ID","value":"4007"},{"id":130,"name":"Impact","value":""},{"id":150,"name":"Time of Event (Mountain Time)","value":"22:35:53"},{"id":151,"name":"Denver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2"/>
        <v>start /low /b %USERPROFILE%\Documents\GitHub\eaglep3\Utilities\DownloadLogsFromS3.py --loco 4007 --day 2017-07-01</v>
      </c>
      <c r="AN14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856</v>
      </c>
      <c r="B145" s="7">
        <v>4018</v>
      </c>
      <c r="C145" s="21" t="s">
        <v>202</v>
      </c>
      <c r="D145" s="21" t="s">
        <v>989</v>
      </c>
      <c r="E145" s="13">
        <v>42917.888842592591</v>
      </c>
      <c r="F145" s="13">
        <v>42917.896365740744</v>
      </c>
      <c r="G145" s="7">
        <v>1</v>
      </c>
      <c r="H145" s="21" t="s">
        <v>926</v>
      </c>
      <c r="I145" s="13">
        <v>42917.921805555554</v>
      </c>
      <c r="J145" s="7">
        <v>0</v>
      </c>
      <c r="K145" s="89" t="str">
        <f t="shared" si="48"/>
        <v>4017/4018</v>
      </c>
      <c r="L145" s="21" t="str">
        <f>VLOOKUP(A145,'Trips&amp;Operators'!$C$1:$G$99999,5,FALSE)</f>
        <v>YANG JAN</v>
      </c>
      <c r="M145" s="6">
        <f t="shared" si="49"/>
        <v>2.5439814809942618E-2</v>
      </c>
      <c r="N145" s="7">
        <f t="shared" si="46"/>
        <v>36.63333332631737</v>
      </c>
      <c r="O145" s="7"/>
      <c r="P145" s="7"/>
      <c r="Q145" s="22"/>
      <c r="R145" s="170"/>
      <c r="S145" s="213">
        <f t="shared" si="47"/>
        <v>1</v>
      </c>
      <c r="T145" s="195" t="str">
        <f t="shared" si="50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1"/>
        <v>https://d0f6bd738d7f1b3e5a7ca70fe4ff75f0.us-east-1.aws.found.io/app/kibana#/discover/Steve-Slow-Train-Analysis-(2080s-and-2083s)?_g=(refreshInterval:(display:Off,pause:!f,section:0,value:0),time:(from:'2017-07-01T20:19:56-0600',mode:absolute,to:'2017-07-01T23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97" t="str">
        <f>IF(AA145&lt;VLOOKUP(AG145,Variables!$AC$3:$AD$8,2,FALSE),"Y","N")</f>
        <v>N</v>
      </c>
      <c r="X145" s="197">
        <f t="shared" si="52"/>
        <v>1</v>
      </c>
      <c r="Y145" s="197">
        <f t="shared" si="53"/>
        <v>4.8000000000000001E-2</v>
      </c>
      <c r="Z145" s="197">
        <f t="shared" si="54"/>
        <v>23.330200000000001</v>
      </c>
      <c r="AA145" s="197">
        <f t="shared" si="55"/>
        <v>23.282200000000003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6"/>
        <v>231</v>
      </c>
      <c r="AE145" s="77" t="str">
        <f t="shared" si="57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45" s="74" t="str">
        <f t="shared" si="58"/>
        <v>"C:\Program Files (x86)\AstroGrep\AstroGrep.exe" /e /r /s /spath="%USERPROFILE%\AppData\Local\Temp\OnboardLogs" /stypes="app*4018*20170702*" /stext=" 04:.+((SYSTEM_STATE.+slice.+state.+changed )|(ment ac)|(multiple cpu faults)|(system.+state.+changed )|(\[timeout)|(PRM\|1\|D)|(kpr)|(kdp)|(train st.+moving)|(\|lc)|(penalty))"</v>
      </c>
      <c r="AG145" s="209" t="str">
        <f t="shared" si="59"/>
        <v>EC</v>
      </c>
      <c r="AH145" s="78" t="str">
        <f t="shared" si="60"/>
        <v>"%USERPROFILE%\Documents\GitHub\eaglep3\Utilities\RefineRTDCRunTimes.py" --tripid 231-01 --locoid 4018 --swversion DE.1.0.9.0 --startMP 204:480 --initTime 2017-07-01T21:19:56 --startdatetime 2017-07-01T21:30:46 --delay 1 --endMP 204:233302 --enddatetime 2017-07-01T22:07:24 --enforcementcount 0 &gt;&gt;C:\Users\stu\Documents\GitHub\eaglep3-reporting\EC\2017-07-01-refined-times.txt</v>
      </c>
      <c r="AI145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{"issue":{"subject":"","project_id":79,"tracker_id":40,"status_id":1,"priority_id":2,"assigned_to_id":23,"start_date":"2017-07-01","description":"","custom_fields":[{"id":1,"name":"Subdivision","value":"EC"},{"id":4,"name":"Milepost","value":"23.3302"},{"id":17,"name":"Train ID","value":"231-01"},{"id":16,"name":"Locomotive ID","value":"4018"},{"id":130,"name":"Impact","value":""},{"id":150,"name":"Time of Event (Mountain Time)","value":"22:07:24"},{"id":151,"name":"Denver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2"/>
        <v>start /low /b %USERPROFILE%\Documents\GitHub\eaglep3\Utilities\DownloadLogsFromS3.py --loco 4018 --day 2017-07-01</v>
      </c>
      <c r="AN145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861</v>
      </c>
      <c r="B146" s="7">
        <v>4017</v>
      </c>
      <c r="C146" s="21" t="s">
        <v>202</v>
      </c>
      <c r="D146" s="21" t="s">
        <v>990</v>
      </c>
      <c r="E146" s="13">
        <v>42917.929236111115</v>
      </c>
      <c r="F146" s="13">
        <v>42917.935671296298</v>
      </c>
      <c r="G146" s="7">
        <v>1</v>
      </c>
      <c r="H146" s="21" t="s">
        <v>508</v>
      </c>
      <c r="I146" s="13">
        <v>42917.963784722226</v>
      </c>
      <c r="J146" s="7">
        <v>0</v>
      </c>
      <c r="K146" s="89" t="str">
        <f t="shared" si="48"/>
        <v>4017/4018</v>
      </c>
      <c r="L146" s="21" t="str">
        <f>VLOOKUP(A146,'Trips&amp;Operators'!$C$1:$G$99999,5,FALSE)</f>
        <v>YANG JAN</v>
      </c>
      <c r="M146" s="6">
        <f t="shared" si="49"/>
        <v>2.8113425927585922E-2</v>
      </c>
      <c r="N146" s="7">
        <f t="shared" si="46"/>
        <v>40.483333335723728</v>
      </c>
      <c r="O146" s="7"/>
      <c r="P146" s="7"/>
      <c r="Q146" s="22"/>
      <c r="R146" s="170"/>
      <c r="S146" s="213">
        <f t="shared" si="47"/>
        <v>1</v>
      </c>
      <c r="T146" s="195" t="str">
        <f t="shared" si="5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1"/>
        <v>https://d0f6bd738d7f1b3e5a7ca70fe4ff75f0.us-east-1.aws.found.io/app/kibana#/discover/Steve-Slow-Train-Analysis-(2080s-and-2083s)?_g=(refreshInterval:(display:Off,pause:!f,section:0,value:0),time:(from:'2017-07-01T21:18:06-0600',mode:absolute,to:'2017-07-02T00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97" t="str">
        <f>IF(AA146&lt;VLOOKUP(AG146,Variables!$AC$3:$AD$8,2,FALSE),"Y","N")</f>
        <v>N</v>
      </c>
      <c r="X146" s="197">
        <f t="shared" si="52"/>
        <v>1</v>
      </c>
      <c r="Y146" s="197">
        <f t="shared" si="53"/>
        <v>23.3017</v>
      </c>
      <c r="Z146" s="197">
        <f t="shared" si="54"/>
        <v>1.3599999999999999E-2</v>
      </c>
      <c r="AA146" s="197">
        <f t="shared" si="55"/>
        <v>23.2881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6"/>
        <v>232</v>
      </c>
      <c r="AE146" s="77" t="str">
        <f t="shared" si="57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46" s="74" t="str">
        <f t="shared" si="58"/>
        <v>"C:\Program Files (x86)\AstroGrep\AstroGrep.exe" /e /r /s /spath="%USERPROFILE%\AppData\Local\Temp\OnboardLogs" /stypes="app*4017*20170702*" /stext=" 05:.+((SYSTEM_STATE.+slice.+state.+changed )|(ment ac)|(multiple cpu faults)|(system.+state.+changed )|(\[timeout)|(PRM\|1\|D)|(kpr)|(kdp)|(train st.+moving)|(\|lc)|(penalty))"</v>
      </c>
      <c r="AG146" s="209" t="str">
        <f t="shared" si="59"/>
        <v>EC</v>
      </c>
      <c r="AH146" s="78" t="str">
        <f t="shared" si="60"/>
        <v>"%USERPROFILE%\Documents\GitHub\eaglep3\Utilities\RefineRTDCRunTimes.py" --tripid 232-01 --locoid 4017 --swversion DE.1.0.9.0 --startMP 204:233017 --initTime 2017-07-01T22:18:06 --startdatetime 2017-07-01T22:27:22 --delay 1 --endMP 204:136 --enddatetime 2017-07-01T23:07:51 --enforcementcount 0 &gt;&gt;C:\Users\stu\Documents\GitHub\eaglep3-reporting\EC\2017-07-01-refined-times.txt</v>
      </c>
      <c r="AI146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{"issue":{"subject":"","project_id":79,"tracker_id":40,"status_id":1,"priority_id":2,"assigned_to_id":23,"start_date":"2017-07-01","description":"","custom_fields":[{"id":1,"name":"Subdivision","value":"EC"},{"id":4,"name":"Milepost","value":"0.0136"},{"id":17,"name":"Train ID","value":"232-01"},{"id":16,"name":"Locomotive ID","value":"4017"},{"id":130,"name":"Impact","value":""},{"id":150,"name":"Time of Event (Mountain Time)","value":"23:07:51"},{"id":151,"name":"Denver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2"/>
        <v>start /low /b %USERPROFILE%\Documents\GitHub\eaglep3\Utilities\DownloadLogsFromS3.py --loco 4017 --day 2017-07-01</v>
      </c>
      <c r="AN14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858</v>
      </c>
      <c r="B147" s="7">
        <v>4028</v>
      </c>
      <c r="C147" s="21" t="s">
        <v>202</v>
      </c>
      <c r="D147" s="21" t="s">
        <v>455</v>
      </c>
      <c r="E147" s="13">
        <v>42917.90384259259</v>
      </c>
      <c r="F147" s="13">
        <v>42917.917268518519</v>
      </c>
      <c r="G147" s="7">
        <v>1</v>
      </c>
      <c r="H147" s="21" t="s">
        <v>476</v>
      </c>
      <c r="I147" s="13">
        <v>42917.941168981481</v>
      </c>
      <c r="J147" s="7">
        <v>0</v>
      </c>
      <c r="K147" s="89" t="str">
        <f t="shared" si="48"/>
        <v>4027/4028</v>
      </c>
      <c r="L147" s="21" t="str">
        <f>VLOOKUP(A147,'Trips&amp;Operators'!$C$1:$G$99999,5,FALSE)</f>
        <v>PERKINS DARREN</v>
      </c>
      <c r="M147" s="6">
        <f t="shared" si="49"/>
        <v>2.3900462962046731E-2</v>
      </c>
      <c r="N147" s="7">
        <f t="shared" si="46"/>
        <v>34.416666665347293</v>
      </c>
      <c r="O147" s="7"/>
      <c r="P147" s="7"/>
      <c r="Q147" s="22"/>
      <c r="R147" s="170"/>
      <c r="S147" s="213">
        <f t="shared" si="47"/>
        <v>1</v>
      </c>
      <c r="T147" s="195" t="str">
        <f t="shared" si="5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1"/>
        <v>https://d0f6bd738d7f1b3e5a7ca70fe4ff75f0.us-east-1.aws.found.io/app/kibana#/discover/Steve-Slow-Train-Analysis-(2080s-and-2083s)?_g=(refreshInterval:(display:Off,pause:!f,section:0,value:0),time:(from:'2017-07-01T20:41:32-0600',mode:absolute,to:'2017-07-01T23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7" t="str">
        <f>IF(AA147&lt;VLOOKUP(AG147,Variables!$AC$3:$AD$8,2,FALSE),"Y","N")</f>
        <v>N</v>
      </c>
      <c r="X147" s="197">
        <f t="shared" si="52"/>
        <v>1</v>
      </c>
      <c r="Y147" s="197">
        <f t="shared" si="53"/>
        <v>4.6399999999999997E-2</v>
      </c>
      <c r="Z147" s="197">
        <f t="shared" si="54"/>
        <v>23.331199999999999</v>
      </c>
      <c r="AA147" s="197">
        <f t="shared" si="55"/>
        <v>23.284800000000001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6"/>
        <v>233</v>
      </c>
      <c r="AE147" s="77" t="str">
        <f t="shared" si="57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47" s="74" t="str">
        <f t="shared" si="58"/>
        <v>"C:\Program Files (x86)\AstroGrep\AstroGrep.exe" /e /r /s /spath="%USERPROFILE%\AppData\Local\Temp\OnboardLogs" /stypes="app*4028*20170702*" /stext=" 04:.+((SYSTEM_STATE.+slice.+state.+changed )|(ment ac)|(multiple cpu faults)|(system.+state.+changed )|(\[timeout)|(PRM\|1\|D)|(kpr)|(kdp)|(train st.+moving)|(\|lc)|(penalty))"</v>
      </c>
      <c r="AG147" s="209" t="str">
        <f t="shared" si="59"/>
        <v>EC</v>
      </c>
      <c r="AH147" s="78" t="str">
        <f t="shared" si="60"/>
        <v>"%USERPROFILE%\Documents\GitHub\eaglep3\Utilities\RefineRTDCRunTimes.py" --tripid 233-01 --locoid 4028 --swversion DE.1.0.9.0 --startMP 204:464 --initTime 2017-07-01T21:41:32 --startdatetime 2017-07-01T22:00:52 --delay 1 --endMP 204:233312 --enddatetime 2017-07-01T22:35:17 --enforcementcount 0 &gt;&gt;C:\Users\stu\Documents\GitHub\eaglep3-reporting\EC\2017-07-01-refined-times.txt</v>
      </c>
      <c r="AI147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{"issue":{"subject":"","project_id":79,"tracker_id":40,"status_id":1,"priority_id":2,"assigned_to_id":23,"start_date":"2017-07-01","description":"","custom_fields":[{"id":1,"name":"Subdivision","value":"EC"},{"id":4,"name":"Milepost","value":"23.3312"},{"id":17,"name":"Train ID","value":"233-01"},{"id":16,"name":"Locomotive ID","value":"4028"},{"id":130,"name":"Impact","value":""},{"id":150,"name":"Time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2"/>
        <v>start /low /b %USERPROFILE%\Documents\GitHub\eaglep3\Utilities\DownloadLogsFromS3.py --loco 4028 --day 2017-07-01</v>
      </c>
      <c r="AN147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864</v>
      </c>
      <c r="B148" s="7">
        <v>4027</v>
      </c>
      <c r="C148" s="21" t="s">
        <v>202</v>
      </c>
      <c r="D148" s="21" t="s">
        <v>478</v>
      </c>
      <c r="E148" s="13">
        <v>42917.945115740738</v>
      </c>
      <c r="F148" s="13">
        <v>42917.956423611111</v>
      </c>
      <c r="G148" s="7">
        <v>1</v>
      </c>
      <c r="H148" s="21" t="s">
        <v>991</v>
      </c>
      <c r="I148" s="13">
        <v>42917.986585648148</v>
      </c>
      <c r="J148" s="7">
        <v>0</v>
      </c>
      <c r="K148" s="89" t="str">
        <f t="shared" si="48"/>
        <v>4027/4028</v>
      </c>
      <c r="L148" s="21" t="str">
        <f>VLOOKUP(A148,'Trips&amp;Operators'!$C$1:$G$99999,5,FALSE)</f>
        <v>PERKINS DARREN</v>
      </c>
      <c r="M148" s="6">
        <f t="shared" si="49"/>
        <v>3.0162037037371192E-2</v>
      </c>
      <c r="N148" s="7">
        <f t="shared" si="46"/>
        <v>43.433333333814517</v>
      </c>
      <c r="O148" s="7"/>
      <c r="P148" s="7"/>
      <c r="Q148" s="22"/>
      <c r="R148" s="170"/>
      <c r="S148" s="213">
        <f t="shared" si="47"/>
        <v>1</v>
      </c>
      <c r="T148" s="195" t="str">
        <f t="shared" si="5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1"/>
        <v>https://d0f6bd738d7f1b3e5a7ca70fe4ff75f0.us-east-1.aws.found.io/app/kibana#/discover/Steve-Slow-Train-Analysis-(2080s-and-2083s)?_g=(refreshInterval:(display:Off,pause:!f,section:0,value:0),time:(from:'2017-07-01T21:40:58-0600',mode:absolute,to:'2017-07-02T00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7" t="str">
        <f>IF(AA148&lt;VLOOKUP(AG148,Variables!$AC$3:$AD$8,2,FALSE),"Y","N")</f>
        <v>N</v>
      </c>
      <c r="X148" s="197">
        <f t="shared" si="52"/>
        <v>1</v>
      </c>
      <c r="Y148" s="197">
        <f t="shared" si="53"/>
        <v>23.298400000000001</v>
      </c>
      <c r="Z148" s="197">
        <f t="shared" si="54"/>
        <v>1.1900000000000001E-2</v>
      </c>
      <c r="AA148" s="197">
        <f t="shared" si="55"/>
        <v>23.2865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6"/>
        <v>234</v>
      </c>
      <c r="AE148" s="77" t="str">
        <f t="shared" si="57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48" s="74" t="str">
        <f t="shared" si="58"/>
        <v>"C:\Program Files (x86)\AstroGrep\AstroGrep.exe" /e /r /s /spath="%USERPROFILE%\AppData\Local\Temp\OnboardLogs" /stypes="app*4027*20170702*" /stext=" 05:.+((SYSTEM_STATE.+slice.+state.+changed )|(ment ac)|(multiple cpu faults)|(system.+state.+changed )|(\[timeout)|(PRM\|1\|D)|(kpr)|(kdp)|(train st.+moving)|(\|lc)|(penalty))"</v>
      </c>
      <c r="AG148" s="209" t="str">
        <f t="shared" si="59"/>
        <v>EC</v>
      </c>
      <c r="AH148" s="78" t="str">
        <f t="shared" si="60"/>
        <v>"%USERPROFILE%\Documents\GitHub\eaglep3\Utilities\RefineRTDCRunTimes.py" --tripid 234-01 --locoid 4027 --swversion DE.1.0.9.0 --startMP 204:232984 --initTime 2017-07-01T22:40:58 --startdatetime 2017-07-01T22:57:15 --delay 1 --endMP 204:119 --enddatetime 2017-07-01T23:40:41 --enforcementcount 0 &gt;&gt;C:\Users\stu\Documents\GitHub\eaglep3-reporting\EC\2017-07-01-refined-times.txt</v>
      </c>
      <c r="AI148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{"issue":{"subject":"","project_id":79,"tracker_id":40,"status_id":1,"priority_id":2,"assigned_to_id":23,"start_date":"2017-07-01","description":"","custom_fields":[{"id":1,"name":"Subdivision","value":"EC"},{"id":4,"name":"Milepost","value":"0.0119"},{"id":17,"name":"Train ID","value":"234-01"},{"id":16,"name":"Locomotive ID","value":"4027"},{"id":130,"name":"Impact","value":""},{"id":150,"name":"Time of Event (Mountain Time)","value":"23:40:41"},{"id":151,"name":"Denver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2"/>
        <v>start /low /b %USERPROFILE%\Documents\GitHub\eaglep3\Utilities\DownloadLogsFromS3.py --loco 4027 --day 2017-07-01</v>
      </c>
      <c r="AN14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862</v>
      </c>
      <c r="B149" s="7">
        <v>4014</v>
      </c>
      <c r="C149" s="21" t="s">
        <v>202</v>
      </c>
      <c r="D149" s="21" t="s">
        <v>199</v>
      </c>
      <c r="E149" s="13">
        <v>42917.933229166665</v>
      </c>
      <c r="F149" s="13">
        <v>42917.938032407408</v>
      </c>
      <c r="G149" s="7">
        <v>1</v>
      </c>
      <c r="H149" s="21" t="s">
        <v>912</v>
      </c>
      <c r="I149" s="13">
        <v>42917.963206018518</v>
      </c>
      <c r="J149" s="7">
        <v>0</v>
      </c>
      <c r="K149" s="89" t="str">
        <f t="shared" si="48"/>
        <v>4013/4014</v>
      </c>
      <c r="L149" s="21" t="str">
        <f>VLOOKUP(A149,'Trips&amp;Operators'!$C$1:$G$99999,5,FALSE)</f>
        <v>FORTUNATO FRANK</v>
      </c>
      <c r="M149" s="6">
        <f t="shared" si="49"/>
        <v>2.5173611109494232E-2</v>
      </c>
      <c r="N149" s="7">
        <f t="shared" si="46"/>
        <v>36.249999997671694</v>
      </c>
      <c r="O149" s="7"/>
      <c r="P149" s="7"/>
      <c r="Q149" s="22"/>
      <c r="R149" s="170"/>
      <c r="S149" s="213">
        <f t="shared" si="47"/>
        <v>1</v>
      </c>
      <c r="T149" s="195" t="str">
        <f t="shared" si="5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1"/>
        <v>https://d0f6bd738d7f1b3e5a7ca70fe4ff75f0.us-east-1.aws.found.io/app/kibana#/discover/Steve-Slow-Train-Analysis-(2080s-and-2083s)?_g=(refreshInterval:(display:Off,pause:!f,section:0,value:0),time:(from:'2017-07-01T21:23:51-0600',mode:absolute,to:'2017-07-02T00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9" s="197" t="str">
        <f>IF(AA149&lt;VLOOKUP(AG149,Variables!$AC$3:$AD$8,2,FALSE),"Y","N")</f>
        <v>N</v>
      </c>
      <c r="X149" s="197">
        <f t="shared" si="52"/>
        <v>1</v>
      </c>
      <c r="Y149" s="197">
        <f t="shared" si="53"/>
        <v>4.5999999999999999E-2</v>
      </c>
      <c r="Z149" s="197">
        <f t="shared" si="54"/>
        <v>23.331499999999998</v>
      </c>
      <c r="AA149" s="197">
        <f t="shared" si="55"/>
        <v>23.285499999999999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6"/>
        <v>235</v>
      </c>
      <c r="AE149" s="77" t="str">
        <f t="shared" si="57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49" s="74" t="str">
        <f t="shared" si="58"/>
        <v>"C:\Program Files (x86)\AstroGrep\AstroGrep.exe" /e /r /s /spath="%USERPROFILE%\AppData\Local\Temp\OnboardLogs" /stypes="app*4014*20170702*" /stext=" 05:.+((SYSTEM_STATE.+slice.+state.+changed )|(ment ac)|(multiple cpu faults)|(system.+state.+changed )|(\[timeout)|(PRM\|1\|D)|(kpr)|(kdp)|(train st.+moving)|(\|lc)|(penalty))"</v>
      </c>
      <c r="AG149" s="209" t="str">
        <f t="shared" si="59"/>
        <v>EC</v>
      </c>
      <c r="AH149" s="78" t="str">
        <f t="shared" si="60"/>
        <v>"%USERPROFILE%\Documents\GitHub\eaglep3\Utilities\RefineRTDCRunTimes.py" --tripid 235-01 --locoid 4014 --swversion DE.1.0.9.0 --startMP 204:460 --initTime 2017-07-01T22:23:51 --startdatetime 2017-07-01T22:30:46 --delay 1 --endMP 204:233315 --enddatetime 2017-07-01T23:07:01 --enforcementcount 0 &gt;&gt;C:\Users\stu\Documents\GitHub\eaglep3-reporting\EC\2017-07-01-refined-times.txt</v>
      </c>
      <c r="AI149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{"issue":{"subject":"","project_id":79,"tracker_id":40,"status_id":1,"priority_id":2,"assigned_to_id":23,"start_date":"2017-07-01","description":"","custom_fields":[{"id":1,"name":"Subdivision","value":"EC"},{"id":4,"name":"Milepost","value":"23.3315"},{"id":17,"name":"Train ID","value":"235-01"},{"id":16,"name":"Locomotive ID","value":"4014"},{"id":130,"name":"Impact","value":""},{"id":150,"name":"Time of Event (Mountain Time)","value":"23:07:01"},{"id":151,"name":"Denver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2"/>
        <v>start /low /b %USERPROFILE%\Documents\GitHub\eaglep3\Utilities\DownloadLogsFromS3.py --loco 4014 --day 2017-07-01</v>
      </c>
      <c r="AN149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670</v>
      </c>
      <c r="B150" s="7">
        <v>4013</v>
      </c>
      <c r="C150" s="21" t="s">
        <v>202</v>
      </c>
      <c r="D150" s="21" t="s">
        <v>471</v>
      </c>
      <c r="E150" s="13">
        <v>42917.964733796296</v>
      </c>
      <c r="F150" s="13">
        <v>42917.977233796293</v>
      </c>
      <c r="G150" s="7">
        <v>1</v>
      </c>
      <c r="H150" s="21" t="s">
        <v>349</v>
      </c>
      <c r="I150" s="13">
        <v>42918.004895833335</v>
      </c>
      <c r="J150" s="7">
        <v>0</v>
      </c>
      <c r="K150" s="89" t="str">
        <f t="shared" si="48"/>
        <v>4013/4014</v>
      </c>
      <c r="L150" s="21" t="str">
        <f>VLOOKUP(A150,'Trips&amp;Operators'!$C$1:$G$99999,5,FALSE)</f>
        <v>FORTUNATO FRANK</v>
      </c>
      <c r="M150" s="6">
        <f t="shared" si="49"/>
        <v>2.7662037042318843E-2</v>
      </c>
      <c r="N150" s="7">
        <f t="shared" si="46"/>
        <v>39.833333340939134</v>
      </c>
      <c r="O150" s="7"/>
      <c r="P150" s="7"/>
      <c r="Q150" s="22"/>
      <c r="R150" s="170"/>
      <c r="S150" s="213">
        <f t="shared" si="47"/>
        <v>1</v>
      </c>
      <c r="T150" s="195" t="str">
        <f t="shared" si="5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1"/>
        <v>https://d0f6bd738d7f1b3e5a7ca70fe4ff75f0.us-east-1.aws.found.io/app/kibana#/discover/Steve-Slow-Train-Analysis-(2080s-and-2083s)?_g=(refreshInterval:(display:Off,pause:!f,section:0,value:0),time:(from:'2017-07-01T22:09:13-0600',mode:absolute,to:'2017-07-02T01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0" s="197" t="str">
        <f>IF(AA150&lt;VLOOKUP(AG150,Variables!$AC$3:$AD$8,2,FALSE),"Y","N")</f>
        <v>N</v>
      </c>
      <c r="X150" s="197">
        <f t="shared" si="52"/>
        <v>1</v>
      </c>
      <c r="Y150" s="197">
        <f t="shared" si="53"/>
        <v>23.3</v>
      </c>
      <c r="Z150" s="197">
        <f t="shared" si="54"/>
        <v>1.49E-2</v>
      </c>
      <c r="AA150" s="197">
        <f t="shared" si="55"/>
        <v>23.2851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6"/>
        <v>236</v>
      </c>
      <c r="AE150" s="77" t="str">
        <f t="shared" si="57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50" s="74" t="str">
        <f t="shared" si="58"/>
        <v>"C:\Program Files (x86)\AstroGrep\AstroGrep.exe" /e /r /s /spath="%USERPROFILE%\AppData\Local\Temp\OnboardLogs" /stypes="app*4013*20170702*" /stext=" 06:.+((SYSTEM_STATE.+slice.+state.+changed )|(ment ac)|(multiple cpu faults)|(system.+state.+changed )|(\[timeout)|(PRM\|1\|D)|(kpr)|(kdp)|(train st.+moving)|(\|lc)|(penalty))"</v>
      </c>
      <c r="AG150" s="209" t="str">
        <f t="shared" si="59"/>
        <v>EC</v>
      </c>
      <c r="AH150" s="78" t="str">
        <f t="shared" si="60"/>
        <v>"%USERPROFILE%\Documents\GitHub\eaglep3\Utilities\RefineRTDCRunTimes.py" --tripid 236-01 --locoid 4013 --swversion DE.1.0.9.0 --startMP 204:233000 --initTime 2017-07-01T23:09:13 --startdatetime 2017-07-01T23:27:13 --delay 1 --endMP 204:149 --enddatetime 2017-07-02T00:07:03 --enforcementcount 0 &gt;&gt;C:\Users\stu\Documents\GitHub\eaglep3-reporting\EC\2017-07-01-refined-times.txt</v>
      </c>
      <c r="AI150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ID","value":"236-01"},{"id":16,"name":"Locomotive ID","value":"4013"},{"id":130,"name":"Impact","value":""},{"id":150,"name":"Time of Event (Mountain Time)","value":"00:07:03"},{"id":151,"name":"Denver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2"/>
        <v>start /low /b %USERPROFILE%\Documents\GitHub\eaglep3\Utilities\DownloadLogsFromS3.py --loco 4013 --day 2017-07-01</v>
      </c>
      <c r="AN15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669</v>
      </c>
      <c r="B151" s="7">
        <v>4008</v>
      </c>
      <c r="C151" s="21" t="s">
        <v>202</v>
      </c>
      <c r="D151" s="21" t="s">
        <v>391</v>
      </c>
      <c r="E151" s="13">
        <v>42917.955069444448</v>
      </c>
      <c r="F151" s="13">
        <v>42917.95884259259</v>
      </c>
      <c r="G151" s="7">
        <v>1</v>
      </c>
      <c r="H151" s="21" t="s">
        <v>500</v>
      </c>
      <c r="I151" s="13">
        <v>42917.984456018516</v>
      </c>
      <c r="J151" s="7">
        <v>0</v>
      </c>
      <c r="K151" s="89" t="str">
        <f t="shared" si="48"/>
        <v>4007/4008</v>
      </c>
      <c r="L151" s="21" t="str">
        <f>VLOOKUP(A151,'Trips&amp;Operators'!$C$1:$G$99999,5,FALSE)</f>
        <v>LAMAR NEKESHA</v>
      </c>
      <c r="M151" s="6">
        <f t="shared" si="49"/>
        <v>2.5613425925257616E-2</v>
      </c>
      <c r="N151" s="7">
        <f t="shared" si="46"/>
        <v>36.883333332370967</v>
      </c>
      <c r="O151" s="7"/>
      <c r="P151" s="7"/>
      <c r="Q151" s="22"/>
      <c r="R151" s="170"/>
      <c r="S151" s="213">
        <f t="shared" si="47"/>
        <v>1</v>
      </c>
      <c r="T151" s="195" t="str">
        <f t="shared" si="5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1"/>
        <v>https://d0f6bd738d7f1b3e5a7ca70fe4ff75f0.us-east-1.aws.found.io/app/kibana#/discover/Steve-Slow-Train-Analysis-(2080s-and-2083s)?_g=(refreshInterval:(display:Off,pause:!f,section:0,value:0),time:(from:'2017-07-01T21:55:18-0600',mode:absolute,to:'2017-07-02T00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97" t="str">
        <f>IF(AA151&lt;VLOOKUP(AG151,Variables!$AC$3:$AD$8,2,FALSE),"Y","N")</f>
        <v>N</v>
      </c>
      <c r="X151" s="197">
        <f t="shared" si="52"/>
        <v>1</v>
      </c>
      <c r="Y151" s="197">
        <f t="shared" si="53"/>
        <v>4.6199999999999998E-2</v>
      </c>
      <c r="Z151" s="197">
        <f t="shared" si="54"/>
        <v>23.3293</v>
      </c>
      <c r="AA151" s="197">
        <f t="shared" si="55"/>
        <v>23.283100000000001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6"/>
        <v>237</v>
      </c>
      <c r="AE151" s="77" t="str">
        <f t="shared" si="57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51" s="74" t="str">
        <f t="shared" si="58"/>
        <v>"C:\Program Files (x86)\AstroGrep\AstroGrep.exe" /e /r /s /spath="%USERPROFILE%\AppData\Local\Temp\OnboardLogs" /stypes="app*4008*20170702*" /stext=" 05:.+((SYSTEM_STATE.+slice.+state.+changed )|(ment ac)|(multiple cpu faults)|(system.+state.+changed )|(\[timeout)|(PRM\|1\|D)|(kpr)|(kdp)|(train st.+moving)|(\|lc)|(penalty))"</v>
      </c>
      <c r="AG151" s="209" t="str">
        <f t="shared" si="59"/>
        <v>EC</v>
      </c>
      <c r="AH151" s="78" t="str">
        <f t="shared" si="60"/>
        <v>"%USERPROFILE%\Documents\GitHub\eaglep3\Utilities\RefineRTDCRunTimes.py" --tripid 237-01 --locoid 4008 --swversion DE.1.0.9.0 --startMP 204:462 --initTime 2017-07-01T22:55:18 --startdatetime 2017-07-01T23:00:44 --delay 1 --endMP 204:233293 --enddatetime 2017-07-01T23:37:37 --enforcementcount 0 &gt;&gt;C:\Users\stu\Documents\GitHub\eaglep3-reporting\EC\2017-07-01-refined-times.txt</v>
      </c>
      <c r="AI151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{"issue":{"subject":"","project_id":79,"tracker_id":40,"status_id":1,"priority_id":2,"assigned_to_id":23,"start_date":"2017-07-01","description":"","custom_fields":[{"id":1,"name":"Subdivision","value":"EC"},{"id":4,"name":"Milepost","value":"23.3293"},{"id":17,"name":"Train ID","value":"237-01"},{"id":16,"name":"Locomotive ID","value":"4008"},{"id":130,"name":"Impact","value":""},{"id":150,"name":"Time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2"/>
        <v>start /low /b %USERPROFILE%\Documents\GitHub\eaglep3\Utilities\DownloadLogsFromS3.py --loco 4008 --day 2017-07-01</v>
      </c>
      <c r="AN151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866</v>
      </c>
      <c r="B152" s="7">
        <v>4007</v>
      </c>
      <c r="C152" s="21" t="s">
        <v>202</v>
      </c>
      <c r="D152" s="21" t="s">
        <v>992</v>
      </c>
      <c r="E152" s="13">
        <v>42917.993043981478</v>
      </c>
      <c r="F152" s="13">
        <v>42917.998333333337</v>
      </c>
      <c r="G152" s="7">
        <v>1</v>
      </c>
      <c r="H152" s="21" t="s">
        <v>349</v>
      </c>
      <c r="I152" s="13">
        <v>42918.024872685186</v>
      </c>
      <c r="J152" s="7">
        <v>0</v>
      </c>
      <c r="K152" s="89" t="str">
        <f t="shared" si="48"/>
        <v>4007/4008</v>
      </c>
      <c r="L152" s="21" t="str">
        <f>VLOOKUP(A152,'Trips&amp;Operators'!$C$1:$G$99999,5,FALSE)</f>
        <v>LAMAR NEKESHA</v>
      </c>
      <c r="M152" s="6">
        <f t="shared" si="49"/>
        <v>2.6539351849351078E-2</v>
      </c>
      <c r="N152" s="7">
        <f t="shared" si="46"/>
        <v>38.216666663065553</v>
      </c>
      <c r="O152" s="7"/>
      <c r="P152" s="7"/>
      <c r="Q152" s="22"/>
      <c r="R152" s="170"/>
      <c r="S152" s="213">
        <f t="shared" si="47"/>
        <v>1</v>
      </c>
      <c r="T152" s="195" t="str">
        <f t="shared" si="5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1"/>
        <v>https://d0f6bd738d7f1b3e5a7ca70fe4ff75f0.us-east-1.aws.found.io/app/kibana#/discover/Steve-Slow-Train-Analysis-(2080s-and-2083s)?_g=(refreshInterval:(display:Off,pause:!f,section:0,value:0),time:(from:'2017-07-01T22:49:59-0600',mode:absolute,to:'2017-07-02T01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197" t="str">
        <f>IF(AA152&lt;VLOOKUP(AG152,Variables!$AC$3:$AD$8,2,FALSE),"Y","N")</f>
        <v>N</v>
      </c>
      <c r="X152" s="197">
        <f t="shared" si="52"/>
        <v>1</v>
      </c>
      <c r="Y152" s="197">
        <f t="shared" si="53"/>
        <v>23.296900000000001</v>
      </c>
      <c r="Z152" s="197">
        <f t="shared" si="54"/>
        <v>1.49E-2</v>
      </c>
      <c r="AA152" s="197">
        <f t="shared" si="55"/>
        <v>23.282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6"/>
        <v>238</v>
      </c>
      <c r="AE152" s="77" t="str">
        <f t="shared" si="57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52" s="74" t="str">
        <f t="shared" si="58"/>
        <v>"C:\Program Files (x86)\AstroGrep\AstroGrep.exe" /e /r /s /spath="%USERPROFILE%\AppData\Local\Temp\OnboardLogs" /stypes="app*4007*20170702*" /stext=" 06:.+((SYSTEM_STATE.+slice.+state.+changed )|(ment ac)|(multiple cpu faults)|(system.+state.+changed )|(\[timeout)|(PRM\|1\|D)|(kpr)|(kdp)|(train st.+moving)|(\|lc)|(penalty))"</v>
      </c>
      <c r="AG152" s="209" t="str">
        <f t="shared" si="59"/>
        <v>EC</v>
      </c>
      <c r="AH152" s="78" t="str">
        <f t="shared" si="60"/>
        <v>"%USERPROFILE%\Documents\GitHub\eaglep3\Utilities\RefineRTDCRunTimes.py" --tripid 238-01 --locoid 4007 --swversion DE.1.0.9.0 --startMP 204:232969 --initTime 2017-07-01T23:49:59 --startdatetime 2017-07-01T23:57:36 --delay 1 --endMP 204:149 --enddatetime 2017-07-02T00:35:49 --enforcementcount 0 &gt;&gt;C:\Users\stu\Documents\GitHub\eaglep3-reporting\EC\2017-07-01-refined-times.txt</v>
      </c>
      <c r="AI152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ID","value":"238-01"},{"id":16,"name":"Locomotive ID","value":"4007"},{"id":130,"name":"Impact","value":""},{"id":150,"name":"Time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2"/>
        <v>start /low /b %USERPROFILE%\Documents\GitHub\eaglep3\Utilities\DownloadLogsFromS3.py --loco 4007 --day 2017-07-01</v>
      </c>
      <c r="AN152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865</v>
      </c>
      <c r="B153" s="7">
        <v>4018</v>
      </c>
      <c r="C153" s="21" t="s">
        <v>202</v>
      </c>
      <c r="D153" s="21" t="s">
        <v>993</v>
      </c>
      <c r="E153" s="13">
        <v>42917.973819444444</v>
      </c>
      <c r="F153" s="13">
        <v>42917.979849537034</v>
      </c>
      <c r="G153" s="7">
        <v>1</v>
      </c>
      <c r="H153" s="21" t="s">
        <v>550</v>
      </c>
      <c r="I153" s="13">
        <v>42918.004907407405</v>
      </c>
      <c r="J153" s="7">
        <v>0</v>
      </c>
      <c r="K153" s="89" t="str">
        <f t="shared" si="48"/>
        <v>4017/4018</v>
      </c>
      <c r="L153" s="21" t="str">
        <f>VLOOKUP(A153,'Trips&amp;Operators'!$C$1:$G$99999,5,FALSE)</f>
        <v>YANG JAN</v>
      </c>
      <c r="M153" s="6">
        <f t="shared" si="49"/>
        <v>2.5057870370801538E-2</v>
      </c>
      <c r="N153" s="7">
        <f t="shared" si="46"/>
        <v>36.083333333954215</v>
      </c>
      <c r="O153" s="7"/>
      <c r="P153" s="7"/>
      <c r="Q153" s="22"/>
      <c r="R153" s="170"/>
      <c r="S153" s="213">
        <f t="shared" si="47"/>
        <v>1</v>
      </c>
      <c r="T153" s="195" t="str">
        <f t="shared" si="5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1"/>
        <v>https://d0f6bd738d7f1b3e5a7ca70fe4ff75f0.us-east-1.aws.found.io/app/kibana#/discover/Steve-Slow-Train-Analysis-(2080s-and-2083s)?_g=(refreshInterval:(display:Off,pause:!f,section:0,value:0),time:(from:'2017-07-01T22:22:18-0600',mode:absolute,to:'2017-07-02T01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97" t="str">
        <f>IF(AA153&lt;VLOOKUP(AG153,Variables!$AC$3:$AD$8,2,FALSE),"Y","N")</f>
        <v>N</v>
      </c>
      <c r="X153" s="197">
        <f t="shared" si="52"/>
        <v>1</v>
      </c>
      <c r="Y153" s="197">
        <f t="shared" si="53"/>
        <v>4.8399999999999999E-2</v>
      </c>
      <c r="Z153" s="197">
        <f t="shared" si="54"/>
        <v>23.3325</v>
      </c>
      <c r="AA153" s="197">
        <f t="shared" si="55"/>
        <v>23.284099999999999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6"/>
        <v>239</v>
      </c>
      <c r="AE153" s="77" t="str">
        <f t="shared" si="57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53" s="74" t="str">
        <f t="shared" si="58"/>
        <v>"C:\Program Files (x86)\AstroGrep\AstroGrep.exe" /e /r /s /spath="%USERPROFILE%\AppData\Local\Temp\OnboardLogs" /stypes="app*4018*20170702*" /stext=" 06:.+((SYSTEM_STATE.+slice.+state.+changed )|(ment ac)|(multiple cpu faults)|(system.+state.+changed )|(\[timeout)|(PRM\|1\|D)|(kpr)|(kdp)|(train st.+moving)|(\|lc)|(penalty))"</v>
      </c>
      <c r="AG153" s="209" t="str">
        <f t="shared" si="59"/>
        <v>EC</v>
      </c>
      <c r="AH153" s="78" t="str">
        <f t="shared" si="60"/>
        <v>"%USERPROFILE%\Documents\GitHub\eaglep3\Utilities\RefineRTDCRunTimes.py" --tripid 239-01 --locoid 4018 --swversion DE.1.0.9.0 --startMP 204:484 --initTime 2017-07-01T23:22:18 --startdatetime 2017-07-01T23:30:59 --delay 1 --endMP 204:233325 --enddatetime 2017-07-02T00:07:04 --enforcementcount 0 &gt;&gt;C:\Users\stu\Documents\GitHub\eaglep3-reporting\EC\2017-07-01-refined-times.txt</v>
      </c>
      <c r="AI153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{"issue":{"subject":"","project_id":79,"tracker_id":40,"status_id":1,"priority_id":2,"assigned_to_id":23,"start_date":"2017-07-02","description":"","custom_fields":[{"id":1,"name":"Subdivision","value":"EC"},{"id":4,"name":"Milepost","value":"23.3325"},{"id":17,"name":"Train ID","value":"239-01"},{"id":16,"name":"Locomotive ID","value":"4018"},{"id":130,"name":"Impact","value":""},{"id":150,"name":"Time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2"/>
        <v>start /low /b %USERPROFILE%\Documents\GitHub\eaglep3\Utilities\DownloadLogsFromS3.py --loco 4018 --day 2017-07-01</v>
      </c>
      <c r="AN153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868</v>
      </c>
      <c r="B154" s="7">
        <v>4017</v>
      </c>
      <c r="C154" s="21" t="s">
        <v>202</v>
      </c>
      <c r="D154" s="21" t="s">
        <v>903</v>
      </c>
      <c r="E154" s="13">
        <v>42918.014120370368</v>
      </c>
      <c r="F154" s="13">
        <v>42918.01903935185</v>
      </c>
      <c r="G154" s="7">
        <v>1</v>
      </c>
      <c r="H154" s="21" t="s">
        <v>619</v>
      </c>
      <c r="I154" s="13">
        <v>42918.046226851853</v>
      </c>
      <c r="J154" s="7">
        <v>0</v>
      </c>
      <c r="K154" s="89" t="str">
        <f t="shared" si="48"/>
        <v>4017/4018</v>
      </c>
      <c r="L154" s="21" t="str">
        <f>VLOOKUP(A154,'Trips&amp;Operators'!$C$1:$G$99999,5,FALSE)</f>
        <v>YANG JAN</v>
      </c>
      <c r="M154" s="6">
        <f t="shared" si="49"/>
        <v>2.718750000349246E-2</v>
      </c>
      <c r="N154" s="7">
        <f t="shared" si="46"/>
        <v>39.150000005029142</v>
      </c>
      <c r="O154" s="7"/>
      <c r="P154" s="7"/>
      <c r="Q154" s="22"/>
      <c r="R154" s="170"/>
      <c r="S154" s="213">
        <f t="shared" si="47"/>
        <v>1</v>
      </c>
      <c r="T154" s="195" t="str">
        <f t="shared" si="5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1"/>
        <v>https://d0f6bd738d7f1b3e5a7ca70fe4ff75f0.us-east-1.aws.found.io/app/kibana#/discover/Steve-Slow-Train-Analysis-(2080s-and-2083s)?_g=(refreshInterval:(display:Off,pause:!f,section:0,value:0),time:(from:'2017-07-01T23:20:20-0600',mode:absolute,to:'2017-07-02T02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97" t="str">
        <f>IF(AA154&lt;VLOOKUP(AG154,Variables!$AC$3:$AD$8,2,FALSE),"Y","N")</f>
        <v>N</v>
      </c>
      <c r="X154" s="197">
        <f t="shared" si="52"/>
        <v>1</v>
      </c>
      <c r="Y154" s="197">
        <f t="shared" si="53"/>
        <v>23.299099999999999</v>
      </c>
      <c r="Z154" s="197">
        <f t="shared" si="54"/>
        <v>1.6500000000000001E-2</v>
      </c>
      <c r="AA154" s="197">
        <f t="shared" si="55"/>
        <v>23.282599999999999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6"/>
        <v>240</v>
      </c>
      <c r="AE154" s="77" t="str">
        <f t="shared" si="57"/>
        <v>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 &amp; 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</v>
      </c>
      <c r="AF154" s="74" t="str">
        <f t="shared" si="58"/>
        <v>"C:\Program Files (x86)\AstroGrep\AstroGrep.exe" /e /r /s /spath="%USERPROFILE%\AppData\Local\Temp\OnboardLogs" /stypes="app*4017*20170702*" /stext=" 07:.+((SYSTEM_STATE.+slice.+state.+changed )|(ment ac)|(multiple cpu faults)|(system.+state.+changed )|(\[timeout)|(PRM\|1\|D)|(kpr)|(kdp)|(train st.+moving)|(\|lc)|(penalty))"</v>
      </c>
      <c r="AG154" s="209" t="str">
        <f t="shared" si="59"/>
        <v>EC</v>
      </c>
      <c r="AH154" s="78" t="str">
        <f t="shared" si="60"/>
        <v>"%USERPROFILE%\Documents\GitHub\eaglep3\Utilities\RefineRTDCRunTimes.py" --tripid 240-01 --locoid 4017 --swversion DE.1.0.9.0 --startMP 204:232991 --initTime 2017-07-02T00:20:20 --startdatetime 2017-07-02T00:27:25 --delay 1 --endMP 204:165 --enddatetime 2017-07-02T01:06:34 --enforcementcount 0 &gt;&gt;C:\Users\stu\Documents\GitHub\eaglep3-reporting\EC\2017-07-01-refined-times.txt</v>
      </c>
      <c r="AI154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ID","value":"240-01"},{"id":16,"name":"Locomotive ID","value":"4017"},{"id":130,"name":"Impact","value":""},{"id":150,"name":"Time of Event (Mountain Time)","value":"01:06:34"},{"id":151,"name":"Denver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2"/>
        <v>start /low /b %USERPROFILE%\Documents\GitHub\eaglep3\Utilities\DownloadLogsFromS3.py --loco 4017 --day 2017-07-02</v>
      </c>
      <c r="AN15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671</v>
      </c>
      <c r="B155" s="7">
        <v>4028</v>
      </c>
      <c r="C155" s="21" t="s">
        <v>202</v>
      </c>
      <c r="D155" s="21" t="s">
        <v>343</v>
      </c>
      <c r="E155" s="13">
        <v>42917.989259259259</v>
      </c>
      <c r="F155" s="13">
        <v>42918.000555555554</v>
      </c>
      <c r="G155" s="7">
        <v>1</v>
      </c>
      <c r="H155" s="21" t="s">
        <v>514</v>
      </c>
      <c r="I155" s="13">
        <v>42918.025104166663</v>
      </c>
      <c r="J155" s="7">
        <v>0</v>
      </c>
      <c r="K155" s="89" t="str">
        <f t="shared" si="48"/>
        <v>4027/4028</v>
      </c>
      <c r="L155" s="21" t="str">
        <f>VLOOKUP(A155,'Trips&amp;Operators'!$C$1:$G$99999,5,FALSE)</f>
        <v>PERKINS DARREN</v>
      </c>
      <c r="M155" s="6">
        <f t="shared" si="49"/>
        <v>2.4548611108912155E-2</v>
      </c>
      <c r="N155" s="7">
        <f t="shared" si="46"/>
        <v>35.349999996833503</v>
      </c>
      <c r="O155" s="7"/>
      <c r="P155" s="7"/>
      <c r="Q155" s="22"/>
      <c r="R155" s="170"/>
      <c r="S155" s="213">
        <f t="shared" si="47"/>
        <v>1</v>
      </c>
      <c r="T155" s="195" t="str">
        <f t="shared" si="5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1"/>
        <v>https://d0f6bd738d7f1b3e5a7ca70fe4ff75f0.us-east-1.aws.found.io/app/kibana#/discover/Steve-Slow-Train-Analysis-(2080s-and-2083s)?_g=(refreshInterval:(display:Off,pause:!f,section:0,value:0),time:(from:'2017-07-01T22:44:32-0600',mode:absolute,to:'2017-07-02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7" t="str">
        <f>IF(AA155&lt;VLOOKUP(AG155,Variables!$AC$3:$AD$8,2,FALSE),"Y","N")</f>
        <v>N</v>
      </c>
      <c r="X155" s="197">
        <f t="shared" si="52"/>
        <v>1</v>
      </c>
      <c r="Y155" s="197">
        <f t="shared" si="53"/>
        <v>4.4900000000000002E-2</v>
      </c>
      <c r="Z155" s="197">
        <f t="shared" si="54"/>
        <v>23.328199999999999</v>
      </c>
      <c r="AA155" s="197">
        <f t="shared" si="55"/>
        <v>23.283300000000001</v>
      </c>
      <c r="AB155" s="54" t="str">
        <f>VLOOKUP(A155,Enforcements!$C$7:$K$13,8,0)</f>
        <v>Bulletin (2)</v>
      </c>
      <c r="AC155" s="51" t="str">
        <f>VLOOKUP(A155,Enforcements!$C$7:$E$13,3,0)</f>
        <v>GRADE CROSSING</v>
      </c>
      <c r="AD155" s="206">
        <f t="shared" si="56"/>
        <v>241</v>
      </c>
      <c r="AE155" s="77" t="str">
        <f t="shared" si="57"/>
        <v>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 &amp; 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</v>
      </c>
      <c r="AF155" s="74" t="str">
        <f t="shared" si="58"/>
        <v>"C:\Program Files (x86)\AstroGrep\AstroGrep.exe" /e /r /s /spath="%USERPROFILE%\AppData\Local\Temp\OnboardLogs" /stypes="app*4028*20170702*" /stext=" 06:.+((SYSTEM_STATE.+slice.+state.+changed )|(ment ac)|(multiple cpu faults)|(system.+state.+changed )|(\[timeout)|(PRM\|1\|D)|(kpr)|(kdp)|(train st.+moving)|(\|lc)|(penalty))"</v>
      </c>
      <c r="AG155" s="209" t="str">
        <f t="shared" si="59"/>
        <v>EC</v>
      </c>
      <c r="AH155" s="78" t="str">
        <f t="shared" si="60"/>
        <v>"%USERPROFILE%\Documents\GitHub\eaglep3\Utilities\RefineRTDCRunTimes.py" --tripid 241-01 --locoid 4028 --swversion DE.1.0.9.0 --startMP 204:449 --initTime 2017-07-01T23:44:32 --startdatetime 2017-07-02T00:00:48 --delay 1 --endMP 204:233282 --enddatetime 2017-07-02T00:36:09 --enforcementcount 0 &gt;&gt;C:\Users\stu\Documents\GitHub\eaglep3-reporting\EC\2017-07-01-refined-times.txt</v>
      </c>
      <c r="AI155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{"issue":{"subject":"","project_id":79,"tracker_id":40,"status_id":1,"priority_id":2,"assigned_to_id":23,"start_date":"2017-07-02","description":"","custom_fields":[{"id":1,"name":"Subdivision","value":"EC"},{"id":4,"name":"Milepost","value":"23.3282"},{"id":17,"name":"Train ID","value":"241-01"},{"id":16,"name":"Locomotive ID","value":"4028"},{"id":130,"name":"Impact","value":""},{"id":150,"name":"Time of Event (Mountain Time)","value":"00:36:09"},{"id":151,"name":"Denver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2"/>
        <v>start /low /b %USERPROFILE%\Documents\GitHub\eaglep3\Utilities\DownloadLogsFromS3.py --loco 4028 --day 2017-07-02</v>
      </c>
      <c r="AN155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869</v>
      </c>
      <c r="B156" s="7">
        <v>4027</v>
      </c>
      <c r="C156" s="21" t="s">
        <v>202</v>
      </c>
      <c r="D156" s="21" t="s">
        <v>512</v>
      </c>
      <c r="E156" s="13">
        <v>42918.03365740741</v>
      </c>
      <c r="F156" s="13">
        <v>42918.039768518516</v>
      </c>
      <c r="G156" s="7">
        <v>1</v>
      </c>
      <c r="H156" s="21" t="s">
        <v>508</v>
      </c>
      <c r="I156" s="13">
        <v>42918.066990740743</v>
      </c>
      <c r="J156" s="7">
        <v>0</v>
      </c>
      <c r="K156" s="89" t="str">
        <f t="shared" si="48"/>
        <v>4027/4028</v>
      </c>
      <c r="L156" s="21" t="str">
        <f>VLOOKUP(A156,'Trips&amp;Operators'!$C$1:$G$99999,5,FALSE)</f>
        <v>PERKINS DARREN</v>
      </c>
      <c r="M156" s="6">
        <f t="shared" si="49"/>
        <v>2.7222222226555459E-2</v>
      </c>
      <c r="N156" s="7">
        <f t="shared" ref="N156:N187" si="64">24*60*SUM($M156:$M156)</f>
        <v>39.200000006239861</v>
      </c>
      <c r="O156" s="7"/>
      <c r="P156" s="7"/>
      <c r="Q156" s="22"/>
      <c r="R156" s="170"/>
      <c r="S156" s="213">
        <f t="shared" si="47"/>
        <v>1</v>
      </c>
      <c r="T156" s="195" t="str">
        <f t="shared" si="5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1"/>
        <v>https://d0f6bd738d7f1b3e5a7ca70fe4ff75f0.us-east-1.aws.found.io/app/kibana#/discover/Steve-Slow-Train-Analysis-(2080s-and-2083s)?_g=(refreshInterval:(display:Off,pause:!f,section:0,value:0),time:(from:'2017-07-01T23:48:28-0600',mode:absolute,to:'2017-07-02T02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7" t="str">
        <f>IF(AA156&lt;VLOOKUP(AG156,Variables!$AC$3:$AD$8,2,FALSE),"Y","N")</f>
        <v>N</v>
      </c>
      <c r="X156" s="197">
        <f t="shared" si="52"/>
        <v>1</v>
      </c>
      <c r="Y156" s="197">
        <f t="shared" si="53"/>
        <v>23.297999999999998</v>
      </c>
      <c r="Z156" s="197">
        <f t="shared" si="54"/>
        <v>1.3599999999999999E-2</v>
      </c>
      <c r="AA156" s="197">
        <f t="shared" si="55"/>
        <v>23.284399999999998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6"/>
        <v>242</v>
      </c>
      <c r="AE156" s="77" t="str">
        <f t="shared" si="57"/>
        <v>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 &amp; 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</v>
      </c>
      <c r="AF156" s="74" t="str">
        <f t="shared" si="58"/>
        <v>"C:\Program Files (x86)\AstroGrep\AstroGrep.exe" /e /r /s /spath="%USERPROFILE%\AppData\Local\Temp\OnboardLogs" /stypes="app*4027*20170702*" /stext=" 07:.+((SYSTEM_STATE.+slice.+state.+changed )|(ment ac)|(multiple cpu faults)|(system.+state.+changed )|(\[timeout)|(PRM\|1\|D)|(kpr)|(kdp)|(train st.+moving)|(\|lc)|(penalty))"</v>
      </c>
      <c r="AG156" s="209" t="str">
        <f t="shared" si="59"/>
        <v>EC</v>
      </c>
      <c r="AH156" s="78" t="str">
        <f t="shared" si="60"/>
        <v>"%USERPROFILE%\Documents\GitHub\eaglep3\Utilities\RefineRTDCRunTimes.py" --tripid 242-01 --locoid 4027 --swversion DE.1.0.9.0 --startMP 204:232980 --initTime 2017-07-02T00:48:28 --startdatetime 2017-07-02T00:57:16 --delay 1 --endMP 204:136 --enddatetime 2017-07-02T01:36:28 --enforcementcount 0 &gt;&gt;C:\Users\stu\Documents\GitHub\eaglep3-reporting\EC\2017-07-01-refined-times.txt</v>
      </c>
      <c r="AI156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{"issue":{"subject":"","project_id":79,"tracker_id":40,"status_id":1,"priority_id":2,"assigned_to_id":23,"start_date":"2017-07-02","description":"","custom_fields":[{"id":1,"name":"Subdivision","value":"EC"},{"id":4,"name":"Milepost","value":"0.0136"},{"id":17,"name":"Train ID","value":"242-01"},{"id":16,"name":"Locomotive ID","value":"4027"},{"id":130,"name":"Impact","value":""},{"id":150,"name":"Time of Event (Mountain Time)","value":"01:36:28"},{"id":151,"name":"Denver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2"/>
        <v>start /low /b %USERPROFILE%\Documents\GitHub\eaglep3\Utilities\DownloadLogsFromS3.py --loco 4027 --day 2017-07-02</v>
      </c>
      <c r="AN15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867</v>
      </c>
      <c r="B157" s="7">
        <v>4014</v>
      </c>
      <c r="C157" s="21" t="s">
        <v>202</v>
      </c>
      <c r="D157" s="21" t="s">
        <v>343</v>
      </c>
      <c r="E157" s="13">
        <v>42918.006412037037</v>
      </c>
      <c r="F157" s="13">
        <v>42918.02144675926</v>
      </c>
      <c r="G157" s="7">
        <v>1</v>
      </c>
      <c r="H157" s="21" t="s">
        <v>912</v>
      </c>
      <c r="I157" s="13">
        <v>42918.046875</v>
      </c>
      <c r="J157" s="7">
        <v>0</v>
      </c>
      <c r="K157" s="89" t="str">
        <f t="shared" si="48"/>
        <v>4013/4014</v>
      </c>
      <c r="L157" s="21" t="str">
        <f>VLOOKUP(A157,'Trips&amp;Operators'!$C$1:$G$99999,5,FALSE)</f>
        <v>FORTUNATO FRANK</v>
      </c>
      <c r="M157" s="6">
        <f t="shared" si="49"/>
        <v>2.5428240740438923E-2</v>
      </c>
      <c r="N157" s="7">
        <f t="shared" si="64"/>
        <v>36.616666666232049</v>
      </c>
      <c r="O157" s="7"/>
      <c r="P157" s="7"/>
      <c r="Q157" s="22"/>
      <c r="R157" s="170"/>
      <c r="S157" s="213">
        <f t="shared" si="47"/>
        <v>1</v>
      </c>
      <c r="T157" s="195" t="str">
        <f t="shared" si="50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1"/>
        <v>https://d0f6bd738d7f1b3e5a7ca70fe4ff75f0.us-east-1.aws.found.io/app/kibana#/discover/Steve-Slow-Train-Analysis-(2080s-and-2083s)?_g=(refreshInterval:(display:Off,pause:!f,section:0,value:0),time:(from:'2017-07-01T23:09:14-0600',mode:absolute,to:'2017-07-02T02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7" s="197" t="str">
        <f>IF(AA157&lt;VLOOKUP(AG157,Variables!$AC$3:$AD$8,2,FALSE),"Y","N")</f>
        <v>N</v>
      </c>
      <c r="X157" s="197">
        <f t="shared" si="52"/>
        <v>1</v>
      </c>
      <c r="Y157" s="197">
        <f t="shared" si="53"/>
        <v>4.4900000000000002E-2</v>
      </c>
      <c r="Z157" s="197">
        <f t="shared" si="54"/>
        <v>23.331499999999998</v>
      </c>
      <c r="AA157" s="197">
        <f t="shared" si="55"/>
        <v>23.2866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6"/>
        <v>243</v>
      </c>
      <c r="AE157" s="77" t="str">
        <f t="shared" si="57"/>
        <v>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 &amp; 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</v>
      </c>
      <c r="AF157" s="74" t="str">
        <f t="shared" si="58"/>
        <v>"C:\Program Files (x86)\AstroGrep\AstroGrep.exe" /e /r /s /spath="%USERPROFILE%\AppData\Local\Temp\OnboardLogs" /stypes="app*4014*20170702*" /stext=" 07:.+((SYSTEM_STATE.+slice.+state.+changed )|(ment ac)|(multiple cpu faults)|(system.+state.+changed )|(\[timeout)|(PRM\|1\|D)|(kpr)|(kdp)|(train st.+moving)|(\|lc)|(penalty))"</v>
      </c>
      <c r="AG157" s="209" t="str">
        <f t="shared" si="59"/>
        <v>EC</v>
      </c>
      <c r="AH157" s="78" t="str">
        <f t="shared" si="60"/>
        <v>"%USERPROFILE%\Documents\GitHub\eaglep3\Utilities\RefineRTDCRunTimes.py" --tripid 243-01 --locoid 4014 --swversion DE.1.0.9.0 --startMP 204:449 --initTime 2017-07-02T00:09:14 --startdatetime 2017-07-02T00:30:53 --delay 1 --endMP 204:233315 --enddatetime 2017-07-02T01:07:30 --enforcementcount 0 &gt;&gt;C:\Users\stu\Documents\GitHub\eaglep3-reporting\EC\2017-07-01-refined-times.txt</v>
      </c>
      <c r="AI157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{"issue":{"subject":"","project_id":79,"tracker_id":40,"status_id":1,"priority_id":2,"assigned_to_id":23,"start_date":"2017-07-02","description":"","custom_fields":[{"id":1,"name":"Subdivision","value":"EC"},{"id":4,"name":"Milepost","value":"23.3315"},{"id":17,"name":"Train ID","value":"243-01"},{"id":16,"name":"Locomotive ID","value":"4014"},{"id":130,"name":"Impact","value":""},{"id":150,"name":"Time of Event (Mountain Time)","value":"01:07:30"},{"id":151,"name":"Denver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2"/>
        <v>start /low /b %USERPROFILE%\Documents\GitHub\eaglep3\Utilities\DownloadLogsFromS3.py --loco 4014 --day 2017-07-02</v>
      </c>
      <c r="AN157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672</v>
      </c>
      <c r="B158" s="7">
        <v>4013</v>
      </c>
      <c r="C158" s="21" t="s">
        <v>202</v>
      </c>
      <c r="D158" s="21" t="s">
        <v>467</v>
      </c>
      <c r="E158" s="13">
        <v>42918.048483796294</v>
      </c>
      <c r="F158" s="13">
        <v>42918.060590277775</v>
      </c>
      <c r="G158" s="7">
        <v>1</v>
      </c>
      <c r="H158" s="21" t="s">
        <v>394</v>
      </c>
      <c r="I158" s="13">
        <v>42918.088333333333</v>
      </c>
      <c r="J158" s="7">
        <v>0</v>
      </c>
      <c r="K158" s="89" t="str">
        <f t="shared" si="48"/>
        <v>4013/4014</v>
      </c>
      <c r="L158" s="21" t="str">
        <f>VLOOKUP(A158,'Trips&amp;Operators'!$C$1:$G$99999,5,FALSE)</f>
        <v>FORTUNATO FRANK</v>
      </c>
      <c r="M158" s="6">
        <f t="shared" si="49"/>
        <v>2.7743055557948537E-2</v>
      </c>
      <c r="N158" s="7">
        <f t="shared" si="64"/>
        <v>39.950000003445894</v>
      </c>
      <c r="O158" s="7"/>
      <c r="P158" s="7"/>
      <c r="Q158" s="22"/>
      <c r="R158" s="170"/>
      <c r="S158" s="213">
        <f t="shared" si="47"/>
        <v>1</v>
      </c>
      <c r="T158" s="195" t="str">
        <f t="shared" si="50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1"/>
        <v>https://d0f6bd738d7f1b3e5a7ca70fe4ff75f0.us-east-1.aws.found.io/app/kibana#/discover/Steve-Slow-Train-Analysis-(2080s-and-2083s)?_g=(refreshInterval:(display:Off,pause:!f,section:0,value:0),time:(from:'2017-07-02T00:09:49-0600',mode:absolute,to:'2017-07-02T03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97" t="str">
        <f>IF(AA158&lt;VLOOKUP(AG158,Variables!$AC$3:$AD$8,2,FALSE),"Y","N")</f>
        <v>N</v>
      </c>
      <c r="X158" s="197">
        <f t="shared" si="52"/>
        <v>1</v>
      </c>
      <c r="Y158" s="197">
        <f t="shared" si="53"/>
        <v>23.3004</v>
      </c>
      <c r="Z158" s="197">
        <f t="shared" si="54"/>
        <v>1.54E-2</v>
      </c>
      <c r="AA158" s="197">
        <f t="shared" si="55"/>
        <v>23.285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6"/>
        <v>244</v>
      </c>
      <c r="AE158" s="77" t="str">
        <f t="shared" si="57"/>
        <v>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 &amp; 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</v>
      </c>
      <c r="AF158" s="74" t="str">
        <f t="shared" si="58"/>
        <v>"C:\Program Files (x86)\AstroGrep\AstroGrep.exe" /e /r /s /spath="%USERPROFILE%\AppData\Local\Temp\OnboardLogs" /stypes="app*4013*20170702*" /stext=" 08:.+((SYSTEM_STATE.+slice.+state.+changed )|(ment ac)|(multiple cpu faults)|(system.+state.+changed )|(\[timeout)|(PRM\|1\|D)|(kpr)|(kdp)|(train st.+moving)|(\|lc)|(penalty))"</v>
      </c>
      <c r="AG158" s="209" t="str">
        <f t="shared" si="59"/>
        <v>EC</v>
      </c>
      <c r="AH158" s="78" t="str">
        <f t="shared" si="60"/>
        <v>"%USERPROFILE%\Documents\GitHub\eaglep3\Utilities\RefineRTDCRunTimes.py" --tripid 244-01 --locoid 4013 --swversion DE.1.0.9.0 --startMP 204:233004 --initTime 2017-07-02T01:09:49 --startdatetime 2017-07-02T01:27:15 --delay 1 --endMP 204:154 --enddatetime 2017-07-02T02:07:12 --enforcementcount 0 &gt;&gt;C:\Users\stu\Documents\GitHub\eaglep3-reporting\EC\2017-07-01-refined-times.txt</v>
      </c>
      <c r="AI158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ID","value":"244-01"},{"id":16,"name":"Locomotive ID","value":"4013"},{"id":130,"name":"Impact","value":""},{"id":150,"name":"Time of Event (Mountain Time)","value":"02:07:12"},{"id":151,"name":"Denver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2"/>
        <v>start /low /b %USERPROFILE%\Documents\GitHub\eaglep3\Utilities\DownloadLogsFromS3.py --loco 4013 --day 2017-07-02</v>
      </c>
      <c r="AN15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870</v>
      </c>
      <c r="B159" s="7">
        <v>4008</v>
      </c>
      <c r="C159" s="21" t="s">
        <v>202</v>
      </c>
      <c r="D159" s="21" t="s">
        <v>443</v>
      </c>
      <c r="E159" s="13">
        <v>42918.03738425926</v>
      </c>
      <c r="F159" s="13">
        <v>42918.042164351849</v>
      </c>
      <c r="G159" s="7">
        <v>1</v>
      </c>
      <c r="H159" s="21" t="s">
        <v>488</v>
      </c>
      <c r="I159" s="13">
        <v>42918.066689814812</v>
      </c>
      <c r="J159" s="7">
        <v>0</v>
      </c>
      <c r="K159" s="89" t="str">
        <f t="shared" si="48"/>
        <v>4007/4008</v>
      </c>
      <c r="L159" s="21" t="str">
        <f>VLOOKUP(A159,'Trips&amp;Operators'!$C$1:$G$99999,5,FALSE)</f>
        <v>LAMAR NEKESHA</v>
      </c>
      <c r="M159" s="6">
        <f t="shared" si="49"/>
        <v>2.4525462962628808E-2</v>
      </c>
      <c r="N159" s="7">
        <f t="shared" si="64"/>
        <v>35.316666666185483</v>
      </c>
      <c r="O159" s="7"/>
      <c r="P159" s="7"/>
      <c r="Q159" s="22"/>
      <c r="R159" s="170"/>
      <c r="S159" s="213">
        <f t="shared" si="47"/>
        <v>1</v>
      </c>
      <c r="T159" s="195" t="str">
        <f t="shared" si="50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1"/>
        <v>https://d0f6bd738d7f1b3e5a7ca70fe4ff75f0.us-east-1.aws.found.io/app/kibana#/discover/Steve-Slow-Train-Analysis-(2080s-and-2083s)?_g=(refreshInterval:(display:Off,pause:!f,section:0,value:0),time:(from:'2017-07-01T23:53:50-0600',mode:absolute,to:'2017-07-02T02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197" t="str">
        <f>IF(AA159&lt;VLOOKUP(AG159,Variables!$AC$3:$AD$8,2,FALSE),"Y","N")</f>
        <v>N</v>
      </c>
      <c r="X159" s="197">
        <f t="shared" ref="X159:X168" si="65">VALUE(LEFT(AD159,4))-VALUE(LEFT(AD158,4))</f>
        <v>1</v>
      </c>
      <c r="Y159" s="197">
        <f t="shared" si="53"/>
        <v>4.4200000000000003E-2</v>
      </c>
      <c r="Z159" s="197">
        <f t="shared" si="54"/>
        <v>23.328900000000001</v>
      </c>
      <c r="AA159" s="197">
        <f t="shared" si="55"/>
        <v>23.284700000000001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6"/>
        <v>245</v>
      </c>
      <c r="AE159" s="77" t="str">
        <f t="shared" si="57"/>
        <v>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 &amp; 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</v>
      </c>
      <c r="AF159" s="74" t="str">
        <f t="shared" si="58"/>
        <v>"C:\Program Files (x86)\AstroGrep\AstroGrep.exe" /e /r /s /spath="%USERPROFILE%\AppData\Local\Temp\OnboardLogs" /stypes="app*4008*20170702*" /stext=" 07:.+((SYSTEM_STATE.+slice.+state.+changed )|(ment ac)|(multiple cpu faults)|(system.+state.+changed )|(\[timeout)|(PRM\|1\|D)|(kpr)|(kdp)|(train st.+moving)|(\|lc)|(penalty))"</v>
      </c>
      <c r="AG159" s="209" t="str">
        <f t="shared" si="59"/>
        <v>EC</v>
      </c>
      <c r="AH159" s="78" t="str">
        <f t="shared" si="60"/>
        <v>"%USERPROFILE%\Documents\GitHub\eaglep3\Utilities\RefineRTDCRunTimes.py" --tripid 245-01 --locoid 4008 --swversion DE.1.0.9.0 --startMP 204:442 --initTime 2017-07-02T00:53:50 --startdatetime 2017-07-02T01:00:43 --delay 1 --endMP 204:233289 --enddatetime 2017-07-02T01:36:02 --enforcementcount 0 &gt;&gt;C:\Users\stu\Documents\GitHub\eaglep3-reporting\EC\2017-07-01-refined-times.txt</v>
      </c>
      <c r="AI159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{"issue":{"subject":"","project_id":79,"tracker_id":40,"status_id":1,"priority_id":2,"assigned_to_id":23,"start_date":"2017-07-02","description":"","custom_fields":[{"id":1,"name":"Subdivision","value":"EC"},{"id":4,"name":"Milepost","value":"23.3289"},{"id":17,"name":"Train ID","value":"245-01"},{"id":16,"name":"Locomotive ID","value":"4008"},{"id":130,"name":"Impact","value":""},{"id":150,"name":"Time of Event (Mountain Time)","value":"01:36:02"},{"id":151,"name":"Denver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2"/>
        <v>start /low /b %USERPROFILE%\Documents\GitHub\eaglep3\Utilities\DownloadLogsFromS3.py --loco 4008 --day 2017-07-02</v>
      </c>
      <c r="AN159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673</v>
      </c>
      <c r="B160" s="7">
        <v>4007</v>
      </c>
      <c r="C160" s="21" t="s">
        <v>202</v>
      </c>
      <c r="D160" s="21" t="s">
        <v>489</v>
      </c>
      <c r="E160" s="13">
        <v>42918.074583333335</v>
      </c>
      <c r="F160" s="13">
        <v>42918.081412037034</v>
      </c>
      <c r="G160" s="7">
        <v>1</v>
      </c>
      <c r="H160" s="21" t="s">
        <v>619</v>
      </c>
      <c r="I160" s="13">
        <v>42918.109768518516</v>
      </c>
      <c r="J160" s="7">
        <v>0</v>
      </c>
      <c r="K160" s="89" t="str">
        <f t="shared" si="48"/>
        <v>4007/4008</v>
      </c>
      <c r="L160" s="21" t="str">
        <f>VLOOKUP(A160,'Trips&amp;Operators'!$C$1:$G$99999,5,FALSE)</f>
        <v>LAMAR NEKESHA</v>
      </c>
      <c r="M160" s="6">
        <f t="shared" si="49"/>
        <v>2.8356481481750961E-2</v>
      </c>
      <c r="N160" s="7">
        <f t="shared" si="64"/>
        <v>40.833333333721384</v>
      </c>
      <c r="O160" s="7"/>
      <c r="P160" s="7"/>
      <c r="Q160" s="22"/>
      <c r="R160" s="170"/>
      <c r="S160" s="213">
        <f t="shared" si="47"/>
        <v>1</v>
      </c>
      <c r="T160" s="195" t="str">
        <f t="shared" si="50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1"/>
        <v>https://d0f6bd738d7f1b3e5a7ca70fe4ff75f0.us-east-1.aws.found.io/app/kibana#/discover/Steve-Slow-Train-Analysis-(2080s-and-2083s)?_g=(refreshInterval:(display:Off,pause:!f,section:0,value:0),time:(from:'2017-07-02T00:47:24-0600',mode:absolute,to:'2017-07-02T03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97" t="str">
        <f>IF(AA160&lt;VLOOKUP(AG160,Variables!$AC$3:$AD$8,2,FALSE),"Y","N")</f>
        <v>N</v>
      </c>
      <c r="X160" s="197">
        <f t="shared" si="65"/>
        <v>1</v>
      </c>
      <c r="Y160" s="197">
        <f t="shared" si="53"/>
        <v>23.2973</v>
      </c>
      <c r="Z160" s="197">
        <f t="shared" si="54"/>
        <v>1.6500000000000001E-2</v>
      </c>
      <c r="AA160" s="197">
        <f t="shared" si="55"/>
        <v>23.280799999999999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6"/>
        <v>246</v>
      </c>
      <c r="AE160" s="77" t="str">
        <f t="shared" si="57"/>
        <v>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 &amp; 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</v>
      </c>
      <c r="AF160" s="74" t="str">
        <f t="shared" si="58"/>
        <v>"C:\Program Files (x86)\AstroGrep\AstroGrep.exe" /e /r /s /spath="%USERPROFILE%\AppData\Local\Temp\OnboardLogs" /stypes="app*4007*20170702*" /stext=" 08:.+((SYSTEM_STATE.+slice.+state.+changed )|(ment ac)|(multiple cpu faults)|(system.+state.+changed )|(\[timeout)|(PRM\|1\|D)|(kpr)|(kdp)|(train st.+moving)|(\|lc)|(penalty))"</v>
      </c>
      <c r="AG160" s="209" t="str">
        <f t="shared" si="59"/>
        <v>EC</v>
      </c>
      <c r="AH160" s="78" t="str">
        <f t="shared" si="60"/>
        <v>"%USERPROFILE%\Documents\GitHub\eaglep3\Utilities\RefineRTDCRunTimes.py" --tripid 246-01 --locoid 4007 --swversion DE.1.0.9.0 --startMP 204:232973 --initTime 2017-07-02T01:47:24 --startdatetime 2017-07-02T01:57:14 --delay 1 --endMP 204:165 --enddatetime 2017-07-02T02:38:04 --enforcementcount 0 &gt;&gt;C:\Users\stu\Documents\GitHub\eaglep3-reporting\EC\2017-07-01-refined-times.txt</v>
      </c>
      <c r="AI160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ID","value":"246-01"},{"id":16,"name":"Locomotive ID","value":"4007"},{"id":130,"name":"Impact","value":""},{"id":150,"name":"Time of Event (Mountain Time)","value":"02:38:04"},{"id":151,"name":"Denver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2"/>
        <v>start /low /b %USERPROFILE%\Documents\GitHub\eaglep3\Utilities\DownloadLogsFromS3.py --loco 4007 --day 2017-07-02</v>
      </c>
      <c r="AN16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719</v>
      </c>
      <c r="B161" s="7">
        <v>4005</v>
      </c>
      <c r="C161" s="21" t="s">
        <v>202</v>
      </c>
      <c r="D161" s="21" t="s">
        <v>480</v>
      </c>
      <c r="E161" s="13">
        <v>42917.235393518517</v>
      </c>
      <c r="F161" s="13">
        <v>42917.236770833333</v>
      </c>
      <c r="G161" s="7">
        <v>1</v>
      </c>
      <c r="H161" s="21" t="s">
        <v>557</v>
      </c>
      <c r="I161" s="13">
        <v>42917.246122685188</v>
      </c>
      <c r="J161" s="7">
        <v>0</v>
      </c>
      <c r="K161" s="89" t="str">
        <f t="shared" si="48"/>
        <v>4005/4006</v>
      </c>
      <c r="L161" s="21" t="str">
        <f>VLOOKUP(A161,'Trips&amp;Operators'!$C$1:$G$99999,5,FALSE)</f>
        <v>ROCHA YAOTL</v>
      </c>
      <c r="M161" s="6">
        <f t="shared" si="49"/>
        <v>9.3518518551718444E-3</v>
      </c>
      <c r="N161" s="7">
        <f t="shared" si="64"/>
        <v>13.466666671447456</v>
      </c>
      <c r="O161" s="7"/>
      <c r="P161" s="7"/>
      <c r="Q161" s="22"/>
      <c r="R161" s="170"/>
      <c r="S161" s="213">
        <f t="shared" si="47"/>
        <v>1</v>
      </c>
      <c r="T161" s="195" t="str">
        <f t="shared" si="5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1"/>
        <v>https://d0f6bd738d7f1b3e5a7ca70fe4ff75f0.us-east-1.aws.found.io/app/kibana#/discover/Steve-Slow-Train-Analysis-(2080s-and-2083s)?_g=(refreshInterval:(display:Off,pause:!f,section:0,value:0),time:(from:'2017-07-01T04:38:58-0600',mode:absolute,to:'2017-07-01T06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197" t="str">
        <f>IF(AA161&lt;VLOOKUP(AG161,Variables!$AC$3:$AD$8,2,FALSE),"Y","N")</f>
        <v>N</v>
      </c>
      <c r="X161" s="197">
        <f t="shared" si="65"/>
        <v>1554</v>
      </c>
      <c r="Y161" s="197">
        <f t="shared" si="53"/>
        <v>5.8634000000000004</v>
      </c>
      <c r="Z161" s="197">
        <f t="shared" si="54"/>
        <v>6.7799999999999999E-2</v>
      </c>
      <c r="AA161" s="197">
        <f t="shared" si="55"/>
        <v>5.7956000000000003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6"/>
        <v>1800</v>
      </c>
      <c r="AE16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1" s="74" t="str">
        <f t="shared" si="58"/>
        <v>"C:\Program Files (x86)\AstroGrep\AstroGrep.exe" /e /r /s /spath="%USERPROFILE%\AppData\Local\Temp\OnboardLogs" /stypes="app*4005*20170701*" /stext=" 11:.+((SYSTEM_STATE.+slice.+state.+changed )|(ment ac)|(multiple cpu faults)|(system.+state.+changed )|(\[timeout)|(PRM\|1\|D)|(kpr)|(kdp)|(train st.+moving)|(\|lc)|(penalty))"</v>
      </c>
      <c r="AG161" s="209" t="str">
        <f t="shared" si="59"/>
        <v>NW</v>
      </c>
      <c r="AH161" s="78" t="str">
        <f t="shared" si="60"/>
        <v>"%USERPROFILE%\Documents\GitHub\eaglep3\Utilities\RefineRTDCRunTimes.py" --tripid 1800-01 --locoid 4005 --swversion DE.1.0.9.0 --startMP 300:58634 --initTime 2017-07-01T05:38:58 --startdatetime 2017-07-01T05:40:57 --delay 1 --endMP 204:678 --enddatetime 2017-07-01T05:54:25 --enforcementcount 0 &gt;&gt;C:\Users\stu\Documents\GitHub\eaglep3-reporting\EC\2017-07-01-refined-times.txt</v>
      </c>
      <c r="AI16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{"issue":{"subject":"","project_id":79,"tracker_id":40,"status_id":1,"priority_id":2,"assigned_to_id":23,"start_date":"2017-07-01","description":"","custom_fields":[{"id":1,"name":"Subdivision","value":"NW"},{"id":4,"name":"Milepost","value":"0.0678"},{"id":17,"name":"Train ID","value":"1800-01"},{"id":16,"name":"Locomotive ID","value":"4005"},{"id":130,"name":"Impact","value":""},{"id":150,"name":"Time of Event (Mountain Time)","value":"05:54:25"},{"id":151,"name":"Denver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2"/>
        <v>start /low /b %USERPROFILE%\Documents\GitHub\eaglep3\Utilities\DownloadLogsFromS3.py --loco 4005 --day 2017-07-01</v>
      </c>
      <c r="AN16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640</v>
      </c>
      <c r="B162" s="7">
        <v>4006</v>
      </c>
      <c r="C162" s="21" t="s">
        <v>202</v>
      </c>
      <c r="D162" s="21" t="s">
        <v>927</v>
      </c>
      <c r="E162" s="13">
        <v>42917.261435185188</v>
      </c>
      <c r="F162" s="13">
        <v>42917.264907407407</v>
      </c>
      <c r="G162" s="7">
        <v>1</v>
      </c>
      <c r="H162" s="21" t="s">
        <v>928</v>
      </c>
      <c r="I162" s="13">
        <v>42917.274421296293</v>
      </c>
      <c r="J162" s="7">
        <v>0</v>
      </c>
      <c r="K162" s="89" t="str">
        <f t="shared" si="48"/>
        <v>4005/4006</v>
      </c>
      <c r="L162" s="21" t="str">
        <f>VLOOKUP(A162,'Trips&amp;Operators'!$C$1:$G$99999,5,FALSE)</f>
        <v>ROCHA YAOTL</v>
      </c>
      <c r="M162" s="6">
        <f t="shared" si="49"/>
        <v>9.5138888864312321E-3</v>
      </c>
      <c r="N162" s="7">
        <f t="shared" si="64"/>
        <v>13.699999996460974</v>
      </c>
      <c r="O162" s="7"/>
      <c r="P162" s="7"/>
      <c r="Q162" s="22"/>
      <c r="R162" s="170"/>
      <c r="S162" s="213">
        <f t="shared" si="47"/>
        <v>1</v>
      </c>
      <c r="T162" s="195" t="str">
        <f t="shared" si="5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1"/>
        <v>https://d0f6bd738d7f1b3e5a7ca70fe4ff75f0.us-east-1.aws.found.io/app/kibana#/discover/Steve-Slow-Train-Analysis-(2080s-and-2083s)?_g=(refreshInterval:(display:Off,pause:!f,section:0,value:0),time:(from:'2017-07-01T05:16:28-0600',mode:absolute,to:'2017-07-01T07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2" s="197" t="str">
        <f>IF(AA162&lt;VLOOKUP(AG162,Variables!$AC$3:$AD$8,2,FALSE),"Y","N")</f>
        <v>N</v>
      </c>
      <c r="X162" s="197">
        <f t="shared" si="65"/>
        <v>1</v>
      </c>
      <c r="Y162" s="197">
        <f t="shared" si="53"/>
        <v>9.5000000000000001E-2</v>
      </c>
      <c r="Z162" s="197">
        <f t="shared" si="54"/>
        <v>5.8075000000000001</v>
      </c>
      <c r="AA162" s="197">
        <f t="shared" si="55"/>
        <v>5.7125000000000004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6"/>
        <v>1801</v>
      </c>
      <c r="AE16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2" s="74" t="str">
        <f t="shared" si="58"/>
        <v>"C:\Program Files (x86)\AstroGrep\AstroGrep.exe" /e /r /s /spath="%USERPROFILE%\AppData\Local\Temp\OnboardLogs" /stypes="app*4006*20170701*" /stext=" 12:.+((SYSTEM_STATE.+slice.+state.+changed )|(ment ac)|(multiple cpu faults)|(system.+state.+changed )|(\[timeout)|(PRM\|1\|D)|(kpr)|(kdp)|(train st.+moving)|(\|lc)|(penalty))"</v>
      </c>
      <c r="AG162" s="209" t="str">
        <f t="shared" si="59"/>
        <v>NW</v>
      </c>
      <c r="AH162" s="78" t="str">
        <f t="shared" si="60"/>
        <v>"%USERPROFILE%\Documents\GitHub\eaglep3\Utilities\RefineRTDCRunTimes.py" --tripid 1801-01 --locoid 4006 --swversion DE.1.0.9.0 --startMP 204:950 --initTime 2017-07-01T06:16:28 --startdatetime 2017-07-01T06:21:28 --delay 1 --endMP 300:58075 --enddatetime 2017-07-01T06:35:10 --enforcementcount 0 &gt;&gt;C:\Users\stu\Documents\GitHub\eaglep3-reporting\EC\2017-07-01-refined-times.txt</v>
      </c>
      <c r="AI16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{"issue":{"subject":"","project_id":79,"tracker_id":40,"status_id":1,"priority_id":2,"assigned_to_id":23,"start_date":"2017-07-01","description":"","custom_fields":[{"id":1,"name":"Subdivision","value":"NW"},{"id":4,"name":"Milepost","value":"5.8075"},{"id":17,"name":"Train ID","value":"1801-01"},{"id":16,"name":"Locomotive ID","value":"4006"},{"id":130,"name":"Impact","value":""},{"id":150,"name":"Time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2"/>
        <v>start /low /b %USERPROFILE%\Documents\GitHub\eaglep3\Utilities\DownloadLogsFromS3.py --loco 4006 --day 2017-07-01</v>
      </c>
      <c r="AN162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726</v>
      </c>
      <c r="B163" s="7">
        <v>4005</v>
      </c>
      <c r="C163" s="21" t="s">
        <v>202</v>
      </c>
      <c r="D163" s="21" t="s">
        <v>624</v>
      </c>
      <c r="E163" s="13">
        <v>42917.27547453704</v>
      </c>
      <c r="F163" s="13">
        <v>42917.276886574073</v>
      </c>
      <c r="G163" s="7">
        <v>1</v>
      </c>
      <c r="H163" s="21" t="s">
        <v>929</v>
      </c>
      <c r="I163" s="13">
        <v>42917.287754629629</v>
      </c>
      <c r="J163" s="7">
        <v>0</v>
      </c>
      <c r="K163" s="89" t="str">
        <f t="shared" si="48"/>
        <v>4005/4006</v>
      </c>
      <c r="L163" s="21" t="str">
        <f>VLOOKUP(A163,'Trips&amp;Operators'!$C$1:$G$99999,5,FALSE)</f>
        <v>ROCHA YAOTL</v>
      </c>
      <c r="M163" s="6">
        <f t="shared" si="49"/>
        <v>1.0868055556784384E-2</v>
      </c>
      <c r="N163" s="7">
        <f t="shared" si="64"/>
        <v>15.650000001769513</v>
      </c>
      <c r="O163" s="7"/>
      <c r="P163" s="7"/>
      <c r="Q163" s="22"/>
      <c r="R163" s="170"/>
      <c r="S163" s="213">
        <f t="shared" si="47"/>
        <v>1</v>
      </c>
      <c r="T163" s="195" t="str">
        <f t="shared" si="5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1"/>
        <v>https://d0f6bd738d7f1b3e5a7ca70fe4ff75f0.us-east-1.aws.found.io/app/kibana#/discover/Steve-Slow-Train-Analysis-(2080s-and-2083s)?_g=(refreshInterval:(display:Off,pause:!f,section:0,value:0),time:(from:'2017-07-01T05:36:41-0600',mode:absolute,to:'2017-07-01T07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3" s="197" t="str">
        <f>IF(AA163&lt;VLOOKUP(AG163,Variables!$AC$3:$AD$8,2,FALSE),"Y","N")</f>
        <v>N</v>
      </c>
      <c r="X163" s="197">
        <f t="shared" si="65"/>
        <v>1</v>
      </c>
      <c r="Y163" s="197">
        <f t="shared" si="53"/>
        <v>5.8651</v>
      </c>
      <c r="Z163" s="197">
        <f t="shared" si="54"/>
        <v>6.3100000000000003E-2</v>
      </c>
      <c r="AA163" s="197">
        <f t="shared" si="55"/>
        <v>5.8019999999999996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6"/>
        <v>1802</v>
      </c>
      <c r="AE16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3" s="74" t="str">
        <f t="shared" si="58"/>
        <v>"C:\Program Files (x86)\AstroGrep\AstroGrep.exe" /e /r /s /spath="%USERPROFILE%\AppData\Local\Temp\OnboardLogs" /stypes="app*4005*20170701*" /stext=" 12:.+((SYSTEM_STATE.+slice.+state.+changed )|(ment ac)|(multiple cpu faults)|(system.+state.+changed )|(\[timeout)|(PRM\|1\|D)|(kpr)|(kdp)|(train st.+moving)|(\|lc)|(penalty))"</v>
      </c>
      <c r="AG163" s="209" t="str">
        <f t="shared" si="59"/>
        <v>NW</v>
      </c>
      <c r="AH163" s="78" t="str">
        <f t="shared" si="60"/>
        <v>"%USERPROFILE%\Documents\GitHub\eaglep3\Utilities\RefineRTDCRunTimes.py" --tripid 1802-01 --locoid 4005 --swversion DE.1.0.9.0 --startMP 300:58651 --initTime 2017-07-01T06:36:41 --startdatetime 2017-07-01T06:38:43 --delay 1 --endMP 204:631 --enddatetime 2017-07-01T06:54:22 --enforcementcount 0 &gt;&gt;C:\Users\stu\Documents\GitHub\eaglep3-reporting\EC\2017-07-01-refined-times.txt</v>
      </c>
      <c r="AI16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{"issue":{"subject":"","project_id":79,"tracker_id":40,"status_id":1,"priority_id":2,"assigned_to_id":23,"start_date":"2017-07-01","description":"","custom_fields":[{"id":1,"name":"Subdivision","value":"NW"},{"id":4,"name":"Milepost","value":"0.0631"},{"id":17,"name":"Train ID","value":"1802-01"},{"id":16,"name":"Locomotive ID","value":"4005"},{"id":130,"name":"Impact","value":""},{"id":150,"name":"Time of Event (Mountain Time)","value":"06:54:22"},{"id":151,"name":"Denver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2"/>
        <v>start /low /b %USERPROFILE%\Documents\GitHub\eaglep3\Utilities\DownloadLogsFromS3.py --loco 4005 --day 2017-07-01</v>
      </c>
      <c r="AN16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733</v>
      </c>
      <c r="B164" s="7">
        <v>4006</v>
      </c>
      <c r="C164" s="21" t="s">
        <v>202</v>
      </c>
      <c r="D164" s="21" t="s">
        <v>930</v>
      </c>
      <c r="E164" s="13">
        <v>42917.305115740739</v>
      </c>
      <c r="F164" s="13">
        <v>42917.306562500002</v>
      </c>
      <c r="G164" s="7">
        <v>1</v>
      </c>
      <c r="H164" s="21" t="s">
        <v>517</v>
      </c>
      <c r="I164" s="13">
        <v>42917.31591435185</v>
      </c>
      <c r="J164" s="7">
        <v>0</v>
      </c>
      <c r="K164" s="89" t="str">
        <f t="shared" si="48"/>
        <v>4005/4006</v>
      </c>
      <c r="L164" s="21" t="str">
        <f>VLOOKUP(A164,'Trips&amp;Operators'!$C$1:$G$99999,5,FALSE)</f>
        <v>ROCHA YAOTL</v>
      </c>
      <c r="M164" s="6">
        <f t="shared" si="49"/>
        <v>9.3518518478958867E-3</v>
      </c>
      <c r="N164" s="7">
        <f t="shared" si="64"/>
        <v>13.466666660970077</v>
      </c>
      <c r="O164" s="7"/>
      <c r="P164" s="7"/>
      <c r="Q164" s="22"/>
      <c r="R164" s="170"/>
      <c r="S164" s="213">
        <f t="shared" si="47"/>
        <v>1</v>
      </c>
      <c r="T164" s="195" t="str">
        <f t="shared" si="5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1"/>
        <v>https://d0f6bd738d7f1b3e5a7ca70fe4ff75f0.us-east-1.aws.found.io/app/kibana#/discover/Steve-Slow-Train-Analysis-(2080s-and-2083s)?_g=(refreshInterval:(display:Off,pause:!f,section:0,value:0),time:(from:'2017-07-01T06:19:22-0600',mode:absolute,to:'2017-07-01T08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4" s="197" t="str">
        <f>IF(AA164&lt;VLOOKUP(AG164,Variables!$AC$3:$AD$8,2,FALSE),"Y","N")</f>
        <v>N</v>
      </c>
      <c r="X164" s="197">
        <f t="shared" si="65"/>
        <v>1</v>
      </c>
      <c r="Y164" s="197">
        <f t="shared" si="53"/>
        <v>9.4299999999999995E-2</v>
      </c>
      <c r="Z164" s="197">
        <f t="shared" si="54"/>
        <v>5.8949999999999996</v>
      </c>
      <c r="AA164" s="197">
        <f t="shared" si="55"/>
        <v>5.8007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6"/>
        <v>1803</v>
      </c>
      <c r="AE16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4" s="74" t="str">
        <f t="shared" si="58"/>
        <v>"C:\Program Files (x86)\AstroGrep\AstroGrep.exe" /e /r /s /spath="%USERPROFILE%\AppData\Local\Temp\OnboardLogs" /stypes="app*4006*20170701*" /stext=" 13:.+((SYSTEM_STATE.+slice.+state.+changed )|(ment ac)|(multiple cpu faults)|(system.+state.+changed )|(\[timeout)|(PRM\|1\|D)|(kpr)|(kdp)|(train st.+moving)|(\|lc)|(penalty))"</v>
      </c>
      <c r="AG164" s="209" t="str">
        <f t="shared" si="59"/>
        <v>NW</v>
      </c>
      <c r="AH164" s="78" t="str">
        <f t="shared" si="60"/>
        <v>"%USERPROFILE%\Documents\GitHub\eaglep3\Utilities\RefineRTDCRunTimes.py" --tripid 1803-01 --locoid 4006 --swversion DE.1.0.9.0 --startMP 204:943 --initTime 2017-07-01T07:19:22 --startdatetime 2017-07-01T07:21:27 --delay 1 --endMP 300:58950 --enddatetime 2017-07-01T07:34:55 --enforcementcount 0 &gt;&gt;C:\Users\stu\Documents\GitHub\eaglep3-reporting\EC\2017-07-01-refined-times.txt</v>
      </c>
      <c r="AI16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{"issue":{"subject":"","project_id":79,"tracker_id":40,"status_id":1,"priority_id":2,"assigned_to_id":23,"start_date":"2017-07-01","description":"","custom_fields":[{"id":1,"name":"Subdivision","value":"NW"},{"id":4,"name":"Milepost","value":"5.895"},{"id":17,"name":"Train ID","value":"1803-01"},{"id":16,"name":"Locomotive ID","value":"4006"},{"id":130,"name":"Impact","value":""},{"id":150,"name":"Time of Event (Mountain Time)","value":"07:34:55"},{"id":151,"name":"Denver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2"/>
        <v>start /low /b %USERPROFILE%\Documents\GitHub\eaglep3\Utilities\DownloadLogsFromS3.py --loco 4006 --day 2017-07-01</v>
      </c>
      <c r="AN164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736</v>
      </c>
      <c r="B165" s="7">
        <v>4005</v>
      </c>
      <c r="C165" s="21" t="s">
        <v>202</v>
      </c>
      <c r="D165" s="21" t="s">
        <v>622</v>
      </c>
      <c r="E165" s="13">
        <v>42917.317858796298</v>
      </c>
      <c r="F165" s="13">
        <v>42917.319351851853</v>
      </c>
      <c r="G165" s="7">
        <v>1</v>
      </c>
      <c r="H165" s="21" t="s">
        <v>559</v>
      </c>
      <c r="I165" s="13">
        <v>42917.329756944448</v>
      </c>
      <c r="J165" s="7">
        <v>0</v>
      </c>
      <c r="K165" s="89" t="str">
        <f t="shared" si="48"/>
        <v>4005/4006</v>
      </c>
      <c r="L165" s="21" t="str">
        <f>VLOOKUP(A165,'Trips&amp;Operators'!$C$1:$G$99999,5,FALSE)</f>
        <v>ROCHA YAOTL</v>
      </c>
      <c r="M165" s="6">
        <f t="shared" si="49"/>
        <v>1.0405092594737653E-2</v>
      </c>
      <c r="N165" s="7">
        <f t="shared" si="64"/>
        <v>14.98333333642222</v>
      </c>
      <c r="O165" s="7"/>
      <c r="P165" s="7"/>
      <c r="Q165" s="22"/>
      <c r="R165" s="170"/>
      <c r="S165" s="213">
        <f t="shared" si="47"/>
        <v>1</v>
      </c>
      <c r="T165" s="195" t="str">
        <f t="shared" si="5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1"/>
        <v>https://d0f6bd738d7f1b3e5a7ca70fe4ff75f0.us-east-1.aws.found.io/app/kibana#/discover/Steve-Slow-Train-Analysis-(2080s-and-2083s)?_g=(refreshInterval:(display:Off,pause:!f,section:0,value:0),time:(from:'2017-07-01T06:37:43-0600',mode:absolute,to:'2017-07-01T08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197" t="str">
        <f>IF(AA165&lt;VLOOKUP(AG165,Variables!$AC$3:$AD$8,2,FALSE),"Y","N")</f>
        <v>N</v>
      </c>
      <c r="X165" s="197">
        <f t="shared" si="65"/>
        <v>1</v>
      </c>
      <c r="Y165" s="197">
        <f t="shared" si="53"/>
        <v>5.8630000000000004</v>
      </c>
      <c r="Z165" s="197">
        <f t="shared" si="54"/>
        <v>6.9099999999999995E-2</v>
      </c>
      <c r="AA165" s="197">
        <f t="shared" si="55"/>
        <v>5.7939000000000007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6"/>
        <v>1804</v>
      </c>
      <c r="AE165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5" s="74" t="str">
        <f t="shared" si="58"/>
        <v>"C:\Program Files (x86)\AstroGrep\AstroGrep.exe" /e /r /s /spath="%USERPROFILE%\AppData\Local\Temp\OnboardLogs" /stypes="app*4005*20170701*" /stext=" 13:.+((SYSTEM_STATE.+slice.+state.+changed )|(ment ac)|(multiple cpu faults)|(system.+state.+changed )|(\[timeout)|(PRM\|1\|D)|(kpr)|(kdp)|(train st.+moving)|(\|lc)|(penalty))"</v>
      </c>
      <c r="AG165" s="209" t="str">
        <f t="shared" si="59"/>
        <v>NW</v>
      </c>
      <c r="AH165" s="78" t="str">
        <f t="shared" si="60"/>
        <v>"%USERPROFILE%\Documents\GitHub\eaglep3\Utilities\RefineRTDCRunTimes.py" --tripid 1804-01 --locoid 4005 --swversion DE.1.0.9.0 --startMP 300:58630 --initTime 2017-07-01T07:37:43 --startdatetime 2017-07-01T07:39:52 --delay 1 --endMP 204:691 --enddatetime 2017-07-01T07:54:51 --enforcementcount 0 &gt;&gt;C:\Users\stu\Documents\GitHub\eaglep3-reporting\EC\2017-07-01-refined-times.txt</v>
      </c>
      <c r="AI165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{"issue":{"subject":"","project_id":79,"tracker_id":40,"status_id":1,"priority_id":2,"assigned_to_id":23,"start_date":"2017-07-01","description":"","custom_fields":[{"id":1,"name":"Subdivision","value":"NW"},{"id":4,"name":"Milepost","value":"0.0691"},{"id":17,"name":"Train ID","value":"1804-01"},{"id":16,"name":"Locomotive ID","value":"4005"},{"id":130,"name":"Impact","value":""},{"id":150,"name":"Time of Event (Mountain Time)","value":"07:54:51"},{"id":151,"name":"Denver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2"/>
        <v>start /low /b %USERPROFILE%\Documents\GitHub\eaglep3\Utilities\DownloadLogsFromS3.py --loco 4005 --day 2017-07-01</v>
      </c>
      <c r="AN16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644</v>
      </c>
      <c r="B166" s="7">
        <v>4006</v>
      </c>
      <c r="C166" s="21" t="s">
        <v>202</v>
      </c>
      <c r="D166" s="21" t="s">
        <v>931</v>
      </c>
      <c r="E166" s="13">
        <v>42917.331574074073</v>
      </c>
      <c r="F166" s="13">
        <v>42917.348391203705</v>
      </c>
      <c r="G166" s="7">
        <v>1</v>
      </c>
      <c r="H166" s="21" t="s">
        <v>932</v>
      </c>
      <c r="I166" s="13">
        <v>42917.357997685183</v>
      </c>
      <c r="J166" s="7">
        <v>0</v>
      </c>
      <c r="K166" s="89" t="str">
        <f t="shared" si="48"/>
        <v>4005/4006</v>
      </c>
      <c r="L166" s="21" t="str">
        <f>VLOOKUP(A166,'Trips&amp;Operators'!$C$1:$G$99999,5,FALSE)</f>
        <v>ROCHA YAOTL</v>
      </c>
      <c r="M166" s="6">
        <f t="shared" si="49"/>
        <v>9.6064814788405783E-3</v>
      </c>
      <c r="N166" s="7">
        <f t="shared" si="64"/>
        <v>13.833333329530433</v>
      </c>
      <c r="O166" s="7"/>
      <c r="P166" s="7"/>
      <c r="Q166" s="22"/>
      <c r="R166" s="170"/>
      <c r="S166" s="213">
        <f t="shared" si="47"/>
        <v>1</v>
      </c>
      <c r="T166" s="195" t="str">
        <f t="shared" si="5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1"/>
        <v>https://d0f6bd738d7f1b3e5a7ca70fe4ff75f0.us-east-1.aws.found.io/app/kibana#/discover/Steve-Slow-Train-Analysis-(2080s-and-2083s)?_g=(refreshInterval:(display:Off,pause:!f,section:0,value:0),time:(from:'2017-07-01T06:57:28-0600',mode:absolute,to:'2017-07-01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197" t="str">
        <f>IF(AA166&lt;VLOOKUP(AG166,Variables!$AC$3:$AD$8,2,FALSE),"Y","N")</f>
        <v>N</v>
      </c>
      <c r="X166" s="197">
        <f t="shared" si="65"/>
        <v>1</v>
      </c>
      <c r="Y166" s="197">
        <f t="shared" si="53"/>
        <v>9.4100000000000003E-2</v>
      </c>
      <c r="Z166" s="197">
        <f t="shared" si="54"/>
        <v>5.8963000000000001</v>
      </c>
      <c r="AA166" s="197">
        <f t="shared" si="55"/>
        <v>5.8022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6"/>
        <v>1805</v>
      </c>
      <c r="AE166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6" s="74" t="str">
        <f t="shared" si="58"/>
        <v>"C:\Program Files (x86)\AstroGrep\AstroGrep.exe" /e /r /s /spath="%USERPROFILE%\AppData\Local\Temp\OnboardLogs" /stypes="app*4006*20170701*" /stext=" 14:.+((SYSTEM_STATE.+slice.+state.+changed )|(ment ac)|(multiple cpu faults)|(system.+state.+changed )|(\[timeout)|(PRM\|1\|D)|(kpr)|(kdp)|(train st.+moving)|(\|lc)|(penalty))"</v>
      </c>
      <c r="AG166" s="209" t="str">
        <f t="shared" si="59"/>
        <v>NW</v>
      </c>
      <c r="AH166" s="78" t="str">
        <f t="shared" si="60"/>
        <v>"%USERPROFILE%\Documents\GitHub\eaglep3\Utilities\RefineRTDCRunTimes.py" --tripid 1805-01 --locoid 4006 --swversion DE.1.0.9.0 --startMP 204:941 --initTime 2017-07-01T07:57:28 --startdatetime 2017-07-01T08:21:41 --delay 1 --endMP 300:58963 --enddatetime 2017-07-01T08:35:31 --enforcementcount 0 &gt;&gt;C:\Users\stu\Documents\GitHub\eaglep3-reporting\EC\2017-07-01-refined-times.txt</v>
      </c>
      <c r="AI166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{"issue":{"subject":"","project_id":79,"tracker_id":40,"status_id":1,"priority_id":2,"assigned_to_id":23,"start_date":"2017-07-01","description":"","custom_fields":[{"id":1,"name":"Subdivision","value":"NW"},{"id":4,"name":"Milepost","value":"5.8963"},{"id":17,"name":"Train ID","value":"1805-01"},{"id":16,"name":"Locomotive ID","value":"4006"},{"id":130,"name":"Impact","value":""},{"id":150,"name":"Time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2"/>
        <v>start /low /b %USERPROFILE%\Documents\GitHub\eaglep3\Utilities\DownloadLogsFromS3.py --loco 4006 --day 2017-07-01</v>
      </c>
      <c r="AN166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742</v>
      </c>
      <c r="B167" s="7">
        <v>4005</v>
      </c>
      <c r="C167" s="21" t="s">
        <v>202</v>
      </c>
      <c r="D167" s="21" t="s">
        <v>933</v>
      </c>
      <c r="E167" s="13">
        <v>42917.359016203707</v>
      </c>
      <c r="F167" s="13">
        <v>42917.360868055555</v>
      </c>
      <c r="G167" s="7">
        <v>1</v>
      </c>
      <c r="H167" s="21" t="s">
        <v>934</v>
      </c>
      <c r="I167" s="13">
        <v>42917.371400462966</v>
      </c>
      <c r="J167" s="7">
        <v>0</v>
      </c>
      <c r="K167" s="89" t="str">
        <f t="shared" si="48"/>
        <v>4005/4006</v>
      </c>
      <c r="L167" s="21" t="str">
        <f>VLOOKUP(A167,'Trips&amp;Operators'!$C$1:$G$99999,5,FALSE)</f>
        <v>ROCHA YAOTL</v>
      </c>
      <c r="M167" s="6">
        <f t="shared" si="49"/>
        <v>1.0532407410209998E-2</v>
      </c>
      <c r="N167" s="7">
        <f t="shared" si="64"/>
        <v>15.166666670702398</v>
      </c>
      <c r="O167" s="7"/>
      <c r="P167" s="7"/>
      <c r="Q167" s="22"/>
      <c r="R167" s="170"/>
      <c r="S167" s="213">
        <f t="shared" ref="S167:S198" si="66">SUM(U167:U167)/IF(AG167="EC",12,1)</f>
        <v>1</v>
      </c>
      <c r="T167" s="195" t="str">
        <f t="shared" si="5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1"/>
        <v>https://d0f6bd738d7f1b3e5a7ca70fe4ff75f0.us-east-1.aws.found.io/app/kibana#/discover/Steve-Slow-Train-Analysis-(2080s-and-2083s)?_g=(refreshInterval:(display:Off,pause:!f,section:0,value:0),time:(from:'2017-07-01T07:36:59-0600',mode:absolute,to:'2017-07-01T09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197" t="str">
        <f>IF(AA167&lt;VLOOKUP(AG167,Variables!$AC$3:$AD$8,2,FALSE),"Y","N")</f>
        <v>N</v>
      </c>
      <c r="X167" s="197">
        <f t="shared" si="65"/>
        <v>1</v>
      </c>
      <c r="Y167" s="197">
        <f t="shared" si="53"/>
        <v>5.8640999999999996</v>
      </c>
      <c r="Z167" s="197">
        <f t="shared" si="54"/>
        <v>6.5000000000000002E-2</v>
      </c>
      <c r="AA167" s="197">
        <f t="shared" si="55"/>
        <v>5.7990999999999993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6"/>
        <v>1806</v>
      </c>
      <c r="AE167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7" s="74" t="str">
        <f t="shared" si="58"/>
        <v>"C:\Program Files (x86)\AstroGrep\AstroGrep.exe" /e /r /s /spath="%USERPROFILE%\AppData\Local\Temp\OnboardLogs" /stypes="app*4005*20170701*" /stext=" 14:.+((SYSTEM_STATE.+slice.+state.+changed )|(ment ac)|(multiple cpu faults)|(system.+state.+changed )|(\[timeout)|(PRM\|1\|D)|(kpr)|(kdp)|(train st.+moving)|(\|lc)|(penalty))"</v>
      </c>
      <c r="AG167" s="209" t="str">
        <f t="shared" si="59"/>
        <v>NW</v>
      </c>
      <c r="AH167" s="78" t="str">
        <f t="shared" si="60"/>
        <v>"%USERPROFILE%\Documents\GitHub\eaglep3\Utilities\RefineRTDCRunTimes.py" --tripid 1806-01 --locoid 4005 --swversion DE.1.0.9.0 --startMP 300:58641 --initTime 2017-07-01T08:36:59 --startdatetime 2017-07-01T08:39:39 --delay 1 --endMP 204:650 --enddatetime 2017-07-01T08:54:49 --enforcementcount 0 &gt;&gt;C:\Users\stu\Documents\GitHub\eaglep3-reporting\EC\2017-07-01-refined-times.txt</v>
      </c>
      <c r="AI167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{"issue":{"subject":"","project_id":79,"tracker_id":40,"status_id":1,"priority_id":2,"assigned_to_id":23,"start_date":"2017-07-01","description":"","custom_fields":[{"id":1,"name":"Subdivision","value":"NW"},{"id":4,"name":"Milepost","value":"0.065"},{"id":17,"name":"Train ID","value":"1806-01"},{"id":16,"name":"Locomotive ID","value":"4005"},{"id":130,"name":"Impact","value":""},{"id":150,"name":"Time of Event (Mountain Time)","value":"08:54:49"},{"id":151,"name":"Denver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2"/>
        <v>start /low /b %USERPROFILE%\Documents\GitHub\eaglep3\Utilities\DownloadLogsFromS3.py --loco 4005 --day 2017-07-01</v>
      </c>
      <c r="AN167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747</v>
      </c>
      <c r="B168" s="7">
        <v>4006</v>
      </c>
      <c r="C168" s="21" t="s">
        <v>202</v>
      </c>
      <c r="D168" s="21" t="s">
        <v>935</v>
      </c>
      <c r="E168" s="13">
        <v>42917.373101851852</v>
      </c>
      <c r="F168" s="13">
        <v>42917.389988425923</v>
      </c>
      <c r="G168" s="7">
        <v>1</v>
      </c>
      <c r="H168" s="21" t="s">
        <v>936</v>
      </c>
      <c r="I168" s="13">
        <v>42917.399386574078</v>
      </c>
      <c r="J168" s="7">
        <v>0</v>
      </c>
      <c r="K168" s="89" t="str">
        <f t="shared" si="48"/>
        <v>4005/4006</v>
      </c>
      <c r="L168" s="21" t="str">
        <f>VLOOKUP(A168,'Trips&amp;Operators'!$C$1:$G$99999,5,FALSE)</f>
        <v>ROCHA YAOTL</v>
      </c>
      <c r="M168" s="6">
        <f t="shared" si="49"/>
        <v>9.3981481550144963E-3</v>
      </c>
      <c r="N168" s="7">
        <f t="shared" si="64"/>
        <v>13.533333343220875</v>
      </c>
      <c r="O168" s="7"/>
      <c r="P168" s="7"/>
      <c r="Q168" s="22"/>
      <c r="R168" s="170"/>
      <c r="S168" s="213">
        <f t="shared" si="66"/>
        <v>1</v>
      </c>
      <c r="T168" s="195" t="str">
        <f t="shared" si="50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1"/>
        <v>https://d0f6bd738d7f1b3e5a7ca70fe4ff75f0.us-east-1.aws.found.io/app/kibana#/discover/Steve-Slow-Train-Analysis-(2080s-and-2083s)?_g=(refreshInterval:(display:Off,pause:!f,section:0,value:0),time:(from:'2017-07-01T07:57:16-0600',mode:absolute,to:'2017-07-01T10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197" t="str">
        <f>IF(AA168&lt;VLOOKUP(AG168,Variables!$AC$3:$AD$8,2,FALSE),"Y","N")</f>
        <v>N</v>
      </c>
      <c r="X168" s="197">
        <f t="shared" si="65"/>
        <v>1</v>
      </c>
      <c r="Y168" s="197">
        <f t="shared" si="53"/>
        <v>9.4399999999999998E-2</v>
      </c>
      <c r="Z168" s="197">
        <f t="shared" si="54"/>
        <v>5.8975999999999997</v>
      </c>
      <c r="AA168" s="197">
        <f t="shared" si="55"/>
        <v>5.8031999999999995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6"/>
        <v>1807</v>
      </c>
      <c r="AE168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8" s="74" t="str">
        <f t="shared" si="58"/>
        <v>"C:\Program Files (x86)\AstroGrep\AstroGrep.exe" /e /r /s /spath="%USERPROFILE%\AppData\Local\Temp\OnboardLogs" /stypes="app*4006*20170701*" /stext=" 15:.+((SYSTEM_STATE.+slice.+state.+changed )|(ment ac)|(multiple cpu faults)|(system.+state.+changed )|(\[timeout)|(PRM\|1\|D)|(kpr)|(kdp)|(train st.+moving)|(\|lc)|(penalty))"</v>
      </c>
      <c r="AG168" s="209" t="str">
        <f t="shared" si="59"/>
        <v>NW</v>
      </c>
      <c r="AH168" s="78" t="str">
        <f t="shared" si="60"/>
        <v>"%USERPROFILE%\Documents\GitHub\eaglep3\Utilities\RefineRTDCRunTimes.py" --tripid 1807-01 --locoid 4006 --swversion DE.1.0.9.0 --startMP 204:944 --initTime 2017-07-01T08:57:16 --startdatetime 2017-07-01T09:21:35 --delay 1 --endMP 300:58976 --enddatetime 2017-07-01T09:35:07 --enforcementcount 0 &gt;&gt;C:\Users\stu\Documents\GitHub\eaglep3-reporting\EC\2017-07-01-refined-times.txt</v>
      </c>
      <c r="AI168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{"issue":{"subject":"","project_id":79,"tracker_id":40,"status_id":1,"priority_id":2,"assigned_to_id":23,"start_date":"2017-07-01","description":"","custom_fields":[{"id":1,"name":"Subdivision","value":"NW"},{"id":4,"name":"Milepost","value":"5.8976"},{"id":17,"name":"Train ID","value":"1807-01"},{"id":16,"name":"Locomotive ID","value":"4006"},{"id":130,"name":"Impact","value":""},{"id":150,"name":"Time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2"/>
        <v>start /low /b %USERPROFILE%\Documents\GitHub\eaglep3\Utilities\DownloadLogsFromS3.py --loco 4006 --day 2017-07-01</v>
      </c>
      <c r="AN168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753</v>
      </c>
      <c r="B169" s="7">
        <v>4005</v>
      </c>
      <c r="C169" s="21" t="s">
        <v>202</v>
      </c>
      <c r="D169" s="21" t="s">
        <v>937</v>
      </c>
      <c r="E169" s="13">
        <v>42917.400393518517</v>
      </c>
      <c r="F169" s="13">
        <v>42917.401875000003</v>
      </c>
      <c r="G169" s="7">
        <v>1</v>
      </c>
      <c r="H169" s="21" t="s">
        <v>938</v>
      </c>
      <c r="I169" s="13">
        <v>42917.412766203706</v>
      </c>
      <c r="J169" s="7">
        <v>0</v>
      </c>
      <c r="K169" s="89" t="str">
        <f t="shared" si="48"/>
        <v>4005/4006</v>
      </c>
      <c r="L169" s="21" t="str">
        <f>VLOOKUP(A169,'Trips&amp;Operators'!$C$1:$G$99999,5,FALSE)</f>
        <v>ROCHA YAOTL</v>
      </c>
      <c r="M169" s="6">
        <f t="shared" si="49"/>
        <v>1.0891203703067731E-2</v>
      </c>
      <c r="N169" s="7">
        <f t="shared" si="64"/>
        <v>15.683333332417533</v>
      </c>
      <c r="O169" s="7"/>
      <c r="P169" s="7"/>
      <c r="Q169" s="22"/>
      <c r="R169" s="170"/>
      <c r="S169" s="213">
        <f t="shared" si="66"/>
        <v>1</v>
      </c>
      <c r="T169" s="195" t="str">
        <f t="shared" si="50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1"/>
        <v>https://d0f6bd738d7f1b3e5a7ca70fe4ff75f0.us-east-1.aws.found.io/app/kibana#/discover/Steve-Slow-Train-Analysis-(2080s-and-2083s)?_g=(refreshInterval:(display:Off,pause:!f,section:0,value:0),time:(from:'2017-07-01T08:36:34-0600',mode:absolute,to:'2017-07-01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197" t="str">
        <f>IF(AA169&lt;VLOOKUP(AG169,Variables!$AC$3:$AD$8,2,FALSE),"Y","N")</f>
        <v>N</v>
      </c>
      <c r="X169" s="197">
        <f t="shared" ref="X169:X200" si="67">VALUE(LEFT(AD169,4))-VALUE(LEFT(AD168,4))</f>
        <v>1</v>
      </c>
      <c r="Y169" s="197">
        <f t="shared" si="53"/>
        <v>5.8663999999999996</v>
      </c>
      <c r="Z169" s="197">
        <f t="shared" si="54"/>
        <v>6.5600000000000006E-2</v>
      </c>
      <c r="AA169" s="197">
        <f t="shared" si="55"/>
        <v>5.8007999999999997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6"/>
        <v>1808</v>
      </c>
      <c r="AE169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9" s="74" t="str">
        <f t="shared" si="58"/>
        <v>"C:\Program Files (x86)\AstroGrep\AstroGrep.exe" /e /r /s /spath="%USERPROFILE%\AppData\Local\Temp\OnboardLogs" /stypes="app*4005*20170701*" /stext=" 15:.+((SYSTEM_STATE.+slice.+state.+changed )|(ment ac)|(multiple cpu faults)|(system.+state.+changed )|(\[timeout)|(PRM\|1\|D)|(kpr)|(kdp)|(train st.+moving)|(\|lc)|(penalty))"</v>
      </c>
      <c r="AG169" s="209" t="str">
        <f t="shared" si="59"/>
        <v>NW</v>
      </c>
      <c r="AH169" s="78" t="str">
        <f t="shared" si="60"/>
        <v>"%USERPROFILE%\Documents\GitHub\eaglep3\Utilities\RefineRTDCRunTimes.py" --tripid 1808-01 --locoid 4005 --swversion DE.1.0.9.0 --startMP 300:58664 --initTime 2017-07-01T09:36:34 --startdatetime 2017-07-01T09:38:42 --delay 1 --endMP 204:656 --enddatetime 2017-07-01T09:54:23 --enforcementcount 0 &gt;&gt;C:\Users\stu\Documents\GitHub\eaglep3-reporting\EC\2017-07-01-refined-times.txt</v>
      </c>
      <c r="AI169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{"issue":{"subject":"","project_id":79,"tracker_id":40,"status_id":1,"priority_id":2,"assigned_to_id":23,"start_date":"2017-07-01","description":"","custom_fields":[{"id":1,"name":"Subdivision","value":"NW"},{"id":4,"name":"Milepost","value":"0.0656"},{"id":17,"name":"Train ID","value":"1808-01"},{"id":16,"name":"Locomotive ID","value":"4005"},{"id":130,"name":"Impact","value":""},{"id":150,"name":"Time of Event (Mountain Time)","value":"09:54:23"},{"id":151,"name":"Denver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2"/>
        <v>start /low /b %USERPROFILE%\Documents\GitHub\eaglep3\Utilities\DownloadLogsFromS3.py --loco 4005 --day 2017-07-01</v>
      </c>
      <c r="AN169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758</v>
      </c>
      <c r="B170" s="7">
        <v>4006</v>
      </c>
      <c r="C170" s="21" t="s">
        <v>202</v>
      </c>
      <c r="D170" s="21" t="s">
        <v>939</v>
      </c>
      <c r="E170" s="13">
        <v>42917.414803240739</v>
      </c>
      <c r="F170" s="13">
        <v>42917.431527777779</v>
      </c>
      <c r="G170" s="7">
        <v>1</v>
      </c>
      <c r="H170" s="21" t="s">
        <v>940</v>
      </c>
      <c r="I170" s="13">
        <v>42917.440995370373</v>
      </c>
      <c r="J170" s="7">
        <v>0</v>
      </c>
      <c r="K170" s="89" t="str">
        <f t="shared" si="48"/>
        <v>4005/4006</v>
      </c>
      <c r="L170" s="21" t="str">
        <f>VLOOKUP(A170,'Trips&amp;Operators'!$C$1:$G$99999,5,FALSE)</f>
        <v>ROCHA YAOTL</v>
      </c>
      <c r="M170" s="6">
        <f t="shared" si="49"/>
        <v>9.4675925938645378E-3</v>
      </c>
      <c r="N170" s="7">
        <f t="shared" si="64"/>
        <v>13.633333335164934</v>
      </c>
      <c r="O170" s="7"/>
      <c r="P170" s="7"/>
      <c r="Q170" s="22"/>
      <c r="R170" s="170"/>
      <c r="S170" s="213">
        <f t="shared" si="66"/>
        <v>1</v>
      </c>
      <c r="T170" s="195" t="str">
        <f t="shared" si="50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1"/>
        <v>https://d0f6bd738d7f1b3e5a7ca70fe4ff75f0.us-east-1.aws.found.io/app/kibana#/discover/Steve-Slow-Train-Analysis-(2080s-and-2083s)?_g=(refreshInterval:(display:Off,pause:!f,section:0,value:0),time:(from:'2017-07-01T08:57:19-0600',mode:absolute,to:'2017-07-01T11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197" t="str">
        <f>IF(AA170&lt;VLOOKUP(AG170,Variables!$AC$3:$AD$8,2,FALSE),"Y","N")</f>
        <v>N</v>
      </c>
      <c r="X170" s="197">
        <f t="shared" si="67"/>
        <v>1</v>
      </c>
      <c r="Y170" s="197">
        <f t="shared" si="53"/>
        <v>9.3399999999999997E-2</v>
      </c>
      <c r="Z170" s="197">
        <f t="shared" si="54"/>
        <v>5.899</v>
      </c>
      <c r="AA170" s="197">
        <f t="shared" si="55"/>
        <v>5.8056000000000001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6"/>
        <v>1809</v>
      </c>
      <c r="AE170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0" s="74" t="str">
        <f t="shared" si="58"/>
        <v>"C:\Program Files (x86)\AstroGrep\AstroGrep.exe" /e /r /s /spath="%USERPROFILE%\AppData\Local\Temp\OnboardLogs" /stypes="app*4006*20170701*" /stext=" 16:.+((SYSTEM_STATE.+slice.+state.+changed )|(ment ac)|(multiple cpu faults)|(system.+state.+changed )|(\[timeout)|(PRM\|1\|D)|(kpr)|(kdp)|(train st.+moving)|(\|lc)|(penalty))"</v>
      </c>
      <c r="AG170" s="209" t="str">
        <f t="shared" si="59"/>
        <v>NW</v>
      </c>
      <c r="AH170" s="78" t="str">
        <f t="shared" si="60"/>
        <v>"%USERPROFILE%\Documents\GitHub\eaglep3\Utilities\RefineRTDCRunTimes.py" --tripid 1809-01 --locoid 4006 --swversion DE.1.0.9.0 --startMP 204:934 --initTime 2017-07-01T09:57:19 --startdatetime 2017-07-01T10:21:24 --delay 1 --endMP 300:58990 --enddatetime 2017-07-01T10:35:02 --enforcementcount 0 &gt;&gt;C:\Users\stu\Documents\GitHub\eaglep3-reporting\EC\2017-07-01-refined-times.txt</v>
      </c>
      <c r="AI170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{"issue":{"subject":"","project_id":79,"tracker_id":40,"status_id":1,"priority_id":2,"assigned_to_id":23,"start_date":"2017-07-01","description":"","custom_fields":[{"id":1,"name":"Subdivision","value":"NW"},{"id":4,"name":"Milepost","value":"5.899"},{"id":17,"name":"Train ID","value":"1809-01"},{"id":16,"name":"Locomotive ID","value":"4006"},{"id":130,"name":"Impact","value":""},{"id":150,"name":"Time of Event (Mountain Time)","value":"10:35:02"},{"id":151,"name":"Denver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2"/>
        <v>start /low /b %USERPROFILE%\Documents\GitHub\eaglep3\Utilities\DownloadLogsFromS3.py --loco 4006 --day 2017-07-01</v>
      </c>
      <c r="AN170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763</v>
      </c>
      <c r="B171" s="7">
        <v>4005</v>
      </c>
      <c r="C171" s="21" t="s">
        <v>202</v>
      </c>
      <c r="D171" s="21" t="s">
        <v>941</v>
      </c>
      <c r="E171" s="13">
        <v>42917.442280092589</v>
      </c>
      <c r="F171" s="13">
        <v>42917.443935185183</v>
      </c>
      <c r="G171" s="7">
        <v>1</v>
      </c>
      <c r="H171" s="21" t="s">
        <v>630</v>
      </c>
      <c r="I171" s="13">
        <v>42917.454629629632</v>
      </c>
      <c r="J171" s="7">
        <v>0</v>
      </c>
      <c r="K171" s="89" t="str">
        <f t="shared" si="48"/>
        <v>4005/4006</v>
      </c>
      <c r="L171" s="21" t="str">
        <f>VLOOKUP(A171,'Trips&amp;Operators'!$C$1:$G$99999,5,FALSE)</f>
        <v>ROCHA YAOTL</v>
      </c>
      <c r="M171" s="6">
        <f t="shared" si="49"/>
        <v>1.0694444448745344E-2</v>
      </c>
      <c r="N171" s="7">
        <f t="shared" si="64"/>
        <v>15.400000006193295</v>
      </c>
      <c r="O171" s="7"/>
      <c r="P171" s="7"/>
      <c r="Q171" s="22"/>
      <c r="R171" s="170"/>
      <c r="S171" s="213">
        <f t="shared" si="66"/>
        <v>1</v>
      </c>
      <c r="T171" s="195" t="str">
        <f t="shared" si="5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1"/>
        <v>https://d0f6bd738d7f1b3e5a7ca70fe4ff75f0.us-east-1.aws.found.io/app/kibana#/discover/Steve-Slow-Train-Analysis-(2080s-and-2083s)?_g=(refreshInterval:(display:Off,pause:!f,section:0,value:0),time:(from:'2017-07-01T09:36:53-0600',mode:absolute,to:'2017-07-01T11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197" t="str">
        <f>IF(AA171&lt;VLOOKUP(AG171,Variables!$AC$3:$AD$8,2,FALSE),"Y","N")</f>
        <v>N</v>
      </c>
      <c r="X171" s="197">
        <f t="shared" si="67"/>
        <v>1</v>
      </c>
      <c r="Y171" s="197">
        <f t="shared" si="53"/>
        <v>5.867</v>
      </c>
      <c r="Z171" s="197">
        <f t="shared" si="54"/>
        <v>6.7500000000000004E-2</v>
      </c>
      <c r="AA171" s="197">
        <f t="shared" si="55"/>
        <v>5.7995000000000001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6"/>
        <v>1810</v>
      </c>
      <c r="AE17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1" s="74" t="str">
        <f t="shared" si="58"/>
        <v>"C:\Program Files (x86)\AstroGrep\AstroGrep.exe" /e /r /s /spath="%USERPROFILE%\AppData\Local\Temp\OnboardLogs" /stypes="app*4005*20170701*" /stext=" 16:.+((SYSTEM_STATE.+slice.+state.+changed )|(ment ac)|(multiple cpu faults)|(system.+state.+changed )|(\[timeout)|(PRM\|1\|D)|(kpr)|(kdp)|(train st.+moving)|(\|lc)|(penalty))"</v>
      </c>
      <c r="AG171" s="209" t="str">
        <f t="shared" si="59"/>
        <v>NW</v>
      </c>
      <c r="AH171" s="78" t="str">
        <f t="shared" si="60"/>
        <v>"%USERPROFILE%\Documents\GitHub\eaglep3\Utilities\RefineRTDCRunTimes.py" --tripid 1810-01 --locoid 4005 --swversion DE.1.0.9.0 --startMP 300:58670 --initTime 2017-07-01T10:36:53 --startdatetime 2017-07-01T10:39:16 --delay 1 --endMP 204:675 --enddatetime 2017-07-01T10:54:40 --enforcementcount 0 &gt;&gt;C:\Users\stu\Documents\GitHub\eaglep3-reporting\EC\2017-07-01-refined-times.txt</v>
      </c>
      <c r="AI17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{"issue":{"subject":"","project_id":79,"tracker_id":40,"status_id":1,"priority_id":2,"assigned_to_id":23,"start_date":"2017-07-01","description":"","custom_fields":[{"id":1,"name":"Subdivision","value":"NW"},{"id":4,"name":"Milepost","value":"0.0675"},{"id":17,"name":"Train ID","value":"1810-01"},{"id":16,"name":"Locomotive ID","value":"4005"},{"id":130,"name":"Impact","value":""},{"id":150,"name":"Time of Event (Mountain Time)","value":"10:54:40"},{"id":151,"name":"Denver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2"/>
        <v>start /low /b %USERPROFILE%\Documents\GitHub\eaglep3\Utilities\DownloadLogsFromS3.py --loco 4005 --day 2017-07-01</v>
      </c>
      <c r="AN17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770</v>
      </c>
      <c r="B172" s="7">
        <v>4006</v>
      </c>
      <c r="C172" s="21" t="s">
        <v>202</v>
      </c>
      <c r="D172" s="21" t="s">
        <v>942</v>
      </c>
      <c r="E172" s="13">
        <v>42917.469618055555</v>
      </c>
      <c r="F172" s="13">
        <v>42917.474930555552</v>
      </c>
      <c r="G172" s="7">
        <v>1</v>
      </c>
      <c r="H172" s="21" t="s">
        <v>561</v>
      </c>
      <c r="I172" s="13">
        <v>42917.485011574077</v>
      </c>
      <c r="J172" s="7">
        <v>0</v>
      </c>
      <c r="K172" s="89" t="str">
        <f t="shared" si="48"/>
        <v>4005/4006</v>
      </c>
      <c r="L172" s="21" t="str">
        <f>VLOOKUP(A172,'Trips&amp;Operators'!$C$1:$G$99999,5,FALSE)</f>
        <v>BROWN JACOB</v>
      </c>
      <c r="M172" s="6">
        <f t="shared" si="49"/>
        <v>1.008101852494292E-2</v>
      </c>
      <c r="N172" s="7">
        <f t="shared" si="64"/>
        <v>14.516666675917804</v>
      </c>
      <c r="O172" s="7"/>
      <c r="P172" s="7"/>
      <c r="Q172" s="22"/>
      <c r="R172" s="170"/>
      <c r="S172" s="213">
        <f t="shared" si="66"/>
        <v>1</v>
      </c>
      <c r="T172" s="195" t="str">
        <f t="shared" si="5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1"/>
        <v>https://d0f6bd738d7f1b3e5a7ca70fe4ff75f0.us-east-1.aws.found.io/app/kibana#/discover/Steve-Slow-Train-Analysis-(2080s-and-2083s)?_g=(refreshInterval:(display:Off,pause:!f,section:0,value:0),time:(from:'2017-07-01T10:16:15-0600',mode:absolute,to:'2017-07-01T12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197" t="str">
        <f>IF(AA172&lt;VLOOKUP(AG172,Variables!$AC$3:$AD$8,2,FALSE),"Y","N")</f>
        <v>N</v>
      </c>
      <c r="X172" s="197">
        <f t="shared" si="67"/>
        <v>1</v>
      </c>
      <c r="Y172" s="197">
        <f t="shared" si="53"/>
        <v>9.6000000000000002E-2</v>
      </c>
      <c r="Z172" s="197">
        <f t="shared" si="54"/>
        <v>5.8954000000000004</v>
      </c>
      <c r="AA172" s="197">
        <f t="shared" si="55"/>
        <v>5.7994000000000003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6"/>
        <v>1811</v>
      </c>
      <c r="AE17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2" s="74" t="str">
        <f t="shared" si="58"/>
        <v>"C:\Program Files (x86)\AstroGrep\AstroGrep.exe" /e /r /s /spath="%USERPROFILE%\AppData\Local\Temp\OnboardLogs" /stypes="app*4006*20170701*" /stext=" 17:.+((SYSTEM_STATE.+slice.+state.+changed )|(ment ac)|(multiple cpu faults)|(system.+state.+changed )|(\[timeout)|(PRM\|1\|D)|(kpr)|(kdp)|(train st.+moving)|(\|lc)|(penalty))"</v>
      </c>
      <c r="AG172" s="209" t="str">
        <f t="shared" si="59"/>
        <v>NW</v>
      </c>
      <c r="AH172" s="78" t="str">
        <f t="shared" si="60"/>
        <v>"%USERPROFILE%\Documents\GitHub\eaglep3\Utilities\RefineRTDCRunTimes.py" --tripid 1811-01 --locoid 4006 --swversion DE.1.0.9.0 --startMP 204:960 --initTime 2017-07-01T11:16:15 --startdatetime 2017-07-01T11:23:54 --delay 1 --endMP 300:58954 --enddatetime 2017-07-01T11:38:25 --enforcementcount 0 &gt;&gt;C:\Users\stu\Documents\GitHub\eaglep3-reporting\EC\2017-07-01-refined-times.txt</v>
      </c>
      <c r="AI17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{"issue":{"subject":"","project_id":79,"tracker_id":40,"status_id":1,"priority_id":2,"assigned_to_id":23,"start_date":"2017-07-01","description":"","custom_fields":[{"id":1,"name":"Subdivision","value":"NW"},{"id":4,"name":"Milepost","value":"5.8954"},{"id":17,"name":"Train ID","value":"1811-01"},{"id":16,"name":"Locomotive ID","value":"4006"},{"id":130,"name":"Impact","value":""},{"id":150,"name":"Time of Event (Mountain Time)","value":"11:38:25"},{"id":151,"name":"Denver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2"/>
        <v>start /low /b %USERPROFILE%\Documents\GitHub\eaglep3\Utilities\DownloadLogsFromS3.py --loco 4006 --day 2017-07-01</v>
      </c>
      <c r="AN172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778</v>
      </c>
      <c r="B173" s="7">
        <v>4005</v>
      </c>
      <c r="C173" s="21" t="s">
        <v>202</v>
      </c>
      <c r="D173" s="21" t="s">
        <v>502</v>
      </c>
      <c r="E173" s="13">
        <v>42917.485856481479</v>
      </c>
      <c r="F173" s="13">
        <v>42917.487546296295</v>
      </c>
      <c r="G173" s="7">
        <v>2</v>
      </c>
      <c r="H173" s="21" t="s">
        <v>943</v>
      </c>
      <c r="I173" s="13">
        <v>42917.49695601852</v>
      </c>
      <c r="J173" s="7">
        <v>0</v>
      </c>
      <c r="K173" s="89" t="str">
        <f t="shared" si="48"/>
        <v>4005/4006</v>
      </c>
      <c r="L173" s="21" t="str">
        <f>VLOOKUP(A173,'Trips&amp;Operators'!$C$1:$G$99999,5,FALSE)</f>
        <v>BROWN JACOB</v>
      </c>
      <c r="M173" s="6">
        <f t="shared" si="49"/>
        <v>9.4097222245181911E-3</v>
      </c>
      <c r="N173" s="7">
        <f t="shared" si="64"/>
        <v>13.550000003306195</v>
      </c>
      <c r="O173" s="7"/>
      <c r="P173" s="7"/>
      <c r="Q173" s="22"/>
      <c r="R173" s="170"/>
      <c r="S173" s="213">
        <f t="shared" si="66"/>
        <v>1</v>
      </c>
      <c r="T173" s="195" t="str">
        <f t="shared" si="5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1"/>
        <v>https://d0f6bd738d7f1b3e5a7ca70fe4ff75f0.us-east-1.aws.found.io/app/kibana#/discover/Steve-Slow-Train-Analysis-(2080s-and-2083s)?_g=(refreshInterval:(display:Off,pause:!f,section:0,value:0),time:(from:'2017-07-01T10:39:38-0600',mode:absolute,to:'2017-07-01T12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197" t="str">
        <f>IF(AA173&lt;VLOOKUP(AG173,Variables!$AC$3:$AD$8,2,FALSE),"Y","N")</f>
        <v>N</v>
      </c>
      <c r="X173" s="197">
        <f t="shared" si="67"/>
        <v>1</v>
      </c>
      <c r="Y173" s="197">
        <f t="shared" si="53"/>
        <v>5.8638000000000003</v>
      </c>
      <c r="Z173" s="197">
        <f t="shared" si="54"/>
        <v>7.1999999999999995E-2</v>
      </c>
      <c r="AA173" s="197">
        <f t="shared" si="55"/>
        <v>5.7918000000000003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6"/>
        <v>1812</v>
      </c>
      <c r="AE17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3" s="74" t="str">
        <f t="shared" si="58"/>
        <v>"C:\Program Files (x86)\AstroGrep\AstroGrep.exe" /e /r /s /spath="%USERPROFILE%\AppData\Local\Temp\OnboardLogs" /stypes="app*4005*20170701*" /stext=" 17:.+((SYSTEM_STATE.+slice.+state.+changed )|(ment ac)|(multiple cpu faults)|(system.+state.+changed )|(\[timeout)|(PRM\|1\|D)|(kpr)|(kdp)|(train st.+moving)|(\|lc)|(penalty))"</v>
      </c>
      <c r="AG173" s="209" t="str">
        <f t="shared" si="59"/>
        <v>NW</v>
      </c>
      <c r="AH173" s="78" t="str">
        <f t="shared" si="60"/>
        <v>"%USERPROFILE%\Documents\GitHub\eaglep3\Utilities\RefineRTDCRunTimes.py" --tripid 1812-01 --locoid 4005 --swversion DE.1.0.9.0 --startMP 300:58638 --initTime 2017-07-01T11:39:38 --startdatetime 2017-07-01T11:42:04 --delay 2 --endMP 204:720 --enddatetime 2017-07-01T11:55:37 --enforcementcount 0 &gt;&gt;C:\Users\stu\Documents\GitHub\eaglep3-reporting\EC\2017-07-01-refined-times.txt</v>
      </c>
      <c r="AI17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{"issue":{"subject":"","project_id":79,"tracker_id":40,"status_id":1,"priority_id":2,"assigned_to_id":23,"start_date":"2017-07-01","description":"","custom_fields":[{"id":1,"name":"Subdivision","value":"NW"},{"id":4,"name":"Milepost","value":"0.072"},{"id":17,"name":"Train ID","value":"1812-01"},{"id":16,"name":"Locomotive ID","value":"4005"},{"id":130,"name":"Impact","value":""},{"id":150,"name":"Time of Event (Mountain Time)","value":"11:55:37"},{"id":151,"name":"Denver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2"/>
        <v>start /low /b %USERPROFILE%\Documents\GitHub\eaglep3\Utilities\DownloadLogsFromS3.py --loco 4005 --day 2017-07-01</v>
      </c>
      <c r="AN17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782</v>
      </c>
      <c r="B174" s="7">
        <v>4006</v>
      </c>
      <c r="C174" s="21" t="s">
        <v>202</v>
      </c>
      <c r="D174" s="21" t="s">
        <v>944</v>
      </c>
      <c r="E174" s="13">
        <v>42917.512465277781</v>
      </c>
      <c r="F174" s="13">
        <v>42917.514780092592</v>
      </c>
      <c r="G174" s="7">
        <v>2</v>
      </c>
      <c r="H174" s="21" t="s">
        <v>945</v>
      </c>
      <c r="I174" s="13">
        <v>42917.524652777778</v>
      </c>
      <c r="J174" s="7">
        <v>0</v>
      </c>
      <c r="K174" s="89" t="str">
        <f t="shared" si="48"/>
        <v>4005/4006</v>
      </c>
      <c r="L174" s="21" t="str">
        <f>VLOOKUP(A174,'Trips&amp;Operators'!$C$1:$G$99999,5,FALSE)</f>
        <v>BROWN JACOB</v>
      </c>
      <c r="M174" s="6">
        <f t="shared" si="49"/>
        <v>9.8726851865649223E-3</v>
      </c>
      <c r="N174" s="7">
        <f t="shared" si="64"/>
        <v>14.216666668653488</v>
      </c>
      <c r="O174" s="7"/>
      <c r="P174" s="7"/>
      <c r="Q174" s="22"/>
      <c r="R174" s="170"/>
      <c r="S174" s="213">
        <f t="shared" si="66"/>
        <v>1</v>
      </c>
      <c r="T174" s="195" t="str">
        <f t="shared" si="50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1"/>
        <v>https://d0f6bd738d7f1b3e5a7ca70fe4ff75f0.us-east-1.aws.found.io/app/kibana#/discover/Steve-Slow-Train-Analysis-(2080s-and-2083s)?_g=(refreshInterval:(display:Off,pause:!f,section:0,value:0),time:(from:'2017-07-01T11:17:57-0600',mode:absolute,to:'2017-07-01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197" t="str">
        <f>IF(AA174&lt;VLOOKUP(AG174,Variables!$AC$3:$AD$8,2,FALSE),"Y","N")</f>
        <v>N</v>
      </c>
      <c r="X174" s="197">
        <f t="shared" si="67"/>
        <v>1</v>
      </c>
      <c r="Y174" s="197">
        <f t="shared" si="53"/>
        <v>0.1002</v>
      </c>
      <c r="Z174" s="197">
        <f t="shared" si="54"/>
        <v>5.8930999999999996</v>
      </c>
      <c r="AA174" s="197">
        <f t="shared" si="55"/>
        <v>5.7928999999999995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6"/>
        <v>1813</v>
      </c>
      <c r="AE17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4" s="74" t="str">
        <f t="shared" si="58"/>
        <v>"C:\Program Files (x86)\AstroGrep\AstroGrep.exe" /e /r /s /spath="%USERPROFILE%\AppData\Local\Temp\OnboardLogs" /stypes="app*4006*20170701*" /stext=" 18:.+((SYSTEM_STATE.+slice.+state.+changed )|(ment ac)|(multiple cpu faults)|(system.+state.+changed )|(\[timeout)|(PRM\|1\|D)|(kpr)|(kdp)|(train st.+moving)|(\|lc)|(penalty))"</v>
      </c>
      <c r="AG174" s="209" t="str">
        <f t="shared" si="59"/>
        <v>NW</v>
      </c>
      <c r="AH174" s="78" t="str">
        <f t="shared" si="60"/>
        <v>"%USERPROFILE%\Documents\GitHub\eaglep3\Utilities\RefineRTDCRunTimes.py" --tripid 1813-01 --locoid 4006 --swversion DE.1.0.9.0 --startMP 204:1002 --initTime 2017-07-01T12:17:57 --startdatetime 2017-07-01T12:21:17 --delay 2 --endMP 300:58931 --enddatetime 2017-07-01T12:35:30 --enforcementcount 0 &gt;&gt;C:\Users\stu\Documents\GitHub\eaglep3-reporting\EC\2017-07-01-refined-times.txt</v>
      </c>
      <c r="AI17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{"issue":{"subject":"","project_id":79,"tracker_id":40,"status_id":1,"priority_id":2,"assigned_to_id":23,"start_date":"2017-07-01","description":"","custom_fields":[{"id":1,"name":"Subdivision","value":"NW"},{"id":4,"name":"Milepost","value":"5.8931"},{"id":17,"name":"Train ID","value":"1813-01"},{"id":16,"name":"Locomotive ID","value":"4006"},{"id":130,"name":"Impact","value":""},{"id":150,"name":"Time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2"/>
        <v>start /low /b %USERPROFILE%\Documents\GitHub\eaglep3\Utilities\DownloadLogsFromS3.py --loco 4006 --day 2017-07-01</v>
      </c>
      <c r="AN174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652</v>
      </c>
      <c r="B175" s="7">
        <v>4005</v>
      </c>
      <c r="C175" s="21" t="s">
        <v>202</v>
      </c>
      <c r="D175" s="21" t="s">
        <v>946</v>
      </c>
      <c r="E175" s="13">
        <v>42917.525775462964</v>
      </c>
      <c r="F175" s="13">
        <v>42917.526956018519</v>
      </c>
      <c r="G175" s="7">
        <v>1</v>
      </c>
      <c r="H175" s="21" t="s">
        <v>947</v>
      </c>
      <c r="I175" s="13">
        <v>42917.538113425922</v>
      </c>
      <c r="J175" s="7">
        <v>0</v>
      </c>
      <c r="K175" s="89" t="str">
        <f t="shared" si="48"/>
        <v>4005/4006</v>
      </c>
      <c r="L175" s="21" t="str">
        <f>VLOOKUP(A175,'Trips&amp;Operators'!$C$1:$G$99999,5,FALSE)</f>
        <v>BROWN JACOB</v>
      </c>
      <c r="M175" s="6">
        <f t="shared" si="49"/>
        <v>1.1157407403516117E-2</v>
      </c>
      <c r="N175" s="7">
        <f t="shared" si="64"/>
        <v>16.066666661063209</v>
      </c>
      <c r="O175" s="7"/>
      <c r="P175" s="7"/>
      <c r="Q175" s="22"/>
      <c r="R175" s="170"/>
      <c r="S175" s="213">
        <f t="shared" si="66"/>
        <v>1</v>
      </c>
      <c r="T175" s="195" t="str">
        <f t="shared" si="50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1"/>
        <v>https://d0f6bd738d7f1b3e5a7ca70fe4ff75f0.us-east-1.aws.found.io/app/kibana#/discover/Steve-Slow-Train-Analysis-(2080s-and-2083s)?_g=(refreshInterval:(display:Off,pause:!f,section:0,value:0),time:(from:'2017-07-01T11:37:07-0600',mode:absolute,to:'2017-07-01T13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197" t="str">
        <f>IF(AA175&lt;VLOOKUP(AG175,Variables!$AC$3:$AD$8,2,FALSE),"Y","N")</f>
        <v>N</v>
      </c>
      <c r="X175" s="197">
        <f t="shared" si="67"/>
        <v>1</v>
      </c>
      <c r="Y175" s="197">
        <f t="shared" si="53"/>
        <v>5.8615000000000004</v>
      </c>
      <c r="Z175" s="197">
        <f t="shared" si="54"/>
        <v>7.3999999999999996E-2</v>
      </c>
      <c r="AA175" s="197">
        <f t="shared" si="55"/>
        <v>5.7875000000000005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6"/>
        <v>1814</v>
      </c>
      <c r="AE175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5" s="74" t="str">
        <f t="shared" si="58"/>
        <v>"C:\Program Files (x86)\AstroGrep\AstroGrep.exe" /e /r /s /spath="%USERPROFILE%\AppData\Local\Temp\OnboardLogs" /stypes="app*4005*20170701*" /stext=" 18:.+((SYSTEM_STATE.+slice.+state.+changed )|(ment ac)|(multiple cpu faults)|(system.+state.+changed )|(\[timeout)|(PRM\|1\|D)|(kpr)|(kdp)|(train st.+moving)|(\|lc)|(penalty))"</v>
      </c>
      <c r="AG175" s="209" t="str">
        <f t="shared" si="59"/>
        <v>NW</v>
      </c>
      <c r="AH175" s="78" t="str">
        <f t="shared" si="60"/>
        <v>"%USERPROFILE%\Documents\GitHub\eaglep3\Utilities\RefineRTDCRunTimes.py" --tripid 1814-01 --locoid 4005 --swversion DE.1.0.9.0 --startMP 300:58615 --initTime 2017-07-01T12:37:07 --startdatetime 2017-07-01T12:38:49 --delay 1 --endMP 204:740 --enddatetime 2017-07-01T12:54:53 --enforcementcount 0 &gt;&gt;C:\Users\stu\Documents\GitHub\eaglep3-reporting\EC\2017-07-01-refined-times.txt</v>
      </c>
      <c r="AI175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{"issue":{"subject":"","project_id":79,"tracker_id":40,"status_id":1,"priority_id":2,"assigned_to_id":23,"start_date":"2017-07-01","description":"","custom_fields":[{"id":1,"name":"Subdivision","value":"NW"},{"id":4,"name":"Milepost","value":"0.074"},{"id":17,"name":"Train ID","value":"1814-01"},{"id":16,"name":"Locomotive ID","value":"4005"},{"id":130,"name":"Impact","value":""},{"id":150,"name":"Time of Event (Mountain Time)","value":"12:54:53"},{"id":151,"name":"Denver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2"/>
        <v>start /low /b %USERPROFILE%\Documents\GitHub\eaglep3\Utilities\DownloadLogsFromS3.py --loco 4005 --day 2017-07-01</v>
      </c>
      <c r="AN17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788</v>
      </c>
      <c r="B176" s="7">
        <v>4006</v>
      </c>
      <c r="C176" s="21" t="s">
        <v>202</v>
      </c>
      <c r="D176" s="21" t="s">
        <v>948</v>
      </c>
      <c r="E176" s="13">
        <v>42917.554618055554</v>
      </c>
      <c r="F176" s="13">
        <v>42917.556481481479</v>
      </c>
      <c r="G176" s="7">
        <v>2</v>
      </c>
      <c r="H176" s="21" t="s">
        <v>501</v>
      </c>
      <c r="I176" s="13">
        <v>42917.566030092596</v>
      </c>
      <c r="J176" s="7">
        <v>0</v>
      </c>
      <c r="K176" s="89" t="str">
        <f t="shared" si="48"/>
        <v>4005/4006</v>
      </c>
      <c r="L176" s="21" t="str">
        <f>VLOOKUP(A176,'Trips&amp;Operators'!$C$1:$G$99999,5,FALSE)</f>
        <v>BROWN JACOB</v>
      </c>
      <c r="M176" s="6">
        <f t="shared" si="49"/>
        <v>9.5486111167701893E-3</v>
      </c>
      <c r="N176" s="7">
        <f t="shared" si="64"/>
        <v>13.750000008149073</v>
      </c>
      <c r="O176" s="7"/>
      <c r="P176" s="7"/>
      <c r="Q176" s="22"/>
      <c r="R176" s="170"/>
      <c r="S176" s="213">
        <f t="shared" si="66"/>
        <v>1</v>
      </c>
      <c r="T176" s="195" t="str">
        <f t="shared" si="50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1"/>
        <v>https://d0f6bd738d7f1b3e5a7ca70fe4ff75f0.us-east-1.aws.found.io/app/kibana#/discover/Steve-Slow-Train-Analysis-(2080s-and-2083s)?_g=(refreshInterval:(display:Off,pause:!f,section:0,value:0),time:(from:'2017-07-01T12:18:39-0600',mode:absolute,to:'2017-07-01T14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197" t="str">
        <f>IF(AA176&lt;VLOOKUP(AG176,Variables!$AC$3:$AD$8,2,FALSE),"Y","N")</f>
        <v>N</v>
      </c>
      <c r="X176" s="197">
        <f t="shared" si="67"/>
        <v>1</v>
      </c>
      <c r="Y176" s="197">
        <f t="shared" si="53"/>
        <v>0.10299999999999999</v>
      </c>
      <c r="Z176" s="197">
        <f t="shared" si="54"/>
        <v>5.8943000000000003</v>
      </c>
      <c r="AA176" s="197">
        <f t="shared" si="55"/>
        <v>5.7913000000000006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6"/>
        <v>1815</v>
      </c>
      <c r="AE176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6" s="74" t="str">
        <f t="shared" si="58"/>
        <v>"C:\Program Files (x86)\AstroGrep\AstroGrep.exe" /e /r /s /spath="%USERPROFILE%\AppData\Local\Temp\OnboardLogs" /stypes="app*4006*20170701*" /stext=" 19:.+((SYSTEM_STATE.+slice.+state.+changed )|(ment ac)|(multiple cpu faults)|(system.+state.+changed )|(\[timeout)|(PRM\|1\|D)|(kpr)|(kdp)|(train st.+moving)|(\|lc)|(penalty))"</v>
      </c>
      <c r="AG176" s="209" t="str">
        <f t="shared" si="59"/>
        <v>NW</v>
      </c>
      <c r="AH176" s="78" t="str">
        <f t="shared" si="60"/>
        <v>"%USERPROFILE%\Documents\GitHub\eaglep3\Utilities\RefineRTDCRunTimes.py" --tripid 1815-01 --locoid 4006 --swversion DE.1.0.9.0 --startMP 204:1030 --initTime 2017-07-01T13:18:39 --startdatetime 2017-07-01T13:21:20 --delay 2 --endMP 300:58943 --enddatetime 2017-07-01T13:35:05 --enforcementcount 0 &gt;&gt;C:\Users\stu\Documents\GitHub\eaglep3-reporting\EC\2017-07-01-refined-times.txt</v>
      </c>
      <c r="AI176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{"issue":{"subject":"","project_id":79,"tracker_id":40,"status_id":1,"priority_id":2,"assigned_to_id":23,"start_date":"2017-07-01","description":"","custom_fields":[{"id":1,"name":"Subdivision","value":"NW"},{"id":4,"name":"Milepost","value":"5.8943"},{"id":17,"name":"Train ID","value":"1815-01"},{"id":16,"name":"Locomotive ID","value":"4006"},{"id":130,"name":"Impact","value":""},{"id":150,"name":"Time of Event (Mountain Time)","value":"13:35:05"},{"id":151,"name":"Denver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2"/>
        <v>start /low /b %USERPROFILE%\Documents\GitHub\eaglep3\Utilities\DownloadLogsFromS3.py --loco 4006 --day 2017-07-01</v>
      </c>
      <c r="AN176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791</v>
      </c>
      <c r="B177" s="7">
        <v>4005</v>
      </c>
      <c r="C177" s="21" t="s">
        <v>202</v>
      </c>
      <c r="D177" s="21" t="s">
        <v>632</v>
      </c>
      <c r="E177" s="13">
        <v>42917.567094907405</v>
      </c>
      <c r="F177" s="13">
        <v>42917.568194444444</v>
      </c>
      <c r="G177" s="7">
        <v>1</v>
      </c>
      <c r="H177" s="21" t="s">
        <v>949</v>
      </c>
      <c r="I177" s="13">
        <v>42917.580092592594</v>
      </c>
      <c r="J177" s="7">
        <v>0</v>
      </c>
      <c r="K177" s="89" t="str">
        <f t="shared" si="48"/>
        <v>4005/4006</v>
      </c>
      <c r="L177" s="21" t="str">
        <f>VLOOKUP(A177,'Trips&amp;Operators'!$C$1:$G$99999,5,FALSE)</f>
        <v>BROWN JACOB</v>
      </c>
      <c r="M177" s="6">
        <f t="shared" si="49"/>
        <v>1.1898148150066845E-2</v>
      </c>
      <c r="N177" s="7">
        <f t="shared" si="64"/>
        <v>17.133333336096257</v>
      </c>
      <c r="O177" s="7"/>
      <c r="P177" s="7"/>
      <c r="Q177" s="22"/>
      <c r="R177" s="170"/>
      <c r="S177" s="213">
        <f t="shared" si="66"/>
        <v>1</v>
      </c>
      <c r="T177" s="195" t="str">
        <f t="shared" si="5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1"/>
        <v>https://d0f6bd738d7f1b3e5a7ca70fe4ff75f0.us-east-1.aws.found.io/app/kibana#/discover/Steve-Slow-Train-Analysis-(2080s-and-2083s)?_g=(refreshInterval:(display:Off,pause:!f,section:0,value:0),time:(from:'2017-07-01T12:36:37-0600',mode:absolute,to:'2017-07-01T14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197" t="str">
        <f>IF(AA177&lt;VLOOKUP(AG177,Variables!$AC$3:$AD$8,2,FALSE),"Y","N")</f>
        <v>N</v>
      </c>
      <c r="X177" s="197">
        <f t="shared" si="67"/>
        <v>1</v>
      </c>
      <c r="Y177" s="197">
        <f t="shared" si="53"/>
        <v>5.8628</v>
      </c>
      <c r="Z177" s="197">
        <f t="shared" si="54"/>
        <v>7.3599999999999999E-2</v>
      </c>
      <c r="AA177" s="197">
        <f t="shared" si="55"/>
        <v>5.7892000000000001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6"/>
        <v>1816</v>
      </c>
      <c r="AE177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7" s="74" t="str">
        <f t="shared" si="58"/>
        <v>"C:\Program Files (x86)\AstroGrep\AstroGrep.exe" /e /r /s /spath="%USERPROFILE%\AppData\Local\Temp\OnboardLogs" /stypes="app*4005*20170701*" /stext=" 19:.+((SYSTEM_STATE.+slice.+state.+changed )|(ment ac)|(multiple cpu faults)|(system.+state.+changed )|(\[timeout)|(PRM\|1\|D)|(kpr)|(kdp)|(train st.+moving)|(\|lc)|(penalty))"</v>
      </c>
      <c r="AG177" s="209" t="str">
        <f t="shared" si="59"/>
        <v>NW</v>
      </c>
      <c r="AH177" s="78" t="str">
        <f t="shared" si="60"/>
        <v>"%USERPROFILE%\Documents\GitHub\eaglep3\Utilities\RefineRTDCRunTimes.py" --tripid 1816-01 --locoid 4005 --swversion DE.1.0.9.0 --startMP 300:58628 --initTime 2017-07-01T13:36:37 --startdatetime 2017-07-01T13:38:12 --delay 1 --endMP 204:736 --enddatetime 2017-07-01T13:55:20 --enforcementcount 0 &gt;&gt;C:\Users\stu\Documents\GitHub\eaglep3-reporting\EC\2017-07-01-refined-times.txt</v>
      </c>
      <c r="AI177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{"issue":{"subject":"","project_id":79,"tracker_id":40,"status_id":1,"priority_id":2,"assigned_to_id":23,"start_date":"2017-07-01","description":"","custom_fields":[{"id":1,"name":"Subdivision","value":"NW"},{"id":4,"name":"Milepost","value":"0.0736"},{"id":17,"name":"Train ID","value":"1816-01"},{"id":16,"name":"Locomotive ID","value":"4005"},{"id":130,"name":"Impact","value":""},{"id":150,"name":"Time of Event (Mountain Time)","value":"13:55:20"},{"id":151,"name":"Denver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2"/>
        <v>start /low /b %USERPROFILE%\Documents\GitHub\eaglep3\Utilities\DownloadLogsFromS3.py --loco 4005 --day 2017-07-01</v>
      </c>
      <c r="AN177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796</v>
      </c>
      <c r="B178" s="7">
        <v>4006</v>
      </c>
      <c r="C178" s="21" t="s">
        <v>202</v>
      </c>
      <c r="D178" s="21" t="s">
        <v>950</v>
      </c>
      <c r="E178" s="13">
        <v>42917.585520833331</v>
      </c>
      <c r="F178" s="13">
        <v>42917.598113425927</v>
      </c>
      <c r="G178" s="7">
        <v>1</v>
      </c>
      <c r="H178" s="21" t="s">
        <v>951</v>
      </c>
      <c r="I178" s="13">
        <v>42917.607627314814</v>
      </c>
      <c r="J178" s="7">
        <v>0</v>
      </c>
      <c r="K178" s="89" t="str">
        <f t="shared" si="48"/>
        <v>4005/4006</v>
      </c>
      <c r="L178" s="21" t="str">
        <f>VLOOKUP(A178,'Trips&amp;Operators'!$C$1:$G$99999,5,FALSE)</f>
        <v>SAFIEF AEIMEN</v>
      </c>
      <c r="M178" s="6">
        <f t="shared" si="49"/>
        <v>9.5138888864312321E-3</v>
      </c>
      <c r="N178" s="7">
        <f t="shared" si="64"/>
        <v>13.699999996460974</v>
      </c>
      <c r="O178" s="7"/>
      <c r="P178" s="7"/>
      <c r="Q178" s="22"/>
      <c r="R178" s="170"/>
      <c r="S178" s="213">
        <f t="shared" si="66"/>
        <v>1</v>
      </c>
      <c r="T178" s="195" t="str">
        <f t="shared" si="5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1"/>
        <v>https://d0f6bd738d7f1b3e5a7ca70fe4ff75f0.us-east-1.aws.found.io/app/kibana#/discover/Steve-Slow-Train-Analysis-(2080s-and-2083s)?_g=(refreshInterval:(display:Off,pause:!f,section:0,value:0),time:(from:'2017-07-01T13:03:09-0600',mode:absolute,to:'2017-07-01T15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197" t="str">
        <f>IF(AA178&lt;VLOOKUP(AG178,Variables!$AC$3:$AD$8,2,FALSE),"Y","N")</f>
        <v>N</v>
      </c>
      <c r="X178" s="197">
        <f t="shared" si="67"/>
        <v>1</v>
      </c>
      <c r="Y178" s="197">
        <f t="shared" si="53"/>
        <v>0.10199999999999999</v>
      </c>
      <c r="Z178" s="197">
        <f t="shared" si="54"/>
        <v>5.8912000000000004</v>
      </c>
      <c r="AA178" s="197">
        <f t="shared" si="55"/>
        <v>5.7892000000000001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6"/>
        <v>1817</v>
      </c>
      <c r="AE178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8" s="74" t="str">
        <f t="shared" si="58"/>
        <v>"C:\Program Files (x86)\AstroGrep\AstroGrep.exe" /e /r /s /spath="%USERPROFILE%\AppData\Local\Temp\OnboardLogs" /stypes="app*4006*20170701*" /stext=" 20:.+((SYSTEM_STATE.+slice.+state.+changed )|(ment ac)|(multiple cpu faults)|(system.+state.+changed )|(\[timeout)|(PRM\|1\|D)|(kpr)|(kdp)|(train st.+moving)|(\|lc)|(penalty))"</v>
      </c>
      <c r="AG178" s="209" t="str">
        <f t="shared" si="59"/>
        <v>NW</v>
      </c>
      <c r="AH178" s="78" t="str">
        <f t="shared" si="60"/>
        <v>"%USERPROFILE%\Documents\GitHub\eaglep3\Utilities\RefineRTDCRunTimes.py" --tripid 1817-01 --locoid 4006 --swversion DE.1.0.9.0 --startMP 204:1020 --initTime 2017-07-01T14:03:09 --startdatetime 2017-07-01T14:21:17 --delay 1 --endMP 300:58912 --enddatetime 2017-07-01T14:34:59 --enforcementcount 0 &gt;&gt;C:\Users\stu\Documents\GitHub\eaglep3-reporting\EC\2017-07-01-refined-times.txt</v>
      </c>
      <c r="AI178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{"issue":{"subject":"","project_id":79,"tracker_id":40,"status_id":1,"priority_id":2,"assigned_to_id":23,"start_date":"2017-07-01","description":"","custom_fields":[{"id":1,"name":"Subdivision","value":"NW"},{"id":4,"name":"Milepost","value":"5.8912"},{"id":17,"name":"Train ID","value":"1817-01"},{"id":16,"name":"Locomotive ID","value":"4006"},{"id":130,"name":"Impact","value":""},{"id":150,"name":"Time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2"/>
        <v>start /low /b %USERPROFILE%\Documents\GitHub\eaglep3\Utilities\DownloadLogsFromS3.py --loco 4006 --day 2017-07-01</v>
      </c>
      <c r="AN178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802</v>
      </c>
      <c r="B179" s="7">
        <v>4005</v>
      </c>
      <c r="C179" s="21" t="s">
        <v>202</v>
      </c>
      <c r="D179" s="21" t="s">
        <v>952</v>
      </c>
      <c r="E179" s="13">
        <v>42917.608773148146</v>
      </c>
      <c r="F179" s="13">
        <v>42917.61041666667</v>
      </c>
      <c r="G179" s="7">
        <v>1</v>
      </c>
      <c r="H179" s="21" t="s">
        <v>631</v>
      </c>
      <c r="I179" s="13">
        <v>42917.621793981481</v>
      </c>
      <c r="J179" s="7">
        <v>0</v>
      </c>
      <c r="K179" s="89" t="str">
        <f t="shared" si="48"/>
        <v>4005/4006</v>
      </c>
      <c r="L179" s="21" t="str">
        <f>VLOOKUP(A179,'Trips&amp;Operators'!$C$1:$G$99999,5,FALSE)</f>
        <v>SAFIEF AEIMEN</v>
      </c>
      <c r="M179" s="6">
        <f t="shared" si="49"/>
        <v>1.137731481139781E-2</v>
      </c>
      <c r="N179" s="7">
        <f t="shared" si="64"/>
        <v>16.383333328412846</v>
      </c>
      <c r="O179" s="7"/>
      <c r="P179" s="7"/>
      <c r="Q179" s="22"/>
      <c r="R179" s="170"/>
      <c r="S179" s="213">
        <f t="shared" si="66"/>
        <v>1</v>
      </c>
      <c r="T179" s="195" t="str">
        <f t="shared" si="5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1"/>
        <v>https://d0f6bd738d7f1b3e5a7ca70fe4ff75f0.us-east-1.aws.found.io/app/kibana#/discover/Steve-Slow-Train-Analysis-(2080s-and-2083s)?_g=(refreshInterval:(display:Off,pause:!f,section:0,value:0),time:(from:'2017-07-01T13:36:38-0600',mode:absolute,to:'2017-07-01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197" t="str">
        <f>IF(AA179&lt;VLOOKUP(AG179,Variables!$AC$3:$AD$8,2,FALSE),"Y","N")</f>
        <v>N</v>
      </c>
      <c r="X179" s="197">
        <f t="shared" si="67"/>
        <v>1</v>
      </c>
      <c r="Y179" s="197">
        <f t="shared" si="53"/>
        <v>5.8601999999999999</v>
      </c>
      <c r="Z179" s="197">
        <f t="shared" si="54"/>
        <v>6.9599999999999995E-2</v>
      </c>
      <c r="AA179" s="197">
        <f t="shared" si="55"/>
        <v>5.7905999999999995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6"/>
        <v>1818</v>
      </c>
      <c r="AE179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9" s="74" t="str">
        <f t="shared" si="58"/>
        <v>"C:\Program Files (x86)\AstroGrep\AstroGrep.exe" /e /r /s /spath="%USERPROFILE%\AppData\Local\Temp\OnboardLogs" /stypes="app*4005*20170701*" /stext=" 20:.+((SYSTEM_STATE.+slice.+state.+changed )|(ment ac)|(multiple cpu faults)|(system.+state.+changed )|(\[timeout)|(PRM\|1\|D)|(kpr)|(kdp)|(train st.+moving)|(\|lc)|(penalty))"</v>
      </c>
      <c r="AG179" s="209" t="str">
        <f t="shared" si="59"/>
        <v>NW</v>
      </c>
      <c r="AH179" s="78" t="str">
        <f t="shared" si="60"/>
        <v>"%USERPROFILE%\Documents\GitHub\eaglep3\Utilities\RefineRTDCRunTimes.py" --tripid 1818-01 --locoid 4005 --swversion DE.1.0.9.0 --startMP 300:58602 --initTime 2017-07-01T14:36:38 --startdatetime 2017-07-01T14:39:00 --delay 1 --endMP 204:696 --enddatetime 2017-07-01T14:55:23 --enforcementcount 0 &gt;&gt;C:\Users\stu\Documents\GitHub\eaglep3-reporting\EC\2017-07-01-refined-times.txt</v>
      </c>
      <c r="AI179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{"issue":{"subject":"","project_id":79,"tracker_id":40,"status_id":1,"priority_id":2,"assigned_to_id":23,"start_date":"2017-07-01","description":"","custom_fields":[{"id":1,"name":"Subdivision","value":"NW"},{"id":4,"name":"Milepost","value":"0.0696"},{"id":17,"name":"Train ID","value":"1818-01"},{"id":16,"name":"Locomotive ID","value":"4005"},{"id":130,"name":"Impact","value":""},{"id":150,"name":"Time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2"/>
        <v>start /low /b %USERPROFILE%\Documents\GitHub\eaglep3\Utilities\DownloadLogsFromS3.py --loco 4005 --day 2017-07-01</v>
      </c>
      <c r="AN179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805</v>
      </c>
      <c r="B180" s="7">
        <v>4006</v>
      </c>
      <c r="C180" s="21" t="s">
        <v>202</v>
      </c>
      <c r="D180" s="21" t="s">
        <v>554</v>
      </c>
      <c r="E180" s="13">
        <v>42917.62427083333</v>
      </c>
      <c r="F180" s="13">
        <v>42917.640057870369</v>
      </c>
      <c r="G180" s="7">
        <v>1</v>
      </c>
      <c r="H180" s="21" t="s">
        <v>953</v>
      </c>
      <c r="I180" s="13">
        <v>42917.649398148147</v>
      </c>
      <c r="J180" s="7">
        <v>0</v>
      </c>
      <c r="K180" s="89" t="str">
        <f t="shared" si="48"/>
        <v>4005/4006</v>
      </c>
      <c r="L180" s="21" t="str">
        <f>VLOOKUP(A180,'Trips&amp;Operators'!$C$1:$G$99999,5,FALSE)</f>
        <v>SAFIEF AEIMEN</v>
      </c>
      <c r="M180" s="6">
        <f t="shared" si="49"/>
        <v>9.340277778392192E-3</v>
      </c>
      <c r="N180" s="7">
        <f t="shared" si="64"/>
        <v>13.450000000884756</v>
      </c>
      <c r="O180" s="7"/>
      <c r="P180" s="7"/>
      <c r="Q180" s="22"/>
      <c r="R180" s="170"/>
      <c r="S180" s="213">
        <f t="shared" si="66"/>
        <v>1</v>
      </c>
      <c r="T180" s="195" t="str">
        <f t="shared" si="50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1"/>
        <v>https://d0f6bd738d7f1b3e5a7ca70fe4ff75f0.us-east-1.aws.found.io/app/kibana#/discover/Steve-Slow-Train-Analysis-(2080s-and-2083s)?_g=(refreshInterval:(display:Off,pause:!f,section:0,value:0),time:(from:'2017-07-01T13:58:57-0600',mode:absolute,to:'2017-07-01T16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197" t="str">
        <f>IF(AA180&lt;VLOOKUP(AG180,Variables!$AC$3:$AD$8,2,FALSE),"Y","N")</f>
        <v>N</v>
      </c>
      <c r="X180" s="197">
        <f t="shared" si="67"/>
        <v>1</v>
      </c>
      <c r="Y180" s="197">
        <f t="shared" si="53"/>
        <v>9.9000000000000005E-2</v>
      </c>
      <c r="Z180" s="197">
        <f t="shared" si="54"/>
        <v>5.8914</v>
      </c>
      <c r="AA180" s="197">
        <f t="shared" si="55"/>
        <v>5.7923999999999998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6"/>
        <v>1819</v>
      </c>
      <c r="AE180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0" s="74" t="str">
        <f t="shared" si="58"/>
        <v>"C:\Program Files (x86)\AstroGrep\AstroGrep.exe" /e /r /s /spath="%USERPROFILE%\AppData\Local\Temp\OnboardLogs" /stypes="app*4006*20170701*" /stext=" 21:.+((SYSTEM_STATE.+slice.+state.+changed )|(ment ac)|(multiple cpu faults)|(system.+state.+changed )|(\[timeout)|(PRM\|1\|D)|(kpr)|(kdp)|(train st.+moving)|(\|lc)|(penalty))"</v>
      </c>
      <c r="AG180" s="209" t="str">
        <f t="shared" si="59"/>
        <v>NW</v>
      </c>
      <c r="AH180" s="78" t="str">
        <f t="shared" si="60"/>
        <v>"%USERPROFILE%\Documents\GitHub\eaglep3\Utilities\RefineRTDCRunTimes.py" --tripid 1819-01 --locoid 4006 --swversion DE.1.0.9.0 --startMP 204:990 --initTime 2017-07-01T14:58:57 --startdatetime 2017-07-01T15:21:41 --delay 1 --endMP 300:58914 --enddatetime 2017-07-01T15:35:08 --enforcementcount 0 &gt;&gt;C:\Users\stu\Documents\GitHub\eaglep3-reporting\EC\2017-07-01-refined-times.txt</v>
      </c>
      <c r="AI180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{"issue":{"subject":"","project_id":79,"tracker_id":40,"status_id":1,"priority_id":2,"assigned_to_id":23,"start_date":"2017-07-01","description":"","custom_fields":[{"id":1,"name":"Subdivision","value":"NW"},{"id":4,"name":"Milepost","value":"5.8914"},{"id":17,"name":"Train ID","value":"1819-01"},{"id":16,"name":"Locomotive ID","value":"4006"},{"id":130,"name":"Impact","value":""},{"id":150,"name":"Time of Event (Mountain Time)","value":"15:35:08"},{"id":151,"name":"Denver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2"/>
        <v>start /low /b %USERPROFILE%\Documents\GitHub\eaglep3\Utilities\DownloadLogsFromS3.py --loco 4006 --day 2017-07-01</v>
      </c>
      <c r="AN180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810</v>
      </c>
      <c r="B181" s="7">
        <v>4005</v>
      </c>
      <c r="C181" s="21" t="s">
        <v>202</v>
      </c>
      <c r="D181" s="21" t="s">
        <v>955</v>
      </c>
      <c r="E181" s="13">
        <v>42917.650578703702</v>
      </c>
      <c r="F181" s="13">
        <v>42917.652222222219</v>
      </c>
      <c r="G181" s="7">
        <v>1</v>
      </c>
      <c r="H181" s="21" t="s">
        <v>625</v>
      </c>
      <c r="I181" s="13">
        <v>42917.663310185184</v>
      </c>
      <c r="J181" s="7">
        <v>0</v>
      </c>
      <c r="K181" s="89" t="str">
        <f t="shared" si="48"/>
        <v>4005/4006</v>
      </c>
      <c r="L181" s="21" t="str">
        <f>VLOOKUP(A181,'Trips&amp;Operators'!$C$1:$G$99999,5,FALSE)</f>
        <v>SAFIEF AEIMEN</v>
      </c>
      <c r="M181" s="6">
        <f t="shared" si="49"/>
        <v>1.1087962964666076E-2</v>
      </c>
      <c r="N181" s="7">
        <f t="shared" si="64"/>
        <v>15.966666669119149</v>
      </c>
      <c r="O181" s="7"/>
      <c r="P181" s="7"/>
      <c r="Q181" s="22"/>
      <c r="R181" s="170"/>
      <c r="S181" s="213">
        <f t="shared" si="66"/>
        <v>1</v>
      </c>
      <c r="T181" s="195" t="str">
        <f t="shared" si="50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1"/>
        <v>https://d0f6bd738d7f1b3e5a7ca70fe4ff75f0.us-east-1.aws.found.io/app/kibana#/discover/Steve-Slow-Train-Analysis-(2080s-and-2083s)?_g=(refreshInterval:(display:Off,pause:!f,section:0,value:0),time:(from:'2017-07-01T14:36:50-0600',mode:absolute,to:'2017-07-01T16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197" t="str">
        <f>IF(AA181&lt;VLOOKUP(AG181,Variables!$AC$3:$AD$8,2,FALSE),"Y","N")</f>
        <v>N</v>
      </c>
      <c r="X181" s="197">
        <f t="shared" si="67"/>
        <v>1</v>
      </c>
      <c r="Y181" s="197">
        <f t="shared" si="53"/>
        <v>5.859</v>
      </c>
      <c r="Z181" s="197">
        <f t="shared" si="54"/>
        <v>7.0300000000000001E-2</v>
      </c>
      <c r="AA181" s="197">
        <f t="shared" si="55"/>
        <v>5.7887000000000004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6"/>
        <v>1820</v>
      </c>
      <c r="AE18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1" s="74" t="str">
        <f t="shared" si="58"/>
        <v>"C:\Program Files (x86)\AstroGrep\AstroGrep.exe" /e /r /s /spath="%USERPROFILE%\AppData\Local\Temp\OnboardLogs" /stypes="app*4005*20170701*" /stext=" 21:.+((SYSTEM_STATE.+slice.+state.+changed )|(ment ac)|(multiple cpu faults)|(system.+state.+changed )|(\[timeout)|(PRM\|1\|D)|(kpr)|(kdp)|(train st.+moving)|(\|lc)|(penalty))"</v>
      </c>
      <c r="AG181" s="209" t="str">
        <f t="shared" si="59"/>
        <v>NW</v>
      </c>
      <c r="AH181" s="78" t="str">
        <f t="shared" si="60"/>
        <v>"%USERPROFILE%\Documents\GitHub\eaglep3\Utilities\RefineRTDCRunTimes.py" --tripid 1820-01 --locoid 4005 --swversion DE.1.0.9.0 --startMP 300:58590 --initTime 2017-07-01T15:36:50 --startdatetime 2017-07-01T15:39:12 --delay 1 --endMP 204:703 --enddatetime 2017-07-01T15:55:10 --enforcementcount 0 &gt;&gt;C:\Users\stu\Documents\GitHub\eaglep3-reporting\EC\2017-07-01-refined-times.txt</v>
      </c>
      <c r="AI18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{"issue":{"subject":"","project_id":79,"tracker_id":40,"status_id":1,"priority_id":2,"assigned_to_id":23,"start_date":"2017-07-01","description":"","custom_fields":[{"id":1,"name":"Subdivision","value":"NW"},{"id":4,"name":"Milepost","value":"0.0703"},{"id":17,"name":"Train ID","value":"1820-01"},{"id":16,"name":"Locomotive ID","value":"4005"},{"id":130,"name":"Impact","value":""},{"id":150,"name":"Time of Event (Mountain Time)","value":"15:55:10"},{"id":151,"name":"Denver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2"/>
        <v>start /low /b %USERPROFILE%\Documents\GitHub\eaglep3\Utilities\DownloadLogsFromS3.py --loco 4005 --day 2017-07-01</v>
      </c>
      <c r="AN18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814</v>
      </c>
      <c r="B182" s="7">
        <v>4006</v>
      </c>
      <c r="C182" s="21" t="s">
        <v>202</v>
      </c>
      <c r="D182" s="21" t="s">
        <v>628</v>
      </c>
      <c r="E182" s="13">
        <v>42917.665555555555</v>
      </c>
      <c r="F182" s="13">
        <v>42917.681458333333</v>
      </c>
      <c r="G182" s="7">
        <v>1</v>
      </c>
      <c r="H182" s="21" t="s">
        <v>956</v>
      </c>
      <c r="I182" s="13">
        <v>42917.691145833334</v>
      </c>
      <c r="J182" s="7">
        <v>0</v>
      </c>
      <c r="K182" s="89" t="str">
        <f t="shared" si="48"/>
        <v>4005/4006</v>
      </c>
      <c r="L182" s="21" t="str">
        <f>VLOOKUP(A182,'Trips&amp;Operators'!$C$1:$G$99999,5,FALSE)</f>
        <v>SAFIEF AEIMEN</v>
      </c>
      <c r="M182" s="6">
        <f t="shared" si="49"/>
        <v>9.6875000017462298E-3</v>
      </c>
      <c r="N182" s="7">
        <f t="shared" si="64"/>
        <v>13.950000002514571</v>
      </c>
      <c r="O182" s="7"/>
      <c r="P182" s="7"/>
      <c r="Q182" s="22"/>
      <c r="R182" s="170"/>
      <c r="S182" s="213">
        <f t="shared" si="66"/>
        <v>1</v>
      </c>
      <c r="T182" s="195" t="str">
        <f t="shared" si="50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1"/>
        <v>https://d0f6bd738d7f1b3e5a7ca70fe4ff75f0.us-east-1.aws.found.io/app/kibana#/discover/Steve-Slow-Train-Analysis-(2080s-and-2083s)?_g=(refreshInterval:(display:Off,pause:!f,section:0,value:0),time:(from:'2017-07-01T14:58:24-0600',mode:absolute,to:'2017-07-01T17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197" t="str">
        <f>IF(AA182&lt;VLOOKUP(AG182,Variables!$AC$3:$AD$8,2,FALSE),"Y","N")</f>
        <v>N</v>
      </c>
      <c r="X182" s="197">
        <f t="shared" si="67"/>
        <v>1</v>
      </c>
      <c r="Y182" s="197">
        <f t="shared" si="53"/>
        <v>9.8299999999999998E-2</v>
      </c>
      <c r="Z182" s="197">
        <f t="shared" si="54"/>
        <v>5.891</v>
      </c>
      <c r="AA182" s="197">
        <f t="shared" si="55"/>
        <v>5.7927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6"/>
        <v>1821</v>
      </c>
      <c r="AE18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2" s="74" t="str">
        <f t="shared" si="58"/>
        <v>"C:\Program Files (x86)\AstroGrep\AstroGrep.exe" /e /r /s /spath="%USERPROFILE%\AppData\Local\Temp\OnboardLogs" /stypes="app*4006*20170701*" /stext=" 22:.+((SYSTEM_STATE.+slice.+state.+changed )|(ment ac)|(multiple cpu faults)|(system.+state.+changed )|(\[timeout)|(PRM\|1\|D)|(kpr)|(kdp)|(train st.+moving)|(\|lc)|(penalty))"</v>
      </c>
      <c r="AG182" s="209" t="str">
        <f t="shared" si="59"/>
        <v>NW</v>
      </c>
      <c r="AH182" s="78" t="str">
        <f t="shared" si="60"/>
        <v>"%USERPROFILE%\Documents\GitHub\eaglep3\Utilities\RefineRTDCRunTimes.py" --tripid 1821-01 --locoid 4006 --swversion DE.1.0.9.0 --startMP 204:983 --initTime 2017-07-01T15:58:24 --startdatetime 2017-07-01T16:21:18 --delay 1 --endMP 300:58910 --enddatetime 2017-07-01T16:35:15 --enforcementcount 0 &gt;&gt;C:\Users\stu\Documents\GitHub\eaglep3-reporting\EC\2017-07-01-refined-times.txt</v>
      </c>
      <c r="AI18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{"issue":{"subject":"","project_id":79,"tracker_id":40,"status_id":1,"priority_id":2,"assigned_to_id":23,"start_date":"2017-07-01","description":"","custom_fields":[{"id":1,"name":"Subdivision","value":"NW"},{"id":4,"name":"Milepost","value":"5.891"},{"id":17,"name":"Train ID","value":"1821-01"},{"id":16,"name":"Locomotive ID","value":"4006"},{"id":130,"name":"Impact","value":""},{"id":150,"name":"Time of Event (Mountain Time)","value":"16:35:15"},{"id":151,"name":"Denver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2"/>
        <v>start /low /b %USERPROFILE%\Documents\GitHub\eaglep3\Utilities\DownloadLogsFromS3.py --loco 4006 --day 2017-07-01</v>
      </c>
      <c r="AN182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818</v>
      </c>
      <c r="B183" s="7">
        <v>4005</v>
      </c>
      <c r="C183" s="21" t="s">
        <v>202</v>
      </c>
      <c r="D183" s="21" t="s">
        <v>957</v>
      </c>
      <c r="E183" s="13">
        <v>42917.692280092589</v>
      </c>
      <c r="F183" s="13">
        <v>42917.693958333337</v>
      </c>
      <c r="G183" s="7">
        <v>1</v>
      </c>
      <c r="H183" s="21" t="s">
        <v>958</v>
      </c>
      <c r="I183" s="13">
        <v>42917.704907407409</v>
      </c>
      <c r="J183" s="7">
        <v>0</v>
      </c>
      <c r="K183" s="89" t="str">
        <f t="shared" si="48"/>
        <v>4005/4006</v>
      </c>
      <c r="L183" s="21" t="str">
        <f>VLOOKUP(A183,'Trips&amp;Operators'!$C$1:$G$99999,5,FALSE)</f>
        <v>SAFIEF AEIMEN</v>
      </c>
      <c r="M183" s="6">
        <f t="shared" si="49"/>
        <v>1.0949074072414078E-2</v>
      </c>
      <c r="N183" s="7">
        <f t="shared" si="64"/>
        <v>15.766666664276272</v>
      </c>
      <c r="O183" s="7"/>
      <c r="P183" s="7"/>
      <c r="Q183" s="22"/>
      <c r="R183" s="170"/>
      <c r="S183" s="213">
        <f t="shared" si="66"/>
        <v>1</v>
      </c>
      <c r="T183" s="195" t="str">
        <f t="shared" si="50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1"/>
        <v>https://d0f6bd738d7f1b3e5a7ca70fe4ff75f0.us-east-1.aws.found.io/app/kibana#/discover/Steve-Slow-Train-Analysis-(2080s-and-2083s)?_g=(refreshInterval:(display:Off,pause:!f,section:0,value:0),time:(from:'2017-07-01T15:36:53-0600',mode:absolute,to:'2017-07-01T17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197" t="str">
        <f>IF(AA183&lt;VLOOKUP(AG183,Variables!$AC$3:$AD$8,2,FALSE),"Y","N")</f>
        <v>N</v>
      </c>
      <c r="X183" s="197">
        <f t="shared" si="67"/>
        <v>1</v>
      </c>
      <c r="Y183" s="197">
        <f t="shared" si="53"/>
        <v>5.8597999999999999</v>
      </c>
      <c r="Z183" s="197">
        <f t="shared" si="54"/>
        <v>6.7699999999999996E-2</v>
      </c>
      <c r="AA183" s="197">
        <f t="shared" si="55"/>
        <v>5.7920999999999996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6"/>
        <v>1822</v>
      </c>
      <c r="AE18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3" s="74" t="str">
        <f t="shared" si="58"/>
        <v>"C:\Program Files (x86)\AstroGrep\AstroGrep.exe" /e /r /s /spath="%USERPROFILE%\AppData\Local\Temp\OnboardLogs" /stypes="app*4005*20170701*" /stext=" 22:.+((SYSTEM_STATE.+slice.+state.+changed )|(ment ac)|(multiple cpu faults)|(system.+state.+changed )|(\[timeout)|(PRM\|1\|D)|(kpr)|(kdp)|(train st.+moving)|(\|lc)|(penalty))"</v>
      </c>
      <c r="AG183" s="209" t="str">
        <f t="shared" si="59"/>
        <v>NW</v>
      </c>
      <c r="AH183" s="78" t="str">
        <f t="shared" si="60"/>
        <v>"%USERPROFILE%\Documents\GitHub\eaglep3\Utilities\RefineRTDCRunTimes.py" --tripid 1822-01 --locoid 4005 --swversion DE.1.0.9.0 --startMP 300:58598 --initTime 2017-07-01T16:36:53 --startdatetime 2017-07-01T16:39:18 --delay 1 --endMP 204:677 --enddatetime 2017-07-01T16:55:04 --enforcementcount 0 &gt;&gt;C:\Users\stu\Documents\GitHub\eaglep3-reporting\EC\2017-07-01-refined-times.txt</v>
      </c>
      <c r="AI18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{"issue":{"subject":"","project_id":79,"tracker_id":40,"status_id":1,"priority_id":2,"assigned_to_id":23,"start_date":"2017-07-01","description":"","custom_fields":[{"id":1,"name":"Subdivision","value":"NW"},{"id":4,"name":"Milepost","value":"0.0677"},{"id":17,"name":"Train ID","value":"1822-01"},{"id":16,"name":"Locomotive ID","value":"4005"},{"id":130,"name":"Impact","value":""},{"id":150,"name":"Time of Event (Mountain Time)","value":"16:55:04"},{"id":151,"name":"Denver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2"/>
        <v>start /low /b %USERPROFILE%\Documents\GitHub\eaglep3\Utilities\DownloadLogsFromS3.py --loco 4005 --day 2017-07-01</v>
      </c>
      <c r="AN18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821</v>
      </c>
      <c r="B184" s="7">
        <v>4006</v>
      </c>
      <c r="C184" s="21" t="s">
        <v>202</v>
      </c>
      <c r="D184" s="21" t="s">
        <v>560</v>
      </c>
      <c r="E184" s="13">
        <v>42917.707685185182</v>
      </c>
      <c r="F184" s="13">
        <v>42917.723136574074</v>
      </c>
      <c r="G184" s="7">
        <v>1</v>
      </c>
      <c r="H184" s="21" t="s">
        <v>959</v>
      </c>
      <c r="I184" s="13">
        <v>42917.732662037037</v>
      </c>
      <c r="J184" s="7">
        <v>0</v>
      </c>
      <c r="K184" s="89" t="str">
        <f t="shared" si="48"/>
        <v>4005/4006</v>
      </c>
      <c r="L184" s="21" t="str">
        <f>VLOOKUP(A184,'Trips&amp;Operators'!$C$1:$G$99999,5,FALSE)</f>
        <v>SAFIEF AEIMEN</v>
      </c>
      <c r="M184" s="6">
        <f t="shared" si="49"/>
        <v>9.5254629632108845E-3</v>
      </c>
      <c r="N184" s="7">
        <f t="shared" si="64"/>
        <v>13.716666667023674</v>
      </c>
      <c r="O184" s="7"/>
      <c r="P184" s="7"/>
      <c r="Q184" s="22"/>
      <c r="R184" s="170"/>
      <c r="S184" s="213">
        <f t="shared" si="66"/>
        <v>1</v>
      </c>
      <c r="T184" s="195" t="str">
        <f t="shared" si="50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1"/>
        <v>https://d0f6bd738d7f1b3e5a7ca70fe4ff75f0.us-east-1.aws.found.io/app/kibana#/discover/Steve-Slow-Train-Analysis-(2080s-and-2083s)?_g=(refreshInterval:(display:Off,pause:!f,section:0,value:0),time:(from:'2017-07-01T15:59:04-0600',mode:absolute,to:'2017-07-01T18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197" t="str">
        <f>IF(AA184&lt;VLOOKUP(AG184,Variables!$AC$3:$AD$8,2,FALSE),"Y","N")</f>
        <v>N</v>
      </c>
      <c r="X184" s="197">
        <f t="shared" si="67"/>
        <v>1</v>
      </c>
      <c r="Y184" s="197">
        <f t="shared" si="53"/>
        <v>9.6699999999999994E-2</v>
      </c>
      <c r="Z184" s="197">
        <f t="shared" si="54"/>
        <v>5.8917999999999999</v>
      </c>
      <c r="AA184" s="197">
        <f t="shared" si="55"/>
        <v>5.7950999999999997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6"/>
        <v>1823</v>
      </c>
      <c r="AE18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4" s="74" t="str">
        <f t="shared" si="58"/>
        <v>"C:\Program Files (x86)\AstroGrep\AstroGrep.exe" /e /r /s /spath="%USERPROFILE%\AppData\Local\Temp\OnboardLogs" /stypes="app*4006*20170701*" /stext=" 23:.+((SYSTEM_STATE.+slice.+state.+changed )|(ment ac)|(multiple cpu faults)|(system.+state.+changed )|(\[timeout)|(PRM\|1\|D)|(kpr)|(kdp)|(train st.+moving)|(\|lc)|(penalty))"</v>
      </c>
      <c r="AG184" s="209" t="str">
        <f t="shared" si="59"/>
        <v>NW</v>
      </c>
      <c r="AH184" s="78" t="str">
        <f t="shared" si="60"/>
        <v>"%USERPROFILE%\Documents\GitHub\eaglep3\Utilities\RefineRTDCRunTimes.py" --tripid 1823-01 --locoid 4006 --swversion DE.1.0.9.0 --startMP 204:967 --initTime 2017-07-01T16:59:04 --startdatetime 2017-07-01T17:21:19 --delay 1 --endMP 300:58918 --enddatetime 2017-07-01T17:35:02 --enforcementcount 0 &gt;&gt;C:\Users\stu\Documents\GitHub\eaglep3-reporting\EC\2017-07-01-refined-times.txt</v>
      </c>
      <c r="AI18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{"issue":{"subject":"","project_id":79,"tracker_id":40,"status_id":1,"priority_id":2,"assigned_to_id":23,"start_date":"2017-07-01","description":"","custom_fields":[{"id":1,"name":"Subdivision","value":"NW"},{"id":4,"name":"Milepost","value":"5.8918"},{"id":17,"name":"Train ID","value":"1823-01"},{"id":16,"name":"Locomotive ID","value":"4006"},{"id":130,"name":"Impact","value":""},{"id":150,"name":"Time of Event (Mountain Time)","value":"17:35:02"},{"id":151,"name":"Denver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2"/>
        <v>start /low /b %USERPROFILE%\Documents\GitHub\eaglep3\Utilities\DownloadLogsFromS3.py --loco 4006 --day 2017-07-01</v>
      </c>
      <c r="AN184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826</v>
      </c>
      <c r="B185" s="7">
        <v>4005</v>
      </c>
      <c r="C185" s="21" t="s">
        <v>202</v>
      </c>
      <c r="D185" s="21" t="s">
        <v>960</v>
      </c>
      <c r="E185" s="13">
        <v>42917.733807870369</v>
      </c>
      <c r="F185" s="13">
        <v>42917.735543981478</v>
      </c>
      <c r="G185" s="7">
        <v>1</v>
      </c>
      <c r="H185" s="21" t="s">
        <v>627</v>
      </c>
      <c r="I185" s="13">
        <v>42917.74659722222</v>
      </c>
      <c r="J185" s="7">
        <v>0</v>
      </c>
      <c r="K185" s="89" t="str">
        <f t="shared" si="48"/>
        <v>4005/4006</v>
      </c>
      <c r="L185" s="21" t="str">
        <f>VLOOKUP(A185,'Trips&amp;Operators'!$C$1:$G$99999,5,FALSE)</f>
        <v>SAFIEF AEIMEN</v>
      </c>
      <c r="M185" s="6">
        <f t="shared" si="49"/>
        <v>1.1053240741603076E-2</v>
      </c>
      <c r="N185" s="7">
        <f t="shared" si="64"/>
        <v>15.91666666790843</v>
      </c>
      <c r="O185" s="7"/>
      <c r="P185" s="7"/>
      <c r="Q185" s="22"/>
      <c r="R185" s="170"/>
      <c r="S185" s="213">
        <f t="shared" si="66"/>
        <v>1</v>
      </c>
      <c r="T185" s="195" t="str">
        <f t="shared" si="50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1"/>
        <v>https://d0f6bd738d7f1b3e5a7ca70fe4ff75f0.us-east-1.aws.found.io/app/kibana#/discover/Steve-Slow-Train-Analysis-(2080s-and-2083s)?_g=(refreshInterval:(display:Off,pause:!f,section:0,value:0),time:(from:'2017-07-01T16:36:41-0600',mode:absolute,to:'2017-07-01T18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197" t="str">
        <f>IF(AA185&lt;VLOOKUP(AG185,Variables!$AC$3:$AD$8,2,FALSE),"Y","N")</f>
        <v>N</v>
      </c>
      <c r="X185" s="197">
        <f t="shared" si="67"/>
        <v>1</v>
      </c>
      <c r="Y185" s="197">
        <f t="shared" si="53"/>
        <v>5.8596000000000004</v>
      </c>
      <c r="Z185" s="197">
        <f t="shared" si="54"/>
        <v>6.6799999999999998E-2</v>
      </c>
      <c r="AA185" s="197">
        <f t="shared" si="55"/>
        <v>5.7928000000000006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6"/>
        <v>1824</v>
      </c>
      <c r="AE185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5" s="74" t="str">
        <f t="shared" si="58"/>
        <v>"C:\Program Files (x86)\AstroGrep\AstroGrep.exe" /e /r /s /spath="%USERPROFILE%\AppData\Local\Temp\OnboardLogs" /stypes="app*4005*20170701*" /stext=" 23:.+((SYSTEM_STATE.+slice.+state.+changed )|(ment ac)|(multiple cpu faults)|(system.+state.+changed )|(\[timeout)|(PRM\|1\|D)|(kpr)|(kdp)|(train st.+moving)|(\|lc)|(penalty))"</v>
      </c>
      <c r="AG185" s="209" t="str">
        <f t="shared" si="59"/>
        <v>NW</v>
      </c>
      <c r="AH185" s="78" t="str">
        <f t="shared" si="60"/>
        <v>"%USERPROFILE%\Documents\GitHub\eaglep3\Utilities\RefineRTDCRunTimes.py" --tripid 1824-01 --locoid 4005 --swversion DE.1.0.9.0 --startMP 300:58596 --initTime 2017-07-01T17:36:41 --startdatetime 2017-07-01T17:39:11 --delay 1 --endMP 204:668 --enddatetime 2017-07-01T17:55:06 --enforcementcount 0 &gt;&gt;C:\Users\stu\Documents\GitHub\eaglep3-reporting\EC\2017-07-01-refined-times.txt</v>
      </c>
      <c r="AI185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{"issue":{"subject":"","project_id":79,"tracker_id":40,"status_id":1,"priority_id":2,"assigned_to_id":23,"start_date":"2017-07-01","description":"","custom_fields":[{"id":1,"name":"Subdivision","value":"NW"},{"id":4,"name":"Milepost","value":"0.0668"},{"id":17,"name":"Train ID","value":"1824-01"},{"id":16,"name":"Locomotive ID","value":"4005"},{"id":130,"name":"Impact","value":""},{"id":150,"name":"Time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2"/>
        <v>start /low /b %USERPROFILE%\Documents\GitHub\eaglep3\Utilities\DownloadLogsFromS3.py --loco 4005 --day 2017-07-01</v>
      </c>
      <c r="AN18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833</v>
      </c>
      <c r="B186" s="7">
        <v>4006</v>
      </c>
      <c r="C186" s="21" t="s">
        <v>202</v>
      </c>
      <c r="D186" s="21" t="s">
        <v>961</v>
      </c>
      <c r="E186" s="13">
        <v>42917.748912037037</v>
      </c>
      <c r="F186" s="13">
        <v>42917.765023148146</v>
      </c>
      <c r="G186" s="7">
        <v>1</v>
      </c>
      <c r="H186" s="21" t="s">
        <v>962</v>
      </c>
      <c r="I186" s="13">
        <v>42917.774884259263</v>
      </c>
      <c r="J186" s="7">
        <v>0</v>
      </c>
      <c r="K186" s="89" t="str">
        <f t="shared" si="48"/>
        <v>4005/4006</v>
      </c>
      <c r="L186" s="21" t="str">
        <f>VLOOKUP(A186,'Trips&amp;Operators'!$C$1:$G$99999,5,FALSE)</f>
        <v>SAFIEF AEIMEN</v>
      </c>
      <c r="M186" s="6">
        <f t="shared" si="49"/>
        <v>9.8611111170612276E-3</v>
      </c>
      <c r="N186" s="7">
        <f t="shared" si="64"/>
        <v>14.200000008568168</v>
      </c>
      <c r="O186" s="7"/>
      <c r="P186" s="7"/>
      <c r="Q186" s="22"/>
      <c r="R186" s="170"/>
      <c r="S186" s="213">
        <f t="shared" si="66"/>
        <v>1</v>
      </c>
      <c r="T186" s="195" t="str">
        <f t="shared" si="50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1"/>
        <v>https://d0f6bd738d7f1b3e5a7ca70fe4ff75f0.us-east-1.aws.found.io/app/kibana#/discover/Steve-Slow-Train-Analysis-(2080s-and-2083s)?_g=(refreshInterval:(display:Off,pause:!f,section:0,value:0),time:(from:'2017-07-01T16:58:26-0600',mode:absolute,to:'2017-07-01T19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197" t="str">
        <f>IF(AA186&lt;VLOOKUP(AG186,Variables!$AC$3:$AD$8,2,FALSE),"Y","N")</f>
        <v>N</v>
      </c>
      <c r="X186" s="197">
        <f t="shared" si="67"/>
        <v>1</v>
      </c>
      <c r="Y186" s="197">
        <f t="shared" si="53"/>
        <v>9.6199999999999994E-2</v>
      </c>
      <c r="Z186" s="197">
        <f t="shared" si="54"/>
        <v>5.8920000000000003</v>
      </c>
      <c r="AA186" s="197">
        <f t="shared" si="55"/>
        <v>5.7958000000000007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6"/>
        <v>1825</v>
      </c>
      <c r="AE186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6" s="74" t="str">
        <f t="shared" si="58"/>
        <v>"C:\Program Files (x86)\AstroGrep\AstroGrep.exe" /e /r /s /spath="%USERPROFILE%\AppData\Local\Temp\OnboardLogs" /stypes="app*4006*20170702*" /stext=" 00:.+((SYSTEM_STATE.+slice.+state.+changed )|(ment ac)|(multiple cpu faults)|(system.+state.+changed )|(\[timeout)|(PRM\|1\|D)|(kpr)|(kdp)|(train st.+moving)|(\|lc)|(penalty))"</v>
      </c>
      <c r="AG186" s="209" t="str">
        <f t="shared" si="59"/>
        <v>NW</v>
      </c>
      <c r="AH186" s="78" t="str">
        <f t="shared" si="60"/>
        <v>"%USERPROFILE%\Documents\GitHub\eaglep3\Utilities\RefineRTDCRunTimes.py" --tripid 1825-01 --locoid 4006 --swversion DE.1.0.9.0 --startMP 204:962 --initTime 2017-07-01T17:58:26 --startdatetime 2017-07-01T18:21:38 --delay 1 --endMP 300:58920 --enddatetime 2017-07-01T18:35:50 --enforcementcount 0 &gt;&gt;C:\Users\stu\Documents\GitHub\eaglep3-reporting\EC\2017-07-01-refined-times.txt</v>
      </c>
      <c r="AI186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{"issue":{"subject":"","project_id":79,"tracker_id":40,"status_id":1,"priority_id":2,"assigned_to_id":23,"start_date":"2017-07-01","description":"","custom_fields":[{"id":1,"name":"Subdivision","value":"NW"},{"id":4,"name":"Milepost","value":"5.892"},{"id":17,"name":"Train ID","value":"1825-01"},{"id":16,"name":"Locomotive ID","value":"4006"},{"id":130,"name":"Impact","value":""},{"id":150,"name":"Time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2"/>
        <v>start /low /b %USERPROFILE%\Documents\GitHub\eaglep3\Utilities\DownloadLogsFromS3.py --loco 4006 --day 2017-07-01</v>
      </c>
      <c r="AN18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837</v>
      </c>
      <c r="B187" s="7">
        <v>4005</v>
      </c>
      <c r="C187" s="21" t="s">
        <v>202</v>
      </c>
      <c r="D187" s="21" t="s">
        <v>960</v>
      </c>
      <c r="E187" s="13">
        <v>42917.776087962964</v>
      </c>
      <c r="F187" s="13">
        <v>42917.777615740742</v>
      </c>
      <c r="G187" s="7">
        <v>1</v>
      </c>
      <c r="H187" s="21" t="s">
        <v>963</v>
      </c>
      <c r="I187" s="13">
        <v>42917.78875</v>
      </c>
      <c r="J187" s="7">
        <v>0</v>
      </c>
      <c r="K187" s="89" t="str">
        <f t="shared" si="48"/>
        <v>4005/4006</v>
      </c>
      <c r="L187" s="21" t="str">
        <f>VLOOKUP(A187,'Trips&amp;Operators'!$C$1:$G$99999,5,FALSE)</f>
        <v>SAFIEF AEIMEN</v>
      </c>
      <c r="M187" s="6">
        <f t="shared" si="49"/>
        <v>1.113425925723277E-2</v>
      </c>
      <c r="N187" s="7">
        <f t="shared" si="64"/>
        <v>16.033333330415189</v>
      </c>
      <c r="O187" s="7"/>
      <c r="P187" s="7"/>
      <c r="Q187" s="22"/>
      <c r="R187" s="170"/>
      <c r="S187" s="213">
        <f t="shared" si="66"/>
        <v>1</v>
      </c>
      <c r="T187" s="195" t="str">
        <f t="shared" si="50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1"/>
        <v>https://d0f6bd738d7f1b3e5a7ca70fe4ff75f0.us-east-1.aws.found.io/app/kibana#/discover/Steve-Slow-Train-Analysis-(2080s-and-2083s)?_g=(refreshInterval:(display:Off,pause:!f,section:0,value:0),time:(from:'2017-07-01T17:37:34-0600',mode:absolute,to:'2017-07-01T19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197" t="str">
        <f>IF(AA187&lt;VLOOKUP(AG187,Variables!$AC$3:$AD$8,2,FALSE),"Y","N")</f>
        <v>N</v>
      </c>
      <c r="X187" s="197">
        <f t="shared" si="67"/>
        <v>1</v>
      </c>
      <c r="Y187" s="197">
        <f t="shared" si="53"/>
        <v>5.8596000000000004</v>
      </c>
      <c r="Z187" s="197">
        <f t="shared" si="54"/>
        <v>6.4299999999999996E-2</v>
      </c>
      <c r="AA187" s="197">
        <f t="shared" si="55"/>
        <v>5.7953000000000001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6"/>
        <v>1826</v>
      </c>
      <c r="AE187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7" s="74" t="str">
        <f t="shared" si="58"/>
        <v>"C:\Program Files (x86)\AstroGrep\AstroGrep.exe" /e /r /s /spath="%USERPROFILE%\AppData\Local\Temp\OnboardLogs" /stypes="app*4005*20170702*" /stext=" 00:.+((SYSTEM_STATE.+slice.+state.+changed )|(ment ac)|(multiple cpu faults)|(system.+state.+changed )|(\[timeout)|(PRM\|1\|D)|(kpr)|(kdp)|(train st.+moving)|(\|lc)|(penalty))"</v>
      </c>
      <c r="AG187" s="209" t="str">
        <f t="shared" si="59"/>
        <v>NW</v>
      </c>
      <c r="AH187" s="78" t="str">
        <f t="shared" si="60"/>
        <v>"%USERPROFILE%\Documents\GitHub\eaglep3\Utilities\RefineRTDCRunTimes.py" --tripid 1826-01 --locoid 4005 --swversion DE.1.0.9.0 --startMP 300:58596 --initTime 2017-07-01T18:37:34 --startdatetime 2017-07-01T18:39:46 --delay 1 --endMP 204:643 --enddatetime 2017-07-01T18:55:48 --enforcementcount 0 &gt;&gt;C:\Users\stu\Documents\GitHub\eaglep3-reporting\EC\2017-07-01-refined-times.txt</v>
      </c>
      <c r="AI187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{"issue":{"subject":"","project_id":79,"tracker_id":40,"status_id":1,"priority_id":2,"assigned_to_id":23,"start_date":"2017-07-01","description":"","custom_fields":[{"id":1,"name":"Subdivision","value":"NW"},{"id":4,"name":"Milepost","value":"0.0643"},{"id":17,"name":"Train ID","value":"1826-01"},{"id":16,"name":"Locomotive ID","value":"4005"},{"id":130,"name":"Impact","value":""},{"id":150,"name":"Time of Event (Mountain Time)","value":"18:55:48"},{"id":151,"name":"Denver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2"/>
        <v>start /low /b %USERPROFILE%\Documents\GitHub\eaglep3\Utilities\DownloadLogsFromS3.py --loco 4005 --day 2017-07-01</v>
      </c>
      <c r="AN187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843</v>
      </c>
      <c r="B188" s="7">
        <v>4006</v>
      </c>
      <c r="C188" s="21" t="s">
        <v>202</v>
      </c>
      <c r="D188" s="21" t="s">
        <v>633</v>
      </c>
      <c r="E188" s="13">
        <v>42917.79886574074</v>
      </c>
      <c r="F188" s="13">
        <v>42917.806493055556</v>
      </c>
      <c r="G188" s="7">
        <v>2</v>
      </c>
      <c r="H188" s="21" t="s">
        <v>951</v>
      </c>
      <c r="I188" s="13">
        <v>42917.81591435185</v>
      </c>
      <c r="J188" s="7">
        <v>0</v>
      </c>
      <c r="K188" s="89" t="str">
        <f t="shared" si="48"/>
        <v>4005/4006</v>
      </c>
      <c r="L188" s="21" t="str">
        <f>VLOOKUP(A188,'Trips&amp;Operators'!$C$1:$G$99999,5,FALSE)</f>
        <v>SAFIEF AEIMEN</v>
      </c>
      <c r="M188" s="6">
        <f t="shared" si="49"/>
        <v>9.4212962940218858E-3</v>
      </c>
      <c r="N188" s="7">
        <f t="shared" ref="N188:N212" si="68">24*60*SUM($M188:$M188)</f>
        <v>13.566666663391516</v>
      </c>
      <c r="O188" s="7"/>
      <c r="P188" s="7"/>
      <c r="Q188" s="22"/>
      <c r="R188" s="170"/>
      <c r="S188" s="213">
        <f t="shared" si="66"/>
        <v>1</v>
      </c>
      <c r="T188" s="195" t="str">
        <f t="shared" si="50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1"/>
        <v>https://d0f6bd738d7f1b3e5a7ca70fe4ff75f0.us-east-1.aws.found.io/app/kibana#/discover/Steve-Slow-Train-Analysis-(2080s-and-2083s)?_g=(refreshInterval:(display:Off,pause:!f,section:0,value:0),time:(from:'2017-07-01T18:10:22-0600',mode:absolute,to:'2017-07-01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197" t="str">
        <f>IF(AA188&lt;VLOOKUP(AG188,Variables!$AC$3:$AD$8,2,FALSE),"Y","N")</f>
        <v>N</v>
      </c>
      <c r="X188" s="197">
        <f t="shared" si="67"/>
        <v>1</v>
      </c>
      <c r="Y188" s="197">
        <f t="shared" si="53"/>
        <v>9.64E-2</v>
      </c>
      <c r="Z188" s="197">
        <f t="shared" si="54"/>
        <v>5.8912000000000004</v>
      </c>
      <c r="AA188" s="197">
        <f t="shared" si="55"/>
        <v>5.7948000000000004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6"/>
        <v>1827</v>
      </c>
      <c r="AE188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8" s="74" t="str">
        <f t="shared" si="58"/>
        <v>"C:\Program Files (x86)\AstroGrep\AstroGrep.exe" /e /r /s /spath="%USERPROFILE%\AppData\Local\Temp\OnboardLogs" /stypes="app*4006*20170702*" /stext=" 01:.+((SYSTEM_STATE.+slice.+state.+changed )|(ment ac)|(multiple cpu faults)|(system.+state.+changed )|(\[timeout)|(PRM\|1\|D)|(kpr)|(kdp)|(train st.+moving)|(\|lc)|(penalty))"</v>
      </c>
      <c r="AG188" s="209" t="str">
        <f t="shared" si="59"/>
        <v>NW</v>
      </c>
      <c r="AH188" s="78" t="str">
        <f t="shared" si="60"/>
        <v>"%USERPROFILE%\Documents\GitHub\eaglep3\Utilities\RefineRTDCRunTimes.py" --tripid 1827-01 --locoid 4006 --swversion DE.1.0.9.0 --startMP 204:964 --initTime 2017-07-01T19:10:22 --startdatetime 2017-07-01T19:21:21 --delay 2 --endMP 300:58912 --enddatetime 2017-07-01T19:34:55 --enforcementcount 0 &gt;&gt;C:\Users\stu\Documents\GitHub\eaglep3-reporting\EC\2017-07-01-refined-times.txt</v>
      </c>
      <c r="AI188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{"issue":{"subject":"","project_id":79,"tracker_id":40,"status_id":1,"priority_id":2,"assigned_to_id":23,"start_date":"2017-07-01","description":"","custom_fields":[{"id":1,"name":"Subdivision","value":"NW"},{"id":4,"name":"Milepost","value":"5.8912"},{"id":17,"name":"Train ID","value":"1827-01"},{"id":16,"name":"Locomotive ID","value":"4006"},{"id":130,"name":"Impact","value":""},{"id":150,"name":"Time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2"/>
        <v>start /low /b %USERPROFILE%\Documents\GitHub\eaglep3\Utilities\DownloadLogsFromS3.py --loco 4006 --day 2017-07-01</v>
      </c>
      <c r="AN18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845</v>
      </c>
      <c r="B189" s="7">
        <v>4005</v>
      </c>
      <c r="C189" s="21" t="s">
        <v>202</v>
      </c>
      <c r="D189" s="21" t="s">
        <v>964</v>
      </c>
      <c r="E189" s="13">
        <v>42917.817337962966</v>
      </c>
      <c r="F189" s="13">
        <v>42917.819085648145</v>
      </c>
      <c r="G189" s="7">
        <v>1</v>
      </c>
      <c r="H189" s="21" t="s">
        <v>515</v>
      </c>
      <c r="I189" s="13">
        <v>42917.829976851855</v>
      </c>
      <c r="J189" s="7">
        <v>0</v>
      </c>
      <c r="K189" s="89" t="str">
        <f t="shared" si="48"/>
        <v>4005/4006</v>
      </c>
      <c r="L189" s="21" t="str">
        <f>VLOOKUP(A189,'Trips&amp;Operators'!$C$1:$G$99999,5,FALSE)</f>
        <v>SAFIEF AEIMEN</v>
      </c>
      <c r="M189" s="6">
        <f t="shared" si="49"/>
        <v>1.0891203710343689E-2</v>
      </c>
      <c r="N189" s="7">
        <f t="shared" si="68"/>
        <v>15.683333342894912</v>
      </c>
      <c r="O189" s="7"/>
      <c r="P189" s="7"/>
      <c r="Q189" s="22"/>
      <c r="R189" s="170"/>
      <c r="S189" s="213">
        <f t="shared" si="66"/>
        <v>1</v>
      </c>
      <c r="T189" s="195" t="str">
        <f t="shared" si="50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1"/>
        <v>https://d0f6bd738d7f1b3e5a7ca70fe4ff75f0.us-east-1.aws.found.io/app/kibana#/discover/Steve-Slow-Train-Analysis-(2080s-and-2083s)?_g=(refreshInterval:(display:Off,pause:!f,section:0,value:0),time:(from:'2017-07-01T18:36:58-0600',mode:absolute,to:'2017-07-01T20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197" t="str">
        <f>IF(AA189&lt;VLOOKUP(AG189,Variables!$AC$3:$AD$8,2,FALSE),"Y","N")</f>
        <v>N</v>
      </c>
      <c r="X189" s="197">
        <f t="shared" si="67"/>
        <v>1</v>
      </c>
      <c r="Y189" s="197">
        <f t="shared" si="53"/>
        <v>5.86</v>
      </c>
      <c r="Z189" s="197">
        <f t="shared" si="54"/>
        <v>6.8900000000000003E-2</v>
      </c>
      <c r="AA189" s="197">
        <f t="shared" si="55"/>
        <v>5.7911000000000001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6"/>
        <v>1828</v>
      </c>
      <c r="AE189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9" s="74" t="str">
        <f t="shared" si="58"/>
        <v>"C:\Program Files (x86)\AstroGrep\AstroGrep.exe" /e /r /s /spath="%USERPROFILE%\AppData\Local\Temp\OnboardLogs" /stypes="app*4005*20170702*" /stext=" 01:.+((SYSTEM_STATE.+slice.+state.+changed )|(ment ac)|(multiple cpu faults)|(system.+state.+changed )|(\[timeout)|(PRM\|1\|D)|(kpr)|(kdp)|(train st.+moving)|(\|lc)|(penalty))"</v>
      </c>
      <c r="AG189" s="209" t="str">
        <f t="shared" si="59"/>
        <v>NW</v>
      </c>
      <c r="AH189" s="78" t="str">
        <f t="shared" si="60"/>
        <v>"%USERPROFILE%\Documents\GitHub\eaglep3\Utilities\RefineRTDCRunTimes.py" --tripid 1828-01 --locoid 4005 --swversion DE.1.0.9.0 --startMP 300:58600 --initTime 2017-07-01T19:36:58 --startdatetime 2017-07-01T19:39:29 --delay 1 --endMP 204:689 --enddatetime 2017-07-01T19:55:10 --enforcementcount 0 &gt;&gt;C:\Users\stu\Documents\GitHub\eaglep3-reporting\EC\2017-07-01-refined-times.txt</v>
      </c>
      <c r="AI189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{"issue":{"subject":"","project_id":79,"tracker_id":40,"status_id":1,"priority_id":2,"assigned_to_id":23,"start_date":"2017-07-01","description":"","custom_fields":[{"id":1,"name":"Subdivision","value":"NW"},{"id":4,"name":"Milepost","value":"0.0689"},{"id":17,"name":"Train ID","value":"1828-01"},{"id":16,"name":"Locomotive ID","value":"4005"},{"id":130,"name":"Impact","value":""},{"id":150,"name":"Time of Event (Mountain Time)","value":"19:55:10"},{"id":151,"name":"Denver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2"/>
        <v>start /low /b %USERPROFILE%\Documents\GitHub\eaglep3\Utilities\DownloadLogsFromS3.py --loco 4005 --day 2017-07-01</v>
      </c>
      <c r="AN189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848</v>
      </c>
      <c r="B190" s="7">
        <v>4006</v>
      </c>
      <c r="C190" s="21" t="s">
        <v>202</v>
      </c>
      <c r="D190" s="21" t="s">
        <v>628</v>
      </c>
      <c r="E190" s="13">
        <v>42917.835312499999</v>
      </c>
      <c r="F190" s="13">
        <v>42917.848171296297</v>
      </c>
      <c r="G190" s="7">
        <v>1</v>
      </c>
      <c r="H190" s="21" t="s">
        <v>623</v>
      </c>
      <c r="I190" s="13">
        <v>42917.857928240737</v>
      </c>
      <c r="J190" s="7">
        <v>0</v>
      </c>
      <c r="K190" s="89" t="str">
        <f t="shared" si="48"/>
        <v>4005/4006</v>
      </c>
      <c r="L190" s="21" t="str">
        <f>VLOOKUP(A190,'Trips&amp;Operators'!$C$1:$G$99999,5,FALSE)</f>
        <v>SAFIEF AEIMEN</v>
      </c>
      <c r="M190" s="6">
        <f t="shared" si="49"/>
        <v>9.7569444405962713E-3</v>
      </c>
      <c r="N190" s="7">
        <f t="shared" si="68"/>
        <v>14.049999994458631</v>
      </c>
      <c r="O190" s="7"/>
      <c r="P190" s="7"/>
      <c r="Q190" s="22"/>
      <c r="R190" s="170"/>
      <c r="S190" s="213">
        <f t="shared" si="66"/>
        <v>1</v>
      </c>
      <c r="T190" s="195" t="str">
        <f t="shared" si="50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1"/>
        <v>https://d0f6bd738d7f1b3e5a7ca70fe4ff75f0.us-east-1.aws.found.io/app/kibana#/discover/Steve-Slow-Train-Analysis-(2080s-and-2083s)?_g=(refreshInterval:(display:Off,pause:!f,section:0,value:0),time:(from:'2017-07-01T19:02:51-0600',mode:absolute,to:'2017-07-01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197" t="str">
        <f>IF(AA190&lt;VLOOKUP(AG190,Variables!$AC$3:$AD$8,2,FALSE),"Y","N")</f>
        <v>N</v>
      </c>
      <c r="X190" s="197">
        <f t="shared" si="67"/>
        <v>1</v>
      </c>
      <c r="Y190" s="197">
        <f t="shared" si="53"/>
        <v>9.8299999999999998E-2</v>
      </c>
      <c r="Z190" s="197">
        <f t="shared" si="54"/>
        <v>5.8921999999999999</v>
      </c>
      <c r="AA190" s="197">
        <f t="shared" si="55"/>
        <v>5.7938999999999998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6"/>
        <v>1829</v>
      </c>
      <c r="AE190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90" s="74" t="str">
        <f t="shared" si="58"/>
        <v>"C:\Program Files (x86)\AstroGrep\AstroGrep.exe" /e /r /s /spath="%USERPROFILE%\AppData\Local\Temp\OnboardLogs" /stypes="app*4006*20170702*" /stext=" 02:.+((SYSTEM_STATE.+slice.+state.+changed )|(ment ac)|(multiple cpu faults)|(system.+state.+changed )|(\[timeout)|(PRM\|1\|D)|(kpr)|(kdp)|(train st.+moving)|(\|lc)|(penalty))"</v>
      </c>
      <c r="AG190" s="209" t="str">
        <f t="shared" si="59"/>
        <v>NW</v>
      </c>
      <c r="AH190" s="78" t="str">
        <f t="shared" si="60"/>
        <v>"%USERPROFILE%\Documents\GitHub\eaglep3\Utilities\RefineRTDCRunTimes.py" --tripid 1829-01 --locoid 4006 --swversion DE.1.0.9.0 --startMP 204:983 --initTime 2017-07-01T20:02:51 --startdatetime 2017-07-01T20:21:22 --delay 1 --endMP 300:58922 --enddatetime 2017-07-01T20:35:25 --enforcementcount 0 &gt;&gt;C:\Users\stu\Documents\GitHub\eaglep3-reporting\EC\2017-07-01-refined-times.txt</v>
      </c>
      <c r="AI190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{"issue":{"subject":"","project_id":79,"tracker_id":40,"status_id":1,"priority_id":2,"assigned_to_id":23,"start_date":"2017-07-01","description":"","custom_fields":[{"id":1,"name":"Subdivision","value":"NW"},{"id":4,"name":"Milepost","value":"5.8922"},{"id":17,"name":"Train ID","value":"1829-01"},{"id":16,"name":"Locomotive ID","value":"4006"},{"id":130,"name":"Impact","value":""},{"id":150,"name":"Time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2"/>
        <v>start /low /b %USERPROFILE%\Documents\GitHub\eaglep3\Utilities\DownloadLogsFromS3.py --loco 4006 --day 2017-07-01</v>
      </c>
      <c r="AN19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851</v>
      </c>
      <c r="B191" s="7">
        <v>4005</v>
      </c>
      <c r="C191" s="21" t="s">
        <v>202</v>
      </c>
      <c r="D191" s="21" t="s">
        <v>964</v>
      </c>
      <c r="E191" s="13">
        <v>42917.86109953704</v>
      </c>
      <c r="F191" s="13">
        <v>42917.862372685187</v>
      </c>
      <c r="G191" s="7">
        <v>1</v>
      </c>
      <c r="H191" s="21" t="s">
        <v>556</v>
      </c>
      <c r="I191" s="13">
        <v>42917.871736111112</v>
      </c>
      <c r="J191" s="7">
        <v>0</v>
      </c>
      <c r="K191" s="89" t="str">
        <f t="shared" si="48"/>
        <v>4005/4006</v>
      </c>
      <c r="L191" s="21" t="str">
        <f>VLOOKUP(A191,'Trips&amp;Operators'!$C$1:$G$99999,5,FALSE)</f>
        <v>SAFIEF AEIMEN</v>
      </c>
      <c r="M191" s="6">
        <f t="shared" si="49"/>
        <v>9.3634259246755391E-3</v>
      </c>
      <c r="N191" s="7">
        <f t="shared" si="68"/>
        <v>13.483333331532776</v>
      </c>
      <c r="O191" s="7"/>
      <c r="P191" s="7"/>
      <c r="Q191" s="22"/>
      <c r="R191" s="170"/>
      <c r="S191" s="213">
        <f t="shared" si="66"/>
        <v>1</v>
      </c>
      <c r="T191" s="195" t="str">
        <f t="shared" si="50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1"/>
        <v>https://d0f6bd738d7f1b3e5a7ca70fe4ff75f0.us-east-1.aws.found.io/app/kibana#/discover/Steve-Slow-Train-Analysis-(2080s-and-2083s)?_g=(refreshInterval:(display:Off,pause:!f,section:0,value:0),time:(from:'2017-07-01T19:39:59-0600',mode:absolute,to:'2017-07-01T21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197" t="str">
        <f>IF(AA191&lt;VLOOKUP(AG191,Variables!$AC$3:$AD$8,2,FALSE),"Y","N")</f>
        <v>N</v>
      </c>
      <c r="X191" s="197">
        <f t="shared" si="67"/>
        <v>1</v>
      </c>
      <c r="Y191" s="197">
        <f t="shared" si="53"/>
        <v>5.86</v>
      </c>
      <c r="Z191" s="197">
        <f t="shared" si="54"/>
        <v>6.8500000000000005E-2</v>
      </c>
      <c r="AA191" s="197">
        <f t="shared" si="55"/>
        <v>5.7915000000000001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6"/>
        <v>1830</v>
      </c>
      <c r="AE19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91" s="74" t="str">
        <f t="shared" si="58"/>
        <v>"C:\Program Files (x86)\AstroGrep\AstroGrep.exe" /e /r /s /spath="%USERPROFILE%\AppData\Local\Temp\OnboardLogs" /stypes="app*4005*20170702*" /stext=" 02:.+((SYSTEM_STATE.+slice.+state.+changed )|(ment ac)|(multiple cpu faults)|(system.+state.+changed )|(\[timeout)|(PRM\|1\|D)|(kpr)|(kdp)|(train st.+moving)|(\|lc)|(penalty))"</v>
      </c>
      <c r="AG191" s="209" t="str">
        <f t="shared" si="59"/>
        <v>NW</v>
      </c>
      <c r="AH191" s="78" t="str">
        <f t="shared" si="60"/>
        <v>"%USERPROFILE%\Documents\GitHub\eaglep3\Utilities\RefineRTDCRunTimes.py" --tripid 1830-01 --locoid 4005 --swversion DE.1.0.9.0 --startMP 300:58600 --initTime 2017-07-01T20:39:59 --startdatetime 2017-07-01T20:41:49 --delay 1 --endMP 204:685 --enddatetime 2017-07-01T20:55:18 --enforcementcount 0 &gt;&gt;C:\Users\stu\Documents\GitHub\eaglep3-reporting\EC\2017-07-01-refined-times.txt</v>
      </c>
      <c r="AI19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{"issue":{"subject":"","project_id":79,"tracker_id":40,"status_id":1,"priority_id":2,"assigned_to_id":23,"start_date":"2017-07-01","description":"","custom_fields":[{"id":1,"name":"Subdivision","value":"NW"},{"id":4,"name":"Milepost","value":"0.0685"},{"id":17,"name":"Train ID","value":"1830-01"},{"id":16,"name":"Locomotive ID","value":"4005"},{"id":130,"name":"Impact","value":""},{"id":150,"name":"Time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2"/>
        <v>start /low /b %USERPROFILE%\Documents\GitHub\eaglep3\Utilities\DownloadLogsFromS3.py --loco 4005 --day 2017-07-01</v>
      </c>
      <c r="AN191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854</v>
      </c>
      <c r="B192" s="7">
        <v>4006</v>
      </c>
      <c r="C192" s="21" t="s">
        <v>202</v>
      </c>
      <c r="D192" s="21" t="s">
        <v>558</v>
      </c>
      <c r="E192" s="13">
        <v>42917.873842592591</v>
      </c>
      <c r="F192" s="13">
        <v>42917.889803240738</v>
      </c>
      <c r="G192" s="7">
        <v>1</v>
      </c>
      <c r="H192" s="21" t="s">
        <v>965</v>
      </c>
      <c r="I192" s="13">
        <v>42917.899548611109</v>
      </c>
      <c r="J192" s="7">
        <v>0</v>
      </c>
      <c r="K192" s="89" t="str">
        <f t="shared" si="48"/>
        <v>4005/4006</v>
      </c>
      <c r="L192" s="21" t="str">
        <f>VLOOKUP(A192,'Trips&amp;Operators'!$C$1:$G$99999,5,FALSE)</f>
        <v>SAFIEF AEIMEN</v>
      </c>
      <c r="M192" s="6">
        <f t="shared" si="49"/>
        <v>9.7453703710925765E-3</v>
      </c>
      <c r="N192" s="7">
        <f t="shared" si="68"/>
        <v>14.03333333437331</v>
      </c>
      <c r="O192" s="7"/>
      <c r="P192" s="7"/>
      <c r="Q192" s="22"/>
      <c r="R192" s="170"/>
      <c r="S192" s="213">
        <f t="shared" si="66"/>
        <v>1</v>
      </c>
      <c r="T192" s="195" t="str">
        <f t="shared" si="50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1"/>
        <v>https://d0f6bd738d7f1b3e5a7ca70fe4ff75f0.us-east-1.aws.found.io/app/kibana#/discover/Steve-Slow-Train-Analysis-(2080s-and-2083s)?_g=(refreshInterval:(display:Off,pause:!f,section:0,value:0),time:(from:'2017-07-01T19:58:20-0600',mode:absolute,to:'2017-07-01T22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197" t="str">
        <f>IF(AA192&lt;VLOOKUP(AG192,Variables!$AC$3:$AD$8,2,FALSE),"Y","N")</f>
        <v>N</v>
      </c>
      <c r="X192" s="197">
        <f t="shared" si="67"/>
        <v>1</v>
      </c>
      <c r="Y192" s="197">
        <f t="shared" si="53"/>
        <v>9.7600000000000006E-2</v>
      </c>
      <c r="Z192" s="197">
        <f t="shared" si="54"/>
        <v>5.8907999999999996</v>
      </c>
      <c r="AA192" s="197">
        <f t="shared" si="55"/>
        <v>5.7931999999999997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6"/>
        <v>1831</v>
      </c>
      <c r="AE19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92" s="74" t="str">
        <f t="shared" si="58"/>
        <v>"C:\Program Files (x86)\AstroGrep\AstroGrep.exe" /e /r /s /spath="%USERPROFILE%\AppData\Local\Temp\OnboardLogs" /stypes="app*4006*20170702*" /stext=" 03:.+((SYSTEM_STATE.+slice.+state.+changed )|(ment ac)|(multiple cpu faults)|(system.+state.+changed )|(\[timeout)|(PRM\|1\|D)|(kpr)|(kdp)|(train st.+moving)|(\|lc)|(penalty))"</v>
      </c>
      <c r="AG192" s="209" t="str">
        <f t="shared" si="59"/>
        <v>NW</v>
      </c>
      <c r="AH192" s="78" t="str">
        <f t="shared" si="60"/>
        <v>"%USERPROFILE%\Documents\GitHub\eaglep3\Utilities\RefineRTDCRunTimes.py" --tripid 1831-01 --locoid 4006 --swversion DE.1.0.9.0 --startMP 204:976 --initTime 2017-07-01T20:58:20 --startdatetime 2017-07-01T21:21:19 --delay 1 --endMP 300:58908 --enddatetime 2017-07-01T21:35:21 --enforcementcount 0 &gt;&gt;C:\Users\stu\Documents\GitHub\eaglep3-reporting\EC\2017-07-01-refined-times.txt</v>
      </c>
      <c r="AI19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{"issue":{"subject":"","project_id":79,"tracker_id":40,"status_id":1,"priority_id":2,"assigned_to_id":23,"start_date":"2017-07-01","description":"","custom_fields":[{"id":1,"name":"Subdivision","value":"NW"},{"id":4,"name":"Milepost","value":"5.8908"},{"id":17,"name":"Train ID","value":"1831-01"},{"id":16,"name":"Locomotive ID","value":"4006"},{"id":130,"name":"Impact","value":""},{"id":150,"name":"Time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2"/>
        <v>start /low /b %USERPROFILE%\Documents\GitHub\eaglep3\Utilities\DownloadLogsFromS3.py --loco 4006 --day 2017-07-01</v>
      </c>
      <c r="AN192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857</v>
      </c>
      <c r="B193" s="7">
        <v>4005</v>
      </c>
      <c r="C193" s="21" t="s">
        <v>202</v>
      </c>
      <c r="D193" s="21" t="s">
        <v>966</v>
      </c>
      <c r="E193" s="13">
        <v>42917.900682870371</v>
      </c>
      <c r="F193" s="13">
        <v>42917.902604166666</v>
      </c>
      <c r="G193" s="7">
        <v>1</v>
      </c>
      <c r="H193" s="21" t="s">
        <v>629</v>
      </c>
      <c r="I193" s="13">
        <v>42917.913182870368</v>
      </c>
      <c r="J193" s="7">
        <v>0</v>
      </c>
      <c r="K193" s="89" t="str">
        <f t="shared" si="48"/>
        <v>4005/4006</v>
      </c>
      <c r="L193" s="21" t="str">
        <f>VLOOKUP(A193,'Trips&amp;Operators'!$C$1:$G$99999,5,FALSE)</f>
        <v>SAFIEF AEIMEN</v>
      </c>
      <c r="M193" s="6">
        <f t="shared" si="49"/>
        <v>1.0578703702776693E-2</v>
      </c>
      <c r="N193" s="7">
        <f t="shared" si="68"/>
        <v>15.233333331998438</v>
      </c>
      <c r="O193" s="7"/>
      <c r="P193" s="7"/>
      <c r="Q193" s="22"/>
      <c r="R193" s="170"/>
      <c r="S193" s="213">
        <f t="shared" si="66"/>
        <v>1</v>
      </c>
      <c r="T193" s="195" t="str">
        <f t="shared" si="50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1"/>
        <v>https://d0f6bd738d7f1b3e5a7ca70fe4ff75f0.us-east-1.aws.found.io/app/kibana#/discover/Steve-Slow-Train-Analysis-(2080s-and-2083s)?_g=(refreshInterval:(display:Off,pause:!f,section:0,value:0),time:(from:'2017-07-01T20:36:59-0600',mode:absolute,to:'2017-07-01T22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197" t="str">
        <f>IF(AA193&lt;VLOOKUP(AG193,Variables!$AC$3:$AD$8,2,FALSE),"Y","N")</f>
        <v>N</v>
      </c>
      <c r="X193" s="197">
        <f t="shared" si="67"/>
        <v>1</v>
      </c>
      <c r="Y193" s="197">
        <f t="shared" si="53"/>
        <v>5.8593999999999999</v>
      </c>
      <c r="Z193" s="197">
        <f t="shared" si="54"/>
        <v>6.9199999999999998E-2</v>
      </c>
      <c r="AA193" s="197">
        <f t="shared" si="55"/>
        <v>5.7901999999999996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6"/>
        <v>1832</v>
      </c>
      <c r="AE19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93" s="74" t="str">
        <f t="shared" si="58"/>
        <v>"C:\Program Files (x86)\AstroGrep\AstroGrep.exe" /e /r /s /spath="%USERPROFILE%\AppData\Local\Temp\OnboardLogs" /stypes="app*4005*20170702*" /stext=" 03:.+((SYSTEM_STATE.+slice.+state.+changed )|(ment ac)|(multiple cpu faults)|(system.+state.+changed )|(\[timeout)|(PRM\|1\|D)|(kpr)|(kdp)|(train st.+moving)|(\|lc)|(penalty))"</v>
      </c>
      <c r="AG193" s="209" t="str">
        <f t="shared" si="59"/>
        <v>NW</v>
      </c>
      <c r="AH193" s="78" t="str">
        <f t="shared" si="60"/>
        <v>"%USERPROFILE%\Documents\GitHub\eaglep3\Utilities\RefineRTDCRunTimes.py" --tripid 1832-01 --locoid 4005 --swversion DE.1.0.9.0 --startMP 300:58594 --initTime 2017-07-01T21:36:59 --startdatetime 2017-07-01T21:39:45 --delay 1 --endMP 204:692 --enddatetime 2017-07-01T21:54:59 --enforcementcount 0 &gt;&gt;C:\Users\stu\Documents\GitHub\eaglep3-reporting\EC\2017-07-01-refined-times.txt</v>
      </c>
      <c r="AI19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{"issue":{"subject":"","project_id":79,"tracker_id":40,"status_id":1,"priority_id":2,"assigned_to_id":23,"start_date":"2017-07-01","description":"","custom_fields":[{"id":1,"name":"Subdivision","value":"NW"},{"id":4,"name":"Milepost","value":"0.0692"},{"id":17,"name":"Train ID","value":"1832-01"},{"id":16,"name":"Locomotive ID","value":"4005"},{"id":130,"name":"Impact","value":""},{"id":150,"name":"Time of Event (Mountain Time)","value":"21:54:59"},{"id":151,"name":"Denver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62"/>
        <v>start /low /b %USERPROFILE%\Documents\GitHub\eaglep3\Utilities\DownloadLogsFromS3.py --loco 4005 --day 2017-07-01</v>
      </c>
      <c r="AN193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860</v>
      </c>
      <c r="B194" s="7">
        <v>4006</v>
      </c>
      <c r="C194" s="21" t="s">
        <v>202</v>
      </c>
      <c r="D194" s="21" t="s">
        <v>516</v>
      </c>
      <c r="E194" s="13">
        <v>42917.918599537035</v>
      </c>
      <c r="F194" s="13">
        <v>42917.931527777779</v>
      </c>
      <c r="G194" s="7">
        <v>2</v>
      </c>
      <c r="H194" s="21" t="s">
        <v>967</v>
      </c>
      <c r="I194" s="13">
        <v>42917.94159722222</v>
      </c>
      <c r="J194" s="7">
        <v>0</v>
      </c>
      <c r="K194" s="89" t="str">
        <f t="shared" si="48"/>
        <v>4005/4006</v>
      </c>
      <c r="L194" s="21" t="str">
        <f>VLOOKUP(A194,'Trips&amp;Operators'!$C$1:$G$99999,5,FALSE)</f>
        <v>DUNCAN SHEILA</v>
      </c>
      <c r="M194" s="6">
        <f t="shared" si="49"/>
        <v>1.006944444088731E-2</v>
      </c>
      <c r="N194" s="7">
        <f t="shared" si="68"/>
        <v>14.499999994877726</v>
      </c>
      <c r="O194" s="7"/>
      <c r="P194" s="7"/>
      <c r="Q194" s="22"/>
      <c r="R194" s="170"/>
      <c r="S194" s="213">
        <f t="shared" si="66"/>
        <v>1</v>
      </c>
      <c r="T194" s="195" t="str">
        <f t="shared" si="50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1"/>
        <v>https://d0f6bd738d7f1b3e5a7ca70fe4ff75f0.us-east-1.aws.found.io/app/kibana#/discover/Steve-Slow-Train-Analysis-(2080s-and-2083s)?_g=(refreshInterval:(display:Off,pause:!f,section:0,value:0),time:(from:'2017-07-01T21:02:47-0600',mode:absolute,to:'2017-07-01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197" t="str">
        <f>IF(AA194&lt;VLOOKUP(AG194,Variables!$AC$3:$AD$8,2,FALSE),"Y","N")</f>
        <v>N</v>
      </c>
      <c r="X194" s="197">
        <f t="shared" si="67"/>
        <v>1</v>
      </c>
      <c r="Y194" s="197">
        <f t="shared" si="53"/>
        <v>9.6500000000000002E-2</v>
      </c>
      <c r="Z194" s="197">
        <f t="shared" si="54"/>
        <v>5.8936999999999999</v>
      </c>
      <c r="AA194" s="197">
        <f t="shared" si="55"/>
        <v>5.7972000000000001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6"/>
        <v>1833</v>
      </c>
      <c r="AE19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94" s="74" t="str">
        <f t="shared" si="58"/>
        <v>"C:\Program Files (x86)\AstroGrep\AstroGrep.exe" /e /r /s /spath="%USERPROFILE%\AppData\Local\Temp\OnboardLogs" /stypes="app*4006*20170702*" /stext=" 04:.+((SYSTEM_STATE.+slice.+state.+changed )|(ment ac)|(multiple cpu faults)|(system.+state.+changed )|(\[timeout)|(PRM\|1\|D)|(kpr)|(kdp)|(train st.+moving)|(\|lc)|(penalty))"</v>
      </c>
      <c r="AG194" s="209" t="str">
        <f t="shared" si="59"/>
        <v>NW</v>
      </c>
      <c r="AH194" s="78" t="str">
        <f t="shared" si="60"/>
        <v>"%USERPROFILE%\Documents\GitHub\eaglep3\Utilities\RefineRTDCRunTimes.py" --tripid 1833-01 --locoid 4006 --swversion DE.1.0.9.0 --startMP 204:965 --initTime 2017-07-01T22:02:47 --startdatetime 2017-07-01T22:21:24 --delay 2 --endMP 300:58937 --enddatetime 2017-07-01T22:35:54 --enforcementcount 0 &gt;&gt;C:\Users\stu\Documents\GitHub\eaglep3-reporting\EC\2017-07-01-refined-times.txt</v>
      </c>
      <c r="AI19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{"issue":{"subject":"","project_id":79,"tracker_id":40,"status_id":1,"priority_id":2,"assigned_to_id":23,"start_date":"2017-07-01","description":"","custom_fields":[{"id":1,"name":"Subdivision","value":"NW"},{"id":4,"name":"Milepost","value":"5.8937"},{"id":17,"name":"Train ID","value":"1833-01"},{"id":16,"name":"Locomotive ID","value":"4006"},{"id":130,"name":"Impact","value":""},{"id":150,"name":"Time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2"/>
        <v>start /low /b %USERPROFILE%\Documents\GitHub\eaglep3\Utilities\DownloadLogsFromS3.py --loco 4006 --day 2017-07-01</v>
      </c>
      <c r="AN19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692</v>
      </c>
      <c r="B195" s="7">
        <v>4007</v>
      </c>
      <c r="C195" s="21" t="s">
        <v>202</v>
      </c>
      <c r="D195" s="21" t="s">
        <v>994</v>
      </c>
      <c r="E195" s="13">
        <v>42917.120023148149</v>
      </c>
      <c r="F195" s="13">
        <v>42917.123206018521</v>
      </c>
      <c r="G195" s="7">
        <v>4</v>
      </c>
      <c r="H195" s="21" t="s">
        <v>350</v>
      </c>
      <c r="I195" s="13">
        <v>42917.128761574073</v>
      </c>
      <c r="J195" s="7">
        <v>0</v>
      </c>
      <c r="K195" s="89" t="str">
        <f t="shared" si="48"/>
        <v>4007/4008</v>
      </c>
      <c r="L195" s="21" t="str">
        <f>VLOOKUP(A195,'Trips&amp;Operators'!$C$1:$G$99999,5,FALSE)</f>
        <v>MAELZER KURT</v>
      </c>
      <c r="M195" s="6">
        <f t="shared" si="49"/>
        <v>5.5555555518367328E-3</v>
      </c>
      <c r="N195" s="7">
        <f t="shared" si="68"/>
        <v>7.9999999946448952</v>
      </c>
      <c r="O195" s="7"/>
      <c r="P195" s="7"/>
      <c r="Q195" s="22"/>
      <c r="R195" s="170"/>
      <c r="S195" s="213">
        <f t="shared" si="66"/>
        <v>1</v>
      </c>
      <c r="T195" s="195" t="str">
        <f t="shared" si="5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1"/>
        <v>https://d0f6bd738d7f1b3e5a7ca70fe4ff75f0.us-east-1.aws.found.io/app/kibana#/discover/Steve-Slow-Train-Analysis-(2080s-and-2083s)?_g=(refreshInterval:(display:Off,pause:!f,section:0,value:0),time:(from:'2017-07-01T01:52:50-0600',mode:absolute,to:'2017-07-01T04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97" t="str">
        <f>IF(AA195&lt;VLOOKUP(AG195,Variables!$AC$3:$AD$8,2,FALSE),"Y","N")</f>
        <v>Y</v>
      </c>
      <c r="X195" s="197">
        <f t="shared" si="67"/>
        <v>-1533</v>
      </c>
      <c r="Y195" s="197">
        <f t="shared" si="53"/>
        <v>2.2448000000000001</v>
      </c>
      <c r="Z195" s="197">
        <f t="shared" si="54"/>
        <v>1.43E-2</v>
      </c>
      <c r="AA195" s="197">
        <f t="shared" si="55"/>
        <v>2.2305000000000001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6"/>
        <v>300</v>
      </c>
      <c r="AE195" s="77" t="str">
        <f t="shared" si="57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95" s="74" t="str">
        <f t="shared" si="58"/>
        <v>"C:\Program Files (x86)\AstroGrep\AstroGrep.exe" /e /r /s /spath="%USERPROFILE%\AppData\Local\Temp\OnboardLogs" /stypes="app*4007*20170701*" /stext=" 09:.+((SYSTEM_STATE.+slice.+state.+changed )|(ment ac)|(multiple cpu faults)|(system.+state.+changed )|(\[timeout)|(PRM\|1\|D)|(kpr)|(kdp)|(train st.+moving)|(\|lc)|(penalty))"</v>
      </c>
      <c r="AG195" s="209" t="str">
        <f t="shared" si="59"/>
        <v>Other</v>
      </c>
      <c r="AH195" s="78" t="str">
        <f t="shared" si="60"/>
        <v>"%USERPROFILE%\Documents\GitHub\eaglep3\Utilities\RefineRTDCRunTimes.py" --tripid 300-01 --locoid 4007 --swversion DE.1.0.9.0 --startMP 300:22448 --initTime 2017-07-01T02:52:50 --startdatetime 2017-07-01T02:57:25 --delay 4 --endMP 204:143 --enddatetime 2017-07-01T03:05:25 --enforcementcount 0 &gt;&gt;C:\Users\stu\Documents\GitHub\eaglep3-reporting\EC\2017-07-01-refined-times.txt</v>
      </c>
      <c r="AI195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{"issue":{"subject":"","project_id":79,"tracker_id":40,"status_id":1,"priority_id":2,"assigned_to_id":23,"start_date":"2017-07-01","description":"","custom_fields":[{"id":1,"name":"Subdivision","value":"Other"},{"id":4,"name":"Milepost","value":"0.0143"},{"id":17,"name":"Train ID","value":"300-01"},{"id":16,"name":"Locomotive ID","value":"4007"},{"id":130,"name":"Impact","value":""},{"id":150,"name":"Time of Event (Mountain Time)","value":"03:05:25"},{"id":151,"name":"Denver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2"/>
        <v>start /low /b %USERPROFILE%\Documents\GitHub\eaglep3\Utilities\DownloadLogsFromS3.py --loco 4007 --day 2017-07-01</v>
      </c>
      <c r="AN19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09:05:25"},{"id":29,"name":"Sharepoint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838</v>
      </c>
      <c r="B196" s="7">
        <v>4062</v>
      </c>
      <c r="C196" s="21" t="s">
        <v>202</v>
      </c>
      <c r="D196" s="21" t="s">
        <v>391</v>
      </c>
      <c r="E196" s="13">
        <v>42917.776585648149</v>
      </c>
      <c r="F196" s="13">
        <v>42917.778541666667</v>
      </c>
      <c r="G196" s="7">
        <v>1</v>
      </c>
      <c r="H196" s="21" t="s">
        <v>995</v>
      </c>
      <c r="I196" s="13">
        <v>42917.797175925924</v>
      </c>
      <c r="J196" s="7">
        <v>0</v>
      </c>
      <c r="K196" s="89" t="str">
        <f t="shared" si="48"/>
        <v>4061/4062</v>
      </c>
      <c r="L196" s="21" t="str">
        <f>VLOOKUP(A196,'Trips&amp;Operators'!$C$1:$G$99999,5,FALSE)</f>
        <v>BRUDER RICHARD</v>
      </c>
      <c r="M196" s="6">
        <f t="shared" si="49"/>
        <v>1.8634259256941732E-2</v>
      </c>
      <c r="N196" s="7">
        <f t="shared" si="68"/>
        <v>26.833333329996094</v>
      </c>
      <c r="O196" s="7"/>
      <c r="P196" s="7"/>
      <c r="Q196" s="22"/>
      <c r="R196" s="170"/>
      <c r="S196" s="213">
        <f t="shared" si="66"/>
        <v>1</v>
      </c>
      <c r="T196" s="195" t="str">
        <f t="shared" si="5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1"/>
        <v>https://d0f6bd738d7f1b3e5a7ca70fe4ff75f0.us-east-1.aws.found.io/app/kibana#/discover/Steve-Slow-Train-Analysis-(2080s-and-2083s)?_g=(refreshInterval:(display:Off,pause:!f,section:0,value:0),time:(from:'2017-07-01T17:38:17-0600',mode:absolute,to:'2017-07-01T20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6" s="197" t="str">
        <f>IF(AA196&lt;VLOOKUP(AG196,Variables!$AC$3:$AD$8,2,FALSE),"Y","N")</f>
        <v>Y</v>
      </c>
      <c r="X196" s="197">
        <f t="shared" si="67"/>
        <v>1</v>
      </c>
      <c r="Y196" s="197">
        <f t="shared" si="53"/>
        <v>4.6199999999999998E-2</v>
      </c>
      <c r="Z196" s="197">
        <f t="shared" si="54"/>
        <v>2.3300999999999998</v>
      </c>
      <c r="AA196" s="197">
        <f t="shared" si="55"/>
        <v>2.2839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6"/>
        <v>301</v>
      </c>
      <c r="AE196" s="77" t="str">
        <f t="shared" si="57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196" s="74" t="str">
        <f t="shared" si="58"/>
        <v>"C:\Program Files (x86)\AstroGrep\AstroGrep.exe" /e /r /s /spath="%USERPROFILE%\AppData\Local\Temp\OnboardLogs" /stypes="app*4062*20170702*" /stext=" 01:.+((SYSTEM_STATE.+slice.+state.+changed )|(ment ac)|(multiple cpu faults)|(system.+state.+changed )|(\[timeout)|(PRM\|1\|D)|(kpr)|(kdp)|(train st.+moving)|(\|lc)|(penalty))"</v>
      </c>
      <c r="AG196" s="209" t="str">
        <f t="shared" si="59"/>
        <v>Other</v>
      </c>
      <c r="AH196" s="78" t="str">
        <f t="shared" si="60"/>
        <v>"%USERPROFILE%\Documents\GitHub\eaglep3\Utilities\RefineRTDCRunTimes.py" --tripid 301-01 --locoid 4062 --swversion DE.1.0.9.0 --startMP 204:462 --initTime 2017-07-01T18:38:17 --startdatetime 2017-07-01T18:41:06 --delay 1 --endMP 300:23301 --enddatetime 2017-07-01T19:07:56 --enforcementcount 0 &gt;&gt;C:\Users\stu\Documents\GitHub\eaglep3-reporting\EC\2017-07-01-refined-times.txt</v>
      </c>
      <c r="AI196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{"issue":{"subject":"","project_id":79,"tracker_id":40,"status_id":1,"priority_id":2,"assigned_to_id":23,"start_date":"2017-07-01","description":"","custom_fields":[{"id":1,"name":"Subdivision","value":"Other"},{"id":4,"name":"Milepost","value":"2.3301"},{"id":17,"name":"Train ID","value":"301-01"},{"id":16,"name":"Locomotive ID","value":"4062"},{"id":130,"name":"Impact","value":""},{"id":150,"name":"Time of Event (Mountain Time)","value":"19:07:56"},{"id":151,"name":"Denver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2"/>
        <v>start /low /b %USERPROFILE%\Documents\GitHub\eaglep3\Utilities\DownloadLogsFromS3.py --loco 4062 --day 2017-07-01</v>
      </c>
      <c r="AN19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694</v>
      </c>
      <c r="B197" s="7">
        <v>4017</v>
      </c>
      <c r="C197" s="21" t="s">
        <v>202</v>
      </c>
      <c r="D197" s="21" t="s">
        <v>996</v>
      </c>
      <c r="E197" s="13">
        <v>42917.136712962965</v>
      </c>
      <c r="F197" s="13">
        <v>42917.139884259261</v>
      </c>
      <c r="G197" s="7">
        <v>4</v>
      </c>
      <c r="H197" s="21" t="s">
        <v>349</v>
      </c>
      <c r="I197" s="13">
        <v>42917.144363425927</v>
      </c>
      <c r="J197" s="7">
        <v>0</v>
      </c>
      <c r="K197" s="89" t="str">
        <f t="shared" si="48"/>
        <v>4017/4018</v>
      </c>
      <c r="L197" s="21" t="str">
        <f>VLOOKUP(A197,'Trips&amp;Operators'!$C$1:$G$99999,5,FALSE)</f>
        <v>BEAM ROSS</v>
      </c>
      <c r="M197" s="6">
        <f t="shared" si="49"/>
        <v>4.4791666659875773E-3</v>
      </c>
      <c r="N197" s="7">
        <f t="shared" si="68"/>
        <v>6.4499999990221113</v>
      </c>
      <c r="O197" s="7"/>
      <c r="P197" s="7"/>
      <c r="Q197" s="22"/>
      <c r="R197" s="170"/>
      <c r="S197" s="213">
        <f t="shared" si="66"/>
        <v>1</v>
      </c>
      <c r="T197" s="195" t="str">
        <f t="shared" si="5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1"/>
        <v>https://d0f6bd738d7f1b3e5a7ca70fe4ff75f0.us-east-1.aws.found.io/app/kibana#/discover/Steve-Slow-Train-Analysis-(2080s-and-2083s)?_g=(refreshInterval:(display:Off,pause:!f,section:0,value:0),time:(from:'2017-07-01T02:16:52-0600',mode:absolute,to:'2017-07-01T04:27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197" t="str">
        <f>IF(AA197&lt;VLOOKUP(AG197,Variables!$AC$3:$AD$8,2,FALSE),"Y","N")</f>
        <v>Y</v>
      </c>
      <c r="X197" s="197">
        <f t="shared" si="67"/>
        <v>1</v>
      </c>
      <c r="Y197" s="197">
        <f t="shared" si="53"/>
        <v>2.0312000000000001</v>
      </c>
      <c r="Z197" s="197">
        <f t="shared" si="54"/>
        <v>1.49E-2</v>
      </c>
      <c r="AA197" s="197">
        <f t="shared" si="55"/>
        <v>2.0163000000000002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6"/>
        <v>302</v>
      </c>
      <c r="AE197" s="77" t="str">
        <f t="shared" si="57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97" s="74" t="str">
        <f t="shared" si="58"/>
        <v>"C:\Program Files (x86)\AstroGrep\AstroGrep.exe" /e /r /s /spath="%USERPROFILE%\AppData\Local\Temp\OnboardLogs" /stypes="app*4017*20170701*" /stext=" 09:.+((SYSTEM_STATE.+slice.+state.+changed )|(ment ac)|(multiple cpu faults)|(system.+state.+changed )|(\[timeout)|(PRM\|1\|D)|(kpr)|(kdp)|(train st.+moving)|(\|lc)|(penalty))"</v>
      </c>
      <c r="AG197" s="209" t="str">
        <f t="shared" si="59"/>
        <v>Other</v>
      </c>
      <c r="AH197" s="78" t="str">
        <f t="shared" si="60"/>
        <v>"%USERPROFILE%\Documents\GitHub\eaglep3\Utilities\RefineRTDCRunTimes.py" --tripid 302-01 --locoid 4017 --swversion DE.1.0.9.0 --startMP 300:20312 --initTime 2017-07-01T03:16:52 --startdatetime 2017-07-01T03:21:26 --delay 4 --endMP 204:149 --enddatetime 2017-07-01T03:27:53 --enforcementcount 0 &gt;&gt;C:\Users\stu\Documents\GitHub\eaglep3-reporting\EC\2017-07-01-refined-times.txt</v>
      </c>
      <c r="AI197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{"issue":{"subject":"","project_id":79,"tracker_id":40,"status_id":1,"priority_id":2,"assigned_to_id":23,"start_date":"2017-07-01","description":"","custom_fields":[{"id":1,"name":"Subdivision","value":"Other"},{"id":4,"name":"Milepost","value":"0.0149"},{"id":17,"name":"Train ID","value":"302-01"},{"id":16,"name":"Locomotive ID","value":"4017"},{"id":130,"name":"Impact","value":""},{"id":150,"name":"Time of Event (Mountain Time)","value":"03:27:53"},{"id":151,"name":"Denver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2"/>
        <v>start /low /b %USERPROFILE%\Documents\GitHub\eaglep3\Utilities\DownloadLogsFromS3.py --loco 4017 --day 2017-07-01</v>
      </c>
      <c r="AN197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09:27:53"},{"id":29,"name":"Sharepoint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842</v>
      </c>
      <c r="B198" s="7">
        <v>4056</v>
      </c>
      <c r="C198" s="21" t="s">
        <v>202</v>
      </c>
      <c r="D198" s="21" t="s">
        <v>354</v>
      </c>
      <c r="E198" s="13">
        <v>42917.796412037038</v>
      </c>
      <c r="F198" s="13">
        <v>42917.798692129632</v>
      </c>
      <c r="G198" s="7">
        <v>2</v>
      </c>
      <c r="H198" s="21" t="s">
        <v>553</v>
      </c>
      <c r="I198" s="13">
        <v>42917.805115740739</v>
      </c>
      <c r="J198" s="7">
        <v>0</v>
      </c>
      <c r="K198" s="89" t="str">
        <f t="shared" si="48"/>
        <v>4055/4056</v>
      </c>
      <c r="L198" s="21" t="str">
        <f>VLOOKUP(A198,'Trips&amp;Operators'!$C$1:$G$99999,5,FALSE)</f>
        <v>DELGADO DIANAH</v>
      </c>
      <c r="M198" s="6">
        <f t="shared" si="49"/>
        <v>6.4236111065838486E-3</v>
      </c>
      <c r="N198" s="7">
        <f t="shared" si="68"/>
        <v>9.249999993480742</v>
      </c>
      <c r="O198" s="7"/>
      <c r="P198" s="7"/>
      <c r="Q198" s="22"/>
      <c r="R198" s="170"/>
      <c r="S198" s="213">
        <f t="shared" si="66"/>
        <v>1</v>
      </c>
      <c r="T198" s="195" t="str">
        <f t="shared" si="50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1"/>
        <v>https://d0f6bd738d7f1b3e5a7ca70fe4ff75f0.us-east-1.aws.found.io/app/kibana#/discover/Steve-Slow-Train-Analysis-(2080s-and-2083s)?_g=(refreshInterval:(display:Off,pause:!f,section:0,value:0),time:(from:'2017-07-01T18:06:50-0600',mode:absolute,to:'2017-07-01T20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197" t="str">
        <f>IF(AA198&lt;VLOOKUP(AG198,Variables!$AC$3:$AD$8,2,FALSE),"Y","N")</f>
        <v>Y</v>
      </c>
      <c r="X198" s="197">
        <f t="shared" si="67"/>
        <v>1</v>
      </c>
      <c r="Y198" s="197">
        <f t="shared" si="53"/>
        <v>4.53E-2</v>
      </c>
      <c r="Z198" s="197">
        <f t="shared" si="54"/>
        <v>2.3304</v>
      </c>
      <c r="AA198" s="197">
        <f t="shared" si="55"/>
        <v>2.2850999999999999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6"/>
        <v>303</v>
      </c>
      <c r="AE198" s="77" t="str">
        <f t="shared" si="57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198" s="74" t="str">
        <f t="shared" si="58"/>
        <v>"C:\Program Files (x86)\AstroGrep\AstroGrep.exe" /e /r /s /spath="%USERPROFILE%\AppData\Local\Temp\OnboardLogs" /stypes="app*4056*20170702*" /stext=" 01:.+((SYSTEM_STATE.+slice.+state.+changed )|(ment ac)|(multiple cpu faults)|(system.+state.+changed )|(\[timeout)|(PRM\|1\|D)|(kpr)|(kdp)|(train st.+moving)|(\|lc)|(penalty))"</v>
      </c>
      <c r="AG198" s="209" t="str">
        <f t="shared" si="59"/>
        <v>Other</v>
      </c>
      <c r="AH198" s="78" t="str">
        <f t="shared" si="60"/>
        <v>"%USERPROFILE%\Documents\GitHub\eaglep3\Utilities\RefineRTDCRunTimes.py" --tripid 303-01 --locoid 4056 --swversion DE.1.0.9.0 --startMP 204:453 --initTime 2017-07-01T19:06:50 --startdatetime 2017-07-01T19:10:07 --delay 2 --endMP 300:23304 --enddatetime 2017-07-01T19:19:22 --enforcementcount 0 &gt;&gt;C:\Users\stu\Documents\GitHub\eaglep3-reporting\EC\2017-07-01-refined-times.txt</v>
      </c>
      <c r="AI198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{"issue":{"subject":"","project_id":79,"tracker_id":40,"status_id":1,"priority_id":2,"assigned_to_id":23,"start_date":"2017-07-01","description":"","custom_fields":[{"id":1,"name":"Subdivision","value":"Other"},{"id":4,"name":"Milepost","value":"2.3304"},{"id":17,"name":"Train ID","value":"303-01"},{"id":16,"name":"Locomotive ID","value":"4056"},{"id":130,"name":"Impact","value":""},{"id":150,"name":"Time of Event (Mountain Time)","value":"19:19:22"},{"id":151,"name":"Denver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2"/>
        <v>start /low /b %USERPROFILE%\Documents\GitHub\eaglep3\Utilities\DownloadLogsFromS3.py --loco 4056 --day 2017-07-01</v>
      </c>
      <c r="AN19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698</v>
      </c>
      <c r="B199" s="7">
        <v>4027</v>
      </c>
      <c r="C199" s="21" t="s">
        <v>202</v>
      </c>
      <c r="D199" s="21" t="s">
        <v>997</v>
      </c>
      <c r="E199" s="13">
        <v>42917.158784722225</v>
      </c>
      <c r="F199" s="13">
        <v>42917.162523148145</v>
      </c>
      <c r="G199" s="7">
        <v>5</v>
      </c>
      <c r="H199" s="21" t="s">
        <v>614</v>
      </c>
      <c r="I199" s="13">
        <v>42917.16847222222</v>
      </c>
      <c r="J199" s="7">
        <v>0</v>
      </c>
      <c r="K199" s="89" t="str">
        <f t="shared" si="48"/>
        <v>4027/4028</v>
      </c>
      <c r="L199" s="21" t="str">
        <f>VLOOKUP(A199,'Trips&amp;Operators'!$C$1:$G$99999,5,FALSE)</f>
        <v>DAVIS WENDY</v>
      </c>
      <c r="M199" s="6">
        <f t="shared" si="49"/>
        <v>5.9490740750334226E-3</v>
      </c>
      <c r="N199" s="7">
        <f t="shared" si="68"/>
        <v>8.5666666680481285</v>
      </c>
      <c r="O199" s="7"/>
      <c r="P199" s="7"/>
      <c r="Q199" s="22"/>
      <c r="R199" s="170"/>
      <c r="S199" s="213">
        <f t="shared" ref="S199:S218" si="69">SUM(U199:U199)/IF(AG199="EC",12,1)</f>
        <v>1</v>
      </c>
      <c r="T199" s="195" t="str">
        <f t="shared" si="50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1"/>
        <v>https://d0f6bd738d7f1b3e5a7ca70fe4ff75f0.us-east-1.aws.found.io/app/kibana#/discover/Steve-Slow-Train-Analysis-(2080s-and-2083s)?_g=(refreshInterval:(display:Off,pause:!f,section:0,value:0),time:(from:'2017-07-01T02:48:39-0600',mode:absolute,to:'2017-07-01T05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197" t="str">
        <f>IF(AA199&lt;VLOOKUP(AG199,Variables!$AC$3:$AD$8,2,FALSE),"Y","N")</f>
        <v>Y</v>
      </c>
      <c r="X199" s="197">
        <f t="shared" si="67"/>
        <v>1</v>
      </c>
      <c r="Y199" s="197">
        <f t="shared" si="53"/>
        <v>2.3089</v>
      </c>
      <c r="Z199" s="197">
        <f t="shared" si="54"/>
        <v>1.6E-2</v>
      </c>
      <c r="AA199" s="197">
        <f t="shared" si="55"/>
        <v>2.2928999999999999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6"/>
        <v>304</v>
      </c>
      <c r="AE199" s="77" t="str">
        <f t="shared" si="57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99" s="74" t="str">
        <f t="shared" si="58"/>
        <v>"C:\Program Files (x86)\AstroGrep\AstroGrep.exe" /e /r /s /spath="%USERPROFILE%\AppData\Local\Temp\OnboardLogs" /stypes="app*4027*20170701*" /stext=" 10:.+((SYSTEM_STATE.+slice.+state.+changed )|(ment ac)|(multiple cpu faults)|(system.+state.+changed )|(\[timeout)|(PRM\|1\|D)|(kpr)|(kdp)|(train st.+moving)|(\|lc)|(penalty))"</v>
      </c>
      <c r="AG199" s="209" t="str">
        <f t="shared" si="59"/>
        <v>Other</v>
      </c>
      <c r="AH199" s="78" t="str">
        <f t="shared" si="60"/>
        <v>"%USERPROFILE%\Documents\GitHub\eaglep3\Utilities\RefineRTDCRunTimes.py" --tripid 304-01 --locoid 4027 --swversion DE.1.0.9.0 --startMP 300:23089 --initTime 2017-07-01T03:48:39 --startdatetime 2017-07-01T03:54:02 --delay 5 --endMP 204:160 --enddatetime 2017-07-01T04:02:36 --enforcementcount 0 &gt;&gt;C:\Users\stu\Documents\GitHub\eaglep3-reporting\EC\2017-07-01-refined-times.txt</v>
      </c>
      <c r="AI199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{"issue":{"subject":"","project_id":79,"tracker_id":40,"status_id":1,"priority_id":2,"assigned_to_id":23,"start_date":"2017-07-01","description":"","custom_fields":[{"id":1,"name":"Subdivision","value":"Other"},{"id":4,"name":"Milepost","value":"0.016"},{"id":17,"name":"Train ID","value":"304-01"},{"id":16,"name":"Locomotive ID","value":"4027"},{"id":130,"name":"Impact","value":""},{"id":150,"name":"Time of Event (Mountain Time)","value":"04:02:36"},{"id":151,"name":"Denver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2"/>
        <v>start /low /b %USERPROFILE%\Documents\GitHub\eaglep3\Utilities\DownloadLogsFromS3.py --loco 4027 --day 2017-07-01</v>
      </c>
      <c r="AN199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10:02:36"},{"id":29,"name":"Sharepoint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846</v>
      </c>
      <c r="B200" s="7">
        <v>4030</v>
      </c>
      <c r="C200" s="21" t="s">
        <v>202</v>
      </c>
      <c r="D200" s="21" t="s">
        <v>490</v>
      </c>
      <c r="E200" s="13">
        <v>42917.818576388891</v>
      </c>
      <c r="F200" s="13">
        <v>42917.819884259261</v>
      </c>
      <c r="G200" s="7">
        <v>1</v>
      </c>
      <c r="H200" s="21" t="s">
        <v>555</v>
      </c>
      <c r="I200" s="13">
        <v>42917.824629629627</v>
      </c>
      <c r="J200" s="7">
        <v>0</v>
      </c>
      <c r="K200" s="89" t="str">
        <f t="shared" si="48"/>
        <v>4029/4030</v>
      </c>
      <c r="L200" s="21" t="str">
        <f>VLOOKUP(A200,'Trips&amp;Operators'!$C$1:$G$99999,5,FALSE)</f>
        <v>HOLCOMB KAMDEN</v>
      </c>
      <c r="M200" s="6">
        <f t="shared" si="49"/>
        <v>4.7453703664359637E-3</v>
      </c>
      <c r="N200" s="7">
        <f t="shared" si="68"/>
        <v>6.8333333276677877</v>
      </c>
      <c r="O200" s="7"/>
      <c r="P200" s="7"/>
      <c r="Q200" s="22"/>
      <c r="R200" s="170"/>
      <c r="S200" s="213">
        <f t="shared" si="69"/>
        <v>1</v>
      </c>
      <c r="T200" s="195" t="str">
        <f t="shared" si="50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1"/>
        <v>https://d0f6bd738d7f1b3e5a7ca70fe4ff75f0.us-east-1.aws.found.io/app/kibana#/discover/Steve-Slow-Train-Analysis-(2080s-and-2083s)?_g=(refreshInterval:(display:Off,pause:!f,section:0,value:0),time:(from:'2017-07-01T18:38:45-0600',mode:absolute,to:'2017-07-01T20:47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0" s="197" t="str">
        <f>IF(AA200&lt;VLOOKUP(AG200,Variables!$AC$3:$AD$8,2,FALSE),"Y","N")</f>
        <v>Y</v>
      </c>
      <c r="X200" s="197">
        <f t="shared" si="67"/>
        <v>1</v>
      </c>
      <c r="Y200" s="197">
        <f t="shared" si="53"/>
        <v>4.3700000000000003E-2</v>
      </c>
      <c r="Z200" s="197">
        <f t="shared" si="54"/>
        <v>2.3308</v>
      </c>
      <c r="AA200" s="197">
        <f t="shared" si="55"/>
        <v>2.2871000000000001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6"/>
        <v>305</v>
      </c>
      <c r="AE200" s="77" t="str">
        <f t="shared" si="57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200" s="74" t="str">
        <f t="shared" si="58"/>
        <v>"C:\Program Files (x86)\AstroGrep\AstroGrep.exe" /e /r /s /spath="%USERPROFILE%\AppData\Local\Temp\OnboardLogs" /stypes="app*4030*20170702*" /stext=" 01:.+((SYSTEM_STATE.+slice.+state.+changed )|(ment ac)|(multiple cpu faults)|(system.+state.+changed )|(\[timeout)|(PRM\|1\|D)|(kpr)|(kdp)|(train st.+moving)|(\|lc)|(penalty))"</v>
      </c>
      <c r="AG200" s="209" t="str">
        <f t="shared" si="59"/>
        <v>Other</v>
      </c>
      <c r="AH200" s="78" t="str">
        <f t="shared" si="60"/>
        <v>"%USERPROFILE%\Documents\GitHub\eaglep3\Utilities\RefineRTDCRunTimes.py" --tripid 305-01 --locoid 4030 --swversion DE.1.0.9.0 --startMP 204:437 --initTime 2017-07-01T19:38:45 --startdatetime 2017-07-01T19:40:38 --delay 1 --endMP 300:23308 --enddatetime 2017-07-01T19:47:28 --enforcementcount 0 &gt;&gt;C:\Users\stu\Documents\GitHub\eaglep3-reporting\EC\2017-07-01-refined-times.txt</v>
      </c>
      <c r="AI200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{"issue":{"subject":"","project_id":79,"tracker_id":40,"status_id":1,"priority_id":2,"assigned_to_id":23,"start_date":"2017-07-01","description":"","custom_fields":[{"id":1,"name":"Subdivision","value":"Other"},{"id":4,"name":"Milepost","value":"2.3308"},{"id":17,"name":"Train ID","value":"305-01"},{"id":16,"name":"Locomotive ID","value":"4030"},{"id":130,"name":"Impact","value":""},{"id":150,"name":"Time of Event (Mountain Time)","value":"19:47:28"},{"id":151,"name":"Denver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2"/>
        <v>start /low /b %USERPROFILE%\Documents\GitHub\eaglep3\Utilities\DownloadLogsFromS3.py --loco 4030 --day 2017-07-01</v>
      </c>
      <c r="AN20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01:47:28"},{"id":29,"name":"Sharepoint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700</v>
      </c>
      <c r="B201" s="7">
        <v>4013</v>
      </c>
      <c r="C201" s="21" t="s">
        <v>202</v>
      </c>
      <c r="D201" s="21" t="s">
        <v>998</v>
      </c>
      <c r="E201" s="13">
        <v>42917.170902777776</v>
      </c>
      <c r="F201" s="13">
        <v>42917.174907407411</v>
      </c>
      <c r="G201" s="7">
        <v>5</v>
      </c>
      <c r="H201" s="21" t="s">
        <v>608</v>
      </c>
      <c r="I201" s="13">
        <v>42917.180532407408</v>
      </c>
      <c r="J201" s="7">
        <v>0</v>
      </c>
      <c r="K201" s="89" t="str">
        <f t="shared" si="48"/>
        <v>4013/4014</v>
      </c>
      <c r="L201" s="21" t="str">
        <f>VLOOKUP(A201,'Trips&amp;Operators'!$C$1:$G$99999,5,FALSE)</f>
        <v>GEBRETEKLE DAGNEW</v>
      </c>
      <c r="M201" s="6">
        <f t="shared" si="49"/>
        <v>5.6249999979627319E-3</v>
      </c>
      <c r="N201" s="7">
        <f t="shared" si="68"/>
        <v>8.0999999970663339</v>
      </c>
      <c r="O201" s="7"/>
      <c r="P201" s="7"/>
      <c r="Q201" s="22"/>
      <c r="R201" s="170"/>
      <c r="S201" s="213">
        <f t="shared" si="69"/>
        <v>1</v>
      </c>
      <c r="T201" s="195" t="str">
        <f t="shared" si="5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1"/>
        <v>https://d0f6bd738d7f1b3e5a7ca70fe4ff75f0.us-east-1.aws.found.io/app/kibana#/discover/Steve-Slow-Train-Analysis-(2080s-and-2083s)?_g=(refreshInterval:(display:Off,pause:!f,section:0,value:0),time:(from:'2017-07-01T03:06:06-0600',mode:absolute,to:'2017-07-01T05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197" t="str">
        <f>IF(AA201&lt;VLOOKUP(AG201,Variables!$AC$3:$AD$8,2,FALSE),"Y","N")</f>
        <v>Y</v>
      </c>
      <c r="X201" s="197">
        <f t="shared" ref="X201:X218" si="70">VALUE(LEFT(AD201,4))-VALUE(LEFT(AD200,4))</f>
        <v>1</v>
      </c>
      <c r="Y201" s="197">
        <f t="shared" si="53"/>
        <v>2.3746999999999998</v>
      </c>
      <c r="Z201" s="197">
        <f t="shared" si="54"/>
        <v>1.67E-2</v>
      </c>
      <c r="AA201" s="197">
        <f t="shared" si="55"/>
        <v>2.3579999999999997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6"/>
        <v>306</v>
      </c>
      <c r="AE201" s="77" t="str">
        <f t="shared" si="57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201" s="74" t="str">
        <f t="shared" si="58"/>
        <v>"C:\Program Files (x86)\AstroGrep\AstroGrep.exe" /e /r /s /spath="%USERPROFILE%\AppData\Local\Temp\OnboardLogs" /stypes="app*4013*20170701*" /stext=" 10:.+((SYSTEM_STATE.+slice.+state.+changed )|(ment ac)|(multiple cpu faults)|(system.+state.+changed )|(\[timeout)|(PRM\|1\|D)|(kpr)|(kdp)|(train st.+moving)|(\|lc)|(penalty))"</v>
      </c>
      <c r="AG201" s="209" t="str">
        <f t="shared" si="59"/>
        <v>Other</v>
      </c>
      <c r="AH201" s="78" t="str">
        <f t="shared" si="60"/>
        <v>"%USERPROFILE%\Documents\GitHub\eaglep3\Utilities\RefineRTDCRunTimes.py" --tripid 306-01 --locoid 4013 --swversion DE.1.0.9.0 --startMP 300:23747 --initTime 2017-07-01T04:06:06 --startdatetime 2017-07-01T04:11:52 --delay 5 --endMP 204:167 --enddatetime 2017-07-01T04:19:58 --enforcementcount 0 &gt;&gt;C:\Users\stu\Documents\GitHub\eaglep3-reporting\EC\2017-07-01-refined-times.txt</v>
      </c>
      <c r="AI201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{"issue":{"subject":"","project_id":79,"tracker_id":40,"status_id":1,"priority_id":2,"assigned_to_id":23,"start_date":"2017-07-01","description":"","custom_fields":[{"id":1,"name":"Subdivision","value":"Other"},{"id":4,"name":"Milepost","value":"0.0167"},{"id":17,"name":"Train ID","value":"306-01"},{"id":16,"name":"Locomotive ID","value":"4013"},{"id":130,"name":"Impact","value":""},{"id":150,"name":"Time of Event (Mountain Time)","value":"04:19:58"},{"id":151,"name":"Denver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2"/>
        <v>start /low /b %USERPROFILE%\Documents\GitHub\eaglep3\Utilities\DownloadLogsFromS3.py --loco 4013 --day 2017-07-01</v>
      </c>
      <c r="AN20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871</v>
      </c>
      <c r="B202" s="7">
        <v>4018</v>
      </c>
      <c r="C202" s="21" t="s">
        <v>202</v>
      </c>
      <c r="D202" s="21" t="s">
        <v>925</v>
      </c>
      <c r="E202" s="13">
        <v>42918.048263888886</v>
      </c>
      <c r="F202" s="13">
        <v>42918.050092592595</v>
      </c>
      <c r="G202" s="7">
        <v>1</v>
      </c>
      <c r="H202" s="21" t="s">
        <v>555</v>
      </c>
      <c r="I202" s="13">
        <v>42918.058356481481</v>
      </c>
      <c r="J202" s="7">
        <v>0</v>
      </c>
      <c r="K202" s="89" t="str">
        <f t="shared" si="48"/>
        <v>4017/4018</v>
      </c>
      <c r="L202" s="21" t="str">
        <f>VLOOKUP(A202,'Trips&amp;Operators'!$C$1:$G$99999,5,FALSE)</f>
        <v>YANG JAN</v>
      </c>
      <c r="M202" s="6">
        <f t="shared" si="49"/>
        <v>8.2638888852670789E-3</v>
      </c>
      <c r="N202" s="7">
        <f t="shared" si="68"/>
        <v>11.899999994784594</v>
      </c>
      <c r="O202" s="7"/>
      <c r="P202" s="7"/>
      <c r="Q202" s="22"/>
      <c r="R202" s="170"/>
      <c r="S202" s="213">
        <f t="shared" si="69"/>
        <v>1</v>
      </c>
      <c r="T202" s="195" t="str">
        <f t="shared" si="5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1"/>
        <v>https://d0f6bd738d7f1b3e5a7ca70fe4ff75f0.us-east-1.aws.found.io/app/kibana#/discover/Steve-Slow-Train-Analysis-(2080s-and-2083s)?_g=(refreshInterval:(display:Off,pause:!f,section:0,value:0),time:(from:'2017-07-02T00:09:30-0600',mode:absolute,to:'2017-07-02T02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97" t="str">
        <f>IF(AA202&lt;VLOOKUP(AG202,Variables!$AC$3:$AD$8,2,FALSE),"Y","N")</f>
        <v>Y</v>
      </c>
      <c r="X202" s="197">
        <f t="shared" si="70"/>
        <v>1</v>
      </c>
      <c r="Y202" s="197">
        <f t="shared" si="53"/>
        <v>4.7699999999999999E-2</v>
      </c>
      <c r="Z202" s="197">
        <f t="shared" si="54"/>
        <v>2.3308</v>
      </c>
      <c r="AA202" s="197">
        <f t="shared" si="55"/>
        <v>2.2831000000000001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6"/>
        <v>307</v>
      </c>
      <c r="AE202" s="77" t="str">
        <f t="shared" si="57"/>
        <v>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 &amp; 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</v>
      </c>
      <c r="AF202" s="74" t="str">
        <f t="shared" si="58"/>
        <v>"C:\Program Files (x86)\AstroGrep\AstroGrep.exe" /e /r /s /spath="%USERPROFILE%\AppData\Local\Temp\OnboardLogs" /stypes="app*4018*20170702*" /stext=" 07:.+((SYSTEM_STATE.+slice.+state.+changed )|(ment ac)|(multiple cpu faults)|(system.+state.+changed )|(\[timeout)|(PRM\|1\|D)|(kpr)|(kdp)|(train st.+moving)|(\|lc)|(penalty))"</v>
      </c>
      <c r="AG202" s="209" t="str">
        <f t="shared" si="59"/>
        <v>Other</v>
      </c>
      <c r="AH202" s="78" t="str">
        <f t="shared" si="60"/>
        <v>"%USERPROFILE%\Documents\GitHub\eaglep3\Utilities\RefineRTDCRunTimes.py" --tripid 307-01 --locoid 4018 --swversion DE.1.0.9.0 --startMP 204:477 --initTime 2017-07-02T01:09:30 --startdatetime 2017-07-02T01:12:08 --delay 1 --endMP 300:23308 --enddatetime 2017-07-02T01:24:02 --enforcementcount 0 &gt;&gt;C:\Users\stu\Documents\GitHub\eaglep3-reporting\EC\2017-07-01-refined-times.txt</v>
      </c>
      <c r="AI202" s="96" t="str">
        <f t="shared" si="61"/>
        <v>echo {"issue":{"subject":"","project_id":79,"tracker_id":40,"status_id":1,"priority_id":2,"assigned_to_id":23,"start_date":"2017-07-02","description":"","custom_fields":[{"id":1,"name":"Subdivision","value":"Other"},{"id":4,"name":"Milepost","value":"2.3308"},{"id":17,"name":"Train ID","value":"307-01"},{"id":16,"name":"Locomotive ID","value":"4018"},{"id":130,"name":"Impact","value":""},{"id":150,"name":"Time of Event (Mountain Time)","value":"01:24:02"},{"id":151,"name":"Denver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62"/>
        <v>start /low /b %USERPROFILE%\Documents\GitHub\eaglep3\Utilities\DownloadLogsFromS3.py --loco 4018 --day 2017-07-02</v>
      </c>
      <c r="AN202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703</v>
      </c>
      <c r="B203" s="7">
        <v>4061</v>
      </c>
      <c r="C203" s="21" t="s">
        <v>202</v>
      </c>
      <c r="D203" s="21" t="s">
        <v>999</v>
      </c>
      <c r="E203" s="13">
        <v>42917.183449074073</v>
      </c>
      <c r="F203" s="13">
        <v>42917.186342592591</v>
      </c>
      <c r="G203" s="7">
        <v>4</v>
      </c>
      <c r="H203" s="21" t="s">
        <v>619</v>
      </c>
      <c r="I203" s="13">
        <v>42917.191712962966</v>
      </c>
      <c r="J203" s="7">
        <v>0</v>
      </c>
      <c r="K203" s="89" t="str">
        <f t="shared" si="48"/>
        <v>4061/4062</v>
      </c>
      <c r="L203" s="21" t="str">
        <f>VLOOKUP(A203,'Trips&amp;Operators'!$C$1:$G$99999,5,FALSE)</f>
        <v>LALONDE GREGORY</v>
      </c>
      <c r="M203" s="6">
        <f t="shared" si="49"/>
        <v>5.3703703742939979E-3</v>
      </c>
      <c r="N203" s="7">
        <f t="shared" si="68"/>
        <v>7.733333338983357</v>
      </c>
      <c r="O203" s="7"/>
      <c r="P203" s="7"/>
      <c r="Q203" s="22"/>
      <c r="R203" s="170"/>
      <c r="S203" s="213">
        <f t="shared" si="69"/>
        <v>1</v>
      </c>
      <c r="T203" s="195" t="str">
        <f t="shared" si="50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1"/>
        <v>https://d0f6bd738d7f1b3e5a7ca70fe4ff75f0.us-east-1.aws.found.io/app/kibana#/discover/Steve-Slow-Train-Analysis-(2080s-and-2083s)?_g=(refreshInterval:(display:Off,pause:!f,section:0,value:0),time:(from:'2017-07-01T03:24:10-0600',mode:absolute,to:'2017-07-01T05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3" s="197" t="str">
        <f>IF(AA203&lt;VLOOKUP(AG203,Variables!$AC$3:$AD$8,2,FALSE),"Y","N")</f>
        <v>Y</v>
      </c>
      <c r="X203" s="197">
        <f t="shared" si="70"/>
        <v>1</v>
      </c>
      <c r="Y203" s="197">
        <f t="shared" si="53"/>
        <v>2.3424999999999998</v>
      </c>
      <c r="Z203" s="197">
        <f t="shared" si="54"/>
        <v>1.6500000000000001E-2</v>
      </c>
      <c r="AA203" s="197">
        <f t="shared" si="55"/>
        <v>2.3259999999999996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6"/>
        <v>308</v>
      </c>
      <c r="AE203" s="77" t="str">
        <f t="shared" si="57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203" s="74" t="str">
        <f t="shared" si="58"/>
        <v>"C:\Program Files (x86)\AstroGrep\AstroGrep.exe" /e /r /s /spath="%USERPROFILE%\AppData\Local\Temp\OnboardLogs" /stypes="app*4061*20170701*" /stext=" 10:.+((SYSTEM_STATE.+slice.+state.+changed )|(ment ac)|(multiple cpu faults)|(system.+state.+changed )|(\[timeout)|(PRM\|1\|D)|(kpr)|(kdp)|(train st.+moving)|(\|lc)|(penalty))"</v>
      </c>
      <c r="AG203" s="209" t="str">
        <f t="shared" si="59"/>
        <v>Other</v>
      </c>
      <c r="AH203" s="78" t="str">
        <f t="shared" si="60"/>
        <v>"%USERPROFILE%\Documents\GitHub\eaglep3\Utilities\RefineRTDCRunTimes.py" --tripid 308-01 --locoid 4061 --swversion DE.1.0.9.0 --startMP 300:23425 --initTime 2017-07-01T04:24:10 --startdatetime 2017-07-01T04:28:20 --delay 4 --endMP 204:165 --enddatetime 2017-07-01T04:36:04 --enforcementcount 0 &gt;&gt;C:\Users\stu\Documents\GitHub\eaglep3-reporting\EC\2017-07-01-refined-times.txt</v>
      </c>
      <c r="AI203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{"issue":{"subject":"","project_id":79,"tracker_id":40,"status_id":1,"priority_id":2,"assigned_to_id":23,"start_date":"2017-07-01","description":"","custom_fields":[{"id":1,"name":"Subdivision","value":"Other"},{"id":4,"name":"Milepost","value":"0.0165"},{"id":17,"name":"Train ID","value":"308-01"},{"id":16,"name":"Locomotive ID","value":"4061"},{"id":130,"name":"Impact","value":""},{"id":150,"name":"Time of Event (Mountain Time)","value":"04:36:04"},{"id":151,"name":"Denver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2"/>
        <v>start /low /b %USERPROFILE%\Documents\GitHub\eaglep3\Utilities\DownloadLogsFromS3.py --loco 4061 --day 2017-07-01</v>
      </c>
      <c r="AN20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872</v>
      </c>
      <c r="B204" s="7">
        <v>4028</v>
      </c>
      <c r="C204" s="21" t="s">
        <v>202</v>
      </c>
      <c r="D204" s="21" t="s">
        <v>347</v>
      </c>
      <c r="E204" s="13">
        <v>42918.069537037038</v>
      </c>
      <c r="F204" s="13">
        <v>42918.070879629631</v>
      </c>
      <c r="G204" s="7">
        <v>1</v>
      </c>
      <c r="H204" s="21" t="s">
        <v>1000</v>
      </c>
      <c r="I204" s="13">
        <v>42918.079039351855</v>
      </c>
      <c r="J204" s="7">
        <v>0</v>
      </c>
      <c r="K204" s="89" t="str">
        <f t="shared" si="48"/>
        <v>4027/4028</v>
      </c>
      <c r="L204" s="21" t="str">
        <f>VLOOKUP(A204,'Trips&amp;Operators'!$C$1:$G$99999,5,FALSE)</f>
        <v>PERKINS DARREN</v>
      </c>
      <c r="M204" s="6">
        <f t="shared" si="49"/>
        <v>8.1597222233540379E-3</v>
      </c>
      <c r="N204" s="7">
        <f t="shared" si="68"/>
        <v>11.750000001629815</v>
      </c>
      <c r="O204" s="7"/>
      <c r="P204" s="7"/>
      <c r="Q204" s="22"/>
      <c r="R204" s="170"/>
      <c r="S204" s="213">
        <f t="shared" si="69"/>
        <v>1</v>
      </c>
      <c r="T204" s="195" t="str">
        <f t="shared" si="5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1"/>
        <v>https://d0f6bd738d7f1b3e5a7ca70fe4ff75f0.us-east-1.aws.found.io/app/kibana#/discover/Steve-Slow-Train-Analysis-(2080s-and-2083s)?_g=(refreshInterval:(display:Off,pause:!f,section:0,value:0),time:(from:'2017-07-02T00:40:08-0600',mode:absolute,to:'2017-07-02T02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197" t="str">
        <f>IF(AA204&lt;VLOOKUP(AG204,Variables!$AC$3:$AD$8,2,FALSE),"Y","N")</f>
        <v>Y</v>
      </c>
      <c r="X204" s="197">
        <f t="shared" si="70"/>
        <v>1</v>
      </c>
      <c r="Y204" s="197">
        <f t="shared" si="53"/>
        <v>4.4600000000000001E-2</v>
      </c>
      <c r="Z204" s="197">
        <f t="shared" si="54"/>
        <v>2.3315999999999999</v>
      </c>
      <c r="AA204" s="197">
        <f t="shared" si="55"/>
        <v>2.2869999999999999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6"/>
        <v>309</v>
      </c>
      <c r="AE204" s="77" t="str">
        <f t="shared" si="57"/>
        <v>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 &amp; 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</v>
      </c>
      <c r="AF204" s="74" t="str">
        <f t="shared" si="58"/>
        <v>"C:\Program Files (x86)\AstroGrep\AstroGrep.exe" /e /r /s /spath="%USERPROFILE%\AppData\Local\Temp\OnboardLogs" /stypes="app*4028*20170702*" /stext=" 07:.+((SYSTEM_STATE.+slice.+state.+changed )|(ment ac)|(multiple cpu faults)|(system.+state.+changed )|(\[timeout)|(PRM\|1\|D)|(kpr)|(kdp)|(train st.+moving)|(\|lc)|(penalty))"</v>
      </c>
      <c r="AG204" s="209" t="str">
        <f t="shared" si="59"/>
        <v>Other</v>
      </c>
      <c r="AH204" s="78" t="str">
        <f t="shared" si="60"/>
        <v>"%USERPROFILE%\Documents\GitHub\eaglep3\Utilities\RefineRTDCRunTimes.py" --tripid 309-01 --locoid 4028 --swversion DE.1.0.9.0 --startMP 204:446 --initTime 2017-07-02T01:40:08 --startdatetime 2017-07-02T01:42:04 --delay 1 --endMP 300:23316 --enddatetime 2017-07-02T01:53:49 --enforcementcount 0 &gt;&gt;C:\Users\stu\Documents\GitHub\eaglep3-reporting\EC\2017-07-01-refined-times.txt</v>
      </c>
      <c r="AI204" s="96" t="str">
        <f t="shared" si="61"/>
        <v>echo {"issue":{"subject":"","project_id":79,"tracker_id":40,"status_id":1,"priority_id":2,"assigned_to_id":23,"start_date":"2017-07-02","description":"","custom_fields":[{"id":1,"name":"Subdivision","value":"Other"},{"id":4,"name":"Milepost","value":"2.3316"},{"id":17,"name":"Train ID","value":"309-01"},{"id":16,"name":"Locomotive ID","value":"4028"},{"id":130,"name":"Impact","value":""},{"id":150,"name":"Time of Event (Mountain Time)","value":"01:53:49"},{"id":151,"name":"Denver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2"/>
        <v>start /low /b %USERPROFILE%\Documents\GitHub\eaglep3\Utilities\DownloadLogsFromS3.py --loco 4028 --day 2017-07-02</v>
      </c>
      <c r="AN20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707</v>
      </c>
      <c r="B205" s="7">
        <v>4055</v>
      </c>
      <c r="C205" s="21" t="s">
        <v>202</v>
      </c>
      <c r="D205" s="21" t="s">
        <v>1001</v>
      </c>
      <c r="E205" s="13">
        <v>42917.199247685188</v>
      </c>
      <c r="F205" s="13">
        <v>42917.202337962961</v>
      </c>
      <c r="G205" s="7">
        <v>4</v>
      </c>
      <c r="H205" s="21" t="s">
        <v>614</v>
      </c>
      <c r="I205" s="13">
        <v>42917.212384259263</v>
      </c>
      <c r="J205" s="7">
        <v>0</v>
      </c>
      <c r="K205" s="89" t="str">
        <f t="shared" ref="K205:K218" si="71">IF(ISEVEN(B205),(B205-1)&amp;"/"&amp;B205,B205&amp;"/"&amp;(B205+1))</f>
        <v>4055/4056</v>
      </c>
      <c r="L205" s="21" t="str">
        <f>VLOOKUP(A205,'Trips&amp;Operators'!$C$1:$G$99999,5,FALSE)</f>
        <v>DAVIDSON DAVID</v>
      </c>
      <c r="M205" s="6">
        <f t="shared" ref="M205:M218" si="72">I205-F205</f>
        <v>1.004629630187992E-2</v>
      </c>
      <c r="N205" s="7">
        <f t="shared" si="68"/>
        <v>14.466666674707085</v>
      </c>
      <c r="O205" s="7"/>
      <c r="P205" s="7"/>
      <c r="Q205" s="22"/>
      <c r="R205" s="170"/>
      <c r="S205" s="213">
        <f t="shared" si="69"/>
        <v>1</v>
      </c>
      <c r="T205" s="195" t="str">
        <f t="shared" ref="T205:T218" si="73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8" si="7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-01T03:46:55-0600',mode:absolute,to:'2017-07-01T06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5" s="197" t="str">
        <f>IF(AA205&lt;VLOOKUP(AG205,Variables!$AC$3:$AD$8,2,FALSE),"Y","N")</f>
        <v>Y</v>
      </c>
      <c r="X205" s="197">
        <f t="shared" si="70"/>
        <v>1</v>
      </c>
      <c r="Y205" s="197">
        <f t="shared" ref="Y205:Y218" si="75">RIGHT(D205,LEN(D205)-4)/10000</f>
        <v>2.3340999999999998</v>
      </c>
      <c r="Z205" s="197">
        <f t="shared" ref="Z205:Z218" si="76">RIGHT(H205,LEN(H205)-4)/10000</f>
        <v>1.6E-2</v>
      </c>
      <c r="AA205" s="197">
        <f t="shared" ref="AA205:AA268" si="77">ABS(Z205-Y205)</f>
        <v>2.3180999999999998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18" si="78">VALUE(LEFT(A205,LEN(A205)-3))</f>
        <v>310</v>
      </c>
      <c r="AE205" s="77" t="str">
        <f t="shared" ref="AE205:AE218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205" s="74" t="str">
        <f t="shared" ref="AF205:AF218" si="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/stypes="app*4055*20170701*" /stext=" 11:.+((SYSTEM_STATE.+slice.+state.+changed )|(ment ac)|(multiple cpu faults)|(system.+state.+changed )|(\[timeout)|(PRM\|1\|D)|(kpr)|(kdp)|(train st.+moving)|(\|lc)|(penalty))"</v>
      </c>
      <c r="AG205" s="209" t="str">
        <f t="shared" ref="AG205:AG218" si="81">DetSubdiv(A205)</f>
        <v>Other</v>
      </c>
      <c r="AH205" s="78" t="str">
        <f t="shared" ref="AH205:AH218" si="8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310-01 --locoid 4055 --swversion DE.1.0.9.0 --startMP 300:23341 --initTime 2017-07-01T04:46:55 --startdatetime 2017-07-01T04:51:22 --delay 4 --endMP 204:160 --enddatetime 2017-07-01T05:05:50 --enforcementcount 0 &gt;&gt;C:\Users\stu\Documents\GitHub\eaglep3-reporting\EC\2017-07-01-refined-times.txt</v>
      </c>
      <c r="AI205" s="96" t="str">
        <f t="shared" ref="AI205:AI218" si="8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{"issue":{"subject":"","project_id":79,"tracker_id":40,"status_id":1,"priority_id":2,"assigned_to_id":23,"start_date":"2017-07-01","description":"","custom_fields":[{"id":1,"name":"Subdivision","value":"Other"},{"id":4,"name":"Milepost","value":"0.016"},{"id":17,"name":"Train ID","value":"310-01"},{"id":16,"name":"Locomotive ID","value":"4055"},{"id":130,"name":"Impact","value":""},{"id":150,"name":"Time of Event (Mountain Time)","value":"05:05:50"},{"id":151,"name":"Denver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18" si="84">"start /low /b "&amp;dls3logs&amp;" --loco "&amp;B205&amp;" --day "&amp;TEXT(F205,"YYYY-MM-DD")</f>
        <v>start /low /b %USERPROFILE%\Documents\GitHub\eaglep3\Utilities\DownloadLogsFromS3.py --loco 4055 --day 2017-07-01</v>
      </c>
      <c r="AN205" s="151" t="str">
        <f t="shared" ref="AN205:AN218" si="8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873</v>
      </c>
      <c r="B206" s="7">
        <v>4014</v>
      </c>
      <c r="C206" s="21" t="s">
        <v>202</v>
      </c>
      <c r="D206" s="21" t="s">
        <v>198</v>
      </c>
      <c r="E206" s="13">
        <v>42918.091168981482</v>
      </c>
      <c r="F206" s="13">
        <v>42918.092187499999</v>
      </c>
      <c r="G206" s="7">
        <v>1</v>
      </c>
      <c r="H206" s="21" t="s">
        <v>1002</v>
      </c>
      <c r="I206" s="13">
        <v>42918.101446759261</v>
      </c>
      <c r="J206" s="7">
        <v>0</v>
      </c>
      <c r="K206" s="89" t="str">
        <f t="shared" si="71"/>
        <v>4013/4014</v>
      </c>
      <c r="L206" s="21" t="str">
        <f>VLOOKUP(A206,'Trips&amp;Operators'!$C$1:$G$99999,5,FALSE)</f>
        <v>FORTUNATO FRANK</v>
      </c>
      <c r="M206" s="6">
        <f t="shared" si="72"/>
        <v>9.2592592627624981E-3</v>
      </c>
      <c r="N206" s="7">
        <f t="shared" si="68"/>
        <v>13.333333338377997</v>
      </c>
      <c r="O206" s="7"/>
      <c r="P206" s="7"/>
      <c r="Q206" s="22"/>
      <c r="R206" s="170"/>
      <c r="S206" s="213">
        <f t="shared" si="69"/>
        <v>1</v>
      </c>
      <c r="T206" s="195" t="str">
        <f t="shared" si="73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4"/>
        <v>https://d0f6bd738d7f1b3e5a7ca70fe4ff75f0.us-east-1.aws.found.io/app/kibana#/discover/Steve-Slow-Train-Analysis-(2080s-and-2083s)?_g=(refreshInterval:(display:Off,pause:!f,section:0,value:0),time:(from:'2017-07-02T01:11:17-0600',mode:absolute,to:'2017-07-02T03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6" s="197" t="str">
        <f>IF(AA206&lt;VLOOKUP(AG206,Variables!$AC$3:$AD$8,2,FALSE),"Y","N")</f>
        <v>Y</v>
      </c>
      <c r="X206" s="197">
        <f t="shared" si="70"/>
        <v>1</v>
      </c>
      <c r="Y206" s="197">
        <f t="shared" si="75"/>
        <v>4.5699999999999998E-2</v>
      </c>
      <c r="Z206" s="197">
        <f t="shared" si="76"/>
        <v>2.3298999999999999</v>
      </c>
      <c r="AA206" s="197">
        <f t="shared" si="77"/>
        <v>2.2841999999999998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8"/>
        <v>311</v>
      </c>
      <c r="AE206" s="77" t="str">
        <f t="shared" si="79"/>
        <v>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 &amp; 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</v>
      </c>
      <c r="AF206" s="74" t="str">
        <f t="shared" si="80"/>
        <v>"C:\Program Files (x86)\AstroGrep\AstroGrep.exe" /e /r /s /spath="%USERPROFILE%\AppData\Local\Temp\OnboardLogs" /stypes="app*4014*20170702*" /stext=" 08:.+((SYSTEM_STATE.+slice.+state.+changed )|(ment ac)|(multiple cpu faults)|(system.+state.+changed )|(\[timeout)|(PRM\|1\|D)|(kpr)|(kdp)|(train st.+moving)|(\|lc)|(penalty))"</v>
      </c>
      <c r="AG206" s="209" t="str">
        <f t="shared" si="81"/>
        <v>Other</v>
      </c>
      <c r="AH206" s="78" t="str">
        <f t="shared" si="82"/>
        <v>"%USERPROFILE%\Documents\GitHub\eaglep3\Utilities\RefineRTDCRunTimes.py" --tripid 311-01 --locoid 4014 --swversion DE.1.0.9.0 --startMP 204:457 --initTime 2017-07-02T02:11:17 --startdatetime 2017-07-02T02:12:45 --delay 1 --endMP 300:23299 --enddatetime 2017-07-02T02:26:05 --enforcementcount 0 &gt;&gt;C:\Users\stu\Documents\GitHub\eaglep3-reporting\EC\2017-07-01-refined-times.txt</v>
      </c>
      <c r="AI206" s="96" t="str">
        <f t="shared" si="83"/>
        <v>echo {"issue":{"subject":"","project_id":79,"tracker_id":40,"status_id":1,"priority_id":2,"assigned_to_id":23,"start_date":"2017-07-02","description":"","custom_fields":[{"id":1,"name":"Subdivision","value":"Other"},{"id":4,"name":"Milepost","value":"2.3299"},{"id":17,"name":"Train ID","value":"311-01"},{"id":16,"name":"Locomotive ID","value":"4014"},{"id":130,"name":"Impact","value":""},{"id":150,"name":"Time of Event (Mountain Time)","value":"02:26:05"},{"id":151,"name":"Denver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4"/>
        <v>start /low /b %USERPROFILE%\Documents\GitHub\eaglep3\Utilities\DownloadLogsFromS3.py --loco 4014 --day 2017-07-02</v>
      </c>
      <c r="AN206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687</v>
      </c>
      <c r="B207" s="7">
        <v>4002</v>
      </c>
      <c r="C207" s="21" t="s">
        <v>202</v>
      </c>
      <c r="D207" s="21" t="s">
        <v>343</v>
      </c>
      <c r="E207" s="13">
        <v>42917.090254629627</v>
      </c>
      <c r="F207" s="13">
        <v>42917.09175925926</v>
      </c>
      <c r="G207" s="7">
        <v>1</v>
      </c>
      <c r="H207" s="21" t="s">
        <v>1003</v>
      </c>
      <c r="I207" s="13">
        <v>42917.099803240744</v>
      </c>
      <c r="J207" s="7">
        <v>0</v>
      </c>
      <c r="K207" s="89" t="str">
        <f t="shared" si="71"/>
        <v>4001/4002</v>
      </c>
      <c r="L207" s="21" t="str">
        <f>VLOOKUP(A207,'Trips&amp;Operators'!$C$1:$G$99999,5,FALSE)</f>
        <v>FORTUNATO FRANK</v>
      </c>
      <c r="M207" s="6">
        <f t="shared" si="72"/>
        <v>8.0439814846613444E-3</v>
      </c>
      <c r="N207" s="7">
        <f t="shared" si="68"/>
        <v>11.583333337912336</v>
      </c>
      <c r="O207" s="7"/>
      <c r="P207" s="7"/>
      <c r="Q207" s="22"/>
      <c r="R207" s="170"/>
      <c r="S207" s="213">
        <f t="shared" si="69"/>
        <v>1</v>
      </c>
      <c r="T207" s="195" t="str">
        <f t="shared" si="73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4"/>
        <v>https://d0f6bd738d7f1b3e5a7ca70fe4ff75f0.us-east-1.aws.found.io/app/kibana#/discover/Steve-Slow-Train-Analysis-(2080s-and-2083s)?_g=(refreshInterval:(display:Off,pause:!f,section:0,value:0),time:(from:'2017-07-01T01:09:58-0600',mode:absolute,to:'2017-07-01T03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197" t="str">
        <f>IF(AA207&lt;VLOOKUP(AG207,Variables!$AC$3:$AD$8,2,FALSE),"Y","N")</f>
        <v>Y</v>
      </c>
      <c r="X207" s="197">
        <f t="shared" si="70"/>
        <v>0</v>
      </c>
      <c r="Y207" s="197">
        <f t="shared" si="75"/>
        <v>4.4900000000000002E-2</v>
      </c>
      <c r="Z207" s="197">
        <f t="shared" si="76"/>
        <v>2.3294999999999999</v>
      </c>
      <c r="AA207" s="197">
        <f t="shared" si="77"/>
        <v>2.2845999999999997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8"/>
        <v>311</v>
      </c>
      <c r="AE207" s="77" t="str">
        <f t="shared" si="79"/>
        <v>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 &amp; aws s3 cp s3://rtdc.mdm.uploadarchive.raw/RTDC4002/ "%USERPROFILE%\AppData\Local\Temp\OnboardLogs"\RTDC4002\2017-07-02 --exclude "*" --recursive --include "*20170702*" &amp; "%USERPROFILE%\Documents\GitHub\mrs-test-scripts\Headless Mode &amp; Sideloading\WalkAndUnGZ.bat" "%USERPROFILE%\AppData\Local\Temp\OnboardLogs"\RTDC4002\2017-07-02</v>
      </c>
      <c r="AF207" s="74" t="str">
        <f t="shared" si="80"/>
        <v>"C:\Program Files (x86)\AstroGrep\AstroGrep.exe" /e /r /s /spath="%USERPROFILE%\AppData\Local\Temp\OnboardLogs" /stypes="app*4002*20170701*" /stext=" 08:.+((SYSTEM_STATE.+slice.+state.+changed )|(ment ac)|(multiple cpu faults)|(system.+state.+changed )|(\[timeout)|(PRM\|1\|D)|(kpr)|(kdp)|(train st.+moving)|(\|lc)|(penalty))"</v>
      </c>
      <c r="AG207" s="209" t="str">
        <f t="shared" si="81"/>
        <v>Other</v>
      </c>
      <c r="AH207" s="78" t="str">
        <f t="shared" si="82"/>
        <v>"%USERPROFILE%\Documents\GitHub\eaglep3\Utilities\RefineRTDCRunTimes.py" --tripid 311-30 --locoid 4002 --swversion DE.1.0.9.0 --startMP 204:449 --initTime 2017-07-01T02:09:58 --startdatetime 2017-07-01T02:12:08 --delay 1 --endMP 300:23295 --enddatetime 2017-07-01T02:23:43 --enforcementcount 0 &gt;&gt;C:\Users\stu\Documents\GitHub\eaglep3-reporting\EC\2017-07-01-refined-times.txt</v>
      </c>
      <c r="AI207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{"issue":{"subject":"","project_id":79,"tracker_id":40,"status_id":1,"priority_id":2,"assigned_to_id":23,"start_date":"2017-07-01","description":"","custom_fields":[{"id":1,"name":"Subdivision","value":"Other"},{"id":4,"name":"Milepost","value":"2.3295"},{"id":17,"name":"Train ID","value":"311-30"},{"id":16,"name":"Locomotive ID","value":"4002"},{"id":130,"name":"Impact","value":""},{"id":150,"name":"Time of Event (Mountain Time)","value":"02:23:43"},{"id":151,"name":"Denver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4"/>
        <v>start /low /b %USERPROFILE%\Documents\GitHub\eaglep3\Utilities\DownloadLogsFromS3.py --loco 4002 --day 2017-07-01</v>
      </c>
      <c r="AN207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713</v>
      </c>
      <c r="B208" s="7">
        <v>4029</v>
      </c>
      <c r="C208" s="21" t="s">
        <v>202</v>
      </c>
      <c r="D208" s="21" t="s">
        <v>1004</v>
      </c>
      <c r="E208" s="13">
        <v>42917.22084490741</v>
      </c>
      <c r="F208" s="13">
        <v>42917.225092592591</v>
      </c>
      <c r="G208" s="7">
        <v>6</v>
      </c>
      <c r="H208" s="21" t="s">
        <v>359</v>
      </c>
      <c r="I208" s="13">
        <v>42917.232893518521</v>
      </c>
      <c r="J208" s="7">
        <v>0</v>
      </c>
      <c r="K208" s="89" t="str">
        <f t="shared" si="71"/>
        <v>4029/4030</v>
      </c>
      <c r="L208" s="21" t="str">
        <f>VLOOKUP(A208,'Trips&amp;Operators'!$C$1:$G$99999,5,FALSE)</f>
        <v>GUZMAN DANNY</v>
      </c>
      <c r="M208" s="6">
        <f t="shared" si="72"/>
        <v>7.8009259304963052E-3</v>
      </c>
      <c r="N208" s="7">
        <f t="shared" si="68"/>
        <v>11.23333333991468</v>
      </c>
      <c r="O208" s="7"/>
      <c r="P208" s="7"/>
      <c r="Q208" s="22"/>
      <c r="R208" s="170"/>
      <c r="S208" s="213">
        <f t="shared" si="69"/>
        <v>1</v>
      </c>
      <c r="T208" s="195" t="str">
        <f t="shared" si="73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4"/>
        <v>https://d0f6bd738d7f1b3e5a7ca70fe4ff75f0.us-east-1.aws.found.io/app/kibana#/discover/Steve-Slow-Train-Analysis-(2080s-and-2083s)?_g=(refreshInterval:(display:Off,pause:!f,section:0,value:0),time:(from:'2017-07-01T04:18:01-0600',mode:absolute,to:'2017-07-01T06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97" t="str">
        <f>IF(AA208&lt;VLOOKUP(AG208,Variables!$AC$3:$AD$8,2,FALSE),"Y","N")</f>
        <v>Y</v>
      </c>
      <c r="X208" s="197">
        <f t="shared" si="70"/>
        <v>1</v>
      </c>
      <c r="Y208" s="197">
        <f t="shared" si="75"/>
        <v>2.3456999999999999</v>
      </c>
      <c r="Z208" s="197">
        <f t="shared" si="76"/>
        <v>1.47E-2</v>
      </c>
      <c r="AA208" s="197">
        <f t="shared" si="77"/>
        <v>2.331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8"/>
        <v>312</v>
      </c>
      <c r="AE208" s="77" t="str">
        <f t="shared" si="7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208" s="74" t="str">
        <f t="shared" si="80"/>
        <v>"C:\Program Files (x86)\AstroGrep\AstroGrep.exe" /e /r /s /spath="%USERPROFILE%\AppData\Local\Temp\OnboardLogs" /stypes="app*4029*20170701*" /stext=" 11:.+((SYSTEM_STATE.+slice.+state.+changed )|(ment ac)|(multiple cpu faults)|(system.+state.+changed )|(\[timeout)|(PRM\|1\|D)|(kpr)|(kdp)|(train st.+moving)|(\|lc)|(penalty))"</v>
      </c>
      <c r="AG208" s="209" t="str">
        <f t="shared" si="81"/>
        <v>Other</v>
      </c>
      <c r="AH208" s="78" t="str">
        <f t="shared" si="82"/>
        <v>"%USERPROFILE%\Documents\GitHub\eaglep3\Utilities\RefineRTDCRunTimes.py" --tripid 312-01 --locoid 4029 --swversion DE.1.0.9.0 --startMP 300:23457 --initTime 2017-07-01T05:18:01 --startdatetime 2017-07-01T05:24:08 --delay 6 --endMP 204:147 --enddatetime 2017-07-01T05:35:22 --enforcementcount 0 &gt;&gt;C:\Users\stu\Documents\GitHub\eaglep3-reporting\EC\2017-07-01-refined-times.txt</v>
      </c>
      <c r="AI208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{"issue":{"subject":"","project_id":79,"tracker_id":40,"status_id":1,"priority_id":2,"assigned_to_id":23,"start_date":"2017-07-01","description":"","custom_fields":[{"id":1,"name":"Subdivision","value":"Other"},{"id":4,"name":"Milepost","value":"0.0147"},{"id":17,"name":"Train ID","value":"312-01"},{"id":16,"name":"Locomotive ID","value":"4029"},{"id":130,"name":"Impact","value":""},{"id":150,"name":"Time of Event (Mountain Time)","value":"05:35:22"},{"id":151,"name":"Denver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4"/>
        <v>start /low /b %USERPROFILE%\Documents\GitHub\eaglep3\Utilities\DownloadLogsFromS3.py --loco 4029 --day 2017-07-01</v>
      </c>
      <c r="AN208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874</v>
      </c>
      <c r="B209" s="7">
        <v>4008</v>
      </c>
      <c r="C209" s="21" t="s">
        <v>202</v>
      </c>
      <c r="D209" s="21" t="s">
        <v>611</v>
      </c>
      <c r="E209" s="13">
        <v>42918.111840277779</v>
      </c>
      <c r="F209" s="13">
        <v>42918.114895833336</v>
      </c>
      <c r="G209" s="7">
        <v>1</v>
      </c>
      <c r="H209" s="21" t="s">
        <v>353</v>
      </c>
      <c r="I209" s="13">
        <v>42918.123090277775</v>
      </c>
      <c r="J209" s="7">
        <v>0</v>
      </c>
      <c r="K209" s="89" t="str">
        <f t="shared" si="71"/>
        <v>4007/4008</v>
      </c>
      <c r="L209" s="21" t="str">
        <f>VLOOKUP(A209,'Trips&amp;Operators'!$C$1:$G$99999,5,FALSE)</f>
        <v>LAMAR NEKESHA</v>
      </c>
      <c r="M209" s="6">
        <f t="shared" si="72"/>
        <v>8.1944444391410798E-3</v>
      </c>
      <c r="N209" s="7">
        <f t="shared" si="68"/>
        <v>11.799999992363155</v>
      </c>
      <c r="O209" s="7"/>
      <c r="P209" s="7"/>
      <c r="Q209" s="22"/>
      <c r="R209" s="170"/>
      <c r="S209" s="213">
        <f t="shared" si="69"/>
        <v>1</v>
      </c>
      <c r="T209" s="195" t="str">
        <f t="shared" si="73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4"/>
        <v>https://d0f6bd738d7f1b3e5a7ca70fe4ff75f0.us-east-1.aws.found.io/app/kibana#/discover/Steve-Slow-Train-Analysis-(2080s-and-2083s)?_g=(refreshInterval:(display:Off,pause:!f,section:0,value:0),time:(from:'2017-07-02T01:41:03-0600',mode:absolute,to:'2017-07-02T03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9" s="197" t="str">
        <f>IF(AA209&lt;VLOOKUP(AG209,Variables!$AC$3:$AD$8,2,FALSE),"Y","N")</f>
        <v>Y</v>
      </c>
      <c r="X209" s="197">
        <f t="shared" si="70"/>
        <v>1</v>
      </c>
      <c r="Y209" s="197">
        <f t="shared" si="75"/>
        <v>4.7800000000000002E-2</v>
      </c>
      <c r="Z209" s="197">
        <f t="shared" si="76"/>
        <v>2.3346</v>
      </c>
      <c r="AA209" s="197">
        <f t="shared" si="77"/>
        <v>2.2867999999999999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8"/>
        <v>313</v>
      </c>
      <c r="AE209" s="77" t="str">
        <f t="shared" si="79"/>
        <v>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 &amp; 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</v>
      </c>
      <c r="AF209" s="74" t="str">
        <f t="shared" si="80"/>
        <v>"C:\Program Files (x86)\AstroGrep\AstroGrep.exe" /e /r /s /spath="%USERPROFILE%\AppData\Local\Temp\OnboardLogs" /stypes="app*4008*20170702*" /stext=" 08:.+((SYSTEM_STATE.+slice.+state.+changed )|(ment ac)|(multiple cpu faults)|(system.+state.+changed )|(\[timeout)|(PRM\|1\|D)|(kpr)|(kdp)|(train st.+moving)|(\|lc)|(penalty))"</v>
      </c>
      <c r="AG209" s="209" t="str">
        <f t="shared" si="81"/>
        <v>Other</v>
      </c>
      <c r="AH209" s="78" t="str">
        <f t="shared" si="82"/>
        <v>"%USERPROFILE%\Documents\GitHub\eaglep3\Utilities\RefineRTDCRunTimes.py" --tripid 313-01 --locoid 4008 --swversion DE.1.0.9.0 --startMP 204:478 --initTime 2017-07-02T02:41:03 --startdatetime 2017-07-02T02:45:27 --delay 1 --endMP 300:23346 --enddatetime 2017-07-02T02:57:15 --enforcementcount 0 &gt;&gt;C:\Users\stu\Documents\GitHub\eaglep3-reporting\EC\2017-07-01-refined-times.txt</v>
      </c>
      <c r="AI209" s="96" t="str">
        <f t="shared" si="83"/>
        <v>echo {"issue":{"subject":"","project_id":79,"tracker_id":40,"status_id":1,"priority_id":2,"assigned_to_id":23,"start_date":"2017-07-02","description":"","custom_fields":[{"id":1,"name":"Subdivision","value":"Other"},{"id":4,"name":"Milepost","value":"2.3346"},{"id":17,"name":"Train ID","value":"313-01"},{"id":16,"name":"Locomotive ID","value":"4008"},{"id":130,"name":"Impact","value":""},{"id":150,"name":"Time of Event (Mountain Time)","value":"02:57:15"},{"id":151,"name":"Denver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4"/>
        <v>start /low /b %USERPROFILE%\Documents\GitHub\eaglep3\Utilities\DownloadLogsFromS3.py --loco 4008 --day 2017-07-02</v>
      </c>
      <c r="AN209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688</v>
      </c>
      <c r="B210" s="7">
        <v>4026</v>
      </c>
      <c r="C210" s="21" t="s">
        <v>202</v>
      </c>
      <c r="D210" s="21" t="s">
        <v>1005</v>
      </c>
      <c r="E210" s="13">
        <v>42917.110358796293</v>
      </c>
      <c r="F210" s="13">
        <v>42917.113136574073</v>
      </c>
      <c r="G210" s="7">
        <v>2</v>
      </c>
      <c r="H210" s="21" t="s">
        <v>353</v>
      </c>
      <c r="I210" s="13">
        <v>42917.120648148149</v>
      </c>
      <c r="J210" s="7">
        <v>0</v>
      </c>
      <c r="K210" s="89" t="str">
        <f t="shared" si="71"/>
        <v>4025/4026</v>
      </c>
      <c r="L210" s="21" t="str">
        <f>VLOOKUP(A210,'Trips&amp;Operators'!$C$1:$G$99999,5,FALSE)</f>
        <v>LAMAR NEKESHA</v>
      </c>
      <c r="M210" s="6">
        <f t="shared" si="72"/>
        <v>7.5115740764886141E-3</v>
      </c>
      <c r="N210" s="7">
        <f t="shared" si="68"/>
        <v>10.816666670143604</v>
      </c>
      <c r="O210" s="7"/>
      <c r="P210" s="7"/>
      <c r="Q210" s="22"/>
      <c r="R210" s="170"/>
      <c r="S210" s="213">
        <f t="shared" si="69"/>
        <v>1</v>
      </c>
      <c r="T210" s="195" t="str">
        <f t="shared" si="73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4"/>
        <v>https://d0f6bd738d7f1b3e5a7ca70fe4ff75f0.us-east-1.aws.found.io/app/kibana#/discover/Steve-Slow-Train-Analysis-(2080s-and-2083s)?_g=(refreshInterval:(display:Off,pause:!f,section:0,value:0),time:(from:'2017-07-01T01:38:55-0600',mode:absolute,to:'2017-07-01T03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197" t="str">
        <f>IF(AA210&lt;VLOOKUP(AG210,Variables!$AC$3:$AD$8,2,FALSE),"Y","N")</f>
        <v>Y</v>
      </c>
      <c r="X210" s="197">
        <f t="shared" si="70"/>
        <v>0</v>
      </c>
      <c r="Y210" s="197">
        <f t="shared" si="75"/>
        <v>5.0200000000000002E-2</v>
      </c>
      <c r="Z210" s="197">
        <f t="shared" si="76"/>
        <v>2.3346</v>
      </c>
      <c r="AA210" s="197">
        <f t="shared" si="77"/>
        <v>2.2844000000000002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8"/>
        <v>313</v>
      </c>
      <c r="AE210" s="77" t="str">
        <f t="shared" si="79"/>
        <v>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 &amp; 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</v>
      </c>
      <c r="AF210" s="74" t="str">
        <f t="shared" si="80"/>
        <v>"C:\Program Files (x86)\AstroGrep\AstroGrep.exe" /e /r /s /spath="%USERPROFILE%\AppData\Local\Temp\OnboardLogs" /stypes="app*4026*20170701*" /stext=" 08:.+((SYSTEM_STATE.+slice.+state.+changed )|(ment ac)|(multiple cpu faults)|(system.+state.+changed )|(\[timeout)|(PRM\|1\|D)|(kpr)|(kdp)|(train st.+moving)|(\|lc)|(penalty))"</v>
      </c>
      <c r="AG210" s="209" t="str">
        <f t="shared" si="81"/>
        <v>Other</v>
      </c>
      <c r="AH210" s="78" t="str">
        <f t="shared" si="82"/>
        <v>"%USERPROFILE%\Documents\GitHub\eaglep3\Utilities\RefineRTDCRunTimes.py" --tripid 313-30 --locoid 4026 --swversion DE.1.0.9.0 --startMP 204:502 --initTime 2017-07-01T02:38:55 --startdatetime 2017-07-01T02:42:55 --delay 2 --endMP 300:23346 --enddatetime 2017-07-01T02:53:44 --enforcementcount 0 &gt;&gt;C:\Users\stu\Documents\GitHub\eaglep3-reporting\EC\2017-07-01-refined-times.txt</v>
      </c>
      <c r="AI210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{"issue":{"subject":"","project_id":79,"tracker_id":40,"status_id":1,"priority_id":2,"assigned_to_id":23,"start_date":"2017-07-01","description":"","custom_fields":[{"id":1,"name":"Subdivision","value":"Other"},{"id":4,"name":"Milepost","value":"2.3346"},{"id":17,"name":"Train ID","value":"313-30"},{"id":16,"name":"Locomotive ID","value":"4026"},{"id":130,"name":"Impact","value":""},{"id":150,"name":"Time of Event (Mountain Time)","value":"02:53:44"},{"id":151,"name":"Denver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4"/>
        <v>start /low /b %USERPROFILE%\Documents\GitHub\eaglep3\Utilities\DownloadLogsFromS3.py --loco 4026 --day 2017-07-01</v>
      </c>
      <c r="AN210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714</v>
      </c>
      <c r="B211" s="7">
        <v>4006</v>
      </c>
      <c r="C211" s="21" t="s">
        <v>202</v>
      </c>
      <c r="D211" s="21" t="s">
        <v>971</v>
      </c>
      <c r="E211" s="13">
        <v>42917.225231481483</v>
      </c>
      <c r="F211" s="13">
        <v>42917.228715277779</v>
      </c>
      <c r="G211" s="7">
        <v>4</v>
      </c>
      <c r="H211" s="21" t="s">
        <v>481</v>
      </c>
      <c r="I211" s="13">
        <v>42917.233796296299</v>
      </c>
      <c r="J211" s="7">
        <v>0</v>
      </c>
      <c r="K211" s="89" t="str">
        <f t="shared" si="71"/>
        <v>4005/4006</v>
      </c>
      <c r="L211" s="21" t="str">
        <f>VLOOKUP(A211,'Trips&amp;Operators'!$C$1:$G$99999,5,FALSE)</f>
        <v>ROCHA YAOTL</v>
      </c>
      <c r="M211" s="6">
        <f t="shared" si="72"/>
        <v>5.0810185202863067E-3</v>
      </c>
      <c r="N211" s="7">
        <f t="shared" si="68"/>
        <v>7.3166666692122817</v>
      </c>
      <c r="O211" s="7"/>
      <c r="P211" s="7"/>
      <c r="Q211" s="22"/>
      <c r="R211" s="170"/>
      <c r="S211" s="213">
        <f t="shared" si="69"/>
        <v>0</v>
      </c>
      <c r="T211" s="195" t="str">
        <f t="shared" si="73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74"/>
        <v>https://d0f6bd738d7f1b3e5a7ca70fe4ff75f0.us-east-1.aws.found.io/app/kibana#/discover/Steve-Slow-Train-Analysis-(2080s-and-2083s)?_g=(refreshInterval:(display:Off,pause:!f,section:0,value:0),time:(from:'2017-07-01T04:24:20-0600',mode:absolute,to:'2017-07-01T06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197" t="str">
        <f>IF(AA211&lt;VLOOKUP(AG211,Variables!$AC$3:$AD$8,2,FALSE),"Y","N")</f>
        <v>Y</v>
      </c>
      <c r="X211" s="197">
        <f t="shared" si="70"/>
        <v>1588</v>
      </c>
      <c r="Y211" s="197">
        <f t="shared" si="75"/>
        <v>3.0144000000000002</v>
      </c>
      <c r="Z211" s="197">
        <f t="shared" si="76"/>
        <v>5.8948</v>
      </c>
      <c r="AA211" s="197">
        <f t="shared" si="77"/>
        <v>2.8803999999999998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8"/>
        <v>1901</v>
      </c>
      <c r="AE211" s="77" t="str">
        <f t="shared" si="79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211" s="74" t="str">
        <f t="shared" si="80"/>
        <v>"C:\Program Files (x86)\AstroGrep\AstroGrep.exe" /e /r /s /spath="%USERPROFILE%\AppData\Local\Temp\OnboardLogs" /stypes="app*4006*20170701*" /stext=" 11:.+((SYSTEM_STATE.+slice.+state.+changed )|(ment ac)|(multiple cpu faults)|(system.+state.+changed )|(\[timeout)|(PRM\|1\|D)|(kpr)|(kdp)|(train st.+moving)|(\|lc)|(penalty))"</v>
      </c>
      <c r="AG211" s="209" t="str">
        <f t="shared" si="81"/>
        <v>Other</v>
      </c>
      <c r="AH211" s="78" t="str">
        <f t="shared" si="82"/>
        <v>"%USERPROFILE%\Documents\GitHub\eaglep3\Utilities\RefineRTDCRunTimes.py" --tripid 1901-01 --locoid 4006 --swversion DE.1.0.9.0 --startMP 300:30144 --initTime 2017-07-01T05:24:20 --startdatetime 2017-07-01T05:29:21 --delay 4 --endMP 300:58948 --enddatetime 2017-07-01T05:36:40 --enforcementcount 0 &gt;&gt;C:\Users\stu\Documents\GitHub\eaglep3-reporting\EC\2017-07-01-refined-times.txt</v>
      </c>
      <c r="AI211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{"issue":{"subject":"","project_id":79,"tracker_id":40,"status_id":1,"priority_id":2,"assigned_to_id":23,"start_date":"2017-07-01","description":"","custom_fields":[{"id":1,"name":"Subdivision","value":"Other"},{"id":4,"name":"Milepost","value":"5.8948"},{"id":17,"name":"Train ID","value":"1901-01"},{"id":16,"name":"Locomotive ID","value":"4006"},{"id":130,"name":"Impact","value":""},{"id":150,"name":"Time of Event (Mountain Time)","value":"05:36:40"},{"id":151,"name":"Denver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4"/>
        <v>start /low /b %USERPROFILE%\Documents\GitHub\eaglep3\Utilities\DownloadLogsFromS3.py --loco 4006 --day 2017-07-01</v>
      </c>
      <c r="AN211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783</v>
      </c>
      <c r="B212" s="7">
        <v>4046</v>
      </c>
      <c r="C212" s="21" t="s">
        <v>202</v>
      </c>
      <c r="D212" s="21" t="s">
        <v>1006</v>
      </c>
      <c r="E212" s="13">
        <v>42917.514976851853</v>
      </c>
      <c r="F212" s="13">
        <v>42917.516932870371</v>
      </c>
      <c r="G212" s="7">
        <v>2</v>
      </c>
      <c r="H212" s="21" t="s">
        <v>1007</v>
      </c>
      <c r="I212" s="13">
        <v>42917.522361111114</v>
      </c>
      <c r="J212" s="7">
        <v>0</v>
      </c>
      <c r="K212" s="89" t="str">
        <f t="shared" si="71"/>
        <v>4045/4046</v>
      </c>
      <c r="L212" s="21" t="str">
        <f>VLOOKUP(A212,'Trips&amp;Operators'!$C$1:$G$99999,5,FALSE)</f>
        <v>DAVIDSON DAVID</v>
      </c>
      <c r="M212" s="6">
        <f t="shared" si="72"/>
        <v>5.4282407436403446E-3</v>
      </c>
      <c r="N212" s="7">
        <f t="shared" si="68"/>
        <v>7.8166666708420962</v>
      </c>
      <c r="O212" s="7"/>
      <c r="P212" s="7"/>
      <c r="Q212" s="22"/>
      <c r="R212" s="170"/>
      <c r="S212" s="213">
        <f t="shared" si="69"/>
        <v>0</v>
      </c>
      <c r="T212" s="195" t="str">
        <f t="shared" si="73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74"/>
        <v>https://d0f6bd738d7f1b3e5a7ca70fe4ff75f0.us-east-1.aws.found.io/app/kibana#/discover/Steve-Slow-Train-Analysis-(2080s-and-2083s)?_g=(refreshInterval:(display:Off,pause:!f,section:0,value:0),time:(from:'2017-07-01T11:21:34-0600',mode:absolute,to:'2017-07-01T13:32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97" t="str">
        <f>IF(AA212&lt;VLOOKUP(AG212,Variables!$AC$3:$AD$8,2,FALSE),"Y","N")</f>
        <v>Y</v>
      </c>
      <c r="X212" s="197">
        <f t="shared" si="70"/>
        <v>-1851</v>
      </c>
      <c r="Y212" s="197">
        <f t="shared" si="75"/>
        <v>0.12230000000000001</v>
      </c>
      <c r="Z212" s="197">
        <f t="shared" si="76"/>
        <v>2.4232999999999998</v>
      </c>
      <c r="AA212" s="197">
        <f t="shared" si="77"/>
        <v>2.3009999999999997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8"/>
        <v>50</v>
      </c>
      <c r="AE212" s="77" t="str">
        <f t="shared" si="79"/>
        <v>aws s3 cp s3://rtdc.mdm.uploadarchive.raw/RTDC4046/ "%USERPROFILE%\AppData\Local\Temp\OnboardLogs"\RTDC4046\2017-07-01 --exclude "*" --recursive --include "*20170701*" &amp; "%USERPROFILE%\Documents\GitHub\mrs-test-scripts\Headless Mode &amp; Sideloading\WalkAndUnGZ.bat" "%USERPROFILE%\AppData\Local\Temp\OnboardLogs"\RTDC4046\2017-07-01 &amp; 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</v>
      </c>
      <c r="AF212" s="74" t="str">
        <f t="shared" si="80"/>
        <v>"C:\Program Files (x86)\AstroGrep\AstroGrep.exe" /e /r /s /spath="%USERPROFILE%\AppData\Local\Temp\OnboardLogs" /stypes="app*4046*20170701*" /stext=" 18:.+((SYSTEM_STATE.+slice.+state.+changed )|(ment ac)|(multiple cpu faults)|(system.+state.+changed )|(\[timeout)|(PRM\|1\|D)|(kpr)|(kdp)|(train st.+moving)|(\|lc)|(penalty))"</v>
      </c>
      <c r="AG212" s="209" t="str">
        <f t="shared" si="81"/>
        <v>Shuttle/Test</v>
      </c>
      <c r="AH212" s="78" t="str">
        <f t="shared" si="82"/>
        <v>"%USERPROFILE%\Documents\GitHub\eaglep3\Utilities\RefineRTDCRunTimes.py" --tripid 50-01 --locoid 4046 --swversion DE.1.0.9.0 --startMP 204:1223 --initTime 2017-07-01T12:21:34 --startdatetime 2017-07-01T12:24:23 --delay 2 --endMP 300:24233 --enddatetime 2017-07-01T12:32:12 --enforcementcount 0 &gt;&gt;C:\Users\stu\Documents\GitHub\eaglep3-reporting\EC\2017-07-01-refined-times.txt</v>
      </c>
      <c r="AI212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2.4233"},{"id":17,"name":"Train ID","value":"50-01"},{"id":16,"name":"Locomotive ID","value":"4046"},{"id":130,"name":"Impact","value":""},{"id":150,"name":"Time of Event (Mountain Time)","value":"12:32:12"},{"id":151,"name":"Denver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4"/>
        <v>start /low /b %USERPROFILE%\Documents\GitHub\eaglep3\Utilities\DownloadLogsFromS3.py --loco 4046 --day 2017-07-01</v>
      </c>
      <c r="AN212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664</v>
      </c>
      <c r="B213" s="7">
        <v>4050</v>
      </c>
      <c r="C213" s="21" t="s">
        <v>202</v>
      </c>
      <c r="D213" s="21" t="s">
        <v>1008</v>
      </c>
      <c r="E213" s="13">
        <v>42917.709131944444</v>
      </c>
      <c r="F213" s="13">
        <v>42917.754363425927</v>
      </c>
      <c r="G213" s="7">
        <v>1</v>
      </c>
      <c r="H213" s="21" t="s">
        <v>1009</v>
      </c>
      <c r="I213" s="13">
        <v>42917.754861111112</v>
      </c>
      <c r="J213" s="7">
        <v>0</v>
      </c>
      <c r="K213" s="89" t="str">
        <f t="shared" si="71"/>
        <v>4049/4050</v>
      </c>
      <c r="L213" s="21" t="str">
        <f>VLOOKUP(A213,'Trips&amp;Operators'!$C$1:$G$99999,5,FALSE)</f>
        <v>BERLING GARY</v>
      </c>
      <c r="M213" s="6">
        <f t="shared" si="72"/>
        <v>4.9768518510973081E-4</v>
      </c>
      <c r="N213" s="7"/>
      <c r="O213" s="7"/>
      <c r="P213" s="7">
        <f>24*60*SUM($M213:$M213)</f>
        <v>0.71666666655801237</v>
      </c>
      <c r="Q213" s="22"/>
      <c r="R213" s="170" t="s">
        <v>1039</v>
      </c>
      <c r="S213" s="213">
        <f t="shared" si="69"/>
        <v>0</v>
      </c>
      <c r="T213" s="195" t="str">
        <f t="shared" si="73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74"/>
        <v>https://d0f6bd738d7f1b3e5a7ca70fe4ff75f0.us-east-1.aws.found.io/app/kibana#/discover/Steve-Slow-Train-Analysis-(2080s-and-2083s)?_g=(refreshInterval:(display:Off,pause:!f,section:0,value:0),time:(from:'2017-07-01T16:01:09-0600',mode:absolute,to:'2017-07-01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3" s="197" t="str">
        <f>IF(AA213&lt;VLOOKUP(AG213,Variables!$AC$3:$AD$8,2,FALSE),"Y","N")</f>
        <v>Y</v>
      </c>
      <c r="X213" s="197">
        <f t="shared" si="70"/>
        <v>1</v>
      </c>
      <c r="Y213" s="197">
        <f t="shared" si="75"/>
        <v>0.15409999999999999</v>
      </c>
      <c r="Z213" s="197">
        <f t="shared" si="76"/>
        <v>0.17899999999999999</v>
      </c>
      <c r="AA213" s="197">
        <f t="shared" si="77"/>
        <v>2.4900000000000005E-2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8"/>
        <v>51</v>
      </c>
      <c r="AE213" s="77" t="str">
        <f t="shared" si="79"/>
        <v>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 &amp; aws s3 cp s3://rtdc.mdm.uploadarchive.raw/RTDC4050/ "%USERPROFILE%\AppData\Local\Temp\OnboardLogs"\RTDC4050\2017-07-02 --exclude "*" --recursive --include "*20170702*" &amp; "%USERPROFILE%\Documents\GitHub\mrs-test-scripts\Headless Mode &amp; Sideloading\WalkAndUnGZ.bat" "%USERPROFILE%\AppData\Local\Temp\OnboardLogs"\RTDC4050\2017-07-02</v>
      </c>
      <c r="AF213" s="74" t="str">
        <f t="shared" si="80"/>
        <v>"C:\Program Files (x86)\AstroGrep\AstroGrep.exe" /e /r /s /spath="%USERPROFILE%\AppData\Local\Temp\OnboardLogs" /stypes="app*4050*20170702*" /stext=" 00:.+((SYSTEM_STATE.+slice.+state.+changed )|(ment ac)|(multiple cpu faults)|(system.+state.+changed )|(\[timeout)|(PRM\|1\|D)|(kpr)|(kdp)|(train st.+moving)|(\|lc)|(penalty))"</v>
      </c>
      <c r="AG213" s="209" t="str">
        <f t="shared" si="81"/>
        <v>Shuttle/Test</v>
      </c>
      <c r="AH213" s="78" t="str">
        <f t="shared" si="82"/>
        <v>"%USERPROFILE%\Documents\GitHub\eaglep3\Utilities\RefineRTDCRunTimes.py" --tripid 51-01 --locoid 4050 --swversion DE.1.0.9.0 --startMP 204:1541 --initTime 2017-07-01T17:01:09 --startdatetime 2017-07-01T18:06:17 --delay 1 --endMP 204:1790 --enddatetime 2017-07-01T18:07:00 --enforcementcount 0 &gt;&gt;C:\Users\stu\Documents\GitHub\eaglep3-reporting\EC\2017-07-01-refined-times.txt</v>
      </c>
      <c r="AI213" s="96" t="str">
        <f t="shared" si="83"/>
        <v>echo {"issue":{"subject":"Main 3 departure","project_id":79,"tracker_id":40,"status_id":1,"priority_id":2,"assigned_to_id":23,"start_date":"2017-07-01","description":"","custom_fields":[{"id":1,"name":"Subdivision","value":"Shuttle/Test"},{"id":4,"name":"Milepost","value":"0.179"},{"id":17,"name":"Train ID","value":"51-01"},{"id":16,"name":"Locomotive ID","value":"4050"},{"id":130,"name":"Impact","value":""},{"id":150,"name":"Time of Event (Mountain Time)","value":"18:07:00"},{"id":151,"name":"Denver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4"/>
        <v>start /low /b %USERPROFILE%\Documents\GitHub\eaglep3\Utilities\DownloadLogsFromS3.py --loco 4050 --day 2017-07-01</v>
      </c>
      <c r="AN213" s="151" t="str">
        <f t="shared" si="85"/>
        <v>echo {"issue":{"subject":"Main 3 departure","project_id":30,"tracker_id":4,"status_id":1,"priority_id":1,"assigned_to_id":10,"start_date":"2017-07-02","description":"","custom_fields":[{"id":30,"name":"Category","value":"Issue"},{"id":3,"name":"Functional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689</v>
      </c>
      <c r="B214" s="7">
        <v>4045</v>
      </c>
      <c r="C214" s="21" t="s">
        <v>202</v>
      </c>
      <c r="D214" s="21" t="s">
        <v>1010</v>
      </c>
      <c r="E214" s="13">
        <v>42917.476030092592</v>
      </c>
      <c r="F214" s="13">
        <v>42917.479710648149</v>
      </c>
      <c r="G214" s="7">
        <v>5</v>
      </c>
      <c r="H214" s="21" t="s">
        <v>1011</v>
      </c>
      <c r="I214" s="13">
        <v>42917.484618055554</v>
      </c>
      <c r="J214" s="7">
        <v>0</v>
      </c>
      <c r="K214" s="89" t="str">
        <f t="shared" si="71"/>
        <v>4045/4046</v>
      </c>
      <c r="L214" s="21" t="str">
        <f>VLOOKUP(A214,'Trips&amp;Operators'!$C$1:$G$99999,5,FALSE)</f>
        <v>GRASTON MATHEU</v>
      </c>
      <c r="M214" s="6">
        <f t="shared" si="72"/>
        <v>4.907407404971309E-3</v>
      </c>
      <c r="N214" s="7">
        <f>24*60*SUM($M214:$M214)</f>
        <v>7.066666663158685</v>
      </c>
      <c r="O214" s="7"/>
      <c r="P214" s="7"/>
      <c r="Q214" s="22"/>
      <c r="R214" s="170"/>
      <c r="S214" s="213">
        <f t="shared" si="69"/>
        <v>0</v>
      </c>
      <c r="T214" s="195" t="str">
        <f t="shared" si="73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4"/>
        <v>https://d0f6bd738d7f1b3e5a7ca70fe4ff75f0.us-east-1.aws.found.io/app/kibana#/discover/Steve-Slow-Train-Analysis-(2080s-and-2083s)?_g=(refreshInterval:(display:Off,pause:!f,section:0,value:0),time:(from:'2017-07-01T10:25:29-0600',mode:absolute,to:'2017-07-01T12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70"/>
        <v>4</v>
      </c>
      <c r="Y214" s="197">
        <f t="shared" si="75"/>
        <v>2.2551999999999999</v>
      </c>
      <c r="Z214" s="197">
        <f t="shared" si="76"/>
        <v>9.0800000000000006E-2</v>
      </c>
      <c r="AA214" s="197">
        <f t="shared" si="77"/>
        <v>2.1643999999999997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8"/>
        <v>55</v>
      </c>
      <c r="AE214" s="77" t="str">
        <f t="shared" si="79"/>
        <v>aws s3 cp s3://rtdc.mdm.uploadarchive.raw/RTDC4045/ "%USERPROFILE%\AppData\Local\Temp\OnboardLogs"\RTDC4045\2017-07-01 --exclude "*" --recursive --include "*20170701*" &amp; "%USERPROFILE%\Documents\GitHub\mrs-test-scripts\Headless Mode &amp; Sideloading\WalkAndUnGZ.bat" "%USERPROFILE%\AppData\Local\Temp\OnboardLogs"\RTDC4045\2017-07-01 &amp; 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</v>
      </c>
      <c r="AF214" s="74" t="str">
        <f t="shared" si="80"/>
        <v>"C:\Program Files (x86)\AstroGrep\AstroGrep.exe" /e /r /s /spath="%USERPROFILE%\AppData\Local\Temp\OnboardLogs" /stypes="app*4045*20170701*" /stext=" 17:.+((SYSTEM_STATE.+slice.+state.+changed )|(ment ac)|(multiple cpu faults)|(system.+state.+changed )|(\[timeout)|(PRM\|1\|D)|(kpr)|(kdp)|(train st.+moving)|(\|lc)|(penalty))"</v>
      </c>
      <c r="AG214" s="209" t="str">
        <f t="shared" si="81"/>
        <v>Shuttle/Test</v>
      </c>
      <c r="AH214" s="78" t="str">
        <f t="shared" si="82"/>
        <v>"%USERPROFILE%\Documents\GitHub\eaglep3\Utilities\RefineRTDCRunTimes.py" --tripid 55-01 --locoid 4045 --swversion DE.1.0.9.0 --startMP 300:22552 --initTime 2017-07-01T11:25:29 --startdatetime 2017-07-01T11:30:47 --delay 5 --endMP 204:908 --enddatetime 2017-07-01T11:37:51 --enforcementcount 0 &gt;&gt;C:\Users\stu\Documents\GitHub\eaglep3-reporting\EC\2017-07-01-refined-times.txt</v>
      </c>
      <c r="AI214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0.0908"},{"id":17,"name":"Train ID","value":"55-01"},{"id":16,"name":"Locomotive ID","value":"4045"},{"id":130,"name":"Impact","value":""},{"id":150,"name":"Time of Event (Mountain Time)","value":"11:37:51"},{"id":151,"name":"Denver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4"/>
        <v>start /low /b %USERPROFILE%\Documents\GitHub\eaglep3\Utilities\DownloadLogsFromS3.py --loco 4045 --day 2017-07-01</v>
      </c>
      <c r="AN214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689</v>
      </c>
      <c r="B215" s="7">
        <v>4049</v>
      </c>
      <c r="C215" s="21" t="s">
        <v>202</v>
      </c>
      <c r="D215" s="21" t="s">
        <v>1012</v>
      </c>
      <c r="E215" s="13">
        <v>42917.113587962966</v>
      </c>
      <c r="F215" s="13">
        <v>42917.115844907406</v>
      </c>
      <c r="G215" s="7">
        <v>3</v>
      </c>
      <c r="H215" s="21" t="s">
        <v>1013</v>
      </c>
      <c r="I215" s="13">
        <v>42917.122233796297</v>
      </c>
      <c r="J215" s="7">
        <v>0</v>
      </c>
      <c r="K215" s="89" t="str">
        <f t="shared" si="71"/>
        <v>4049/4050</v>
      </c>
      <c r="L215" s="21" t="str">
        <f>VLOOKUP(A215,'Trips&amp;Operators'!$C$1:$G$99999,5,FALSE)</f>
        <v>GRASTON MATHEU</v>
      </c>
      <c r="M215" s="6">
        <f t="shared" si="72"/>
        <v>6.3888888907968067E-3</v>
      </c>
      <c r="N215" s="7">
        <f>24*60*SUM($M215:$M215)</f>
        <v>9.2000000027474016</v>
      </c>
      <c r="O215" s="7"/>
      <c r="P215" s="7"/>
      <c r="Q215" s="22"/>
      <c r="R215" s="170"/>
      <c r="S215" s="213">
        <f t="shared" si="69"/>
        <v>0</v>
      </c>
      <c r="T215" s="195" t="str">
        <f t="shared" si="73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4"/>
        <v>https://d0f6bd738d7f1b3e5a7ca70fe4ff75f0.us-east-1.aws.found.io/app/kibana#/discover/Steve-Slow-Train-Analysis-(2080s-and-2083s)?_g=(refreshInterval:(display:Off,pause:!f,section:0,value:0),time:(from:'2017-07-01T01:43:34-0600',mode:absolute,to:'2017-07-01T03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5" s="197" t="str">
        <f>IF(AA215&lt;VLOOKUP(AG215,Variables!$AC$3:$AD$8,2,FALSE),"Y","N")</f>
        <v>Y</v>
      </c>
      <c r="X215" s="197">
        <f t="shared" si="70"/>
        <v>0</v>
      </c>
      <c r="Y215" s="197">
        <f t="shared" si="75"/>
        <v>2.3494999999999999</v>
      </c>
      <c r="Z215" s="197">
        <f t="shared" si="76"/>
        <v>0.12180000000000001</v>
      </c>
      <c r="AA215" s="197">
        <f t="shared" si="77"/>
        <v>2.2277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8"/>
        <v>55</v>
      </c>
      <c r="AE215" s="77" t="str">
        <f t="shared" si="79"/>
        <v>aws s3 cp s3://rtdc.mdm.uploadarchive.raw/RTDC4049/ "%USERPROFILE%\AppData\Local\Temp\OnboardLogs"\RTDC4049\2017-07-01 --exclude "*" --recursive --include "*20170701*" &amp; "%USERPROFILE%\Documents\GitHub\mrs-test-scripts\Headless Mode &amp; Sideloading\WalkAndUnGZ.bat" "%USERPROFILE%\AppData\Local\Temp\OnboardLogs"\RTDC4049\2017-07-01 &amp; 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</v>
      </c>
      <c r="AF215" s="74" t="str">
        <f t="shared" si="80"/>
        <v>"C:\Program Files (x86)\AstroGrep\AstroGrep.exe" /e /r /s /spath="%USERPROFILE%\AppData\Local\Temp\OnboardLogs" /stypes="app*4049*20170701*" /stext=" 08:.+((SYSTEM_STATE.+slice.+state.+changed )|(ment ac)|(multiple cpu faults)|(system.+state.+changed )|(\[timeout)|(PRM\|1\|D)|(kpr)|(kdp)|(train st.+moving)|(\|lc)|(penalty))"</v>
      </c>
      <c r="AG215" s="209" t="str">
        <f t="shared" si="81"/>
        <v>Shuttle/Test</v>
      </c>
      <c r="AH215" s="78" t="str">
        <f t="shared" si="82"/>
        <v>"%USERPROFILE%\Documents\GitHub\eaglep3\Utilities\RefineRTDCRunTimes.py" --tripid 55-01 --locoid 4049 --swversion DE.1.0.9.0 --startMP 300:23495 --initTime 2017-07-01T02:43:34 --startdatetime 2017-07-01T02:46:49 --delay 3 --endMP 204:1218 --enddatetime 2017-07-01T02:56:01 --enforcementcount 0 &gt;&gt;C:\Users\stu\Documents\GitHub\eaglep3-reporting\EC\2017-07-01-refined-times.txt</v>
      </c>
      <c r="AI215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0.1218"},{"id":17,"name":"Train ID","value":"55-01"},{"id":16,"name":"Locomotive ID","value":"4049"},{"id":130,"name":"Impact","value":""},{"id":150,"name":"Time of Event (Mountain Time)","value":"02:56:01"},{"id":151,"name":"Denver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4"/>
        <v>start /low /b %USERPROFILE%\Documents\GitHub\eaglep3\Utilities\DownloadLogsFromS3.py --loco 4049 --day 2017-07-01</v>
      </c>
      <c r="AN215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876</v>
      </c>
      <c r="B216" s="7">
        <v>4051</v>
      </c>
      <c r="C216" s="21" t="s">
        <v>202</v>
      </c>
      <c r="D216" s="21" t="s">
        <v>1014</v>
      </c>
      <c r="E216" s="13">
        <v>42918.112210648149</v>
      </c>
      <c r="F216" s="13">
        <v>42918.115393518521</v>
      </c>
      <c r="G216" s="7">
        <v>4</v>
      </c>
      <c r="H216" s="21" t="s">
        <v>626</v>
      </c>
      <c r="I216" s="13">
        <v>42918.122824074075</v>
      </c>
      <c r="J216" s="7">
        <v>0</v>
      </c>
      <c r="K216" s="89" t="str">
        <f t="shared" si="71"/>
        <v>4051/4052</v>
      </c>
      <c r="L216" s="21" t="str">
        <f>VLOOKUP(A216,'Trips&amp;Operators'!$C$1:$G$99999,5,FALSE)</f>
        <v>MAYBERRY BILL</v>
      </c>
      <c r="M216" s="6">
        <f t="shared" si="72"/>
        <v>7.4305555535829626E-3</v>
      </c>
      <c r="N216" s="7">
        <f>24*60*SUM($M216:$M216)</f>
        <v>10.699999997159466</v>
      </c>
      <c r="O216" s="7"/>
      <c r="P216" s="7"/>
      <c r="Q216" s="22"/>
      <c r="R216" s="170"/>
      <c r="S216" s="213">
        <f t="shared" si="69"/>
        <v>0</v>
      </c>
      <c r="T216" s="195" t="str">
        <f t="shared" si="73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74"/>
        <v>https://d0f6bd738d7f1b3e5a7ca70fe4ff75f0.us-east-1.aws.found.io/app/kibana#/discover/Steve-Slow-Train-Analysis-(2080s-and-2083s)?_g=(refreshInterval:(display:Off,pause:!f,section:0,value:0),time:(from:'2017-07-02T01:41:35-0600',mode:absolute,to:'2017-07-02T03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6" s="197" t="str">
        <f>IF(AA216&lt;VLOOKUP(AG216,Variables!$AC$3:$AD$8,2,FALSE),"Y","N")</f>
        <v>Y</v>
      </c>
      <c r="X216" s="197">
        <f t="shared" si="70"/>
        <v>0</v>
      </c>
      <c r="Y216" s="197">
        <f t="shared" si="75"/>
        <v>2.2292000000000001</v>
      </c>
      <c r="Z216" s="197">
        <f t="shared" si="76"/>
        <v>0.11559999999999999</v>
      </c>
      <c r="AA216" s="197">
        <f t="shared" si="77"/>
        <v>2.1135999999999999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8"/>
        <v>55</v>
      </c>
      <c r="AE216" s="77" t="str">
        <f t="shared" si="79"/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AF216" s="74" t="str">
        <f t="shared" si="80"/>
        <v>"C:\Program Files (x86)\AstroGrep\AstroGrep.exe" /e /r /s /spath="%USERPROFILE%\AppData\Local\Temp\OnboardLogs" /stypes="app*4051*20170702*" /stext=" 08:.+((SYSTEM_STATE.+slice.+state.+changed )|(ment ac)|(multiple cpu faults)|(system.+state.+changed )|(\[timeout)|(PRM\|1\|D)|(kpr)|(kdp)|(train st.+moving)|(\|lc)|(penalty))"</v>
      </c>
      <c r="AG216" s="209" t="str">
        <f t="shared" si="81"/>
        <v>Shuttle/Test</v>
      </c>
      <c r="AH216" s="78" t="str">
        <f t="shared" si="82"/>
        <v>"%USERPROFILE%\Documents\GitHub\eaglep3\Utilities\RefineRTDCRunTimes.py" --tripid 55-02 --locoid 4051 --swversion DE.1.0.9.0 --startMP 300:22292 --initTime 2017-07-02T02:41:35 --startdatetime 2017-07-02T02:46:10 --delay 4 --endMP 204:1156 --enddatetime 2017-07-02T02:56:52 --enforcementcount 0 &gt;&gt;C:\Users\stu\Documents\GitHub\eaglep3-reporting\EC\2017-07-01-refined-times.txt</v>
      </c>
      <c r="AI216" s="96" t="str">
        <f t="shared" si="83"/>
        <v>echo {"issue":{"subject":"","project_id":79,"tracker_id":40,"status_id":1,"priority_id":2,"assigned_to_id":23,"start_date":"2017-07-02","description":"","custom_fields":[{"id":1,"name":"Subdivision","value":"Shuttle/Test"},{"id":4,"name":"Milepost","value":"0.1156"},{"id":17,"name":"Train ID","value":"55-02"},{"id":16,"name":"Locomotive ID","value":"4051"},{"id":130,"name":"Impact","value":""},{"id":150,"name":"Time of Event (Mountain Time)","value":"02:56:52"},{"id":151,"name":"Denver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4"/>
        <v>start /low /b %USERPROFILE%\Documents\GitHub\eaglep3\Utilities\DownloadLogsFromS3.py --loco 4051 --day 2017-07-02</v>
      </c>
      <c r="AN216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830</v>
      </c>
      <c r="B217" s="7">
        <v>4015</v>
      </c>
      <c r="C217" s="21" t="s">
        <v>202</v>
      </c>
      <c r="D217" s="21" t="s">
        <v>1015</v>
      </c>
      <c r="E217" s="13">
        <v>42917.741782407407</v>
      </c>
      <c r="F217" s="13">
        <v>42917.74491898148</v>
      </c>
      <c r="G217" s="7">
        <v>4</v>
      </c>
      <c r="H217" s="21" t="s">
        <v>1016</v>
      </c>
      <c r="I217" s="13">
        <v>42917.763645833336</v>
      </c>
      <c r="J217" s="7">
        <v>0</v>
      </c>
      <c r="K217" s="89" t="str">
        <f t="shared" si="71"/>
        <v>4015/4016</v>
      </c>
      <c r="L217" s="21" t="str">
        <f>VLOOKUP(A217,'Trips&amp;Operators'!$C$1:$G$99999,5,FALSE)</f>
        <v>ZEWDU DEREJE</v>
      </c>
      <c r="M217" s="6">
        <f t="shared" si="72"/>
        <v>1.8726851856627036E-2</v>
      </c>
      <c r="N217" s="7">
        <f>24*60*SUM($M217:$M217)</f>
        <v>26.966666673542932</v>
      </c>
      <c r="O217" s="7"/>
      <c r="P217" s="7"/>
      <c r="Q217" s="22"/>
      <c r="R217" s="170"/>
      <c r="S217" s="213">
        <f t="shared" si="69"/>
        <v>1</v>
      </c>
      <c r="T217" s="195" t="str">
        <f t="shared" si="73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4"/>
        <v>https://d0f6bd738d7f1b3e5a7ca70fe4ff75f0.us-east-1.aws.found.io/app/kibana#/discover/Steve-Slow-Train-Analysis-(2080s-and-2083s)?_g=(refreshInterval:(display:Off,pause:!f,section:0,value:0),time:(from:'2017-07-01T16:48:10-0600',mode:absolute,to:'2017-07-01T19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7" s="197" t="str">
        <f>IF(AA217&lt;VLOOKUP(AG217,Variables!$AC$3:$AD$8,2,FALSE),"Y","N")</f>
        <v>Y</v>
      </c>
      <c r="X217" s="197">
        <f t="shared" si="70"/>
        <v>15</v>
      </c>
      <c r="Y217" s="197">
        <f t="shared" si="75"/>
        <v>2.3197000000000001</v>
      </c>
      <c r="Z217" s="197">
        <f t="shared" si="76"/>
        <v>0.106</v>
      </c>
      <c r="AA217" s="197">
        <f t="shared" si="77"/>
        <v>2.2137000000000002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8"/>
        <v>70</v>
      </c>
      <c r="AE217" s="77" t="str">
        <f t="shared" si="79"/>
        <v>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 &amp; 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</v>
      </c>
      <c r="AF217" s="74" t="str">
        <f t="shared" si="80"/>
        <v>"C:\Program Files (x86)\AstroGrep\AstroGrep.exe" /e /r /s /spath="%USERPROFILE%\AppData\Local\Temp\OnboardLogs" /stypes="app*4015*20170702*" /stext=" 00:.+((SYSTEM_STATE.+slice.+state.+changed )|(ment ac)|(multiple cpu faults)|(system.+state.+changed )|(\[timeout)|(PRM\|1\|D)|(kpr)|(kdp)|(train st.+moving)|(\|lc)|(penalty))"</v>
      </c>
      <c r="AG217" s="209" t="str">
        <f t="shared" si="81"/>
        <v>Shuttle/Test</v>
      </c>
      <c r="AH217" s="78" t="str">
        <f t="shared" si="82"/>
        <v>"%USERPROFILE%\Documents\GitHub\eaglep3\Utilities\RefineRTDCRunTimes.py" --tripid 70-01 --locoid 4015 --swversion DE.1.0.9.0 --startMP 300:23197 --initTime 2017-07-01T17:48:10 --startdatetime 2017-07-01T17:52:41 --delay 4 --endMP 204:1060 --enddatetime 2017-07-01T18:19:39 --enforcementcount 0 &gt;&gt;C:\Users\stu\Documents\GitHub\eaglep3-reporting\EC\2017-07-01-refined-times.txt</v>
      </c>
      <c r="AI217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0.106"},{"id":17,"name":"Train ID","value":"70-01"},{"id":16,"name":"Locomotive ID","value":"4015"},{"id":130,"name":"Impact","value":""},{"id":150,"name":"Time of Event (Mountain Time)","value":"18:19:39"},{"id":151,"name":"Denver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84"/>
        <v>start /low /b %USERPROFILE%\Documents\GitHub\eaglep3\Utilities\DownloadLogsFromS3.py --loco 4015 --day 2017-07-01</v>
      </c>
      <c r="AN217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686</v>
      </c>
      <c r="B218" s="7">
        <v>4012</v>
      </c>
      <c r="C218" s="21" t="s">
        <v>202</v>
      </c>
      <c r="D218" s="21" t="s">
        <v>1017</v>
      </c>
      <c r="E218" s="13">
        <v>42917.082013888888</v>
      </c>
      <c r="F218" s="13">
        <v>42917.083611111113</v>
      </c>
      <c r="G218" s="7">
        <v>1</v>
      </c>
      <c r="H218" s="21" t="s">
        <v>621</v>
      </c>
      <c r="I218" s="13">
        <v>42917.094282407408</v>
      </c>
      <c r="J218" s="7">
        <v>0</v>
      </c>
      <c r="K218" s="89" t="str">
        <f t="shared" si="71"/>
        <v>4011/4012</v>
      </c>
      <c r="L218" s="21" t="str">
        <f>VLOOKUP(A218,'Trips&amp;Operators'!$C$1:$G$99999,5,FALSE)</f>
        <v>BIRENBAUM THOMAS</v>
      </c>
      <c r="M218" s="6">
        <f t="shared" si="72"/>
        <v>1.0671296295186039E-2</v>
      </c>
      <c r="N218" s="7">
        <f>24*60*SUM($M218:$M218)</f>
        <v>15.366666665067896</v>
      </c>
      <c r="O218" s="7"/>
      <c r="P218" s="7"/>
      <c r="Q218" s="22"/>
      <c r="R218" s="170"/>
      <c r="S218" s="213">
        <f t="shared" si="69"/>
        <v>1</v>
      </c>
      <c r="T218" s="195" t="str">
        <f t="shared" si="73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4"/>
        <v>https://d0f6bd738d7f1b3e5a7ca70fe4ff75f0.us-east-1.aws.found.io/app/kibana#/discover/Steve-Slow-Train-Analysis-(2080s-and-2083s)?_g=(refreshInterval:(display:Off,pause:!f,section:0,value:0),time:(from:'2017-07-01T00:58:06-0600',mode:absolute,to:'2017-07-01T03:15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197" t="str">
        <f>IF(AA218&lt;VLOOKUP(AG218,Variables!$AC$3:$AD$8,2,FALSE),"Y","N")</f>
        <v>Y</v>
      </c>
      <c r="X218" s="197">
        <f t="shared" si="70"/>
        <v>13</v>
      </c>
      <c r="Y218" s="197">
        <f t="shared" si="75"/>
        <v>6.7400000000000002E-2</v>
      </c>
      <c r="Z218" s="197">
        <f t="shared" si="76"/>
        <v>2.3285</v>
      </c>
      <c r="AA218" s="197">
        <f t="shared" si="77"/>
        <v>2.2610999999999999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8"/>
        <v>83</v>
      </c>
      <c r="AE218" s="77" t="str">
        <f t="shared" si="79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18" s="74" t="str">
        <f t="shared" si="80"/>
        <v>"C:\Program Files (x86)\AstroGrep\AstroGrep.exe" /e /r /s /spath="%USERPROFILE%\AppData\Local\Temp\OnboardLogs" /stypes="app*4012*20170701*" /stext=" 08:.+((SYSTEM_STATE.+slice.+state.+changed )|(ment ac)|(multiple cpu faults)|(system.+state.+changed )|(\[timeout)|(PRM\|1\|D)|(kpr)|(kdp)|(train st.+moving)|(\|lc)|(penalty))"</v>
      </c>
      <c r="AG218" s="209" t="str">
        <f t="shared" si="81"/>
        <v>Shuttle/Test</v>
      </c>
      <c r="AH218" s="78" t="str">
        <f t="shared" si="82"/>
        <v>"%USERPROFILE%\Documents\GitHub\eaglep3\Utilities\RefineRTDCRunTimes.py" --tripid 83-30 --locoid 4012 --swversion DE.1.0.9.0 --startMP 204:674 --initTime 2017-07-01T01:58:06 --startdatetime 2017-07-01T02:00:24 --delay 1 --endMP 300:23285 --enddatetime 2017-07-01T02:15:46 --enforcementcount 0 &gt;&gt;C:\Users\stu\Documents\GitHub\eaglep3-reporting\EC\2017-07-01-refined-times.txt</v>
      </c>
      <c r="AI218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2.3285"},{"id":17,"name":"Train ID","value":"83-30"},{"id":16,"name":"Locomotive ID","value":"4012"},{"id":130,"name":"Impact","value":""},{"id":150,"name":"Time of Event (Mountain Time)","value":"02:15:46"},{"id":151,"name":"Denver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4"/>
        <v>start /low /b %USERPROFILE%\Documents\GitHub\eaglep3\Utilities\DownloadLogsFromS3.py --loco 4012 --day 2017-07-01</v>
      </c>
      <c r="AN218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08:15:46"},{"id":29,"name":"Sharepoint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1">
    <sortState ref="A13:AG272">
      <sortCondition ref="AG13:AG219"/>
      <sortCondition ref="AD13:AD219"/>
    </sortState>
  </autoFilter>
  <sortState ref="A13:AN233">
    <sortCondition ref="AG13:AG233"/>
    <sortCondition ref="AD13:AD233"/>
  </sortState>
  <mergeCells count="1">
    <mergeCell ref="A11:P11"/>
  </mergeCells>
  <conditionalFormatting sqref="W11:W12 W276:X1048576 W13:X218">
    <cfRule type="cellIs" dxfId="10" priority="415" operator="equal">
      <formula>"Y"</formula>
    </cfRule>
  </conditionalFormatting>
  <conditionalFormatting sqref="X276:X1048576 X13:X218">
    <cfRule type="cellIs" dxfId="9" priority="398" operator="greaterThan">
      <formula>1</formula>
    </cfRule>
  </conditionalFormatting>
  <conditionalFormatting sqref="X276:X1048576 X12:X218">
    <cfRule type="cellIs" dxfId="8" priority="395" operator="equal">
      <formula>0</formula>
    </cfRule>
  </conditionalFormatting>
  <conditionalFormatting sqref="A13:S21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463</v>
      </c>
      <c r="X6" s="208" t="s">
        <v>456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42917.693472222221</v>
      </c>
      <c r="B7" s="30" t="s">
        <v>339</v>
      </c>
      <c r="C7" s="30" t="s">
        <v>661</v>
      </c>
      <c r="D7" s="30" t="s">
        <v>49</v>
      </c>
      <c r="E7" s="30" t="s">
        <v>187</v>
      </c>
      <c r="F7" s="42">
        <v>0</v>
      </c>
      <c r="G7" s="42">
        <v>215</v>
      </c>
      <c r="H7" s="42">
        <v>26976</v>
      </c>
      <c r="I7" s="42">
        <v>27357</v>
      </c>
      <c r="J7" s="30" t="s">
        <v>188</v>
      </c>
      <c r="K7" s="42">
        <v>27053</v>
      </c>
      <c r="L7" s="131" t="s">
        <v>50</v>
      </c>
      <c r="M7" s="132">
        <f t="shared" ref="M7:M45" si="0">CONVERT((I7-K7)/10000,"mi","ft")*IF(L7="Increasing Mileposts (1)",-1,1)</f>
        <v>-160.512</v>
      </c>
      <c r="N7" s="133" t="str">
        <f>VLOOKUP(C7,'Trips&amp;Operators'!$C$1:$G$99999,5,FALSE)</f>
        <v>LOPES KIMBERLY</v>
      </c>
      <c r="O7" s="203" t="s">
        <v>180</v>
      </c>
      <c r="P7" s="134" t="s">
        <v>482</v>
      </c>
      <c r="Q7" s="30"/>
      <c r="R7" s="81" t="str">
        <f>VLOOKUP(C7,'Train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-07-01T15:22:22-0600',mode:absolute,to:'2017-07-01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7" s="86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/stypes="*4028*201707012*" /stext=" 22:.+((SYSTEM_STATE.+slice.+state.+changed )|(ment ac)|(multiple cpu faults)|(system.+state.+changed )|(\[timeout)|(PRM\|1\|D)|(kpr)|(kdp)|(train st.+moving)|(\|lc)|(penalty))"</v>
      </c>
      <c r="U7" s="9" t="str">
        <f t="shared" ref="U7:U45" si="2">MID(B7,13,4)</f>
        <v>4028</v>
      </c>
      <c r="V7" s="31">
        <f t="shared" ref="V7:V45" si="3">A7-utc_offset/24</f>
        <v>42917.943472222221</v>
      </c>
      <c r="W7" s="45" t="str">
        <f t="shared" ref="W7:W45" si="4">DetSubdiv(C7)</f>
        <v>EC</v>
      </c>
      <c r="X7" s="22">
        <f t="shared" ref="X7:X45" si="5">VALUE(LEFT(C7,LEN(C7)-3))</f>
        <v>203</v>
      </c>
      <c r="Y7" s="96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arrival","project_id":79,"tracker_id":40,"status_id":1,"priority_id":2,"assigned_to_id":23,"start_date":"2017-07-01","description":"","custom_fields":[{"id":1,"name":"Subdivision","value":"EC"},{"id":4,"name":"Milepost","value":"2.7053"},{"id":17,"name":"Train ID","value":"203-01"},{"id":16,"name":"Locomotive ID","value":"4028"},{"id":130,"name":"Impact","value":""},{"id":150,"name":"Time of Event (Mountain Time)","value":"16:38:36"},{"id":151,"name":"Denver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/c/Users/stu/AppData/Local/Temp/OnboardLogs/RTDC4028 --include="*4028*201707012*"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"%USERPROFILE%\AppData\Local\Temp\OnboardLogs"\RTDC4028\*4028*201707012* &gt;&gt; 2017-07-01-SliceDisagreementCheck.txt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4028 --day 2017-07-01</v>
      </c>
    </row>
    <row r="8" spans="1:32" s="1" customFormat="1" x14ac:dyDescent="0.25">
      <c r="A8" s="31">
        <v>42917.541979166665</v>
      </c>
      <c r="B8" s="30" t="s">
        <v>368</v>
      </c>
      <c r="C8" s="30" t="s">
        <v>653</v>
      </c>
      <c r="D8" s="30" t="s">
        <v>96</v>
      </c>
      <c r="E8" s="30" t="s">
        <v>187</v>
      </c>
      <c r="F8" s="42">
        <v>150</v>
      </c>
      <c r="G8" s="42">
        <v>200</v>
      </c>
      <c r="H8" s="42">
        <v>27087</v>
      </c>
      <c r="I8" s="42">
        <v>26689</v>
      </c>
      <c r="J8" s="30" t="s">
        <v>188</v>
      </c>
      <c r="K8" s="42">
        <v>27350</v>
      </c>
      <c r="L8" s="131" t="s">
        <v>51</v>
      </c>
      <c r="M8" s="132">
        <f t="shared" si="0"/>
        <v>-349.00800000000004</v>
      </c>
      <c r="N8" s="133" t="str">
        <f>VLOOKUP(C8,'Trips&amp;Operators'!$C$1:$G$99999,5,FALSE)</f>
        <v>BRANDNER MELINDA</v>
      </c>
      <c r="O8" s="203" t="s">
        <v>180</v>
      </c>
      <c r="P8" s="134" t="s">
        <v>482</v>
      </c>
      <c r="Q8" s="30"/>
      <c r="R8" s="81" t="str">
        <f>VLOOKUP(C8,'Train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-07-01T11:23:22-0600',mode:absolute,to:'2017-07-01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 t="shared" si="1"/>
        <v>"C:\Program Files (x86)\AstroGrep\AstroGrep.exe" /e /r /s /spath="%USERPROFILE%\AppData\Local\Temp\OnboardLogs" /stypes="*4013*201707011*"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4013</v>
      </c>
      <c r="V8" s="31">
        <f t="shared" si="3"/>
        <v>42917.791979166665</v>
      </c>
      <c r="W8" s="45" t="str">
        <f t="shared" si="4"/>
        <v>EC</v>
      </c>
      <c r="X8" s="22">
        <f t="shared" si="5"/>
        <v>164</v>
      </c>
      <c r="Y8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arrival","project_id":79,"tracker_id":40,"status_id":1,"priority_id":2,"assigned_to_id":23,"start_date":"2017-07-01","description":"","custom_fields":[{"id":1,"name":"Subdivision","value":"EC"},{"id":4,"name":"Milepost","value":"2.735"},{"id":17,"name":"Train ID","value":"164-01"},{"id":16,"name":"Locomotive ID","value":"4013"},{"id":130,"name":"Impact","value":""},{"id":150,"name":"Time of Event (Mountain Time)","value":"13:00:27"},{"id":151,"name":"Denver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/c/Users/stu/AppData/Local/Temp/OnboardLogs/RTDC4013 --include="*4013*201707011*"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"%USERPROFILE%\AppData\Local\Temp\OnboardLogs"\RTDC4013\*4013*201707011* &gt;&gt; 2017-07-01-SliceDisagreementCheck.txt</v>
      </c>
      <c r="AE8" s="145" t="str">
        <f t="shared" ref="AE8:AE45" si="9">"start /low /b "&amp;dls3logs&amp;" --loco "&amp;U8&amp;" --day "&amp;TEXT(V8,"YYYY-MM-DD")</f>
        <v>start /low /b %USERPROFILE%\Documents\GitHub\eaglep3\Utilities\DownloadLogsFromS3.py --loco 4013 --day 2017-07-01</v>
      </c>
    </row>
    <row r="9" spans="1:32" s="1" customFormat="1" x14ac:dyDescent="0.25">
      <c r="A9" s="31">
        <v>42917.727835648147</v>
      </c>
      <c r="B9" s="30" t="s">
        <v>474</v>
      </c>
      <c r="C9" s="30" t="s">
        <v>663</v>
      </c>
      <c r="D9" s="30" t="s">
        <v>49</v>
      </c>
      <c r="E9" s="30" t="s">
        <v>187</v>
      </c>
      <c r="F9" s="42">
        <v>0</v>
      </c>
      <c r="G9" s="42">
        <v>192</v>
      </c>
      <c r="H9" s="42">
        <v>31011</v>
      </c>
      <c r="I9" s="42">
        <v>30841</v>
      </c>
      <c r="J9" s="30" t="s">
        <v>188</v>
      </c>
      <c r="K9" s="42">
        <v>30970</v>
      </c>
      <c r="L9" s="131" t="s">
        <v>51</v>
      </c>
      <c r="M9" s="132">
        <f t="shared" si="0"/>
        <v>-68.111999999999995</v>
      </c>
      <c r="N9" s="133" t="str">
        <f>VLOOKUP(C9,'Trips&amp;Operators'!$C$1:$G$99999,5,FALSE)</f>
        <v>STEWART MICHAEL</v>
      </c>
      <c r="O9" s="203" t="s">
        <v>180</v>
      </c>
      <c r="P9" s="134" t="s">
        <v>482</v>
      </c>
      <c r="Q9" s="30"/>
      <c r="R9" s="81" t="str">
        <f>VLOOKUP(C9,'Train Runs'!$A$13:$AE$9930,31,0)</f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-07-01T15:53:54-0600',mode:absolute,to:'2017-07-01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6" t="str">
        <f t="shared" si="1"/>
        <v>"C:\Program Files (x86)\AstroGrep\AstroGrep.exe" /e /r /s /spath="%USERPROFILE%\AppData\Local\Temp\OnboardLogs" /stypes="*4017*201707012*"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4017</v>
      </c>
      <c r="V9" s="31">
        <f t="shared" si="3"/>
        <v>42917.977835648147</v>
      </c>
      <c r="W9" s="45" t="str">
        <f t="shared" si="4"/>
        <v>EC</v>
      </c>
      <c r="X9" s="22">
        <f t="shared" si="5"/>
        <v>200</v>
      </c>
      <c r="Y9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arrival","project_id":79,"tracker_id":40,"status_id":1,"priority_id":2,"assigned_to_id":23,"start_date":"2017-07-01","description":"","custom_fields":[{"id":1,"name":"Subdivision","value":"EC"},{"id":4,"name":"Milepost","value":"3.097"},{"id":17,"name":"Train ID","value":"200-01"},{"id":16,"name":"Locomotive ID","value":"4017"},{"id":130,"name":"Impact","value":""},{"id":150,"name":"Time of Event (Mountain Time)","value":"17:28:05"},{"id":151,"name":"Denver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/c/Users/stu/AppData/Local/Temp/OnboardLogs/RTDC4017 --include="*4017*201707012*"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"%USERPROFILE%\AppData\Local\Temp\OnboardLogs"\RTDC4017\*4017*201707012* &gt;&gt; 2017-07-01-SliceDisagreementCheck.txt</v>
      </c>
      <c r="AE9" s="145" t="str">
        <f t="shared" si="9"/>
        <v>start /low /b %USERPROFILE%\Documents\GitHub\eaglep3\Utilities\DownloadLogsFromS3.py --loco 4017 --day 2017-07-01</v>
      </c>
    </row>
    <row r="10" spans="1:32" s="1" customFormat="1" x14ac:dyDescent="0.25">
      <c r="A10" s="31">
        <v>42917.361921296295</v>
      </c>
      <c r="B10" s="30" t="s">
        <v>474</v>
      </c>
      <c r="C10" s="30" t="s">
        <v>645</v>
      </c>
      <c r="D10" s="30" t="s">
        <v>49</v>
      </c>
      <c r="E10" s="30" t="s">
        <v>187</v>
      </c>
      <c r="F10" s="42">
        <v>250</v>
      </c>
      <c r="G10" s="42">
        <v>367</v>
      </c>
      <c r="H10" s="42">
        <v>35777</v>
      </c>
      <c r="I10" s="42">
        <v>34752</v>
      </c>
      <c r="J10" s="30" t="s">
        <v>188</v>
      </c>
      <c r="K10" s="42">
        <v>33257</v>
      </c>
      <c r="L10" s="131" t="s">
        <v>51</v>
      </c>
      <c r="M10" s="132">
        <f t="shared" si="0"/>
        <v>789.36</v>
      </c>
      <c r="N10" s="133" t="str">
        <f>VLOOKUP(C10,'Trips&amp;Operators'!$C$1:$G$99999,5,FALSE)</f>
        <v>BEAM ROSS</v>
      </c>
      <c r="O10" s="203" t="s">
        <v>180</v>
      </c>
      <c r="P10" s="134" t="s">
        <v>482</v>
      </c>
      <c r="Q10" s="30"/>
      <c r="R10" s="81" t="str">
        <f>VLOOKUP(C10,'Train Runs'!$A$13:$AE$9930,31,0)</f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-07-01T06:57:13-0600',mode:absolute,to:'2017-07-01T09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/stypes="*4017*201707011*"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42917.611921296295</v>
      </c>
      <c r="W10" s="45" t="str">
        <f t="shared" si="4"/>
        <v>EC</v>
      </c>
      <c r="X10" s="22">
        <f t="shared" si="5"/>
        <v>130</v>
      </c>
      <c r="Y10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arrival","project_id":79,"tracker_id":40,"status_id":1,"priority_id":2,"assigned_to_id":23,"start_date":"2017-07-01","description":"","custom_fields":[{"id":1,"name":"Subdivision","value":"EC"},{"id":4,"name":"Milepost","value":"3.3257"},{"id":17,"name":"Train ID","value":"130-01"},{"id":16,"name":"Locomotive ID","value":"4017"},{"id":130,"name":"Impact","value":""},{"id":150,"name":"Time of Event (Mountain Time)","value":"08:41:10"},{"id":151,"name":"Denver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/c/Users/stu/AppData/Local/Temp/OnboardLogs/RTDC4017 --include="*4017*201707011*"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"%USERPROFILE%\AppData\Local\Temp\OnboardLogs"\RTDC4017\*4017*201707011* &gt;&gt; 2017-07-01-SliceDisagreementCheck.txt</v>
      </c>
      <c r="AE10" s="145" t="str">
        <f t="shared" si="9"/>
        <v>start /low /b %USERPROFILE%\Documents\GitHub\eaglep3\Utilities\DownloadLogsFromS3.py --loco 4017 --day 2017-07-01</v>
      </c>
    </row>
    <row r="11" spans="1:32" s="1" customFormat="1" x14ac:dyDescent="0.25">
      <c r="A11" s="31">
        <v>42917.332337962966</v>
      </c>
      <c r="B11" s="30" t="s">
        <v>339</v>
      </c>
      <c r="C11" s="30" t="s">
        <v>643</v>
      </c>
      <c r="D11" s="30" t="s">
        <v>49</v>
      </c>
      <c r="E11" s="30" t="s">
        <v>187</v>
      </c>
      <c r="F11" s="42">
        <v>0</v>
      </c>
      <c r="G11" s="42">
        <v>553</v>
      </c>
      <c r="H11" s="42">
        <v>56357</v>
      </c>
      <c r="I11" s="42">
        <v>58863</v>
      </c>
      <c r="J11" s="30" t="s">
        <v>188</v>
      </c>
      <c r="K11" s="42">
        <v>58118</v>
      </c>
      <c r="L11" s="131" t="s">
        <v>50</v>
      </c>
      <c r="M11" s="132">
        <f t="shared" si="0"/>
        <v>-393.36</v>
      </c>
      <c r="N11" s="133" t="str">
        <f>VLOOKUP(C11,'Trips&amp;Operators'!$C$1:$G$99999,5,FALSE)</f>
        <v>DAVIS WENDY</v>
      </c>
      <c r="O11" s="203" t="s">
        <v>180</v>
      </c>
      <c r="P11" s="134" t="s">
        <v>482</v>
      </c>
      <c r="Q11" s="30"/>
      <c r="R11" s="81" t="str">
        <f>VLOOKUP(C11,'Train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-07-01T06:39:18-0600',mode:absolute,to:'2017-07-01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6" t="str">
        <f t="shared" si="1"/>
        <v>"C:\Program Files (x86)\AstroGrep\AstroGrep.exe" /e /r /s /spath="%USERPROFILE%\AppData\Local\Temp\OnboardLogs" /stypes="*4028*201707011*"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42917.582337962966</v>
      </c>
      <c r="W11" s="45" t="str">
        <f t="shared" si="4"/>
        <v>EC</v>
      </c>
      <c r="X11" s="22">
        <f t="shared" si="5"/>
        <v>133</v>
      </c>
      <c r="Y11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arrival","project_id":79,"tracker_id":40,"status_id":1,"priority_id":2,"assigned_to_id":23,"start_date":"2017-07-01","description":"","custom_fields":[{"id":1,"name":"Subdivision","value":"EC"},{"id":4,"name":"Milepost","value":"5.8118"},{"id":17,"name":"Train ID","value":"133-01"},{"id":16,"name":"Locomotive ID","value":"4028"},{"id":130,"name":"Impact","value":""},{"id":150,"name":"Time of Event (Mountain Time)","value":"07:58:34"},{"id":151,"name":"Denver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/c/Users/stu/AppData/Local/Temp/OnboardLogs/RTDC4028 --include="*4028*201707011*"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"%USERPROFILE%\AppData\Local\Temp\OnboardLogs"\RTDC4028\*4028*201707011* &gt;&gt; 2017-07-01-SliceDisagreementCheck.txt</v>
      </c>
      <c r="AE11" s="145" t="str">
        <f t="shared" si="9"/>
        <v>start /low /b %USERPROFILE%\Documents\GitHub\eaglep3\Utilities\DownloadLogsFromS3.py --loco 4028 --day 2017-07-01</v>
      </c>
    </row>
    <row r="12" spans="1:32" s="1" customFormat="1" x14ac:dyDescent="0.25">
      <c r="A12" s="31">
        <v>42917.515682870369</v>
      </c>
      <c r="B12" s="30" t="s">
        <v>649</v>
      </c>
      <c r="C12" s="30" t="s">
        <v>650</v>
      </c>
      <c r="D12" s="30" t="s">
        <v>49</v>
      </c>
      <c r="E12" s="30" t="s">
        <v>187</v>
      </c>
      <c r="F12" s="42">
        <v>280</v>
      </c>
      <c r="G12" s="42">
        <v>338</v>
      </c>
      <c r="H12" s="42">
        <v>58620</v>
      </c>
      <c r="I12" s="42">
        <v>57780</v>
      </c>
      <c r="J12" s="30" t="s">
        <v>188</v>
      </c>
      <c r="K12" s="42">
        <v>58301</v>
      </c>
      <c r="L12" s="131" t="s">
        <v>51</v>
      </c>
      <c r="M12" s="132">
        <f t="shared" si="0"/>
        <v>-275.08800000000002</v>
      </c>
      <c r="N12" s="133" t="str">
        <f>VLOOKUP(C12,'Trips&amp;Operators'!$C$1:$G$99999,5,FALSE)</f>
        <v>GUZMAN DANNY</v>
      </c>
      <c r="O12" s="203" t="s">
        <v>180</v>
      </c>
      <c r="P12" s="134" t="s">
        <v>482</v>
      </c>
      <c r="Q12" s="30"/>
      <c r="R12" s="81" t="str">
        <f>VLOOKUP(C12,'Train Runs'!$A$13:$AE$9930,31,0)</f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-07-01T10:40:23-0600',mode:absolute,to:'2017-07-01T13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 t="shared" si="1"/>
        <v>"C:\Program Files (x86)\AstroGrep\AstroGrep.exe" /e /r /s /spath="%USERPROFILE%\AppData\Local\Temp\OnboardLogs" /stypes="*4029*201707011*"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4029</v>
      </c>
      <c r="V12" s="31">
        <f t="shared" si="3"/>
        <v>42917.765682870369</v>
      </c>
      <c r="W12" s="45" t="str">
        <f t="shared" si="4"/>
        <v>EC</v>
      </c>
      <c r="X12" s="22">
        <f t="shared" si="5"/>
        <v>160</v>
      </c>
      <c r="Y12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arrival","project_id":79,"tracker_id":40,"status_id":1,"priority_id":2,"assigned_to_id":23,"start_date":"2017-07-01","description":"","custom_fields":[{"id":1,"name":"Subdivision","value":"EC"},{"id":4,"name":"Milepost","value":"5.8301"},{"id":17,"name":"Train ID","value":"160-01"},{"id":16,"name":"Locomotive ID","value":"4029"},{"id":130,"name":"Impact","value":""},{"id":150,"name":"Time of Event (Mountain Time)","value":"12:22:35"},{"id":151,"name":"Denver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/c/Users/stu/AppData/Local/Temp/OnboardLogs/RTDC4029 --include="*4029*201707011*"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"%USERPROFILE%\AppData\Local\Temp\OnboardLogs"\RTDC4029\*4029*201707011* &gt;&gt; 2017-07-01-SliceDisagreementCheck.txt</v>
      </c>
      <c r="AE12" s="145" t="str">
        <f t="shared" si="9"/>
        <v>start /low /b %USERPROFILE%\Documents\GitHub\eaglep3\Utilities\DownloadLogsFromS3.py --loco 4029 --day 2017-07-01</v>
      </c>
    </row>
    <row r="13" spans="1:32" s="1" customFormat="1" x14ac:dyDescent="0.25">
      <c r="A13" s="31">
        <v>42918.011064814818</v>
      </c>
      <c r="B13" s="30" t="s">
        <v>339</v>
      </c>
      <c r="C13" s="30" t="s">
        <v>671</v>
      </c>
      <c r="D13" s="30" t="s">
        <v>49</v>
      </c>
      <c r="E13" s="30" t="s">
        <v>187</v>
      </c>
      <c r="F13" s="42">
        <v>410</v>
      </c>
      <c r="G13" s="42">
        <v>497</v>
      </c>
      <c r="H13" s="42">
        <v>62164</v>
      </c>
      <c r="I13" s="42">
        <v>76460</v>
      </c>
      <c r="J13" s="30" t="s">
        <v>188</v>
      </c>
      <c r="K13" s="42">
        <v>63069</v>
      </c>
      <c r="L13" s="131" t="s">
        <v>50</v>
      </c>
      <c r="M13" s="132">
        <f t="shared" si="0"/>
        <v>-7070.4480000000003</v>
      </c>
      <c r="N13" s="133" t="str">
        <f>VLOOKUP(C13,'Trips&amp;Operators'!$C$1:$G$99999,5,FALSE)</f>
        <v>PERKINS DARREN</v>
      </c>
      <c r="O13" s="203" t="s">
        <v>180</v>
      </c>
      <c r="P13" s="134" t="s">
        <v>482</v>
      </c>
      <c r="Q13" s="30"/>
      <c r="R13" s="81" t="str">
        <f>VLOOKUP(C13,'Train Runs'!$A$13:$AE$9930,31,0)</f>
        <v>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 &amp; 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-07-01T22:44:32-0600',mode:absolute,to:'2017-07-02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86" t="str">
        <f t="shared" si="1"/>
        <v>"C:\Program Files (x86)\AstroGrep\AstroGrep.exe" /e /r /s /spath="%USERPROFILE%\AppData\Local\Temp\OnboardLogs" /stypes="*4028*201707020*" /stext=" 06:.+((SYSTEM_STATE.+slice.+state.+changed )|(ment ac)|(multiple cpu faults)|(system.+state.+changed )|(\[timeout)|(PRM\|1\|D)|(kpr)|(kdp)|(train st.+moving)|(\|lc)|(penalty))"</v>
      </c>
      <c r="U13" s="9" t="str">
        <f t="shared" si="2"/>
        <v>4028</v>
      </c>
      <c r="V13" s="31">
        <f t="shared" si="3"/>
        <v>42918.261064814818</v>
      </c>
      <c r="W13" s="45" t="str">
        <f t="shared" si="4"/>
        <v>EC</v>
      </c>
      <c r="X13" s="22">
        <f t="shared" si="5"/>
        <v>241</v>
      </c>
      <c r="Y13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arrival","project_id":79,"tracker_id":40,"status_id":1,"priority_id":2,"assigned_to_id":23,"start_date":"2017-07-02","description":"","custom_fields":[{"id":1,"name":"Subdivision","value":"EC"},{"id":4,"name":"Milepost","value":"6.3069"},{"id":17,"name":"Train ID","value":"241-01"},{"id":16,"name":"Locomotive ID","value":"4028"},{"id":130,"name":"Impact","value":""},{"id":150,"name":"Time of Event (Mountain Time)","value":"00:15:56"},{"id":151,"name":"Denver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/c/Users/stu/AppData/Local/Temp/OnboardLogs/RTDC4028 --include="*4028*201707020*"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"%USERPROFILE%\AppData\Local\Temp\OnboardLogs"\RTDC4028\*4028*201707020* &gt;&gt; 2017-07-01-SliceDisagreementCheck.txt</v>
      </c>
      <c r="AE13" s="145" t="str">
        <f t="shared" si="9"/>
        <v>start /low /b %USERPROFILE%\Documents\GitHub\eaglep3\Utilities\DownloadLogsFromS3.py --loco 4028 --day 2017-07-02</v>
      </c>
    </row>
    <row r="14" spans="1:32" x14ac:dyDescent="0.25">
      <c r="A14" s="31">
        <v>42917.973194444443</v>
      </c>
      <c r="B14" s="30" t="s">
        <v>397</v>
      </c>
      <c r="C14" s="30" t="s">
        <v>669</v>
      </c>
      <c r="D14" s="30" t="s">
        <v>49</v>
      </c>
      <c r="E14" s="30" t="s">
        <v>187</v>
      </c>
      <c r="F14" s="42">
        <v>0</v>
      </c>
      <c r="G14" s="42">
        <v>778</v>
      </c>
      <c r="H14" s="42">
        <v>108129</v>
      </c>
      <c r="I14" s="42">
        <v>111821</v>
      </c>
      <c r="J14" s="30" t="s">
        <v>188</v>
      </c>
      <c r="K14" s="42">
        <v>108954</v>
      </c>
      <c r="L14" s="131" t="s">
        <v>50</v>
      </c>
      <c r="M14" s="132">
        <f t="shared" si="0"/>
        <v>-1513.7760000000001</v>
      </c>
      <c r="N14" s="133" t="str">
        <f>VLOOKUP(C14,'Trips&amp;Operators'!$C$1:$G$99999,5,FALSE)</f>
        <v>LAMAR NEKESHA</v>
      </c>
      <c r="O14" s="203" t="s">
        <v>180</v>
      </c>
      <c r="P14" s="134" t="s">
        <v>482</v>
      </c>
      <c r="Q14" s="30"/>
      <c r="R14" s="81" t="str">
        <f>VLOOKUP(C14,'Train Runs'!$A$13:$AE$9930,31,0)</f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-07-01T21:55:18-0600',mode:absolute,to:'2017-07-02T00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6" t="str">
        <f t="shared" si="1"/>
        <v>"C:\Program Files (x86)\AstroGrep\AstroGrep.exe" /e /r /s /spath="%USERPROFILE%\AppData\Local\Temp\OnboardLogs" /stypes="*4008*201707020*"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4008</v>
      </c>
      <c r="V14" s="31">
        <f t="shared" si="3"/>
        <v>42918.223194444443</v>
      </c>
      <c r="W14" s="45" t="str">
        <f t="shared" si="4"/>
        <v>EC</v>
      </c>
      <c r="X14" s="22">
        <f t="shared" si="5"/>
        <v>237</v>
      </c>
      <c r="Y14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arrival","project_id":79,"tracker_id":40,"status_id":1,"priority_id":2,"assigned_to_id":23,"start_date":"2017-07-01","description":"","custom_fields":[{"id":1,"name":"Subdivision","value":"EC"},{"id":4,"name":"Milepost","value":"10.8954"},{"id":17,"name":"Train ID","value":"237-01"},{"id":16,"name":"Locomotive ID","value":"4008"},{"id":130,"name":"Impact","value":""},{"id":150,"name":"Time of Event (Mountain Time)","value":"23:21:24"},{"id":151,"name":"Denver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/c/Users/stu/AppData/Local/Temp/OnboardLogs/RTDC4008 --include="*4008*201707020*"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"%USERPROFILE%\AppData\Local\Temp\OnboardLogs"\RTDC4008\*4008*201707020* &gt;&gt; 2017-07-01-SliceDisagreementCheck.txt</v>
      </c>
      <c r="AE14" s="145" t="str">
        <f t="shared" si="9"/>
        <v>start /low /b %USERPROFILE%\Documents\GitHub\eaglep3\Utilities\DownloadLogsFromS3.py --loco 4008 --day 2017-07-02</v>
      </c>
      <c r="AF14" s="1"/>
    </row>
    <row r="15" spans="1:32" x14ac:dyDescent="0.25">
      <c r="A15" s="31">
        <v>42917.460462962961</v>
      </c>
      <c r="B15" s="30" t="s">
        <v>646</v>
      </c>
      <c r="C15" s="30" t="s">
        <v>647</v>
      </c>
      <c r="D15" s="30" t="s">
        <v>96</v>
      </c>
      <c r="E15" s="30" t="s">
        <v>200</v>
      </c>
      <c r="F15" s="42">
        <v>200</v>
      </c>
      <c r="G15" s="42">
        <v>259</v>
      </c>
      <c r="H15" s="42">
        <v>5425</v>
      </c>
      <c r="I15" s="42">
        <v>6082</v>
      </c>
      <c r="J15" s="30" t="s">
        <v>201</v>
      </c>
      <c r="K15" s="42">
        <v>4677</v>
      </c>
      <c r="L15" s="131" t="s">
        <v>50</v>
      </c>
      <c r="M15" s="132">
        <f t="shared" si="0"/>
        <v>-741.84</v>
      </c>
      <c r="N15" s="133" t="str">
        <f>VLOOKUP(C15,'Trips&amp;Operators'!$C$1:$G$99999,5,FALSE)</f>
        <v>GUZMAN DANNY</v>
      </c>
      <c r="O15" s="203" t="s">
        <v>180</v>
      </c>
      <c r="P15" s="134"/>
      <c r="Q15" s="30"/>
      <c r="R15" s="81" t="str">
        <f>VLOOKUP(C15,'Train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-07-01T09:52:56-0600',mode:absolute,to:'2017-07-01T12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5" s="86" t="str">
        <f t="shared" si="1"/>
        <v>"C:\Program Files (x86)\AstroGrep\AstroGrep.exe" /e /r /s /spath="%USERPROFILE%\AppData\Local\Temp\OnboardLogs" /stypes="*4030*201707011*"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4030</v>
      </c>
      <c r="V15" s="31">
        <f t="shared" si="3"/>
        <v>42917.710462962961</v>
      </c>
      <c r="W15" s="45" t="str">
        <f t="shared" si="4"/>
        <v>EC</v>
      </c>
      <c r="X15" s="22">
        <f t="shared" si="5"/>
        <v>159</v>
      </c>
      <c r="Y15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{"issue":{"subject":"","project_id":79,"tracker_id":40,"status_id":1,"priority_id":2,"assigned_to_id":23,"start_date":"2017-07-01","description":"","custom_fields":[{"id":1,"name":"Subdivision","value":"EC"},{"id":4,"name":"Milepost","value":"0.4677"},{"id":17,"name":"Train ID","value":"159-01"},{"id":16,"name":"Locomotive ID","value":"4030"},{"id":130,"name":"Impact","value":""},{"id":150,"name":"Time of Event (Mountain Time)","value":"11:03:04"},{"id":151,"name":"Denver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/c/Users/stu/AppData/Local/Temp/OnboardLogs/RTDC4030 --include="*4030*201707011*"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"%USERPROFILE%\AppData\Local\Temp\OnboardLogs"\RTDC4030\*4030*201707011* &gt;&gt; 2017-07-01-SliceDisagreementCheck.txt</v>
      </c>
      <c r="AE15" s="145" t="str">
        <f t="shared" si="9"/>
        <v>start /low /b %USERPROFILE%\Documents\GitHub\eaglep3\Utilities\DownloadLogsFromS3.py --loco 4030 --day 2017-07-01</v>
      </c>
      <c r="AF15" s="1"/>
    </row>
    <row r="16" spans="1:32" x14ac:dyDescent="0.25">
      <c r="A16" s="31">
        <v>42917.634236111109</v>
      </c>
      <c r="B16" s="30" t="s">
        <v>483</v>
      </c>
      <c r="C16" s="30" t="s">
        <v>658</v>
      </c>
      <c r="D16" s="30" t="s">
        <v>49</v>
      </c>
      <c r="E16" s="30" t="s">
        <v>200</v>
      </c>
      <c r="F16" s="42">
        <v>300</v>
      </c>
      <c r="G16" s="42">
        <v>509</v>
      </c>
      <c r="H16" s="42">
        <v>24639</v>
      </c>
      <c r="I16" s="42">
        <v>23160</v>
      </c>
      <c r="J16" s="30" t="s">
        <v>201</v>
      </c>
      <c r="K16" s="42">
        <v>21848</v>
      </c>
      <c r="L16" s="131" t="s">
        <v>51</v>
      </c>
      <c r="M16" s="132">
        <f t="shared" si="0"/>
        <v>692.7360000000001</v>
      </c>
      <c r="N16" s="133" t="str">
        <f>VLOOKUP(C16,'Trips&amp;Operators'!$C$1:$G$99999,5,FALSE)</f>
        <v>NEWELL JAMES</v>
      </c>
      <c r="O16" s="203" t="s">
        <v>180</v>
      </c>
      <c r="P16" s="134"/>
      <c r="Q16" s="30"/>
      <c r="R16" s="81" t="str">
        <f>VLOOKUP(C16,'Train Runs'!$A$13:$AE$9930,31,0)</f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-07-01T13:25:37-0600',mode:absolute,to:'2017-07-01T16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6" t="str">
        <f t="shared" si="1"/>
        <v>"C:\Program Files (x86)\AstroGrep\AstroGrep.exe" /e /r /s /spath="%USERPROFILE%\AppData\Local\Temp\OnboardLogs" /stypes="*4007*201707012*"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4007</v>
      </c>
      <c r="V16" s="31">
        <f t="shared" si="3"/>
        <v>42917.884236111109</v>
      </c>
      <c r="W16" s="45" t="str">
        <f t="shared" si="4"/>
        <v>EC</v>
      </c>
      <c r="X16" s="22">
        <f t="shared" si="5"/>
        <v>182</v>
      </c>
      <c r="Y16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{"issue":{"subject":"","project_id":79,"tracker_id":40,"status_id":1,"priority_id":2,"assigned_to_id":23,"start_date":"2017-07-01","description":"","custom_fields":[{"id":1,"name":"Subdivision","value":"EC"},{"id":4,"name":"Milepost","value":"2.1848"},{"id":17,"name":"Train ID","value":"182-01"},{"id":16,"name":"Locomotive ID","value":"4007"},{"id":130,"name":"Impact","value":""},{"id":150,"name":"Time of Event (Mountain Time)","value":"15:13:18"},{"id":151,"name":"Denver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/c/Users/stu/AppData/Local/Temp/OnboardLogs/RTDC4007 --include="*4007*201707012*"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"%USERPROFILE%\AppData\Local\Temp\OnboardLogs"\RTDC4007\*4007*201707012* &gt;&gt; 2017-07-01-SliceDisagreementCheck.txt</v>
      </c>
      <c r="AE16" s="145" t="str">
        <f t="shared" si="9"/>
        <v>start /low /b %USERPROFILE%\Documents\GitHub\eaglep3\Utilities\DownloadLogsFromS3.py --loco 4007 --day 2017-07-01</v>
      </c>
      <c r="AF16" s="1"/>
    </row>
    <row r="17" spans="1:32" x14ac:dyDescent="0.25">
      <c r="A17" s="31">
        <v>42917.816168981481</v>
      </c>
      <c r="B17" s="30" t="s">
        <v>368</v>
      </c>
      <c r="C17" s="30" t="s">
        <v>667</v>
      </c>
      <c r="D17" s="30" t="s">
        <v>96</v>
      </c>
      <c r="E17" s="30" t="s">
        <v>200</v>
      </c>
      <c r="F17" s="42">
        <v>700</v>
      </c>
      <c r="G17" s="42">
        <v>750</v>
      </c>
      <c r="H17" s="42">
        <v>180392</v>
      </c>
      <c r="I17" s="42">
        <v>176764</v>
      </c>
      <c r="J17" s="30" t="s">
        <v>201</v>
      </c>
      <c r="K17" s="42">
        <v>183829</v>
      </c>
      <c r="L17" s="131" t="s">
        <v>51</v>
      </c>
      <c r="M17" s="132">
        <f t="shared" si="0"/>
        <v>-3730.32</v>
      </c>
      <c r="N17" s="133" t="str">
        <f>VLOOKUP(C17,'Trips&amp;Operators'!$C$1:$G$99999,5,FALSE)</f>
        <v>FORTUNATO FRANK</v>
      </c>
      <c r="O17" s="203" t="s">
        <v>180</v>
      </c>
      <c r="P17" s="134"/>
      <c r="Q17" s="30"/>
      <c r="R17" s="81" t="str">
        <f>VLOOKUP(C17,'Train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-07-01T18:13:19-0600',mode:absolute,to:'2017-07-01T21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86" t="str">
        <f t="shared" si="1"/>
        <v>"C:\Program Files (x86)\AstroGrep\AstroGrep.exe" /e /r /s /spath="%USERPROFILE%\AppData\Local\Temp\OnboardLogs" /stypes="*4013*201707020*"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4013</v>
      </c>
      <c r="V17" s="31">
        <f t="shared" si="3"/>
        <v>42918.066168981481</v>
      </c>
      <c r="W17" s="45" t="str">
        <f t="shared" si="4"/>
        <v>EC</v>
      </c>
      <c r="X17" s="22">
        <f t="shared" si="5"/>
        <v>220</v>
      </c>
      <c r="Y17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{"issue":{"subject":"","project_id":79,"tracker_id":40,"status_id":1,"priority_id":2,"assigned_to_id":23,"start_date":"2017-07-01","description":"","custom_fields":[{"id":1,"name":"Subdivision","value":"EC"},{"id":4,"name":"Milepost","value":"18.3829"},{"id":17,"name":"Train ID","value":"220-01"},{"id":16,"name":"Locomotive ID","value":"4013"},{"id":130,"name":"Impact","value":""},{"id":150,"name":"Time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/c/Users/stu/AppData/Local/Temp/OnboardLogs/RTDC4013 --include="*4013*201707020*"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"%USERPROFILE%\AppData\Local\Temp\OnboardLogs"\RTDC4013\*4013*201707020* &gt;&gt; 2017-07-01-SliceDisagreementCheck.txt</v>
      </c>
      <c r="AE17" s="145" t="str">
        <f t="shared" si="9"/>
        <v>start /low /b %USERPROFILE%\Documents\GitHub\eaglep3\Utilities\DownloadLogsFromS3.py --loco 4013 --day 2017-07-02</v>
      </c>
      <c r="AF17" s="1"/>
    </row>
    <row r="18" spans="1:32" x14ac:dyDescent="0.25">
      <c r="A18" s="31">
        <v>42917.555671296293</v>
      </c>
      <c r="B18" s="30" t="s">
        <v>646</v>
      </c>
      <c r="C18" s="30" t="s">
        <v>655</v>
      </c>
      <c r="D18" s="30" t="s">
        <v>49</v>
      </c>
      <c r="E18" s="30" t="s">
        <v>200</v>
      </c>
      <c r="F18" s="42">
        <v>150</v>
      </c>
      <c r="G18" s="42">
        <v>394</v>
      </c>
      <c r="H18" s="42">
        <v>229357</v>
      </c>
      <c r="I18" s="42">
        <v>230485</v>
      </c>
      <c r="J18" s="30" t="s">
        <v>201</v>
      </c>
      <c r="K18" s="42">
        <v>232080</v>
      </c>
      <c r="L18" s="131" t="s">
        <v>50</v>
      </c>
      <c r="M18" s="132">
        <f t="shared" si="0"/>
        <v>842.16</v>
      </c>
      <c r="N18" s="133" t="str">
        <f>VLOOKUP(C18,'Trips&amp;Operators'!$C$1:$G$99999,5,FALSE)</f>
        <v>HOLCOMB KAMDEN</v>
      </c>
      <c r="O18" s="203" t="s">
        <v>180</v>
      </c>
      <c r="P18" s="134"/>
      <c r="Q18" s="30"/>
      <c r="R18" s="81" t="str">
        <f>VLOOKUP(C18,'Train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-07-01T11:40:31-0600',mode:absolute,to:'2017-07-01T14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8" s="86" t="str">
        <f t="shared" si="1"/>
        <v>"C:\Program Files (x86)\AstroGrep\AstroGrep.exe" /e /r /s /spath="%USERPROFILE%\AppData\Local\Temp\OnboardLogs" /stypes="*4030*201707011*"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4030</v>
      </c>
      <c r="V18" s="31">
        <f t="shared" si="3"/>
        <v>42917.805671296293</v>
      </c>
      <c r="W18" s="45" t="str">
        <f t="shared" si="4"/>
        <v>EC</v>
      </c>
      <c r="X18" s="22">
        <f t="shared" si="5"/>
        <v>173</v>
      </c>
      <c r="Y18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{"issue":{"subject":"","project_id":79,"tracker_id":40,"status_id":1,"priority_id":2,"assigned_to_id":23,"start_date":"2017-07-01","description":"","custom_fields":[{"id":1,"name":"Subdivision","value":"EC"},{"id":4,"name":"Milepost","value":"23.208"},{"id":17,"name":"Train ID","value":"173-01"},{"id":16,"name":"Locomotive ID","value":"4030"},{"id":130,"name":"Impact","value":""},{"id":150,"name":"Time of Event (Mountain Time)","value":"13:20:10"},{"id":151,"name":"Denver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/c/Users/stu/AppData/Local/Temp/OnboardLogs/RTDC4030 --include="*4030*201707011*"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"%USERPROFILE%\AppData\Local\Temp\OnboardLogs"\RTDC4030\*4030*201707011* &gt;&gt; 2017-07-01-SliceDisagreementCheck.txt</v>
      </c>
      <c r="AE18" s="145" t="str">
        <f t="shared" si="9"/>
        <v>start /low /b %USERPROFILE%\Documents\GitHub\eaglep3\Utilities\DownloadLogsFromS3.py --loco 4030 --day 2017-07-01</v>
      </c>
      <c r="AF18" s="1"/>
    </row>
    <row r="19" spans="1:32" x14ac:dyDescent="0.25">
      <c r="A19" s="31">
        <v>42917.774340277778</v>
      </c>
      <c r="B19" s="30" t="s">
        <v>646</v>
      </c>
      <c r="C19" s="30" t="s">
        <v>665</v>
      </c>
      <c r="D19" s="30" t="s">
        <v>49</v>
      </c>
      <c r="E19" s="30" t="s">
        <v>200</v>
      </c>
      <c r="F19" s="42">
        <v>150</v>
      </c>
      <c r="G19" s="42">
        <v>381</v>
      </c>
      <c r="H19" s="42">
        <v>229076</v>
      </c>
      <c r="I19" s="42">
        <v>229981</v>
      </c>
      <c r="J19" s="30" t="s">
        <v>201</v>
      </c>
      <c r="K19" s="42">
        <v>232107</v>
      </c>
      <c r="L19" s="131" t="s">
        <v>50</v>
      </c>
      <c r="M19" s="132">
        <f t="shared" si="0"/>
        <v>1122.528</v>
      </c>
      <c r="N19" s="133" t="str">
        <f>VLOOKUP(C19,'Trips&amp;Operators'!$C$1:$G$99999,5,FALSE)</f>
        <v>HOLCOMB KAMDEN</v>
      </c>
      <c r="O19" s="203" t="s">
        <v>180</v>
      </c>
      <c r="P19" s="134"/>
      <c r="Q19" s="30"/>
      <c r="R19" s="81" t="str">
        <f>VLOOKUP(C19,'Train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-07-01T16:55:44-0600',mode:absolute,to:'2017-07-01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86" t="str">
        <f t="shared" si="1"/>
        <v>"C:\Program Files (x86)\AstroGrep\AstroGrep.exe" /e /r /s /spath="%USERPROFILE%\AppData\Local\Temp\OnboardLogs" /stypes="*4030*201707020*"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4030</v>
      </c>
      <c r="V19" s="31">
        <f t="shared" si="3"/>
        <v>42918.024340277778</v>
      </c>
      <c r="W19" s="45" t="str">
        <f t="shared" si="4"/>
        <v>EC</v>
      </c>
      <c r="X19" s="22">
        <f t="shared" si="5"/>
        <v>215</v>
      </c>
      <c r="Y19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{"issue":{"subject":"","project_id":79,"tracker_id":40,"status_id":1,"priority_id":2,"assigned_to_id":23,"start_date":"2017-07-01","description":"","custom_fields":[{"id":1,"name":"Subdivision","value":"EC"},{"id":4,"name":"Milepost","value":"23.2107"},{"id":17,"name":"Train ID","value":"215-01"},{"id":16,"name":"Locomotive ID","value":"4030"},{"id":130,"name":"Impact","value":""},{"id":150,"name":"Time of Event (Mountain Time)","value":"18:35:03"},{"id":151,"name":"Denver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/c/Users/stu/AppData/Local/Temp/OnboardLogs/RTDC4030 --include="*4030*201707020*"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"%USERPROFILE%\AppData\Local\Temp\OnboardLogs"\RTDC4030\*4030*201707020* &gt;&gt; 2017-07-01-SliceDisagreementCheck.txt</v>
      </c>
      <c r="AE19" s="145" t="str">
        <f t="shared" si="9"/>
        <v>start /low /b %USERPROFILE%\Documents\GitHub\eaglep3\Utilities\DownloadLogsFromS3.py --loco 4030 --day 2017-07-02</v>
      </c>
      <c r="AF19" s="1"/>
    </row>
    <row r="20" spans="1:32" x14ac:dyDescent="0.25">
      <c r="A20" s="31">
        <v>42917.978113425925</v>
      </c>
      <c r="B20" s="30" t="s">
        <v>368</v>
      </c>
      <c r="C20" s="30" t="s">
        <v>670</v>
      </c>
      <c r="D20" s="30" t="s">
        <v>96</v>
      </c>
      <c r="E20" s="30" t="s">
        <v>200</v>
      </c>
      <c r="F20" s="42">
        <v>350</v>
      </c>
      <c r="G20" s="42">
        <v>409</v>
      </c>
      <c r="H20" s="42">
        <v>229790</v>
      </c>
      <c r="I20" s="42">
        <v>228750</v>
      </c>
      <c r="J20" s="30" t="s">
        <v>201</v>
      </c>
      <c r="K20" s="42">
        <v>232107</v>
      </c>
      <c r="L20" s="131" t="s">
        <v>51</v>
      </c>
      <c r="M20" s="132">
        <f t="shared" si="0"/>
        <v>-1772.4960000000001</v>
      </c>
      <c r="N20" s="133" t="str">
        <f>VLOOKUP(C20,'Trips&amp;Operators'!$C$1:$G$99999,5,FALSE)</f>
        <v>FORTUNATO FRANK</v>
      </c>
      <c r="O20" s="203" t="s">
        <v>180</v>
      </c>
      <c r="P20" s="134"/>
      <c r="Q20" s="30"/>
      <c r="R20" s="81" t="str">
        <f>VLOOKUP(C20,'Train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-07-01T22:09:13-0600',mode:absolute,to:'2017-07-02T01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6" t="str">
        <f t="shared" si="1"/>
        <v>"C:\Program Files (x86)\AstroGrep\AstroGrep.exe" /e /r /s /spath="%USERPROFILE%\AppData\Local\Temp\OnboardLogs" /stypes="*4013*201707020*" /stext=" 05:.+((SYSTEM_STATE.+slice.+state.+changed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42918.228113425925</v>
      </c>
      <c r="W20" s="45" t="str">
        <f t="shared" si="4"/>
        <v>EC</v>
      </c>
      <c r="X20" s="22">
        <f t="shared" si="5"/>
        <v>236</v>
      </c>
      <c r="Y20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{"issue":{"subject":"","project_id":79,"tracker_id":40,"status_id":1,"priority_id":2,"assigned_to_id":23,"start_date":"2017-07-01","description":"","custom_fields":[{"id":1,"name":"Subdivision","value":"EC"},{"id":4,"name":"Milepost","value":"23.2107"},{"id":17,"name":"Train ID","value":"236-01"},{"id":16,"name":"Locomotive ID","value":"4013"},{"id":130,"name":"Impact","value":""},{"id":150,"name":"Time of Event (Mountain Time)","value":"23:28:29"},{"id":151,"name":"Denver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/c/Users/stu/AppData/Local/Temp/OnboardLogs/RTDC4013 --include="*4013*201707020*"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"%USERPROFILE%\AppData\Local\Temp\OnboardLogs"\RTDC4013\*4013*201707020* &gt;&gt; 2017-07-01-SliceDisagreementCheck.txt</v>
      </c>
      <c r="AE20" s="145" t="str">
        <f t="shared" si="9"/>
        <v>start /low /b %USERPROFILE%\Documents\GitHub\eaglep3\Utilities\DownloadLogsFromS3.py --loco 4013 --day 2017-07-02</v>
      </c>
      <c r="AF20" s="1"/>
    </row>
    <row r="21" spans="1:32" x14ac:dyDescent="0.25">
      <c r="A21" s="31">
        <v>42917.500081018516</v>
      </c>
      <c r="B21" s="30" t="s">
        <v>641</v>
      </c>
      <c r="C21" s="30" t="s">
        <v>648</v>
      </c>
      <c r="D21" s="30" t="s">
        <v>49</v>
      </c>
      <c r="E21" s="30" t="s">
        <v>361</v>
      </c>
      <c r="F21" s="42">
        <v>0</v>
      </c>
      <c r="G21" s="42">
        <v>280</v>
      </c>
      <c r="H21" s="42">
        <v>22124</v>
      </c>
      <c r="I21" s="42">
        <v>21512</v>
      </c>
      <c r="J21" s="30" t="s">
        <v>362</v>
      </c>
      <c r="K21" s="42">
        <v>20632</v>
      </c>
      <c r="L21" s="131" t="s">
        <v>51</v>
      </c>
      <c r="M21" s="132">
        <f t="shared" si="0"/>
        <v>464.64</v>
      </c>
      <c r="N21" s="133" t="str">
        <f>VLOOKUP(C21,'Trips&amp;Operators'!$C$1:$G$99999,5,FALSE)</f>
        <v>DAVIDSON DAVID</v>
      </c>
      <c r="O21" s="203" t="s">
        <v>408</v>
      </c>
      <c r="P21" s="134" t="s">
        <v>1037</v>
      </c>
      <c r="Q21" s="30"/>
      <c r="R21" s="81" t="str">
        <f>VLOOKUP(C21,'Train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-07-01T11:02:31-0600',mode:absolute,to:'2017-07-01T13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/stypes="*4055*201707011*"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42917.750081018516</v>
      </c>
      <c r="W21" s="45" t="str">
        <f t="shared" si="4"/>
        <v>EC</v>
      </c>
      <c r="X21" s="22">
        <f t="shared" si="5"/>
        <v>156</v>
      </c>
      <c r="Y21" s="96" t="str">
        <f t="shared" si="6"/>
        <v>echo {"issue":{"subject":"Minor onboard in-route failure caused comm outage","project_id":79,"tracker_id":40,"status_id":1,"priority_id":2,"assigned_to_id":23,"start_date":"2017-07-01","description":"","custom_fields":[{"id":1,"name":"Subdivision","value":"EC"},{"id":4,"name":"Milepost","value":"2.0632"},{"id":17,"name":"Train ID","value":"156-01"},{"id":16,"name":"Locomotive ID","value":"4055"},{"id":130,"name":"Impact","value":""},{"id":150,"name":"Time of Event (Mountain Time)","value":"12:00:07"},{"id":151,"name":"Denver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/c/Users/stu/AppData/Local/Temp/OnboardLogs/RTDC4055 --include="*4055*201707011*"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1" s="145" t="str">
        <f t="shared" si="9"/>
        <v>start /low /b %USERPROFILE%\Documents\GitHub\eaglep3\Utilities\DownloadLogsFromS3.py --loco 4055 --day 2017-07-01</v>
      </c>
      <c r="AF21" s="1"/>
    </row>
    <row r="22" spans="1:32" x14ac:dyDescent="0.25">
      <c r="A22" s="31">
        <v>42917.502870370372</v>
      </c>
      <c r="B22" s="30" t="s">
        <v>641</v>
      </c>
      <c r="C22" s="30" t="s">
        <v>648</v>
      </c>
      <c r="D22" s="30" t="s">
        <v>96</v>
      </c>
      <c r="E22" s="30" t="s">
        <v>361</v>
      </c>
      <c r="F22" s="42">
        <v>200</v>
      </c>
      <c r="G22" s="42">
        <v>251</v>
      </c>
      <c r="H22" s="42">
        <v>18260</v>
      </c>
      <c r="I22" s="42">
        <v>18008</v>
      </c>
      <c r="J22" s="30" t="s">
        <v>362</v>
      </c>
      <c r="K22" s="42">
        <v>20632</v>
      </c>
      <c r="L22" s="131" t="s">
        <v>51</v>
      </c>
      <c r="M22" s="132">
        <f t="shared" si="0"/>
        <v>-1385.4720000000002</v>
      </c>
      <c r="N22" s="133" t="str">
        <f>VLOOKUP(C22,'Trips&amp;Operators'!$C$1:$G$99999,5,FALSE)</f>
        <v>DAVIDSON DAVID</v>
      </c>
      <c r="O22" s="203" t="s">
        <v>180</v>
      </c>
      <c r="P22" s="134" t="s">
        <v>1038</v>
      </c>
      <c r="Q22" s="30"/>
      <c r="R22" s="81" t="str">
        <f>VLOOKUP(C22,'Train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-07-01T11:02:31-0600',mode:absolute,to:'2017-07-01T13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2" s="86" t="str">
        <f t="shared" si="1"/>
        <v>"C:\Program Files (x86)\AstroGrep\AstroGrep.exe" /e /r /s /spath="%USERPROFILE%\AppData\Local\Temp\OnboardLogs" /stypes="*4055*201707011*"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4055</v>
      </c>
      <c r="V22" s="31">
        <f t="shared" si="3"/>
        <v>42917.752870370372</v>
      </c>
      <c r="W22" s="45" t="str">
        <f t="shared" si="4"/>
        <v>EC</v>
      </c>
      <c r="X22" s="22">
        <f t="shared" si="5"/>
        <v>156</v>
      </c>
      <c r="Y22" s="96" t="str">
        <f t="shared" si="6"/>
        <v>echo {"issue":{"subject":"Overspeed","project_id":79,"tracker_id":40,"status_id":1,"priority_id":2,"assigned_to_id":23,"start_date":"2017-07-01","description":"","custom_fields":[{"id":1,"name":"Subdivision","value":"EC"},{"id":4,"name":"Milepost","value":"2.0632"},{"id":17,"name":"Train ID","value":"156-01"},{"id":16,"name":"Locomotive ID","value":"4055"},{"id":130,"name":"Impact","value":""},{"id":150,"name":"Time of Event (Mountain Time)","value":"12:04:08"},{"id":151,"name":"Denver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/c/Users/stu/AppData/Local/Temp/OnboardLogs/RTDC4055 --include="*4055*201707011*"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2" s="145" t="str">
        <f t="shared" si="9"/>
        <v>start /low /b %USERPROFILE%\Documents\GitHub\eaglep3\Utilities\DownloadLogsFromS3.py --loco 4055 --day 2017-07-01</v>
      </c>
      <c r="AF22" s="1"/>
    </row>
    <row r="23" spans="1:32" x14ac:dyDescent="0.25">
      <c r="A23" s="31">
        <v>42917.195439814815</v>
      </c>
      <c r="B23" s="30" t="s">
        <v>339</v>
      </c>
      <c r="C23" s="30" t="s">
        <v>634</v>
      </c>
      <c r="D23" s="30" t="s">
        <v>49</v>
      </c>
      <c r="E23" s="30" t="s">
        <v>361</v>
      </c>
      <c r="F23" s="42">
        <v>0</v>
      </c>
      <c r="G23" s="42">
        <v>401</v>
      </c>
      <c r="H23" s="42">
        <v>149516</v>
      </c>
      <c r="I23" s="42">
        <v>151562</v>
      </c>
      <c r="J23" s="30" t="s">
        <v>362</v>
      </c>
      <c r="K23" s="42">
        <v>149694</v>
      </c>
      <c r="L23" s="131" t="s">
        <v>50</v>
      </c>
      <c r="M23" s="132">
        <f t="shared" si="0"/>
        <v>-986.30399999999997</v>
      </c>
      <c r="N23" s="133" t="str">
        <f>VLOOKUP(C23,'Trips&amp;Operators'!$C$1:$G$99999,5,FALSE)</f>
        <v>DAVIS WENDY</v>
      </c>
      <c r="O23" s="203" t="s">
        <v>408</v>
      </c>
      <c r="P23" s="134" t="s">
        <v>1035</v>
      </c>
      <c r="Q23" s="30"/>
      <c r="R23" s="81" t="str">
        <f>VLOOKUP(C23,'Train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-07-01T03:05:13-0600',mode:absolute,to:'2017-07-01T05:41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86" t="str">
        <f t="shared" si="1"/>
        <v>"C:\Program Files (x86)\AstroGrep\AstroGrep.exe" /e /r /s /spath="%USERPROFILE%\AppData\Local\Temp\OnboardLogs" /stypes="*4028*201707011*" /stext=" 10:.+((SYSTEM_STATE.+slice.+state.+changed )|(ment ac)|(multiple cpu faults)|(system.+state.+changed )|(\[timeout)|(PRM\|1\|D)|(kpr)|(kdp)|(train st.+moving)|(\|lc)|(penalty))"</v>
      </c>
      <c r="U23" s="9" t="str">
        <f t="shared" si="2"/>
        <v>4028</v>
      </c>
      <c r="V23" s="31">
        <f t="shared" si="3"/>
        <v>42917.445439814815</v>
      </c>
      <c r="W23" s="45" t="str">
        <f t="shared" si="4"/>
        <v>EC</v>
      </c>
      <c r="X23" s="22">
        <f t="shared" si="5"/>
        <v>105</v>
      </c>
      <c r="Y23" s="96" t="str">
        <f t="shared" si="6"/>
        <v>echo {"issue":{"subject":"Premature downgrade at EC1497RH 143-1T 1N","project_id":79,"tracker_id":40,"status_id":1,"priority_id":2,"assigned_to_id":23,"start_date":"2017-07-01","description":"04:41:03 - signal dropped from 270 to 0 while train was 100 ft away, do logs show anything unusual?","custom_fields":[{"id":1,"name":"Subdivision","value":"EC"},{"id":4,"name":"Milepost","value":"14.9694"},{"id":17,"name":"Train ID","value":"105-01"},{"id":16,"name":"Locomotive ID","value":"4028"},{"id":130,"name":"Impact","value":"Enforcement"},{"id":150,"name":"Time of Event (Mountain Time)","value":"04:41:26"},{"id":151,"name":"Denver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3" s="159" t="s">
        <v>1036</v>
      </c>
      <c r="AA23" s="47" t="s">
        <v>120</v>
      </c>
      <c r="AB23" s="47" t="s">
        <v>125</v>
      </c>
      <c r="AC23" s="115" t="str">
        <f t="shared" si="7"/>
        <v>grep -hrE -A400 "Enforcement Action" /c/Users/stu/AppData/Local/Temp/OnboardLogs/RTDC4028 --include="*4028*201707011*"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"%USERPROFILE%\AppData\Local\Temp\OnboardLogs"\RTDC4028\*4028*201707011* &gt;&gt; 2017-07-01-SliceDisagreementCheck.txt</v>
      </c>
      <c r="AE23" s="145" t="str">
        <f t="shared" si="9"/>
        <v>start /low /b %USERPROFILE%\Documents\GitHub\eaglep3\Utilities\DownloadLogsFromS3.py --loco 4028 --day 2017-07-01</v>
      </c>
      <c r="AF23" s="1"/>
    </row>
    <row r="24" spans="1:32" x14ac:dyDescent="0.25">
      <c r="A24" s="31">
        <v>42918.08452546296</v>
      </c>
      <c r="B24" s="30" t="s">
        <v>483</v>
      </c>
      <c r="C24" s="30" t="s">
        <v>673</v>
      </c>
      <c r="D24" s="30" t="s">
        <v>49</v>
      </c>
      <c r="E24" s="30" t="s">
        <v>361</v>
      </c>
      <c r="F24" s="42">
        <v>0</v>
      </c>
      <c r="G24" s="42">
        <v>759</v>
      </c>
      <c r="H24" s="42">
        <v>205168</v>
      </c>
      <c r="I24" s="42">
        <v>201123</v>
      </c>
      <c r="J24" s="30" t="s">
        <v>362</v>
      </c>
      <c r="K24" s="42">
        <v>204340</v>
      </c>
      <c r="L24" s="131" t="s">
        <v>51</v>
      </c>
      <c r="M24" s="132">
        <f t="shared" si="0"/>
        <v>-1698.576</v>
      </c>
      <c r="N24" s="133" t="str">
        <f>VLOOKUP(C24,'Trips&amp;Operators'!$C$1:$G$99999,5,FALSE)</f>
        <v>LAMAR NEKESHA</v>
      </c>
      <c r="O24" s="203" t="s">
        <v>408</v>
      </c>
      <c r="P24" s="134" t="s">
        <v>492</v>
      </c>
      <c r="Q24" s="30"/>
      <c r="R24" s="81" t="str">
        <f>VLOOKUP(C24,'Train Runs'!$A$13:$AE$9930,31,0)</f>
        <v>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 &amp; 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-07-02T00:47:24-0600',mode:absolute,to:'2017-07-02T03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4" s="86" t="str">
        <f t="shared" si="1"/>
        <v>"C:\Program Files (x86)\AstroGrep\AstroGrep.exe" /e /r /s /spath="%USERPROFILE%\AppData\Local\Temp\OnboardLogs" /stypes="*4007*201707020*" /stext=" 08:.+((SYSTEM_STATE.+slice.+state.+changed )|(ment ac)|(multiple cpu faults)|(system.+state.+changed )|(\[timeout)|(PRM\|1\|D)|(kpr)|(kdp)|(train st.+moving)|(\|lc)|(penalty))"</v>
      </c>
      <c r="U24" s="9" t="str">
        <f t="shared" si="2"/>
        <v>4007</v>
      </c>
      <c r="V24" s="31">
        <f t="shared" si="3"/>
        <v>42918.33452546296</v>
      </c>
      <c r="W24" s="45" t="str">
        <f t="shared" si="4"/>
        <v>EC</v>
      </c>
      <c r="X24" s="22">
        <f t="shared" si="5"/>
        <v>246</v>
      </c>
      <c r="Y24" s="96" t="str">
        <f t="shared" si="6"/>
        <v>echo {"issue":{"subject":"Wi-MAX data drop","project_id":79,"tracker_id":40,"status_id":1,"priority_id":2,"assigned_to_id":23,"start_date":"2017-07-02","description":"","custom_fields":[{"id":1,"name":"Subdivision","value":"EC"},{"id":4,"name":"Milepost","value":"20.434"},{"id":17,"name":"Train ID","value":"246-01"},{"id":16,"name":"Locomotive ID","value":"4007"},{"id":130,"name":"Impact","value":""},{"id":150,"name":"Time of Event (Mountain Time)","value":"02:01:43"},{"id":151,"name":"Denver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/c/Users/stu/AppData/Local/Temp/OnboardLogs/RTDC4007 --include="*4007*201707020*"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"%USERPROFILE%\AppData\Local\Temp\OnboardLogs"\RTDC4007\*4007*201707020* &gt;&gt; 2017-07-01-SliceDisagreementCheck.txt</v>
      </c>
      <c r="AE24" s="145" t="str">
        <f t="shared" si="9"/>
        <v>start /low /b %USERPROFILE%\Documents\GitHub\eaglep3\Utilities\DownloadLogsFromS3.py --loco 4007 --day 2017-07-02</v>
      </c>
      <c r="AF24" s="1"/>
    </row>
    <row r="25" spans="1:32" x14ac:dyDescent="0.25">
      <c r="A25" s="31">
        <v>42917.262731481482</v>
      </c>
      <c r="B25" s="30" t="s">
        <v>562</v>
      </c>
      <c r="C25" s="30" t="s">
        <v>638</v>
      </c>
      <c r="D25" s="30" t="s">
        <v>96</v>
      </c>
      <c r="E25" s="30" t="s">
        <v>636</v>
      </c>
      <c r="F25" s="42">
        <v>0</v>
      </c>
      <c r="G25" s="42">
        <v>444</v>
      </c>
      <c r="H25" s="42">
        <v>11729</v>
      </c>
      <c r="I25" s="42">
        <v>10179</v>
      </c>
      <c r="J25" s="30" t="s">
        <v>637</v>
      </c>
      <c r="K25" s="42">
        <v>17100</v>
      </c>
      <c r="L25" s="131" t="s">
        <v>51</v>
      </c>
      <c r="M25" s="132">
        <f t="shared" si="0"/>
        <v>-3654.288</v>
      </c>
      <c r="N25" s="133" t="str">
        <f>VLOOKUP(C25,'Trips&amp;Operators'!$C$1:$G$99999,5,FALSE)</f>
        <v>LALONDE GREGORY</v>
      </c>
      <c r="O25" s="203" t="s">
        <v>408</v>
      </c>
      <c r="P25" s="134" t="s">
        <v>492</v>
      </c>
      <c r="Q25" s="30"/>
      <c r="R25" s="81" t="str">
        <f>VLOOKUP(C25,'Train Runs'!$A$13:$AE$9930,31,0)</f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-07-01T04:22:47-0600',mode:absolute,to:'2017-07-01T07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5" s="86" t="str">
        <f t="shared" si="1"/>
        <v>"C:\Program Files (x86)\AstroGrep\AstroGrep.exe" /e /r /s /spath="%USERPROFILE%\AppData\Local\Temp\OnboardLogs" /stypes="*4061*201707011*"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4061</v>
      </c>
      <c r="V25" s="31">
        <f t="shared" si="3"/>
        <v>42917.512731481482</v>
      </c>
      <c r="W25" s="45" t="str">
        <f t="shared" si="4"/>
        <v>EC</v>
      </c>
      <c r="X25" s="22">
        <f t="shared" si="5"/>
        <v>110</v>
      </c>
      <c r="Y25" s="96" t="str">
        <f t="shared" si="6"/>
        <v>echo {"issue":{"subject":"Wi-MAX data drop","project_id":79,"tracker_id":40,"status_id":1,"priority_id":2,"assigned_to_id":23,"start_date":"2017-07-01","description":"","custom_fields":[{"id":1,"name":"Subdivision","value":"EC"},{"id":4,"name":"Milepost","value":"1.71"},{"id":17,"name":"Train ID","value":"110-01"},{"id":16,"name":"Locomotive ID","value":"4061"},{"id":130,"name":"Impact","value":""},{"id":150,"name":"Time of Event (Mountain Time)","value":"06:18:20"},{"id":151,"name":"Denver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/c/Users/stu/AppData/Local/Temp/OnboardLogs/RTDC4061 --include="*4061*201707011*"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"%USERPROFILE%\AppData\Local\Temp\OnboardLogs"\RTDC4061\*4061*201707011* &gt;&gt; 2017-07-01-SliceDisagreementCheck.txt</v>
      </c>
      <c r="AE25" s="145" t="str">
        <f t="shared" si="9"/>
        <v>start /low /b %USERPROFILE%\Documents\GitHub\eaglep3\Utilities\DownloadLogsFromS3.py --loco 4061 --day 2017-07-01</v>
      </c>
      <c r="AF25" s="1"/>
    </row>
    <row r="26" spans="1:32" x14ac:dyDescent="0.25">
      <c r="A26" s="31">
        <v>42918.084351851852</v>
      </c>
      <c r="B26" s="30" t="s">
        <v>368</v>
      </c>
      <c r="C26" s="30" t="s">
        <v>672</v>
      </c>
      <c r="D26" s="30" t="s">
        <v>96</v>
      </c>
      <c r="E26" s="30" t="s">
        <v>636</v>
      </c>
      <c r="F26" s="42">
        <v>0</v>
      </c>
      <c r="G26" s="42">
        <v>420</v>
      </c>
      <c r="H26" s="42">
        <v>13681</v>
      </c>
      <c r="I26" s="42">
        <v>12356</v>
      </c>
      <c r="J26" s="30" t="s">
        <v>637</v>
      </c>
      <c r="K26" s="42">
        <v>17100</v>
      </c>
      <c r="L26" s="131" t="s">
        <v>51</v>
      </c>
      <c r="M26" s="132">
        <f t="shared" si="0"/>
        <v>-2504.8319999999999</v>
      </c>
      <c r="N26" s="133" t="str">
        <f>VLOOKUP(C26,'Trips&amp;Operators'!$C$1:$G$99999,5,FALSE)</f>
        <v>FORTUNATO FRANK</v>
      </c>
      <c r="O26" s="203" t="s">
        <v>408</v>
      </c>
      <c r="P26" s="134" t="s">
        <v>492</v>
      </c>
      <c r="Q26" s="30"/>
      <c r="R26" s="81" t="str">
        <f>VLOOKUP(C26,'Train Runs'!$A$13:$AE$9930,31,0)</f>
        <v>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 &amp; 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-07-02T00:09:49-0600',mode:absolute,to:'2017-07-02T03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86" t="str">
        <f t="shared" si="1"/>
        <v>"C:\Program Files (x86)\AstroGrep\AstroGrep.exe" /e /r /s /spath="%USERPROFILE%\AppData\Local\Temp\OnboardLogs" /stypes="*4013*201707020*" /stext=" 08:.+((SYSTEM_STATE.+slice.+state.+changed )|(ment ac)|(multiple cpu faults)|(system.+state.+changed )|(\[timeout)|(PRM\|1\|D)|(kpr)|(kdp)|(train st.+moving)|(\|lc)|(penalty))"</v>
      </c>
      <c r="U26" s="9" t="str">
        <f t="shared" si="2"/>
        <v>4013</v>
      </c>
      <c r="V26" s="31">
        <f t="shared" si="3"/>
        <v>42918.334351851852</v>
      </c>
      <c r="W26" s="45" t="str">
        <f t="shared" si="4"/>
        <v>EC</v>
      </c>
      <c r="X26" s="22">
        <f t="shared" si="5"/>
        <v>244</v>
      </c>
      <c r="Y26" s="96" t="str">
        <f t="shared" si="6"/>
        <v>echo {"issue":{"subject":"Wi-MAX data drop","project_id":79,"tracker_id":40,"status_id":1,"priority_id":2,"assigned_to_id":23,"start_date":"2017-07-02","description":"","custom_fields":[{"id":1,"name":"Subdivision","value":"EC"},{"id":4,"name":"Milepost","value":"1.71"},{"id":17,"name":"Train ID","value":"244-01"},{"id":16,"name":"Locomotive ID","value":"4013"},{"id":130,"name":"Impact","value":""},{"id":150,"name":"Time of Event (Mountain Time)","value":"02:01:28"},{"id":151,"name":"Denver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/c/Users/stu/AppData/Local/Temp/OnboardLogs/RTDC4013 --include="*4013*201707020*"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"%USERPROFILE%\AppData\Local\Temp\OnboardLogs"\RTDC4013\*4013*201707020* &gt;&gt; 2017-07-01-SliceDisagreementCheck.txt</v>
      </c>
      <c r="AE26" s="145" t="str">
        <f t="shared" si="9"/>
        <v>start /low /b %USERPROFILE%\Documents\GitHub\eaglep3\Utilities\DownloadLogsFromS3.py --loco 4013 --day 2017-07-02</v>
      </c>
      <c r="AF26" s="1"/>
    </row>
    <row r="27" spans="1:32" x14ac:dyDescent="0.25">
      <c r="A27" s="31">
        <v>42917.223599537036</v>
      </c>
      <c r="B27" s="30" t="s">
        <v>340</v>
      </c>
      <c r="C27" s="30" t="s">
        <v>635</v>
      </c>
      <c r="D27" s="30" t="s">
        <v>49</v>
      </c>
      <c r="E27" s="30" t="s">
        <v>636</v>
      </c>
      <c r="F27" s="42">
        <v>0</v>
      </c>
      <c r="G27" s="42">
        <v>420</v>
      </c>
      <c r="H27" s="42">
        <v>157774</v>
      </c>
      <c r="I27" s="42">
        <v>155854</v>
      </c>
      <c r="J27" s="30" t="s">
        <v>637</v>
      </c>
      <c r="K27" s="42">
        <v>156300</v>
      </c>
      <c r="L27" s="131" t="s">
        <v>51</v>
      </c>
      <c r="M27" s="132">
        <f t="shared" si="0"/>
        <v>-235.488</v>
      </c>
      <c r="N27" s="133" t="str">
        <f>VLOOKUP(C27,'Trips&amp;Operators'!$C$1:$G$99999,5,FALSE)</f>
        <v>DAVIS WENDY</v>
      </c>
      <c r="O27" s="203" t="s">
        <v>408</v>
      </c>
      <c r="P27" s="134" t="s">
        <v>492</v>
      </c>
      <c r="Q27" s="30"/>
      <c r="R27" s="81" t="str">
        <f>VLOOKUP(C27,'Train Runs'!$A$13:$AE$9930,31,0)</f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-07-01T04:08:07-0600',mode:absolute,to:'2017-07-01T06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86" t="str">
        <f t="shared" si="1"/>
        <v>"C:\Program Files (x86)\AstroGrep\AstroGrep.exe" /e /r /s /spath="%USERPROFILE%\AppData\Local\Temp\OnboardLogs" /stypes="*4027*201707011*"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4027</v>
      </c>
      <c r="V27" s="31">
        <f t="shared" si="3"/>
        <v>42917.473599537036</v>
      </c>
      <c r="W27" s="45" t="str">
        <f t="shared" si="4"/>
        <v>EC</v>
      </c>
      <c r="X27" s="22">
        <f t="shared" si="5"/>
        <v>106</v>
      </c>
      <c r="Y27" s="96" t="str">
        <f t="shared" si="6"/>
        <v>echo {"issue":{"subject":"Wi-MAX data drop","project_id":79,"tracker_id":40,"status_id":1,"priority_id":2,"assigned_to_id":23,"start_date":"2017-07-01","description":"","custom_fields":[{"id":1,"name":"Subdivision","value":"EC"},{"id":4,"name":"Milepost","value":"15.63"},{"id":17,"name":"Train ID","value":"106-01"},{"id":16,"name":"Locomotive ID","value":"4027"},{"id":130,"name":"Impact","value":""},{"id":150,"name":"Time of Event (Mountain Time)","value":"05:21:59"},{"id":151,"name":"Denver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/c/Users/stu/AppData/Local/Temp/OnboardLogs/RTDC4027 --include="*4027*201707011*"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"%USERPROFILE%\AppData\Local\Temp\OnboardLogs"\RTDC4027\*4027*201707011* &gt;&gt; 2017-07-01-SliceDisagreementCheck.txt</v>
      </c>
      <c r="AE27" s="145" t="str">
        <f t="shared" si="9"/>
        <v>start /low /b %USERPROFILE%\Documents\GitHub\eaglep3\Utilities\DownloadLogsFromS3.py --loco 4027 --day 2017-07-01</v>
      </c>
      <c r="AF27" s="1"/>
    </row>
    <row r="28" spans="1:32" x14ac:dyDescent="0.25">
      <c r="A28" s="31">
        <v>42917.289074074077</v>
      </c>
      <c r="B28" s="30" t="s">
        <v>641</v>
      </c>
      <c r="C28" s="30" t="s">
        <v>642</v>
      </c>
      <c r="D28" s="30" t="s">
        <v>49</v>
      </c>
      <c r="E28" s="30" t="s">
        <v>181</v>
      </c>
      <c r="F28" s="42">
        <v>0</v>
      </c>
      <c r="G28" s="42">
        <v>75</v>
      </c>
      <c r="H28" s="42">
        <v>367</v>
      </c>
      <c r="I28" s="42">
        <v>287</v>
      </c>
      <c r="J28" s="30" t="s">
        <v>182</v>
      </c>
      <c r="K28" s="42">
        <v>1</v>
      </c>
      <c r="L28" s="131" t="s">
        <v>51</v>
      </c>
      <c r="M28" s="132">
        <f t="shared" si="0"/>
        <v>151.00800000000001</v>
      </c>
      <c r="N28" s="133" t="str">
        <f>VLOOKUP(C28,'Trips&amp;Operators'!$C$1:$G$99999,5,FALSE)</f>
        <v>DAVIDSON DAVID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-07-01T04:55:09-0600',mode:absolute,to:'2017-07-01T07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8" s="86" t="str">
        <f t="shared" si="1"/>
        <v>"C:\Program Files (x86)\AstroGrep\AstroGrep.exe" /e /r /s /spath="%USERPROFILE%\AppData\Local\Temp\OnboardLogs" /stypes="*4055*201707011*"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4055</v>
      </c>
      <c r="V28" s="31">
        <f t="shared" si="3"/>
        <v>42917.539074074077</v>
      </c>
      <c r="W28" s="45" t="str">
        <f t="shared" si="4"/>
        <v>EC</v>
      </c>
      <c r="X28" s="22">
        <f t="shared" si="5"/>
        <v>114</v>
      </c>
      <c r="Y28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ID","value":"114-01"},{"id":16,"name":"Locomotive ID","value":"4055"},{"id":130,"name":"Impact","value":""},{"id":150,"name":"Time of Event (Mountain Time)","value":"06:56:16"},{"id":151,"name":"Denver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/c/Users/stu/AppData/Local/Temp/OnboardLogs/RTDC4055 --include="*4055*201707011*"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8" s="145" t="str">
        <f t="shared" si="9"/>
        <v>start /low /b %USERPROFILE%\Documents\GitHub\eaglep3\Utilities\DownloadLogsFromS3.py --loco 4055 --day 2017-07-01</v>
      </c>
      <c r="AF28" s="1"/>
    </row>
    <row r="29" spans="1:32" x14ac:dyDescent="0.25">
      <c r="A29" s="31">
        <v>42917.289606481485</v>
      </c>
      <c r="B29" s="30" t="s">
        <v>641</v>
      </c>
      <c r="C29" s="30" t="s">
        <v>642</v>
      </c>
      <c r="D29" s="30" t="s">
        <v>49</v>
      </c>
      <c r="E29" s="30" t="s">
        <v>181</v>
      </c>
      <c r="F29" s="42">
        <v>0</v>
      </c>
      <c r="G29" s="42">
        <v>28</v>
      </c>
      <c r="H29" s="42">
        <v>283</v>
      </c>
      <c r="I29" s="42">
        <v>229</v>
      </c>
      <c r="J29" s="30" t="s">
        <v>182</v>
      </c>
      <c r="K29" s="42">
        <v>1</v>
      </c>
      <c r="L29" s="131" t="s">
        <v>51</v>
      </c>
      <c r="M29" s="132">
        <f t="shared" si="0"/>
        <v>120.384</v>
      </c>
      <c r="N29" s="133" t="str">
        <f>VLOOKUP(C29,'Trips&amp;Operators'!$C$1:$G$99999,5,FALSE)</f>
        <v>DAVIDSON DAVID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-07-01T04:55:09-0600',mode:absolute,to:'2017-07-01T07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/stypes="*4055*201707011*"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42917.539606481485</v>
      </c>
      <c r="W29" s="45" t="str">
        <f t="shared" si="4"/>
        <v>EC</v>
      </c>
      <c r="X29" s="22">
        <f t="shared" si="5"/>
        <v>114</v>
      </c>
      <c r="Y29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ID","value":"114-01"},{"id":16,"name":"Locomotive ID","value":"4055"},{"id":130,"name":"Impact","value":""},{"id":150,"name":"Time of Event (Mountain Time)","value":"06:57:02"},{"id":151,"name":"Denver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/c/Users/stu/AppData/Local/Temp/OnboardLogs/RTDC4055 --include="*4055*201707011*"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9" s="145" t="str">
        <f t="shared" si="9"/>
        <v>start /low /b %USERPROFILE%\Documents\GitHub\eaglep3\Utilities\DownloadLogsFromS3.py --loco 4055 --day 2017-07-01</v>
      </c>
      <c r="AF29" s="1"/>
    </row>
    <row r="30" spans="1:32" x14ac:dyDescent="0.25">
      <c r="A30" s="31">
        <v>42917.547465277778</v>
      </c>
      <c r="B30" s="30" t="s">
        <v>368</v>
      </c>
      <c r="C30" s="30" t="s">
        <v>653</v>
      </c>
      <c r="D30" s="30" t="s">
        <v>49</v>
      </c>
      <c r="E30" s="30" t="s">
        <v>181</v>
      </c>
      <c r="F30" s="42">
        <v>0</v>
      </c>
      <c r="G30" s="42">
        <v>47</v>
      </c>
      <c r="H30" s="42">
        <v>145</v>
      </c>
      <c r="I30" s="42">
        <v>107</v>
      </c>
      <c r="J30" s="30" t="s">
        <v>182</v>
      </c>
      <c r="K30" s="42">
        <v>1</v>
      </c>
      <c r="L30" s="131" t="s">
        <v>51</v>
      </c>
      <c r="M30" s="132">
        <f t="shared" si="0"/>
        <v>55.968000000000004</v>
      </c>
      <c r="N30" s="133" t="str">
        <f>VLOOKUP(C30,'Trips&amp;Operators'!$C$1:$G$99999,5,FALSE)</f>
        <v>BRANDNER MELINDA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-07-01T11:23:22-0600',mode:absolute,to:'2017-07-01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0" s="86" t="str">
        <f t="shared" si="1"/>
        <v>"C:\Program Files (x86)\AstroGrep\AstroGrep.exe" /e /r /s /spath="%USERPROFILE%\AppData\Local\Temp\OnboardLogs" /stypes="*4013*201707011*" /stext=" 19:.+((SYSTEM_STATE.+slice.+state.+changed )|(ment ac)|(multiple cpu faults)|(system.+state.+changed )|(\[timeout)|(PRM\|1\|D)|(kpr)|(kdp)|(train st.+moving)|(\|lc)|(penalty))"</v>
      </c>
      <c r="U30" s="9" t="str">
        <f t="shared" si="2"/>
        <v>4013</v>
      </c>
      <c r="V30" s="31">
        <f t="shared" si="3"/>
        <v>42917.797465277778</v>
      </c>
      <c r="W30" s="45" t="str">
        <f t="shared" si="4"/>
        <v>EC</v>
      </c>
      <c r="X30" s="22">
        <f t="shared" si="5"/>
        <v>164</v>
      </c>
      <c r="Y30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ID","value":"164-01"},{"id":16,"name":"Locomotive ID","value":"4013"},{"id":130,"name":"Impact","value":""},{"id":150,"name":"Time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/c/Users/stu/AppData/Local/Temp/OnboardLogs/RTDC4013 --include="*4013*201707011*"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"%USERPROFILE%\AppData\Local\Temp\OnboardLogs"\RTDC4013\*4013*201707011* &gt;&gt; 2017-07-01-SliceDisagreementCheck.txt</v>
      </c>
      <c r="AE30" s="145" t="str">
        <f t="shared" si="9"/>
        <v>start /low /b %USERPROFILE%\Documents\GitHub\eaglep3\Utilities\DownloadLogsFromS3.py --loco 4013 --day 2017-07-01</v>
      </c>
      <c r="AF30" s="1"/>
    </row>
    <row r="31" spans="1:32" s="20" customFormat="1" x14ac:dyDescent="0.25">
      <c r="A31" s="31">
        <v>42917.555578703701</v>
      </c>
      <c r="B31" s="30" t="s">
        <v>562</v>
      </c>
      <c r="C31" s="30" t="s">
        <v>654</v>
      </c>
      <c r="D31" s="30" t="s">
        <v>49</v>
      </c>
      <c r="E31" s="30" t="s">
        <v>181</v>
      </c>
      <c r="F31" s="42">
        <v>0</v>
      </c>
      <c r="G31" s="42">
        <v>54</v>
      </c>
      <c r="H31" s="42">
        <v>211</v>
      </c>
      <c r="I31" s="42">
        <v>156</v>
      </c>
      <c r="J31" s="30" t="s">
        <v>182</v>
      </c>
      <c r="K31" s="42">
        <v>1</v>
      </c>
      <c r="L31" s="131" t="s">
        <v>51</v>
      </c>
      <c r="M31" s="132">
        <f t="shared" si="0"/>
        <v>81.84</v>
      </c>
      <c r="N31" s="133" t="str">
        <f>VLOOKUP(C31,'Trips&amp;Operators'!$C$1:$G$99999,5,FALSE)</f>
        <v>BRUDER RICHARD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-07-01T11:36:53-0600',mode:absolute,to:'2017-07-01T14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1" s="86" t="str">
        <f t="shared" si="1"/>
        <v>"C:\Program Files (x86)\AstroGrep\AstroGrep.exe" /e /r /s /spath="%USERPROFILE%\AppData\Local\Temp\OnboardLogs" /stypes="*4061*201707011*"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4061</v>
      </c>
      <c r="V31" s="31">
        <f t="shared" si="3"/>
        <v>42917.805578703701</v>
      </c>
      <c r="W31" s="45" t="str">
        <f t="shared" si="4"/>
        <v>EC</v>
      </c>
      <c r="X31" s="22">
        <f t="shared" si="5"/>
        <v>166</v>
      </c>
      <c r="Y31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ID","value":"166-01"},{"id":16,"name":"Locomotive ID","value":"4061"},{"id":130,"name":"Impact","value":""},{"id":150,"name":"Time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/c/Users/stu/AppData/Local/Temp/OnboardLogs/RTDC4061 --include="*4061*201707011*"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"%USERPROFILE%\AppData\Local\Temp\OnboardLogs"\RTDC4061\*4061*201707011* &gt;&gt; 2017-07-01-SliceDisagreementCheck.txt</v>
      </c>
      <c r="AE31" s="145" t="str">
        <f t="shared" si="9"/>
        <v>start /low /b %USERPROFILE%\Documents\GitHub\eaglep3\Utilities\DownloadLogsFromS3.py --loco 4061 --day 2017-07-01</v>
      </c>
      <c r="AF31" s="1"/>
    </row>
    <row r="32" spans="1:32" x14ac:dyDescent="0.25">
      <c r="A32" s="31">
        <v>42917.619525462964</v>
      </c>
      <c r="B32" s="30" t="s">
        <v>368</v>
      </c>
      <c r="C32" s="30" t="s">
        <v>657</v>
      </c>
      <c r="D32" s="30" t="s">
        <v>49</v>
      </c>
      <c r="E32" s="30" t="s">
        <v>181</v>
      </c>
      <c r="F32" s="42">
        <v>0</v>
      </c>
      <c r="G32" s="42">
        <v>62</v>
      </c>
      <c r="H32" s="42">
        <v>181</v>
      </c>
      <c r="I32" s="42">
        <v>114</v>
      </c>
      <c r="J32" s="30" t="s">
        <v>182</v>
      </c>
      <c r="K32" s="42">
        <v>1</v>
      </c>
      <c r="L32" s="131" t="s">
        <v>51</v>
      </c>
      <c r="M32" s="132">
        <f t="shared" si="0"/>
        <v>59.664000000000001</v>
      </c>
      <c r="N32" s="133" t="str">
        <f>VLOOKUP(C32,'Trips&amp;Operators'!$C$1:$G$99999,5,FALSE)</f>
        <v>BRANDNER MELINDA</v>
      </c>
      <c r="O32" s="203" t="s">
        <v>180</v>
      </c>
      <c r="P32" s="134"/>
      <c r="Q32" s="30"/>
      <c r="R32" s="81" t="str">
        <f>VLOOKUP(C32,'Train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-07-01T13:10:48-0600',mode:absolute,to:'2017-07-01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2" s="86" t="str">
        <f t="shared" si="1"/>
        <v>"C:\Program Files (x86)\AstroGrep\AstroGrep.exe" /e /r /s /spath="%USERPROFILE%\AppData\Local\Temp\OnboardLogs" /stypes="*4013*201707012*"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4013</v>
      </c>
      <c r="V32" s="31">
        <f t="shared" si="3"/>
        <v>42917.869525462964</v>
      </c>
      <c r="W32" s="45" t="str">
        <f t="shared" si="4"/>
        <v>EC</v>
      </c>
      <c r="X32" s="22">
        <f t="shared" si="5"/>
        <v>178</v>
      </c>
      <c r="Y32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ID","value":"178-01"},{"id":16,"name":"Locomotive ID","value":"4013"},{"id":130,"name":"Impact","value":""},{"id":150,"name":"Time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/c/Users/stu/AppData/Local/Temp/OnboardLogs/RTDC4013 --include="*4013*201707012*"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"%USERPROFILE%\AppData\Local\Temp\OnboardLogs"\RTDC4013\*4013*201707012* &gt;&gt; 2017-07-01-SliceDisagreementCheck.txt</v>
      </c>
      <c r="AE32" s="145" t="str">
        <f t="shared" si="9"/>
        <v>start /low /b %USERPROFILE%\Documents\GitHub\eaglep3\Utilities\DownloadLogsFromS3.py --loco 4013 --day 2017-07-01</v>
      </c>
      <c r="AF32" s="1"/>
    </row>
    <row r="33" spans="1:32" x14ac:dyDescent="0.25">
      <c r="A33" s="31">
        <v>42917.68068287037</v>
      </c>
      <c r="B33" s="30" t="s">
        <v>340</v>
      </c>
      <c r="C33" s="30" t="s">
        <v>660</v>
      </c>
      <c r="D33" s="30" t="s">
        <v>49</v>
      </c>
      <c r="E33" s="30" t="s">
        <v>181</v>
      </c>
      <c r="F33" s="42">
        <v>0</v>
      </c>
      <c r="G33" s="42">
        <v>48</v>
      </c>
      <c r="H33" s="42">
        <v>154</v>
      </c>
      <c r="I33" s="42">
        <v>121</v>
      </c>
      <c r="J33" s="30" t="s">
        <v>182</v>
      </c>
      <c r="K33" s="42">
        <v>1</v>
      </c>
      <c r="L33" s="131" t="s">
        <v>51</v>
      </c>
      <c r="M33" s="132">
        <f t="shared" si="0"/>
        <v>63.36</v>
      </c>
      <c r="N33" s="133" t="str">
        <f>VLOOKUP(C33,'Trips&amp;Operators'!$C$1:$G$99999,5,FALSE)</f>
        <v>LOPES KIMBERLY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-07-01T14:35:43-0600',mode:absolute,to:'2017-07-01T17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3" s="86" t="str">
        <f t="shared" si="1"/>
        <v>"C:\Program Files (x86)\AstroGrep\AstroGrep.exe" /e /r /s /spath="%USERPROFILE%\AppData\Local\Temp\OnboardLogs" /stypes="*4027*201707012*"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4027</v>
      </c>
      <c r="V33" s="31">
        <f t="shared" si="3"/>
        <v>42917.93068287037</v>
      </c>
      <c r="W33" s="45" t="str">
        <f t="shared" si="4"/>
        <v>EC</v>
      </c>
      <c r="X33" s="22">
        <f t="shared" si="5"/>
        <v>190</v>
      </c>
      <c r="Y33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ID","value":"190-01"},{"id":16,"name":"Locomotive ID","value":"4027"},{"id":130,"name":"Impact","value":""},{"id":150,"name":"Time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/c/Users/stu/AppData/Local/Temp/OnboardLogs/RTDC4027 --include="*4027*201707012*"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"%USERPROFILE%\AppData\Local\Temp\OnboardLogs"\RTDC4027\*4027*201707012* &gt;&gt; 2017-07-01-SliceDisagreementCheck.txt</v>
      </c>
      <c r="AE33" s="145" t="str">
        <f t="shared" si="9"/>
        <v>start /low /b %USERPROFILE%\Documents\GitHub\eaglep3\Utilities\DownloadLogsFromS3.py --loco 4027 --day 2017-07-01</v>
      </c>
      <c r="AF33" s="1"/>
    </row>
    <row r="34" spans="1:32" x14ac:dyDescent="0.25">
      <c r="A34" s="31">
        <v>42917.580347222225</v>
      </c>
      <c r="B34" s="30" t="s">
        <v>374</v>
      </c>
      <c r="C34" s="30" t="s">
        <v>656</v>
      </c>
      <c r="D34" s="30" t="s">
        <v>49</v>
      </c>
      <c r="E34" s="30" t="s">
        <v>181</v>
      </c>
      <c r="F34" s="42">
        <v>0</v>
      </c>
      <c r="G34" s="42">
        <v>60</v>
      </c>
      <c r="H34" s="42">
        <v>233286</v>
      </c>
      <c r="I34" s="42">
        <v>233339</v>
      </c>
      <c r="J34" s="30" t="s">
        <v>182</v>
      </c>
      <c r="K34" s="42">
        <v>233491</v>
      </c>
      <c r="L34" s="131" t="s">
        <v>50</v>
      </c>
      <c r="M34" s="132">
        <f t="shared" si="0"/>
        <v>80.256</v>
      </c>
      <c r="N34" s="133" t="str">
        <f>VLOOKUP(C34,'Trips&amp;Operators'!$C$1:$G$99999,5,FALSE)</f>
        <v>BRANDNER MELINDA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-07-01T12:10:44-0600',mode:absolute,to:'2017-07-01T14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4" s="86" t="str">
        <f t="shared" si="1"/>
        <v>"C:\Program Files (x86)\AstroGrep\AstroGrep.exe" /e /r /s /spath="%USERPROFILE%\AppData\Local\Temp\OnboardLogs" /stypes="*4014*201707011*"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4014</v>
      </c>
      <c r="V34" s="31">
        <f t="shared" si="3"/>
        <v>42917.830347222225</v>
      </c>
      <c r="W34" s="45" t="str">
        <f t="shared" si="4"/>
        <v>EC</v>
      </c>
      <c r="X34" s="22">
        <f t="shared" si="5"/>
        <v>177</v>
      </c>
      <c r="Y34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ID","value":"177-01"},{"id":16,"name":"Locomotive ID","value":"4014"},{"id":130,"name":"Impact","value":""},{"id":150,"name":"Time of Event (Mountain Time)","value":"13:55:42"},{"id":151,"name":"Denver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/c/Users/stu/AppData/Local/Temp/OnboardLogs/RTDC4014 --include="*4014*201707011*"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"%USERPROFILE%\AppData\Local\Temp\OnboardLogs"\RTDC4014\*4014*201707011* &gt;&gt; 2017-07-01-SliceDisagreementCheck.txt</v>
      </c>
      <c r="AE34" s="145" t="str">
        <f t="shared" si="9"/>
        <v>start /low /b %USERPROFILE%\Documents\GitHub\eaglep3\Utilities\DownloadLogsFromS3.py --loco 4014 --day 2017-07-01</v>
      </c>
      <c r="AF34" s="1"/>
    </row>
    <row r="35" spans="1:32" x14ac:dyDescent="0.25">
      <c r="A35" s="31">
        <v>42917.651898148149</v>
      </c>
      <c r="B35" s="30" t="s">
        <v>374</v>
      </c>
      <c r="C35" s="30" t="s">
        <v>659</v>
      </c>
      <c r="D35" s="30" t="s">
        <v>49</v>
      </c>
      <c r="E35" s="30" t="s">
        <v>181</v>
      </c>
      <c r="F35" s="42">
        <v>0</v>
      </c>
      <c r="G35" s="42">
        <v>64</v>
      </c>
      <c r="H35" s="42">
        <v>233257</v>
      </c>
      <c r="I35" s="42">
        <v>233323</v>
      </c>
      <c r="J35" s="30" t="s">
        <v>182</v>
      </c>
      <c r="K35" s="42">
        <v>233491</v>
      </c>
      <c r="L35" s="131" t="s">
        <v>50</v>
      </c>
      <c r="M35" s="132">
        <f t="shared" si="0"/>
        <v>88.703999999999994</v>
      </c>
      <c r="N35" s="133" t="str">
        <f>VLOOKUP(C35,'Trips&amp;Operators'!$C$1:$G$99999,5,FALSE)</f>
        <v>BRANDNER MELINDA</v>
      </c>
      <c r="O35" s="203" t="s">
        <v>180</v>
      </c>
      <c r="P35" s="134"/>
      <c r="Q35" s="30"/>
      <c r="R35" s="81" t="str">
        <f>VLOOKUP(C35,'Train Runs'!$A$13:$AE$9930,31,0)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-01T13:54:59-0600',mode:absolute,to:'2017-07-01T16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5" s="86" t="str">
        <f t="shared" si="1"/>
        <v>"C:\Program Files (x86)\AstroGrep\AstroGrep.exe" /e /r /s /spath="%USERPROFILE%\AppData\Local\Temp\OnboardLogs" /stypes="*4014*201707012*"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4014</v>
      </c>
      <c r="V35" s="31">
        <f t="shared" si="3"/>
        <v>42917.901898148149</v>
      </c>
      <c r="W35" s="45" t="str">
        <f t="shared" si="4"/>
        <v>EC</v>
      </c>
      <c r="X35" s="22">
        <f t="shared" si="5"/>
        <v>191</v>
      </c>
      <c r="Y35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ID","value":"191-01"},{"id":16,"name":"Locomotive ID","value":"4014"},{"id":130,"name":"Impact","value":""},{"id":150,"name":"Time of Event (Mountain Time)","value":"15:38:44"},{"id":151,"name":"Denver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/c/Users/stu/AppData/Local/Temp/OnboardLogs/RTDC4014 --include="*4014*201707012*"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"%USERPROFILE%\AppData\Local\Temp\OnboardLogs"\RTDC4014\*4014*201707012* &gt;&gt; 2017-07-01-SliceDisagreementCheck.txt</v>
      </c>
      <c r="AE35" s="145" t="str">
        <f t="shared" si="9"/>
        <v>start /low /b %USERPROFILE%\Documents\GitHub\eaglep3\Utilities\DownloadLogsFromS3.py --loco 4014 --day 2017-07-01</v>
      </c>
      <c r="AF35" s="1"/>
    </row>
    <row r="36" spans="1:32" x14ac:dyDescent="0.25">
      <c r="A36" s="31">
        <v>42917.702986111108</v>
      </c>
      <c r="B36" s="30" t="s">
        <v>646</v>
      </c>
      <c r="C36" s="30" t="s">
        <v>662</v>
      </c>
      <c r="D36" s="30" t="s">
        <v>49</v>
      </c>
      <c r="E36" s="30" t="s">
        <v>181</v>
      </c>
      <c r="F36" s="42">
        <v>0</v>
      </c>
      <c r="G36" s="42">
        <v>55</v>
      </c>
      <c r="H36" s="42">
        <v>233226</v>
      </c>
      <c r="I36" s="42">
        <v>233288</v>
      </c>
      <c r="J36" s="30" t="s">
        <v>182</v>
      </c>
      <c r="K36" s="42">
        <v>233491</v>
      </c>
      <c r="L36" s="131" t="s">
        <v>50</v>
      </c>
      <c r="M36" s="132">
        <f t="shared" si="0"/>
        <v>107.184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-07-01T15:07:52-0600',mode:absolute,to:'2017-07-01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6" s="86" t="str">
        <f t="shared" si="1"/>
        <v>"C:\Program Files (x86)\AstroGrep\AstroGrep.exe" /e /r /s /spath="%USERPROFILE%\AppData\Local\Temp\OnboardLogs" /stypes="*4030*201707012*"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4030</v>
      </c>
      <c r="V36" s="31">
        <f t="shared" si="3"/>
        <v>42917.952986111108</v>
      </c>
      <c r="W36" s="45" t="str">
        <f t="shared" si="4"/>
        <v>EC</v>
      </c>
      <c r="X36" s="22">
        <f t="shared" si="5"/>
        <v>201</v>
      </c>
      <c r="Y36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ID","value":"201-01"},{"id":16,"name":"Locomotive ID","value":"4030"},{"id":130,"name":"Impact","value":""},{"id":150,"name":"Time of Event (Mountain Time)","value":"16:52:18"},{"id":151,"name":"Denver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/c/Users/stu/AppData/Local/Temp/OnboardLogs/RTDC4030 --include="*4030*201707012*"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"%USERPROFILE%\AppData\Local\Temp\OnboardLogs"\RTDC4030\*4030*201707012* &gt;&gt; 2017-07-01-SliceDisagreementCheck.txt</v>
      </c>
      <c r="AE36" s="145" t="str">
        <f t="shared" si="9"/>
        <v>start /low /b %USERPROFILE%\Documents\GitHub\eaglep3\Utilities\DownloadLogsFromS3.py --loco 4030 --day 2017-07-01</v>
      </c>
      <c r="AF36" s="1"/>
    </row>
    <row r="37" spans="1:32" x14ac:dyDescent="0.25">
      <c r="A37" s="31">
        <v>42917.713807870372</v>
      </c>
      <c r="B37" s="30" t="s">
        <v>339</v>
      </c>
      <c r="C37" s="30" t="s">
        <v>661</v>
      </c>
      <c r="D37" s="30" t="s">
        <v>49</v>
      </c>
      <c r="E37" s="30" t="s">
        <v>181</v>
      </c>
      <c r="F37" s="42">
        <v>0</v>
      </c>
      <c r="G37" s="42">
        <v>50</v>
      </c>
      <c r="H37" s="42">
        <v>233336</v>
      </c>
      <c r="I37" s="42">
        <v>233361</v>
      </c>
      <c r="J37" s="30" t="s">
        <v>182</v>
      </c>
      <c r="K37" s="42">
        <v>233491</v>
      </c>
      <c r="L37" s="131" t="s">
        <v>50</v>
      </c>
      <c r="M37" s="132">
        <f t="shared" si="0"/>
        <v>68.64</v>
      </c>
      <c r="N37" s="133" t="str">
        <f>VLOOKUP(C37,'Trips&amp;Operators'!$C$1:$G$99999,5,FALSE)</f>
        <v>LOPES KIMBERLY</v>
      </c>
      <c r="O37" s="203" t="s">
        <v>180</v>
      </c>
      <c r="P37" s="134"/>
      <c r="Q37" s="30"/>
      <c r="R37" s="81" t="str">
        <f>VLOOKUP(C37,'Train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-07-01T15:22:22-0600',mode:absolute,to:'2017-07-01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7" s="86" t="str">
        <f t="shared" si="1"/>
        <v>"C:\Program Files (x86)\AstroGrep\AstroGrep.exe" /e /r /s /spath="%USERPROFILE%\AppData\Local\Temp\OnboardLogs" /stypes="*4028*201707012*"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4028</v>
      </c>
      <c r="V37" s="31">
        <f t="shared" si="3"/>
        <v>42917.963807870372</v>
      </c>
      <c r="W37" s="45" t="str">
        <f t="shared" si="4"/>
        <v>EC</v>
      </c>
      <c r="X37" s="22">
        <f t="shared" si="5"/>
        <v>203</v>
      </c>
      <c r="Y37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ID","value":"203-01"},{"id":16,"name":"Locomotive ID","value":"4028"},{"id":130,"name":"Impact","value":""},{"id":150,"name":"Time of Event (Mountain Time)","value":"17:07:53"},{"id":151,"name":"Denver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/c/Users/stu/AppData/Local/Temp/OnboardLogs/RTDC4028 --include="*4028*201707012*"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"%USERPROFILE%\AppData\Local\Temp\OnboardLogs"\RTDC4028\*4028*201707012* &gt;&gt; 2017-07-01-SliceDisagreementCheck.txt</v>
      </c>
      <c r="AE37" s="145" t="str">
        <f t="shared" si="9"/>
        <v>start /low /b %USERPROFILE%\Documents\GitHub\eaglep3\Utilities\DownloadLogsFromS3.py --loco 4028 --day 2017-07-01</v>
      </c>
      <c r="AF37" s="1"/>
    </row>
    <row r="38" spans="1:32" x14ac:dyDescent="0.25">
      <c r="A38" s="31">
        <v>42917.775787037041</v>
      </c>
      <c r="B38" s="30" t="s">
        <v>646</v>
      </c>
      <c r="C38" s="30" t="s">
        <v>665</v>
      </c>
      <c r="D38" s="30" t="s">
        <v>49</v>
      </c>
      <c r="E38" s="30" t="s">
        <v>181</v>
      </c>
      <c r="F38" s="42">
        <v>0</v>
      </c>
      <c r="G38" s="42">
        <v>52</v>
      </c>
      <c r="H38" s="42">
        <v>233297</v>
      </c>
      <c r="I38" s="42">
        <v>233338</v>
      </c>
      <c r="J38" s="30" t="s">
        <v>182</v>
      </c>
      <c r="K38" s="42">
        <v>233491</v>
      </c>
      <c r="L38" s="131" t="s">
        <v>50</v>
      </c>
      <c r="M38" s="132">
        <f t="shared" si="0"/>
        <v>80.784000000000006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-07-01T16:55:44-0600',mode:absolute,to:'2017-07-01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6" t="str">
        <f t="shared" si="1"/>
        <v>"C:\Program Files (x86)\AstroGrep\AstroGrep.exe" /e /r /s /spath="%USERPROFILE%\AppData\Local\Temp\OnboardLogs" /stypes="*4030*201707020*"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42918.025787037041</v>
      </c>
      <c r="W38" s="45" t="str">
        <f t="shared" si="4"/>
        <v>EC</v>
      </c>
      <c r="X38" s="22">
        <f t="shared" si="5"/>
        <v>215</v>
      </c>
      <c r="Y38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ID","value":"215-01"},{"id":16,"name":"Locomotive ID","value":"4030"},{"id":130,"name":"Impact","value":""},{"id":150,"name":"Time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/c/Users/stu/AppData/Local/Temp/OnboardLogs/RTDC4030 --include="*4030*201707020*"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"%USERPROFILE%\AppData\Local\Temp\OnboardLogs"\RTDC4030\*4030*201707020* &gt;&gt; 2017-07-01-SliceDisagreementCheck.txt</v>
      </c>
      <c r="AE38" s="145" t="str">
        <f t="shared" si="9"/>
        <v>start /low /b %USERPROFILE%\Documents\GitHub\eaglep3\Utilities\DownloadLogsFromS3.py --loco 4030 --day 2017-07-02</v>
      </c>
      <c r="AF38" s="1"/>
    </row>
    <row r="39" spans="1:32" x14ac:dyDescent="0.25">
      <c r="A39" s="31">
        <v>42917.786087962966</v>
      </c>
      <c r="B39" s="30" t="s">
        <v>339</v>
      </c>
      <c r="C39" s="30" t="s">
        <v>666</v>
      </c>
      <c r="D39" s="30" t="s">
        <v>49</v>
      </c>
      <c r="E39" s="30" t="s">
        <v>181</v>
      </c>
      <c r="F39" s="42">
        <v>0</v>
      </c>
      <c r="G39" s="42">
        <v>94</v>
      </c>
      <c r="H39" s="42">
        <v>233238</v>
      </c>
      <c r="I39" s="42">
        <v>233337</v>
      </c>
      <c r="J39" s="30" t="s">
        <v>182</v>
      </c>
      <c r="K39" s="42">
        <v>233491</v>
      </c>
      <c r="L39" s="131" t="s">
        <v>50</v>
      </c>
      <c r="M39" s="132">
        <f t="shared" si="0"/>
        <v>81.311999999999998</v>
      </c>
      <c r="N39" s="133" t="str">
        <f>VLOOKUP(C39,'Trips&amp;Operators'!$C$1:$G$99999,5,FALSE)</f>
        <v>PERKINS DARREN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-07-01T17:08:16-0600',mode:absolute,to:'2017-07-01T19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9" s="86" t="str">
        <f t="shared" si="1"/>
        <v>"C:\Program Files (x86)\AstroGrep\AstroGrep.exe" /e /r /s /spath="%USERPROFILE%\AppData\Local\Temp\OnboardLogs" /stypes="*4028*201707020*"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4028</v>
      </c>
      <c r="V39" s="31">
        <f t="shared" si="3"/>
        <v>42918.036087962966</v>
      </c>
      <c r="W39" s="45" t="str">
        <f t="shared" si="4"/>
        <v>EC</v>
      </c>
      <c r="X39" s="22">
        <f t="shared" si="5"/>
        <v>217</v>
      </c>
      <c r="Y39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ID","value":"217-01"},{"id":16,"name":"Locomotive ID","value":"4028"},{"id":130,"name":"Impact","value":""},{"id":150,"name":"Time of Event (Mountain Time)","value":"18:51:58"},{"id":151,"name":"Denver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/c/Users/stu/AppData/Local/Temp/OnboardLogs/RTDC4028 --include="*4028*201707020*"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"%USERPROFILE%\AppData\Local\Temp\OnboardLogs"\RTDC4028\*4028*201707020* &gt;&gt; 2017-07-01-SliceDisagreementCheck.txt</v>
      </c>
      <c r="AE39" s="145" t="str">
        <f t="shared" si="9"/>
        <v>start /low /b %USERPROFILE%\Documents\GitHub\eaglep3\Utilities\DownloadLogsFromS3.py --loco 4028 --day 2017-07-02</v>
      </c>
      <c r="AF39" s="1"/>
    </row>
    <row r="40" spans="1:32" x14ac:dyDescent="0.25">
      <c r="A40" s="31">
        <v>42917.858020833337</v>
      </c>
      <c r="B40" s="30" t="s">
        <v>339</v>
      </c>
      <c r="C40" s="30" t="s">
        <v>668</v>
      </c>
      <c r="D40" s="30" t="s">
        <v>49</v>
      </c>
      <c r="E40" s="30" t="s">
        <v>181</v>
      </c>
      <c r="F40" s="42">
        <v>0</v>
      </c>
      <c r="G40" s="42">
        <v>160</v>
      </c>
      <c r="H40" s="42">
        <v>232800</v>
      </c>
      <c r="I40" s="42">
        <v>233048</v>
      </c>
      <c r="J40" s="30" t="s">
        <v>182</v>
      </c>
      <c r="K40" s="42">
        <v>233491</v>
      </c>
      <c r="L40" s="131" t="s">
        <v>50</v>
      </c>
      <c r="M40" s="132">
        <f t="shared" si="0"/>
        <v>233.904</v>
      </c>
      <c r="N40" s="133" t="str">
        <f>VLOOKUP(C40,'Trips&amp;Operators'!$C$1:$G$99999,5,FALSE)</f>
        <v>PERKINS DARREN</v>
      </c>
      <c r="O40" s="203" t="s">
        <v>180</v>
      </c>
      <c r="P40" s="134"/>
      <c r="Q40" s="30"/>
      <c r="R40" s="81" t="str">
        <f>VLOOKUP(C40,'Train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-07-01T18:53:21-0600',mode:absolute,to:'2017-07-01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0" s="86" t="str">
        <f t="shared" si="1"/>
        <v>"C:\Program Files (x86)\AstroGrep\AstroGrep.exe" /e /r /s /spath="%USERPROFILE%\AppData\Local\Temp\OnboardLogs" /stypes="*4028*201707020*" /stext=" 02:.+((SYSTEM_STATE.+slice.+state.+changed )|(ment ac)|(multiple cpu faults)|(system.+state.+changed )|(\[timeout)|(PRM\|1\|D)|(kpr)|(kdp)|(train st.+moving)|(\|lc)|(penalty))"</v>
      </c>
      <c r="U40" s="9" t="str">
        <f t="shared" si="2"/>
        <v>4028</v>
      </c>
      <c r="V40" s="31">
        <f t="shared" si="3"/>
        <v>42918.108020833337</v>
      </c>
      <c r="W40" s="45" t="str">
        <f t="shared" si="4"/>
        <v>EC</v>
      </c>
      <c r="X40" s="22">
        <f t="shared" si="5"/>
        <v>225</v>
      </c>
      <c r="Y40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ID","value":"225-01"},{"id":16,"name":"Locomotive ID","value":"4028"},{"id":130,"name":"Impact","value":""},{"id":150,"name":"Time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/c/Users/stu/AppData/Local/Temp/OnboardLogs/RTDC4028 --include="*4028*201707020*"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"%USERPROFILE%\AppData\Local\Temp\OnboardLogs"\RTDC4028\*4028*201707020* &gt;&gt; 2017-07-01-SliceDisagreementCheck.txt</v>
      </c>
      <c r="AE40" s="145" t="str">
        <f t="shared" si="9"/>
        <v>start /low /b %USERPROFILE%\Documents\GitHub\eaglep3\Utilities\DownloadLogsFromS3.py --loco 4028 --day 2017-07-02</v>
      </c>
      <c r="AF40" s="1"/>
    </row>
    <row r="41" spans="1:32" x14ac:dyDescent="0.25">
      <c r="A41" s="31">
        <v>42917.268599537034</v>
      </c>
      <c r="B41" s="30" t="s">
        <v>639</v>
      </c>
      <c r="C41" s="30" t="s">
        <v>640</v>
      </c>
      <c r="D41" s="30" t="s">
        <v>96</v>
      </c>
      <c r="E41" s="30" t="s">
        <v>200</v>
      </c>
      <c r="F41" s="42">
        <v>300</v>
      </c>
      <c r="G41" s="42">
        <v>359</v>
      </c>
      <c r="H41" s="42">
        <v>23750</v>
      </c>
      <c r="I41" s="42">
        <v>24824</v>
      </c>
      <c r="J41" s="30" t="s">
        <v>201</v>
      </c>
      <c r="K41" s="42">
        <v>21299</v>
      </c>
      <c r="L41" s="131" t="s">
        <v>50</v>
      </c>
      <c r="M41" s="132">
        <f t="shared" si="0"/>
        <v>-1861.2</v>
      </c>
      <c r="N41" s="133" t="str">
        <f>VLOOKUP(C41,'Trips&amp;Operators'!$C$1:$G$99999,5,FALSE)</f>
        <v>ROCHA YAOTL</v>
      </c>
      <c r="O41" s="203" t="s">
        <v>180</v>
      </c>
      <c r="P41" s="134"/>
      <c r="Q41" s="30"/>
      <c r="R41" s="81" t="str">
        <f>VLOOKUP(C41,'Train Runs'!$A$13:$AE$9930,31,0)</f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-07-01T05:16:28-0600',mode:absolute,to:'2017-07-01T07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1" s="86" t="str">
        <f t="shared" si="1"/>
        <v>"C:\Program Files (x86)\AstroGrep\AstroGrep.exe" /e /r /s /spath="%USERPROFILE%\AppData\Local\Temp\OnboardLogs" /stypes="*4006*201707011*" /stext=" 12:.+((SYSTEM_STATE.+slice.+state.+changed )|(ment ac)|(multiple cpu faults)|(system.+state.+changed )|(\[timeout)|(PRM\|1\|D)|(kpr)|(kdp)|(train st.+moving)|(\|lc)|(penalty))"</v>
      </c>
      <c r="U41" s="9" t="str">
        <f t="shared" si="2"/>
        <v>4006</v>
      </c>
      <c r="V41" s="31">
        <f t="shared" si="3"/>
        <v>42917.518599537034</v>
      </c>
      <c r="W41" s="45" t="str">
        <f t="shared" si="4"/>
        <v>NW</v>
      </c>
      <c r="X41" s="22">
        <f t="shared" si="5"/>
        <v>1801</v>
      </c>
      <c r="Y41" s="96" t="str">
        <f t="shared" si="6"/>
        <v>echo {"issue":{"subject":"","project_id":79,"tracker_id":40,"status_id":1,"priority_id":2,"assigned_to_id":23,"start_date":"2017-07-01","description":"","custom_fields":[{"id":1,"name":"Subdivision","value":"NW"},{"id":4,"name":"Milepost","value":"2.1299"},{"id":17,"name":"Train ID","value":"1801-01"},{"id":16,"name":"Locomotive ID","value":"4006"},{"id":130,"name":"Impact","value":""},{"id":150,"name":"Time of Event (Mountain Time)","value":"06:26:47"},{"id":151,"name":"Denver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/c/Users/stu/AppData/Local/Temp/OnboardLogs/RTDC4006 --include="*4006*201707011*"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"%USERPROFILE%\AppData\Local\Temp\OnboardLogs"\RTDC4006\*4006*201707011* &gt;&gt; 2017-07-01-SliceDisagreementCheck.txt</v>
      </c>
      <c r="AE41" s="145" t="str">
        <f t="shared" si="9"/>
        <v>start /low /b %USERPROFILE%\Documents\GitHub\eaglep3\Utilities\DownloadLogsFromS3.py --loco 4006 --day 2017-07-01</v>
      </c>
      <c r="AF41" s="1"/>
    </row>
    <row r="42" spans="1:32" x14ac:dyDescent="0.25">
      <c r="A42" s="31">
        <v>42917.538124999999</v>
      </c>
      <c r="B42" s="30" t="s">
        <v>651</v>
      </c>
      <c r="C42" s="30" t="s">
        <v>652</v>
      </c>
      <c r="D42" s="30" t="s">
        <v>49</v>
      </c>
      <c r="E42" s="30" t="s">
        <v>181</v>
      </c>
      <c r="F42" s="42">
        <v>0</v>
      </c>
      <c r="G42" s="42">
        <v>54</v>
      </c>
      <c r="H42" s="42">
        <v>762</v>
      </c>
      <c r="I42" s="42">
        <v>708</v>
      </c>
      <c r="J42" s="30" t="s">
        <v>182</v>
      </c>
      <c r="K42" s="42">
        <v>575</v>
      </c>
      <c r="L42" s="131" t="s">
        <v>51</v>
      </c>
      <c r="M42" s="132">
        <f t="shared" si="0"/>
        <v>70.224000000000004</v>
      </c>
      <c r="N42" s="133" t="str">
        <f>VLOOKUP(C42,'Trips&amp;Operators'!$C$1:$G$99999,5,FALSE)</f>
        <v>BROWN JACOB</v>
      </c>
      <c r="O42" s="203" t="s">
        <v>180</v>
      </c>
      <c r="P42" s="134"/>
      <c r="Q42" s="30"/>
      <c r="R42" s="81" t="str">
        <f>VLOOKUP(C42,'Train Runs'!$A$13:$AE$9930,31,0)</f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-07-01T11:37:07-0600',mode:absolute,to:'2017-07-01T13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2" s="86" t="str">
        <f t="shared" si="1"/>
        <v>"C:\Program Files (x86)\AstroGrep\AstroGrep.exe" /e /r /s /spath="%USERPROFILE%\AppData\Local\Temp\OnboardLogs" /stypes="*4005*201707011*" /stext=" 18:.+((SYSTEM_STATE.+slice.+state.+changed )|(ment ac)|(multiple cpu faults)|(system.+state.+changed )|(\[timeout)|(PRM\|1\|D)|(kpr)|(kdp)|(train st.+moving)|(\|lc)|(penalty))"</v>
      </c>
      <c r="U42" s="9" t="str">
        <f t="shared" si="2"/>
        <v>4005</v>
      </c>
      <c r="V42" s="31">
        <f t="shared" si="3"/>
        <v>42917.788124999999</v>
      </c>
      <c r="W42" s="45" t="str">
        <f t="shared" si="4"/>
        <v>NW</v>
      </c>
      <c r="X42" s="22">
        <f t="shared" si="5"/>
        <v>1814</v>
      </c>
      <c r="Y42" s="96" t="str">
        <f t="shared" si="6"/>
        <v>echo {"issue":{"subject":"","project_id":79,"tracker_id":40,"status_id":1,"priority_id":2,"assigned_to_id":23,"start_date":"2017-07-01","description":"","custom_fields":[{"id":1,"name":"Subdivision","value":"NW"},{"id":4,"name":"Milepost","value":"0.0575"},{"id":17,"name":"Train ID","value":"1814-01"},{"id":16,"name":"Locomotive ID","value":"4005"},{"id":130,"name":"Impact","value":""},{"id":150,"name":"Time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/c/Users/stu/AppData/Local/Temp/OnboardLogs/RTDC4005 --include="*4005*201707011*"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"%USERPROFILE%\AppData\Local\Temp\OnboardLogs"\RTDC4005\*4005*201707011* &gt;&gt; 2017-07-01-SliceDisagreementCheck.txt</v>
      </c>
      <c r="AE42" s="145" t="str">
        <f t="shared" si="9"/>
        <v>start /low /b %USERPROFILE%\Documents\GitHub\eaglep3\Utilities\DownloadLogsFromS3.py --loco 4005 --day 2017-07-01</v>
      </c>
      <c r="AF42" s="1"/>
    </row>
    <row r="43" spans="1:32" x14ac:dyDescent="0.25">
      <c r="A43" s="31">
        <v>42917.357997685183</v>
      </c>
      <c r="B43" s="30" t="s">
        <v>639</v>
      </c>
      <c r="C43" s="30" t="s">
        <v>644</v>
      </c>
      <c r="D43" s="30" t="s">
        <v>49</v>
      </c>
      <c r="E43" s="30" t="s">
        <v>181</v>
      </c>
      <c r="F43" s="42">
        <v>0</v>
      </c>
      <c r="G43" s="42">
        <v>29</v>
      </c>
      <c r="H43" s="42">
        <v>58980</v>
      </c>
      <c r="I43" s="42">
        <v>58993</v>
      </c>
      <c r="J43" s="30" t="s">
        <v>182</v>
      </c>
      <c r="K43" s="42">
        <v>59048</v>
      </c>
      <c r="L43" s="131" t="s">
        <v>50</v>
      </c>
      <c r="M43" s="132">
        <f t="shared" si="0"/>
        <v>29.04</v>
      </c>
      <c r="N43" s="133" t="str">
        <f>VLOOKUP(C43,'Trips&amp;Operators'!$C$1:$G$99999,5,FALSE)</f>
        <v>ROCHA YAOTL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-07-01T06:57:28-0600',mode:absolute,to:'2017-07-01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3" s="86" t="str">
        <f t="shared" si="1"/>
        <v>"C:\Program Files (x86)\AstroGrep\AstroGrep.exe" /e /r /s /spath="%USERPROFILE%\AppData\Local\Temp\OnboardLogs" /stypes="*4006*201707011*" /stext=" 14:.+((SYSTEM_STATE.+slice.+state.+changed )|(ment ac)|(multiple cpu faults)|(system.+state.+changed )|(\[timeout)|(PRM\|1\|D)|(kpr)|(kdp)|(train st.+moving)|(\|lc)|(penalty))"</v>
      </c>
      <c r="U43" s="9" t="str">
        <f t="shared" si="2"/>
        <v>4006</v>
      </c>
      <c r="V43" s="31">
        <f t="shared" si="3"/>
        <v>42917.607997685183</v>
      </c>
      <c r="W43" s="45" t="str">
        <f t="shared" si="4"/>
        <v>NW</v>
      </c>
      <c r="X43" s="22">
        <f t="shared" si="5"/>
        <v>1805</v>
      </c>
      <c r="Y43" s="96" t="str">
        <f t="shared" si="6"/>
        <v>echo {"issue":{"subject":"","project_id":79,"tracker_id":40,"status_id":1,"priority_id":2,"assigned_to_id":23,"start_date":"2017-07-01","description":"","custom_fields":[{"id":1,"name":"Subdivision","value":"NW"},{"id":4,"name":"Milepost","value":"5.9048"},{"id":17,"name":"Train ID","value":"1805-01"},{"id":16,"name":"Locomotive ID","value":"4006"},{"id":130,"name":"Impact","value":""},{"id":150,"name":"Time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/c/Users/stu/AppData/Local/Temp/OnboardLogs/RTDC4006 --include="*4006*201707011*"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"%USERPROFILE%\AppData\Local\Temp\OnboardLogs"\RTDC4006\*4006*201707011* &gt;&gt; 2017-07-01-SliceDisagreementCheck.txt</v>
      </c>
      <c r="AE43" s="145" t="str">
        <f t="shared" si="9"/>
        <v>start /low /b %USERPROFILE%\Documents\GitHub\eaglep3\Utilities\DownloadLogsFromS3.py --loco 4006 --day 2017-07-01</v>
      </c>
      <c r="AF43" s="1"/>
    </row>
    <row r="44" spans="1:32" x14ac:dyDescent="0.25">
      <c r="A44" s="31">
        <v>42917.754513888889</v>
      </c>
      <c r="B44" s="30" t="s">
        <v>396</v>
      </c>
      <c r="C44" s="30" t="s">
        <v>664</v>
      </c>
      <c r="D44" s="30" t="s">
        <v>96</v>
      </c>
      <c r="E44" s="30" t="s">
        <v>361</v>
      </c>
      <c r="F44" s="42">
        <v>0</v>
      </c>
      <c r="G44" s="42">
        <v>30</v>
      </c>
      <c r="H44" s="42">
        <v>1727</v>
      </c>
      <c r="I44" s="42">
        <v>1781</v>
      </c>
      <c r="J44" s="30" t="s">
        <v>362</v>
      </c>
      <c r="K44" s="42">
        <v>1692</v>
      </c>
      <c r="L44" s="131" t="s">
        <v>50</v>
      </c>
      <c r="M44" s="132">
        <f t="shared" si="0"/>
        <v>-46.991999999999997</v>
      </c>
      <c r="N44" s="133" t="str">
        <f>VLOOKUP(C44,'Trips&amp;Operators'!$C$1:$G$99999,5,FALSE)</f>
        <v>BERLING GARY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 &amp; aws s3 cp s3://rtdc.mdm.uploadarchive.raw/RTDC4050/ "%USERPROFILE%\AppData\Local\Temp\OnboardLogs"\RTDC4050\2017-07-02 --exclude "*" --recursive --include "*20170702*" &amp; "%USERPROFILE%\Documents\GitHub\mrs-test-scripts\Headless Mode &amp; Sideloading\WalkAndUnGZ.bat" "%USERPROFILE%\AppData\Local\Temp\OnboardLogs"\RTDC4050\2017-07-02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-07-01T16:01:09-0600',mode:absolute,to:'2017-07-01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4" s="86" t="str">
        <f t="shared" si="1"/>
        <v>"C:\Program Files (x86)\AstroGrep\AstroGrep.exe" /e /r /s /spath="%USERPROFILE%\AppData\Local\Temp\OnboardLogs" /stypes="*4050*201707020*" /stext=" 00:.+((SYSTEM_STATE.+slice.+state.+changed )|(ment ac)|(multiple cpu faults)|(system.+state.+changed )|(\[timeout)|(PRM\|1\|D)|(kpr)|(kdp)|(train st.+moving)|(\|lc)|(penalty))"</v>
      </c>
      <c r="U44" s="9" t="str">
        <f t="shared" si="2"/>
        <v>4050</v>
      </c>
      <c r="V44" s="31">
        <f t="shared" si="3"/>
        <v>42918.004513888889</v>
      </c>
      <c r="W44" s="45" t="str">
        <f t="shared" si="4"/>
        <v>Shuttle/Test</v>
      </c>
      <c r="X44" s="22">
        <f t="shared" si="5"/>
        <v>51</v>
      </c>
      <c r="Y44" s="96" t="str">
        <f t="shared" si="6"/>
        <v>echo {"issue":{"subject":"","project_id":79,"tracker_id":40,"status_id":1,"priority_id":2,"assigned_to_id":23,"start_date":"2017-07-01","description":"","custom_fields":[{"id":1,"name":"Subdivision","value":"Shuttle/Test"},{"id":4,"name":"Milepost","value":"0.1692"},{"id":17,"name":"Train ID","value":"51-01"},{"id":16,"name":"Locomotive ID","value":"4050"},{"id":130,"name":"Impact","value":""},{"id":150,"name":"Time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/c/Users/stu/AppData/Local/Temp/OnboardLogs/RTDC4050 --include="*4050*201707020*"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"%USERPROFILE%\AppData\Local\Temp\OnboardLogs"\RTDC4050\*4050*201707020* &gt;&gt; 2017-07-01-SliceDisagreementCheck.txt</v>
      </c>
      <c r="AE44" s="145" t="str">
        <f t="shared" si="9"/>
        <v>start /low /b %USERPROFILE%\Documents\GitHub\eaglep3\Utilities\DownloadLogsFromS3.py --loco 4050 --day 2017-07-02</v>
      </c>
      <c r="AF44" s="1"/>
    </row>
    <row r="45" spans="1:32" x14ac:dyDescent="0.25">
      <c r="A45" s="31">
        <v>42917.754872685182</v>
      </c>
      <c r="B45" s="30" t="s">
        <v>396</v>
      </c>
      <c r="C45" s="30" t="s">
        <v>664</v>
      </c>
      <c r="D45" s="30" t="s">
        <v>96</v>
      </c>
      <c r="E45" s="30" t="s">
        <v>361</v>
      </c>
      <c r="F45" s="42">
        <v>0</v>
      </c>
      <c r="G45" s="42">
        <v>27</v>
      </c>
      <c r="H45" s="42">
        <v>1792</v>
      </c>
      <c r="I45" s="42">
        <v>1823</v>
      </c>
      <c r="J45" s="30" t="s">
        <v>362</v>
      </c>
      <c r="K45" s="42">
        <v>1692</v>
      </c>
      <c r="L45" s="131" t="s">
        <v>50</v>
      </c>
      <c r="M45" s="132">
        <f t="shared" si="0"/>
        <v>-69.168000000000006</v>
      </c>
      <c r="N45" s="133" t="str">
        <f>VLOOKUP(C45,'Trips&amp;Operators'!$C$1:$G$99999,5,FALSE)</f>
        <v>BERLING GARY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 &amp; aws s3 cp s3://rtdc.mdm.uploadarchive.raw/RTDC4050/ "%USERPROFILE%\AppData\Local\Temp\OnboardLogs"\RTDC4050\2017-07-02 --exclude "*" --recursive --include "*20170702*" &amp; "%USERPROFILE%\Documents\GitHub\mrs-test-scripts\Headless Mode &amp; Sideloading\WalkAndUnGZ.bat" "%USERPROFILE%\AppData\Local\Temp\OnboardLogs"\RTDC4050\2017-07-02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-07-01T16:01:09-0600',mode:absolute,to:'2017-07-01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5" s="86" t="str">
        <f t="shared" si="1"/>
        <v>"C:\Program Files (x86)\AstroGrep\AstroGrep.exe" /e /r /s /spath="%USERPROFILE%\AppData\Local\Temp\OnboardLogs" /stypes="*4050*201707020*" /stext=" 00:.+((SYSTEM_STATE.+slice.+state.+changed )|(ment ac)|(multiple cpu faults)|(system.+state.+changed )|(\[timeout)|(PRM\|1\|D)|(kpr)|(kdp)|(train st.+moving)|(\|lc)|(penalty))"</v>
      </c>
      <c r="U45" s="9" t="str">
        <f t="shared" si="2"/>
        <v>4050</v>
      </c>
      <c r="V45" s="31">
        <f t="shared" si="3"/>
        <v>42918.004872685182</v>
      </c>
      <c r="W45" s="45" t="str">
        <f t="shared" si="4"/>
        <v>Shuttle/Test</v>
      </c>
      <c r="X45" s="22">
        <f t="shared" si="5"/>
        <v>51</v>
      </c>
      <c r="Y45" s="96" t="str">
        <f t="shared" si="6"/>
        <v>echo {"issue":{"subject":"","project_id":79,"tracker_id":40,"status_id":1,"priority_id":2,"assigned_to_id":23,"start_date":"2017-07-01","description":"","custom_fields":[{"id":1,"name":"Subdivision","value":"Shuttle/Test"},{"id":4,"name":"Milepost","value":"0.1692"},{"id":17,"name":"Train ID","value":"51-01"},{"id":16,"name":"Locomotive ID","value":"4050"},{"id":130,"name":"Impact","value":""},{"id":150,"name":"Time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/c/Users/stu/AppData/Local/Temp/OnboardLogs/RTDC4050 --include="*4050*201707020*"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"%USERPROFILE%\AppData\Local\Temp\OnboardLogs"\RTDC4050\*4050*201707020* &gt;&gt; 2017-07-01-SliceDisagreementCheck.txt</v>
      </c>
      <c r="AE45" s="145" t="str">
        <f t="shared" si="9"/>
        <v>start /low /b %USERPROFILE%\Documents\GitHub\eaglep3\Utilities\DownloadLogsFromS3.py --loco 4050 --day 2017-07-02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>
    <sortState ref="A7:AC74">
      <sortCondition ref="W7:W45"/>
      <sortCondition ref="E7:E45"/>
      <sortCondition ref="K7:K45"/>
      <sortCondition ref="F7:F4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A3" sqref="A3:A6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-01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-01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-01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-01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-01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-01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-01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-01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-01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-01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-01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-01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-01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-01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-01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-01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-01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-01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-01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-01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-01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-01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-01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-01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-01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-01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-01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-01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-01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-01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 t="str">
        <f>A33&amp;"-"&amp;IF(DAY(Variables!$A$2)&lt;10,0,"")&amp;DAY(Variables!$A$2)</f>
        <v>-01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3" s="30" t="e">
        <f>VLOOKUP(B33,'Train Runs'!$A$13:$A$99927,1,FALSE)</f>
        <v>#N/A</v>
      </c>
    </row>
    <row r="34" spans="1:10" x14ac:dyDescent="0.25">
      <c r="A34" s="195"/>
      <c r="B34" s="42" t="str">
        <f>A34&amp;"-"&amp;IF(DAY(Variables!$A$2)&lt;10,0,"")&amp;DAY(Variables!$A$2)</f>
        <v>-01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4" s="30" t="e">
        <f>VLOOKUP(B34,'Train Runs'!$A$13:$A$99927,1,FALSE)</f>
        <v>#N/A</v>
      </c>
    </row>
    <row r="35" spans="1:10" x14ac:dyDescent="0.25">
      <c r="A35" s="195"/>
      <c r="B35" s="42" t="str">
        <f>A35&amp;"-"&amp;IF(DAY(Variables!$A$2)&lt;10,0,"")&amp;DAY(Variables!$A$2)</f>
        <v>-01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5" s="30" t="e">
        <f>VLOOKUP(B35,'Train Runs'!$A$13:$A$99927,1,FALSE)</f>
        <v>#N/A</v>
      </c>
    </row>
    <row r="36" spans="1:10" x14ac:dyDescent="0.25">
      <c r="A36" s="195"/>
      <c r="B36" s="42" t="str">
        <f>A36&amp;"-"&amp;IF(DAY(Variables!$A$2)&lt;10,0,"")&amp;DAY(Variables!$A$2)</f>
        <v>-01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6" s="30" t="e">
        <f>VLOOKUP(B36,'Train Runs'!$A$13:$A$99927,1,FALSE)</f>
        <v>#N/A</v>
      </c>
    </row>
    <row r="37" spans="1:10" x14ac:dyDescent="0.25">
      <c r="A37" s="195"/>
      <c r="B37" s="42" t="str">
        <f>A37&amp;"-"&amp;IF(DAY(Variables!$A$2)&lt;10,0,"")&amp;DAY(Variables!$A$2)</f>
        <v>-01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7" s="30" t="e">
        <f>VLOOKUP(B37,'Train Runs'!$A$13:$A$99927,1,FALSE)</f>
        <v>#N/A</v>
      </c>
    </row>
    <row r="38" spans="1:10" x14ac:dyDescent="0.25">
      <c r="A38" s="195"/>
      <c r="B38" s="42" t="str">
        <f>A38&amp;"-"&amp;IF(DAY(Variables!$A$2)&lt;10,0,"")&amp;DAY(Variables!$A$2)</f>
        <v>-01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8" s="30" t="e">
        <f>VLOOKUP(B38,'Train Runs'!$A$13:$A$99927,1,FALSE)</f>
        <v>#N/A</v>
      </c>
    </row>
    <row r="39" spans="1:10" x14ac:dyDescent="0.25">
      <c r="A39" s="195"/>
      <c r="B39" s="42" t="str">
        <f>A39&amp;"-"&amp;IF(DAY(Variables!$A$2)&lt;10,0,"")&amp;DAY(Variables!$A$2)</f>
        <v>-01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9" s="30" t="e">
        <f>VLOOKUP(B39,'Train Runs'!$A$13:$A$99927,1,FALSE)</f>
        <v>#N/A</v>
      </c>
    </row>
    <row r="40" spans="1:10" x14ac:dyDescent="0.25">
      <c r="A40" s="195"/>
      <c r="B40" s="42" t="str">
        <f>A40&amp;"-"&amp;IF(DAY(Variables!$A$2)&lt;10,0,"")&amp;DAY(Variables!$A$2)</f>
        <v>-01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0" s="30" t="e">
        <f>VLOOKUP(B40,'Train Runs'!$A$13:$A$99927,1,FALSE)</f>
        <v>#N/A</v>
      </c>
    </row>
    <row r="41" spans="1:10" x14ac:dyDescent="0.25">
      <c r="A41" s="195"/>
      <c r="B41" s="42" t="str">
        <f>A41&amp;"-"&amp;IF(DAY(Variables!$A$2)&lt;10,0,"")&amp;DAY(Variables!$A$2)</f>
        <v>-01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1" s="30" t="e">
        <f>VLOOKUP(B41,'Train Runs'!$A$13:$A$99927,1,FALSE)</f>
        <v>#N/A</v>
      </c>
    </row>
    <row r="42" spans="1:10" x14ac:dyDescent="0.25">
      <c r="A42" s="195"/>
      <c r="B42" s="42" t="str">
        <f>A42&amp;"-"&amp;IF(DAY(Variables!$A$2)&lt;10,0,"")&amp;DAY(Variables!$A$2)</f>
        <v>-01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2" s="30" t="e">
        <f>VLOOKUP(B42,'Train Runs'!$A$13:$A$99927,1,FALSE)</f>
        <v>#N/A</v>
      </c>
    </row>
    <row r="43" spans="1:10" x14ac:dyDescent="0.25">
      <c r="A43" s="195"/>
      <c r="B43" s="42" t="str">
        <f>A43&amp;"-"&amp;IF(DAY(Variables!$A$2)&lt;10,0,"")&amp;DAY(Variables!$A$2)</f>
        <v>-01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3" s="30" t="e">
        <f>VLOOKUP(B43,'Train Runs'!$A$13:$A$99927,1,FALSE)</f>
        <v>#N/A</v>
      </c>
    </row>
    <row r="44" spans="1:10" x14ac:dyDescent="0.25">
      <c r="A44" s="195"/>
      <c r="B44" s="42" t="str">
        <f>A44&amp;"-"&amp;IF(DAY(Variables!$A$2)&lt;10,0,"")&amp;DAY(Variables!$A$2)</f>
        <v>-01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4" s="30" t="e">
        <f>VLOOKUP(B44,'Train Runs'!$A$13:$A$99927,1,FALSE)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42917.031643518516</v>
      </c>
      <c r="B2" s="20" t="s">
        <v>674</v>
      </c>
      <c r="C2" s="20" t="s">
        <v>675</v>
      </c>
      <c r="D2" s="138">
        <v>2620000</v>
      </c>
      <c r="E2" s="20" t="s">
        <v>676</v>
      </c>
      <c r="F2" s="20" t="s">
        <v>677</v>
      </c>
      <c r="G2" s="8" t="str">
        <f>E2&amp;" "&amp;F2</f>
        <v>PERKINS DARREN</v>
      </c>
    </row>
    <row r="3" spans="1:7" x14ac:dyDescent="0.25">
      <c r="A3" s="8">
        <v>42917.037986111114</v>
      </c>
      <c r="B3" s="20" t="s">
        <v>678</v>
      </c>
      <c r="C3" s="20" t="s">
        <v>679</v>
      </c>
      <c r="D3" s="138">
        <v>3090000</v>
      </c>
      <c r="E3" s="20" t="s">
        <v>375</v>
      </c>
      <c r="F3" s="20" t="s">
        <v>376</v>
      </c>
      <c r="G3" s="8" t="str">
        <f t="shared" ref="G3:G66" si="0">E3&amp;" "&amp;F3</f>
        <v>LAMAR NEKESHA</v>
      </c>
    </row>
    <row r="4" spans="1:7" x14ac:dyDescent="0.25">
      <c r="A4" s="8">
        <v>42917.040914351855</v>
      </c>
      <c r="B4" s="20" t="s">
        <v>518</v>
      </c>
      <c r="C4" s="20" t="s">
        <v>680</v>
      </c>
      <c r="D4" s="138">
        <v>3030000</v>
      </c>
      <c r="E4" s="20" t="s">
        <v>381</v>
      </c>
      <c r="F4" s="20" t="s">
        <v>366</v>
      </c>
      <c r="G4" s="8" t="str">
        <f t="shared" si="0"/>
        <v>BIRENBAUM THOMAS</v>
      </c>
    </row>
    <row r="5" spans="1:7" x14ac:dyDescent="0.25">
      <c r="A5" s="8">
        <v>42917.047048611108</v>
      </c>
      <c r="B5" s="20" t="s">
        <v>448</v>
      </c>
      <c r="C5" s="20" t="s">
        <v>681</v>
      </c>
      <c r="D5" s="138">
        <v>1540000</v>
      </c>
      <c r="E5" s="20" t="s">
        <v>506</v>
      </c>
      <c r="F5" s="20" t="s">
        <v>507</v>
      </c>
      <c r="G5" s="8" t="str">
        <f t="shared" si="0"/>
        <v>HELVIE ADAM</v>
      </c>
    </row>
    <row r="6" spans="1:7" x14ac:dyDescent="0.25">
      <c r="A6" s="8">
        <v>42917.048726851855</v>
      </c>
      <c r="B6" s="20" t="s">
        <v>437</v>
      </c>
      <c r="C6" s="20" t="s">
        <v>682</v>
      </c>
      <c r="D6" s="138">
        <v>3000000</v>
      </c>
      <c r="E6" s="20" t="s">
        <v>422</v>
      </c>
      <c r="F6" s="20" t="s">
        <v>423</v>
      </c>
      <c r="G6" s="8" t="str">
        <f t="shared" si="0"/>
        <v>FORTUNATO FRANK</v>
      </c>
    </row>
    <row r="7" spans="1:7" x14ac:dyDescent="0.25">
      <c r="A7" s="8">
        <v>42917.068553240744</v>
      </c>
      <c r="B7" s="20" t="s">
        <v>357</v>
      </c>
      <c r="C7" s="20" t="s">
        <v>683</v>
      </c>
      <c r="D7" s="138">
        <v>2620000</v>
      </c>
      <c r="E7" s="20" t="s">
        <v>676</v>
      </c>
      <c r="F7" s="20" t="s">
        <v>677</v>
      </c>
      <c r="G7" s="8" t="str">
        <f t="shared" si="0"/>
        <v>PERKINS DARREN</v>
      </c>
    </row>
    <row r="8" spans="1:7" x14ac:dyDescent="0.25">
      <c r="A8" s="8">
        <v>42917.07775462963</v>
      </c>
      <c r="B8" s="20" t="s">
        <v>684</v>
      </c>
      <c r="C8" s="20" t="s">
        <v>685</v>
      </c>
      <c r="D8" s="138">
        <v>3090000</v>
      </c>
      <c r="E8" s="20" t="s">
        <v>375</v>
      </c>
      <c r="F8" s="20" t="s">
        <v>376</v>
      </c>
      <c r="G8" s="8" t="str">
        <f t="shared" si="0"/>
        <v>LAMAR NEKESHA</v>
      </c>
    </row>
    <row r="9" spans="1:7" ht="15.75" thickBot="1" x14ac:dyDescent="0.3">
      <c r="A9" s="24">
        <v>42917.082499999997</v>
      </c>
      <c r="B9" s="20" t="s">
        <v>520</v>
      </c>
      <c r="C9" s="20" t="s">
        <v>686</v>
      </c>
      <c r="D9" s="138">
        <v>3030000</v>
      </c>
      <c r="E9" s="20" t="s">
        <v>381</v>
      </c>
      <c r="F9" s="20" t="s">
        <v>366</v>
      </c>
      <c r="G9" s="8" t="str">
        <f t="shared" si="0"/>
        <v>BIRENBAUM THOMAS</v>
      </c>
    </row>
    <row r="10" spans="1:7" x14ac:dyDescent="0.25">
      <c r="A10" s="8">
        <v>42917.090624999997</v>
      </c>
      <c r="B10" s="20" t="s">
        <v>438</v>
      </c>
      <c r="C10" s="20" t="s">
        <v>687</v>
      </c>
      <c r="D10" s="138">
        <v>3000000</v>
      </c>
      <c r="E10" s="20" t="s">
        <v>422</v>
      </c>
      <c r="F10" s="20" t="s">
        <v>423</v>
      </c>
      <c r="G10" s="8" t="str">
        <f t="shared" si="0"/>
        <v>FORTUNATO FRANK</v>
      </c>
    </row>
    <row r="11" spans="1:7" x14ac:dyDescent="0.25">
      <c r="A11" s="8">
        <v>42917.11074074074</v>
      </c>
      <c r="B11" s="20" t="s">
        <v>678</v>
      </c>
      <c r="C11" s="20" t="s">
        <v>688</v>
      </c>
      <c r="D11" s="138">
        <v>3090000</v>
      </c>
      <c r="E11" s="20" t="s">
        <v>375</v>
      </c>
      <c r="F11" s="20" t="s">
        <v>376</v>
      </c>
      <c r="G11" s="8" t="str">
        <f t="shared" si="0"/>
        <v>LAMAR NEKESHA</v>
      </c>
    </row>
    <row r="12" spans="1:7" x14ac:dyDescent="0.25">
      <c r="A12" s="8">
        <v>42917.113958333335</v>
      </c>
      <c r="B12" s="20" t="s">
        <v>395</v>
      </c>
      <c r="C12" s="20" t="s">
        <v>689</v>
      </c>
      <c r="D12" s="138">
        <v>1240000</v>
      </c>
      <c r="E12" s="20" t="s">
        <v>690</v>
      </c>
      <c r="F12" s="20" t="s">
        <v>691</v>
      </c>
      <c r="G12" s="8" t="str">
        <f t="shared" si="0"/>
        <v>GRASTON MATHEU</v>
      </c>
    </row>
    <row r="13" spans="1:7" x14ac:dyDescent="0.25">
      <c r="A13" s="8">
        <v>42917.120451388888</v>
      </c>
      <c r="B13" s="20" t="s">
        <v>483</v>
      </c>
      <c r="C13" s="20" t="s">
        <v>692</v>
      </c>
      <c r="D13" s="138">
        <v>2010000</v>
      </c>
      <c r="E13" s="20" t="s">
        <v>495</v>
      </c>
      <c r="F13" s="20" t="s">
        <v>496</v>
      </c>
      <c r="G13" s="8" t="str">
        <f t="shared" si="0"/>
        <v>MAELZER KURT</v>
      </c>
    </row>
    <row r="14" spans="1:7" x14ac:dyDescent="0.25">
      <c r="A14" s="8">
        <v>42917.130636574075</v>
      </c>
      <c r="B14" s="20" t="s">
        <v>397</v>
      </c>
      <c r="C14" s="20" t="s">
        <v>693</v>
      </c>
      <c r="D14" s="138">
        <v>2010000</v>
      </c>
      <c r="E14" s="20" t="s">
        <v>495</v>
      </c>
      <c r="F14" s="20" t="s">
        <v>496</v>
      </c>
      <c r="G14" s="8" t="str">
        <f t="shared" si="0"/>
        <v>MAELZER KURT</v>
      </c>
    </row>
    <row r="15" spans="1:7" x14ac:dyDescent="0.25">
      <c r="A15" s="8">
        <v>42917.137442129628</v>
      </c>
      <c r="B15" s="20" t="s">
        <v>474</v>
      </c>
      <c r="C15" s="20" t="s">
        <v>694</v>
      </c>
      <c r="D15" s="138">
        <v>1340000</v>
      </c>
      <c r="E15" s="20" t="s">
        <v>695</v>
      </c>
      <c r="F15" s="20" t="s">
        <v>696</v>
      </c>
      <c r="G15" s="8" t="str">
        <f t="shared" si="0"/>
        <v>BEAM ROSS</v>
      </c>
    </row>
    <row r="16" spans="1:7" x14ac:dyDescent="0.25">
      <c r="A16" s="8">
        <v>42917.152696759258</v>
      </c>
      <c r="B16" s="20" t="s">
        <v>468</v>
      </c>
      <c r="C16" s="20" t="s">
        <v>697</v>
      </c>
      <c r="D16" s="138">
        <v>1340000</v>
      </c>
      <c r="E16" s="20" t="s">
        <v>695</v>
      </c>
      <c r="F16" s="20" t="s">
        <v>696</v>
      </c>
      <c r="G16" s="8" t="str">
        <f t="shared" si="0"/>
        <v>BEAM ROSS</v>
      </c>
    </row>
    <row r="17" spans="1:7" x14ac:dyDescent="0.25">
      <c r="A17" s="8">
        <v>42917.159259259257</v>
      </c>
      <c r="B17" s="20" t="s">
        <v>340</v>
      </c>
      <c r="C17" s="20" t="s">
        <v>698</v>
      </c>
      <c r="D17" s="138">
        <v>1990000</v>
      </c>
      <c r="E17" s="20" t="s">
        <v>411</v>
      </c>
      <c r="F17" s="20" t="s">
        <v>566</v>
      </c>
      <c r="G17" s="8" t="str">
        <f t="shared" si="0"/>
        <v>DAVIS WENDY</v>
      </c>
    </row>
    <row r="18" spans="1:7" x14ac:dyDescent="0.25">
      <c r="A18" s="8">
        <v>42917.166122685187</v>
      </c>
      <c r="B18" s="20" t="s">
        <v>483</v>
      </c>
      <c r="C18" s="20" t="s">
        <v>699</v>
      </c>
      <c r="D18" s="138">
        <v>2010000</v>
      </c>
      <c r="E18" s="20" t="s">
        <v>495</v>
      </c>
      <c r="F18" s="20" t="s">
        <v>496</v>
      </c>
      <c r="G18" s="8" t="str">
        <f t="shared" si="0"/>
        <v>MAELZER KURT</v>
      </c>
    </row>
    <row r="19" spans="1:7" x14ac:dyDescent="0.25">
      <c r="A19" s="8">
        <v>42917.170740740738</v>
      </c>
      <c r="B19" s="20" t="s">
        <v>339</v>
      </c>
      <c r="C19" s="20" t="s">
        <v>634</v>
      </c>
      <c r="D19" s="138">
        <v>1990000</v>
      </c>
      <c r="E19" s="20" t="s">
        <v>411</v>
      </c>
      <c r="F19" s="20" t="s">
        <v>566</v>
      </c>
      <c r="G19" s="8" t="str">
        <f t="shared" si="0"/>
        <v>DAVIS WENDY</v>
      </c>
    </row>
    <row r="20" spans="1:7" x14ac:dyDescent="0.25">
      <c r="A20" s="8">
        <v>42917.171481481484</v>
      </c>
      <c r="B20" s="20" t="s">
        <v>368</v>
      </c>
      <c r="C20" s="20" t="s">
        <v>700</v>
      </c>
      <c r="D20" s="138">
        <v>1100000</v>
      </c>
      <c r="E20" s="20" t="s">
        <v>567</v>
      </c>
      <c r="F20" s="20" t="s">
        <v>568</v>
      </c>
      <c r="G20" s="8" t="str">
        <f t="shared" si="0"/>
        <v>GEBRETEKLE DAGNEW</v>
      </c>
    </row>
    <row r="21" spans="1:7" x14ac:dyDescent="0.25">
      <c r="A21" s="8">
        <v>42917.18372685185</v>
      </c>
      <c r="B21" s="20" t="s">
        <v>474</v>
      </c>
      <c r="C21" s="20" t="s">
        <v>701</v>
      </c>
      <c r="D21" s="138">
        <v>1340000</v>
      </c>
      <c r="E21" s="20" t="s">
        <v>695</v>
      </c>
      <c r="F21" s="20" t="s">
        <v>696</v>
      </c>
      <c r="G21" s="8" t="str">
        <f t="shared" si="0"/>
        <v>BEAM ROSS</v>
      </c>
    </row>
    <row r="22" spans="1:7" x14ac:dyDescent="0.25">
      <c r="A22" s="26">
        <v>42917.183831018519</v>
      </c>
      <c r="B22" s="20" t="s">
        <v>374</v>
      </c>
      <c r="C22" s="20" t="s">
        <v>702</v>
      </c>
      <c r="D22" s="138">
        <v>1100000</v>
      </c>
      <c r="E22" s="20" t="s">
        <v>567</v>
      </c>
      <c r="F22" s="20" t="s">
        <v>568</v>
      </c>
      <c r="G22" s="8" t="str">
        <f t="shared" si="0"/>
        <v>GEBRETEKLE DAGNEW</v>
      </c>
    </row>
    <row r="23" spans="1:7" x14ac:dyDescent="0.25">
      <c r="A23" s="8">
        <v>42917.183935185189</v>
      </c>
      <c r="B23" s="20" t="s">
        <v>562</v>
      </c>
      <c r="C23" s="20" t="s">
        <v>703</v>
      </c>
      <c r="D23" s="138">
        <v>2530000</v>
      </c>
      <c r="E23" s="20" t="s">
        <v>704</v>
      </c>
      <c r="F23" s="20" t="s">
        <v>705</v>
      </c>
      <c r="G23" s="8" t="str">
        <f t="shared" si="0"/>
        <v>LALONDE GREGORY</v>
      </c>
    </row>
    <row r="24" spans="1:7" x14ac:dyDescent="0.25">
      <c r="A24" s="8">
        <v>42917.193819444445</v>
      </c>
      <c r="B24" s="20" t="s">
        <v>563</v>
      </c>
      <c r="C24" s="20" t="s">
        <v>706</v>
      </c>
      <c r="D24" s="138">
        <v>2530000</v>
      </c>
      <c r="E24" s="20" t="s">
        <v>704</v>
      </c>
      <c r="F24" s="20" t="s">
        <v>705</v>
      </c>
      <c r="G24" s="8" t="str">
        <f t="shared" si="0"/>
        <v>LALONDE GREGORY</v>
      </c>
    </row>
    <row r="25" spans="1:7" x14ac:dyDescent="0.25">
      <c r="A25" s="8">
        <v>42917.200046296297</v>
      </c>
      <c r="B25" s="20" t="s">
        <v>641</v>
      </c>
      <c r="C25" s="20" t="s">
        <v>707</v>
      </c>
      <c r="D25" s="138">
        <v>2600000</v>
      </c>
      <c r="E25" s="20" t="s">
        <v>708</v>
      </c>
      <c r="F25" s="20" t="s">
        <v>709</v>
      </c>
      <c r="G25" s="8" t="str">
        <f t="shared" si="0"/>
        <v>DAVIDSON DAVID</v>
      </c>
    </row>
    <row r="26" spans="1:7" x14ac:dyDescent="0.25">
      <c r="A26" s="8">
        <v>42917.206296296295</v>
      </c>
      <c r="B26" s="20" t="s">
        <v>397</v>
      </c>
      <c r="C26" s="20" t="s">
        <v>710</v>
      </c>
      <c r="D26" s="138">
        <v>2010000</v>
      </c>
      <c r="E26" s="20" t="s">
        <v>495</v>
      </c>
      <c r="F26" s="20" t="s">
        <v>496</v>
      </c>
      <c r="G26" s="8" t="str">
        <f t="shared" si="0"/>
        <v>MAELZER KURT</v>
      </c>
    </row>
    <row r="27" spans="1:7" x14ac:dyDescent="0.25">
      <c r="A27" s="8">
        <v>42917.214143518519</v>
      </c>
      <c r="B27" s="20" t="s">
        <v>368</v>
      </c>
      <c r="C27" s="20" t="s">
        <v>711</v>
      </c>
      <c r="D27" s="138">
        <v>1100000</v>
      </c>
      <c r="E27" s="20" t="s">
        <v>567</v>
      </c>
      <c r="F27" s="20" t="s">
        <v>568</v>
      </c>
      <c r="G27" s="8" t="str">
        <f t="shared" si="0"/>
        <v>GEBRETEKLE DAGNEW</v>
      </c>
    </row>
    <row r="28" spans="1:7" x14ac:dyDescent="0.25">
      <c r="A28" s="8">
        <v>42917.21429398148</v>
      </c>
      <c r="B28" s="20" t="s">
        <v>340</v>
      </c>
      <c r="C28" s="20" t="s">
        <v>635</v>
      </c>
      <c r="D28" s="138">
        <v>1990000</v>
      </c>
      <c r="E28" s="20" t="s">
        <v>411</v>
      </c>
      <c r="F28" s="20" t="s">
        <v>566</v>
      </c>
      <c r="G28" s="8" t="str">
        <f t="shared" si="0"/>
        <v>DAVIS WENDY</v>
      </c>
    </row>
    <row r="29" spans="1:7" x14ac:dyDescent="0.25">
      <c r="A29" s="8">
        <v>42917.214560185188</v>
      </c>
      <c r="B29" s="20" t="s">
        <v>575</v>
      </c>
      <c r="C29" s="20" t="s">
        <v>712</v>
      </c>
      <c r="D29" s="138">
        <v>2600000</v>
      </c>
      <c r="E29" s="20" t="s">
        <v>708</v>
      </c>
      <c r="F29" s="20" t="s">
        <v>709</v>
      </c>
      <c r="G29" s="8" t="str">
        <f t="shared" si="0"/>
        <v>DAVIDSON DAVID</v>
      </c>
    </row>
    <row r="30" spans="1:7" x14ac:dyDescent="0.25">
      <c r="A30" s="8">
        <v>42917.221921296295</v>
      </c>
      <c r="B30" s="20" t="s">
        <v>649</v>
      </c>
      <c r="C30" s="20" t="s">
        <v>713</v>
      </c>
      <c r="D30" s="138">
        <v>2970000</v>
      </c>
      <c r="E30" s="20" t="s">
        <v>379</v>
      </c>
      <c r="F30" s="20" t="s">
        <v>380</v>
      </c>
      <c r="G30" s="8" t="str">
        <f t="shared" si="0"/>
        <v>GUZMAN DANNY</v>
      </c>
    </row>
    <row r="31" spans="1:7" x14ac:dyDescent="0.25">
      <c r="A31" s="8">
        <v>42917.224606481483</v>
      </c>
      <c r="B31" s="20" t="s">
        <v>562</v>
      </c>
      <c r="C31" s="20" t="s">
        <v>638</v>
      </c>
      <c r="D31" s="138">
        <v>2530000</v>
      </c>
      <c r="E31" s="20" t="s">
        <v>704</v>
      </c>
      <c r="F31" s="20" t="s">
        <v>705</v>
      </c>
      <c r="G31" s="8" t="str">
        <f t="shared" si="0"/>
        <v>LALONDE GREGORY</v>
      </c>
    </row>
    <row r="32" spans="1:7" x14ac:dyDescent="0.25">
      <c r="A32" s="8">
        <v>42917.225787037038</v>
      </c>
      <c r="B32" s="20" t="s">
        <v>639</v>
      </c>
      <c r="C32" s="20" t="s">
        <v>714</v>
      </c>
      <c r="D32" s="138">
        <v>900000</v>
      </c>
      <c r="E32" s="20" t="s">
        <v>715</v>
      </c>
      <c r="F32" s="20" t="s">
        <v>716</v>
      </c>
      <c r="G32" s="8" t="str">
        <f t="shared" si="0"/>
        <v>ROCHA YAOTL</v>
      </c>
    </row>
    <row r="33" spans="1:7" x14ac:dyDescent="0.25">
      <c r="A33" s="8">
        <v>42917.226631944446</v>
      </c>
      <c r="B33" s="20" t="s">
        <v>468</v>
      </c>
      <c r="C33" s="20" t="s">
        <v>717</v>
      </c>
      <c r="D33" s="138">
        <v>1340000</v>
      </c>
      <c r="E33" s="20" t="s">
        <v>695</v>
      </c>
      <c r="F33" s="20" t="s">
        <v>696</v>
      </c>
      <c r="G33" s="8" t="str">
        <f t="shared" si="0"/>
        <v>BEAM ROSS</v>
      </c>
    </row>
    <row r="34" spans="1:7" x14ac:dyDescent="0.25">
      <c r="A34" s="8">
        <v>42917.231539351851</v>
      </c>
      <c r="B34" s="20" t="s">
        <v>340</v>
      </c>
      <c r="C34" s="20" t="s">
        <v>635</v>
      </c>
      <c r="D34" s="138">
        <v>1990000</v>
      </c>
      <c r="E34" s="20" t="s">
        <v>411</v>
      </c>
      <c r="F34" s="20" t="s">
        <v>566</v>
      </c>
      <c r="G34" s="8" t="str">
        <f t="shared" si="0"/>
        <v>DAVIS WENDY</v>
      </c>
    </row>
    <row r="35" spans="1:7" x14ac:dyDescent="0.25">
      <c r="A35" s="8">
        <v>42917.235046296293</v>
      </c>
      <c r="B35" s="20" t="s">
        <v>646</v>
      </c>
      <c r="C35" s="20" t="s">
        <v>718</v>
      </c>
      <c r="D35" s="138">
        <v>2970000</v>
      </c>
      <c r="E35" s="20" t="s">
        <v>379</v>
      </c>
      <c r="F35" s="20" t="s">
        <v>380</v>
      </c>
      <c r="G35" s="8" t="str">
        <f t="shared" si="0"/>
        <v>GUZMAN DANNY</v>
      </c>
    </row>
    <row r="36" spans="1:7" x14ac:dyDescent="0.25">
      <c r="A36" s="8">
        <v>42917.23578703704</v>
      </c>
      <c r="B36" s="20" t="s">
        <v>651</v>
      </c>
      <c r="C36" s="20" t="s">
        <v>719</v>
      </c>
      <c r="D36" s="138">
        <v>900000</v>
      </c>
      <c r="E36" s="20" t="s">
        <v>715</v>
      </c>
      <c r="F36" s="20" t="s">
        <v>716</v>
      </c>
      <c r="G36" s="8" t="str">
        <f t="shared" si="0"/>
        <v>ROCHA YAOTL</v>
      </c>
    </row>
    <row r="37" spans="1:7" x14ac:dyDescent="0.25">
      <c r="A37" s="8">
        <v>42917.242905092593</v>
      </c>
      <c r="B37" s="20" t="s">
        <v>483</v>
      </c>
      <c r="C37" s="20" t="s">
        <v>720</v>
      </c>
      <c r="D37" s="138">
        <v>2010000</v>
      </c>
      <c r="E37" s="20" t="s">
        <v>495</v>
      </c>
      <c r="F37" s="20" t="s">
        <v>496</v>
      </c>
      <c r="G37" s="8" t="str">
        <f t="shared" si="0"/>
        <v>MAELZER KURT</v>
      </c>
    </row>
    <row r="38" spans="1:7" x14ac:dyDescent="0.25">
      <c r="A38" s="8">
        <v>42917.246898148151</v>
      </c>
      <c r="B38" s="20" t="s">
        <v>339</v>
      </c>
      <c r="C38" s="20" t="s">
        <v>721</v>
      </c>
      <c r="D38" s="138">
        <v>1990000</v>
      </c>
      <c r="E38" s="20" t="s">
        <v>411</v>
      </c>
      <c r="F38" s="20" t="s">
        <v>566</v>
      </c>
      <c r="G38" s="8" t="str">
        <f t="shared" si="0"/>
        <v>DAVIS WENDY</v>
      </c>
    </row>
    <row r="39" spans="1:7" x14ac:dyDescent="0.25">
      <c r="A39" s="8">
        <v>42917.246944444443</v>
      </c>
      <c r="B39" s="20" t="s">
        <v>641</v>
      </c>
      <c r="C39" s="20" t="s">
        <v>642</v>
      </c>
      <c r="D39" s="138">
        <v>2600000</v>
      </c>
      <c r="E39" s="20" t="s">
        <v>708</v>
      </c>
      <c r="F39" s="20" t="s">
        <v>709</v>
      </c>
      <c r="G39" s="8" t="str">
        <f t="shared" si="0"/>
        <v>DAVIDSON DAVID</v>
      </c>
    </row>
    <row r="40" spans="1:7" x14ac:dyDescent="0.25">
      <c r="A40" s="8">
        <v>42917.256481481483</v>
      </c>
      <c r="B40" s="25" t="s">
        <v>374</v>
      </c>
      <c r="C40" s="20" t="s">
        <v>722</v>
      </c>
      <c r="D40" s="138">
        <v>1100000</v>
      </c>
      <c r="E40" s="20" t="s">
        <v>567</v>
      </c>
      <c r="F40" s="20" t="s">
        <v>568</v>
      </c>
      <c r="G40" s="8" t="str">
        <f t="shared" si="0"/>
        <v>GEBRETEKLE DAGNEW</v>
      </c>
    </row>
    <row r="41" spans="1:7" x14ac:dyDescent="0.25">
      <c r="A41" s="8">
        <v>42917.261782407404</v>
      </c>
      <c r="B41" s="20" t="s">
        <v>639</v>
      </c>
      <c r="C41" s="20" t="s">
        <v>640</v>
      </c>
      <c r="D41" s="138">
        <v>900000</v>
      </c>
      <c r="E41" s="20" t="s">
        <v>715</v>
      </c>
      <c r="F41" s="20" t="s">
        <v>716</v>
      </c>
      <c r="G41" s="8" t="str">
        <f t="shared" si="0"/>
        <v>ROCHA YAOTL</v>
      </c>
    </row>
    <row r="42" spans="1:7" x14ac:dyDescent="0.25">
      <c r="A42" s="8">
        <v>42917.266851851855</v>
      </c>
      <c r="B42" s="20" t="s">
        <v>474</v>
      </c>
      <c r="C42" s="20" t="s">
        <v>723</v>
      </c>
      <c r="D42" s="138">
        <v>1340000</v>
      </c>
      <c r="E42" s="20" t="s">
        <v>695</v>
      </c>
      <c r="F42" s="20" t="s">
        <v>696</v>
      </c>
      <c r="G42" s="8" t="str">
        <f t="shared" si="0"/>
        <v>BEAM ROSS</v>
      </c>
    </row>
    <row r="43" spans="1:7" x14ac:dyDescent="0.25">
      <c r="A43" s="8">
        <v>42917.267789351848</v>
      </c>
      <c r="B43" s="20" t="s">
        <v>649</v>
      </c>
      <c r="C43" s="20" t="s">
        <v>724</v>
      </c>
      <c r="D43" s="138">
        <v>2970000</v>
      </c>
      <c r="E43" s="20" t="s">
        <v>379</v>
      </c>
      <c r="F43" s="20" t="s">
        <v>380</v>
      </c>
      <c r="G43" s="8" t="str">
        <f t="shared" si="0"/>
        <v>GUZMAN DANNY</v>
      </c>
    </row>
    <row r="44" spans="1:7" x14ac:dyDescent="0.25">
      <c r="A44" s="8">
        <v>42917.268275462964</v>
      </c>
      <c r="B44" s="20" t="s">
        <v>563</v>
      </c>
      <c r="C44" s="20" t="s">
        <v>725</v>
      </c>
      <c r="D44" s="138">
        <v>2530000</v>
      </c>
      <c r="E44" s="20" t="s">
        <v>704</v>
      </c>
      <c r="F44" s="20" t="s">
        <v>705</v>
      </c>
      <c r="G44" s="8" t="str">
        <f t="shared" si="0"/>
        <v>LALONDE GREGORY</v>
      </c>
    </row>
    <row r="45" spans="1:7" x14ac:dyDescent="0.25">
      <c r="A45" s="8">
        <v>42917.275902777779</v>
      </c>
      <c r="B45" s="20" t="s">
        <v>651</v>
      </c>
      <c r="C45" s="20" t="s">
        <v>726</v>
      </c>
      <c r="D45" s="138">
        <v>900000</v>
      </c>
      <c r="E45" s="20" t="s">
        <v>715</v>
      </c>
      <c r="F45" s="20" t="s">
        <v>716</v>
      </c>
      <c r="G45" s="8" t="str">
        <f t="shared" si="0"/>
        <v>ROCHA YAOTL</v>
      </c>
    </row>
    <row r="46" spans="1:7" x14ac:dyDescent="0.25">
      <c r="A46" s="8">
        <v>42917.277326388888</v>
      </c>
      <c r="B46" s="20" t="s">
        <v>397</v>
      </c>
      <c r="C46" s="20" t="s">
        <v>727</v>
      </c>
      <c r="D46" s="138">
        <v>2010000</v>
      </c>
      <c r="E46" s="20" t="s">
        <v>495</v>
      </c>
      <c r="F46" s="20" t="s">
        <v>496</v>
      </c>
      <c r="G46" s="8" t="str">
        <f t="shared" si="0"/>
        <v>MAELZER KURT</v>
      </c>
    </row>
    <row r="47" spans="1:7" x14ac:dyDescent="0.25">
      <c r="A47" s="8">
        <v>42917.287430555552</v>
      </c>
      <c r="B47" s="20" t="s">
        <v>340</v>
      </c>
      <c r="C47" s="20" t="s">
        <v>728</v>
      </c>
      <c r="D47" s="138">
        <v>1990000</v>
      </c>
      <c r="E47" s="20" t="s">
        <v>411</v>
      </c>
      <c r="F47" s="20" t="s">
        <v>566</v>
      </c>
      <c r="G47" s="8" t="str">
        <f t="shared" si="0"/>
        <v>DAVIS WENDY</v>
      </c>
    </row>
    <row r="48" spans="1:7" x14ac:dyDescent="0.25">
      <c r="A48" s="8">
        <v>42917.289340277777</v>
      </c>
      <c r="B48" s="20" t="s">
        <v>368</v>
      </c>
      <c r="C48" s="20" t="s">
        <v>729</v>
      </c>
      <c r="D48" s="138">
        <v>1100000</v>
      </c>
      <c r="E48" s="20" t="s">
        <v>567</v>
      </c>
      <c r="F48" s="20" t="s">
        <v>568</v>
      </c>
      <c r="G48" s="8" t="str">
        <f t="shared" si="0"/>
        <v>GEBRETEKLE DAGNEW</v>
      </c>
    </row>
    <row r="49" spans="1:7" x14ac:dyDescent="0.25">
      <c r="A49" s="8">
        <v>42917.291851851849</v>
      </c>
      <c r="B49" s="20" t="s">
        <v>575</v>
      </c>
      <c r="C49" s="20" t="s">
        <v>730</v>
      </c>
      <c r="D49" s="138">
        <v>2600000</v>
      </c>
      <c r="E49" s="20" t="s">
        <v>708</v>
      </c>
      <c r="F49" s="20" t="s">
        <v>709</v>
      </c>
      <c r="G49" s="8" t="str">
        <f t="shared" si="0"/>
        <v>DAVIDSON DAVID</v>
      </c>
    </row>
    <row r="50" spans="1:7" x14ac:dyDescent="0.25">
      <c r="A50" s="8">
        <v>42917.297777777778</v>
      </c>
      <c r="B50" s="20" t="s">
        <v>562</v>
      </c>
      <c r="C50" s="20" t="s">
        <v>731</v>
      </c>
      <c r="D50" s="138">
        <v>2530000</v>
      </c>
      <c r="E50" s="20" t="s">
        <v>704</v>
      </c>
      <c r="F50" s="20" t="s">
        <v>705</v>
      </c>
      <c r="G50" s="8" t="str">
        <f t="shared" si="0"/>
        <v>LALONDE GREGORY</v>
      </c>
    </row>
    <row r="51" spans="1:7" x14ac:dyDescent="0.25">
      <c r="A51" s="8">
        <v>42917.301030092596</v>
      </c>
      <c r="B51" s="20" t="s">
        <v>468</v>
      </c>
      <c r="C51" s="20" t="s">
        <v>732</v>
      </c>
      <c r="D51" s="138">
        <v>1340000</v>
      </c>
      <c r="E51" s="20" t="s">
        <v>695</v>
      </c>
      <c r="F51" s="20" t="s">
        <v>696</v>
      </c>
      <c r="G51" s="8" t="str">
        <f t="shared" si="0"/>
        <v>BEAM ROSS</v>
      </c>
    </row>
    <row r="52" spans="1:7" x14ac:dyDescent="0.25">
      <c r="A52" s="8">
        <v>42917.305775462963</v>
      </c>
      <c r="B52" s="20" t="s">
        <v>639</v>
      </c>
      <c r="C52" s="20" t="s">
        <v>733</v>
      </c>
      <c r="D52" s="138">
        <v>900000</v>
      </c>
      <c r="E52" s="20" t="s">
        <v>715</v>
      </c>
      <c r="F52" s="20" t="s">
        <v>716</v>
      </c>
      <c r="G52" s="8" t="str">
        <f t="shared" si="0"/>
        <v>ROCHA YAOTL</v>
      </c>
    </row>
    <row r="53" spans="1:7" x14ac:dyDescent="0.25">
      <c r="A53" s="8">
        <v>42917.308148148149</v>
      </c>
      <c r="B53" s="20" t="s">
        <v>646</v>
      </c>
      <c r="C53" s="20" t="s">
        <v>734</v>
      </c>
      <c r="D53" s="138">
        <v>2970000</v>
      </c>
      <c r="E53" s="20" t="s">
        <v>379</v>
      </c>
      <c r="F53" s="20" t="s">
        <v>380</v>
      </c>
      <c r="G53" s="8" t="str">
        <f t="shared" si="0"/>
        <v>GUZMAN DANNY</v>
      </c>
    </row>
    <row r="54" spans="1:7" x14ac:dyDescent="0.25">
      <c r="A54" s="8">
        <v>42917.313321759262</v>
      </c>
      <c r="B54" s="20" t="s">
        <v>483</v>
      </c>
      <c r="C54" s="20" t="s">
        <v>735</v>
      </c>
      <c r="D54" s="138">
        <v>2010000</v>
      </c>
      <c r="E54" s="20" t="s">
        <v>495</v>
      </c>
      <c r="F54" s="20" t="s">
        <v>496</v>
      </c>
      <c r="G54" s="8" t="str">
        <f t="shared" si="0"/>
        <v>MAELZER KURT</v>
      </c>
    </row>
    <row r="55" spans="1:7" x14ac:dyDescent="0.25">
      <c r="A55" s="8">
        <v>42917.318240740744</v>
      </c>
      <c r="B55" s="20" t="s">
        <v>651</v>
      </c>
      <c r="C55" s="20" t="s">
        <v>736</v>
      </c>
      <c r="D55" s="138">
        <v>900000</v>
      </c>
      <c r="E55" s="20" t="s">
        <v>715</v>
      </c>
      <c r="F55" s="20" t="s">
        <v>716</v>
      </c>
      <c r="G55" s="8" t="str">
        <f t="shared" si="0"/>
        <v>ROCHA YAOTL</v>
      </c>
    </row>
    <row r="56" spans="1:7" x14ac:dyDescent="0.25">
      <c r="A56" s="8">
        <v>42917.319513888891</v>
      </c>
      <c r="B56" s="20" t="s">
        <v>339</v>
      </c>
      <c r="C56" s="20" t="s">
        <v>643</v>
      </c>
      <c r="D56" s="138">
        <v>1990000</v>
      </c>
      <c r="E56" s="20" t="s">
        <v>411</v>
      </c>
      <c r="F56" s="20" t="s">
        <v>566</v>
      </c>
      <c r="G56" s="8" t="str">
        <f t="shared" si="0"/>
        <v>DAVIS WENDY</v>
      </c>
    </row>
    <row r="57" spans="1:7" x14ac:dyDescent="0.25">
      <c r="A57" s="8">
        <v>42917.321805555555</v>
      </c>
      <c r="B57" s="20" t="s">
        <v>641</v>
      </c>
      <c r="C57" s="20" t="s">
        <v>737</v>
      </c>
      <c r="D57" s="138">
        <v>2600000</v>
      </c>
      <c r="E57" s="20" t="s">
        <v>708</v>
      </c>
      <c r="F57" s="20" t="s">
        <v>709</v>
      </c>
      <c r="G57" s="8" t="str">
        <f t="shared" si="0"/>
        <v>DAVIDSON DAVID</v>
      </c>
    </row>
    <row r="58" spans="1:7" x14ac:dyDescent="0.25">
      <c r="A58" s="8">
        <v>42917.329039351855</v>
      </c>
      <c r="B58" s="20" t="s">
        <v>374</v>
      </c>
      <c r="C58" s="20" t="s">
        <v>738</v>
      </c>
      <c r="D58" s="138">
        <v>1100000</v>
      </c>
      <c r="E58" s="20" t="s">
        <v>567</v>
      </c>
      <c r="F58" s="20" t="s">
        <v>568</v>
      </c>
      <c r="G58" s="8" t="str">
        <f t="shared" si="0"/>
        <v>GEBRETEKLE DAGNEW</v>
      </c>
    </row>
    <row r="59" spans="1:7" x14ac:dyDescent="0.25">
      <c r="A59" s="8">
        <v>42917.331747685188</v>
      </c>
      <c r="B59" s="20" t="s">
        <v>474</v>
      </c>
      <c r="C59" s="20" t="s">
        <v>645</v>
      </c>
      <c r="D59" s="138">
        <v>1340000</v>
      </c>
      <c r="E59" s="20" t="s">
        <v>695</v>
      </c>
      <c r="F59" s="20" t="s">
        <v>696</v>
      </c>
      <c r="G59" s="8" t="str">
        <f t="shared" si="0"/>
        <v>BEAM ROSS</v>
      </c>
    </row>
    <row r="60" spans="1:7" x14ac:dyDescent="0.25">
      <c r="A60" s="8">
        <v>42917.331956018519</v>
      </c>
      <c r="B60" s="20" t="s">
        <v>639</v>
      </c>
      <c r="C60" s="20" t="s">
        <v>644</v>
      </c>
      <c r="D60" s="138">
        <v>900000</v>
      </c>
      <c r="E60" s="20" t="s">
        <v>715</v>
      </c>
      <c r="F60" s="20" t="s">
        <v>716</v>
      </c>
      <c r="G60" s="8" t="str">
        <f t="shared" si="0"/>
        <v>ROCHA YAOTL</v>
      </c>
    </row>
    <row r="61" spans="1:7" x14ac:dyDescent="0.25">
      <c r="A61" s="8">
        <v>42917.339641203704</v>
      </c>
      <c r="B61" s="20" t="s">
        <v>563</v>
      </c>
      <c r="C61" s="20" t="s">
        <v>739</v>
      </c>
      <c r="D61" s="138">
        <v>2530000</v>
      </c>
      <c r="E61" s="20" t="s">
        <v>704</v>
      </c>
      <c r="F61" s="20" t="s">
        <v>705</v>
      </c>
      <c r="G61" s="8" t="str">
        <f t="shared" si="0"/>
        <v>LALONDE GREGORY</v>
      </c>
    </row>
    <row r="62" spans="1:7" x14ac:dyDescent="0.25">
      <c r="A62" s="8">
        <v>42917.340474537035</v>
      </c>
      <c r="B62" s="20" t="s">
        <v>649</v>
      </c>
      <c r="C62" s="20" t="s">
        <v>740</v>
      </c>
      <c r="D62" s="138">
        <v>2970000</v>
      </c>
      <c r="E62" s="20" t="s">
        <v>379</v>
      </c>
      <c r="F62" s="20" t="s">
        <v>380</v>
      </c>
      <c r="G62" s="8" t="str">
        <f t="shared" si="0"/>
        <v>GUZMAN DANNY</v>
      </c>
    </row>
    <row r="63" spans="1:7" x14ac:dyDescent="0.25">
      <c r="A63" s="8">
        <v>42917.349641203706</v>
      </c>
      <c r="B63" s="20" t="s">
        <v>397</v>
      </c>
      <c r="C63" s="20" t="s">
        <v>741</v>
      </c>
      <c r="D63" s="138">
        <v>2010000</v>
      </c>
      <c r="E63" s="20" t="s">
        <v>495</v>
      </c>
      <c r="F63" s="20" t="s">
        <v>496</v>
      </c>
      <c r="G63" s="8" t="str">
        <f t="shared" si="0"/>
        <v>MAELZER KURT</v>
      </c>
    </row>
    <row r="64" spans="1:7" x14ac:dyDescent="0.25">
      <c r="A64" s="26">
        <v>42917.359525462962</v>
      </c>
      <c r="B64" s="20" t="s">
        <v>651</v>
      </c>
      <c r="C64" s="20" t="s">
        <v>742</v>
      </c>
      <c r="D64" s="138">
        <v>900000</v>
      </c>
      <c r="E64" s="20" t="s">
        <v>715</v>
      </c>
      <c r="F64" s="20" t="s">
        <v>716</v>
      </c>
      <c r="G64" s="8" t="str">
        <f t="shared" si="0"/>
        <v>ROCHA YAOTL</v>
      </c>
    </row>
    <row r="65" spans="1:7" x14ac:dyDescent="0.25">
      <c r="A65" s="8">
        <v>42917.360277777778</v>
      </c>
      <c r="B65" s="20" t="s">
        <v>368</v>
      </c>
      <c r="C65" s="20" t="s">
        <v>743</v>
      </c>
      <c r="D65" s="138">
        <v>1100000</v>
      </c>
      <c r="E65" s="20" t="s">
        <v>567</v>
      </c>
      <c r="F65" s="20" t="s">
        <v>568</v>
      </c>
      <c r="G65" s="8" t="str">
        <f t="shared" si="0"/>
        <v>GEBRETEKLE DAGNEW</v>
      </c>
    </row>
    <row r="66" spans="1:7" x14ac:dyDescent="0.25">
      <c r="A66" s="8">
        <v>42917.360300925924</v>
      </c>
      <c r="B66" s="20" t="s">
        <v>340</v>
      </c>
      <c r="C66" s="20" t="s">
        <v>744</v>
      </c>
      <c r="D66" s="138">
        <v>1990000</v>
      </c>
      <c r="E66" s="20" t="s">
        <v>411</v>
      </c>
      <c r="F66" s="20" t="s">
        <v>566</v>
      </c>
      <c r="G66" s="8" t="str">
        <f t="shared" si="0"/>
        <v>DAVIS WENDY</v>
      </c>
    </row>
    <row r="67" spans="1:7" x14ac:dyDescent="0.25">
      <c r="A67" s="8">
        <v>42917.360358796293</v>
      </c>
      <c r="B67" s="20" t="s">
        <v>575</v>
      </c>
      <c r="C67" s="20" t="s">
        <v>745</v>
      </c>
      <c r="D67" s="138">
        <v>2600000</v>
      </c>
      <c r="E67" s="20" t="s">
        <v>708</v>
      </c>
      <c r="F67" s="20" t="s">
        <v>709</v>
      </c>
      <c r="G67" s="8" t="str">
        <f t="shared" ref="G67:G130" si="1">E67&amp;" "&amp;F67</f>
        <v>DAVIDSON DAVID</v>
      </c>
    </row>
    <row r="68" spans="1:7" x14ac:dyDescent="0.25">
      <c r="A68" s="8">
        <v>42917.372777777775</v>
      </c>
      <c r="B68" s="20" t="s">
        <v>468</v>
      </c>
      <c r="C68" s="20" t="s">
        <v>746</v>
      </c>
      <c r="D68" s="138">
        <v>1340000</v>
      </c>
      <c r="E68" s="20" t="s">
        <v>695</v>
      </c>
      <c r="F68" s="20" t="s">
        <v>696</v>
      </c>
      <c r="G68" s="8" t="str">
        <f t="shared" si="1"/>
        <v>BEAM ROSS</v>
      </c>
    </row>
    <row r="69" spans="1:7" x14ac:dyDescent="0.25">
      <c r="A69" s="8">
        <v>42917.373541666668</v>
      </c>
      <c r="B69" s="20" t="s">
        <v>639</v>
      </c>
      <c r="C69" s="20" t="s">
        <v>747</v>
      </c>
      <c r="D69" s="138">
        <v>900000</v>
      </c>
      <c r="E69" s="20" t="s">
        <v>715</v>
      </c>
      <c r="F69" s="20" t="s">
        <v>716</v>
      </c>
      <c r="G69" s="8" t="str">
        <f t="shared" si="1"/>
        <v>ROCHA YAOTL</v>
      </c>
    </row>
    <row r="70" spans="1:7" x14ac:dyDescent="0.25">
      <c r="A70" s="8">
        <v>42917.373831018522</v>
      </c>
      <c r="B70" s="20" t="s">
        <v>562</v>
      </c>
      <c r="C70" s="20" t="s">
        <v>748</v>
      </c>
      <c r="D70" s="138">
        <v>2530000</v>
      </c>
      <c r="E70" s="20" t="s">
        <v>704</v>
      </c>
      <c r="F70" s="20" t="s">
        <v>705</v>
      </c>
      <c r="G70" s="8" t="str">
        <f t="shared" si="1"/>
        <v>LALONDE GREGORY</v>
      </c>
    </row>
    <row r="71" spans="1:7" x14ac:dyDescent="0.25">
      <c r="A71" s="8">
        <v>42917.381041666667</v>
      </c>
      <c r="B71" s="20" t="s">
        <v>646</v>
      </c>
      <c r="C71" s="20" t="s">
        <v>749</v>
      </c>
      <c r="D71" s="138">
        <v>2970000</v>
      </c>
      <c r="E71" s="20" t="s">
        <v>379</v>
      </c>
      <c r="F71" s="20" t="s">
        <v>380</v>
      </c>
      <c r="G71" s="8" t="str">
        <f t="shared" si="1"/>
        <v>GUZMAN DANNY</v>
      </c>
    </row>
    <row r="72" spans="1:7" x14ac:dyDescent="0.25">
      <c r="A72" s="8">
        <v>42917.38616898148</v>
      </c>
      <c r="B72" s="20" t="s">
        <v>483</v>
      </c>
      <c r="C72" s="20" t="s">
        <v>750</v>
      </c>
      <c r="D72" s="138">
        <v>2010000</v>
      </c>
      <c r="E72" s="20" t="s">
        <v>495</v>
      </c>
      <c r="F72" s="20" t="s">
        <v>496</v>
      </c>
      <c r="G72" s="8" t="str">
        <f t="shared" si="1"/>
        <v>MAELZER KURT</v>
      </c>
    </row>
    <row r="73" spans="1:7" x14ac:dyDescent="0.25">
      <c r="A73" s="8">
        <v>42917.39234953704</v>
      </c>
      <c r="B73" s="20" t="s">
        <v>339</v>
      </c>
      <c r="C73" s="20" t="s">
        <v>751</v>
      </c>
      <c r="D73" s="138">
        <v>1990000</v>
      </c>
      <c r="E73" s="20" t="s">
        <v>411</v>
      </c>
      <c r="F73" s="20" t="s">
        <v>566</v>
      </c>
      <c r="G73" s="8" t="str">
        <f t="shared" si="1"/>
        <v>DAVIS WENDY</v>
      </c>
    </row>
    <row r="74" spans="1:7" x14ac:dyDescent="0.25">
      <c r="A74" s="8">
        <v>42917.392638888887</v>
      </c>
      <c r="B74" s="20" t="s">
        <v>641</v>
      </c>
      <c r="C74" s="20" t="s">
        <v>752</v>
      </c>
      <c r="D74" s="138">
        <v>2600000</v>
      </c>
      <c r="E74" s="20" t="s">
        <v>708</v>
      </c>
      <c r="F74" s="20" t="s">
        <v>709</v>
      </c>
      <c r="G74" s="8" t="str">
        <f t="shared" si="1"/>
        <v>DAVIDSON DAVID</v>
      </c>
    </row>
    <row r="75" spans="1:7" x14ac:dyDescent="0.25">
      <c r="A75" s="8">
        <v>42917.401053240741</v>
      </c>
      <c r="B75" s="20" t="s">
        <v>651</v>
      </c>
      <c r="C75" s="20" t="s">
        <v>753</v>
      </c>
      <c r="D75" s="138">
        <v>900000</v>
      </c>
      <c r="E75" s="20" t="s">
        <v>715</v>
      </c>
      <c r="F75" s="20" t="s">
        <v>716</v>
      </c>
      <c r="G75" s="8" t="str">
        <f t="shared" si="1"/>
        <v>ROCHA YAOTL</v>
      </c>
    </row>
    <row r="76" spans="1:7" x14ac:dyDescent="0.25">
      <c r="A76" s="8">
        <v>42917.40215277778</v>
      </c>
      <c r="B76" s="20" t="s">
        <v>374</v>
      </c>
      <c r="C76" s="20" t="s">
        <v>754</v>
      </c>
      <c r="D76" s="138">
        <v>1100000</v>
      </c>
      <c r="E76" s="20" t="s">
        <v>567</v>
      </c>
      <c r="F76" s="20" t="s">
        <v>568</v>
      </c>
      <c r="G76" s="8" t="str">
        <f t="shared" si="1"/>
        <v>GEBRETEKLE DAGNEW</v>
      </c>
    </row>
    <row r="77" spans="1:7" x14ac:dyDescent="0.25">
      <c r="A77" s="8">
        <v>42917.403854166667</v>
      </c>
      <c r="B77" s="20" t="s">
        <v>474</v>
      </c>
      <c r="C77" s="20" t="s">
        <v>755</v>
      </c>
      <c r="D77" s="138">
        <v>1340000</v>
      </c>
      <c r="E77" s="20" t="s">
        <v>695</v>
      </c>
      <c r="F77" s="20" t="s">
        <v>696</v>
      </c>
      <c r="G77" s="8" t="str">
        <f t="shared" si="1"/>
        <v>BEAM ROSS</v>
      </c>
    </row>
    <row r="78" spans="1:7" x14ac:dyDescent="0.25">
      <c r="A78" s="8">
        <v>42917.412766203706</v>
      </c>
      <c r="B78" s="20" t="s">
        <v>563</v>
      </c>
      <c r="C78" s="20" t="s">
        <v>756</v>
      </c>
      <c r="D78" s="138">
        <v>2530000</v>
      </c>
      <c r="E78" s="20" t="s">
        <v>704</v>
      </c>
      <c r="F78" s="20" t="s">
        <v>705</v>
      </c>
      <c r="G78" s="8" t="str">
        <f t="shared" si="1"/>
        <v>LALONDE GREGORY</v>
      </c>
    </row>
    <row r="79" spans="1:7" x14ac:dyDescent="0.25">
      <c r="A79" s="8">
        <v>42917.413391203707</v>
      </c>
      <c r="B79" s="20" t="s">
        <v>649</v>
      </c>
      <c r="C79" s="20" t="s">
        <v>757</v>
      </c>
      <c r="D79" s="138">
        <v>2970000</v>
      </c>
      <c r="E79" s="20" t="s">
        <v>379</v>
      </c>
      <c r="F79" s="20" t="s">
        <v>380</v>
      </c>
      <c r="G79" s="8" t="str">
        <f t="shared" si="1"/>
        <v>GUZMAN DANNY</v>
      </c>
    </row>
    <row r="80" spans="1:7" x14ac:dyDescent="0.25">
      <c r="A80" s="8">
        <v>42917.415416666663</v>
      </c>
      <c r="B80" s="20" t="s">
        <v>639</v>
      </c>
      <c r="C80" s="20" t="s">
        <v>758</v>
      </c>
      <c r="D80" s="138">
        <v>900000</v>
      </c>
      <c r="E80" s="20" t="s">
        <v>715</v>
      </c>
      <c r="F80" s="20" t="s">
        <v>716</v>
      </c>
      <c r="G80" s="8" t="str">
        <f t="shared" si="1"/>
        <v>ROCHA YAOTL</v>
      </c>
    </row>
    <row r="81" spans="1:7" x14ac:dyDescent="0.25">
      <c r="A81" s="8">
        <v>42917.42391203704</v>
      </c>
      <c r="B81" s="20" t="s">
        <v>397</v>
      </c>
      <c r="C81" s="20" t="s">
        <v>759</v>
      </c>
      <c r="D81" s="138">
        <v>1810000</v>
      </c>
      <c r="E81" s="20" t="s">
        <v>367</v>
      </c>
      <c r="F81" s="20" t="s">
        <v>189</v>
      </c>
      <c r="G81" s="8" t="str">
        <f t="shared" si="1"/>
        <v>NEWELL JAMES</v>
      </c>
    </row>
    <row r="82" spans="1:7" x14ac:dyDescent="0.25">
      <c r="A82" s="8">
        <v>42917.433159722219</v>
      </c>
      <c r="B82" s="20" t="s">
        <v>575</v>
      </c>
      <c r="C82" s="20" t="s">
        <v>760</v>
      </c>
      <c r="D82" s="138">
        <v>2600000</v>
      </c>
      <c r="E82" s="20" t="s">
        <v>708</v>
      </c>
      <c r="F82" s="20" t="s">
        <v>709</v>
      </c>
      <c r="G82" s="8" t="str">
        <f t="shared" si="1"/>
        <v>DAVIDSON DAVID</v>
      </c>
    </row>
    <row r="83" spans="1:7" x14ac:dyDescent="0.25">
      <c r="A83" s="8">
        <v>42917.433275462965</v>
      </c>
      <c r="B83" s="20" t="s">
        <v>368</v>
      </c>
      <c r="C83" s="20" t="s">
        <v>761</v>
      </c>
      <c r="D83" s="138">
        <v>1100000</v>
      </c>
      <c r="E83" s="20" t="s">
        <v>567</v>
      </c>
      <c r="F83" s="20" t="s">
        <v>568</v>
      </c>
      <c r="G83" s="8" t="str">
        <f t="shared" si="1"/>
        <v>GEBRETEKLE DAGNEW</v>
      </c>
    </row>
    <row r="84" spans="1:7" x14ac:dyDescent="0.25">
      <c r="A84" s="8">
        <v>42917.43414351852</v>
      </c>
      <c r="B84" s="20" t="s">
        <v>340</v>
      </c>
      <c r="C84" s="20" t="s">
        <v>762</v>
      </c>
      <c r="D84" s="138">
        <v>1990000</v>
      </c>
      <c r="E84" s="20" t="s">
        <v>411</v>
      </c>
      <c r="F84" s="20" t="s">
        <v>566</v>
      </c>
      <c r="G84" s="8" t="str">
        <f t="shared" si="1"/>
        <v>DAVIS WENDY</v>
      </c>
    </row>
    <row r="85" spans="1:7" x14ac:dyDescent="0.25">
      <c r="A85" s="8">
        <v>42917.44259259259</v>
      </c>
      <c r="B85" s="20" t="s">
        <v>651</v>
      </c>
      <c r="C85" s="20" t="s">
        <v>763</v>
      </c>
      <c r="D85" s="138">
        <v>900000</v>
      </c>
      <c r="E85" s="20" t="s">
        <v>715</v>
      </c>
      <c r="F85" s="20" t="s">
        <v>716</v>
      </c>
      <c r="G85" s="8" t="str">
        <f t="shared" si="1"/>
        <v>ROCHA YAOTL</v>
      </c>
    </row>
    <row r="86" spans="1:7" x14ac:dyDescent="0.25">
      <c r="A86" s="8">
        <v>42917.443391203706</v>
      </c>
      <c r="B86" s="20" t="s">
        <v>468</v>
      </c>
      <c r="C86" s="20" t="s">
        <v>764</v>
      </c>
      <c r="D86" s="138">
        <v>880000</v>
      </c>
      <c r="E86" s="20" t="s">
        <v>523</v>
      </c>
      <c r="F86" s="20" t="s">
        <v>192</v>
      </c>
      <c r="G86" s="8" t="str">
        <f t="shared" si="1"/>
        <v>STEWART MICHAEL</v>
      </c>
    </row>
    <row r="87" spans="1:7" x14ac:dyDescent="0.25">
      <c r="A87" s="8">
        <v>42917.445752314816</v>
      </c>
      <c r="B87" s="20" t="s">
        <v>562</v>
      </c>
      <c r="C87" s="20" t="s">
        <v>765</v>
      </c>
      <c r="D87" s="138">
        <v>2530000</v>
      </c>
      <c r="E87" s="20" t="s">
        <v>704</v>
      </c>
      <c r="F87" s="20" t="s">
        <v>705</v>
      </c>
      <c r="G87" s="8" t="str">
        <f t="shared" si="1"/>
        <v>LALONDE GREGORY</v>
      </c>
    </row>
    <row r="88" spans="1:7" x14ac:dyDescent="0.25">
      <c r="A88" s="8">
        <v>42917.453715277778</v>
      </c>
      <c r="B88" s="20" t="s">
        <v>646</v>
      </c>
      <c r="C88" s="20" t="s">
        <v>647</v>
      </c>
      <c r="D88" s="138">
        <v>2970000</v>
      </c>
      <c r="E88" s="20" t="s">
        <v>379</v>
      </c>
      <c r="F88" s="20" t="s">
        <v>380</v>
      </c>
      <c r="G88" s="8" t="str">
        <f t="shared" si="1"/>
        <v>GUZMAN DANNY</v>
      </c>
    </row>
    <row r="89" spans="1:7" x14ac:dyDescent="0.25">
      <c r="A89" s="8">
        <v>42917.457002314812</v>
      </c>
      <c r="B89" s="20" t="s">
        <v>483</v>
      </c>
      <c r="C89" s="20" t="s">
        <v>766</v>
      </c>
      <c r="D89" s="138">
        <v>1810000</v>
      </c>
      <c r="E89" s="20" t="s">
        <v>367</v>
      </c>
      <c r="F89" s="20" t="s">
        <v>189</v>
      </c>
      <c r="G89" s="8" t="str">
        <f t="shared" si="1"/>
        <v>NEWELL JAMES</v>
      </c>
    </row>
    <row r="90" spans="1:7" x14ac:dyDescent="0.25">
      <c r="A90" s="8">
        <v>42917.465416666666</v>
      </c>
      <c r="B90" s="20" t="s">
        <v>641</v>
      </c>
      <c r="C90" s="20" t="s">
        <v>648</v>
      </c>
      <c r="D90" s="138">
        <v>2600000</v>
      </c>
      <c r="E90" s="20" t="s">
        <v>708</v>
      </c>
      <c r="F90" s="20" t="s">
        <v>709</v>
      </c>
      <c r="G90" s="8" t="str">
        <f t="shared" si="1"/>
        <v>DAVIDSON DAVID</v>
      </c>
    </row>
    <row r="91" spans="1:7" x14ac:dyDescent="0.25">
      <c r="A91" s="8">
        <v>42917.465717592589</v>
      </c>
      <c r="B91" s="20" t="s">
        <v>339</v>
      </c>
      <c r="C91" s="20" t="s">
        <v>767</v>
      </c>
      <c r="D91" s="138">
        <v>2440000</v>
      </c>
      <c r="E91" s="20" t="s">
        <v>768</v>
      </c>
      <c r="F91" s="20" t="s">
        <v>769</v>
      </c>
      <c r="G91" s="8" t="str">
        <f t="shared" si="1"/>
        <v>LOPES KIMBERLY</v>
      </c>
    </row>
    <row r="92" spans="1:7" x14ac:dyDescent="0.25">
      <c r="A92" s="8">
        <v>42917.470023148147</v>
      </c>
      <c r="B92" s="20" t="s">
        <v>639</v>
      </c>
      <c r="C92" s="20" t="s">
        <v>770</v>
      </c>
      <c r="D92" s="138">
        <v>2270000</v>
      </c>
      <c r="E92" s="20" t="s">
        <v>771</v>
      </c>
      <c r="F92" s="20" t="s">
        <v>772</v>
      </c>
      <c r="G92" s="8" t="str">
        <f t="shared" si="1"/>
        <v>BROWN JACOB</v>
      </c>
    </row>
    <row r="93" spans="1:7" x14ac:dyDescent="0.25">
      <c r="A93" s="8">
        <v>42917.4762962963</v>
      </c>
      <c r="B93" s="20" t="s">
        <v>374</v>
      </c>
      <c r="C93" s="20" t="s">
        <v>773</v>
      </c>
      <c r="D93" s="138">
        <v>2360000</v>
      </c>
      <c r="E93" s="20" t="s">
        <v>774</v>
      </c>
      <c r="F93" s="20" t="s">
        <v>775</v>
      </c>
      <c r="G93" s="8" t="str">
        <f t="shared" si="1"/>
        <v>BRANDNER MELINDA</v>
      </c>
    </row>
    <row r="94" spans="1:7" x14ac:dyDescent="0.25">
      <c r="A94" s="8">
        <v>42917.477152777778</v>
      </c>
      <c r="B94" s="20" t="s">
        <v>440</v>
      </c>
      <c r="C94" s="20" t="s">
        <v>689</v>
      </c>
      <c r="D94" s="138">
        <v>2370000</v>
      </c>
      <c r="E94" s="20" t="s">
        <v>569</v>
      </c>
      <c r="F94" s="20" t="s">
        <v>570</v>
      </c>
      <c r="G94" s="8" t="str">
        <f t="shared" si="1"/>
        <v>DELGADO DIANAH</v>
      </c>
    </row>
    <row r="95" spans="1:7" x14ac:dyDescent="0.25">
      <c r="A95" s="8">
        <v>42917.485995370371</v>
      </c>
      <c r="B95" s="20" t="s">
        <v>474</v>
      </c>
      <c r="C95" s="20" t="s">
        <v>776</v>
      </c>
      <c r="D95" s="138">
        <v>880000</v>
      </c>
      <c r="E95" s="20" t="s">
        <v>523</v>
      </c>
      <c r="F95" s="20" t="s">
        <v>192</v>
      </c>
      <c r="G95" s="8" t="str">
        <f t="shared" si="1"/>
        <v>STEWART MICHAEL</v>
      </c>
    </row>
    <row r="96" spans="1:7" x14ac:dyDescent="0.25">
      <c r="A96" s="8">
        <v>42917.486678240741</v>
      </c>
      <c r="B96" s="20" t="s">
        <v>649</v>
      </c>
      <c r="C96" s="20" t="s">
        <v>650</v>
      </c>
      <c r="D96" s="138">
        <v>2970000</v>
      </c>
      <c r="E96" s="20" t="s">
        <v>379</v>
      </c>
      <c r="F96" s="20" t="s">
        <v>380</v>
      </c>
      <c r="G96" s="8" t="str">
        <f t="shared" si="1"/>
        <v>GUZMAN DANNY</v>
      </c>
    </row>
    <row r="97" spans="1:7" x14ac:dyDescent="0.25">
      <c r="A97" s="8">
        <v>42917.486805555556</v>
      </c>
      <c r="B97" s="20" t="s">
        <v>563</v>
      </c>
      <c r="C97" s="20" t="s">
        <v>777</v>
      </c>
      <c r="D97" s="138">
        <v>1770000</v>
      </c>
      <c r="E97" s="20" t="s">
        <v>497</v>
      </c>
      <c r="F97" s="20" t="s">
        <v>498</v>
      </c>
      <c r="G97" s="8" t="str">
        <f t="shared" si="1"/>
        <v>BRUDER RICHARD</v>
      </c>
    </row>
    <row r="98" spans="1:7" x14ac:dyDescent="0.25">
      <c r="A98" s="8">
        <v>42917.486909722225</v>
      </c>
      <c r="B98" s="20" t="s">
        <v>651</v>
      </c>
      <c r="C98" s="20" t="s">
        <v>778</v>
      </c>
      <c r="D98" s="138">
        <v>2270000</v>
      </c>
      <c r="E98" s="20" t="s">
        <v>771</v>
      </c>
      <c r="F98" s="20" t="s">
        <v>772</v>
      </c>
      <c r="G98" s="8" t="str">
        <f t="shared" si="1"/>
        <v>BROWN JACOB</v>
      </c>
    </row>
    <row r="99" spans="1:7" x14ac:dyDescent="0.25">
      <c r="A99" s="8">
        <v>42917.495069444441</v>
      </c>
      <c r="B99" s="20" t="s">
        <v>397</v>
      </c>
      <c r="C99" s="20" t="s">
        <v>779</v>
      </c>
      <c r="D99" s="138">
        <v>1810000</v>
      </c>
      <c r="E99" s="20" t="s">
        <v>367</v>
      </c>
      <c r="F99" s="20" t="s">
        <v>189</v>
      </c>
      <c r="G99" s="8" t="str">
        <f t="shared" si="1"/>
        <v>NEWELL JAMES</v>
      </c>
    </row>
    <row r="100" spans="1:7" x14ac:dyDescent="0.25">
      <c r="A100" s="8">
        <v>42917.501909722225</v>
      </c>
      <c r="B100" s="20" t="s">
        <v>641</v>
      </c>
      <c r="C100" s="20" t="s">
        <v>648</v>
      </c>
      <c r="D100" s="138">
        <v>2600000</v>
      </c>
      <c r="E100" s="20" t="s">
        <v>708</v>
      </c>
      <c r="F100" s="20" t="s">
        <v>709</v>
      </c>
      <c r="G100" s="8" t="str">
        <f t="shared" si="1"/>
        <v>DAVIDSON DAVID</v>
      </c>
    </row>
    <row r="101" spans="1:7" x14ac:dyDescent="0.25">
      <c r="A101" s="8">
        <v>42917.50445601852</v>
      </c>
      <c r="B101" s="20" t="s">
        <v>340</v>
      </c>
      <c r="C101" s="20" t="s">
        <v>780</v>
      </c>
      <c r="D101" s="138">
        <v>2440000</v>
      </c>
      <c r="E101" s="20" t="s">
        <v>768</v>
      </c>
      <c r="F101" s="20" t="s">
        <v>769</v>
      </c>
      <c r="G101" s="8" t="str">
        <f t="shared" si="1"/>
        <v>LOPES KIMBERLY</v>
      </c>
    </row>
    <row r="102" spans="1:7" x14ac:dyDescent="0.25">
      <c r="A102" s="8">
        <v>42917.50922453704</v>
      </c>
      <c r="B102" s="20" t="s">
        <v>575</v>
      </c>
      <c r="C102" s="20" t="s">
        <v>781</v>
      </c>
      <c r="D102" s="138">
        <v>2370000</v>
      </c>
      <c r="E102" s="20" t="s">
        <v>569</v>
      </c>
      <c r="F102" s="20" t="s">
        <v>570</v>
      </c>
      <c r="G102" s="8" t="str">
        <f t="shared" si="1"/>
        <v>DELGADO DIANAH</v>
      </c>
    </row>
    <row r="103" spans="1:7" x14ac:dyDescent="0.25">
      <c r="A103" s="8">
        <v>42917.51289351852</v>
      </c>
      <c r="B103" s="20" t="s">
        <v>639</v>
      </c>
      <c r="C103" s="20" t="s">
        <v>782</v>
      </c>
      <c r="D103" s="138">
        <v>2270000</v>
      </c>
      <c r="E103" s="20" t="s">
        <v>771</v>
      </c>
      <c r="F103" s="20" t="s">
        <v>772</v>
      </c>
      <c r="G103" s="8" t="str">
        <f t="shared" si="1"/>
        <v>BROWN JACOB</v>
      </c>
    </row>
    <row r="104" spans="1:7" x14ac:dyDescent="0.25">
      <c r="A104" s="8">
        <v>42917.515474537038</v>
      </c>
      <c r="B104" s="20" t="s">
        <v>439</v>
      </c>
      <c r="C104" s="20" t="s">
        <v>783</v>
      </c>
      <c r="D104" s="138">
        <v>2600000</v>
      </c>
      <c r="E104" s="20" t="s">
        <v>708</v>
      </c>
      <c r="F104" s="20" t="s">
        <v>709</v>
      </c>
      <c r="G104" s="8" t="str">
        <f t="shared" si="1"/>
        <v>DAVIDSON DAVID</v>
      </c>
    </row>
    <row r="105" spans="1:7" x14ac:dyDescent="0.25">
      <c r="A105" s="8">
        <v>42917.517118055555</v>
      </c>
      <c r="B105" s="20" t="s">
        <v>368</v>
      </c>
      <c r="C105" s="20" t="s">
        <v>653</v>
      </c>
      <c r="D105" s="138">
        <v>2360000</v>
      </c>
      <c r="E105" s="20" t="s">
        <v>774</v>
      </c>
      <c r="F105" s="20" t="s">
        <v>775</v>
      </c>
      <c r="G105" s="8" t="str">
        <f t="shared" si="1"/>
        <v>BRANDNER MELINDA</v>
      </c>
    </row>
    <row r="106" spans="1:7" x14ac:dyDescent="0.25">
      <c r="A106" s="8">
        <v>42917.517569444448</v>
      </c>
      <c r="B106" s="20" t="s">
        <v>468</v>
      </c>
      <c r="C106" s="20" t="s">
        <v>784</v>
      </c>
      <c r="D106" s="138">
        <v>880000</v>
      </c>
      <c r="E106" s="20" t="s">
        <v>523</v>
      </c>
      <c r="F106" s="20" t="s">
        <v>192</v>
      </c>
      <c r="G106" s="8" t="str">
        <f t="shared" si="1"/>
        <v>STEWART MICHAEL</v>
      </c>
    </row>
    <row r="107" spans="1:7" x14ac:dyDescent="0.25">
      <c r="A107" s="8">
        <v>42917.526180555556</v>
      </c>
      <c r="B107" s="20" t="s">
        <v>651</v>
      </c>
      <c r="C107" s="20" t="s">
        <v>652</v>
      </c>
      <c r="D107" s="138">
        <v>2270000</v>
      </c>
      <c r="E107" s="20" t="s">
        <v>771</v>
      </c>
      <c r="F107" s="20" t="s">
        <v>772</v>
      </c>
      <c r="G107" s="8" t="str">
        <f t="shared" si="1"/>
        <v>BROWN JACOB</v>
      </c>
    </row>
    <row r="108" spans="1:7" x14ac:dyDescent="0.25">
      <c r="A108" s="8">
        <v>42917.526423611111</v>
      </c>
      <c r="B108" s="20" t="s">
        <v>562</v>
      </c>
      <c r="C108" s="20" t="s">
        <v>654</v>
      </c>
      <c r="D108" s="138">
        <v>1770000</v>
      </c>
      <c r="E108" s="20" t="s">
        <v>497</v>
      </c>
      <c r="F108" s="20" t="s">
        <v>498</v>
      </c>
      <c r="G108" s="8" t="str">
        <f t="shared" si="1"/>
        <v>BRUDER RICHARD</v>
      </c>
    </row>
    <row r="109" spans="1:7" x14ac:dyDescent="0.25">
      <c r="A109" s="8">
        <v>42917.526898148149</v>
      </c>
      <c r="B109" s="20" t="s">
        <v>483</v>
      </c>
      <c r="C109" s="20" t="s">
        <v>785</v>
      </c>
      <c r="D109" s="138">
        <v>1810000</v>
      </c>
      <c r="E109" s="20" t="s">
        <v>367</v>
      </c>
      <c r="F109" s="20" t="s">
        <v>189</v>
      </c>
      <c r="G109" s="8" t="str">
        <f t="shared" si="1"/>
        <v>NEWELL JAMES</v>
      </c>
    </row>
    <row r="110" spans="1:7" x14ac:dyDescent="0.25">
      <c r="A110" s="8">
        <v>42917.528564814813</v>
      </c>
      <c r="B110" s="20" t="s">
        <v>646</v>
      </c>
      <c r="C110" s="20" t="s">
        <v>655</v>
      </c>
      <c r="D110" s="138">
        <v>2420000</v>
      </c>
      <c r="E110" s="20" t="s">
        <v>571</v>
      </c>
      <c r="F110" s="20" t="s">
        <v>572</v>
      </c>
      <c r="G110" s="8" t="str">
        <f t="shared" si="1"/>
        <v>HOLCOMB KAMDEN</v>
      </c>
    </row>
    <row r="111" spans="1:7" x14ac:dyDescent="0.25">
      <c r="A111" s="8">
        <v>42917.536539351851</v>
      </c>
      <c r="B111" s="20" t="s">
        <v>339</v>
      </c>
      <c r="C111" s="20" t="s">
        <v>786</v>
      </c>
      <c r="D111" s="138">
        <v>2440000</v>
      </c>
      <c r="E111" s="20" t="s">
        <v>768</v>
      </c>
      <c r="F111" s="20" t="s">
        <v>769</v>
      </c>
      <c r="G111" s="8" t="str">
        <f t="shared" si="1"/>
        <v>LOPES KIMBERLY</v>
      </c>
    </row>
    <row r="112" spans="1:7" x14ac:dyDescent="0.25">
      <c r="A112" s="8">
        <v>42917.545717592591</v>
      </c>
      <c r="B112" s="20" t="s">
        <v>641</v>
      </c>
      <c r="C112" s="20" t="s">
        <v>787</v>
      </c>
      <c r="D112" s="138">
        <v>2370000</v>
      </c>
      <c r="E112" s="20" t="s">
        <v>569</v>
      </c>
      <c r="F112" s="20" t="s">
        <v>570</v>
      </c>
      <c r="G112" s="8" t="str">
        <f t="shared" si="1"/>
        <v>DELGADO DIANAH</v>
      </c>
    </row>
    <row r="113" spans="1:7" x14ac:dyDescent="0.25">
      <c r="A113" s="8">
        <v>42917.549803240741</v>
      </c>
      <c r="B113" s="20" t="s">
        <v>374</v>
      </c>
      <c r="C113" s="20" t="s">
        <v>656</v>
      </c>
      <c r="D113" s="138">
        <v>2360000</v>
      </c>
      <c r="E113" s="20" t="s">
        <v>774</v>
      </c>
      <c r="F113" s="20" t="s">
        <v>775</v>
      </c>
      <c r="G113" s="8" t="str">
        <f t="shared" si="1"/>
        <v>BRANDNER MELINDA</v>
      </c>
    </row>
    <row r="114" spans="1:7" x14ac:dyDescent="0.25">
      <c r="A114" s="8">
        <v>42917.554918981485</v>
      </c>
      <c r="B114" s="20" t="s">
        <v>639</v>
      </c>
      <c r="C114" s="20" t="s">
        <v>788</v>
      </c>
      <c r="D114" s="138">
        <v>2270000</v>
      </c>
      <c r="E114" s="20" t="s">
        <v>771</v>
      </c>
      <c r="F114" s="20" t="s">
        <v>772</v>
      </c>
      <c r="G114" s="8" t="str">
        <f t="shared" si="1"/>
        <v>BROWN JACOB</v>
      </c>
    </row>
    <row r="115" spans="1:7" x14ac:dyDescent="0.25">
      <c r="A115" s="8">
        <v>42917.557256944441</v>
      </c>
      <c r="B115" s="20" t="s">
        <v>474</v>
      </c>
      <c r="C115" s="20" t="s">
        <v>789</v>
      </c>
      <c r="D115" s="138">
        <v>880000</v>
      </c>
      <c r="E115" s="20" t="s">
        <v>523</v>
      </c>
      <c r="F115" s="20" t="s">
        <v>192</v>
      </c>
      <c r="G115" s="8" t="str">
        <f t="shared" si="1"/>
        <v>STEWART MICHAEL</v>
      </c>
    </row>
    <row r="116" spans="1:7" x14ac:dyDescent="0.25">
      <c r="A116" s="8">
        <v>42917.557708333334</v>
      </c>
      <c r="B116" s="20" t="s">
        <v>374</v>
      </c>
      <c r="C116" s="20" t="s">
        <v>656</v>
      </c>
      <c r="D116" s="138">
        <v>2360000</v>
      </c>
      <c r="E116" s="20" t="s">
        <v>774</v>
      </c>
      <c r="F116" s="20" t="s">
        <v>775</v>
      </c>
      <c r="G116" s="8" t="str">
        <f t="shared" si="1"/>
        <v>BRANDNER MELINDA</v>
      </c>
    </row>
    <row r="117" spans="1:7" x14ac:dyDescent="0.25">
      <c r="A117" s="8">
        <v>42917.557939814818</v>
      </c>
      <c r="B117" s="20" t="s">
        <v>563</v>
      </c>
      <c r="C117" s="20" t="s">
        <v>790</v>
      </c>
      <c r="D117" s="138">
        <v>1770000</v>
      </c>
      <c r="E117" s="20" t="s">
        <v>497</v>
      </c>
      <c r="F117" s="20" t="s">
        <v>498</v>
      </c>
      <c r="G117" s="8" t="str">
        <f t="shared" si="1"/>
        <v>BRUDER RICHARD</v>
      </c>
    </row>
    <row r="118" spans="1:7" x14ac:dyDescent="0.25">
      <c r="A118" s="8">
        <v>42917.567511574074</v>
      </c>
      <c r="B118" s="20" t="s">
        <v>651</v>
      </c>
      <c r="C118" s="20" t="s">
        <v>791</v>
      </c>
      <c r="D118" s="138">
        <v>2270000</v>
      </c>
      <c r="E118" s="20" t="s">
        <v>771</v>
      </c>
      <c r="F118" s="20" t="s">
        <v>772</v>
      </c>
      <c r="G118" s="8" t="str">
        <f t="shared" si="1"/>
        <v>BROWN JACOB</v>
      </c>
    </row>
    <row r="119" spans="1:7" x14ac:dyDescent="0.25">
      <c r="A119" s="8">
        <v>42917.570150462961</v>
      </c>
      <c r="B119" s="20" t="s">
        <v>397</v>
      </c>
      <c r="C119" s="20" t="s">
        <v>792</v>
      </c>
      <c r="D119" s="138">
        <v>1810000</v>
      </c>
      <c r="E119" s="20" t="s">
        <v>367</v>
      </c>
      <c r="F119" s="20" t="s">
        <v>189</v>
      </c>
      <c r="G119" s="8" t="str">
        <f t="shared" si="1"/>
        <v>NEWELL JAMES</v>
      </c>
    </row>
    <row r="120" spans="1:7" x14ac:dyDescent="0.25">
      <c r="A120" s="8">
        <v>42917.570381944446</v>
      </c>
      <c r="B120" s="20" t="s">
        <v>649</v>
      </c>
      <c r="C120" s="20" t="s">
        <v>793</v>
      </c>
      <c r="D120" s="138">
        <v>2420000</v>
      </c>
      <c r="E120" s="20" t="s">
        <v>571</v>
      </c>
      <c r="F120" s="20" t="s">
        <v>572</v>
      </c>
      <c r="G120" s="8" t="str">
        <f t="shared" si="1"/>
        <v>HOLCOMB KAMDEN</v>
      </c>
    </row>
    <row r="121" spans="1:7" x14ac:dyDescent="0.25">
      <c r="A121" s="8">
        <v>42917.572881944441</v>
      </c>
      <c r="B121" s="20" t="s">
        <v>340</v>
      </c>
      <c r="C121" s="20" t="s">
        <v>794</v>
      </c>
      <c r="D121" s="138">
        <v>2440000</v>
      </c>
      <c r="E121" s="20" t="s">
        <v>768</v>
      </c>
      <c r="F121" s="20" t="s">
        <v>769</v>
      </c>
      <c r="G121" s="8" t="str">
        <f t="shared" si="1"/>
        <v>LOPES KIMBERLY</v>
      </c>
    </row>
    <row r="122" spans="1:7" x14ac:dyDescent="0.25">
      <c r="A122" s="8">
        <v>42917.579074074078</v>
      </c>
      <c r="B122" s="25" t="s">
        <v>575</v>
      </c>
      <c r="C122" s="20" t="s">
        <v>795</v>
      </c>
      <c r="D122" s="138">
        <v>2370000</v>
      </c>
      <c r="E122" s="20" t="s">
        <v>569</v>
      </c>
      <c r="F122" s="20" t="s">
        <v>570</v>
      </c>
      <c r="G122" s="8" t="str">
        <f t="shared" si="1"/>
        <v>DELGADO DIANAH</v>
      </c>
    </row>
    <row r="123" spans="1:7" x14ac:dyDescent="0.25">
      <c r="A123" s="8">
        <v>42917.586331018516</v>
      </c>
      <c r="B123" s="20" t="s">
        <v>639</v>
      </c>
      <c r="C123" s="20" t="s">
        <v>796</v>
      </c>
      <c r="D123" s="138">
        <v>2630000</v>
      </c>
      <c r="E123" s="20" t="s">
        <v>797</v>
      </c>
      <c r="F123" s="20" t="s">
        <v>798</v>
      </c>
      <c r="G123" s="8" t="str">
        <f t="shared" si="1"/>
        <v>SAFIEF AEIMEN</v>
      </c>
    </row>
    <row r="124" spans="1:7" x14ac:dyDescent="0.25">
      <c r="A124" s="8">
        <v>42917.591064814813</v>
      </c>
      <c r="B124" s="20" t="s">
        <v>468</v>
      </c>
      <c r="C124" s="20" t="s">
        <v>799</v>
      </c>
      <c r="D124" s="138">
        <v>880000</v>
      </c>
      <c r="E124" s="20" t="s">
        <v>523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42917.591261574074</v>
      </c>
      <c r="B125" s="20" t="s">
        <v>368</v>
      </c>
      <c r="C125" s="20" t="s">
        <v>657</v>
      </c>
      <c r="D125" s="138">
        <v>2360000</v>
      </c>
      <c r="E125" s="20" t="s">
        <v>774</v>
      </c>
      <c r="F125" s="20" t="s">
        <v>775</v>
      </c>
      <c r="G125" s="8" t="str">
        <f t="shared" si="1"/>
        <v>BRANDNER MELINDA</v>
      </c>
    </row>
    <row r="126" spans="1:7" x14ac:dyDescent="0.25">
      <c r="A126" s="8">
        <v>42917.598032407404</v>
      </c>
      <c r="B126" s="20" t="s">
        <v>562</v>
      </c>
      <c r="C126" s="20" t="s">
        <v>800</v>
      </c>
      <c r="D126" s="138">
        <v>1770000</v>
      </c>
      <c r="E126" s="20" t="s">
        <v>497</v>
      </c>
      <c r="F126" s="20" t="s">
        <v>498</v>
      </c>
      <c r="G126" s="8" t="str">
        <f t="shared" si="1"/>
        <v>BRUDER RICHARD</v>
      </c>
    </row>
    <row r="127" spans="1:7" x14ac:dyDescent="0.25">
      <c r="A127" s="8">
        <v>42917.600486111114</v>
      </c>
      <c r="B127" s="20" t="s">
        <v>646</v>
      </c>
      <c r="C127" s="20" t="s">
        <v>801</v>
      </c>
      <c r="D127" s="138">
        <v>2420000</v>
      </c>
      <c r="E127" s="20" t="s">
        <v>571</v>
      </c>
      <c r="F127" s="20" t="s">
        <v>572</v>
      </c>
      <c r="G127" s="8" t="str">
        <f t="shared" si="1"/>
        <v>HOLCOMB KAMDEN</v>
      </c>
    </row>
    <row r="128" spans="1:7" x14ac:dyDescent="0.25">
      <c r="A128" s="8">
        <v>42917.601469907408</v>
      </c>
      <c r="B128" s="20" t="s">
        <v>483</v>
      </c>
      <c r="C128" s="20" t="s">
        <v>658</v>
      </c>
      <c r="D128" s="138">
        <v>1810000</v>
      </c>
      <c r="E128" s="20" t="s">
        <v>367</v>
      </c>
      <c r="F128" s="20" t="s">
        <v>189</v>
      </c>
      <c r="G128" s="8" t="str">
        <f t="shared" si="1"/>
        <v>NEWELL JAMES</v>
      </c>
    </row>
    <row r="129" spans="1:7" x14ac:dyDescent="0.25">
      <c r="A129" s="8">
        <v>42917.609351851854</v>
      </c>
      <c r="B129" s="20" t="s">
        <v>651</v>
      </c>
      <c r="C129" s="20" t="s">
        <v>802</v>
      </c>
      <c r="D129" s="138">
        <v>2630000</v>
      </c>
      <c r="E129" s="20" t="s">
        <v>797</v>
      </c>
      <c r="F129" s="20" t="s">
        <v>798</v>
      </c>
      <c r="G129" s="8" t="str">
        <f t="shared" si="1"/>
        <v>SAFIEF AEIMEN</v>
      </c>
    </row>
    <row r="130" spans="1:7" x14ac:dyDescent="0.25">
      <c r="A130" s="8">
        <v>42917.61042824074</v>
      </c>
      <c r="B130" s="20" t="s">
        <v>339</v>
      </c>
      <c r="C130" s="20" t="s">
        <v>803</v>
      </c>
      <c r="D130" s="138">
        <v>2440000</v>
      </c>
      <c r="E130" s="20" t="s">
        <v>768</v>
      </c>
      <c r="F130" s="20" t="s">
        <v>769</v>
      </c>
      <c r="G130" s="8" t="str">
        <f t="shared" si="1"/>
        <v>LOPES KIMBERLY</v>
      </c>
    </row>
    <row r="131" spans="1:7" x14ac:dyDescent="0.25">
      <c r="A131" s="8">
        <v>42917.620243055557</v>
      </c>
      <c r="B131" s="20" t="s">
        <v>641</v>
      </c>
      <c r="C131" s="20" t="s">
        <v>804</v>
      </c>
      <c r="D131" s="138">
        <v>2370000</v>
      </c>
      <c r="E131" s="20" t="s">
        <v>569</v>
      </c>
      <c r="F131" s="20" t="s">
        <v>570</v>
      </c>
      <c r="G131" s="8" t="str">
        <f t="shared" ref="G131:G194" si="2">E131&amp;" "&amp;F131</f>
        <v>DELGADO DIANAH</v>
      </c>
    </row>
    <row r="132" spans="1:7" x14ac:dyDescent="0.25">
      <c r="A132" s="8">
        <v>42917.622453703705</v>
      </c>
      <c r="B132" s="20" t="s">
        <v>374</v>
      </c>
      <c r="C132" s="20" t="s">
        <v>659</v>
      </c>
      <c r="D132" s="138">
        <v>2360000</v>
      </c>
      <c r="E132" s="20" t="s">
        <v>774</v>
      </c>
      <c r="F132" s="20" t="s">
        <v>775</v>
      </c>
      <c r="G132" s="8" t="str">
        <f t="shared" si="2"/>
        <v>BRANDNER MELINDA</v>
      </c>
    </row>
    <row r="133" spans="1:7" x14ac:dyDescent="0.25">
      <c r="A133" s="8">
        <v>42917.6249537037</v>
      </c>
      <c r="B133" s="20" t="s">
        <v>639</v>
      </c>
      <c r="C133" s="20" t="s">
        <v>805</v>
      </c>
      <c r="D133" s="138">
        <v>2630000</v>
      </c>
      <c r="E133" s="20" t="s">
        <v>797</v>
      </c>
      <c r="F133" s="20" t="s">
        <v>798</v>
      </c>
      <c r="G133" s="8" t="str">
        <f t="shared" si="2"/>
        <v>SAFIEF AEIMEN</v>
      </c>
    </row>
    <row r="134" spans="1:7" x14ac:dyDescent="0.25">
      <c r="A134" s="8">
        <v>42917.630995370368</v>
      </c>
      <c r="B134" s="20" t="s">
        <v>563</v>
      </c>
      <c r="C134" s="20" t="s">
        <v>806</v>
      </c>
      <c r="D134" s="138">
        <v>1770000</v>
      </c>
      <c r="E134" s="20" t="s">
        <v>497</v>
      </c>
      <c r="F134" s="20" t="s">
        <v>498</v>
      </c>
      <c r="G134" s="8" t="str">
        <f t="shared" si="2"/>
        <v>BRUDER RICHARD</v>
      </c>
    </row>
    <row r="135" spans="1:7" x14ac:dyDescent="0.25">
      <c r="A135" s="8">
        <v>42917.631145833337</v>
      </c>
      <c r="B135" s="20" t="s">
        <v>474</v>
      </c>
      <c r="C135" s="20" t="s">
        <v>807</v>
      </c>
      <c r="D135" s="138">
        <v>880000</v>
      </c>
      <c r="E135" s="20" t="s">
        <v>523</v>
      </c>
      <c r="F135" s="20" t="s">
        <v>192</v>
      </c>
      <c r="G135" s="8" t="str">
        <f t="shared" si="2"/>
        <v>STEWART MICHAEL</v>
      </c>
    </row>
    <row r="136" spans="1:7" x14ac:dyDescent="0.25">
      <c r="A136" s="8">
        <v>42917.642384259256</v>
      </c>
      <c r="B136" s="20" t="s">
        <v>649</v>
      </c>
      <c r="C136" s="20" t="s">
        <v>808</v>
      </c>
      <c r="D136" s="138">
        <v>2420000</v>
      </c>
      <c r="E136" s="20" t="s">
        <v>571</v>
      </c>
      <c r="F136" s="20" t="s">
        <v>572</v>
      </c>
      <c r="G136" s="8" t="str">
        <f t="shared" si="2"/>
        <v>HOLCOMB KAMDEN</v>
      </c>
    </row>
    <row r="137" spans="1:7" x14ac:dyDescent="0.25">
      <c r="A137" s="8">
        <v>42917.64334490741</v>
      </c>
      <c r="B137" s="20" t="s">
        <v>397</v>
      </c>
      <c r="C137" s="20" t="s">
        <v>809</v>
      </c>
      <c r="D137" s="138">
        <v>1810000</v>
      </c>
      <c r="E137" s="20" t="s">
        <v>367</v>
      </c>
      <c r="F137" s="20" t="s">
        <v>189</v>
      </c>
      <c r="G137" s="8" t="str">
        <f t="shared" si="2"/>
        <v>NEWELL JAMES</v>
      </c>
    </row>
    <row r="138" spans="1:7" x14ac:dyDescent="0.25">
      <c r="A138" s="8">
        <v>42917.650324074071</v>
      </c>
      <c r="B138" s="20" t="s">
        <v>340</v>
      </c>
      <c r="C138" s="20" t="s">
        <v>660</v>
      </c>
      <c r="D138" s="138">
        <v>2440000</v>
      </c>
      <c r="E138" s="20" t="s">
        <v>768</v>
      </c>
      <c r="F138" s="20" t="s">
        <v>769</v>
      </c>
      <c r="G138" s="8" t="str">
        <f t="shared" si="2"/>
        <v>LOPES KIMBERLY</v>
      </c>
    </row>
    <row r="139" spans="1:7" x14ac:dyDescent="0.25">
      <c r="A139" s="8">
        <v>42917.651099537034</v>
      </c>
      <c r="B139" s="20" t="s">
        <v>651</v>
      </c>
      <c r="C139" s="20" t="s">
        <v>810</v>
      </c>
      <c r="D139" s="138">
        <v>2630000</v>
      </c>
      <c r="E139" s="20" t="s">
        <v>797</v>
      </c>
      <c r="F139" s="20" t="s">
        <v>798</v>
      </c>
      <c r="G139" s="8" t="str">
        <f t="shared" si="2"/>
        <v>SAFIEF AEIMEN</v>
      </c>
    </row>
    <row r="140" spans="1:7" x14ac:dyDescent="0.25">
      <c r="A140" s="8">
        <v>42917.651608796295</v>
      </c>
      <c r="B140" s="20" t="s">
        <v>575</v>
      </c>
      <c r="C140" s="20" t="s">
        <v>811</v>
      </c>
      <c r="D140" s="138">
        <v>2370000</v>
      </c>
      <c r="E140" s="20" t="s">
        <v>569</v>
      </c>
      <c r="F140" s="20" t="s">
        <v>570</v>
      </c>
      <c r="G140" s="8" t="str">
        <f t="shared" si="2"/>
        <v>DELGADO DIANAH</v>
      </c>
    </row>
    <row r="141" spans="1:7" x14ac:dyDescent="0.25">
      <c r="A141" s="8">
        <v>42917.660370370373</v>
      </c>
      <c r="B141" s="20" t="s">
        <v>368</v>
      </c>
      <c r="C141" s="20" t="s">
        <v>812</v>
      </c>
      <c r="D141" s="138">
        <v>2360000</v>
      </c>
      <c r="E141" s="20" t="s">
        <v>774</v>
      </c>
      <c r="F141" s="20" t="s">
        <v>775</v>
      </c>
      <c r="G141" s="8" t="str">
        <f t="shared" si="2"/>
        <v>BRANDNER MELINDA</v>
      </c>
    </row>
    <row r="142" spans="1:7" x14ac:dyDescent="0.25">
      <c r="A142" s="8">
        <v>42917.664317129631</v>
      </c>
      <c r="B142" s="20" t="s">
        <v>468</v>
      </c>
      <c r="C142" s="20" t="s">
        <v>813</v>
      </c>
      <c r="D142" s="138">
        <v>880000</v>
      </c>
      <c r="E142" s="20" t="s">
        <v>523</v>
      </c>
      <c r="F142" s="20" t="s">
        <v>192</v>
      </c>
      <c r="G142" s="8" t="str">
        <f t="shared" si="2"/>
        <v>STEWART MICHAEL</v>
      </c>
    </row>
    <row r="143" spans="1:7" x14ac:dyDescent="0.25">
      <c r="A143" s="8">
        <v>42917.666250000002</v>
      </c>
      <c r="B143" s="20" t="s">
        <v>639</v>
      </c>
      <c r="C143" s="20" t="s">
        <v>814</v>
      </c>
      <c r="D143" s="138">
        <v>2630000</v>
      </c>
      <c r="E143" s="20" t="s">
        <v>797</v>
      </c>
      <c r="F143" s="20" t="s">
        <v>798</v>
      </c>
      <c r="G143" s="8" t="str">
        <f t="shared" si="2"/>
        <v>SAFIEF AEIMEN</v>
      </c>
    </row>
    <row r="144" spans="1:7" x14ac:dyDescent="0.25">
      <c r="A144" s="8">
        <v>42917.671238425923</v>
      </c>
      <c r="B144" s="20" t="s">
        <v>562</v>
      </c>
      <c r="C144" s="20" t="s">
        <v>815</v>
      </c>
      <c r="D144" s="138">
        <v>1770000</v>
      </c>
      <c r="E144" s="20" t="s">
        <v>497</v>
      </c>
      <c r="F144" s="20" t="s">
        <v>498</v>
      </c>
      <c r="G144" s="8" t="str">
        <f t="shared" si="2"/>
        <v>BRUDER RICHARD</v>
      </c>
    </row>
    <row r="145" spans="1:7" x14ac:dyDescent="0.25">
      <c r="A145" s="8">
        <v>42917.672442129631</v>
      </c>
      <c r="B145" s="20" t="s">
        <v>646</v>
      </c>
      <c r="C145" s="20" t="s">
        <v>662</v>
      </c>
      <c r="D145" s="138">
        <v>2420000</v>
      </c>
      <c r="E145" s="20" t="s">
        <v>571</v>
      </c>
      <c r="F145" s="20" t="s">
        <v>572</v>
      </c>
      <c r="G145" s="8" t="str">
        <f t="shared" si="2"/>
        <v>HOLCOMB KAMDEN</v>
      </c>
    </row>
    <row r="146" spans="1:7" x14ac:dyDescent="0.25">
      <c r="A146" s="8">
        <v>42917.673506944448</v>
      </c>
      <c r="B146" s="20" t="s">
        <v>483</v>
      </c>
      <c r="C146" s="20" t="s">
        <v>809</v>
      </c>
      <c r="D146" s="138">
        <v>1810000</v>
      </c>
      <c r="E146" s="20" t="s">
        <v>367</v>
      </c>
      <c r="F146" s="20" t="s">
        <v>189</v>
      </c>
      <c r="G146" s="8" t="str">
        <f t="shared" si="2"/>
        <v>NEWELL JAMES</v>
      </c>
    </row>
    <row r="147" spans="1:7" x14ac:dyDescent="0.25">
      <c r="A147" s="8">
        <v>42917.674155092594</v>
      </c>
      <c r="B147" s="20" t="s">
        <v>483</v>
      </c>
      <c r="C147" s="20" t="s">
        <v>816</v>
      </c>
      <c r="D147" s="138">
        <v>1810000</v>
      </c>
      <c r="E147" s="20" t="s">
        <v>367</v>
      </c>
      <c r="F147" s="20" t="s">
        <v>189</v>
      </c>
      <c r="G147" s="8" t="str">
        <f t="shared" si="2"/>
        <v>NEWELL JAMES</v>
      </c>
    </row>
    <row r="148" spans="1:7" x14ac:dyDescent="0.25">
      <c r="A148" s="8">
        <v>42917.682511574072</v>
      </c>
      <c r="B148" s="20" t="s">
        <v>339</v>
      </c>
      <c r="C148" s="20" t="s">
        <v>661</v>
      </c>
      <c r="D148" s="138">
        <v>2440000</v>
      </c>
      <c r="E148" s="20" t="s">
        <v>768</v>
      </c>
      <c r="F148" s="20" t="s">
        <v>769</v>
      </c>
      <c r="G148" s="8" t="str">
        <f t="shared" si="2"/>
        <v>LOPES KIMBERLY</v>
      </c>
    </row>
    <row r="149" spans="1:7" x14ac:dyDescent="0.25">
      <c r="A149" s="8">
        <v>42917.692210648151</v>
      </c>
      <c r="B149" s="20" t="s">
        <v>641</v>
      </c>
      <c r="C149" s="20" t="s">
        <v>817</v>
      </c>
      <c r="D149" s="138">
        <v>2370000</v>
      </c>
      <c r="E149" s="20" t="s">
        <v>569</v>
      </c>
      <c r="F149" s="20" t="s">
        <v>570</v>
      </c>
      <c r="G149" s="8" t="str">
        <f t="shared" si="2"/>
        <v>DELGADO DIANAH</v>
      </c>
    </row>
    <row r="150" spans="1:7" x14ac:dyDescent="0.25">
      <c r="A150" s="8">
        <v>42917.692800925928</v>
      </c>
      <c r="B150" s="20" t="s">
        <v>651</v>
      </c>
      <c r="C150" s="20" t="s">
        <v>818</v>
      </c>
      <c r="D150" s="138">
        <v>2630000</v>
      </c>
      <c r="E150" s="20" t="s">
        <v>797</v>
      </c>
      <c r="F150" s="20" t="s">
        <v>798</v>
      </c>
      <c r="G150" s="8" t="str">
        <f t="shared" si="2"/>
        <v>SAFIEF AEIMEN</v>
      </c>
    </row>
    <row r="151" spans="1:7" x14ac:dyDescent="0.25">
      <c r="A151" s="8">
        <v>42917.695381944446</v>
      </c>
      <c r="B151" s="20" t="s">
        <v>374</v>
      </c>
      <c r="C151" s="20" t="s">
        <v>819</v>
      </c>
      <c r="D151" s="138">
        <v>2360000</v>
      </c>
      <c r="E151" s="20" t="s">
        <v>774</v>
      </c>
      <c r="F151" s="20" t="s">
        <v>775</v>
      </c>
      <c r="G151" s="8" t="str">
        <f t="shared" si="2"/>
        <v>BRANDNER MELINDA</v>
      </c>
    </row>
    <row r="152" spans="1:7" x14ac:dyDescent="0.25">
      <c r="A152" s="8">
        <v>42917.704444444447</v>
      </c>
      <c r="B152" s="20" t="s">
        <v>563</v>
      </c>
      <c r="C152" s="20" t="s">
        <v>820</v>
      </c>
      <c r="D152" s="138">
        <v>1770000</v>
      </c>
      <c r="E152" s="20" t="s">
        <v>497</v>
      </c>
      <c r="F152" s="20" t="s">
        <v>498</v>
      </c>
      <c r="G152" s="8" t="str">
        <f t="shared" si="2"/>
        <v>BRUDER RICHARD</v>
      </c>
    </row>
    <row r="153" spans="1:7" x14ac:dyDescent="0.25">
      <c r="A153" s="8">
        <v>42917.70484953704</v>
      </c>
      <c r="B153" s="20" t="s">
        <v>474</v>
      </c>
      <c r="C153" s="20" t="s">
        <v>663</v>
      </c>
      <c r="D153" s="138">
        <v>880000</v>
      </c>
      <c r="E153" s="20" t="s">
        <v>523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42917.708148148151</v>
      </c>
      <c r="B154" s="20" t="s">
        <v>639</v>
      </c>
      <c r="C154" s="20" t="s">
        <v>821</v>
      </c>
      <c r="D154" s="138">
        <v>2630000</v>
      </c>
      <c r="E154" s="20" t="s">
        <v>797</v>
      </c>
      <c r="F154" s="20" t="s">
        <v>798</v>
      </c>
      <c r="G154" s="8" t="str">
        <f t="shared" si="2"/>
        <v>SAFIEF AEIMEN</v>
      </c>
    </row>
    <row r="155" spans="1:7" x14ac:dyDescent="0.25">
      <c r="A155" s="8">
        <v>42917.708761574075</v>
      </c>
      <c r="B155" s="20" t="s">
        <v>396</v>
      </c>
      <c r="C155" s="20" t="s">
        <v>664</v>
      </c>
      <c r="D155" s="138">
        <v>2350000</v>
      </c>
      <c r="E155" s="20" t="s">
        <v>573</v>
      </c>
      <c r="F155" s="20" t="s">
        <v>574</v>
      </c>
      <c r="G155" s="8" t="str">
        <f t="shared" si="2"/>
        <v>BERLING GARY</v>
      </c>
    </row>
    <row r="156" spans="1:7" x14ac:dyDescent="0.25">
      <c r="A156" s="8">
        <v>42917.709537037037</v>
      </c>
      <c r="B156" s="20" t="s">
        <v>396</v>
      </c>
      <c r="C156" s="20" t="s">
        <v>664</v>
      </c>
      <c r="D156" s="138">
        <v>2350000</v>
      </c>
      <c r="E156" s="20" t="s">
        <v>573</v>
      </c>
      <c r="F156" s="20" t="s">
        <v>574</v>
      </c>
      <c r="G156" s="8" t="str">
        <f t="shared" si="2"/>
        <v>BERLING GARY</v>
      </c>
    </row>
    <row r="157" spans="1:7" x14ac:dyDescent="0.25">
      <c r="A157" s="8">
        <v>42917.715138888889</v>
      </c>
      <c r="B157" s="20" t="s">
        <v>397</v>
      </c>
      <c r="C157" s="20" t="s">
        <v>822</v>
      </c>
      <c r="D157" s="138">
        <v>1810000</v>
      </c>
      <c r="E157" s="20" t="s">
        <v>367</v>
      </c>
      <c r="F157" s="20" t="s">
        <v>189</v>
      </c>
      <c r="G157" s="8" t="str">
        <f t="shared" si="2"/>
        <v>NEWELL JAMES</v>
      </c>
    </row>
    <row r="158" spans="1:7" x14ac:dyDescent="0.25">
      <c r="A158" s="8">
        <v>42917.715833333335</v>
      </c>
      <c r="B158" s="20" t="s">
        <v>649</v>
      </c>
      <c r="C158" s="20" t="s">
        <v>823</v>
      </c>
      <c r="D158" s="138">
        <v>2420000</v>
      </c>
      <c r="E158" s="20" t="s">
        <v>571</v>
      </c>
      <c r="F158" s="20" t="s">
        <v>572</v>
      </c>
      <c r="G158" s="8" t="str">
        <f t="shared" si="2"/>
        <v>HOLCOMB KAMDEN</v>
      </c>
    </row>
    <row r="159" spans="1:7" x14ac:dyDescent="0.25">
      <c r="A159" s="8">
        <v>42917.724085648151</v>
      </c>
      <c r="B159" s="20" t="s">
        <v>340</v>
      </c>
      <c r="C159" s="20" t="s">
        <v>824</v>
      </c>
      <c r="D159" s="138">
        <v>2440000</v>
      </c>
      <c r="E159" s="20" t="s">
        <v>768</v>
      </c>
      <c r="F159" s="20" t="s">
        <v>769</v>
      </c>
      <c r="G159" s="8" t="str">
        <f t="shared" si="2"/>
        <v>LOPES KIMBERLY</v>
      </c>
    </row>
    <row r="160" spans="1:7" x14ac:dyDescent="0.25">
      <c r="A160" s="8">
        <v>42917.727534722224</v>
      </c>
      <c r="B160" s="20" t="s">
        <v>575</v>
      </c>
      <c r="C160" s="20" t="s">
        <v>825</v>
      </c>
      <c r="D160" s="138">
        <v>2370000</v>
      </c>
      <c r="E160" s="20" t="s">
        <v>569</v>
      </c>
      <c r="F160" s="20" t="s">
        <v>570</v>
      </c>
      <c r="G160" s="8" t="str">
        <f t="shared" si="2"/>
        <v>DELGADO DIANAH</v>
      </c>
    </row>
    <row r="161" spans="1:7" x14ac:dyDescent="0.25">
      <c r="A161" s="8">
        <v>42917.734293981484</v>
      </c>
      <c r="B161" s="20" t="s">
        <v>651</v>
      </c>
      <c r="C161" s="20" t="s">
        <v>826</v>
      </c>
      <c r="D161" s="138">
        <v>2630000</v>
      </c>
      <c r="E161" s="20" t="s">
        <v>797</v>
      </c>
      <c r="F161" s="20" t="s">
        <v>798</v>
      </c>
      <c r="G161" s="8" t="str">
        <f t="shared" si="2"/>
        <v>SAFIEF AEIMEN</v>
      </c>
    </row>
    <row r="162" spans="1:7" x14ac:dyDescent="0.25">
      <c r="A162" s="8">
        <v>42917.735671296294</v>
      </c>
      <c r="B162" s="20" t="s">
        <v>368</v>
      </c>
      <c r="C162" s="20" t="s">
        <v>827</v>
      </c>
      <c r="D162" s="138">
        <v>2360000</v>
      </c>
      <c r="E162" s="20" t="s">
        <v>774</v>
      </c>
      <c r="F162" s="20" t="s">
        <v>775</v>
      </c>
      <c r="G162" s="8" t="str">
        <f t="shared" si="2"/>
        <v>BRANDNER MELINDA</v>
      </c>
    </row>
    <row r="163" spans="1:7" x14ac:dyDescent="0.25">
      <c r="A163" s="8">
        <v>42917.738541666666</v>
      </c>
      <c r="B163" s="20" t="s">
        <v>468</v>
      </c>
      <c r="C163" s="20" t="s">
        <v>828</v>
      </c>
      <c r="D163" s="138">
        <v>2730000</v>
      </c>
      <c r="E163" s="20" t="s">
        <v>521</v>
      </c>
      <c r="F163" s="20" t="s">
        <v>522</v>
      </c>
      <c r="G163" s="8" t="str">
        <f t="shared" si="2"/>
        <v>YANG JAN</v>
      </c>
    </row>
    <row r="164" spans="1:7" x14ac:dyDescent="0.25">
      <c r="A164" s="8">
        <v>42917.742465277777</v>
      </c>
      <c r="B164" s="20" t="s">
        <v>829</v>
      </c>
      <c r="C164" s="20" t="s">
        <v>830</v>
      </c>
      <c r="D164" s="138">
        <v>3130000</v>
      </c>
      <c r="E164" s="20" t="s">
        <v>384</v>
      </c>
      <c r="F164" s="20" t="s">
        <v>385</v>
      </c>
      <c r="G164" s="8" t="str">
        <f t="shared" si="2"/>
        <v>ZEWDU DEREJE</v>
      </c>
    </row>
    <row r="165" spans="1:7" x14ac:dyDescent="0.25">
      <c r="A165" s="8">
        <v>42917.744212962964</v>
      </c>
      <c r="B165" s="20" t="s">
        <v>562</v>
      </c>
      <c r="C165" s="20" t="s">
        <v>831</v>
      </c>
      <c r="D165" s="138">
        <v>1770000</v>
      </c>
      <c r="E165" s="20" t="s">
        <v>497</v>
      </c>
      <c r="F165" s="20" t="s">
        <v>498</v>
      </c>
      <c r="G165" s="8" t="str">
        <f t="shared" si="2"/>
        <v>BRUDER RICHARD</v>
      </c>
    </row>
    <row r="166" spans="1:7" x14ac:dyDescent="0.25">
      <c r="A166" s="8">
        <v>42917.74560185185</v>
      </c>
      <c r="B166" s="20" t="s">
        <v>483</v>
      </c>
      <c r="C166" s="20" t="s">
        <v>832</v>
      </c>
      <c r="D166" s="138">
        <v>1810000</v>
      </c>
      <c r="E166" s="20" t="s">
        <v>367</v>
      </c>
      <c r="F166" s="20" t="s">
        <v>189</v>
      </c>
      <c r="G166" s="8" t="str">
        <f t="shared" si="2"/>
        <v>NEWELL JAMES</v>
      </c>
    </row>
    <row r="167" spans="1:7" x14ac:dyDescent="0.25">
      <c r="A167" s="8">
        <v>42917.74732638889</v>
      </c>
      <c r="B167" s="20" t="s">
        <v>646</v>
      </c>
      <c r="C167" s="20" t="s">
        <v>665</v>
      </c>
      <c r="D167" s="138">
        <v>2420000</v>
      </c>
      <c r="E167" s="20" t="s">
        <v>571</v>
      </c>
      <c r="F167" s="20" t="s">
        <v>572</v>
      </c>
      <c r="G167" s="8" t="str">
        <f t="shared" si="2"/>
        <v>HOLCOMB KAMDEN</v>
      </c>
    </row>
    <row r="168" spans="1:7" x14ac:dyDescent="0.25">
      <c r="A168" s="8">
        <v>42917.749803240738</v>
      </c>
      <c r="B168" s="20" t="s">
        <v>639</v>
      </c>
      <c r="C168" s="20" t="s">
        <v>833</v>
      </c>
      <c r="D168" s="138">
        <v>2630000</v>
      </c>
      <c r="E168" s="20" t="s">
        <v>797</v>
      </c>
      <c r="F168" s="20" t="s">
        <v>798</v>
      </c>
      <c r="G168" s="8" t="str">
        <f t="shared" si="2"/>
        <v>SAFIEF AEIMEN</v>
      </c>
    </row>
    <row r="169" spans="1:7" x14ac:dyDescent="0.25">
      <c r="A169" s="8">
        <v>42917.756284722222</v>
      </c>
      <c r="B169" s="20" t="s">
        <v>339</v>
      </c>
      <c r="C169" s="20" t="s">
        <v>666</v>
      </c>
      <c r="D169" s="138">
        <v>2620000</v>
      </c>
      <c r="E169" s="20" t="s">
        <v>676</v>
      </c>
      <c r="F169" s="20" t="s">
        <v>677</v>
      </c>
      <c r="G169" s="8" t="str">
        <f t="shared" si="2"/>
        <v>PERKINS DARREN</v>
      </c>
    </row>
    <row r="170" spans="1:7" x14ac:dyDescent="0.25">
      <c r="A170" s="8">
        <v>42917.761111111111</v>
      </c>
      <c r="B170" s="20" t="s">
        <v>641</v>
      </c>
      <c r="C170" s="20" t="s">
        <v>834</v>
      </c>
      <c r="D170" s="138">
        <v>2370000</v>
      </c>
      <c r="E170" s="20" t="s">
        <v>569</v>
      </c>
      <c r="F170" s="20" t="s">
        <v>570</v>
      </c>
      <c r="G170" s="8" t="str">
        <f t="shared" si="2"/>
        <v>DELGADO DIANAH</v>
      </c>
    </row>
    <row r="171" spans="1:7" x14ac:dyDescent="0.25">
      <c r="A171" s="8">
        <v>42917.768125000002</v>
      </c>
      <c r="B171" s="20" t="s">
        <v>374</v>
      </c>
      <c r="C171" s="20" t="s">
        <v>835</v>
      </c>
      <c r="D171" s="138">
        <v>3000000</v>
      </c>
      <c r="E171" s="20" t="s">
        <v>422</v>
      </c>
      <c r="F171" s="20" t="s">
        <v>423</v>
      </c>
      <c r="G171" s="8" t="str">
        <f t="shared" si="2"/>
        <v>FORTUNATO FRANK</v>
      </c>
    </row>
    <row r="172" spans="1:7" x14ac:dyDescent="0.25">
      <c r="A172" s="8">
        <v>42917.774629629632</v>
      </c>
      <c r="B172" s="20" t="s">
        <v>474</v>
      </c>
      <c r="C172" s="20" t="s">
        <v>836</v>
      </c>
      <c r="D172" s="138">
        <v>2730000</v>
      </c>
      <c r="E172" s="20" t="s">
        <v>521</v>
      </c>
      <c r="F172" s="20" t="s">
        <v>522</v>
      </c>
      <c r="G172" s="8" t="str">
        <f t="shared" si="2"/>
        <v>YANG JAN</v>
      </c>
    </row>
    <row r="173" spans="1:7" x14ac:dyDescent="0.25">
      <c r="A173" s="8">
        <v>42917.776516203703</v>
      </c>
      <c r="B173" s="20" t="s">
        <v>651</v>
      </c>
      <c r="C173" s="20" t="s">
        <v>837</v>
      </c>
      <c r="D173" s="138">
        <v>2630000</v>
      </c>
      <c r="E173" s="20" t="s">
        <v>797</v>
      </c>
      <c r="F173" s="20" t="s">
        <v>798</v>
      </c>
      <c r="G173" s="8" t="str">
        <f t="shared" si="2"/>
        <v>SAFIEF AEIMEN</v>
      </c>
    </row>
    <row r="174" spans="1:7" x14ac:dyDescent="0.25">
      <c r="A174" s="8">
        <v>42917.776967592596</v>
      </c>
      <c r="B174" s="20" t="s">
        <v>563</v>
      </c>
      <c r="C174" s="20" t="s">
        <v>838</v>
      </c>
      <c r="D174" s="138">
        <v>1770000</v>
      </c>
      <c r="E174" s="20" t="s">
        <v>497</v>
      </c>
      <c r="F174" s="20" t="s">
        <v>498</v>
      </c>
      <c r="G174" s="8" t="str">
        <f t="shared" si="2"/>
        <v>BRUDER RICHARD</v>
      </c>
    </row>
    <row r="175" spans="1:7" x14ac:dyDescent="0.25">
      <c r="A175" s="8">
        <v>42917.787812499999</v>
      </c>
      <c r="B175" s="20" t="s">
        <v>397</v>
      </c>
      <c r="C175" s="20" t="s">
        <v>839</v>
      </c>
      <c r="D175" s="138">
        <v>3090000</v>
      </c>
      <c r="E175" s="20" t="s">
        <v>375</v>
      </c>
      <c r="F175" s="20" t="s">
        <v>376</v>
      </c>
      <c r="G175" s="8" t="str">
        <f t="shared" si="2"/>
        <v>LAMAR NEKESHA</v>
      </c>
    </row>
    <row r="176" spans="1:7" x14ac:dyDescent="0.25">
      <c r="A176" s="8">
        <v>42917.789340277777</v>
      </c>
      <c r="B176" s="20" t="s">
        <v>649</v>
      </c>
      <c r="C176" s="20" t="s">
        <v>840</v>
      </c>
      <c r="D176" s="138">
        <v>2420000</v>
      </c>
      <c r="E176" s="20" t="s">
        <v>571</v>
      </c>
      <c r="F176" s="20" t="s">
        <v>572</v>
      </c>
      <c r="G176" s="8" t="str">
        <f t="shared" si="2"/>
        <v>HOLCOMB KAMDEN</v>
      </c>
    </row>
    <row r="177" spans="1:7" x14ac:dyDescent="0.25">
      <c r="A177" s="8">
        <v>42917.795868055553</v>
      </c>
      <c r="B177" s="20" t="s">
        <v>340</v>
      </c>
      <c r="C177" s="20" t="s">
        <v>841</v>
      </c>
      <c r="D177" s="138">
        <v>2620000</v>
      </c>
      <c r="E177" s="20" t="s">
        <v>676</v>
      </c>
      <c r="F177" s="20" t="s">
        <v>677</v>
      </c>
      <c r="G177" s="8" t="str">
        <f t="shared" si="2"/>
        <v>PERKINS DARREN</v>
      </c>
    </row>
    <row r="178" spans="1:7" x14ac:dyDescent="0.25">
      <c r="A178" s="8">
        <v>42917.79755787037</v>
      </c>
      <c r="B178" s="20" t="s">
        <v>575</v>
      </c>
      <c r="C178" s="20" t="s">
        <v>842</v>
      </c>
      <c r="D178" s="138">
        <v>2370000</v>
      </c>
      <c r="E178" s="20" t="s">
        <v>569</v>
      </c>
      <c r="F178" s="20" t="s">
        <v>570</v>
      </c>
      <c r="G178" s="8" t="str">
        <f t="shared" si="2"/>
        <v>DELGADO DIANAH</v>
      </c>
    </row>
    <row r="179" spans="1:7" x14ac:dyDescent="0.25">
      <c r="A179" s="8">
        <v>42917.799861111111</v>
      </c>
      <c r="B179" s="20" t="s">
        <v>639</v>
      </c>
      <c r="C179" s="20" t="s">
        <v>843</v>
      </c>
      <c r="D179" s="138">
        <v>2630000</v>
      </c>
      <c r="E179" s="20" t="s">
        <v>797</v>
      </c>
      <c r="F179" s="20" t="s">
        <v>798</v>
      </c>
      <c r="G179" s="8" t="str">
        <f t="shared" si="2"/>
        <v>SAFIEF AEIMEN</v>
      </c>
    </row>
    <row r="180" spans="1:7" x14ac:dyDescent="0.25">
      <c r="A180" s="8">
        <v>42917.801400462966</v>
      </c>
      <c r="B180" s="20" t="s">
        <v>368</v>
      </c>
      <c r="C180" s="20" t="s">
        <v>667</v>
      </c>
      <c r="D180" s="138">
        <v>3000000</v>
      </c>
      <c r="E180" s="20" t="s">
        <v>422</v>
      </c>
      <c r="F180" s="20" t="s">
        <v>423</v>
      </c>
      <c r="G180" s="8" t="str">
        <f t="shared" si="2"/>
        <v>FORTUNATO FRANK</v>
      </c>
    </row>
    <row r="181" spans="1:7" x14ac:dyDescent="0.25">
      <c r="A181" s="8">
        <v>42917.80877314815</v>
      </c>
      <c r="B181" s="20" t="s">
        <v>468</v>
      </c>
      <c r="C181" s="20" t="s">
        <v>844</v>
      </c>
      <c r="D181" s="138">
        <v>2730000</v>
      </c>
      <c r="E181" s="20" t="s">
        <v>521</v>
      </c>
      <c r="F181" s="20" t="s">
        <v>522</v>
      </c>
      <c r="G181" s="8" t="str">
        <f t="shared" si="2"/>
        <v>YANG JAN</v>
      </c>
    </row>
    <row r="182" spans="1:7" x14ac:dyDescent="0.25">
      <c r="A182" s="8">
        <v>42917.817893518521</v>
      </c>
      <c r="B182" s="20" t="s">
        <v>651</v>
      </c>
      <c r="C182" s="20" t="s">
        <v>845</v>
      </c>
      <c r="D182" s="138">
        <v>2630000</v>
      </c>
      <c r="E182" s="20" t="s">
        <v>797</v>
      </c>
      <c r="F182" s="20" t="s">
        <v>798</v>
      </c>
      <c r="G182" s="8" t="str">
        <f t="shared" si="2"/>
        <v>SAFIEF AEIMEN</v>
      </c>
    </row>
    <row r="183" spans="1:7" x14ac:dyDescent="0.25">
      <c r="A183" s="8">
        <v>42917.819004629629</v>
      </c>
      <c r="B183" s="20" t="s">
        <v>646</v>
      </c>
      <c r="C183" s="20" t="s">
        <v>846</v>
      </c>
      <c r="D183" s="138">
        <v>2420000</v>
      </c>
      <c r="E183" s="20" t="s">
        <v>571</v>
      </c>
      <c r="F183" s="20" t="s">
        <v>572</v>
      </c>
      <c r="G183" s="8" t="str">
        <f t="shared" si="2"/>
        <v>HOLCOMB KAMDEN</v>
      </c>
    </row>
    <row r="184" spans="1:7" x14ac:dyDescent="0.25">
      <c r="A184" s="8">
        <v>42917.828935185185</v>
      </c>
      <c r="B184" s="20" t="s">
        <v>483</v>
      </c>
      <c r="C184" s="20" t="s">
        <v>847</v>
      </c>
      <c r="D184" s="138">
        <v>3090000</v>
      </c>
      <c r="E184" s="20" t="s">
        <v>375</v>
      </c>
      <c r="F184" s="20" t="s">
        <v>376</v>
      </c>
      <c r="G184" s="8" t="str">
        <f t="shared" si="2"/>
        <v>LAMAR NEKESHA</v>
      </c>
    </row>
    <row r="185" spans="1:7" x14ac:dyDescent="0.25">
      <c r="A185" s="8">
        <v>42917.829074074078</v>
      </c>
      <c r="B185" s="20" t="s">
        <v>339</v>
      </c>
      <c r="C185" s="20" t="s">
        <v>668</v>
      </c>
      <c r="D185" s="138">
        <v>2620000</v>
      </c>
      <c r="E185" s="20" t="s">
        <v>676</v>
      </c>
      <c r="F185" s="20" t="s">
        <v>677</v>
      </c>
      <c r="G185" s="8" t="str">
        <f t="shared" si="2"/>
        <v>PERKINS DARREN</v>
      </c>
    </row>
    <row r="186" spans="1:7" x14ac:dyDescent="0.25">
      <c r="A186" s="8">
        <v>42917.835729166669</v>
      </c>
      <c r="B186" s="20" t="s">
        <v>639</v>
      </c>
      <c r="C186" s="20" t="s">
        <v>848</v>
      </c>
      <c r="D186" s="138">
        <v>2630000</v>
      </c>
      <c r="E186" s="20" t="s">
        <v>797</v>
      </c>
      <c r="F186" s="20" t="s">
        <v>798</v>
      </c>
      <c r="G186" s="8" t="str">
        <f t="shared" si="2"/>
        <v>SAFIEF AEIMEN</v>
      </c>
    </row>
    <row r="187" spans="1:7" x14ac:dyDescent="0.25">
      <c r="A187" s="8">
        <v>42917.842881944445</v>
      </c>
      <c r="B187" s="20" t="s">
        <v>374</v>
      </c>
      <c r="C187" s="20" t="s">
        <v>849</v>
      </c>
      <c r="D187" s="138">
        <v>3000000</v>
      </c>
      <c r="E187" s="20" t="s">
        <v>422</v>
      </c>
      <c r="F187" s="20" t="s">
        <v>423</v>
      </c>
      <c r="G187" s="8" t="str">
        <f t="shared" si="2"/>
        <v>FORTUNATO FRANK</v>
      </c>
    </row>
    <row r="188" spans="1:7" x14ac:dyDescent="0.25">
      <c r="A188" s="8">
        <v>42917.848263888889</v>
      </c>
      <c r="B188" s="20" t="s">
        <v>474</v>
      </c>
      <c r="C188" s="20" t="s">
        <v>850</v>
      </c>
      <c r="D188" s="138">
        <v>2730000</v>
      </c>
      <c r="E188" s="20" t="s">
        <v>521</v>
      </c>
      <c r="F188" s="20" t="s">
        <v>522</v>
      </c>
      <c r="G188" s="8" t="str">
        <f t="shared" si="2"/>
        <v>YANG JAN</v>
      </c>
    </row>
    <row r="189" spans="1:7" x14ac:dyDescent="0.25">
      <c r="A189" s="8">
        <v>42917.861527777779</v>
      </c>
      <c r="B189" s="20" t="s">
        <v>651</v>
      </c>
      <c r="C189" s="20" t="s">
        <v>851</v>
      </c>
      <c r="D189" s="138">
        <v>2630000</v>
      </c>
      <c r="E189" s="20" t="s">
        <v>797</v>
      </c>
      <c r="F189" s="20" t="s">
        <v>798</v>
      </c>
      <c r="G189" s="8" t="str">
        <f t="shared" si="2"/>
        <v>SAFIEF AEIMEN</v>
      </c>
    </row>
    <row r="190" spans="1:7" x14ac:dyDescent="0.25">
      <c r="A190" s="8">
        <v>42917.86478009259</v>
      </c>
      <c r="B190" s="20" t="s">
        <v>340</v>
      </c>
      <c r="C190" s="20" t="s">
        <v>852</v>
      </c>
      <c r="D190" s="138">
        <v>2620000</v>
      </c>
      <c r="E190" s="20" t="s">
        <v>676</v>
      </c>
      <c r="F190" s="20" t="s">
        <v>677</v>
      </c>
      <c r="G190" s="8" t="str">
        <f t="shared" si="2"/>
        <v>PERKINS DARREN</v>
      </c>
    </row>
    <row r="191" spans="1:7" x14ac:dyDescent="0.25">
      <c r="A191" s="8">
        <v>42917.871122685188</v>
      </c>
      <c r="B191" s="20" t="s">
        <v>397</v>
      </c>
      <c r="C191" s="20" t="s">
        <v>853</v>
      </c>
      <c r="D191" s="138">
        <v>3090000</v>
      </c>
      <c r="E191" s="20" t="s">
        <v>375</v>
      </c>
      <c r="F191" s="20" t="s">
        <v>376</v>
      </c>
      <c r="G191" s="8" t="str">
        <f t="shared" si="2"/>
        <v>LAMAR NEKESHA</v>
      </c>
    </row>
    <row r="192" spans="1:7" x14ac:dyDescent="0.25">
      <c r="A192" s="8">
        <v>42917.874328703707</v>
      </c>
      <c r="B192" s="20" t="s">
        <v>639</v>
      </c>
      <c r="C192" s="20" t="s">
        <v>854</v>
      </c>
      <c r="D192" s="138">
        <v>2630000</v>
      </c>
      <c r="E192" s="20" t="s">
        <v>797</v>
      </c>
      <c r="F192" s="20" t="s">
        <v>798</v>
      </c>
      <c r="G192" s="8" t="str">
        <f t="shared" si="2"/>
        <v>SAFIEF AEIMEN</v>
      </c>
    </row>
    <row r="193" spans="1:7" x14ac:dyDescent="0.25">
      <c r="A193" s="8">
        <v>42917.886666666665</v>
      </c>
      <c r="B193" s="20" t="s">
        <v>368</v>
      </c>
      <c r="C193" s="20" t="s">
        <v>855</v>
      </c>
      <c r="D193" s="138">
        <v>3000000</v>
      </c>
      <c r="E193" s="20" t="s">
        <v>422</v>
      </c>
      <c r="F193" s="20" t="s">
        <v>423</v>
      </c>
      <c r="G193" s="8" t="str">
        <f t="shared" si="2"/>
        <v>FORTUNATO FRANK</v>
      </c>
    </row>
    <row r="194" spans="1:7" x14ac:dyDescent="0.25">
      <c r="A194" s="8">
        <v>42917.889351851853</v>
      </c>
      <c r="B194" s="20" t="s">
        <v>468</v>
      </c>
      <c r="C194" s="20" t="s">
        <v>856</v>
      </c>
      <c r="D194" s="138">
        <v>2730000</v>
      </c>
      <c r="E194" s="20" t="s">
        <v>521</v>
      </c>
      <c r="F194" s="20" t="s">
        <v>522</v>
      </c>
      <c r="G194" s="8" t="str">
        <f t="shared" si="2"/>
        <v>YANG JAN</v>
      </c>
    </row>
    <row r="195" spans="1:7" x14ac:dyDescent="0.25">
      <c r="A195" s="8">
        <v>42917.901203703703</v>
      </c>
      <c r="B195" s="20" t="s">
        <v>651</v>
      </c>
      <c r="C195" s="20" t="s">
        <v>857</v>
      </c>
      <c r="D195" s="138">
        <v>2630000</v>
      </c>
      <c r="E195" s="20" t="s">
        <v>797</v>
      </c>
      <c r="F195" s="20" t="s">
        <v>798</v>
      </c>
      <c r="G195" s="8" t="str">
        <f t="shared" ref="G195:G258" si="3">E195&amp;" "&amp;F195</f>
        <v>SAFIEF AEIMEN</v>
      </c>
    </row>
    <row r="196" spans="1:7" x14ac:dyDescent="0.25">
      <c r="A196" s="8">
        <v>42917.904305555552</v>
      </c>
      <c r="B196" s="20" t="s">
        <v>339</v>
      </c>
      <c r="C196" s="20" t="s">
        <v>858</v>
      </c>
      <c r="D196" s="138">
        <v>2620000</v>
      </c>
      <c r="E196" s="20" t="s">
        <v>676</v>
      </c>
      <c r="F196" s="20" t="s">
        <v>677</v>
      </c>
      <c r="G196" s="8" t="str">
        <f t="shared" si="3"/>
        <v>PERKINS DARREN</v>
      </c>
    </row>
    <row r="197" spans="1:7" x14ac:dyDescent="0.25">
      <c r="A197" s="8">
        <v>42917.910949074074</v>
      </c>
      <c r="B197" s="20" t="s">
        <v>483</v>
      </c>
      <c r="C197" s="20" t="s">
        <v>859</v>
      </c>
      <c r="D197" s="138">
        <v>3090000</v>
      </c>
      <c r="E197" s="20" t="s">
        <v>375</v>
      </c>
      <c r="F197" s="20" t="s">
        <v>376</v>
      </c>
      <c r="G197" s="8" t="str">
        <f t="shared" si="3"/>
        <v>LAMAR NEKESHA</v>
      </c>
    </row>
    <row r="198" spans="1:7" x14ac:dyDescent="0.25">
      <c r="A198" s="8">
        <v>42917.919733796298</v>
      </c>
      <c r="B198" s="20" t="s">
        <v>639</v>
      </c>
      <c r="C198" s="20" t="s">
        <v>860</v>
      </c>
      <c r="D198" s="138">
        <v>2680000</v>
      </c>
      <c r="E198" s="20" t="s">
        <v>412</v>
      </c>
      <c r="F198" s="20" t="s">
        <v>413</v>
      </c>
      <c r="G198" s="8" t="str">
        <f t="shared" si="3"/>
        <v>DUNCAN SHEILA</v>
      </c>
    </row>
    <row r="199" spans="1:7" x14ac:dyDescent="0.25">
      <c r="A199" s="8">
        <v>42917.929594907408</v>
      </c>
      <c r="B199" s="20" t="s">
        <v>474</v>
      </c>
      <c r="C199" s="20" t="s">
        <v>861</v>
      </c>
      <c r="D199" s="138">
        <v>2730000</v>
      </c>
      <c r="E199" s="20" t="s">
        <v>521</v>
      </c>
      <c r="F199" s="20" t="s">
        <v>522</v>
      </c>
      <c r="G199" s="8" t="str">
        <f t="shared" si="3"/>
        <v>YANG JAN</v>
      </c>
    </row>
    <row r="200" spans="1:7" x14ac:dyDescent="0.25">
      <c r="A200" s="8">
        <v>42917.933761574073</v>
      </c>
      <c r="B200" s="20" t="s">
        <v>374</v>
      </c>
      <c r="C200" s="20" t="s">
        <v>862</v>
      </c>
      <c r="D200" s="138">
        <v>3000000</v>
      </c>
      <c r="E200" s="20" t="s">
        <v>422</v>
      </c>
      <c r="F200" s="20" t="s">
        <v>423</v>
      </c>
      <c r="G200" s="8" t="str">
        <f t="shared" si="3"/>
        <v>FORTUNATO FRANK</v>
      </c>
    </row>
    <row r="201" spans="1:7" x14ac:dyDescent="0.25">
      <c r="A201" s="8">
        <v>42917.942824074074</v>
      </c>
      <c r="B201" s="20" t="s">
        <v>651</v>
      </c>
      <c r="C201" s="20" t="s">
        <v>863</v>
      </c>
      <c r="D201" s="138">
        <v>2680000</v>
      </c>
      <c r="E201" s="20" t="s">
        <v>412</v>
      </c>
      <c r="F201" s="20" t="s">
        <v>413</v>
      </c>
      <c r="G201" s="8" t="str">
        <f t="shared" si="3"/>
        <v>DUNCAN SHEILA</v>
      </c>
    </row>
    <row r="202" spans="1:7" x14ac:dyDescent="0.25">
      <c r="A202" s="26">
        <v>42917.945520833331</v>
      </c>
      <c r="B202" s="20" t="s">
        <v>340</v>
      </c>
      <c r="C202" s="20" t="s">
        <v>864</v>
      </c>
      <c r="D202" s="138">
        <v>2620000</v>
      </c>
      <c r="E202" s="20" t="s">
        <v>676</v>
      </c>
      <c r="F202" s="20" t="s">
        <v>677</v>
      </c>
      <c r="G202" s="8" t="str">
        <f t="shared" si="3"/>
        <v>PERKINS DARREN</v>
      </c>
    </row>
    <row r="203" spans="1:7" x14ac:dyDescent="0.25">
      <c r="A203" s="8">
        <v>42917.955381944441</v>
      </c>
      <c r="B203" s="20" t="s">
        <v>397</v>
      </c>
      <c r="C203" s="20" t="s">
        <v>669</v>
      </c>
      <c r="D203" s="138">
        <v>3090000</v>
      </c>
      <c r="E203" s="20" t="s">
        <v>375</v>
      </c>
      <c r="F203" s="20" t="s">
        <v>376</v>
      </c>
      <c r="G203" s="8" t="str">
        <f t="shared" si="3"/>
        <v>LAMAR NEKESHA</v>
      </c>
    </row>
    <row r="204" spans="1:7" x14ac:dyDescent="0.25">
      <c r="A204" s="8">
        <v>42917.965092592596</v>
      </c>
      <c r="B204" s="20" t="s">
        <v>368</v>
      </c>
      <c r="C204" s="20" t="s">
        <v>670</v>
      </c>
      <c r="D204" s="138">
        <v>3000000</v>
      </c>
      <c r="E204" s="20" t="s">
        <v>422</v>
      </c>
      <c r="F204" s="20" t="s">
        <v>423</v>
      </c>
      <c r="G204" s="8" t="str">
        <f t="shared" si="3"/>
        <v>FORTUNATO FRANK</v>
      </c>
    </row>
    <row r="205" spans="1:7" x14ac:dyDescent="0.25">
      <c r="A205" s="8">
        <v>42917.974328703705</v>
      </c>
      <c r="B205" s="20" t="s">
        <v>468</v>
      </c>
      <c r="C205" s="20" t="s">
        <v>865</v>
      </c>
      <c r="D205" s="138">
        <v>2730000</v>
      </c>
      <c r="E205" s="20" t="s">
        <v>521</v>
      </c>
      <c r="F205" s="20" t="s">
        <v>522</v>
      </c>
      <c r="G205" s="8" t="str">
        <f t="shared" si="3"/>
        <v>YANG JAN</v>
      </c>
    </row>
    <row r="206" spans="1:7" x14ac:dyDescent="0.25">
      <c r="A206" s="8">
        <v>42917.989629629628</v>
      </c>
      <c r="B206" s="20" t="s">
        <v>339</v>
      </c>
      <c r="C206" s="20" t="s">
        <v>671</v>
      </c>
      <c r="D206" s="138">
        <v>2620000</v>
      </c>
      <c r="E206" s="20" t="s">
        <v>676</v>
      </c>
      <c r="F206" s="20" t="s">
        <v>677</v>
      </c>
      <c r="G206" s="8" t="str">
        <f t="shared" si="3"/>
        <v>PERKINS DARREN</v>
      </c>
    </row>
    <row r="207" spans="1:7" x14ac:dyDescent="0.25">
      <c r="A207" s="8">
        <v>42917.993692129632</v>
      </c>
      <c r="B207" s="20" t="s">
        <v>483</v>
      </c>
      <c r="C207" s="20" t="s">
        <v>866</v>
      </c>
      <c r="D207" s="138">
        <v>3090000</v>
      </c>
      <c r="E207" s="20" t="s">
        <v>375</v>
      </c>
      <c r="F207" s="20" t="s">
        <v>376</v>
      </c>
      <c r="G207" s="8" t="str">
        <f t="shared" si="3"/>
        <v>LAMAR NEKESHA</v>
      </c>
    </row>
    <row r="208" spans="1:7" x14ac:dyDescent="0.25">
      <c r="A208" s="8">
        <v>42918.006712962961</v>
      </c>
      <c r="B208" s="20" t="s">
        <v>374</v>
      </c>
      <c r="C208" s="20" t="s">
        <v>867</v>
      </c>
      <c r="D208" s="138">
        <v>3000000</v>
      </c>
      <c r="E208" s="20" t="s">
        <v>422</v>
      </c>
      <c r="F208" s="20" t="s">
        <v>423</v>
      </c>
      <c r="G208" s="8" t="str">
        <f t="shared" si="3"/>
        <v>FORTUNATO FRANK</v>
      </c>
    </row>
    <row r="209" spans="1:7" x14ac:dyDescent="0.25">
      <c r="A209" s="8">
        <v>42918.014502314814</v>
      </c>
      <c r="B209" s="20" t="s">
        <v>474</v>
      </c>
      <c r="C209" s="20" t="s">
        <v>868</v>
      </c>
      <c r="D209" s="138">
        <v>2730000</v>
      </c>
      <c r="E209" s="20" t="s">
        <v>521</v>
      </c>
      <c r="F209" s="20" t="s">
        <v>522</v>
      </c>
      <c r="G209" s="8" t="str">
        <f t="shared" si="3"/>
        <v>YANG JAN</v>
      </c>
    </row>
    <row r="210" spans="1:7" x14ac:dyDescent="0.25">
      <c r="A210" s="8">
        <v>42918.034016203703</v>
      </c>
      <c r="B210" s="20" t="s">
        <v>340</v>
      </c>
      <c r="C210" s="20" t="s">
        <v>869</v>
      </c>
      <c r="D210" s="138">
        <v>2620000</v>
      </c>
      <c r="E210" s="20" t="s">
        <v>676</v>
      </c>
      <c r="F210" s="20" t="s">
        <v>677</v>
      </c>
      <c r="G210" s="8" t="str">
        <f t="shared" si="3"/>
        <v>PERKINS DARREN</v>
      </c>
    </row>
    <row r="211" spans="1:7" x14ac:dyDescent="0.25">
      <c r="A211" s="8">
        <v>42918.037743055553</v>
      </c>
      <c r="B211" s="20" t="s">
        <v>397</v>
      </c>
      <c r="C211" s="20" t="s">
        <v>870</v>
      </c>
      <c r="D211" s="138">
        <v>3090000</v>
      </c>
      <c r="E211" s="20" t="s">
        <v>375</v>
      </c>
      <c r="F211" s="20" t="s">
        <v>376</v>
      </c>
      <c r="G211" s="8" t="str">
        <f t="shared" si="3"/>
        <v>LAMAR NEKESHA</v>
      </c>
    </row>
    <row r="212" spans="1:7" x14ac:dyDescent="0.25">
      <c r="A212" s="8">
        <v>42918.048634259256</v>
      </c>
      <c r="B212" s="20" t="s">
        <v>468</v>
      </c>
      <c r="C212" s="20" t="s">
        <v>871</v>
      </c>
      <c r="D212" s="138">
        <v>2730000</v>
      </c>
      <c r="E212" s="20" t="s">
        <v>521</v>
      </c>
      <c r="F212" s="20" t="s">
        <v>522</v>
      </c>
      <c r="G212" s="8" t="str">
        <f t="shared" si="3"/>
        <v>YANG JAN</v>
      </c>
    </row>
    <row r="213" spans="1:7" x14ac:dyDescent="0.25">
      <c r="A213" s="8">
        <v>42918.048842592594</v>
      </c>
      <c r="B213" s="20" t="s">
        <v>368</v>
      </c>
      <c r="C213" s="20" t="s">
        <v>672</v>
      </c>
      <c r="D213" s="138">
        <v>3000000</v>
      </c>
      <c r="E213" s="20" t="s">
        <v>422</v>
      </c>
      <c r="F213" s="20" t="s">
        <v>423</v>
      </c>
      <c r="G213" s="8" t="str">
        <f t="shared" si="3"/>
        <v>FORTUNATO FRANK</v>
      </c>
    </row>
    <row r="214" spans="1:7" x14ac:dyDescent="0.25">
      <c r="A214" s="8">
        <v>42918.069918981484</v>
      </c>
      <c r="B214" s="20" t="s">
        <v>339</v>
      </c>
      <c r="C214" s="20" t="s">
        <v>872</v>
      </c>
      <c r="D214" s="138">
        <v>2620000</v>
      </c>
      <c r="E214" s="20" t="s">
        <v>676</v>
      </c>
      <c r="F214" s="20" t="s">
        <v>677</v>
      </c>
      <c r="G214" s="8" t="str">
        <f t="shared" si="3"/>
        <v>PERKINS DARREN</v>
      </c>
    </row>
    <row r="215" spans="1:7" x14ac:dyDescent="0.25">
      <c r="A215" s="8">
        <v>42918.074942129628</v>
      </c>
      <c r="B215" s="20" t="s">
        <v>483</v>
      </c>
      <c r="C215" s="20" t="s">
        <v>673</v>
      </c>
      <c r="D215" s="138">
        <v>3090000</v>
      </c>
      <c r="E215" s="20" t="s">
        <v>375</v>
      </c>
      <c r="F215" s="20" t="s">
        <v>376</v>
      </c>
      <c r="G215" s="8" t="str">
        <f t="shared" si="3"/>
        <v>LAMAR NEKESHA</v>
      </c>
    </row>
    <row r="216" spans="1:7" x14ac:dyDescent="0.25">
      <c r="A216" s="8">
        <v>42918.091435185182</v>
      </c>
      <c r="B216" s="20" t="s">
        <v>374</v>
      </c>
      <c r="C216" s="20" t="s">
        <v>873</v>
      </c>
      <c r="D216" s="138">
        <v>3000000</v>
      </c>
      <c r="E216" s="20" t="s">
        <v>422</v>
      </c>
      <c r="F216" s="20" t="s">
        <v>423</v>
      </c>
      <c r="G216" s="8" t="str">
        <f t="shared" si="3"/>
        <v>FORTUNATO FRANK</v>
      </c>
    </row>
    <row r="217" spans="1:7" x14ac:dyDescent="0.25">
      <c r="A217" s="8">
        <v>42918.112118055556</v>
      </c>
      <c r="B217" s="20" t="s">
        <v>397</v>
      </c>
      <c r="C217" s="20" t="s">
        <v>874</v>
      </c>
      <c r="D217" s="138">
        <v>3090000</v>
      </c>
      <c r="E217" s="20" t="s">
        <v>375</v>
      </c>
      <c r="F217" s="20" t="s">
        <v>376</v>
      </c>
      <c r="G217" s="8" t="str">
        <f t="shared" si="3"/>
        <v>LAMAR NEKESHA</v>
      </c>
    </row>
    <row r="218" spans="1:7" x14ac:dyDescent="0.25">
      <c r="A218" s="8">
        <v>42918.112893518519</v>
      </c>
      <c r="B218" s="20" t="s">
        <v>875</v>
      </c>
      <c r="C218" s="20" t="s">
        <v>876</v>
      </c>
      <c r="D218" s="138">
        <v>1520000</v>
      </c>
      <c r="E218" s="20" t="s">
        <v>877</v>
      </c>
      <c r="F218" s="20" t="s">
        <v>878</v>
      </c>
      <c r="G218" s="8" t="str">
        <f t="shared" si="3"/>
        <v>MAYBERRY BILL</v>
      </c>
    </row>
    <row r="219" spans="1:7" x14ac:dyDescent="0.25">
      <c r="A219" s="8">
        <v>42914.889131944445</v>
      </c>
      <c r="B219" s="20" t="s">
        <v>518</v>
      </c>
      <c r="C219" s="20" t="s">
        <v>564</v>
      </c>
      <c r="D219" s="138">
        <v>2230000</v>
      </c>
      <c r="E219" s="20" t="s">
        <v>342</v>
      </c>
      <c r="F219" s="20" t="s">
        <v>192</v>
      </c>
      <c r="G219" s="8" t="str">
        <f t="shared" si="3"/>
        <v>SMITH MICHAEL</v>
      </c>
    </row>
    <row r="220" spans="1:7" x14ac:dyDescent="0.25">
      <c r="A220" s="8">
        <v>42914.891840277778</v>
      </c>
      <c r="B220" s="20" t="s">
        <v>418</v>
      </c>
      <c r="C220" s="20" t="s">
        <v>578</v>
      </c>
      <c r="D220" s="138">
        <v>970000</v>
      </c>
      <c r="E220" s="20" t="s">
        <v>576</v>
      </c>
      <c r="F220" s="20" t="s">
        <v>577</v>
      </c>
      <c r="G220" s="8" t="str">
        <f t="shared" si="3"/>
        <v>JACKSON WILLIAM</v>
      </c>
    </row>
    <row r="221" spans="1:7" x14ac:dyDescent="0.25">
      <c r="A221" s="8">
        <v>42914.900717592594</v>
      </c>
      <c r="B221" s="20" t="s">
        <v>562</v>
      </c>
      <c r="C221" s="20" t="s">
        <v>579</v>
      </c>
      <c r="D221" s="138">
        <v>2000000</v>
      </c>
      <c r="E221" s="20" t="s">
        <v>451</v>
      </c>
      <c r="F221" s="20" t="s">
        <v>189</v>
      </c>
      <c r="G221" s="8" t="str">
        <f t="shared" si="3"/>
        <v>STAMBAUGH JAMES</v>
      </c>
    </row>
    <row r="222" spans="1:7" x14ac:dyDescent="0.25">
      <c r="A222" s="8">
        <v>42914.912141203706</v>
      </c>
      <c r="B222" s="20" t="s">
        <v>368</v>
      </c>
      <c r="C222" s="20" t="s">
        <v>580</v>
      </c>
      <c r="D222" s="138">
        <v>2680000</v>
      </c>
      <c r="E222" s="20" t="s">
        <v>412</v>
      </c>
      <c r="F222" s="20" t="s">
        <v>413</v>
      </c>
      <c r="G222" s="8" t="str">
        <f t="shared" si="3"/>
        <v>DUNCAN SHEILA</v>
      </c>
    </row>
    <row r="223" spans="1:7" x14ac:dyDescent="0.25">
      <c r="A223" s="8">
        <v>42914.92046296296</v>
      </c>
      <c r="B223" s="20" t="s">
        <v>520</v>
      </c>
      <c r="C223" s="20" t="s">
        <v>581</v>
      </c>
      <c r="D223" s="138">
        <v>2230000</v>
      </c>
      <c r="E223" s="20" t="s">
        <v>342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42914.927129629628</v>
      </c>
      <c r="B224" t="s">
        <v>483</v>
      </c>
      <c r="C224" t="s">
        <v>582</v>
      </c>
      <c r="D224" s="138">
        <v>2090000</v>
      </c>
      <c r="E224" t="s">
        <v>442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42914.928310185183</v>
      </c>
      <c r="B225" t="s">
        <v>563</v>
      </c>
      <c r="C225" t="s">
        <v>583</v>
      </c>
      <c r="D225" s="138">
        <v>2000000</v>
      </c>
      <c r="E225" t="s">
        <v>451</v>
      </c>
      <c r="F225" s="20" t="s">
        <v>189</v>
      </c>
      <c r="G225" s="8" t="str">
        <f t="shared" si="3"/>
        <v>STAMBAUGH JAMES</v>
      </c>
    </row>
    <row r="226" spans="1:7" x14ac:dyDescent="0.25">
      <c r="A226" s="8">
        <v>42914.937245370369</v>
      </c>
      <c r="B226" t="s">
        <v>420</v>
      </c>
      <c r="C226" t="s">
        <v>584</v>
      </c>
      <c r="D226" s="138">
        <v>970000</v>
      </c>
      <c r="E226" t="s">
        <v>576</v>
      </c>
      <c r="F226" s="20" t="s">
        <v>577</v>
      </c>
      <c r="G226" s="8" t="str">
        <f t="shared" si="3"/>
        <v>JACKSON WILLIAM</v>
      </c>
    </row>
    <row r="227" spans="1:7" x14ac:dyDescent="0.25">
      <c r="A227" s="8">
        <v>42914.941967592589</v>
      </c>
      <c r="B227" t="s">
        <v>562</v>
      </c>
      <c r="C227" t="s">
        <v>585</v>
      </c>
      <c r="D227" s="138">
        <v>2000000</v>
      </c>
      <c r="E227" t="s">
        <v>451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42914.951203703706</v>
      </c>
      <c r="B228" t="s">
        <v>374</v>
      </c>
      <c r="C228" t="s">
        <v>586</v>
      </c>
      <c r="D228" s="138">
        <v>3000000</v>
      </c>
      <c r="E228" t="s">
        <v>422</v>
      </c>
      <c r="F228" s="20" t="s">
        <v>423</v>
      </c>
      <c r="G228" s="8" t="str">
        <f t="shared" si="3"/>
        <v>FORTUNATO FRANK</v>
      </c>
    </row>
    <row r="229" spans="1:7" x14ac:dyDescent="0.25">
      <c r="A229" s="8">
        <v>42914.952407407407</v>
      </c>
      <c r="B229" t="s">
        <v>518</v>
      </c>
      <c r="C229" t="s">
        <v>587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42914.96802083333</v>
      </c>
      <c r="B230" t="s">
        <v>397</v>
      </c>
      <c r="C230" t="s">
        <v>588</v>
      </c>
      <c r="D230" s="138">
        <v>2090000</v>
      </c>
      <c r="E230" t="s">
        <v>442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42914.973668981482</v>
      </c>
      <c r="B231" t="s">
        <v>418</v>
      </c>
      <c r="C231" t="s">
        <v>589</v>
      </c>
      <c r="D231" s="138">
        <v>970000</v>
      </c>
      <c r="E231" t="s">
        <v>576</v>
      </c>
      <c r="F231" s="20" t="s">
        <v>577</v>
      </c>
      <c r="G231" s="8" t="str">
        <f t="shared" si="3"/>
        <v>JACKSON WILLIAM</v>
      </c>
    </row>
    <row r="232" spans="1:7" x14ac:dyDescent="0.25">
      <c r="A232" s="8">
        <v>42914.99490740741</v>
      </c>
      <c r="B232" t="s">
        <v>368</v>
      </c>
      <c r="C232" t="s">
        <v>590</v>
      </c>
      <c r="D232" s="138">
        <v>3000000</v>
      </c>
      <c r="E232" t="s">
        <v>422</v>
      </c>
      <c r="F232" s="20" t="s">
        <v>423</v>
      </c>
      <c r="G232" s="8" t="str">
        <f t="shared" si="3"/>
        <v>FORTUNATO FRANK</v>
      </c>
    </row>
    <row r="233" spans="1:7" x14ac:dyDescent="0.25">
      <c r="A233" s="8">
        <v>42914.995173611111</v>
      </c>
      <c r="B233" t="s">
        <v>520</v>
      </c>
      <c r="C233" t="s">
        <v>591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42915.008738425924</v>
      </c>
      <c r="B234" t="s">
        <v>483</v>
      </c>
      <c r="C234" t="s">
        <v>592</v>
      </c>
      <c r="D234" s="138">
        <v>2090000</v>
      </c>
      <c r="E234" t="s">
        <v>442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42915.017407407409</v>
      </c>
      <c r="B235" t="s">
        <v>420</v>
      </c>
      <c r="C235" t="s">
        <v>593</v>
      </c>
      <c r="D235" s="138">
        <v>3090000</v>
      </c>
      <c r="E235" t="s">
        <v>375</v>
      </c>
      <c r="F235" s="20" t="s">
        <v>376</v>
      </c>
      <c r="G235" s="8" t="str">
        <f t="shared" si="3"/>
        <v>LAMAR NEKESHA</v>
      </c>
    </row>
    <row r="236" spans="1:7" x14ac:dyDescent="0.25">
      <c r="A236" s="8">
        <v>42915.030277777776</v>
      </c>
      <c r="B236" t="s">
        <v>374</v>
      </c>
      <c r="C236" t="s">
        <v>594</v>
      </c>
      <c r="D236" s="138">
        <v>3000000</v>
      </c>
      <c r="E236" t="s">
        <v>422</v>
      </c>
      <c r="F236" s="20" t="s">
        <v>423</v>
      </c>
      <c r="G236" s="8" t="str">
        <f t="shared" si="3"/>
        <v>FORTUNATO FRANK</v>
      </c>
    </row>
    <row r="237" spans="1:7" x14ac:dyDescent="0.25">
      <c r="A237" s="8">
        <v>42915.031238425923</v>
      </c>
      <c r="B237" t="s">
        <v>374</v>
      </c>
      <c r="C237" t="s">
        <v>594</v>
      </c>
      <c r="D237" s="138">
        <v>3000000</v>
      </c>
      <c r="E237" t="s">
        <v>422</v>
      </c>
      <c r="F237" s="20" t="s">
        <v>423</v>
      </c>
      <c r="G237" s="8" t="str">
        <f t="shared" si="3"/>
        <v>FORTUNATO FRANK</v>
      </c>
    </row>
    <row r="238" spans="1:7" x14ac:dyDescent="0.25">
      <c r="A238" s="8">
        <v>42915.032314814816</v>
      </c>
      <c r="B238" t="s">
        <v>374</v>
      </c>
      <c r="C238" t="s">
        <v>594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42915.037002314813</v>
      </c>
      <c r="B239" t="s">
        <v>518</v>
      </c>
      <c r="C239" t="s">
        <v>595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42915.051759259259</v>
      </c>
      <c r="B240" t="s">
        <v>397</v>
      </c>
      <c r="C240" t="s">
        <v>596</v>
      </c>
      <c r="D240" s="138">
        <v>2090000</v>
      </c>
      <c r="E240" t="s">
        <v>442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42915.057268518518</v>
      </c>
      <c r="B241" t="s">
        <v>418</v>
      </c>
      <c r="C241" t="s">
        <v>565</v>
      </c>
      <c r="D241" s="138">
        <v>3090000</v>
      </c>
      <c r="E241" t="s">
        <v>375</v>
      </c>
      <c r="F241" s="20" t="s">
        <v>376</v>
      </c>
      <c r="G241" s="8" t="str">
        <f t="shared" si="3"/>
        <v>LAMAR NEKESHA</v>
      </c>
    </row>
    <row r="242" spans="1:7" x14ac:dyDescent="0.25">
      <c r="A242" s="8">
        <v>42915.070543981485</v>
      </c>
      <c r="B242" t="s">
        <v>520</v>
      </c>
      <c r="C242" t="s">
        <v>597</v>
      </c>
      <c r="D242" s="138">
        <v>2230000</v>
      </c>
      <c r="E242" t="s">
        <v>342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42915.096736111111</v>
      </c>
      <c r="B243" t="s">
        <v>420</v>
      </c>
      <c r="C243" t="s">
        <v>598</v>
      </c>
      <c r="D243" s="138">
        <v>3090000</v>
      </c>
      <c r="E243" t="s">
        <v>375</v>
      </c>
      <c r="F243" s="20" t="s">
        <v>376</v>
      </c>
      <c r="G243" s="8" t="str">
        <f t="shared" si="3"/>
        <v>LAMAR NEKESHA</v>
      </c>
    </row>
    <row r="244" spans="1:7" x14ac:dyDescent="0.25">
      <c r="A244" s="8">
        <v>42913.929016203707</v>
      </c>
      <c r="B244" t="s">
        <v>472</v>
      </c>
      <c r="C244" t="s">
        <v>524</v>
      </c>
      <c r="D244" s="138">
        <v>3090000</v>
      </c>
      <c r="E244" t="s">
        <v>375</v>
      </c>
      <c r="F244" s="20" t="s">
        <v>376</v>
      </c>
      <c r="G244" s="8" t="str">
        <f t="shared" si="3"/>
        <v>LAMAR NEKESHA</v>
      </c>
    </row>
    <row r="245" spans="1:7" x14ac:dyDescent="0.25">
      <c r="A245" s="8">
        <v>42913.931215277778</v>
      </c>
      <c r="B245" t="s">
        <v>437</v>
      </c>
      <c r="C245" t="s">
        <v>525</v>
      </c>
      <c r="D245" s="138">
        <v>2230000</v>
      </c>
      <c r="E245" t="s">
        <v>342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42913.942037037035</v>
      </c>
      <c r="B246" t="s">
        <v>399</v>
      </c>
      <c r="C246" t="s">
        <v>526</v>
      </c>
      <c r="D246" s="138">
        <v>2000000</v>
      </c>
      <c r="E246" t="s">
        <v>451</v>
      </c>
      <c r="F246" s="20" t="s">
        <v>189</v>
      </c>
      <c r="G246" s="8" t="str">
        <f t="shared" si="3"/>
        <v>STAMBAUGH JAMES</v>
      </c>
    </row>
    <row r="247" spans="1:7" x14ac:dyDescent="0.25">
      <c r="A247" s="8">
        <v>42913.945648148147</v>
      </c>
      <c r="B247" t="s">
        <v>468</v>
      </c>
      <c r="C247" t="s">
        <v>527</v>
      </c>
      <c r="D247" s="138">
        <v>2090000</v>
      </c>
      <c r="E247" t="s">
        <v>442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42913.948611111111</v>
      </c>
      <c r="B248" t="s">
        <v>402</v>
      </c>
      <c r="C248" t="s">
        <v>526</v>
      </c>
      <c r="D248" s="138">
        <v>2000000</v>
      </c>
      <c r="E248" t="s">
        <v>451</v>
      </c>
      <c r="F248" s="20" t="s">
        <v>189</v>
      </c>
      <c r="G248" s="8" t="str">
        <f t="shared" si="3"/>
        <v>STAMBAUGH JAMES</v>
      </c>
    </row>
    <row r="249" spans="1:7" x14ac:dyDescent="0.25">
      <c r="A249" s="8">
        <v>42913.949120370373</v>
      </c>
      <c r="B249" t="s">
        <v>402</v>
      </c>
      <c r="C249" t="s">
        <v>526</v>
      </c>
      <c r="D249" s="138">
        <v>2000000</v>
      </c>
      <c r="E249" t="s">
        <v>451</v>
      </c>
      <c r="F249" s="20" t="s">
        <v>189</v>
      </c>
      <c r="G249" s="8" t="str">
        <f t="shared" si="3"/>
        <v>STAMBAUGH JAMES</v>
      </c>
    </row>
    <row r="250" spans="1:7" x14ac:dyDescent="0.25">
      <c r="A250" s="8">
        <v>42913.952164351853</v>
      </c>
      <c r="B250" t="s">
        <v>493</v>
      </c>
      <c r="C250" t="s">
        <v>528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42913.971284722225</v>
      </c>
      <c r="B251" t="s">
        <v>438</v>
      </c>
      <c r="C251" t="s">
        <v>529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42913.97347222222</v>
      </c>
      <c r="B252" t="s">
        <v>475</v>
      </c>
      <c r="C252" t="s">
        <v>530</v>
      </c>
      <c r="D252" s="138">
        <v>3090000</v>
      </c>
      <c r="E252" t="s">
        <v>375</v>
      </c>
      <c r="F252" s="20" t="s">
        <v>376</v>
      </c>
      <c r="G252" s="8" t="str">
        <f t="shared" si="3"/>
        <v>LAMAR NEKESHA</v>
      </c>
    </row>
    <row r="253" spans="1:7" x14ac:dyDescent="0.25">
      <c r="A253" s="8">
        <v>42913.985775462963</v>
      </c>
      <c r="B253" t="s">
        <v>448</v>
      </c>
      <c r="C253" t="s">
        <v>531</v>
      </c>
      <c r="D253" s="138">
        <v>3000000</v>
      </c>
      <c r="E253" t="s">
        <v>422</v>
      </c>
      <c r="F253" s="20" t="s">
        <v>423</v>
      </c>
      <c r="G253" s="8" t="str">
        <f t="shared" si="3"/>
        <v>FORTUNATO FRANK</v>
      </c>
    </row>
    <row r="254" spans="1:7" x14ac:dyDescent="0.25">
      <c r="A254" s="8">
        <v>42913.985983796294</v>
      </c>
      <c r="B254" t="s">
        <v>474</v>
      </c>
      <c r="C254" t="s">
        <v>532</v>
      </c>
      <c r="D254" s="138">
        <v>2090000</v>
      </c>
      <c r="E254" t="s">
        <v>442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42914.006678240738</v>
      </c>
      <c r="B255" t="s">
        <v>472</v>
      </c>
      <c r="C255" t="s">
        <v>533</v>
      </c>
      <c r="D255" s="138">
        <v>3090000</v>
      </c>
      <c r="E255" t="s">
        <v>375</v>
      </c>
      <c r="F255" s="20" t="s">
        <v>376</v>
      </c>
      <c r="G255" s="8" t="str">
        <f t="shared" si="3"/>
        <v>LAMAR NEKESHA</v>
      </c>
    </row>
    <row r="256" spans="1:7" x14ac:dyDescent="0.25">
      <c r="A256" s="8">
        <v>42914.013194444444</v>
      </c>
      <c r="B256" t="s">
        <v>437</v>
      </c>
      <c r="C256" t="s">
        <v>534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42914.028240740743</v>
      </c>
      <c r="B257" t="s">
        <v>468</v>
      </c>
      <c r="C257" t="s">
        <v>535</v>
      </c>
      <c r="D257" s="138">
        <v>2090000</v>
      </c>
      <c r="E257" t="s">
        <v>442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42914.029791666668</v>
      </c>
      <c r="B258" t="s">
        <v>468</v>
      </c>
      <c r="C258" t="s">
        <v>535</v>
      </c>
      <c r="D258" s="138">
        <v>2090000</v>
      </c>
      <c r="E258" t="s">
        <v>442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42914.034594907411</v>
      </c>
      <c r="B259" t="s">
        <v>493</v>
      </c>
      <c r="C259" t="s">
        <v>519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42914.048738425925</v>
      </c>
      <c r="B260" t="s">
        <v>438</v>
      </c>
      <c r="C260" t="s">
        <v>536</v>
      </c>
      <c r="D260" s="138">
        <v>2230000</v>
      </c>
      <c r="E260" t="s">
        <v>342</v>
      </c>
      <c r="F260" s="20" t="s">
        <v>192</v>
      </c>
      <c r="G260" s="8" t="str">
        <f t="shared" si="4"/>
        <v>SMITH MICHAEL</v>
      </c>
    </row>
    <row r="261" spans="1:7" x14ac:dyDescent="0.25">
      <c r="A261" s="8">
        <v>42914.055451388886</v>
      </c>
      <c r="B261" t="s">
        <v>475</v>
      </c>
      <c r="C261" t="s">
        <v>537</v>
      </c>
      <c r="D261" s="138">
        <v>3090000</v>
      </c>
      <c r="E261" t="s">
        <v>375</v>
      </c>
      <c r="F261" s="20" t="s">
        <v>376</v>
      </c>
      <c r="G261" s="8" t="str">
        <f t="shared" si="4"/>
        <v>LAMAR NEKESHA</v>
      </c>
    </row>
    <row r="262" spans="1:7" x14ac:dyDescent="0.25">
      <c r="A262" s="8">
        <v>42914.070810185185</v>
      </c>
      <c r="B262" t="s">
        <v>448</v>
      </c>
      <c r="C262" t="s">
        <v>538</v>
      </c>
      <c r="D262" s="138">
        <v>3000000</v>
      </c>
      <c r="E262" t="s">
        <v>422</v>
      </c>
      <c r="F262" s="20" t="s">
        <v>423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472</v>
      </c>
      <c r="C263" t="s">
        <v>539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472</v>
      </c>
      <c r="C264" t="s">
        <v>539</v>
      </c>
      <c r="D264" s="138">
        <v>3090000</v>
      </c>
      <c r="E264" t="s">
        <v>375</v>
      </c>
      <c r="F264" s="20" t="s">
        <v>376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472</v>
      </c>
      <c r="C265" t="s">
        <v>539</v>
      </c>
      <c r="D265" s="138">
        <v>3090000</v>
      </c>
      <c r="E265" t="s">
        <v>375</v>
      </c>
      <c r="F265" s="20" t="s">
        <v>376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494</v>
      </c>
      <c r="C266" t="s">
        <v>540</v>
      </c>
      <c r="D266" s="138">
        <v>940000</v>
      </c>
      <c r="E266" t="s">
        <v>504</v>
      </c>
      <c r="F266" s="20" t="s">
        <v>505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439</v>
      </c>
      <c r="C267" t="s">
        <v>449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452</v>
      </c>
      <c r="O1" s="171" t="s">
        <v>156</v>
      </c>
      <c r="P1" s="171" t="s">
        <v>163</v>
      </c>
      <c r="Q1" s="171" t="s">
        <v>453</v>
      </c>
      <c r="R1" s="171" t="s">
        <v>160</v>
      </c>
      <c r="S1"/>
    </row>
    <row r="2" spans="1:19" x14ac:dyDescent="0.25">
      <c r="A2" s="172">
        <v>63.26</v>
      </c>
      <c r="B2" s="172">
        <v>0</v>
      </c>
      <c r="C2" s="172">
        <v>45.89</v>
      </c>
      <c r="D2" s="8">
        <v>42917</v>
      </c>
      <c r="E2" s="172">
        <v>0.53</v>
      </c>
      <c r="F2" s="172" t="s">
        <v>444</v>
      </c>
      <c r="G2" s="172">
        <v>326.25</v>
      </c>
      <c r="H2" s="172">
        <v>0</v>
      </c>
      <c r="I2" s="172">
        <v>0</v>
      </c>
      <c r="J2" s="172">
        <v>1016.06</v>
      </c>
      <c r="K2" s="172" t="s">
        <v>445</v>
      </c>
      <c r="L2" s="172">
        <v>63.26</v>
      </c>
      <c r="M2" s="172">
        <v>1498888800</v>
      </c>
      <c r="N2" s="172">
        <v>0</v>
      </c>
      <c r="O2" s="172">
        <v>10</v>
      </c>
      <c r="P2" s="172">
        <v>222</v>
      </c>
      <c r="Q2" s="172">
        <v>3.25</v>
      </c>
      <c r="R2" s="172">
        <v>2.15</v>
      </c>
      <c r="S2"/>
    </row>
    <row r="3" spans="1:19" x14ac:dyDescent="0.25">
      <c r="A3" s="172">
        <v>62.11</v>
      </c>
      <c r="B3" s="172">
        <v>0.01</v>
      </c>
      <c r="C3" s="172">
        <v>45.94</v>
      </c>
      <c r="D3" s="8">
        <v>42917.041666666664</v>
      </c>
      <c r="E3" s="172">
        <v>0.55000000000000004</v>
      </c>
      <c r="F3" s="172" t="s">
        <v>444</v>
      </c>
      <c r="G3" s="172">
        <v>322.89</v>
      </c>
      <c r="H3" s="172">
        <v>0</v>
      </c>
      <c r="I3" s="172">
        <v>0</v>
      </c>
      <c r="J3" s="172">
        <v>1015.99</v>
      </c>
      <c r="K3" s="172" t="s">
        <v>445</v>
      </c>
      <c r="L3" s="172">
        <v>62.11</v>
      </c>
      <c r="M3" s="172">
        <v>1498892400</v>
      </c>
      <c r="N3" s="172">
        <v>0</v>
      </c>
      <c r="O3" s="172">
        <v>10</v>
      </c>
      <c r="P3" s="172">
        <v>225</v>
      </c>
      <c r="Q3" s="172">
        <v>3.6</v>
      </c>
      <c r="R3" s="172">
        <v>2.72</v>
      </c>
      <c r="S3"/>
    </row>
    <row r="4" spans="1:19" x14ac:dyDescent="0.25">
      <c r="A4" s="172">
        <v>61.35</v>
      </c>
      <c r="B4" s="172">
        <v>0.02</v>
      </c>
      <c r="C4" s="172">
        <v>45.88</v>
      </c>
      <c r="D4" s="8">
        <v>42917.083333333336</v>
      </c>
      <c r="E4" s="172">
        <v>0.56999999999999995</v>
      </c>
      <c r="F4" s="172" t="s">
        <v>444</v>
      </c>
      <c r="G4" s="172">
        <v>319.39999999999998</v>
      </c>
      <c r="H4" s="172">
        <v>0</v>
      </c>
      <c r="I4" s="172">
        <v>0</v>
      </c>
      <c r="J4" s="172">
        <v>1016.03</v>
      </c>
      <c r="K4" s="172" t="s">
        <v>445</v>
      </c>
      <c r="L4" s="172">
        <v>61.35</v>
      </c>
      <c r="M4" s="172">
        <v>1498896000</v>
      </c>
      <c r="N4" s="172">
        <v>0</v>
      </c>
      <c r="O4" s="172">
        <v>10</v>
      </c>
      <c r="P4" s="172">
        <v>201</v>
      </c>
      <c r="Q4" s="172">
        <v>4.75</v>
      </c>
      <c r="R4" s="172">
        <v>3.49</v>
      </c>
      <c r="S4"/>
    </row>
    <row r="5" spans="1:19" x14ac:dyDescent="0.25">
      <c r="A5" s="172">
        <v>60.9</v>
      </c>
      <c r="B5" s="172">
        <v>0.02</v>
      </c>
      <c r="C5" s="172">
        <v>45.67</v>
      </c>
      <c r="D5" s="8">
        <v>42917.125</v>
      </c>
      <c r="E5" s="172">
        <v>0.56999999999999995</v>
      </c>
      <c r="F5" s="172" t="s">
        <v>444</v>
      </c>
      <c r="G5" s="172">
        <v>316.5</v>
      </c>
      <c r="H5" s="172">
        <v>0</v>
      </c>
      <c r="I5" s="172">
        <v>0</v>
      </c>
      <c r="J5" s="172">
        <v>1016.13</v>
      </c>
      <c r="K5" s="172" t="s">
        <v>445</v>
      </c>
      <c r="L5" s="172">
        <v>60.9</v>
      </c>
      <c r="M5" s="172">
        <v>1498899600</v>
      </c>
      <c r="N5" s="172">
        <v>0</v>
      </c>
      <c r="O5" s="172">
        <v>10</v>
      </c>
      <c r="P5" s="172">
        <v>218</v>
      </c>
      <c r="Q5" s="172">
        <v>4.4000000000000004</v>
      </c>
      <c r="R5" s="172">
        <v>3.03</v>
      </c>
      <c r="S5"/>
    </row>
    <row r="6" spans="1:19" x14ac:dyDescent="0.25">
      <c r="A6" s="172">
        <v>60.09</v>
      </c>
      <c r="B6" s="172">
        <v>0.01</v>
      </c>
      <c r="C6" s="172">
        <v>45.13</v>
      </c>
      <c r="D6" s="8">
        <v>42917.166666666664</v>
      </c>
      <c r="E6" s="172">
        <v>0.57999999999999996</v>
      </c>
      <c r="F6" s="172" t="s">
        <v>444</v>
      </c>
      <c r="G6" s="172">
        <v>314.08</v>
      </c>
      <c r="H6" s="172">
        <v>0</v>
      </c>
      <c r="I6" s="172">
        <v>0</v>
      </c>
      <c r="J6" s="172">
        <v>1016.26</v>
      </c>
      <c r="K6" s="172" t="s">
        <v>445</v>
      </c>
      <c r="L6" s="172">
        <v>60.09</v>
      </c>
      <c r="M6" s="172">
        <v>1498903200</v>
      </c>
      <c r="N6" s="172">
        <v>0</v>
      </c>
      <c r="O6" s="172">
        <v>10</v>
      </c>
      <c r="P6" s="172">
        <v>220</v>
      </c>
      <c r="Q6" s="172">
        <v>4.3499999999999996</v>
      </c>
      <c r="R6" s="172">
        <v>3.16</v>
      </c>
      <c r="S6"/>
    </row>
    <row r="7" spans="1:19" x14ac:dyDescent="0.25">
      <c r="A7" s="172">
        <v>59.03</v>
      </c>
      <c r="B7" s="172">
        <v>0.01</v>
      </c>
      <c r="C7" s="172">
        <v>44</v>
      </c>
      <c r="D7" s="8">
        <v>42917.208333333336</v>
      </c>
      <c r="E7" s="172">
        <v>0.56999999999999995</v>
      </c>
      <c r="F7" s="172" t="s">
        <v>444</v>
      </c>
      <c r="G7" s="172">
        <v>312.17</v>
      </c>
      <c r="H7" s="172">
        <v>0</v>
      </c>
      <c r="I7" s="172">
        <v>0</v>
      </c>
      <c r="J7" s="172">
        <v>1016.43</v>
      </c>
      <c r="K7" s="172" t="s">
        <v>445</v>
      </c>
      <c r="L7" s="172">
        <v>59.03</v>
      </c>
      <c r="M7" s="172">
        <v>1498906800</v>
      </c>
      <c r="N7" s="172">
        <v>0</v>
      </c>
      <c r="O7" s="172">
        <v>10</v>
      </c>
      <c r="P7" s="172">
        <v>258</v>
      </c>
      <c r="Q7" s="172">
        <v>4.47</v>
      </c>
      <c r="R7" s="172">
        <v>3.37</v>
      </c>
      <c r="S7"/>
    </row>
    <row r="8" spans="1:19" x14ac:dyDescent="0.25">
      <c r="A8" s="172">
        <v>58.82</v>
      </c>
      <c r="B8" s="172">
        <v>0</v>
      </c>
      <c r="C8" s="172">
        <v>42.42</v>
      </c>
      <c r="D8" s="8">
        <v>42917.25</v>
      </c>
      <c r="E8" s="172">
        <v>0.54</v>
      </c>
      <c r="F8" s="172" t="s">
        <v>446</v>
      </c>
      <c r="G8" s="172">
        <v>306.83999999999997</v>
      </c>
      <c r="H8" s="172">
        <v>0</v>
      </c>
      <c r="I8" s="172">
        <v>0</v>
      </c>
      <c r="J8" s="172">
        <v>1016.4</v>
      </c>
      <c r="K8" s="172" t="s">
        <v>445</v>
      </c>
      <c r="L8" s="172">
        <v>58.82</v>
      </c>
      <c r="M8" s="172">
        <v>1498910400</v>
      </c>
      <c r="N8" s="172">
        <v>0</v>
      </c>
      <c r="O8" s="172">
        <v>10</v>
      </c>
      <c r="P8" s="172">
        <v>215</v>
      </c>
      <c r="Q8" s="172">
        <v>3.35</v>
      </c>
      <c r="R8" s="172">
        <v>3.13</v>
      </c>
      <c r="S8"/>
    </row>
    <row r="9" spans="1:19" x14ac:dyDescent="0.25">
      <c r="A9" s="172">
        <v>61.61</v>
      </c>
      <c r="B9" s="172">
        <v>0</v>
      </c>
      <c r="C9" s="172">
        <v>42.64</v>
      </c>
      <c r="D9" s="8">
        <v>42917.291666666664</v>
      </c>
      <c r="E9" s="172">
        <v>0.5</v>
      </c>
      <c r="F9" s="172" t="s">
        <v>446</v>
      </c>
      <c r="G9" s="172">
        <v>306.29000000000002</v>
      </c>
      <c r="H9" s="172">
        <v>0</v>
      </c>
      <c r="I9" s="172">
        <v>0</v>
      </c>
      <c r="J9" s="172">
        <v>1016.16</v>
      </c>
      <c r="K9" s="172" t="s">
        <v>445</v>
      </c>
      <c r="L9" s="172">
        <v>61.61</v>
      </c>
      <c r="M9" s="172">
        <v>1498914000</v>
      </c>
      <c r="N9" s="172">
        <v>1</v>
      </c>
      <c r="O9" s="172">
        <v>10</v>
      </c>
      <c r="P9" s="172">
        <v>210</v>
      </c>
      <c r="Q9" s="172">
        <v>4.41</v>
      </c>
      <c r="R9" s="172">
        <v>2.82</v>
      </c>
      <c r="S9"/>
    </row>
    <row r="10" spans="1:19" x14ac:dyDescent="0.25">
      <c r="A10" s="172">
        <v>66.790000000000006</v>
      </c>
      <c r="B10" s="172">
        <v>0</v>
      </c>
      <c r="C10" s="172">
        <v>42.47</v>
      </c>
      <c r="D10" s="8">
        <v>42917.333333333336</v>
      </c>
      <c r="E10" s="172">
        <v>0.41</v>
      </c>
      <c r="F10" s="172" t="s">
        <v>446</v>
      </c>
      <c r="G10" s="172">
        <v>307.02</v>
      </c>
      <c r="H10" s="172">
        <v>0</v>
      </c>
      <c r="I10" s="172">
        <v>0</v>
      </c>
      <c r="J10" s="172">
        <v>1015.65</v>
      </c>
      <c r="K10" s="172" t="s">
        <v>445</v>
      </c>
      <c r="L10" s="172">
        <v>66.790000000000006</v>
      </c>
      <c r="M10" s="172">
        <v>1498917600</v>
      </c>
      <c r="N10" s="172">
        <v>1</v>
      </c>
      <c r="O10" s="172">
        <v>10</v>
      </c>
      <c r="P10" s="172">
        <v>272</v>
      </c>
      <c r="Q10" s="172">
        <v>4.0199999999999996</v>
      </c>
      <c r="R10" s="172">
        <v>2.27</v>
      </c>
      <c r="S10"/>
    </row>
    <row r="11" spans="1:19" x14ac:dyDescent="0.25">
      <c r="A11" s="172">
        <v>71.069999999999993</v>
      </c>
      <c r="B11" s="172">
        <v>0</v>
      </c>
      <c r="C11" s="172">
        <v>42.52</v>
      </c>
      <c r="D11" s="8">
        <v>42917.375</v>
      </c>
      <c r="E11" s="172">
        <v>0.36</v>
      </c>
      <c r="F11" s="172" t="s">
        <v>446</v>
      </c>
      <c r="G11" s="172">
        <v>308.18</v>
      </c>
      <c r="H11" s="172">
        <v>0</v>
      </c>
      <c r="I11" s="172">
        <v>0</v>
      </c>
      <c r="J11" s="172">
        <v>1015.06</v>
      </c>
      <c r="K11" s="172" t="s">
        <v>445</v>
      </c>
      <c r="L11" s="172">
        <v>71.069999999999993</v>
      </c>
      <c r="M11" s="172">
        <v>1498921200</v>
      </c>
      <c r="N11" s="172">
        <v>3</v>
      </c>
      <c r="O11" s="172">
        <v>10</v>
      </c>
      <c r="P11" s="172">
        <v>86</v>
      </c>
      <c r="Q11" s="172">
        <v>3.03</v>
      </c>
      <c r="R11" s="172">
        <v>1.84</v>
      </c>
      <c r="S11"/>
    </row>
    <row r="12" spans="1:19" x14ac:dyDescent="0.25">
      <c r="A12" s="172">
        <v>74.62</v>
      </c>
      <c r="B12" s="172">
        <v>0</v>
      </c>
      <c r="C12" s="172">
        <v>41.63</v>
      </c>
      <c r="D12" s="8">
        <v>42917.416666666664</v>
      </c>
      <c r="E12" s="172">
        <v>0.31</v>
      </c>
      <c r="F12" s="172" t="s">
        <v>446</v>
      </c>
      <c r="G12" s="172">
        <v>309.86</v>
      </c>
      <c r="H12" s="172">
        <v>0</v>
      </c>
      <c r="I12" s="172">
        <v>0</v>
      </c>
      <c r="J12" s="172">
        <v>1014.23</v>
      </c>
      <c r="K12" s="172" t="s">
        <v>445</v>
      </c>
      <c r="L12" s="172">
        <v>74.62</v>
      </c>
      <c r="M12" s="172">
        <v>1498924800</v>
      </c>
      <c r="N12" s="172">
        <v>5</v>
      </c>
      <c r="O12" s="172">
        <v>10</v>
      </c>
      <c r="P12" s="172">
        <v>77</v>
      </c>
      <c r="Q12" s="172">
        <v>2.79</v>
      </c>
      <c r="R12" s="172">
        <v>2.37</v>
      </c>
      <c r="S12"/>
    </row>
    <row r="13" spans="1:19" x14ac:dyDescent="0.25">
      <c r="A13" s="172">
        <v>78.17</v>
      </c>
      <c r="B13" s="172">
        <v>0</v>
      </c>
      <c r="C13" s="172">
        <v>40.590000000000003</v>
      </c>
      <c r="D13" s="8">
        <v>42917.458333333336</v>
      </c>
      <c r="E13" s="172">
        <v>0.26</v>
      </c>
      <c r="F13" s="172" t="s">
        <v>446</v>
      </c>
      <c r="G13" s="172">
        <v>311.86</v>
      </c>
      <c r="H13" s="172">
        <v>0</v>
      </c>
      <c r="I13" s="172">
        <v>0</v>
      </c>
      <c r="J13" s="172">
        <v>1013.18</v>
      </c>
      <c r="K13" s="172" t="s">
        <v>445</v>
      </c>
      <c r="L13" s="172">
        <v>78.17</v>
      </c>
      <c r="M13" s="172">
        <v>1498928400</v>
      </c>
      <c r="N13" s="172">
        <v>8</v>
      </c>
      <c r="O13" s="172">
        <v>10</v>
      </c>
      <c r="P13" s="172">
        <v>64</v>
      </c>
      <c r="Q13" s="172">
        <v>3.21</v>
      </c>
      <c r="R13" s="172">
        <v>3.19</v>
      </c>
      <c r="S13"/>
    </row>
    <row r="14" spans="1:19" x14ac:dyDescent="0.25">
      <c r="A14" s="172">
        <v>81.17</v>
      </c>
      <c r="B14" s="172">
        <v>0</v>
      </c>
      <c r="C14" s="172">
        <v>38.299999999999997</v>
      </c>
      <c r="D14" s="8">
        <v>42917.5</v>
      </c>
      <c r="E14" s="172">
        <v>0.22</v>
      </c>
      <c r="F14" s="172" t="s">
        <v>446</v>
      </c>
      <c r="G14" s="172">
        <v>310.55</v>
      </c>
      <c r="H14" s="172">
        <v>0</v>
      </c>
      <c r="I14" s="172">
        <v>0</v>
      </c>
      <c r="J14" s="172">
        <v>1012.18</v>
      </c>
      <c r="K14" s="172" t="s">
        <v>445</v>
      </c>
      <c r="L14" s="172">
        <v>81.17</v>
      </c>
      <c r="M14" s="172">
        <v>1498932000</v>
      </c>
      <c r="N14" s="172">
        <v>11</v>
      </c>
      <c r="O14" s="172">
        <v>10</v>
      </c>
      <c r="P14" s="172">
        <v>54</v>
      </c>
      <c r="Q14" s="172">
        <v>5.52</v>
      </c>
      <c r="R14" s="172">
        <v>4.25</v>
      </c>
      <c r="S14"/>
    </row>
    <row r="15" spans="1:19" x14ac:dyDescent="0.25">
      <c r="A15" s="172">
        <v>83.99</v>
      </c>
      <c r="B15" s="172">
        <v>0</v>
      </c>
      <c r="C15" s="172">
        <v>35.479999999999997</v>
      </c>
      <c r="D15" s="8">
        <v>42917.541666666664</v>
      </c>
      <c r="E15" s="172">
        <v>0.18</v>
      </c>
      <c r="F15" s="172" t="s">
        <v>446</v>
      </c>
      <c r="G15" s="172">
        <v>313.61</v>
      </c>
      <c r="H15" s="172">
        <v>0</v>
      </c>
      <c r="I15" s="172">
        <v>0</v>
      </c>
      <c r="J15" s="172">
        <v>1011.21</v>
      </c>
      <c r="K15" s="172" t="s">
        <v>445</v>
      </c>
      <c r="L15" s="172">
        <v>83.99</v>
      </c>
      <c r="M15" s="172">
        <v>1498935600</v>
      </c>
      <c r="N15" s="172">
        <v>13</v>
      </c>
      <c r="O15" s="172">
        <v>10</v>
      </c>
      <c r="P15" s="172">
        <v>59</v>
      </c>
      <c r="Q15" s="172">
        <v>7.41</v>
      </c>
      <c r="R15" s="172">
        <v>4.9800000000000004</v>
      </c>
      <c r="S15"/>
    </row>
    <row r="16" spans="1:19" x14ac:dyDescent="0.25">
      <c r="A16" s="172">
        <v>86.64</v>
      </c>
      <c r="B16" s="172">
        <v>0</v>
      </c>
      <c r="C16" s="172">
        <v>33.39</v>
      </c>
      <c r="D16" s="8">
        <v>42917.583333333336</v>
      </c>
      <c r="E16" s="172">
        <v>0.15</v>
      </c>
      <c r="F16" s="172" t="s">
        <v>446</v>
      </c>
      <c r="G16" s="172">
        <v>317.29000000000002</v>
      </c>
      <c r="H16" s="172">
        <v>0</v>
      </c>
      <c r="I16" s="172">
        <v>0</v>
      </c>
      <c r="J16" s="172">
        <v>1010.26</v>
      </c>
      <c r="K16" s="172" t="s">
        <v>445</v>
      </c>
      <c r="L16" s="172">
        <v>86.64</v>
      </c>
      <c r="M16" s="172">
        <v>1498939200</v>
      </c>
      <c r="N16" s="172">
        <v>11</v>
      </c>
      <c r="O16" s="172">
        <v>10</v>
      </c>
      <c r="P16" s="172">
        <v>56</v>
      </c>
      <c r="Q16" s="172">
        <v>9.27</v>
      </c>
      <c r="R16" s="172">
        <v>5.62</v>
      </c>
      <c r="S16"/>
    </row>
    <row r="17" spans="1:19" x14ac:dyDescent="0.25">
      <c r="A17" s="172">
        <v>89.78</v>
      </c>
      <c r="B17" s="172">
        <v>0</v>
      </c>
      <c r="C17" s="172">
        <v>31.45</v>
      </c>
      <c r="D17" s="8">
        <v>42917.625</v>
      </c>
      <c r="E17" s="172">
        <v>0.13</v>
      </c>
      <c r="F17" s="172" t="s">
        <v>446</v>
      </c>
      <c r="G17" s="172">
        <v>320.22000000000003</v>
      </c>
      <c r="H17" s="172">
        <v>0</v>
      </c>
      <c r="I17" s="172">
        <v>0</v>
      </c>
      <c r="J17" s="172">
        <v>1009.38</v>
      </c>
      <c r="K17" s="172" t="s">
        <v>445</v>
      </c>
      <c r="L17" s="172">
        <v>89.78</v>
      </c>
      <c r="M17" s="172">
        <v>1498942800</v>
      </c>
      <c r="N17" s="172">
        <v>8</v>
      </c>
      <c r="O17" s="172">
        <v>10</v>
      </c>
      <c r="P17" s="172">
        <v>57</v>
      </c>
      <c r="Q17" s="172">
        <v>11.13</v>
      </c>
      <c r="R17" s="172">
        <v>6.3</v>
      </c>
      <c r="S17"/>
    </row>
    <row r="18" spans="1:19" x14ac:dyDescent="0.25">
      <c r="A18" s="172">
        <v>92.05</v>
      </c>
      <c r="B18" s="172">
        <v>0</v>
      </c>
      <c r="C18" s="172">
        <v>29.93</v>
      </c>
      <c r="D18" s="8">
        <v>42917.666666666664</v>
      </c>
      <c r="E18" s="172">
        <v>0.11</v>
      </c>
      <c r="F18" s="172" t="s">
        <v>446</v>
      </c>
      <c r="G18" s="172">
        <v>321.69</v>
      </c>
      <c r="H18" s="172">
        <v>0</v>
      </c>
      <c r="I18" s="172">
        <v>0</v>
      </c>
      <c r="J18" s="172">
        <v>1008.58</v>
      </c>
      <c r="K18" s="172" t="s">
        <v>445</v>
      </c>
      <c r="L18" s="172">
        <v>92.05</v>
      </c>
      <c r="M18" s="172">
        <v>1498946400</v>
      </c>
      <c r="N18" s="172">
        <v>5</v>
      </c>
      <c r="O18" s="172">
        <v>10</v>
      </c>
      <c r="P18" s="172">
        <v>57</v>
      </c>
      <c r="Q18" s="172">
        <v>9.3000000000000007</v>
      </c>
      <c r="R18" s="172">
        <v>6.47</v>
      </c>
      <c r="S18"/>
    </row>
    <row r="19" spans="1:19" x14ac:dyDescent="0.25">
      <c r="A19" s="172">
        <v>92.8</v>
      </c>
      <c r="B19" s="172">
        <v>0.04</v>
      </c>
      <c r="C19" s="172">
        <v>31.07</v>
      </c>
      <c r="D19" s="8">
        <v>42917.708333333336</v>
      </c>
      <c r="E19" s="172">
        <v>0.11</v>
      </c>
      <c r="F19" s="172" t="s">
        <v>446</v>
      </c>
      <c r="G19" s="172">
        <v>322.33999999999997</v>
      </c>
      <c r="H19" s="172">
        <v>0</v>
      </c>
      <c r="I19" s="172">
        <v>0</v>
      </c>
      <c r="J19" s="172">
        <v>1008.11</v>
      </c>
      <c r="K19" s="172" t="s">
        <v>445</v>
      </c>
      <c r="L19" s="172">
        <v>92.8</v>
      </c>
      <c r="M19" s="172">
        <v>1498950000</v>
      </c>
      <c r="N19" s="172">
        <v>3</v>
      </c>
      <c r="O19" s="172">
        <v>10</v>
      </c>
      <c r="P19" s="172">
        <v>58</v>
      </c>
      <c r="Q19" s="172">
        <v>10.16</v>
      </c>
      <c r="R19" s="172">
        <v>6.69</v>
      </c>
      <c r="S19"/>
    </row>
    <row r="20" spans="1:19" x14ac:dyDescent="0.25">
      <c r="A20" s="172">
        <v>89.93</v>
      </c>
      <c r="B20" s="172">
        <v>7.0000000000000007E-2</v>
      </c>
      <c r="C20" s="172">
        <v>32.81</v>
      </c>
      <c r="D20" s="8">
        <v>42917.75</v>
      </c>
      <c r="E20" s="172">
        <v>0.13</v>
      </c>
      <c r="F20" s="172" t="s">
        <v>446</v>
      </c>
      <c r="G20" s="172">
        <v>320.42</v>
      </c>
      <c r="H20" s="172">
        <v>0</v>
      </c>
      <c r="I20" s="172">
        <v>0</v>
      </c>
      <c r="J20" s="172">
        <v>1008.07</v>
      </c>
      <c r="K20" s="172" t="s">
        <v>445</v>
      </c>
      <c r="L20" s="172">
        <v>89.93</v>
      </c>
      <c r="M20" s="172">
        <v>1498953600</v>
      </c>
      <c r="N20" s="172">
        <v>1</v>
      </c>
      <c r="O20" s="172">
        <v>10</v>
      </c>
      <c r="P20" s="172">
        <v>63</v>
      </c>
      <c r="Q20" s="172">
        <v>10.14</v>
      </c>
      <c r="R20" s="172">
        <v>6.38</v>
      </c>
      <c r="S20"/>
    </row>
    <row r="21" spans="1:19" x14ac:dyDescent="0.25">
      <c r="A21" s="172">
        <v>87.95</v>
      </c>
      <c r="B21" s="172">
        <v>0.03</v>
      </c>
      <c r="C21" s="172">
        <v>32.840000000000003</v>
      </c>
      <c r="D21" s="8">
        <v>42917.791666666664</v>
      </c>
      <c r="E21" s="172">
        <v>0.14000000000000001</v>
      </c>
      <c r="F21" s="172" t="s">
        <v>446</v>
      </c>
      <c r="G21" s="172">
        <v>318.98</v>
      </c>
      <c r="H21" s="172">
        <v>0</v>
      </c>
      <c r="I21" s="172">
        <v>0</v>
      </c>
      <c r="J21" s="172">
        <v>1008.57</v>
      </c>
      <c r="K21" s="172" t="s">
        <v>445</v>
      </c>
      <c r="L21" s="172">
        <v>87.95</v>
      </c>
      <c r="M21" s="172">
        <v>1498957200</v>
      </c>
      <c r="N21" s="172">
        <v>1</v>
      </c>
      <c r="O21" s="172">
        <v>10</v>
      </c>
      <c r="P21" s="172">
        <v>53</v>
      </c>
      <c r="Q21" s="172">
        <v>10.58</v>
      </c>
      <c r="R21" s="172">
        <v>6.96</v>
      </c>
      <c r="S21"/>
    </row>
    <row r="22" spans="1:19" x14ac:dyDescent="0.25">
      <c r="A22" s="172">
        <v>84.1</v>
      </c>
      <c r="B22" s="172">
        <v>0.03</v>
      </c>
      <c r="C22" s="172">
        <v>34.79</v>
      </c>
      <c r="D22" s="8">
        <v>42917.833333333336</v>
      </c>
      <c r="E22" s="172">
        <v>0.17</v>
      </c>
      <c r="F22" s="172" t="s">
        <v>446</v>
      </c>
      <c r="G22" s="172">
        <v>316.89</v>
      </c>
      <c r="H22" s="172">
        <v>0</v>
      </c>
      <c r="I22" s="172">
        <v>0</v>
      </c>
      <c r="J22" s="172">
        <v>1009.42</v>
      </c>
      <c r="K22" s="172" t="s">
        <v>445</v>
      </c>
      <c r="L22" s="172">
        <v>84.1</v>
      </c>
      <c r="M22" s="172">
        <v>1498960800</v>
      </c>
      <c r="N22" s="172">
        <v>0</v>
      </c>
      <c r="O22" s="172">
        <v>10</v>
      </c>
      <c r="P22" s="172">
        <v>39</v>
      </c>
      <c r="Q22" s="172">
        <v>8.14</v>
      </c>
      <c r="R22" s="172">
        <v>5.76</v>
      </c>
      <c r="S22"/>
    </row>
    <row r="23" spans="1:19" x14ac:dyDescent="0.25">
      <c r="A23" s="172">
        <v>79.78</v>
      </c>
      <c r="B23" s="172">
        <v>0.03</v>
      </c>
      <c r="C23" s="172">
        <v>35.68</v>
      </c>
      <c r="D23" s="8">
        <v>42917.875</v>
      </c>
      <c r="E23" s="172">
        <v>0.2</v>
      </c>
      <c r="F23" s="172" t="s">
        <v>444</v>
      </c>
      <c r="G23" s="172">
        <v>314.89999999999998</v>
      </c>
      <c r="H23" s="172">
        <v>0</v>
      </c>
      <c r="I23" s="172">
        <v>0</v>
      </c>
      <c r="J23" s="172">
        <v>1010.38</v>
      </c>
      <c r="K23" s="172" t="s">
        <v>445</v>
      </c>
      <c r="L23" s="172">
        <v>79.78</v>
      </c>
      <c r="M23" s="172">
        <v>1498964400</v>
      </c>
      <c r="N23" s="172">
        <v>0</v>
      </c>
      <c r="O23" s="172">
        <v>10</v>
      </c>
      <c r="P23" s="172">
        <v>26</v>
      </c>
      <c r="Q23" s="172">
        <v>5.92</v>
      </c>
      <c r="R23" s="172">
        <v>3.73</v>
      </c>
      <c r="S23"/>
    </row>
    <row r="24" spans="1:19" x14ac:dyDescent="0.25">
      <c r="A24" s="172">
        <v>76.81</v>
      </c>
      <c r="B24" s="172">
        <v>0.02</v>
      </c>
      <c r="C24" s="172">
        <v>36.06</v>
      </c>
      <c r="D24" s="8">
        <v>42917.916666666664</v>
      </c>
      <c r="E24" s="172">
        <v>0.23</v>
      </c>
      <c r="F24" s="172" t="s">
        <v>444</v>
      </c>
      <c r="G24" s="172">
        <v>313.22000000000003</v>
      </c>
      <c r="H24" s="172">
        <v>0</v>
      </c>
      <c r="I24" s="172">
        <v>0</v>
      </c>
      <c r="J24" s="172">
        <v>1011.18</v>
      </c>
      <c r="K24" s="172" t="s">
        <v>445</v>
      </c>
      <c r="L24" s="172">
        <v>76.81</v>
      </c>
      <c r="M24" s="172">
        <v>1498968000</v>
      </c>
      <c r="N24" s="172">
        <v>0</v>
      </c>
      <c r="O24" s="172">
        <v>10</v>
      </c>
      <c r="P24" s="172">
        <v>23</v>
      </c>
      <c r="Q24" s="172">
        <v>6.08</v>
      </c>
      <c r="R24" s="172">
        <v>4.43</v>
      </c>
      <c r="S24"/>
    </row>
    <row r="25" spans="1:19" x14ac:dyDescent="0.25">
      <c r="A25" s="172">
        <v>73.56</v>
      </c>
      <c r="B25" s="172">
        <v>0.01</v>
      </c>
      <c r="C25" s="172">
        <v>37.729999999999997</v>
      </c>
      <c r="D25" s="8">
        <v>42917.958333333336</v>
      </c>
      <c r="E25" s="172">
        <v>0.27</v>
      </c>
      <c r="F25" s="172" t="s">
        <v>444</v>
      </c>
      <c r="G25" s="172">
        <v>311.52</v>
      </c>
      <c r="H25" s="172">
        <v>0</v>
      </c>
      <c r="I25" s="172">
        <v>0</v>
      </c>
      <c r="J25" s="172">
        <v>1011.63</v>
      </c>
      <c r="K25" s="172" t="s">
        <v>445</v>
      </c>
      <c r="L25" s="172">
        <v>73.56</v>
      </c>
      <c r="M25" s="172">
        <v>1498971600</v>
      </c>
      <c r="N25" s="172">
        <v>0</v>
      </c>
      <c r="O25" s="172">
        <v>10</v>
      </c>
      <c r="P25" s="172">
        <v>267</v>
      </c>
      <c r="Q25" s="172">
        <v>6.89</v>
      </c>
      <c r="R25" s="172">
        <v>4.0199999999999996</v>
      </c>
      <c r="S25"/>
    </row>
    <row r="26" spans="1:19" x14ac:dyDescent="0.25">
      <c r="A26" s="172">
        <v>70.84</v>
      </c>
      <c r="B26" s="172">
        <v>0</v>
      </c>
      <c r="C26" s="172">
        <v>39.03</v>
      </c>
      <c r="D26" s="8">
        <v>42918</v>
      </c>
      <c r="E26" s="172">
        <v>0.31</v>
      </c>
      <c r="F26" s="172" t="s">
        <v>444</v>
      </c>
      <c r="G26" s="172">
        <v>310.14</v>
      </c>
      <c r="H26" s="172">
        <v>0</v>
      </c>
      <c r="I26" s="172">
        <v>0</v>
      </c>
      <c r="J26" s="172">
        <v>1011.9</v>
      </c>
      <c r="K26" s="172" t="s">
        <v>445</v>
      </c>
      <c r="L26" s="172">
        <v>70.84</v>
      </c>
      <c r="M26" s="172">
        <v>1498975200</v>
      </c>
      <c r="N26" s="172">
        <v>0</v>
      </c>
      <c r="O26" s="172">
        <v>10</v>
      </c>
      <c r="P26" s="172">
        <v>257</v>
      </c>
      <c r="Q26" s="172">
        <v>5.9</v>
      </c>
      <c r="R26" s="172">
        <v>2.8</v>
      </c>
      <c r="S26"/>
    </row>
    <row r="27" spans="1:19" x14ac:dyDescent="0.25">
      <c r="A27" s="172">
        <v>68.94</v>
      </c>
      <c r="B27" s="172">
        <v>0</v>
      </c>
      <c r="C27" s="172">
        <v>39.61</v>
      </c>
      <c r="D27" s="8">
        <v>42918.041666666664</v>
      </c>
      <c r="E27" s="172">
        <v>0.34</v>
      </c>
      <c r="F27" s="172" t="s">
        <v>444</v>
      </c>
      <c r="G27" s="172">
        <v>309.17</v>
      </c>
      <c r="H27" s="172">
        <v>0</v>
      </c>
      <c r="I27" s="172">
        <v>0</v>
      </c>
      <c r="J27" s="172">
        <v>1012.15</v>
      </c>
      <c r="K27" s="172" t="s">
        <v>445</v>
      </c>
      <c r="L27" s="172">
        <v>68.94</v>
      </c>
      <c r="M27" s="172">
        <v>1498978800</v>
      </c>
      <c r="N27" s="172">
        <v>0</v>
      </c>
      <c r="O27" s="172">
        <v>10</v>
      </c>
      <c r="P27" s="172">
        <v>255</v>
      </c>
      <c r="Q27" s="172">
        <v>5.57</v>
      </c>
      <c r="R27" s="172">
        <v>3.48</v>
      </c>
      <c r="S27"/>
    </row>
    <row r="28" spans="1:19" x14ac:dyDescent="0.25">
      <c r="A28" s="172">
        <v>67.94</v>
      </c>
      <c r="B28" s="172">
        <v>0</v>
      </c>
      <c r="C28" s="172">
        <v>39.479999999999997</v>
      </c>
      <c r="D28" s="8">
        <v>42918.083333333336</v>
      </c>
      <c r="E28" s="172">
        <v>0.35</v>
      </c>
      <c r="F28" s="172" t="s">
        <v>444</v>
      </c>
      <c r="G28" s="172">
        <v>308.52999999999997</v>
      </c>
      <c r="H28" s="172">
        <v>0</v>
      </c>
      <c r="I28" s="172">
        <v>0</v>
      </c>
      <c r="J28" s="172">
        <v>1012.2</v>
      </c>
      <c r="K28" s="172" t="s">
        <v>445</v>
      </c>
      <c r="L28" s="172">
        <v>67.94</v>
      </c>
      <c r="M28" s="172">
        <v>1498982400</v>
      </c>
      <c r="N28" s="172">
        <v>0</v>
      </c>
      <c r="O28" s="172">
        <v>10</v>
      </c>
      <c r="P28" s="172">
        <v>211</v>
      </c>
      <c r="Q28" s="172">
        <v>5.65</v>
      </c>
      <c r="R28" s="172">
        <v>4.03</v>
      </c>
      <c r="S28"/>
    </row>
    <row r="29" spans="1:19" x14ac:dyDescent="0.25">
      <c r="A29" s="172">
        <v>67.239999999999995</v>
      </c>
      <c r="B29" s="172">
        <v>0.02</v>
      </c>
      <c r="C29" s="172">
        <v>39</v>
      </c>
      <c r="D29" s="8">
        <v>42918.125</v>
      </c>
      <c r="E29" s="172">
        <v>0.35</v>
      </c>
      <c r="F29" s="172" t="s">
        <v>444</v>
      </c>
      <c r="G29" s="172">
        <v>308.11</v>
      </c>
      <c r="H29" s="172">
        <v>0</v>
      </c>
      <c r="I29" s="172">
        <v>0</v>
      </c>
      <c r="J29" s="172">
        <v>1012.09</v>
      </c>
      <c r="K29" s="172" t="s">
        <v>445</v>
      </c>
      <c r="L29" s="172">
        <v>67.239999999999995</v>
      </c>
      <c r="M29" s="172">
        <v>1498986000</v>
      </c>
      <c r="N29" s="172">
        <v>0</v>
      </c>
      <c r="O29" s="172">
        <v>10</v>
      </c>
      <c r="P29" s="172">
        <v>220</v>
      </c>
      <c r="Q29" s="172">
        <v>8.07</v>
      </c>
      <c r="R29" s="172">
        <v>4.05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topLeftCell="A2"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457</v>
      </c>
      <c r="AE2" s="56" t="s">
        <v>460</v>
      </c>
      <c r="AF2" s="56" t="s">
        <v>461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1020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1021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1025</v>
      </c>
      <c r="J25" s="140" t="s">
        <v>146</v>
      </c>
      <c r="M25" s="154" t="b">
        <v>1</v>
      </c>
    </row>
    <row r="26" spans="3:24" x14ac:dyDescent="0.25">
      <c r="C26" t="s">
        <v>1026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C:\Users\stu\Documents\GitHub\eaglep3-reporting\EC\2017-07-01-refined-times.txt</v>
      </c>
    </row>
    <row r="27" spans="3:24" x14ac:dyDescent="0.25">
      <c r="C27" t="s">
        <v>1027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C:\Users\stu\Documents\GitHub\eaglep3-reporting\EC\2017-07-01-Enforcements.txt</v>
      </c>
    </row>
    <row r="28" spans="3:24" x14ac:dyDescent="0.25">
      <c r="C28" t="s">
        <v>1028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C:\Users\stu\Documents\GitHub\eaglep3-reporting\EC\2017-07-01-Runs-refined.txt</v>
      </c>
    </row>
    <row r="29" spans="3:24" x14ac:dyDescent="0.25">
      <c r="C29" t="s">
        <v>1029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C:\Users\stu\Documents\GitHub\eaglep3-reporting\EC\2017-07-01-Trips.txt</v>
      </c>
    </row>
    <row r="30" spans="3:24" x14ac:dyDescent="0.25">
      <c r="C30" t="s">
        <v>1030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C:\Users\stu\Documents\GitHub\eaglep3-reporting\EC\2017-07-01-Weather.txt</v>
      </c>
    </row>
    <row r="31" spans="3:24" x14ac:dyDescent="0.25">
      <c r="C31" t="s">
        <v>1031</v>
      </c>
      <c r="J31" s="140" t="s">
        <v>196</v>
      </c>
      <c r="M31" s="154" t="s">
        <v>197</v>
      </c>
    </row>
    <row r="32" spans="3:24" x14ac:dyDescent="0.25">
      <c r="C32" t="s">
        <v>1032</v>
      </c>
    </row>
    <row r="33" spans="3:3" x14ac:dyDescent="0.25">
      <c r="C33" t="s">
        <v>1033</v>
      </c>
    </row>
    <row r="34" spans="3:3" x14ac:dyDescent="0.25">
      <c r="C34" t="s">
        <v>1034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2017-07-03T13:21:04Z</dcterms:modified>
</cp:coreProperties>
</file>