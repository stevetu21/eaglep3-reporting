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Enforcements!$A$6:$AB$75</definedName>
    <definedName name="_xlnm._FilterDatabase" localSheetId="2" hidden="1">'Missing Trips'!$B$2:$I$2</definedName>
    <definedName name="_xlnm._FilterDatabase" localSheetId="0" hidden="1">'Train Runs'!$A$12:$AG$265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8" i="1" l="1"/>
  <c r="AI14" i="1" l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13" i="1"/>
  <c r="P42" i="1"/>
  <c r="X94" i="1"/>
  <c r="Y94" i="1"/>
  <c r="X95" i="1"/>
  <c r="Y95" i="1"/>
  <c r="X96" i="1"/>
  <c r="Y96" i="1"/>
  <c r="X97" i="1"/>
  <c r="Y97" i="1"/>
  <c r="X98" i="1"/>
  <c r="Y98" i="1"/>
  <c r="X99" i="1"/>
  <c r="Y99" i="1"/>
  <c r="K94" i="1"/>
  <c r="L94" i="1"/>
  <c r="M94" i="1"/>
  <c r="T94" i="1"/>
  <c r="V94" i="1"/>
  <c r="Z94" i="1"/>
  <c r="AB94" i="1"/>
  <c r="AC94" i="1"/>
  <c r="AD94" i="1"/>
  <c r="AG94" i="1" s="1"/>
  <c r="AE94" i="1"/>
  <c r="AF94" i="1"/>
  <c r="AH94" i="1"/>
  <c r="X199" i="1"/>
  <c r="X200" i="1"/>
  <c r="X201" i="1"/>
  <c r="X202" i="1"/>
  <c r="X203" i="1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" i="3"/>
  <c r="N40" i="3"/>
  <c r="U40" i="3"/>
  <c r="T40" i="3" s="1"/>
  <c r="V40" i="3"/>
  <c r="W40" i="3"/>
  <c r="X40" i="3"/>
  <c r="N41" i="3"/>
  <c r="U41" i="3"/>
  <c r="T41" i="3" s="1"/>
  <c r="V41" i="3"/>
  <c r="W41" i="3"/>
  <c r="X41" i="3"/>
  <c r="N38" i="3"/>
  <c r="U38" i="3"/>
  <c r="T38" i="3" s="1"/>
  <c r="V38" i="3"/>
  <c r="W38" i="3"/>
  <c r="X38" i="3"/>
  <c r="N57" i="3"/>
  <c r="U57" i="3"/>
  <c r="T57" i="3" s="1"/>
  <c r="V57" i="3"/>
  <c r="W57" i="3"/>
  <c r="X57" i="3"/>
  <c r="N68" i="3"/>
  <c r="U68" i="3"/>
  <c r="T68" i="3" s="1"/>
  <c r="V68" i="3"/>
  <c r="W68" i="3"/>
  <c r="X68" i="3"/>
  <c r="N58" i="3"/>
  <c r="U58" i="3"/>
  <c r="T58" i="3" s="1"/>
  <c r="V58" i="3"/>
  <c r="W58" i="3"/>
  <c r="X58" i="3"/>
  <c r="N59" i="3"/>
  <c r="U59" i="3"/>
  <c r="T59" i="3" s="1"/>
  <c r="V59" i="3"/>
  <c r="W59" i="3"/>
  <c r="X59" i="3"/>
  <c r="N60" i="3"/>
  <c r="U60" i="3"/>
  <c r="T60" i="3" s="1"/>
  <c r="V60" i="3"/>
  <c r="W60" i="3"/>
  <c r="X60" i="3"/>
  <c r="N23" i="3"/>
  <c r="U23" i="3"/>
  <c r="T23" i="3" s="1"/>
  <c r="V23" i="3"/>
  <c r="W23" i="3"/>
  <c r="X23" i="3"/>
  <c r="N12" i="3"/>
  <c r="U12" i="3"/>
  <c r="T12" i="3" s="1"/>
  <c r="V12" i="3"/>
  <c r="W12" i="3"/>
  <c r="X12" i="3"/>
  <c r="N61" i="3"/>
  <c r="U61" i="3"/>
  <c r="T61" i="3" s="1"/>
  <c r="V61" i="3"/>
  <c r="W61" i="3"/>
  <c r="X61" i="3"/>
  <c r="N13" i="3"/>
  <c r="U13" i="3"/>
  <c r="T13" i="3" s="1"/>
  <c r="V13" i="3"/>
  <c r="W13" i="3"/>
  <c r="X13" i="3"/>
  <c r="N56" i="3"/>
  <c r="U56" i="3"/>
  <c r="T56" i="3" s="1"/>
  <c r="V56" i="3"/>
  <c r="W56" i="3"/>
  <c r="X56" i="3"/>
  <c r="N69" i="3"/>
  <c r="U69" i="3"/>
  <c r="T69" i="3" s="1"/>
  <c r="V69" i="3"/>
  <c r="W69" i="3"/>
  <c r="X69" i="3"/>
  <c r="N21" i="3"/>
  <c r="U21" i="3"/>
  <c r="T21" i="3" s="1"/>
  <c r="V21" i="3"/>
  <c r="W21" i="3"/>
  <c r="X21" i="3"/>
  <c r="N33" i="3"/>
  <c r="U33" i="3"/>
  <c r="T33" i="3" s="1"/>
  <c r="V33" i="3"/>
  <c r="W33" i="3"/>
  <c r="X33" i="3"/>
  <c r="N11" i="3"/>
  <c r="U11" i="3"/>
  <c r="T11" i="3" s="1"/>
  <c r="V11" i="3"/>
  <c r="W11" i="3"/>
  <c r="X11" i="3"/>
  <c r="N22" i="3"/>
  <c r="U22" i="3"/>
  <c r="T22" i="3" s="1"/>
  <c r="V22" i="3"/>
  <c r="W22" i="3"/>
  <c r="X22" i="3"/>
  <c r="N31" i="3"/>
  <c r="U31" i="3"/>
  <c r="T31" i="3" s="1"/>
  <c r="V31" i="3"/>
  <c r="W31" i="3"/>
  <c r="X31" i="3"/>
  <c r="N52" i="3"/>
  <c r="U52" i="3"/>
  <c r="T52" i="3" s="1"/>
  <c r="V52" i="3"/>
  <c r="W52" i="3"/>
  <c r="X52" i="3"/>
  <c r="N51" i="3"/>
  <c r="U51" i="3"/>
  <c r="T51" i="3" s="1"/>
  <c r="V51" i="3"/>
  <c r="W51" i="3"/>
  <c r="X51" i="3"/>
  <c r="N42" i="3"/>
  <c r="U42" i="3"/>
  <c r="T42" i="3" s="1"/>
  <c r="V42" i="3"/>
  <c r="W42" i="3"/>
  <c r="X42" i="3"/>
  <c r="N43" i="3"/>
  <c r="U43" i="3"/>
  <c r="T43" i="3" s="1"/>
  <c r="V43" i="3"/>
  <c r="W43" i="3"/>
  <c r="X43" i="3"/>
  <c r="N62" i="3"/>
  <c r="U62" i="3"/>
  <c r="T62" i="3" s="1"/>
  <c r="V62" i="3"/>
  <c r="W62" i="3"/>
  <c r="X62" i="3"/>
  <c r="N20" i="3"/>
  <c r="U20" i="3"/>
  <c r="T20" i="3" s="1"/>
  <c r="V20" i="3"/>
  <c r="W20" i="3"/>
  <c r="X20" i="3"/>
  <c r="N26" i="3"/>
  <c r="U26" i="3"/>
  <c r="T26" i="3" s="1"/>
  <c r="V26" i="3"/>
  <c r="W26" i="3"/>
  <c r="X26" i="3"/>
  <c r="N32" i="3"/>
  <c r="U32" i="3"/>
  <c r="T32" i="3" s="1"/>
  <c r="V32" i="3"/>
  <c r="W32" i="3"/>
  <c r="X32" i="3"/>
  <c r="N24" i="3"/>
  <c r="U24" i="3"/>
  <c r="T24" i="3" s="1"/>
  <c r="V24" i="3"/>
  <c r="W24" i="3"/>
  <c r="X24" i="3"/>
  <c r="N70" i="3"/>
  <c r="U70" i="3"/>
  <c r="T70" i="3" s="1"/>
  <c r="V70" i="3"/>
  <c r="W70" i="3"/>
  <c r="X70" i="3"/>
  <c r="N18" i="3"/>
  <c r="U18" i="3"/>
  <c r="T18" i="3" s="1"/>
  <c r="V18" i="3"/>
  <c r="W18" i="3"/>
  <c r="X18" i="3"/>
  <c r="N10" i="3"/>
  <c r="U10" i="3"/>
  <c r="T10" i="3" s="1"/>
  <c r="V10" i="3"/>
  <c r="W10" i="3"/>
  <c r="X10" i="3"/>
  <c r="N14" i="3"/>
  <c r="U14" i="3"/>
  <c r="T14" i="3" s="1"/>
  <c r="V14" i="3"/>
  <c r="W14" i="3"/>
  <c r="X14" i="3"/>
  <c r="N53" i="3"/>
  <c r="U53" i="3"/>
  <c r="T53" i="3" s="1"/>
  <c r="V53" i="3"/>
  <c r="W53" i="3"/>
  <c r="X53" i="3"/>
  <c r="N71" i="3"/>
  <c r="U71" i="3"/>
  <c r="T71" i="3" s="1"/>
  <c r="V71" i="3"/>
  <c r="W71" i="3"/>
  <c r="X71" i="3"/>
  <c r="N17" i="3"/>
  <c r="U17" i="3"/>
  <c r="T17" i="3" s="1"/>
  <c r="V17" i="3"/>
  <c r="W17" i="3"/>
  <c r="X17" i="3"/>
  <c r="N63" i="3"/>
  <c r="U63" i="3"/>
  <c r="T63" i="3" s="1"/>
  <c r="V63" i="3"/>
  <c r="W63" i="3"/>
  <c r="X63" i="3"/>
  <c r="N29" i="3"/>
  <c r="U29" i="3"/>
  <c r="T29" i="3" s="1"/>
  <c r="V29" i="3"/>
  <c r="W29" i="3"/>
  <c r="X29" i="3"/>
  <c r="N19" i="3"/>
  <c r="U19" i="3"/>
  <c r="T19" i="3" s="1"/>
  <c r="V19" i="3"/>
  <c r="W19" i="3"/>
  <c r="X19" i="3"/>
  <c r="N27" i="3"/>
  <c r="U27" i="3"/>
  <c r="T27" i="3" s="1"/>
  <c r="V27" i="3"/>
  <c r="W27" i="3"/>
  <c r="X27" i="3"/>
  <c r="N36" i="3"/>
  <c r="U36" i="3"/>
  <c r="T36" i="3" s="1"/>
  <c r="V36" i="3"/>
  <c r="W36" i="3"/>
  <c r="X36" i="3"/>
  <c r="N34" i="3"/>
  <c r="U34" i="3"/>
  <c r="T34" i="3" s="1"/>
  <c r="V34" i="3"/>
  <c r="W34" i="3"/>
  <c r="X34" i="3"/>
  <c r="N64" i="3"/>
  <c r="U64" i="3"/>
  <c r="T64" i="3" s="1"/>
  <c r="V64" i="3"/>
  <c r="W64" i="3"/>
  <c r="X64" i="3"/>
  <c r="N44" i="3"/>
  <c r="U44" i="3"/>
  <c r="T44" i="3" s="1"/>
  <c r="V44" i="3"/>
  <c r="W44" i="3"/>
  <c r="X44" i="3"/>
  <c r="N45" i="3"/>
  <c r="U45" i="3"/>
  <c r="T45" i="3" s="1"/>
  <c r="V45" i="3"/>
  <c r="W45" i="3"/>
  <c r="X45" i="3"/>
  <c r="N15" i="3"/>
  <c r="U15" i="3"/>
  <c r="T15" i="3" s="1"/>
  <c r="V15" i="3"/>
  <c r="W15" i="3"/>
  <c r="X15" i="3"/>
  <c r="N28" i="3"/>
  <c r="U28" i="3"/>
  <c r="T28" i="3" s="1"/>
  <c r="V28" i="3"/>
  <c r="W28" i="3"/>
  <c r="X28" i="3"/>
  <c r="N72" i="3"/>
  <c r="U72" i="3"/>
  <c r="T72" i="3" s="1"/>
  <c r="V72" i="3"/>
  <c r="W72" i="3"/>
  <c r="X72" i="3"/>
  <c r="N46" i="3"/>
  <c r="U46" i="3"/>
  <c r="T46" i="3" s="1"/>
  <c r="V46" i="3"/>
  <c r="W46" i="3"/>
  <c r="X46" i="3"/>
  <c r="N47" i="3"/>
  <c r="U47" i="3"/>
  <c r="T47" i="3" s="1"/>
  <c r="V47" i="3"/>
  <c r="W47" i="3"/>
  <c r="X47" i="3"/>
  <c r="N37" i="3"/>
  <c r="U37" i="3"/>
  <c r="T37" i="3" s="1"/>
  <c r="V37" i="3"/>
  <c r="W37" i="3"/>
  <c r="X37" i="3"/>
  <c r="N48" i="3"/>
  <c r="U48" i="3"/>
  <c r="T48" i="3" s="1"/>
  <c r="V48" i="3"/>
  <c r="W48" i="3"/>
  <c r="X48" i="3"/>
  <c r="N73" i="3"/>
  <c r="U73" i="3"/>
  <c r="T73" i="3" s="1"/>
  <c r="V73" i="3"/>
  <c r="W73" i="3"/>
  <c r="X73" i="3"/>
  <c r="N35" i="3"/>
  <c r="U35" i="3"/>
  <c r="T35" i="3" s="1"/>
  <c r="V35" i="3"/>
  <c r="W35" i="3"/>
  <c r="X35" i="3"/>
  <c r="N49" i="3"/>
  <c r="U49" i="3"/>
  <c r="T49" i="3" s="1"/>
  <c r="V49" i="3"/>
  <c r="W49" i="3"/>
  <c r="X49" i="3"/>
  <c r="N55" i="3"/>
  <c r="U55" i="3"/>
  <c r="T55" i="3" s="1"/>
  <c r="V55" i="3"/>
  <c r="W55" i="3"/>
  <c r="X55" i="3"/>
  <c r="N54" i="3"/>
  <c r="U54" i="3"/>
  <c r="T54" i="3" s="1"/>
  <c r="V54" i="3"/>
  <c r="W54" i="3"/>
  <c r="X54" i="3"/>
  <c r="N16" i="3"/>
  <c r="U16" i="3"/>
  <c r="T16" i="3" s="1"/>
  <c r="V16" i="3"/>
  <c r="W16" i="3"/>
  <c r="X16" i="3"/>
  <c r="N30" i="3"/>
  <c r="U30" i="3"/>
  <c r="T30" i="3" s="1"/>
  <c r="V30" i="3"/>
  <c r="W30" i="3"/>
  <c r="X30" i="3"/>
  <c r="N25" i="3"/>
  <c r="U25" i="3"/>
  <c r="T25" i="3" s="1"/>
  <c r="V25" i="3"/>
  <c r="W25" i="3"/>
  <c r="X25" i="3"/>
  <c r="N7" i="3"/>
  <c r="U7" i="3"/>
  <c r="T7" i="3" s="1"/>
  <c r="V7" i="3"/>
  <c r="W7" i="3"/>
  <c r="X7" i="3"/>
  <c r="N65" i="3"/>
  <c r="U65" i="3"/>
  <c r="T65" i="3" s="1"/>
  <c r="V65" i="3"/>
  <c r="W65" i="3"/>
  <c r="X65" i="3"/>
  <c r="N74" i="3"/>
  <c r="U74" i="3"/>
  <c r="T74" i="3" s="1"/>
  <c r="V74" i="3"/>
  <c r="W74" i="3"/>
  <c r="X74" i="3"/>
  <c r="N50" i="3"/>
  <c r="U50" i="3"/>
  <c r="T50" i="3" s="1"/>
  <c r="V50" i="3"/>
  <c r="W50" i="3"/>
  <c r="X50" i="3"/>
  <c r="N75" i="3"/>
  <c r="U75" i="3"/>
  <c r="T75" i="3" s="1"/>
  <c r="V75" i="3"/>
  <c r="W75" i="3"/>
  <c r="X75" i="3"/>
  <c r="N66" i="3"/>
  <c r="U66" i="3"/>
  <c r="T66" i="3" s="1"/>
  <c r="V66" i="3"/>
  <c r="W66" i="3"/>
  <c r="X66" i="3"/>
  <c r="N67" i="3"/>
  <c r="U67" i="3"/>
  <c r="T67" i="3" s="1"/>
  <c r="V67" i="3"/>
  <c r="W67" i="3"/>
  <c r="X67" i="3"/>
  <c r="N8" i="3"/>
  <c r="U8" i="3"/>
  <c r="T8" i="3" s="1"/>
  <c r="V8" i="3"/>
  <c r="W8" i="3"/>
  <c r="X8" i="3"/>
  <c r="N9" i="3"/>
  <c r="U9" i="3"/>
  <c r="T9" i="3" s="1"/>
  <c r="V9" i="3"/>
  <c r="W9" i="3"/>
  <c r="X9" i="3"/>
  <c r="K14" i="1"/>
  <c r="L14" i="1"/>
  <c r="M14" i="1"/>
  <c r="N14" i="1" s="1"/>
  <c r="V14" i="1"/>
  <c r="S40" i="3" s="1"/>
  <c r="Y14" i="1"/>
  <c r="AB14" i="1"/>
  <c r="AC14" i="1"/>
  <c r="AD14" i="1"/>
  <c r="AE14" i="1"/>
  <c r="R40" i="3" s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S41" i="3" s="1"/>
  <c r="Y16" i="1"/>
  <c r="Z16" i="1"/>
  <c r="AB16" i="1"/>
  <c r="AC16" i="1"/>
  <c r="AD16" i="1"/>
  <c r="AE16" i="1"/>
  <c r="R41" i="3" s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S38" i="3" s="1"/>
  <c r="Y22" i="1"/>
  <c r="Z22" i="1"/>
  <c r="AB22" i="1"/>
  <c r="AC22" i="1"/>
  <c r="AD22" i="1"/>
  <c r="AE22" i="1"/>
  <c r="R38" i="3" s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S12" i="3" s="1"/>
  <c r="Y34" i="1"/>
  <c r="Z34" i="1"/>
  <c r="AB34" i="1"/>
  <c r="AC34" i="1"/>
  <c r="AD34" i="1"/>
  <c r="AE34" i="1"/>
  <c r="R12" i="3" s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S23" i="3" s="1"/>
  <c r="Y36" i="1"/>
  <c r="Z36" i="1"/>
  <c r="AB36" i="1"/>
  <c r="AC36" i="1"/>
  <c r="AD36" i="1"/>
  <c r="AG36" i="1" s="1"/>
  <c r="AE36" i="1"/>
  <c r="R23" i="3" s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S13" i="3" s="1"/>
  <c r="Y38" i="1"/>
  <c r="Z38" i="1"/>
  <c r="AB38" i="1"/>
  <c r="AC38" i="1"/>
  <c r="AD38" i="1"/>
  <c r="T38" i="1" s="1"/>
  <c r="AE38" i="1"/>
  <c r="R13" i="3" s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V42" i="1"/>
  <c r="Y42" i="1"/>
  <c r="Z42" i="1"/>
  <c r="AB42" i="1"/>
  <c r="AC42" i="1"/>
  <c r="AD42" i="1"/>
  <c r="T42" i="1" s="1"/>
  <c r="AE42" i="1"/>
  <c r="AF42" i="1"/>
  <c r="K43" i="1"/>
  <c r="L43" i="1"/>
  <c r="M43" i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S11" i="3" s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R42" i="3" s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S31" i="3" s="1"/>
  <c r="Y53" i="1"/>
  <c r="Z53" i="1"/>
  <c r="AB53" i="1"/>
  <c r="AC53" i="1"/>
  <c r="AD53" i="1"/>
  <c r="AG53" i="1" s="1"/>
  <c r="AE53" i="1"/>
  <c r="R31" i="3" s="1"/>
  <c r="AF53" i="1"/>
  <c r="K54" i="1"/>
  <c r="L54" i="1"/>
  <c r="M54" i="1"/>
  <c r="N54" i="1" s="1"/>
  <c r="V54" i="1"/>
  <c r="Y54" i="1"/>
  <c r="Z54" i="1"/>
  <c r="AB54" i="1"/>
  <c r="AC54" i="1"/>
  <c r="AD54" i="1"/>
  <c r="AE54" i="1"/>
  <c r="R33" i="3" s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S20" i="3" s="1"/>
  <c r="Y58" i="1"/>
  <c r="Z58" i="1"/>
  <c r="AB58" i="1"/>
  <c r="AC58" i="1"/>
  <c r="AD58" i="1"/>
  <c r="AG58" i="1" s="1"/>
  <c r="AE58" i="1"/>
  <c r="R20" i="3" s="1"/>
  <c r="AF58" i="1"/>
  <c r="K59" i="1"/>
  <c r="L59" i="1"/>
  <c r="M59" i="1"/>
  <c r="N59" i="1" s="1"/>
  <c r="V59" i="1"/>
  <c r="S24" i="3" s="1"/>
  <c r="Y59" i="1"/>
  <c r="Z59" i="1"/>
  <c r="AB59" i="1"/>
  <c r="AC59" i="1"/>
  <c r="AD59" i="1"/>
  <c r="X59" i="1" s="1"/>
  <c r="AE59" i="1"/>
  <c r="R24" i="3" s="1"/>
  <c r="AF59" i="1"/>
  <c r="K60" i="1"/>
  <c r="L60" i="1"/>
  <c r="M60" i="1"/>
  <c r="N60" i="1" s="1"/>
  <c r="V60" i="1"/>
  <c r="S26" i="3" s="1"/>
  <c r="Y60" i="1"/>
  <c r="Z60" i="1"/>
  <c r="AB60" i="1"/>
  <c r="AC60" i="1"/>
  <c r="AD60" i="1"/>
  <c r="AG60" i="1" s="1"/>
  <c r="AE60" i="1"/>
  <c r="R26" i="3" s="1"/>
  <c r="AF60" i="1"/>
  <c r="K61" i="1"/>
  <c r="L61" i="1"/>
  <c r="M61" i="1"/>
  <c r="N61" i="1" s="1"/>
  <c r="V61" i="1"/>
  <c r="S32" i="3" s="1"/>
  <c r="Y61" i="1"/>
  <c r="Z61" i="1"/>
  <c r="AB61" i="1"/>
  <c r="AC61" i="1"/>
  <c r="AD61" i="1"/>
  <c r="AG61" i="1" s="1"/>
  <c r="AE61" i="1"/>
  <c r="R18" i="3" s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S14" i="3" s="1"/>
  <c r="Y65" i="1"/>
  <c r="Z65" i="1"/>
  <c r="AB65" i="1"/>
  <c r="AC65" i="1"/>
  <c r="AD65" i="1"/>
  <c r="AG65" i="1" s="1"/>
  <c r="AE65" i="1"/>
  <c r="R14" i="3" s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V68" i="1"/>
  <c r="Y68" i="1"/>
  <c r="AB68" i="1"/>
  <c r="AC68" i="1"/>
  <c r="AD68" i="1"/>
  <c r="AE68" i="1"/>
  <c r="AF68" i="1"/>
  <c r="K69" i="1"/>
  <c r="L69" i="1"/>
  <c r="M69" i="1"/>
  <c r="N69" i="1" s="1"/>
  <c r="V69" i="1"/>
  <c r="S17" i="3" s="1"/>
  <c r="Y69" i="1"/>
  <c r="Z69" i="1"/>
  <c r="AB69" i="1"/>
  <c r="AC69" i="1"/>
  <c r="AD69" i="1"/>
  <c r="AG69" i="1" s="1"/>
  <c r="AE69" i="1"/>
  <c r="R17" i="3" s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S10" i="3" s="1"/>
  <c r="Y72" i="1"/>
  <c r="Z72" i="1"/>
  <c r="AB72" i="1"/>
  <c r="AC72" i="1"/>
  <c r="AD72" i="1"/>
  <c r="T72" i="1" s="1"/>
  <c r="AE72" i="1"/>
  <c r="R10" i="3" s="1"/>
  <c r="AF72" i="1"/>
  <c r="K73" i="1"/>
  <c r="L73" i="1"/>
  <c r="M73" i="1"/>
  <c r="N73" i="1" s="1"/>
  <c r="V73" i="1"/>
  <c r="S19" i="3" s="1"/>
  <c r="Y73" i="1"/>
  <c r="Z73" i="1"/>
  <c r="AB73" i="1"/>
  <c r="AC73" i="1"/>
  <c r="AD73" i="1"/>
  <c r="AG73" i="1" s="1"/>
  <c r="AE73" i="1"/>
  <c r="R19" i="3" s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S29" i="3" s="1"/>
  <c r="Y76" i="1"/>
  <c r="Z76" i="1"/>
  <c r="AB76" i="1"/>
  <c r="AC76" i="1"/>
  <c r="AD76" i="1"/>
  <c r="AE76" i="1"/>
  <c r="R29" i="3" s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R34" i="3" s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S15" i="3" s="1"/>
  <c r="Y81" i="1"/>
  <c r="Z81" i="1"/>
  <c r="AB81" i="1"/>
  <c r="AC81" i="1"/>
  <c r="AD81" i="1"/>
  <c r="AE81" i="1"/>
  <c r="R15" i="3" s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S46" i="3" s="1"/>
  <c r="Y89" i="1"/>
  <c r="Z89" i="1"/>
  <c r="AB89" i="1"/>
  <c r="AC89" i="1"/>
  <c r="AD89" i="1"/>
  <c r="AE89" i="1"/>
  <c r="R46" i="3" s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S47" i="3" s="1"/>
  <c r="Y91" i="1"/>
  <c r="Z91" i="1"/>
  <c r="AB91" i="1"/>
  <c r="AC91" i="1"/>
  <c r="AD91" i="1"/>
  <c r="T91" i="1" s="1"/>
  <c r="AE91" i="1"/>
  <c r="R47" i="3" s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S48" i="3" s="1"/>
  <c r="Y93" i="1"/>
  <c r="Z93" i="1"/>
  <c r="AB93" i="1"/>
  <c r="AC93" i="1"/>
  <c r="AD93" i="1"/>
  <c r="T93" i="1" s="1"/>
  <c r="AE93" i="1"/>
  <c r="AF93" i="1"/>
  <c r="K95" i="1"/>
  <c r="L95" i="1"/>
  <c r="M95" i="1"/>
  <c r="N95" i="1" s="1"/>
  <c r="V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Z96" i="1"/>
  <c r="AB96" i="1"/>
  <c r="AC96" i="1"/>
  <c r="AD96" i="1"/>
  <c r="T96" i="1" s="1"/>
  <c r="AE96" i="1"/>
  <c r="AF96" i="1"/>
  <c r="K97" i="1"/>
  <c r="L97" i="1"/>
  <c r="M97" i="1"/>
  <c r="N97" i="1" s="1"/>
  <c r="V97" i="1"/>
  <c r="S37" i="3" s="1"/>
  <c r="Z97" i="1"/>
  <c r="AB97" i="1"/>
  <c r="AC97" i="1"/>
  <c r="AD97" i="1"/>
  <c r="AG97" i="1" s="1"/>
  <c r="AE97" i="1"/>
  <c r="R37" i="3" s="1"/>
  <c r="AF97" i="1"/>
  <c r="K98" i="1"/>
  <c r="L98" i="1"/>
  <c r="M98" i="1"/>
  <c r="N98" i="1" s="1"/>
  <c r="V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S49" i="3" s="1"/>
  <c r="Y101" i="1"/>
  <c r="Z101" i="1"/>
  <c r="AB101" i="1"/>
  <c r="AC101" i="1"/>
  <c r="AD101" i="1"/>
  <c r="AG101" i="1" s="1"/>
  <c r="AE101" i="1"/>
  <c r="R49" i="3" s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S35" i="3" s="1"/>
  <c r="Y108" i="1"/>
  <c r="Z108" i="1"/>
  <c r="AB108" i="1"/>
  <c r="AC108" i="1"/>
  <c r="AD108" i="1"/>
  <c r="T108" i="1" s="1"/>
  <c r="AE108" i="1"/>
  <c r="R35" i="3" s="1"/>
  <c r="AF108" i="1"/>
  <c r="K109" i="1"/>
  <c r="L109" i="1"/>
  <c r="M109" i="1"/>
  <c r="N109" i="1" s="1"/>
  <c r="V109" i="1"/>
  <c r="S16" i="3" s="1"/>
  <c r="Y109" i="1"/>
  <c r="Z109" i="1"/>
  <c r="AB109" i="1"/>
  <c r="AC109" i="1"/>
  <c r="AD109" i="1"/>
  <c r="AG109" i="1" s="1"/>
  <c r="AE109" i="1"/>
  <c r="R16" i="3" s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S30" i="3" s="1"/>
  <c r="Y120" i="1"/>
  <c r="Z120" i="1"/>
  <c r="AB120" i="1"/>
  <c r="AC120" i="1"/>
  <c r="AD120" i="1"/>
  <c r="AG120" i="1" s="1"/>
  <c r="AE120" i="1"/>
  <c r="R30" i="3" s="1"/>
  <c r="AF120" i="1"/>
  <c r="K121" i="1"/>
  <c r="L121" i="1"/>
  <c r="M121" i="1"/>
  <c r="N121" i="1" s="1"/>
  <c r="V121" i="1"/>
  <c r="S25" i="3" s="1"/>
  <c r="Y121" i="1"/>
  <c r="Z121" i="1"/>
  <c r="AB121" i="1"/>
  <c r="AC121" i="1"/>
  <c r="AD121" i="1"/>
  <c r="AG121" i="1" s="1"/>
  <c r="AE121" i="1"/>
  <c r="R25" i="3" s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S7" i="3" s="1"/>
  <c r="Y130" i="1"/>
  <c r="Z130" i="1"/>
  <c r="AB130" i="1"/>
  <c r="AC130" i="1"/>
  <c r="AD130" i="1"/>
  <c r="AG130" i="1" s="1"/>
  <c r="AE130" i="1"/>
  <c r="R7" i="3" s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P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S8" i="3" s="1"/>
  <c r="Y147" i="1"/>
  <c r="Z147" i="1"/>
  <c r="AB147" i="1"/>
  <c r="AC147" i="1"/>
  <c r="AD147" i="1"/>
  <c r="T147" i="1" s="1"/>
  <c r="AE147" i="1"/>
  <c r="R8" i="3" s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S9" i="3" s="1"/>
  <c r="Y153" i="1"/>
  <c r="Z153" i="1"/>
  <c r="AB153" i="1"/>
  <c r="AC153" i="1"/>
  <c r="AD153" i="1"/>
  <c r="T153" i="1" s="1"/>
  <c r="AE153" i="1"/>
  <c r="R9" i="3" s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S75" i="3" s="1"/>
  <c r="Y218" i="1"/>
  <c r="Z218" i="1"/>
  <c r="AB218" i="1"/>
  <c r="AC218" i="1"/>
  <c r="AD218" i="1"/>
  <c r="AE218" i="1"/>
  <c r="R75" i="3" s="1"/>
  <c r="AF21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V160" i="1"/>
  <c r="S57" i="3" s="1"/>
  <c r="Y160" i="1"/>
  <c r="Z160" i="1"/>
  <c r="AB160" i="1"/>
  <c r="AC160" i="1"/>
  <c r="AD160" i="1"/>
  <c r="AG160" i="1" s="1"/>
  <c r="AE160" i="1"/>
  <c r="R57" i="3" s="1"/>
  <c r="AF160" i="1"/>
  <c r="K161" i="1"/>
  <c r="L161" i="1"/>
  <c r="M161" i="1"/>
  <c r="N161" i="1" s="1"/>
  <c r="V161" i="1"/>
  <c r="S68" i="3" s="1"/>
  <c r="Y161" i="1"/>
  <c r="Z161" i="1"/>
  <c r="AB161" i="1"/>
  <c r="AC161" i="1"/>
  <c r="AD161" i="1"/>
  <c r="AG161" i="1" s="1"/>
  <c r="AE161" i="1"/>
  <c r="R68" i="3" s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S58" i="3" s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S61" i="3" s="1"/>
  <c r="Y166" i="1"/>
  <c r="Z166" i="1"/>
  <c r="AB166" i="1"/>
  <c r="AC166" i="1"/>
  <c r="AD166" i="1"/>
  <c r="AG166" i="1" s="1"/>
  <c r="AE166" i="1"/>
  <c r="R61" i="3" s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S56" i="3" s="1"/>
  <c r="Y168" i="1"/>
  <c r="Z168" i="1"/>
  <c r="AB168" i="1"/>
  <c r="AC168" i="1"/>
  <c r="AD168" i="1"/>
  <c r="AG168" i="1" s="1"/>
  <c r="AE168" i="1"/>
  <c r="R56" i="3" s="1"/>
  <c r="AF168" i="1"/>
  <c r="K169" i="1"/>
  <c r="L169" i="1"/>
  <c r="M169" i="1"/>
  <c r="N169" i="1" s="1"/>
  <c r="V169" i="1"/>
  <c r="S69" i="3" s="1"/>
  <c r="Y169" i="1"/>
  <c r="Z169" i="1"/>
  <c r="AB169" i="1"/>
  <c r="AC169" i="1"/>
  <c r="AD169" i="1"/>
  <c r="T169" i="1" s="1"/>
  <c r="AE169" i="1"/>
  <c r="R69" i="3" s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R52" i="3" s="1"/>
  <c r="AF172" i="1"/>
  <c r="K173" i="1"/>
  <c r="L173" i="1"/>
  <c r="M173" i="1"/>
  <c r="N173" i="1" s="1"/>
  <c r="V173" i="1"/>
  <c r="S70" i="3" s="1"/>
  <c r="Y173" i="1"/>
  <c r="Z173" i="1"/>
  <c r="AB173" i="1"/>
  <c r="AC173" i="1"/>
  <c r="AD173" i="1"/>
  <c r="T173" i="1" s="1"/>
  <c r="AE173" i="1"/>
  <c r="R70" i="3" s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S53" i="3" s="1"/>
  <c r="Y175" i="1"/>
  <c r="Z175" i="1"/>
  <c r="AB175" i="1"/>
  <c r="AC175" i="1"/>
  <c r="AD175" i="1"/>
  <c r="AG175" i="1" s="1"/>
  <c r="AE175" i="1"/>
  <c r="R71" i="3" s="1"/>
  <c r="AF175" i="1"/>
  <c r="K176" i="1"/>
  <c r="L176" i="1"/>
  <c r="M176" i="1"/>
  <c r="V176" i="1"/>
  <c r="S63" i="3" s="1"/>
  <c r="Y176" i="1"/>
  <c r="Z176" i="1"/>
  <c r="AB176" i="1"/>
  <c r="AC176" i="1"/>
  <c r="AD176" i="1"/>
  <c r="AG176" i="1" s="1"/>
  <c r="AE176" i="1"/>
  <c r="R63" i="3" s="1"/>
  <c r="AF176" i="1"/>
  <c r="K177" i="1"/>
  <c r="L177" i="1"/>
  <c r="M177" i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S64" i="3" s="1"/>
  <c r="Y179" i="1"/>
  <c r="Z179" i="1"/>
  <c r="AB179" i="1"/>
  <c r="AC179" i="1"/>
  <c r="AD179" i="1"/>
  <c r="AG179" i="1" s="1"/>
  <c r="AE179" i="1"/>
  <c r="R64" i="3" s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S72" i="3" s="1"/>
  <c r="Y182" i="1"/>
  <c r="Z182" i="1"/>
  <c r="AB182" i="1"/>
  <c r="AC182" i="1"/>
  <c r="AD182" i="1"/>
  <c r="AG182" i="1" s="1"/>
  <c r="AE182" i="1"/>
  <c r="R72" i="3" s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S73" i="3" s="1"/>
  <c r="Y184" i="1"/>
  <c r="Z184" i="1"/>
  <c r="AB184" i="1"/>
  <c r="AC184" i="1"/>
  <c r="AD184" i="1"/>
  <c r="AG184" i="1" s="1"/>
  <c r="AE184" i="1"/>
  <c r="R73" i="3" s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S55" i="3" s="1"/>
  <c r="Y188" i="1"/>
  <c r="Z188" i="1"/>
  <c r="AB188" i="1"/>
  <c r="AC188" i="1"/>
  <c r="AD188" i="1"/>
  <c r="T188" i="1" s="1"/>
  <c r="AE188" i="1"/>
  <c r="R55" i="3" s="1"/>
  <c r="AF188" i="1"/>
  <c r="K189" i="1"/>
  <c r="L189" i="1"/>
  <c r="M189" i="1"/>
  <c r="N189" i="1" s="1"/>
  <c r="V189" i="1"/>
  <c r="S54" i="3" s="1"/>
  <c r="Y189" i="1"/>
  <c r="Z189" i="1"/>
  <c r="AB189" i="1"/>
  <c r="AC189" i="1"/>
  <c r="AD189" i="1"/>
  <c r="T189" i="1" s="1"/>
  <c r="AE189" i="1"/>
  <c r="R54" i="3" s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S65" i="3" s="1"/>
  <c r="Y195" i="1"/>
  <c r="Z195" i="1"/>
  <c r="AB195" i="1"/>
  <c r="AC195" i="1"/>
  <c r="AD195" i="1"/>
  <c r="AG195" i="1" s="1"/>
  <c r="AE195" i="1"/>
  <c r="R65" i="3" s="1"/>
  <c r="AF195" i="1"/>
  <c r="K196" i="1"/>
  <c r="L196" i="1"/>
  <c r="M196" i="1"/>
  <c r="N196" i="1" s="1"/>
  <c r="V196" i="1"/>
  <c r="S74" i="3" s="1"/>
  <c r="Y196" i="1"/>
  <c r="Z196" i="1"/>
  <c r="AB196" i="1"/>
  <c r="AC196" i="1"/>
  <c r="AD196" i="1"/>
  <c r="AE196" i="1"/>
  <c r="R74" i="3" s="1"/>
  <c r="AF196" i="1"/>
  <c r="K197" i="1"/>
  <c r="L197" i="1"/>
  <c r="M197" i="1"/>
  <c r="N197" i="1" s="1"/>
  <c r="V197" i="1"/>
  <c r="S66" i="3" s="1"/>
  <c r="Y197" i="1"/>
  <c r="Z197" i="1"/>
  <c r="AB197" i="1"/>
  <c r="AC197" i="1"/>
  <c r="AD197" i="1"/>
  <c r="AG197" i="1" s="1"/>
  <c r="AE197" i="1"/>
  <c r="R66" i="3" s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S67" i="3" s="1"/>
  <c r="Y199" i="1"/>
  <c r="Z199" i="1"/>
  <c r="AB199" i="1"/>
  <c r="AC199" i="1"/>
  <c r="AD199" i="1"/>
  <c r="AG199" i="1" s="1"/>
  <c r="AE199" i="1"/>
  <c r="R67" i="3" s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Y9" i="3" l="1"/>
  <c r="Y73" i="3"/>
  <c r="Y63" i="3"/>
  <c r="AA94" i="1"/>
  <c r="W94" i="1" s="1"/>
  <c r="U94" i="1"/>
  <c r="S94" i="1" s="1"/>
  <c r="X188" i="1"/>
  <c r="X191" i="1"/>
  <c r="X187" i="1"/>
  <c r="X68" i="1"/>
  <c r="X190" i="1"/>
  <c r="X186" i="1"/>
  <c r="P176" i="1"/>
  <c r="Y59" i="3"/>
  <c r="Y38" i="3"/>
  <c r="X64" i="1"/>
  <c r="X189" i="1"/>
  <c r="X185" i="1"/>
  <c r="Y31" i="3"/>
  <c r="Y60" i="3"/>
  <c r="Y57" i="3"/>
  <c r="X66" i="1"/>
  <c r="X62" i="1"/>
  <c r="AA201" i="1"/>
  <c r="AA194" i="1"/>
  <c r="AA130" i="1"/>
  <c r="X56" i="1"/>
  <c r="AA40" i="1"/>
  <c r="AG38" i="1"/>
  <c r="X19" i="1"/>
  <c r="Y66" i="3"/>
  <c r="X57" i="1"/>
  <c r="X65" i="1"/>
  <c r="X165" i="1"/>
  <c r="AA63" i="1"/>
  <c r="AA38" i="1"/>
  <c r="AA18" i="1"/>
  <c r="X67" i="1"/>
  <c r="X164" i="1"/>
  <c r="AA109" i="1"/>
  <c r="AA66" i="1"/>
  <c r="T47" i="1"/>
  <c r="U47" i="1" s="1"/>
  <c r="S47" i="1" s="1"/>
  <c r="AA20" i="1"/>
  <c r="Y74" i="3"/>
  <c r="X58" i="1"/>
  <c r="X60" i="1"/>
  <c r="AA181" i="1"/>
  <c r="X179" i="1"/>
  <c r="AA176" i="1"/>
  <c r="W176" i="1" s="1"/>
  <c r="AA132" i="1"/>
  <c r="T92" i="1"/>
  <c r="T75" i="1"/>
  <c r="Y8" i="3"/>
  <c r="Y48" i="3"/>
  <c r="Y36" i="3"/>
  <c r="T50" i="1"/>
  <c r="Y10" i="3"/>
  <c r="Y52" i="3"/>
  <c r="Y11" i="3"/>
  <c r="AA147" i="1"/>
  <c r="AA89" i="1"/>
  <c r="AA73" i="1"/>
  <c r="AA69" i="1"/>
  <c r="W69" i="1" s="1"/>
  <c r="AG26" i="1"/>
  <c r="AA24" i="1"/>
  <c r="AA15" i="1"/>
  <c r="Y32" i="3"/>
  <c r="Y43" i="3"/>
  <c r="AA161" i="1"/>
  <c r="W161" i="1" s="1"/>
  <c r="AA98" i="1"/>
  <c r="AA47" i="1"/>
  <c r="AA36" i="1"/>
  <c r="Y37" i="3"/>
  <c r="Y27" i="3"/>
  <c r="Y14" i="3"/>
  <c r="Y33" i="3"/>
  <c r="Y13" i="3"/>
  <c r="Y54" i="3"/>
  <c r="Y17" i="3"/>
  <c r="Y21" i="3"/>
  <c r="Y61" i="3"/>
  <c r="Y28" i="3"/>
  <c r="Y53" i="3"/>
  <c r="Y70" i="3"/>
  <c r="Y67" i="3"/>
  <c r="Y7" i="3"/>
  <c r="Y35" i="3"/>
  <c r="Y47" i="3"/>
  <c r="Y24" i="3"/>
  <c r="Y62" i="3"/>
  <c r="Y40" i="3"/>
  <c r="S50" i="3"/>
  <c r="S59" i="3"/>
  <c r="AA204" i="1"/>
  <c r="AA168" i="1"/>
  <c r="AA167" i="1"/>
  <c r="W167" i="1" s="1"/>
  <c r="AG206" i="1"/>
  <c r="U206" i="1" s="1"/>
  <c r="S206" i="1" s="1"/>
  <c r="AG149" i="1"/>
  <c r="AA143" i="1"/>
  <c r="AG141" i="1"/>
  <c r="AA100" i="1"/>
  <c r="W100" i="1" s="1"/>
  <c r="X61" i="1"/>
  <c r="AG32" i="1"/>
  <c r="R22" i="3"/>
  <c r="S60" i="3"/>
  <c r="AA189" i="1"/>
  <c r="T60" i="1"/>
  <c r="AA199" i="1"/>
  <c r="W199" i="1" s="1"/>
  <c r="AA171" i="1"/>
  <c r="T145" i="1"/>
  <c r="U145" i="1" s="1"/>
  <c r="S145" i="1" s="1"/>
  <c r="AA139" i="1"/>
  <c r="AG119" i="1"/>
  <c r="U119" i="1" s="1"/>
  <c r="S119" i="1" s="1"/>
  <c r="AA112" i="1"/>
  <c r="W112" i="1" s="1"/>
  <c r="AA81" i="1"/>
  <c r="AA77" i="1"/>
  <c r="AA61" i="1"/>
  <c r="W61" i="1" s="1"/>
  <c r="AA56" i="1"/>
  <c r="AA44" i="1"/>
  <c r="W44" i="1" s="1"/>
  <c r="X31" i="1"/>
  <c r="AG20" i="1"/>
  <c r="W20" i="1" s="1"/>
  <c r="AG18" i="1"/>
  <c r="U18" i="1" s="1"/>
  <c r="S18" i="1" s="1"/>
  <c r="S18" i="3"/>
  <c r="R11" i="3"/>
  <c r="R21" i="3"/>
  <c r="T34" i="1"/>
  <c r="AG34" i="1"/>
  <c r="R53" i="3"/>
  <c r="AA198" i="1"/>
  <c r="AA193" i="1"/>
  <c r="AG178" i="1"/>
  <c r="U178" i="1" s="1"/>
  <c r="S178" i="1" s="1"/>
  <c r="AA175" i="1"/>
  <c r="W175" i="1" s="1"/>
  <c r="T100" i="1"/>
  <c r="U100" i="1" s="1"/>
  <c r="S100" i="1" s="1"/>
  <c r="R48" i="3"/>
  <c r="R28" i="3"/>
  <c r="T54" i="1"/>
  <c r="X54" i="1"/>
  <c r="AG54" i="1"/>
  <c r="T22" i="1"/>
  <c r="AG22" i="1"/>
  <c r="U20" i="1"/>
  <c r="S20" i="1" s="1"/>
  <c r="T14" i="1"/>
  <c r="AG14" i="1"/>
  <c r="S28" i="3"/>
  <c r="R32" i="3"/>
  <c r="R43" i="3"/>
  <c r="S21" i="3"/>
  <c r="R59" i="3"/>
  <c r="R60" i="3"/>
  <c r="R58" i="3"/>
  <c r="R36" i="3"/>
  <c r="R45" i="3"/>
  <c r="S43" i="3"/>
  <c r="S42" i="3"/>
  <c r="S52" i="3"/>
  <c r="S51" i="3"/>
  <c r="S27" i="3"/>
  <c r="S44" i="3"/>
  <c r="S34" i="3"/>
  <c r="S36" i="3"/>
  <c r="S45" i="3"/>
  <c r="R27" i="3"/>
  <c r="R44" i="3"/>
  <c r="AG76" i="1"/>
  <c r="X76" i="1"/>
  <c r="S33" i="3"/>
  <c r="S22" i="3"/>
  <c r="T31" i="1"/>
  <c r="T16" i="1"/>
  <c r="AG16" i="1"/>
  <c r="AA205" i="1"/>
  <c r="W205" i="1" s="1"/>
  <c r="AA196" i="1"/>
  <c r="AA191" i="1"/>
  <c r="W191" i="1" s="1"/>
  <c r="AG186" i="1"/>
  <c r="U186" i="1" s="1"/>
  <c r="S186" i="1" s="1"/>
  <c r="AA180" i="1"/>
  <c r="AA173" i="1"/>
  <c r="T89" i="1"/>
  <c r="AG89" i="1"/>
  <c r="AG68" i="1"/>
  <c r="T39" i="1"/>
  <c r="X39" i="1"/>
  <c r="AG39" i="1"/>
  <c r="S62" i="3"/>
  <c r="AA217" i="1"/>
  <c r="AA146" i="1"/>
  <c r="AA136" i="1"/>
  <c r="AA131" i="1"/>
  <c r="AA123" i="1"/>
  <c r="AA118" i="1"/>
  <c r="W118" i="1" s="1"/>
  <c r="AA96" i="1"/>
  <c r="AA72" i="1"/>
  <c r="AA68" i="1"/>
  <c r="AA58" i="1"/>
  <c r="AA52" i="1"/>
  <c r="AA31" i="1"/>
  <c r="AA25" i="1"/>
  <c r="R62" i="3"/>
  <c r="AA215" i="1"/>
  <c r="W215" i="1" s="1"/>
  <c r="AA183" i="1"/>
  <c r="W183" i="1" s="1"/>
  <c r="AA182" i="1"/>
  <c r="AA179" i="1"/>
  <c r="W179" i="1" s="1"/>
  <c r="AA172" i="1"/>
  <c r="W172" i="1" s="1"/>
  <c r="AA157" i="1"/>
  <c r="AA148" i="1"/>
  <c r="AA134" i="1"/>
  <c r="W134" i="1" s="1"/>
  <c r="T129" i="1"/>
  <c r="U129" i="1" s="1"/>
  <c r="S129" i="1" s="1"/>
  <c r="AA126" i="1"/>
  <c r="W126" i="1" s="1"/>
  <c r="AA99" i="1"/>
  <c r="T87" i="1"/>
  <c r="U87" i="1" s="1"/>
  <c r="S87" i="1" s="1"/>
  <c r="AA80" i="1"/>
  <c r="AA76" i="1"/>
  <c r="AA74" i="1"/>
  <c r="AA70" i="1"/>
  <c r="AA65" i="1"/>
  <c r="AA62" i="1"/>
  <c r="W62" i="1" s="1"/>
  <c r="X15" i="1"/>
  <c r="AA14" i="1"/>
  <c r="R50" i="3"/>
  <c r="S71" i="3"/>
  <c r="R51" i="3"/>
  <c r="Y56" i="3"/>
  <c r="Y50" i="3"/>
  <c r="Y25" i="3"/>
  <c r="Y72" i="3"/>
  <c r="Y44" i="3"/>
  <c r="Y29" i="3"/>
  <c r="Y51" i="3"/>
  <c r="Y68" i="3"/>
  <c r="Y75" i="3"/>
  <c r="Y46" i="3"/>
  <c r="Y45" i="3"/>
  <c r="Y20" i="3"/>
  <c r="Y23" i="3"/>
  <c r="Y55" i="3"/>
  <c r="Y16" i="3"/>
  <c r="Y49" i="3"/>
  <c r="Y34" i="3"/>
  <c r="Y19" i="3"/>
  <c r="Y71" i="3"/>
  <c r="Y18" i="3"/>
  <c r="Y26" i="3"/>
  <c r="Y42" i="3"/>
  <c r="Y22" i="3"/>
  <c r="Y69" i="3"/>
  <c r="Y12" i="3"/>
  <c r="Y58" i="3"/>
  <c r="Y41" i="3"/>
  <c r="Y65" i="3"/>
  <c r="Y30" i="3"/>
  <c r="Y15" i="3"/>
  <c r="Y64" i="3"/>
  <c r="W217" i="1"/>
  <c r="AA216" i="1"/>
  <c r="W216" i="1" s="1"/>
  <c r="AA190" i="1"/>
  <c r="AA188" i="1"/>
  <c r="AA187" i="1"/>
  <c r="W187" i="1" s="1"/>
  <c r="AA184" i="1"/>
  <c r="W184" i="1" s="1"/>
  <c r="AG170" i="1"/>
  <c r="U170" i="1" s="1"/>
  <c r="S170" i="1" s="1"/>
  <c r="AA166" i="1"/>
  <c r="W166" i="1" s="1"/>
  <c r="AA165" i="1"/>
  <c r="AA164" i="1"/>
  <c r="W164" i="1" s="1"/>
  <c r="AG163" i="1"/>
  <c r="X212" i="1"/>
  <c r="AA212" i="1"/>
  <c r="AA211" i="1"/>
  <c r="AA210" i="1"/>
  <c r="AA209" i="1"/>
  <c r="W209" i="1" s="1"/>
  <c r="AG208" i="1"/>
  <c r="U208" i="1" s="1"/>
  <c r="S208" i="1" s="1"/>
  <c r="AA153" i="1"/>
  <c r="AA151" i="1"/>
  <c r="AA150" i="1"/>
  <c r="W150" i="1" s="1"/>
  <c r="T150" i="1"/>
  <c r="U150" i="1" s="1"/>
  <c r="S150" i="1" s="1"/>
  <c r="AA144" i="1"/>
  <c r="X142" i="1"/>
  <c r="T134" i="1"/>
  <c r="U134" i="1" s="1"/>
  <c r="S134" i="1" s="1"/>
  <c r="T130" i="1"/>
  <c r="U130" i="1" s="1"/>
  <c r="S130" i="1" s="1"/>
  <c r="AA128" i="1"/>
  <c r="AG125" i="1"/>
  <c r="U125" i="1" s="1"/>
  <c r="S125" i="1" s="1"/>
  <c r="T121" i="1"/>
  <c r="U121" i="1" s="1"/>
  <c r="S121" i="1" s="1"/>
  <c r="X120" i="1"/>
  <c r="T112" i="1"/>
  <c r="AA110" i="1"/>
  <c r="T109" i="1"/>
  <c r="U109" i="1" s="1"/>
  <c r="S109" i="1" s="1"/>
  <c r="T104" i="1"/>
  <c r="U104" i="1" s="1"/>
  <c r="S104" i="1" s="1"/>
  <c r="AA95" i="1"/>
  <c r="AA93" i="1"/>
  <c r="AA92" i="1"/>
  <c r="AA87" i="1"/>
  <c r="W87" i="1" s="1"/>
  <c r="AA86" i="1"/>
  <c r="AA85" i="1"/>
  <c r="AA84" i="1"/>
  <c r="W84" i="1" s="1"/>
  <c r="T84" i="1"/>
  <c r="U84" i="1" s="1"/>
  <c r="S84" i="1" s="1"/>
  <c r="AA54" i="1"/>
  <c r="AG51" i="1"/>
  <c r="X51" i="1"/>
  <c r="AA50" i="1"/>
  <c r="W50" i="1" s="1"/>
  <c r="AG46" i="1"/>
  <c r="U46" i="1" s="1"/>
  <c r="S46" i="1" s="1"/>
  <c r="AG42" i="1"/>
  <c r="AG35" i="1"/>
  <c r="U35" i="1" s="1"/>
  <c r="S35" i="1" s="1"/>
  <c r="X35" i="1"/>
  <c r="AA34" i="1"/>
  <c r="AA32" i="1"/>
  <c r="W32" i="1" s="1"/>
  <c r="AA30" i="1"/>
  <c r="AA29" i="1"/>
  <c r="AA28" i="1"/>
  <c r="AG23" i="1"/>
  <c r="U23" i="1" s="1"/>
  <c r="S23" i="1" s="1"/>
  <c r="X23" i="1"/>
  <c r="AA22" i="1"/>
  <c r="W22" i="1" s="1"/>
  <c r="AA21" i="1"/>
  <c r="AA16" i="1"/>
  <c r="T182" i="1"/>
  <c r="U182" i="1" s="1"/>
  <c r="S182" i="1" s="1"/>
  <c r="T116" i="1"/>
  <c r="U116" i="1" s="1"/>
  <c r="S116" i="1" s="1"/>
  <c r="T101" i="1"/>
  <c r="U101" i="1" s="1"/>
  <c r="S101" i="1" s="1"/>
  <c r="T67" i="1"/>
  <c r="U67" i="1" s="1"/>
  <c r="S67" i="1" s="1"/>
  <c r="U50" i="1"/>
  <c r="S50" i="1" s="1"/>
  <c r="X47" i="1"/>
  <c r="AA213" i="1"/>
  <c r="AA202" i="1"/>
  <c r="W202" i="1" s="1"/>
  <c r="AA200" i="1"/>
  <c r="AA197" i="1"/>
  <c r="W197" i="1" s="1"/>
  <c r="AA195" i="1"/>
  <c r="AA174" i="1"/>
  <c r="T166" i="1"/>
  <c r="AA160" i="1"/>
  <c r="W160" i="1" s="1"/>
  <c r="AA218" i="1"/>
  <c r="AG211" i="1"/>
  <c r="AA206" i="1"/>
  <c r="AA156" i="1"/>
  <c r="AA155" i="1"/>
  <c r="AG151" i="1"/>
  <c r="U151" i="1" s="1"/>
  <c r="S151" i="1" s="1"/>
  <c r="X150" i="1"/>
  <c r="AA142" i="1"/>
  <c r="W142" i="1" s="1"/>
  <c r="T142" i="1"/>
  <c r="U142" i="1" s="1"/>
  <c r="S142" i="1" s="1"/>
  <c r="AG139" i="1"/>
  <c r="U139" i="1" s="1"/>
  <c r="S139" i="1" s="1"/>
  <c r="AA137" i="1"/>
  <c r="AA120" i="1"/>
  <c r="W120" i="1" s="1"/>
  <c r="T120" i="1"/>
  <c r="U120" i="1" s="1"/>
  <c r="S120" i="1" s="1"/>
  <c r="AA116" i="1"/>
  <c r="W116" i="1" s="1"/>
  <c r="AA113" i="1"/>
  <c r="AG111" i="1"/>
  <c r="U111" i="1" s="1"/>
  <c r="S111" i="1" s="1"/>
  <c r="AA104" i="1"/>
  <c r="W104" i="1" s="1"/>
  <c r="AA103" i="1"/>
  <c r="AA102" i="1"/>
  <c r="AA101" i="1"/>
  <c r="W101" i="1" s="1"/>
  <c r="AA90" i="1"/>
  <c r="W90" i="1" s="1"/>
  <c r="X84" i="1"/>
  <c r="AA55" i="1"/>
  <c r="AA51" i="1"/>
  <c r="AA48" i="1"/>
  <c r="W48" i="1" s="1"/>
  <c r="AG43" i="1"/>
  <c r="U43" i="1" s="1"/>
  <c r="X43" i="1"/>
  <c r="T197" i="1"/>
  <c r="U197" i="1" s="1"/>
  <c r="S197" i="1" s="1"/>
  <c r="T216" i="1"/>
  <c r="U216" i="1" s="1"/>
  <c r="S216" i="1" s="1"/>
  <c r="T215" i="1"/>
  <c r="U215" i="1" s="1"/>
  <c r="S215" i="1" s="1"/>
  <c r="X205" i="1"/>
  <c r="AG204" i="1"/>
  <c r="U204" i="1" s="1"/>
  <c r="AA203" i="1"/>
  <c r="T198" i="1"/>
  <c r="U198" i="1" s="1"/>
  <c r="S198" i="1" s="1"/>
  <c r="X194" i="1"/>
  <c r="AG193" i="1"/>
  <c r="U193" i="1" s="1"/>
  <c r="S193" i="1" s="1"/>
  <c r="AA192" i="1"/>
  <c r="T190" i="1"/>
  <c r="U190" i="1" s="1"/>
  <c r="S190" i="1" s="1"/>
  <c r="X183" i="1"/>
  <c r="AA178" i="1"/>
  <c r="AA177" i="1"/>
  <c r="T175" i="1"/>
  <c r="U175" i="1" s="1"/>
  <c r="S175" i="1" s="1"/>
  <c r="X167" i="1"/>
  <c r="AA163" i="1"/>
  <c r="AA162" i="1"/>
  <c r="T160" i="1"/>
  <c r="U160" i="1" s="1"/>
  <c r="S160" i="1" s="1"/>
  <c r="AA159" i="1"/>
  <c r="T217" i="1"/>
  <c r="U217" i="1" s="1"/>
  <c r="S217" i="1" s="1"/>
  <c r="T212" i="1"/>
  <c r="X211" i="1"/>
  <c r="AA158" i="1"/>
  <c r="W158" i="1" s="1"/>
  <c r="T158" i="1"/>
  <c r="U158" i="1" s="1"/>
  <c r="S158" i="1" s="1"/>
  <c r="T155" i="1"/>
  <c r="AG155" i="1"/>
  <c r="T171" i="1"/>
  <c r="U171" i="1" s="1"/>
  <c r="S171" i="1" s="1"/>
  <c r="AA152" i="1"/>
  <c r="X216" i="1"/>
  <c r="AA214" i="1"/>
  <c r="T205" i="1"/>
  <c r="U205" i="1" s="1"/>
  <c r="S205" i="1" s="1"/>
  <c r="T201" i="1"/>
  <c r="U201" i="1" s="1"/>
  <c r="S201" i="1" s="1"/>
  <c r="X198" i="1"/>
  <c r="T194" i="1"/>
  <c r="U194" i="1" s="1"/>
  <c r="S194" i="1" s="1"/>
  <c r="AG189" i="1"/>
  <c r="AA186" i="1"/>
  <c r="AA185" i="1"/>
  <c r="T183" i="1"/>
  <c r="U183" i="1" s="1"/>
  <c r="S183" i="1" s="1"/>
  <c r="X175" i="1"/>
  <c r="AG174" i="1"/>
  <c r="AA170" i="1"/>
  <c r="AA169" i="1"/>
  <c r="T167" i="1"/>
  <c r="U167" i="1" s="1"/>
  <c r="S167" i="1" s="1"/>
  <c r="X160" i="1"/>
  <c r="AG159" i="1"/>
  <c r="U159" i="1" s="1"/>
  <c r="S159" i="1" s="1"/>
  <c r="X159" i="1"/>
  <c r="X217" i="1"/>
  <c r="AG212" i="1"/>
  <c r="X158" i="1"/>
  <c r="AG157" i="1"/>
  <c r="AG154" i="1"/>
  <c r="T154" i="1"/>
  <c r="AG153" i="1"/>
  <c r="U153" i="1" s="1"/>
  <c r="S153" i="1" s="1"/>
  <c r="AG138" i="1"/>
  <c r="T138" i="1"/>
  <c r="X138" i="1"/>
  <c r="W36" i="1"/>
  <c r="W182" i="1"/>
  <c r="T179" i="1"/>
  <c r="X171" i="1"/>
  <c r="AA208" i="1"/>
  <c r="AA207" i="1"/>
  <c r="X154" i="1"/>
  <c r="AA149" i="1"/>
  <c r="AG147" i="1"/>
  <c r="AG146" i="1"/>
  <c r="X146" i="1"/>
  <c r="T137" i="1"/>
  <c r="AG137" i="1"/>
  <c r="AG135" i="1"/>
  <c r="AA133" i="1"/>
  <c r="AA127" i="1"/>
  <c r="X124" i="1"/>
  <c r="AG123" i="1"/>
  <c r="W123" i="1" s="1"/>
  <c r="AA117" i="1"/>
  <c r="AA114" i="1"/>
  <c r="AG113" i="1"/>
  <c r="U113" i="1" s="1"/>
  <c r="S113" i="1" s="1"/>
  <c r="AA111" i="1"/>
  <c r="AA108" i="1"/>
  <c r="AA106" i="1"/>
  <c r="AG96" i="1"/>
  <c r="U96" i="1" s="1"/>
  <c r="S96" i="1" s="1"/>
  <c r="AG93" i="1"/>
  <c r="AA91" i="1"/>
  <c r="AA88" i="1"/>
  <c r="T88" i="1"/>
  <c r="U88" i="1" s="1"/>
  <c r="S88" i="1" s="1"/>
  <c r="AA83" i="1"/>
  <c r="AG80" i="1"/>
  <c r="AA75" i="1"/>
  <c r="W75" i="1" s="1"/>
  <c r="AG72" i="1"/>
  <c r="AG71" i="1"/>
  <c r="U71" i="1" s="1"/>
  <c r="S71" i="1" s="1"/>
  <c r="AA67" i="1"/>
  <c r="W67" i="1" s="1"/>
  <c r="AG64" i="1"/>
  <c r="U64" i="1" s="1"/>
  <c r="S64" i="1" s="1"/>
  <c r="AA60" i="1"/>
  <c r="W60" i="1" s="1"/>
  <c r="AG57" i="1"/>
  <c r="U57" i="1" s="1"/>
  <c r="S57" i="1" s="1"/>
  <c r="AG30" i="1"/>
  <c r="U30" i="1" s="1"/>
  <c r="AA23" i="1"/>
  <c r="W18" i="1"/>
  <c r="AA145" i="1"/>
  <c r="W145" i="1" s="1"/>
  <c r="X134" i="1"/>
  <c r="AG133" i="1"/>
  <c r="AG131" i="1"/>
  <c r="AA129" i="1"/>
  <c r="W129" i="1" s="1"/>
  <c r="AG127" i="1"/>
  <c r="U127" i="1" s="1"/>
  <c r="S127" i="1" s="1"/>
  <c r="AA121" i="1"/>
  <c r="AG117" i="1"/>
  <c r="AA115" i="1"/>
  <c r="X112" i="1"/>
  <c r="AG108" i="1"/>
  <c r="U108" i="1" s="1"/>
  <c r="X108" i="1"/>
  <c r="X92" i="1"/>
  <c r="AG91" i="1"/>
  <c r="U91" i="1" s="1"/>
  <c r="S91" i="1" s="1"/>
  <c r="X80" i="1"/>
  <c r="AG79" i="1"/>
  <c r="U79" i="1" s="1"/>
  <c r="S79" i="1" s="1"/>
  <c r="T76" i="1"/>
  <c r="U76" i="1" s="1"/>
  <c r="S76" i="1" s="1"/>
  <c r="X72" i="1"/>
  <c r="T68" i="1"/>
  <c r="T61" i="1"/>
  <c r="U61" i="1" s="1"/>
  <c r="S61" i="1" s="1"/>
  <c r="AA59" i="1"/>
  <c r="AA49" i="1"/>
  <c r="AA46" i="1"/>
  <c r="AA43" i="1"/>
  <c r="U42" i="1"/>
  <c r="AA41" i="1"/>
  <c r="AA39" i="1"/>
  <c r="AA37" i="1"/>
  <c r="AA35" i="1"/>
  <c r="AA33" i="1"/>
  <c r="AG31" i="1"/>
  <c r="AG27" i="1"/>
  <c r="X27" i="1"/>
  <c r="AA19" i="1"/>
  <c r="T19" i="1"/>
  <c r="AA17" i="1"/>
  <c r="AG15" i="1"/>
  <c r="AA154" i="1"/>
  <c r="AG143" i="1"/>
  <c r="AA141" i="1"/>
  <c r="AA140" i="1"/>
  <c r="AA138" i="1"/>
  <c r="X130" i="1"/>
  <c r="AA125" i="1"/>
  <c r="AA124" i="1"/>
  <c r="W124" i="1" s="1"/>
  <c r="T124" i="1"/>
  <c r="U124" i="1" s="1"/>
  <c r="S124" i="1" s="1"/>
  <c r="AA122" i="1"/>
  <c r="AA119" i="1"/>
  <c r="X116" i="1"/>
  <c r="AG115" i="1"/>
  <c r="AA105" i="1"/>
  <c r="AG102" i="1"/>
  <c r="AG98" i="1"/>
  <c r="AA97" i="1"/>
  <c r="W97" i="1" s="1"/>
  <c r="T97" i="1"/>
  <c r="U97" i="1" s="1"/>
  <c r="S97" i="1" s="1"/>
  <c r="X88" i="1"/>
  <c r="AG85" i="1"/>
  <c r="AG83" i="1"/>
  <c r="U83" i="1" s="1"/>
  <c r="S83" i="1" s="1"/>
  <c r="X83" i="1"/>
  <c r="AA82" i="1"/>
  <c r="W82" i="1" s="1"/>
  <c r="AA71" i="1"/>
  <c r="W71" i="1" s="1"/>
  <c r="AA64" i="1"/>
  <c r="AA57" i="1"/>
  <c r="AA45" i="1"/>
  <c r="AG28" i="1"/>
  <c r="AA27" i="1"/>
  <c r="AG24" i="1"/>
  <c r="AG19" i="1"/>
  <c r="T214" i="1"/>
  <c r="X214" i="1"/>
  <c r="AG214" i="1"/>
  <c r="X215" i="1"/>
  <c r="W194" i="1"/>
  <c r="T192" i="1"/>
  <c r="AG192" i="1"/>
  <c r="X193" i="1"/>
  <c r="W171" i="1"/>
  <c r="T203" i="1"/>
  <c r="AG203" i="1"/>
  <c r="X204" i="1"/>
  <c r="W201" i="1"/>
  <c r="T200" i="1"/>
  <c r="AG200" i="1"/>
  <c r="W200" i="1" s="1"/>
  <c r="W198" i="1"/>
  <c r="T196" i="1"/>
  <c r="X196" i="1"/>
  <c r="AG196" i="1"/>
  <c r="X197" i="1"/>
  <c r="U179" i="1"/>
  <c r="S179" i="1" s="1"/>
  <c r="W168" i="1"/>
  <c r="U163" i="1"/>
  <c r="S163" i="1" s="1"/>
  <c r="X213" i="1"/>
  <c r="T213" i="1"/>
  <c r="U213" i="1" s="1"/>
  <c r="S213" i="1" s="1"/>
  <c r="T202" i="1"/>
  <c r="U202" i="1" s="1"/>
  <c r="S202" i="1" s="1"/>
  <c r="T199" i="1"/>
  <c r="U199" i="1" s="1"/>
  <c r="S199" i="1" s="1"/>
  <c r="X195" i="1"/>
  <c r="T195" i="1"/>
  <c r="U195" i="1" s="1"/>
  <c r="S195" i="1" s="1"/>
  <c r="T191" i="1"/>
  <c r="U191" i="1" s="1"/>
  <c r="S191" i="1" s="1"/>
  <c r="T187" i="1"/>
  <c r="U187" i="1" s="1"/>
  <c r="S187" i="1" s="1"/>
  <c r="X184" i="1"/>
  <c r="T184" i="1"/>
  <c r="U184" i="1" s="1"/>
  <c r="S184" i="1" s="1"/>
  <c r="X180" i="1"/>
  <c r="T180" i="1"/>
  <c r="U180" i="1" s="1"/>
  <c r="S180" i="1" s="1"/>
  <c r="X176" i="1"/>
  <c r="T176" i="1"/>
  <c r="U176" i="1" s="1"/>
  <c r="S176" i="1" s="1"/>
  <c r="X172" i="1"/>
  <c r="T172" i="1"/>
  <c r="U172" i="1" s="1"/>
  <c r="S172" i="1" s="1"/>
  <c r="X168" i="1"/>
  <c r="T168" i="1"/>
  <c r="U168" i="1" s="1"/>
  <c r="S168" i="1" s="1"/>
  <c r="T164" i="1"/>
  <c r="U164" i="1" s="1"/>
  <c r="S164" i="1" s="1"/>
  <c r="X161" i="1"/>
  <c r="T161" i="1"/>
  <c r="U161" i="1" s="1"/>
  <c r="S161" i="1" s="1"/>
  <c r="T209" i="1"/>
  <c r="U209" i="1" s="1"/>
  <c r="S209" i="1" s="1"/>
  <c r="T207" i="1"/>
  <c r="X207" i="1"/>
  <c r="AG207" i="1"/>
  <c r="X208" i="1"/>
  <c r="T156" i="1"/>
  <c r="X156" i="1"/>
  <c r="AG156" i="1"/>
  <c r="X157" i="1"/>
  <c r="T152" i="1"/>
  <c r="X152" i="1"/>
  <c r="AG152" i="1"/>
  <c r="X153" i="1"/>
  <c r="W130" i="1"/>
  <c r="U123" i="1"/>
  <c r="S123" i="1" s="1"/>
  <c r="U112" i="1"/>
  <c r="S112" i="1" s="1"/>
  <c r="U166" i="1"/>
  <c r="S166" i="1" s="1"/>
  <c r="T210" i="1"/>
  <c r="X210" i="1"/>
  <c r="AG188" i="1"/>
  <c r="AG185" i="1"/>
  <c r="W185" i="1" s="1"/>
  <c r="X182" i="1"/>
  <c r="AG181" i="1"/>
  <c r="W181" i="1" s="1"/>
  <c r="X178" i="1"/>
  <c r="AG177" i="1"/>
  <c r="X174" i="1"/>
  <c r="AG173" i="1"/>
  <c r="X170" i="1"/>
  <c r="AG169" i="1"/>
  <c r="X166" i="1"/>
  <c r="AG165" i="1"/>
  <c r="X163" i="1"/>
  <c r="AG162" i="1"/>
  <c r="T218" i="1"/>
  <c r="X218" i="1"/>
  <c r="AG210" i="1"/>
  <c r="X209" i="1"/>
  <c r="X181" i="1"/>
  <c r="X177" i="1"/>
  <c r="X173" i="1"/>
  <c r="X169" i="1"/>
  <c r="X162" i="1"/>
  <c r="AG218" i="1"/>
  <c r="U141" i="1"/>
  <c r="S141" i="1" s="1"/>
  <c r="X126" i="1"/>
  <c r="T126" i="1"/>
  <c r="U126" i="1" s="1"/>
  <c r="S126" i="1" s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X110" i="1"/>
  <c r="W109" i="1"/>
  <c r="T107" i="1"/>
  <c r="X101" i="1"/>
  <c r="U92" i="1"/>
  <c r="S92" i="1" s="1"/>
  <c r="X149" i="1"/>
  <c r="AG148" i="1"/>
  <c r="X145" i="1"/>
  <c r="AG144" i="1"/>
  <c r="X141" i="1"/>
  <c r="AG140" i="1"/>
  <c r="X137" i="1"/>
  <c r="AG136" i="1"/>
  <c r="X133" i="1"/>
  <c r="AG132" i="1"/>
  <c r="X129" i="1"/>
  <c r="AG128" i="1"/>
  <c r="X125" i="1"/>
  <c r="X121" i="1"/>
  <c r="X117" i="1"/>
  <c r="X113" i="1"/>
  <c r="AG107" i="1"/>
  <c r="X107" i="1"/>
  <c r="X105" i="1"/>
  <c r="AG99" i="1"/>
  <c r="W99" i="1" s="1"/>
  <c r="X100" i="1"/>
  <c r="T99" i="1"/>
  <c r="W86" i="1"/>
  <c r="X148" i="1"/>
  <c r="X144" i="1"/>
  <c r="X140" i="1"/>
  <c r="X136" i="1"/>
  <c r="X132" i="1"/>
  <c r="X128" i="1"/>
  <c r="T106" i="1"/>
  <c r="X106" i="1"/>
  <c r="AG103" i="1"/>
  <c r="X104" i="1"/>
  <c r="X206" i="1"/>
  <c r="X155" i="1"/>
  <c r="X151" i="1"/>
  <c r="X147" i="1"/>
  <c r="X143" i="1"/>
  <c r="X139" i="1"/>
  <c r="X135" i="1"/>
  <c r="X131" i="1"/>
  <c r="X127" i="1"/>
  <c r="X123" i="1"/>
  <c r="X119" i="1"/>
  <c r="X115" i="1"/>
  <c r="X111" i="1"/>
  <c r="AG110" i="1"/>
  <c r="X109" i="1"/>
  <c r="AA107" i="1"/>
  <c r="AG106" i="1"/>
  <c r="T105" i="1"/>
  <c r="U105" i="1" s="1"/>
  <c r="S105" i="1" s="1"/>
  <c r="X103" i="1"/>
  <c r="W95" i="1"/>
  <c r="T95" i="1"/>
  <c r="U95" i="1" s="1"/>
  <c r="S95" i="1" s="1"/>
  <c r="X90" i="1"/>
  <c r="T90" i="1"/>
  <c r="U90" i="1" s="1"/>
  <c r="S90" i="1" s="1"/>
  <c r="X86" i="1"/>
  <c r="T86" i="1"/>
  <c r="U86" i="1" s="1"/>
  <c r="S86" i="1" s="1"/>
  <c r="T49" i="1"/>
  <c r="X49" i="1"/>
  <c r="AG49" i="1"/>
  <c r="X50" i="1"/>
  <c r="T21" i="1"/>
  <c r="X21" i="1"/>
  <c r="AG21" i="1"/>
  <c r="X102" i="1"/>
  <c r="X93" i="1"/>
  <c r="X89" i="1"/>
  <c r="X85" i="1"/>
  <c r="AA79" i="1"/>
  <c r="AA78" i="1"/>
  <c r="AG77" i="1"/>
  <c r="T77" i="1"/>
  <c r="X77" i="1"/>
  <c r="U75" i="1"/>
  <c r="S75" i="1" s="1"/>
  <c r="T74" i="1"/>
  <c r="X74" i="1"/>
  <c r="AG74" i="1"/>
  <c r="W74" i="1" s="1"/>
  <c r="X75" i="1"/>
  <c r="T66" i="1"/>
  <c r="AG66" i="1"/>
  <c r="U60" i="1"/>
  <c r="S60" i="1" s="1"/>
  <c r="T59" i="1"/>
  <c r="AG59" i="1"/>
  <c r="U38" i="1"/>
  <c r="S38" i="1" s="1"/>
  <c r="AG81" i="1"/>
  <c r="T81" i="1"/>
  <c r="X81" i="1"/>
  <c r="T78" i="1"/>
  <c r="X78" i="1"/>
  <c r="W40" i="1"/>
  <c r="X91" i="1"/>
  <c r="X87" i="1"/>
  <c r="T82" i="1"/>
  <c r="U82" i="1" s="1"/>
  <c r="S82" i="1" s="1"/>
  <c r="X82" i="1"/>
  <c r="X79" i="1"/>
  <c r="AG78" i="1"/>
  <c r="T70" i="1"/>
  <c r="X70" i="1"/>
  <c r="AG70" i="1"/>
  <c r="X71" i="1"/>
  <c r="T63" i="1"/>
  <c r="AG63" i="1"/>
  <c r="W63" i="1" s="1"/>
  <c r="T56" i="1"/>
  <c r="AG56" i="1"/>
  <c r="W43" i="1"/>
  <c r="X73" i="1"/>
  <c r="T73" i="1"/>
  <c r="U73" i="1" s="1"/>
  <c r="S73" i="1" s="1"/>
  <c r="X69" i="1"/>
  <c r="T69" i="1"/>
  <c r="U69" i="1" s="1"/>
  <c r="S69" i="1" s="1"/>
  <c r="T65" i="1"/>
  <c r="U65" i="1" s="1"/>
  <c r="S65" i="1" s="1"/>
  <c r="T62" i="1"/>
  <c r="U62" i="1" s="1"/>
  <c r="S62" i="1" s="1"/>
  <c r="T58" i="1"/>
  <c r="U58" i="1" s="1"/>
  <c r="S58" i="1" s="1"/>
  <c r="X55" i="1"/>
  <c r="T55" i="1"/>
  <c r="U55" i="1" s="1"/>
  <c r="S55" i="1" s="1"/>
  <c r="T53" i="1"/>
  <c r="U53" i="1" s="1"/>
  <c r="S53" i="1" s="1"/>
  <c r="X53" i="1"/>
  <c r="T45" i="1"/>
  <c r="X45" i="1"/>
  <c r="AG45" i="1"/>
  <c r="X46" i="1"/>
  <c r="AA42" i="1"/>
  <c r="T33" i="1"/>
  <c r="X33" i="1"/>
  <c r="AG33" i="1"/>
  <c r="U32" i="1"/>
  <c r="S32" i="1" s="1"/>
  <c r="AA26" i="1"/>
  <c r="W26" i="1" s="1"/>
  <c r="T17" i="1"/>
  <c r="X17" i="1"/>
  <c r="AG17" i="1"/>
  <c r="W47" i="1"/>
  <c r="T37" i="1"/>
  <c r="X37" i="1"/>
  <c r="AG37" i="1"/>
  <c r="X38" i="1"/>
  <c r="T25" i="1"/>
  <c r="X25" i="1"/>
  <c r="AG25" i="1"/>
  <c r="W25" i="1" s="1"/>
  <c r="U24" i="1"/>
  <c r="S24" i="1" s="1"/>
  <c r="AA53" i="1"/>
  <c r="W53" i="1" s="1"/>
  <c r="AG52" i="1"/>
  <c r="T52" i="1"/>
  <c r="X52" i="1"/>
  <c r="T41" i="1"/>
  <c r="X41" i="1"/>
  <c r="AG41" i="1"/>
  <c r="X42" i="1"/>
  <c r="W38" i="1"/>
  <c r="S30" i="1"/>
  <c r="T29" i="1"/>
  <c r="X29" i="1"/>
  <c r="AG29" i="1"/>
  <c r="U26" i="1"/>
  <c r="S26" i="1" s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X28" i="1"/>
  <c r="X24" i="1"/>
  <c r="X20" i="1"/>
  <c r="X16" i="1"/>
  <c r="X34" i="1"/>
  <c r="X30" i="1"/>
  <c r="X26" i="1"/>
  <c r="X22" i="1"/>
  <c r="X18" i="1"/>
  <c r="N39" i="3"/>
  <c r="U39" i="3"/>
  <c r="T39" i="3" s="1"/>
  <c r="V39" i="3"/>
  <c r="W39" i="3"/>
  <c r="X39" i="3"/>
  <c r="W68" i="1" l="1"/>
  <c r="W89" i="1"/>
  <c r="W65" i="1"/>
  <c r="W162" i="1"/>
  <c r="W177" i="1"/>
  <c r="W196" i="1"/>
  <c r="W66" i="1"/>
  <c r="W195" i="1"/>
  <c r="W64" i="1"/>
  <c r="U212" i="1"/>
  <c r="W88" i="1"/>
  <c r="W113" i="1"/>
  <c r="W49" i="1"/>
  <c r="W39" i="1"/>
  <c r="W34" i="1"/>
  <c r="W153" i="1"/>
  <c r="W136" i="1"/>
  <c r="U39" i="1"/>
  <c r="S39" i="1" s="1"/>
  <c r="W73" i="1"/>
  <c r="W77" i="1"/>
  <c r="U133" i="1"/>
  <c r="W121" i="1"/>
  <c r="W57" i="1"/>
  <c r="W55" i="1"/>
  <c r="W211" i="1"/>
  <c r="W214" i="1"/>
  <c r="W163" i="1"/>
  <c r="W178" i="1"/>
  <c r="U14" i="1"/>
  <c r="S14" i="1" s="1"/>
  <c r="U22" i="1"/>
  <c r="S22" i="1" s="1"/>
  <c r="S42" i="1"/>
  <c r="W111" i="1"/>
  <c r="W76" i="1"/>
  <c r="W180" i="1"/>
  <c r="U149" i="1"/>
  <c r="S149" i="1" s="1"/>
  <c r="U19" i="1"/>
  <c r="S19" i="1" s="1"/>
  <c r="W46" i="1"/>
  <c r="U146" i="1"/>
  <c r="S146" i="1" s="1"/>
  <c r="U189" i="1"/>
  <c r="S189" i="1" s="1"/>
  <c r="W189" i="1"/>
  <c r="W154" i="1"/>
  <c r="W208" i="1"/>
  <c r="W138" i="1"/>
  <c r="W157" i="1"/>
  <c r="W33" i="1"/>
  <c r="W92" i="1"/>
  <c r="U115" i="1"/>
  <c r="S115" i="1" s="1"/>
  <c r="W190" i="1"/>
  <c r="W30" i="1"/>
  <c r="W35" i="1"/>
  <c r="U68" i="1"/>
  <c r="S68" i="1" s="1"/>
  <c r="W80" i="1"/>
  <c r="W127" i="1"/>
  <c r="W149" i="1"/>
  <c r="W206" i="1"/>
  <c r="W16" i="1"/>
  <c r="W14" i="1"/>
  <c r="W146" i="1"/>
  <c r="U16" i="1"/>
  <c r="S16" i="1" s="1"/>
  <c r="W193" i="1"/>
  <c r="W70" i="1"/>
  <c r="W79" i="1"/>
  <c r="W114" i="1"/>
  <c r="W119" i="1"/>
  <c r="W141" i="1"/>
  <c r="W137" i="1"/>
  <c r="U154" i="1"/>
  <c r="S154" i="1" s="1"/>
  <c r="W186" i="1"/>
  <c r="W139" i="1"/>
  <c r="W21" i="1"/>
  <c r="W54" i="1"/>
  <c r="W31" i="1"/>
  <c r="W122" i="1"/>
  <c r="U135" i="1"/>
  <c r="S135" i="1" s="1"/>
  <c r="U157" i="1"/>
  <c r="S157" i="1" s="1"/>
  <c r="W174" i="1"/>
  <c r="W58" i="1"/>
  <c r="W105" i="1"/>
  <c r="U137" i="1"/>
  <c r="S137" i="1" s="1"/>
  <c r="W165" i="1"/>
  <c r="W188" i="1"/>
  <c r="W125" i="1"/>
  <c r="W93" i="1"/>
  <c r="U138" i="1"/>
  <c r="S138" i="1" s="1"/>
  <c r="W51" i="1"/>
  <c r="U34" i="1"/>
  <c r="S34" i="1" s="1"/>
  <c r="U31" i="1"/>
  <c r="S31" i="1" s="1"/>
  <c r="U143" i="1"/>
  <c r="S143" i="1" s="1"/>
  <c r="W169" i="1"/>
  <c r="W213" i="1"/>
  <c r="U54" i="1"/>
  <c r="S54" i="1" s="1"/>
  <c r="W170" i="1"/>
  <c r="U89" i="1"/>
  <c r="S89" i="1" s="1"/>
  <c r="W15" i="1"/>
  <c r="W96" i="1"/>
  <c r="W19" i="1"/>
  <c r="W133" i="1"/>
  <c r="U15" i="1"/>
  <c r="S15" i="1" s="1"/>
  <c r="W210" i="1"/>
  <c r="W45" i="1"/>
  <c r="W17" i="1"/>
  <c r="W59" i="1"/>
  <c r="W155" i="1"/>
  <c r="W159" i="1"/>
  <c r="U51" i="1"/>
  <c r="S51" i="1" s="1"/>
  <c r="W42" i="1"/>
  <c r="W207" i="1"/>
  <c r="W23" i="1"/>
  <c r="W151" i="1"/>
  <c r="U211" i="1"/>
  <c r="S211" i="1" s="1"/>
  <c r="U72" i="1"/>
  <c r="S72" i="1" s="1"/>
  <c r="W102" i="1"/>
  <c r="U147" i="1"/>
  <c r="S147" i="1" s="1"/>
  <c r="W27" i="1"/>
  <c r="W117" i="1"/>
  <c r="S212" i="1"/>
  <c r="U85" i="1"/>
  <c r="S85" i="1" s="1"/>
  <c r="U98" i="1"/>
  <c r="S98" i="1" s="1"/>
  <c r="W98" i="1"/>
  <c r="W115" i="1"/>
  <c r="W83" i="1"/>
  <c r="U93" i="1"/>
  <c r="S93" i="1" s="1"/>
  <c r="W108" i="1"/>
  <c r="W24" i="1"/>
  <c r="W85" i="1"/>
  <c r="U131" i="1"/>
  <c r="S131" i="1" s="1"/>
  <c r="W107" i="1"/>
  <c r="U117" i="1"/>
  <c r="S117" i="1" s="1"/>
  <c r="U102" i="1"/>
  <c r="S102" i="1" s="1"/>
  <c r="W143" i="1"/>
  <c r="W204" i="1"/>
  <c r="W72" i="1"/>
  <c r="W28" i="1"/>
  <c r="W147" i="1"/>
  <c r="W212" i="1"/>
  <c r="U155" i="1"/>
  <c r="S155" i="1" s="1"/>
  <c r="U28" i="1"/>
  <c r="S28" i="1" s="1"/>
  <c r="U27" i="1"/>
  <c r="S27" i="1" s="1"/>
  <c r="S108" i="1"/>
  <c r="U174" i="1"/>
  <c r="S174" i="1" s="1"/>
  <c r="S204" i="1"/>
  <c r="W131" i="1"/>
  <c r="U80" i="1"/>
  <c r="S80" i="1" s="1"/>
  <c r="W91" i="1"/>
  <c r="W135" i="1"/>
  <c r="U41" i="1"/>
  <c r="S41" i="1" s="1"/>
  <c r="U56" i="1"/>
  <c r="S56" i="1" s="1"/>
  <c r="U103" i="1"/>
  <c r="S103" i="1" s="1"/>
  <c r="W103" i="1"/>
  <c r="U132" i="1"/>
  <c r="S132" i="1" s="1"/>
  <c r="U148" i="1"/>
  <c r="S148" i="1" s="1"/>
  <c r="U173" i="1"/>
  <c r="S173" i="1" s="1"/>
  <c r="W173" i="1"/>
  <c r="U29" i="1"/>
  <c r="S29" i="1" s="1"/>
  <c r="W29" i="1"/>
  <c r="U37" i="1"/>
  <c r="S37" i="1" s="1"/>
  <c r="W41" i="1"/>
  <c r="U70" i="1"/>
  <c r="S70" i="1" s="1"/>
  <c r="U17" i="1"/>
  <c r="S17" i="1" s="1"/>
  <c r="U45" i="1"/>
  <c r="S45" i="1" s="1"/>
  <c r="U63" i="1"/>
  <c r="S63" i="1" s="1"/>
  <c r="U81" i="1"/>
  <c r="S81" i="1" s="1"/>
  <c r="U74" i="1"/>
  <c r="S74" i="1" s="1"/>
  <c r="U49" i="1"/>
  <c r="S49" i="1" s="1"/>
  <c r="W81" i="1"/>
  <c r="U106" i="1"/>
  <c r="S106" i="1" s="1"/>
  <c r="U110" i="1"/>
  <c r="S110" i="1" s="1"/>
  <c r="W110" i="1"/>
  <c r="U218" i="1"/>
  <c r="S218" i="1" s="1"/>
  <c r="U210" i="1"/>
  <c r="S210" i="1" s="1"/>
  <c r="W106" i="1"/>
  <c r="W132" i="1"/>
  <c r="U196" i="1"/>
  <c r="S196" i="1" s="1"/>
  <c r="U214" i="1"/>
  <c r="S214" i="1" s="1"/>
  <c r="U33" i="1"/>
  <c r="S33" i="1" s="1"/>
  <c r="U107" i="1"/>
  <c r="S107" i="1" s="1"/>
  <c r="U140" i="1"/>
  <c r="S140" i="1" s="1"/>
  <c r="U181" i="1"/>
  <c r="S181" i="1" s="1"/>
  <c r="U152" i="1"/>
  <c r="S152" i="1" s="1"/>
  <c r="U156" i="1"/>
  <c r="S156" i="1" s="1"/>
  <c r="U192" i="1"/>
  <c r="S192" i="1" s="1"/>
  <c r="U52" i="1"/>
  <c r="S52" i="1" s="1"/>
  <c r="W52" i="1"/>
  <c r="U25" i="1"/>
  <c r="S25" i="1" s="1"/>
  <c r="U59" i="1"/>
  <c r="S59" i="1" s="1"/>
  <c r="U77" i="1"/>
  <c r="S77" i="1" s="1"/>
  <c r="W37" i="1"/>
  <c r="W156" i="1"/>
  <c r="W140" i="1"/>
  <c r="U207" i="1"/>
  <c r="S207" i="1" s="1"/>
  <c r="W218" i="1"/>
  <c r="U203" i="1"/>
  <c r="S203" i="1" s="1"/>
  <c r="U78" i="1"/>
  <c r="S78" i="1" s="1"/>
  <c r="U165" i="1"/>
  <c r="S165" i="1" s="1"/>
  <c r="U188" i="1"/>
  <c r="S188" i="1" s="1"/>
  <c r="W56" i="1"/>
  <c r="U66" i="1"/>
  <c r="S66" i="1" s="1"/>
  <c r="W78" i="1"/>
  <c r="U21" i="1"/>
  <c r="S21" i="1" s="1"/>
  <c r="U99" i="1"/>
  <c r="S99" i="1" s="1"/>
  <c r="U128" i="1"/>
  <c r="S128" i="1" s="1"/>
  <c r="U136" i="1"/>
  <c r="S136" i="1" s="1"/>
  <c r="U144" i="1"/>
  <c r="S144" i="1" s="1"/>
  <c r="W152" i="1"/>
  <c r="U162" i="1"/>
  <c r="S162" i="1" s="1"/>
  <c r="U169" i="1"/>
  <c r="S169" i="1" s="1"/>
  <c r="U177" i="1"/>
  <c r="U185" i="1"/>
  <c r="S185" i="1" s="1"/>
  <c r="W128" i="1"/>
  <c r="W144" i="1"/>
  <c r="W148" i="1"/>
  <c r="W192" i="1"/>
  <c r="U200" i="1"/>
  <c r="S200" i="1" s="1"/>
  <c r="W203" i="1"/>
  <c r="Y39" i="3"/>
  <c r="AF13" i="1" l="1"/>
  <c r="S39" i="3"/>
  <c r="R39" i="3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J7" i="1" s="1"/>
  <c r="M26" i="5"/>
  <c r="AH14" i="1" l="1"/>
  <c r="AH22" i="1"/>
  <c r="AH23" i="1"/>
  <c r="AH24" i="1"/>
  <c r="AH25" i="1"/>
  <c r="AH33" i="1"/>
  <c r="AH40" i="1"/>
  <c r="AH41" i="1"/>
  <c r="AH42" i="1"/>
  <c r="AH43" i="1"/>
  <c r="AH44" i="1"/>
  <c r="AH45" i="1"/>
  <c r="AH46" i="1"/>
  <c r="AH53" i="1"/>
  <c r="AH61" i="1"/>
  <c r="AH62" i="1"/>
  <c r="AH63" i="1"/>
  <c r="AH64" i="1"/>
  <c r="AH65" i="1"/>
  <c r="AH66" i="1"/>
  <c r="AH67" i="1"/>
  <c r="AH82" i="1"/>
  <c r="AH83" i="1"/>
  <c r="AH84" i="1"/>
  <c r="AH85" i="1"/>
  <c r="AH86" i="1"/>
  <c r="AH90" i="1"/>
  <c r="AH91" i="1"/>
  <c r="AH109" i="1"/>
  <c r="AH110" i="1"/>
  <c r="AH111" i="1"/>
  <c r="AH122" i="1"/>
  <c r="AH123" i="1"/>
  <c r="AH124" i="1"/>
  <c r="AH125" i="1"/>
  <c r="AH126" i="1"/>
  <c r="AH127" i="1"/>
  <c r="AH134" i="1"/>
  <c r="AH135" i="1"/>
  <c r="AH136" i="1"/>
  <c r="AH137" i="1"/>
  <c r="AH144" i="1"/>
  <c r="AH154" i="1"/>
  <c r="AH155" i="1"/>
  <c r="AH156" i="1"/>
  <c r="AH157" i="1"/>
  <c r="AH158" i="1"/>
  <c r="AH177" i="1"/>
  <c r="AH179" i="1"/>
  <c r="AH181" i="1"/>
  <c r="AH183" i="1"/>
  <c r="AH202" i="1"/>
  <c r="AH205" i="1"/>
  <c r="AH20" i="1"/>
  <c r="AH28" i="1"/>
  <c r="AH38" i="1"/>
  <c r="AH70" i="1"/>
  <c r="AH73" i="1"/>
  <c r="AH92" i="1"/>
  <c r="AH96" i="1"/>
  <c r="AH112" i="1"/>
  <c r="AH138" i="1"/>
  <c r="AH159" i="1"/>
  <c r="AH169" i="1"/>
  <c r="AH186" i="1"/>
  <c r="AH208" i="1"/>
  <c r="AH16" i="1"/>
  <c r="AH17" i="1"/>
  <c r="AH31" i="1"/>
  <c r="AH34" i="1"/>
  <c r="AH35" i="1"/>
  <c r="AH36" i="1"/>
  <c r="AH47" i="1"/>
  <c r="AH48" i="1"/>
  <c r="AH49" i="1"/>
  <c r="AH54" i="1"/>
  <c r="AH55" i="1"/>
  <c r="AH56" i="1"/>
  <c r="AH57" i="1"/>
  <c r="AH58" i="1"/>
  <c r="AH59" i="1"/>
  <c r="AH75" i="1"/>
  <c r="AH88" i="1"/>
  <c r="AH100" i="1"/>
  <c r="AH101" i="1"/>
  <c r="AH102" i="1"/>
  <c r="AH103" i="1"/>
  <c r="AH104" i="1"/>
  <c r="AH114" i="1"/>
  <c r="AH115" i="1"/>
  <c r="AH116" i="1"/>
  <c r="AH117" i="1"/>
  <c r="AH118" i="1"/>
  <c r="AH129" i="1"/>
  <c r="AH140" i="1"/>
  <c r="AH146" i="1"/>
  <c r="AH147" i="1"/>
  <c r="AH148" i="1"/>
  <c r="AH162" i="1"/>
  <c r="AH163" i="1"/>
  <c r="AH164" i="1"/>
  <c r="AH170" i="1"/>
  <c r="AH171" i="1"/>
  <c r="AH172" i="1"/>
  <c r="AH173" i="1"/>
  <c r="AH174" i="1"/>
  <c r="AH175" i="1"/>
  <c r="AH194" i="1"/>
  <c r="AH195" i="1"/>
  <c r="AH196" i="1"/>
  <c r="AH197" i="1"/>
  <c r="AH198" i="1"/>
  <c r="AH199" i="1"/>
  <c r="AH209" i="1"/>
  <c r="AH212" i="1"/>
  <c r="AH213" i="1"/>
  <c r="AH214" i="1"/>
  <c r="AH215" i="1"/>
  <c r="AH204" i="1"/>
  <c r="AH210" i="1"/>
  <c r="AH27" i="1"/>
  <c r="AH30" i="1"/>
  <c r="AH69" i="1"/>
  <c r="AH72" i="1"/>
  <c r="AH87" i="1"/>
  <c r="AH95" i="1"/>
  <c r="AH98" i="1"/>
  <c r="AH113" i="1"/>
  <c r="AH139" i="1"/>
  <c r="AH160" i="1"/>
  <c r="AH184" i="1"/>
  <c r="AH206" i="1"/>
  <c r="AH211" i="1"/>
  <c r="AH18" i="1"/>
  <c r="AH19" i="1"/>
  <c r="AH21" i="1"/>
  <c r="AH32" i="1"/>
  <c r="AH37" i="1"/>
  <c r="AH39" i="1"/>
  <c r="AH50" i="1"/>
  <c r="AH51" i="1"/>
  <c r="AH52" i="1"/>
  <c r="AH60" i="1"/>
  <c r="AH76" i="1"/>
  <c r="AH77" i="1"/>
  <c r="AH78" i="1"/>
  <c r="AH79" i="1"/>
  <c r="AH80" i="1"/>
  <c r="AH81" i="1"/>
  <c r="AH89" i="1"/>
  <c r="AH105" i="1"/>
  <c r="AH106" i="1"/>
  <c r="AH107" i="1"/>
  <c r="AH108" i="1"/>
  <c r="AH119" i="1"/>
  <c r="AH120" i="1"/>
  <c r="AH121" i="1"/>
  <c r="AH130" i="1"/>
  <c r="AH131" i="1"/>
  <c r="AH132" i="1"/>
  <c r="AH133" i="1"/>
  <c r="AH141" i="1"/>
  <c r="AH142" i="1"/>
  <c r="AH143" i="1"/>
  <c r="AH149" i="1"/>
  <c r="AH150" i="1"/>
  <c r="AH151" i="1"/>
  <c r="AH152" i="1"/>
  <c r="AH153" i="1"/>
  <c r="AH165" i="1"/>
  <c r="AH166" i="1"/>
  <c r="AH167" i="1"/>
  <c r="AH168" i="1"/>
  <c r="AH176" i="1"/>
  <c r="AH187" i="1"/>
  <c r="AH188" i="1"/>
  <c r="AH189" i="1"/>
  <c r="AH190" i="1"/>
  <c r="AH191" i="1"/>
  <c r="AH192" i="1"/>
  <c r="AH200" i="1"/>
  <c r="AH216" i="1"/>
  <c r="AH217" i="1"/>
  <c r="AH218" i="1"/>
  <c r="AH178" i="1"/>
  <c r="AH180" i="1"/>
  <c r="AH182" i="1"/>
  <c r="AH193" i="1"/>
  <c r="AH201" i="1"/>
  <c r="AH203" i="1"/>
  <c r="AH15" i="1"/>
  <c r="AH26" i="1"/>
  <c r="AH29" i="1"/>
  <c r="AH68" i="1"/>
  <c r="AH71" i="1"/>
  <c r="AH74" i="1"/>
  <c r="AH93" i="1"/>
  <c r="AH97" i="1"/>
  <c r="AH99" i="1"/>
  <c r="AH128" i="1"/>
  <c r="AH145" i="1"/>
  <c r="AH161" i="1"/>
  <c r="AH185" i="1"/>
  <c r="AH207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<sst xmlns="http://schemas.openxmlformats.org/spreadsheetml/2006/main" count="2382" uniqueCount="747">
  <si>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</si>
  <si>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</si>
  <si>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</si>
  <si>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</si>
  <si>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</si>
  <si>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</si>
  <si>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</si>
  <si>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</si>
  <si>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</si>
  <si>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</si>
  <si>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</si>
  <si>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</si>
  <si>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</si>
  <si>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</si>
  <si>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</si>
  <si>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</si>
  <si>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</si>
  <si>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</si>
  <si>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</si>
  <si>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</si>
  <si>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</si>
  <si>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</si>
  <si>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</si>
  <si>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</si>
  <si>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</si>
  <si>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</si>
  <si>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</si>
  <si>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</si>
  <si>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</si>
  <si>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</si>
  <si>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</si>
  <si>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</si>
  <si>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</si>
  <si>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</si>
  <si>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</si>
  <si>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</si>
  <si>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</si>
  <si>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</si>
  <si>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</si>
  <si>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</si>
  <si>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</si>
  <si>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</si>
  <si>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</si>
  <si>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</si>
  <si>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</si>
  <si>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</si>
  <si>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</si>
  <si>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</si>
  <si>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</si>
  <si>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</si>
  <si>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</si>
  <si>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</si>
  <si>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</si>
  <si>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</si>
  <si>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</si>
  <si>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</si>
  <si>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</si>
  <si>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</si>
  <si>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</si>
  <si>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</si>
  <si>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</si>
  <si>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</si>
  <si>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</si>
  <si>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</si>
  <si>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</si>
  <si>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</si>
  <si>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</si>
  <si>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</si>
  <si>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</si>
  <si>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</si>
  <si>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</si>
  <si>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</si>
  <si>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</si>
  <si>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</si>
  <si>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</si>
  <si>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</si>
  <si>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</si>
  <si>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</si>
  <si>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</si>
  <si>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</si>
  <si>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</si>
  <si>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</si>
  <si>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</si>
  <si>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</si>
  <si>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</si>
  <si>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</si>
  <si>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</si>
  <si>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</si>
  <si>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</si>
  <si>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</si>
  <si>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</si>
  <si>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</si>
  <si>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</si>
  <si>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</si>
  <si>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</si>
  <si>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</si>
  <si>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</si>
  <si>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</si>
  <si>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</si>
  <si>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</si>
  <si>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</si>
  <si>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</si>
  <si>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</si>
  <si>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</si>
  <si>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</si>
  <si>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</si>
  <si>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</si>
  <si>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</si>
  <si>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</si>
  <si>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</si>
  <si>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</si>
  <si>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</si>
  <si>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</si>
  <si>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</si>
  <si>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</si>
  <si>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</si>
  <si>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</si>
  <si>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</si>
  <si>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</si>
  <si>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</si>
  <si>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</si>
  <si>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</si>
  <si>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</si>
  <si>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</si>
  <si>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</si>
  <si>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</si>
  <si>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</si>
  <si>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</si>
  <si>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</si>
  <si>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</si>
  <si>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</si>
  <si>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</si>
  <si>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</si>
  <si>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</si>
  <si>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</si>
  <si>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</si>
  <si>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</si>
  <si>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</si>
  <si>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</si>
  <si>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</si>
  <si>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</si>
  <si>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</si>
  <si>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</si>
  <si>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</si>
  <si>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</si>
  <si>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</si>
  <si>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</si>
  <si>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</si>
  <si>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</si>
  <si>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</si>
  <si>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</si>
  <si>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</si>
  <si>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</si>
  <si>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</si>
  <si>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</si>
  <si>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</si>
  <si>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</si>
  <si>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</si>
  <si>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</si>
  <si>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</si>
  <si>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</si>
  <si>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</si>
  <si>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</si>
  <si>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</si>
  <si>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</si>
  <si>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</si>
  <si>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</si>
  <si>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</si>
  <si>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</si>
  <si>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</si>
  <si>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</si>
  <si>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</si>
  <si>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</si>
  <si>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</si>
  <si>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</si>
  <si>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</si>
  <si>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</si>
  <si>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</si>
  <si>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</si>
  <si>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</si>
  <si>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</si>
  <si>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</si>
  <si>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</si>
  <si>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</si>
  <si>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</si>
  <si>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</si>
  <si>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</si>
  <si>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</si>
  <si>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</si>
  <si>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</si>
  <si>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</si>
  <si>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</si>
  <si>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</si>
  <si>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</si>
  <si>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</si>
  <si>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</si>
  <si>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</si>
  <si>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</si>
  <si>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</si>
  <si>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</si>
  <si>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</si>
  <si>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</si>
  <si>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</si>
  <si>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</si>
  <si>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</si>
  <si>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</si>
  <si>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</si>
  <si>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</si>
  <si>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</si>
  <si>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</si>
  <si>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</si>
  <si>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</si>
  <si>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</si>
  <si>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</si>
  <si>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</si>
  <si>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</si>
  <si>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</si>
  <si>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</si>
  <si>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</si>
  <si>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</si>
  <si>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Powered by Forecast [forecast.io]</t>
  </si>
  <si>
    <t>204:149</t>
  </si>
  <si>
    <t>204:233314</t>
  </si>
  <si>
    <t>204:160</t>
  </si>
  <si>
    <t>204:232982</t>
  </si>
  <si>
    <t>204:163</t>
  </si>
  <si>
    <t>204:471</t>
  </si>
  <si>
    <t>204:232991</t>
  </si>
  <si>
    <t>204:158</t>
  </si>
  <si>
    <t>204:232990</t>
  </si>
  <si>
    <t>204:147</t>
  </si>
  <si>
    <t>204:453</t>
  </si>
  <si>
    <t>204:233302</t>
  </si>
  <si>
    <t>204:150</t>
  </si>
  <si>
    <t>204:233291</t>
  </si>
  <si>
    <t>204:152</t>
  </si>
  <si>
    <t>204:232996</t>
  </si>
  <si>
    <t>204:457</t>
  </si>
  <si>
    <t>204:145</t>
  </si>
  <si>
    <t>204:447</t>
  </si>
  <si>
    <t>204:466</t>
  </si>
  <si>
    <t>204:451</t>
  </si>
  <si>
    <t>204:156</t>
  </si>
  <si>
    <t>204:455</t>
  </si>
  <si>
    <t>204:232977</t>
  </si>
  <si>
    <t>rtdc.l.rtdc.4016:itc</t>
  </si>
  <si>
    <t>rtdc.l.rtdc.4018:itc</t>
  </si>
  <si>
    <t>rtdc.l.rtdc.4015:itc</t>
  </si>
  <si>
    <t>rtdc.l.rtdc.4037:itc</t>
  </si>
  <si>
    <t>rtdc.l.rtdc.4039:itc</t>
  </si>
  <si>
    <t>204:139</t>
  </si>
  <si>
    <t>204:233293</t>
  </si>
  <si>
    <t>204:473</t>
  </si>
  <si>
    <t>204:458</t>
  </si>
  <si>
    <t>204:464</t>
  </si>
  <si>
    <t>204:232984</t>
  </si>
  <si>
    <t>204:232969</t>
  </si>
  <si>
    <t>204:467</t>
  </si>
  <si>
    <t>204:141</t>
  </si>
  <si>
    <t>204:233323</t>
  </si>
  <si>
    <t>204:233295</t>
  </si>
  <si>
    <t>244-08</t>
  </si>
  <si>
    <t>204:460</t>
  </si>
  <si>
    <t>311-08</t>
  </si>
  <si>
    <t>313-08</t>
  </si>
  <si>
    <t>315-08</t>
  </si>
  <si>
    <t>human_readable_time</t>
  </si>
  <si>
    <t>rtdc.l.rtdc.4040:itc</t>
  </si>
  <si>
    <t>DELGADO</t>
  </si>
  <si>
    <t>OUN</t>
  </si>
  <si>
    <t>rtdc.l.rtdc.4028:itc</t>
  </si>
  <si>
    <t>204:232978</t>
  </si>
  <si>
    <t>204:138</t>
  </si>
  <si>
    <t>204:232980</t>
  </si>
  <si>
    <t>204:232994</t>
  </si>
  <si>
    <t>CHANDLER</t>
  </si>
  <si>
    <t>rtdc.l.rtdc.4013:itc</t>
  </si>
  <si>
    <t>204:469</t>
  </si>
  <si>
    <t>204:444</t>
  </si>
  <si>
    <t>204:449</t>
  </si>
  <si>
    <t>KILLION</t>
  </si>
  <si>
    <t>BARTLETT</t>
  </si>
  <si>
    <t>BRUDER</t>
  </si>
  <si>
    <t>204:232967</t>
  </si>
  <si>
    <t>204:233298</t>
  </si>
  <si>
    <t>204:233000</t>
  </si>
  <si>
    <t>300:58619</t>
  </si>
  <si>
    <t>204:668</t>
  </si>
  <si>
    <t>204:233017</t>
  </si>
  <si>
    <t>204:167</t>
  </si>
  <si>
    <t>204:233289</t>
  </si>
  <si>
    <t>204:169</t>
  </si>
  <si>
    <t>204:475</t>
  </si>
  <si>
    <t>precipType</t>
  </si>
  <si>
    <t>rain</t>
  </si>
  <si>
    <t>partly-cloudy-night</t>
  </si>
  <si>
    <t>Drizzle</t>
  </si>
  <si>
    <t>Time (US/Mountain)</t>
  </si>
  <si>
    <t>Source</t>
  </si>
  <si>
    <t>Employee Identifier</t>
  </si>
  <si>
    <t>Employee Last Name</t>
  </si>
  <si>
    <t>rtdc.l.rtdc.4027:itc</t>
  </si>
  <si>
    <t>STARKS</t>
  </si>
  <si>
    <t>Early arrival</t>
  </si>
  <si>
    <t>Pena 4S STOP, cleared shortly</t>
  </si>
  <si>
    <t>40th 4S STOP, cleared shortly</t>
  </si>
  <si>
    <t>TEMPORARY SPEED RESTRICTION</t>
  </si>
  <si>
    <t>Reactive Warning (1)</t>
  </si>
  <si>
    <t>204:233299</t>
  </si>
  <si>
    <t>204:233308</t>
  </si>
  <si>
    <t>204:232989</t>
  </si>
  <si>
    <t>204:233278</t>
  </si>
  <si>
    <t>204:233304</t>
  </si>
  <si>
    <t>204:462</t>
  </si>
  <si>
    <t>204:435</t>
  </si>
  <si>
    <t>204:493</t>
  </si>
  <si>
    <t>204:482</t>
  </si>
  <si>
    <t>204:446</t>
  </si>
  <si>
    <t>204:232981</t>
  </si>
  <si>
    <t>204:172</t>
  </si>
  <si>
    <t>204:233285</t>
  </si>
  <si>
    <t>204:233306</t>
  </si>
  <si>
    <t>204:233008</t>
  </si>
  <si>
    <t>204:233288</t>
  </si>
  <si>
    <t>300:58624</t>
  </si>
  <si>
    <t>204:766</t>
  </si>
  <si>
    <t>204:979</t>
  </si>
  <si>
    <t>300:58928</t>
  </si>
  <si>
    <t>204:680</t>
  </si>
  <si>
    <t>300:58617</t>
  </si>
  <si>
    <t>204:972</t>
  </si>
  <si>
    <t>300:58931</t>
  </si>
  <si>
    <t>204:965</t>
  </si>
  <si>
    <t>Light Rain</t>
  </si>
  <si>
    <t>RICHARDSON</t>
  </si>
  <si>
    <t>SPECTOR</t>
  </si>
  <si>
    <t>ROCHA</t>
  </si>
  <si>
    <t>BROWN</t>
  </si>
  <si>
    <t>BERLING</t>
  </si>
  <si>
    <t>MAHAN</t>
  </si>
  <si>
    <t>SMITH</t>
  </si>
  <si>
    <t>Onboard in-route failure</t>
  </si>
  <si>
    <t>rtdc.l.rtdc.4054:itc</t>
  </si>
  <si>
    <t>rtdc.l.rtdc.4053:itc</t>
  </si>
  <si>
    <t>rtdc.l.rtdc.4017:itc</t>
  </si>
  <si>
    <t>242-13</t>
  </si>
  <si>
    <t>204:637</t>
  </si>
  <si>
    <t>204:143</t>
  </si>
  <si>
    <t>204:233310</t>
  </si>
  <si>
    <t>204:233309</t>
  </si>
  <si>
    <t>204:232973</t>
  </si>
  <si>
    <t>204:233316</t>
  </si>
  <si>
    <t>204:438</t>
  </si>
  <si>
    <t>204:232955</t>
  </si>
  <si>
    <t>204:233283</t>
  </si>
  <si>
    <t>204:233319</t>
  </si>
  <si>
    <t>204:233327</t>
  </si>
  <si>
    <t>204:509</t>
  </si>
  <si>
    <t>204:165</t>
  </si>
  <si>
    <t>204:440</t>
  </si>
  <si>
    <t>204:232979</t>
  </si>
  <si>
    <t>204:484</t>
  </si>
  <si>
    <t>204:232987</t>
  </si>
  <si>
    <t>244-13</t>
  </si>
  <si>
    <t>311-13</t>
  </si>
  <si>
    <t>313-13</t>
  </si>
  <si>
    <t>315-13</t>
  </si>
  <si>
    <t>204:951</t>
  </si>
  <si>
    <t>300:22835</t>
  </si>
  <si>
    <t>204:712</t>
  </si>
  <si>
    <t>204:1002</t>
  </si>
  <si>
    <t>204:705</t>
  </si>
  <si>
    <t>300:58937</t>
  </si>
  <si>
    <t>204:981</t>
  </si>
  <si>
    <t>300:58634</t>
  </si>
  <si>
    <t>300:58632</t>
  </si>
  <si>
    <t>204:708</t>
  </si>
  <si>
    <t>204:974</t>
  </si>
  <si>
    <t>300:58638</t>
  </si>
  <si>
    <t>300:58948</t>
  </si>
  <si>
    <t>BRANDNER</t>
  </si>
  <si>
    <t>DE LA ROSA</t>
  </si>
  <si>
    <t>rtdc.l.rtdc.4003:itc</t>
  </si>
  <si>
    <t>HILLS</t>
  </si>
  <si>
    <t>rtdc.l.rtdc.4022:itc</t>
  </si>
  <si>
    <t>rtdc.l.rtdc.4044:itc</t>
  </si>
  <si>
    <t>101-14</t>
  </si>
  <si>
    <t>MAELZER</t>
  </si>
  <si>
    <t>103-14</t>
  </si>
  <si>
    <t>105-14</t>
  </si>
  <si>
    <t>STRICKLAND</t>
  </si>
  <si>
    <t>rtdc.l.rtdc.4004:itc</t>
  </si>
  <si>
    <t>102-14</t>
  </si>
  <si>
    <t>107-14</t>
  </si>
  <si>
    <t>104-14</t>
  </si>
  <si>
    <t>109-14</t>
  </si>
  <si>
    <t>111-14</t>
  </si>
  <si>
    <t>106-14</t>
  </si>
  <si>
    <t>801-14</t>
  </si>
  <si>
    <t>113-14</t>
  </si>
  <si>
    <t>800-14</t>
  </si>
  <si>
    <t>108-14</t>
  </si>
  <si>
    <t>115-14</t>
  </si>
  <si>
    <t>110-14</t>
  </si>
  <si>
    <t>117-14</t>
  </si>
  <si>
    <t>rtdc.l.rtdc.4043:itc</t>
  </si>
  <si>
    <t>112-14</t>
  </si>
  <si>
    <t>119-14</t>
  </si>
  <si>
    <t>114-14</t>
  </si>
  <si>
    <t>802-14</t>
  </si>
  <si>
    <t>803-14</t>
  </si>
  <si>
    <t>121-14</t>
  </si>
  <si>
    <t>116-14</t>
  </si>
  <si>
    <t>123-14</t>
  </si>
  <si>
    <t>118-14</t>
  </si>
  <si>
    <t>804-14</t>
  </si>
  <si>
    <t>125-14</t>
  </si>
  <si>
    <t>805-14</t>
  </si>
  <si>
    <t>120-14</t>
  </si>
  <si>
    <t>127-14</t>
  </si>
  <si>
    <t>122-14</t>
  </si>
  <si>
    <t>807-14</t>
  </si>
  <si>
    <t>806-14</t>
  </si>
  <si>
    <t>129-14</t>
  </si>
  <si>
    <t>124-14</t>
  </si>
  <si>
    <t>131-14</t>
  </si>
  <si>
    <t>808-14</t>
  </si>
  <si>
    <t>126-14</t>
  </si>
  <si>
    <t>133-14</t>
  </si>
  <si>
    <t>809-14</t>
  </si>
  <si>
    <t>128-14</t>
  </si>
  <si>
    <t>135-14</t>
  </si>
  <si>
    <t>811-14</t>
  </si>
  <si>
    <t>130-14</t>
  </si>
  <si>
    <t>810-14</t>
  </si>
  <si>
    <t>137-14</t>
  </si>
  <si>
    <t>132-14</t>
  </si>
  <si>
    <t>139-14</t>
  </si>
  <si>
    <t>903-14</t>
  </si>
  <si>
    <t>134-14</t>
  </si>
  <si>
    <t>141-14</t>
  </si>
  <si>
    <t>812-14</t>
  </si>
  <si>
    <t>136-14</t>
  </si>
  <si>
    <t>143-14</t>
  </si>
  <si>
    <t>138-14</t>
  </si>
  <si>
    <t>813-14</t>
  </si>
  <si>
    <t>140-14</t>
  </si>
  <si>
    <t>145-14</t>
  </si>
  <si>
    <t>ACKERMAN</t>
  </si>
  <si>
    <t>147-14</t>
  </si>
  <si>
    <t>814-14</t>
  </si>
  <si>
    <t>142-14</t>
  </si>
  <si>
    <t>149-14</t>
  </si>
  <si>
    <t>144-14</t>
  </si>
  <si>
    <t>151-14</t>
  </si>
  <si>
    <t>815-14</t>
  </si>
  <si>
    <t>153-14</t>
  </si>
  <si>
    <t>146-14</t>
  </si>
  <si>
    <t>148-14</t>
  </si>
  <si>
    <t>155-14</t>
  </si>
  <si>
    <t>816-14</t>
  </si>
  <si>
    <t>150-14</t>
  </si>
  <si>
    <t>157-14</t>
  </si>
  <si>
    <t>152-14</t>
  </si>
  <si>
    <t>159-14</t>
  </si>
  <si>
    <t>817-14</t>
  </si>
  <si>
    <t>154-14</t>
  </si>
  <si>
    <t>161-14</t>
  </si>
  <si>
    <t>163-14</t>
  </si>
  <si>
    <t>156-14</t>
  </si>
  <si>
    <t>158-14</t>
  </si>
  <si>
    <t>818-14</t>
  </si>
  <si>
    <t>165-14</t>
  </si>
  <si>
    <t>160-14</t>
  </si>
  <si>
    <t>BONDS</t>
  </si>
  <si>
    <t>167-14</t>
  </si>
  <si>
    <t>162-14</t>
  </si>
  <si>
    <t>819-14</t>
  </si>
  <si>
    <t>169-14</t>
  </si>
  <si>
    <t>164-14</t>
  </si>
  <si>
    <t>171-14</t>
  </si>
  <si>
    <t>SWANSON</t>
  </si>
  <si>
    <t>166-14</t>
  </si>
  <si>
    <t>820-14</t>
  </si>
  <si>
    <t>168-14</t>
  </si>
  <si>
    <t>173-14</t>
  </si>
  <si>
    <t>175-14</t>
  </si>
  <si>
    <t>170-14</t>
  </si>
  <si>
    <t>177-14</t>
  </si>
  <si>
    <t>172-14</t>
  </si>
  <si>
    <t>821-14</t>
  </si>
  <si>
    <t>179-14</t>
  </si>
  <si>
    <t>174-14</t>
  </si>
  <si>
    <t>822-14</t>
  </si>
  <si>
    <t>176-14</t>
  </si>
  <si>
    <t>183-14</t>
  </si>
  <si>
    <t>178-14</t>
  </si>
  <si>
    <t>185-14</t>
  </si>
  <si>
    <t>823-14</t>
  </si>
  <si>
    <t>MOSES</t>
  </si>
  <si>
    <t>180-14</t>
  </si>
  <si>
    <t>187-14</t>
  </si>
  <si>
    <t>182-14</t>
  </si>
  <si>
    <t>824-14</t>
  </si>
  <si>
    <t>189-14</t>
  </si>
  <si>
    <t>184-14</t>
  </si>
  <si>
    <t>186-14</t>
  </si>
  <si>
    <t>191-14</t>
  </si>
  <si>
    <t>193-14</t>
  </si>
  <si>
    <t>188-14</t>
  </si>
  <si>
    <t>825-14</t>
  </si>
  <si>
    <t>190-14</t>
  </si>
  <si>
    <t>195-14</t>
  </si>
  <si>
    <t>904-14</t>
  </si>
  <si>
    <t>826-14</t>
  </si>
  <si>
    <t>197-14</t>
  </si>
  <si>
    <t>827-14</t>
  </si>
  <si>
    <t>192-14</t>
  </si>
  <si>
    <t>199-14</t>
  </si>
  <si>
    <t>194-14</t>
  </si>
  <si>
    <t>201-14</t>
  </si>
  <si>
    <t>828-14</t>
  </si>
  <si>
    <t>829-14</t>
  </si>
  <si>
    <t>196-14</t>
  </si>
  <si>
    <t>203-14</t>
  </si>
  <si>
    <t>198-14</t>
  </si>
  <si>
    <t>205-14</t>
  </si>
  <si>
    <t>830-14</t>
  </si>
  <si>
    <t>831-14</t>
  </si>
  <si>
    <t>200-14</t>
  </si>
  <si>
    <t>202-14</t>
  </si>
  <si>
    <t>207-14</t>
  </si>
  <si>
    <t>832-14</t>
  </si>
  <si>
    <t>209-14</t>
  </si>
  <si>
    <t>STURGEON</t>
  </si>
  <si>
    <t>204-14</t>
  </si>
  <si>
    <t>833-14</t>
  </si>
  <si>
    <t>211-14</t>
  </si>
  <si>
    <t>61-14</t>
  </si>
  <si>
    <t>206-14</t>
  </si>
  <si>
    <t>834-14</t>
  </si>
  <si>
    <t>213-14</t>
  </si>
  <si>
    <t>835-14</t>
  </si>
  <si>
    <t>208-14</t>
  </si>
  <si>
    <t>215-14</t>
  </si>
  <si>
    <t>52-14</t>
  </si>
  <si>
    <t>210-14</t>
  </si>
  <si>
    <t>217-14</t>
  </si>
  <si>
    <t>836-14</t>
  </si>
  <si>
    <t>837-14</t>
  </si>
  <si>
    <t>212-14</t>
  </si>
  <si>
    <t>219-14</t>
  </si>
  <si>
    <t>214-14</t>
  </si>
  <si>
    <t>67-14</t>
  </si>
  <si>
    <t>838-14</t>
  </si>
  <si>
    <t>303-14</t>
  </si>
  <si>
    <t>216-14</t>
  </si>
  <si>
    <t>839-14</t>
  </si>
  <si>
    <t>221-14</t>
  </si>
  <si>
    <t>218-14</t>
  </si>
  <si>
    <t>906-14</t>
  </si>
  <si>
    <t>305-14</t>
  </si>
  <si>
    <t>841-14</t>
  </si>
  <si>
    <t>220-14</t>
  </si>
  <si>
    <t>223-14</t>
  </si>
  <si>
    <t>840-14</t>
  </si>
  <si>
    <t>307-14</t>
  </si>
  <si>
    <t>222-14</t>
  </si>
  <si>
    <t>225-14</t>
  </si>
  <si>
    <t>843-14</t>
  </si>
  <si>
    <t>224-14</t>
  </si>
  <si>
    <t>227-14</t>
  </si>
  <si>
    <t>842-14</t>
  </si>
  <si>
    <t>229-14</t>
  </si>
  <si>
    <t>226-14</t>
  </si>
  <si>
    <t>845-14</t>
  </si>
  <si>
    <t>228-14</t>
  </si>
  <si>
    <t>231-14</t>
  </si>
  <si>
    <t>844-14</t>
  </si>
  <si>
    <t>230-14</t>
  </si>
  <si>
    <t>233-14</t>
  </si>
  <si>
    <t>847-14</t>
  </si>
  <si>
    <t>232-14</t>
  </si>
  <si>
    <t>235-14</t>
  </si>
  <si>
    <t>908-14</t>
  </si>
  <si>
    <t>234-14</t>
  </si>
  <si>
    <t>237-14</t>
  </si>
  <si>
    <t>236-14</t>
  </si>
  <si>
    <t>239-14</t>
  </si>
  <si>
    <t>238-14</t>
  </si>
  <si>
    <t>241-14</t>
  </si>
  <si>
    <t>240-14</t>
  </si>
  <si>
    <t>243-14</t>
  </si>
  <si>
    <t>309-14</t>
  </si>
  <si>
    <t>242-14</t>
  </si>
  <si>
    <t>311-14</t>
  </si>
  <si>
    <t>244-14</t>
  </si>
  <si>
    <t>313-14</t>
  </si>
  <si>
    <t>315-14</t>
  </si>
  <si>
    <t>204:746</t>
  </si>
  <si>
    <t>204:232635</t>
  </si>
  <si>
    <t>204:683</t>
  </si>
  <si>
    <t>204:233378</t>
  </si>
  <si>
    <t>204:232717</t>
  </si>
  <si>
    <t>204:233328</t>
  </si>
  <si>
    <t>204:232652</t>
  </si>
  <si>
    <t>204:863</t>
  </si>
  <si>
    <t>204:233346</t>
  </si>
  <si>
    <t>204:489</t>
  </si>
  <si>
    <t>204:754</t>
  </si>
  <si>
    <t>204:233276</t>
  </si>
  <si>
    <t>204:699</t>
  </si>
  <si>
    <t>204:233011</t>
  </si>
  <si>
    <t>204:233326</t>
  </si>
  <si>
    <t>204:233005</t>
  </si>
  <si>
    <t>204:424</t>
  </si>
  <si>
    <t>204:1169</t>
  </si>
  <si>
    <t>204:437</t>
  </si>
  <si>
    <t>204:60823</t>
  </si>
  <si>
    <t>204:36580</t>
  </si>
  <si>
    <t>204:232959</t>
  </si>
  <si>
    <t>204:232985</t>
  </si>
  <si>
    <t>204:232986</t>
  </si>
  <si>
    <t>204:233284</t>
  </si>
  <si>
    <t>204:110</t>
  </si>
  <si>
    <t>204:1156</t>
  </si>
  <si>
    <t>204:233374</t>
  </si>
  <si>
    <t>204:123</t>
  </si>
  <si>
    <t>204:233261</t>
  </si>
  <si>
    <t>204:1481</t>
  </si>
  <si>
    <t>204:233266</t>
  </si>
  <si>
    <t>204:233376</t>
  </si>
  <si>
    <t>204:233053</t>
  </si>
  <si>
    <t>204:296</t>
  </si>
  <si>
    <t>204:233032</t>
  </si>
  <si>
    <t>204:233336</t>
  </si>
  <si>
    <t>204:233015</t>
  </si>
  <si>
    <t>204:233321</t>
  </si>
  <si>
    <t>204:233363</t>
  </si>
  <si>
    <t>204:233059</t>
  </si>
  <si>
    <t>204:232961</t>
  </si>
  <si>
    <t>204:181</t>
  </si>
  <si>
    <t>204:233340</t>
  </si>
  <si>
    <t>204:233025</t>
  </si>
  <si>
    <t>204:101</t>
  </si>
  <si>
    <t>204:232983</t>
  </si>
  <si>
    <t>204:488</t>
  </si>
  <si>
    <t>204:413</t>
  </si>
  <si>
    <t>204:233334</t>
  </si>
  <si>
    <t>204:118</t>
  </si>
  <si>
    <t>204:232998</t>
  </si>
  <si>
    <t>204:232971</t>
  </si>
  <si>
    <t>204:176</t>
  </si>
  <si>
    <t>204:232975</t>
  </si>
  <si>
    <t>204:37200</t>
  </si>
  <si>
    <t>204:233006</t>
  </si>
  <si>
    <t>204:233280</t>
  </si>
  <si>
    <t>204:232972</t>
  </si>
  <si>
    <t>204:116</t>
  </si>
  <si>
    <t>204:232993</t>
  </si>
  <si>
    <t>204:194</t>
  </si>
  <si>
    <t>300:23301</t>
  </si>
  <si>
    <t>300:23306</t>
  </si>
  <si>
    <t>300:4843</t>
  </si>
  <si>
    <t>300:24707</t>
  </si>
  <si>
    <t>300:24963</t>
  </si>
  <si>
    <t>204:506</t>
  </si>
  <si>
    <t>204:375</t>
  </si>
  <si>
    <t>300:24244</t>
  </si>
  <si>
    <t>204:1479</t>
  </si>
  <si>
    <t>204:1758</t>
  </si>
  <si>
    <t>204:768</t>
  </si>
  <si>
    <t>204:962</t>
  </si>
  <si>
    <t>300:58997</t>
  </si>
  <si>
    <t>300:58677</t>
  </si>
  <si>
    <t>204:1041</t>
  </si>
  <si>
    <t>300:58623</t>
  </si>
  <si>
    <t>204:895</t>
  </si>
  <si>
    <t>300:58992</t>
  </si>
  <si>
    <t>300:58681</t>
  </si>
  <si>
    <t>204:685</t>
  </si>
  <si>
    <t>204:1193</t>
  </si>
  <si>
    <t>300:58943</t>
  </si>
  <si>
    <t>204:678</t>
  </si>
  <si>
    <t>300:58975</t>
  </si>
  <si>
    <t>300:58655</t>
  </si>
  <si>
    <t>204:1000</t>
  </si>
  <si>
    <t>300:58963</t>
  </si>
  <si>
    <t>300:58653</t>
  </si>
  <si>
    <t>204:640</t>
  </si>
  <si>
    <t>300:58954</t>
  </si>
  <si>
    <t>300:58641</t>
  </si>
  <si>
    <t>300:31155</t>
  </si>
  <si>
    <t>300:58649</t>
  </si>
  <si>
    <t>300:42519</t>
  </si>
  <si>
    <t>300:58986</t>
  </si>
  <si>
    <t>300:58668</t>
  </si>
  <si>
    <t>204:785</t>
  </si>
  <si>
    <t>204:1070</t>
  </si>
  <si>
    <t>300:58993</t>
  </si>
  <si>
    <t>204:731</t>
  </si>
  <si>
    <t>204:1021</t>
  </si>
  <si>
    <t>300:58958</t>
  </si>
  <si>
    <t>204:656</t>
  </si>
  <si>
    <t>204:937</t>
  </si>
  <si>
    <t>300:58999</t>
  </si>
  <si>
    <t>300:58976</t>
  </si>
  <si>
    <t>300:58662</t>
  </si>
  <si>
    <t>204:687</t>
  </si>
  <si>
    <t>300:58984</t>
  </si>
  <si>
    <t>300:58965</t>
  </si>
  <si>
    <t>300:58651</t>
  </si>
  <si>
    <t>204:673</t>
  </si>
  <si>
    <t>204:960</t>
  </si>
  <si>
    <t>300:58673</t>
  </si>
  <si>
    <t>204:726</t>
  </si>
  <si>
    <t>204:1007</t>
  </si>
  <si>
    <t>204:1023</t>
  </si>
  <si>
    <t>204:659</t>
  </si>
  <si>
    <t>300:58995</t>
  </si>
  <si>
    <t>204:657</t>
  </si>
  <si>
    <t>204:946</t>
  </si>
  <si>
    <t>300:58952</t>
  </si>
  <si>
    <t>204:969</t>
  </si>
  <si>
    <t>204:990</t>
  </si>
  <si>
    <t>300:24207</t>
  </si>
  <si>
    <t>300:24290</t>
  </si>
  <si>
    <t>300:28769</t>
  </si>
  <si>
    <t>300:28763</t>
  </si>
  <si>
    <t>SWITCH UNKNOWN</t>
  </si>
  <si>
    <t>Track device (7)</t>
  </si>
  <si>
    <t>clear-night</t>
  </si>
  <si>
    <t>Clear</t>
  </si>
  <si>
    <t>Summary for DUS 2016-09-14: Light rain starting in the afternoon.</t>
  </si>
  <si>
    <t>Pecos 6S did not respond to clear requests</t>
  </si>
  <si>
    <t>Pecos 6S was STOP from 11:44:55.143 - 12:31:30.856. During that time there were a few clear requests from the dispatcher, but no response. Any issues here, or was there some logic not being obeyed?</t>
  </si>
  <si>
    <t>181-14</t>
  </si>
  <si>
    <t>61st 2N STOP, cleared shortly</t>
  </si>
  <si>
    <t>Chambers 2N STOP, cleared shortly</t>
  </si>
  <si>
    <t>Form C</t>
  </si>
  <si>
    <t>Multiple CPU faults caused an onboard in-route failure</t>
  </si>
  <si>
    <t>Loco - PTC</t>
  </si>
  <si>
    <t>Power</t>
  </si>
  <si>
    <t>Form C @ Quebec… soft cut out to avoid phase break</t>
  </si>
  <si>
    <t>Form C was issued at Quebec XING, train cut out to avoid phase break</t>
  </si>
  <si>
    <t>CRMFP 2S dropped to RESTR for 2 sec</t>
  </si>
  <si>
    <t>At 16:47:42, CRMFP 2S dropped to RESTRICTING, then 2 seconds later upgraded to PROCEED CAB. Any oddity here?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</si>
</sst>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5"/>
  <sheetViews>
    <sheetView topLeftCell="A181" workbookViewId="0">
      <selection activeCell="N200" sqref="N200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42627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42627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COUNTIFS($N$13:$N$9408,"&gt;0",$AG$13:$AG$9408,I1)</f>
        <v>140</v>
      </c>
      <c r="K5" s="46"/>
      <c r="L5" s="46"/>
      <c r="M5" s="47">
        <f>AVERAGEIFS($N$13:$N$9408,$AG$13:$AG$9408,I1)</f>
        <v>39.147261905109708</v>
      </c>
      <c r="N5" s="45">
        <f t="array" ref="N5">MIN(IF($AG$13:$AG$9408=I1,IF(ISNUMBER($N$13:$N$9408),IF($N$13:$N$9408&gt;0,$N$13:$N$9408))))</f>
        <v>34.68333333148621</v>
      </c>
      <c r="O5" s="3">
        <f t="array" ref="O5">MAX(IF($AG$13:$AG$9408=I1,IF(ISNUMBER($N$13:$N$9408),IF($N$13:$N$9408&gt;0,$N$13:$N$9408))))</f>
        <v>53.816666663624346</v>
      </c>
      <c r="P5" s="2"/>
      <c r="R5" s="87" t="s">
        <v>17</v>
      </c>
      <c r="S5" s="57">
        <f>COUNTIFS($N$13:$N$9408,"&gt;0",$AG$13:$AG$9408,R1)</f>
        <v>45</v>
      </c>
      <c r="T5" s="46"/>
      <c r="U5" s="160"/>
      <c r="V5" s="47">
        <f>AVERAGEIFS($N$13:$N$9408,$AG$13:$AG$9408,R1)</f>
        <v>15.458518519066274</v>
      </c>
      <c r="W5" s="45">
        <f t="array" ref="W5">MIN(IF($AG$13:$AG$9408=R1,IF(ISNUMBER($N$13:$N$9408),IF($N$13:$N$9408&gt;0,$N$13:$N$9408))))</f>
        <v>12.683333333116025</v>
      </c>
      <c r="X5" s="165">
        <f t="array" ref="X5">MAX(IF($AG$13:$AG$9408=R1,IF(ISNUMBER($N$13:$N$9408),IF($N$13:$N$9408&gt;0,$N$13:$N$9408))))</f>
        <v>18.78333333414048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COUNT($O$13:$O$171)</f>
        <v>0</v>
      </c>
      <c r="K6" s="46"/>
      <c r="L6" s="46"/>
      <c r="M6" s="47">
        <f>IFERROR(AVERAGE($O$13:$O$171),0)</f>
        <v>0</v>
      </c>
      <c r="N6" s="45">
        <f>MIN($O$13:$O$171)</f>
        <v>0</v>
      </c>
      <c r="O6" s="3">
        <f>MAX($O$13:$O$171)</f>
        <v>0</v>
      </c>
      <c r="P6" s="2"/>
      <c r="R6" s="88" t="s">
        <v>43</v>
      </c>
      <c r="S6" s="57">
        <f>COUNT($O$13:$O$171)</f>
        <v>0</v>
      </c>
      <c r="T6" s="46"/>
      <c r="U6" s="160"/>
      <c r="V6" s="47">
        <f>IFERROR(AVERAGE($O$13:$O$171),0)</f>
        <v>0</v>
      </c>
      <c r="W6" s="45">
        <f>MIN($O$13:$O$171)</f>
        <v>0</v>
      </c>
      <c r="X6" s="165">
        <f>MAX($O$13:$O$171)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COUNTIFS($P$13:$P$9408,"&gt;0",$AG$13:$AG$9408,I1)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COUNTIFS($P$13:$P$9408,"&gt;0",$AG$13:$AG$9408,R1)</f>
        <v>1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140</v>
      </c>
      <c r="K8" s="46"/>
      <c r="L8" s="46"/>
      <c r="M8" s="47">
        <f>M5</f>
        <v>39.147261905109708</v>
      </c>
      <c r="N8" s="45">
        <f>N5</f>
        <v>34.68333333148621</v>
      </c>
      <c r="O8" s="3">
        <f>O5</f>
        <v>53.816666663624346</v>
      </c>
      <c r="P8" s="2"/>
      <c r="R8" s="87" t="s">
        <v>16</v>
      </c>
      <c r="S8" s="57">
        <f>S5</f>
        <v>45</v>
      </c>
      <c r="T8" s="46"/>
      <c r="U8" s="160"/>
      <c r="V8" s="47">
        <f>V5</f>
        <v>15.458518519066274</v>
      </c>
      <c r="W8" s="45">
        <f>W5</f>
        <v>12.683333333116025</v>
      </c>
      <c r="X8" s="165">
        <f>X5</f>
        <v>18.78333333414048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0.97222222222222221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0.97826086956521741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- 2016-09-14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AVERAGE(S13:S116)</f>
        <v>0.98058252427184467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165</v>
      </c>
      <c r="AJ12" s="53" t="s">
        <v>166</v>
      </c>
      <c r="AK12" s="53" t="s">
        <v>139</v>
      </c>
      <c r="AL12" s="53" t="s">
        <v>167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386</v>
      </c>
      <c r="B13" s="7">
        <v>4044</v>
      </c>
      <c r="C13" s="24" t="s">
        <v>108</v>
      </c>
      <c r="D13" s="24" t="s">
        <v>599</v>
      </c>
      <c r="E13" s="15">
        <v>42627.137476851851</v>
      </c>
      <c r="F13" s="15">
        <v>42627.139270833337</v>
      </c>
      <c r="G13" s="7">
        <v>2</v>
      </c>
      <c r="H13" s="15" t="s">
        <v>234</v>
      </c>
      <c r="I13" s="15">
        <v>42627.1643287037</v>
      </c>
      <c r="J13" s="7">
        <v>0</v>
      </c>
      <c r="K13" s="121" t="str">
        <f t="shared" ref="K13:K76" si="0">IF(ISEVEN(B13),(B13-1)&amp;"/"&amp;B13,B13&amp;"/"&amp;(B13+1))</f>
        <v>4043/4044</v>
      </c>
      <c r="L13" s="24" t="str">
        <f>VLOOKUP(A13,'Trips&amp;Operators'!$C$1:$E$10000,3,FALSE)</f>
        <v>MAELZER</v>
      </c>
      <c r="M13" s="6">
        <f t="shared" ref="M13:M76" si="1">I13-F13</f>
        <v>2.5057870363525581E-2</v>
      </c>
      <c r="N13" s="7">
        <f t="shared" ref="N13:N41" si="2">24*60*SUM($M13:$M13)</f>
        <v>36.083333323476836</v>
      </c>
      <c r="O13" s="7"/>
      <c r="P13" s="7"/>
      <c r="Q13" s="25"/>
      <c r="R13" s="25"/>
      <c r="S13" s="37">
        <f t="shared" ref="S13:S41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https://search-rtdc-monitor-bjffxe2xuh6vdkpspy63sjmuny.us-east-1.es.amazonaws.com/_plugin/kibana/#/discover/Steve-Slow-Train-Analysis-(2080s-and-2083s)?_g=(refreshInterval:(display:Off,section:0,value:0),time:(from:'2016-09-14 02:17:58-0600',mode:absolute,to:'2016-09-14 04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" s="54" t="str">
        <f t="shared" ref="W13:W44" si="6">IF(AA13&lt;IF(AG13="EC",23,5.65),"Y","N")</f>
        <v>N</v>
      </c>
      <c r="X13" s="168" t="e">
        <f t="shared" ref="X13:X55" si="7">VALUE(LEFT(AD13,4))-VALUE(LEFT(AD12,4))</f>
        <v>#VALUE!</v>
      </c>
      <c r="Y13" s="69">
        <f t="shared" ref="Y13:Y44" si="8">RIGHT(D13,LEN(D13)-4)/10000</f>
        <v>7.46E-2</v>
      </c>
      <c r="Z13" s="69">
        <f>RIGHT(H13,LEN(H13)-4)/10000</f>
        <v>23.3291</v>
      </c>
      <c r="AA13" s="69">
        <f t="shared" ref="AA13:AA76" si="9">ABS(Z13-Y13)</f>
        <v>23.2545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0">IF(LEN(A13)=6,"0"&amp;A13,A13)</f>
        <v>0101-14</v>
      </c>
      <c r="AE13" s="99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13" s="96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/stypes="app*4044*20160914*"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10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4044 --swversion DE.1.0.7.0 --startMP 204:746 --initTime 2016-09-14T03:17:58 --startdatetime 2016-09-14T03:20:33 --delay 2 --endMP 204:233291 --enddatetime 2016-09-14T03:56:38 --enforcementcount 0 &gt;&gt;C:\Users\stu\Documents\GitHub\eaglep3-reporting\EC\2016-09-14-refined-times.txt</v>
      </c>
      <c r="AI13" s="134" t="str">
        <f t="shared" ref="AI13:AI76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{"issue":{"subject":"","project_id":79,"tracker_id":40,"status_id":1,"priority_id":2,"assigned_to_id":23,"start_date":"2016-09-14","description":"","custom_fields":[{"id":1,"name":"Subdivision","value":"EC"},{"id":4,"name":"Milepost","value":"23.3291"},{"id":17,"name":"Train ID","value":"101-14"},{"id":16,"name":"Locomotive ID","value":"4044"},{"id":130,"name":"Impact","value":""},{"id":150,"name":"Time of Event (Mountain Time)","value":"03:56:38"},{"id":151,"name":"Denver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392</v>
      </c>
      <c r="B14" s="7">
        <v>4004</v>
      </c>
      <c r="C14" s="24" t="s">
        <v>108</v>
      </c>
      <c r="D14" s="24" t="s">
        <v>600</v>
      </c>
      <c r="E14" s="15">
        <v>42627.171273148146</v>
      </c>
      <c r="F14" s="15">
        <v>42627.174583333333</v>
      </c>
      <c r="G14" s="7">
        <v>3</v>
      </c>
      <c r="H14" s="15">
        <v>8.5333333333333332</v>
      </c>
      <c r="I14" s="15">
        <v>42627.20144675926</v>
      </c>
      <c r="J14" s="7">
        <v>0</v>
      </c>
      <c r="K14" s="121" t="str">
        <f t="shared" si="0"/>
        <v>4003/4004</v>
      </c>
      <c r="L14" s="24" t="str">
        <f>VLOOKUP(A14,'Trips&amp;Operators'!$C$1:$E$10000,3,FALSE)</f>
        <v>MAELZER</v>
      </c>
      <c r="M14" s="6">
        <f t="shared" si="1"/>
        <v>2.6863425926421769E-2</v>
      </c>
      <c r="N14" s="7">
        <f t="shared" si="2"/>
        <v>38.683333334047347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03:06:38-0600',mode:absolute,to:'2016-09-14 05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23.263500000000001</v>
      </c>
      <c r="Z14" s="69">
        <v>0.2</v>
      </c>
      <c r="AA14" s="69">
        <f t="shared" si="9"/>
        <v>23.063500000000001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0"/>
        <v>0102-14</v>
      </c>
      <c r="AE14" s="99" t="str">
        <f t="shared" si="11"/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AF14" s="96" t="str">
        <f t="shared" si="12"/>
        <v>"C:\Program Files (x86)\AstroGrep\AstroGrep.exe" /spath="%USERPROFILE%\AppData\Local\Temp\OnboardLogs" /stypes="app*4004*20160914*"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0" t="str">
        <f t="shared" ref="AH14:AH75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4004 --swversion DE.1.0.7.0 --startMP 204:232635 --initTime 2016-09-14T04:06:38 --startdatetime 2016-09-14T04:11:24 --delay 3 --endMP 8.53333333333333 --enddatetime 2016-09-14T04:50:05 --enforcementcount 0 &gt;&gt;C:\Users\stu\Documents\GitHub\eaglep3-reporting\EC\2016-09-14-refined-times.txt</v>
      </c>
      <c r="AI14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{"issue":{"subject":"","project_id":79,"tracker_id":40,"status_id":1,"priority_id":2,"assigned_to_id":23,"start_date":"2016-09-14","description":"","custom_fields":[{"id":1,"name":"Subdivision","value":"EC"},{"id":4,"name":"Milepost","value":"0.2"},{"id":17,"name":"Train ID","value":"102-14"},{"id":16,"name":"Locomotive ID","value":"4004"},{"id":130,"name":"Impact","value":""},{"id":150,"name":"Time of Event (Mountain Time)","value":"04:50:05"},{"id":151,"name":"Denver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388</v>
      </c>
      <c r="B15" s="7">
        <v>4027</v>
      </c>
      <c r="C15" s="24" t="s">
        <v>108</v>
      </c>
      <c r="D15" s="24" t="s">
        <v>601</v>
      </c>
      <c r="E15" s="15">
        <v>42627.153148148151</v>
      </c>
      <c r="F15" s="15">
        <v>42627.156550925924</v>
      </c>
      <c r="G15" s="7">
        <v>1</v>
      </c>
      <c r="H15" s="15" t="s">
        <v>602</v>
      </c>
      <c r="I15" s="15">
        <v>42627.181932870371</v>
      </c>
      <c r="J15" s="7">
        <v>0</v>
      </c>
      <c r="K15" s="121" t="str">
        <f t="shared" si="0"/>
        <v>4027/4028</v>
      </c>
      <c r="L15" s="24" t="str">
        <f>VLOOKUP(A15,'Trips&amp;Operators'!$C$1:$E$10000,3,FALSE)</f>
        <v>ARVIDSON</v>
      </c>
      <c r="M15" s="6">
        <f t="shared" si="1"/>
        <v>2.5381944447872229E-2</v>
      </c>
      <c r="N15" s="7">
        <f t="shared" si="2"/>
        <v>36.55000000493601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02:40:32-0600',mode:absolute,to:'2016-09-14 05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6.83E-2</v>
      </c>
      <c r="Z15" s="69">
        <f t="shared" ref="Z15:Z78" si="17">RIGHT(H15,LEN(H15)-4)/10000</f>
        <v>23.337800000000001</v>
      </c>
      <c r="AA15" s="69">
        <f t="shared" si="9"/>
        <v>23.269500000000001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0"/>
        <v>0103-14</v>
      </c>
      <c r="AE15" s="99" t="str">
        <f t="shared" si="11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15" s="96" t="str">
        <f t="shared" si="12"/>
        <v>"C:\Program Files (x86)\AstroGrep\AstroGrep.exe" /spath="%USERPROFILE%\AppData\Local\Temp\OnboardLogs" /stypes="app*4027*20160914*"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6"/>
        <v>"%USERPROFILE%\Documents\GitHub\eaglep3\Utilities\RefineRTDCRunTimes.py" --tripid 103-14 --locoid 4027 --swversion DE.1.0.7.0 --startMP 204:683 --initTime 2016-09-14T03:40:32 --startdatetime 2016-09-14T03:45:26 --delay 1 --endMP 204:233378 --enddatetime 2016-09-14T04:21:59 --enforcementcount 0 &gt;&gt;C:\Users\stu\Documents\GitHub\eaglep3-reporting\EC\2016-09-14-refined-times.txt</v>
      </c>
      <c r="AI15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{"issue":{"subject":"","project_id":79,"tracker_id":40,"status_id":1,"priority_id":2,"assigned_to_id":23,"start_date":"2016-09-14","description":"","custom_fields":[{"id":1,"name":"Subdivision","value":"EC"},{"id":4,"name":"Milepost","value":"23.3378"},{"id":17,"name":"Train ID","value":"103-14"},{"id":16,"name":"Locomotive ID","value":"4027"},{"id":130,"name":"Impact","value":""},{"id":150,"name":"Time of Event (Mountain Time)","value":"04:21:59"},{"id":151,"name":"Denver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394</v>
      </c>
      <c r="B16" s="7">
        <v>4037</v>
      </c>
      <c r="C16" s="24" t="s">
        <v>108</v>
      </c>
      <c r="D16" s="24" t="s">
        <v>603</v>
      </c>
      <c r="E16" s="15">
        <v>42627.188287037039</v>
      </c>
      <c r="F16" s="15">
        <v>42627.195381944446</v>
      </c>
      <c r="G16" s="7">
        <v>1</v>
      </c>
      <c r="H16" s="15" t="s">
        <v>258</v>
      </c>
      <c r="I16" s="15">
        <v>42627.223912037036</v>
      </c>
      <c r="J16" s="7">
        <v>0</v>
      </c>
      <c r="K16" s="121" t="str">
        <f t="shared" si="0"/>
        <v>4037/4038</v>
      </c>
      <c r="L16" s="24" t="str">
        <f>VLOOKUP(A16,'Trips&amp;Operators'!$C$1:$E$10000,3,FALSE)</f>
        <v>ARVIDSON</v>
      </c>
      <c r="M16" s="6">
        <f t="shared" si="1"/>
        <v>2.8530092589790002E-2</v>
      </c>
      <c r="N16" s="7">
        <f t="shared" si="2"/>
        <v>41.083333329297602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03:31:08-0600',mode:absolute,to:'2016-09-14 06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23.271699999999999</v>
      </c>
      <c r="Z16" s="69">
        <f t="shared" si="17"/>
        <v>1.41E-2</v>
      </c>
      <c r="AA16" s="69">
        <f t="shared" si="9"/>
        <v>23.2576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0"/>
        <v>0104-14</v>
      </c>
      <c r="AE16" s="99" t="str">
        <f t="shared" si="11"/>
        <v>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 &amp; aws s3 cp s3://rtdc.mdm.uploadarchive/RTDC4037/2016-09-15/ "%USERPROFILE%\AppData\Local\Temp\OnboardLogs"\RTDC4037\2016-09-15 --recursive &amp; "%USERPROFILE%\Documents\GitHub\mrs-test-scripts\Headless Mode &amp; Sideloading\WalkAndUnGZ.bat" "%USERPROFILE%\AppData\Local\Temp\OnboardLogs"\RTDC4037\2016-09-15</v>
      </c>
      <c r="AF16" s="96" t="str">
        <f t="shared" si="12"/>
        <v>"C:\Program Files (x86)\AstroGrep\AstroGrep.exe" /spath="%USERPROFILE%\AppData\Local\Temp\OnboardLogs" /stypes="app*4037*20160914*"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6"/>
        <v>"%USERPROFILE%\Documents\GitHub\eaglep3\Utilities\RefineRTDCRunTimes.py" --tripid 104-14 --locoid 4037 --swversion DE.1.0.7.0 --startMP 204:232717 --initTime 2016-09-14T04:31:08 --startdatetime 2016-09-14T04:41:21 --delay 1 --endMP 204:141 --enddatetime 2016-09-14T05:22:26 --enforcementcount 0 &gt;&gt;C:\Users\stu\Documents\GitHub\eaglep3-reporting\EC\2016-09-14-refined-times.txt</v>
      </c>
      <c r="AI16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{"issue":{"subject":"","project_id":79,"tracker_id":40,"status_id":1,"priority_id":2,"assigned_to_id":23,"start_date":"2016-09-14","description":"","custom_fields":[{"id":1,"name":"Subdivision","value":"EC"},{"id":4,"name":"Milepost","value":"0.0141"},{"id":17,"name":"Train ID","value":"104-14"},{"id":16,"name":"Locomotive ID","value":"4037"},{"id":130,"name":"Impact","value":""},{"id":150,"name":"Time of Event (Mountain Time)","value":"05:22:26"},{"id":151,"name":"Denver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389</v>
      </c>
      <c r="B17" s="7">
        <v>4014</v>
      </c>
      <c r="C17" s="24" t="s">
        <v>108</v>
      </c>
      <c r="D17" s="24" t="s">
        <v>325</v>
      </c>
      <c r="E17" s="15">
        <v>42627.169918981483</v>
      </c>
      <c r="F17" s="15">
        <v>42627.177337962959</v>
      </c>
      <c r="G17" s="7">
        <v>1</v>
      </c>
      <c r="H17" s="15" t="s">
        <v>604</v>
      </c>
      <c r="I17" s="15">
        <v>42627.20416666667</v>
      </c>
      <c r="J17" s="7">
        <v>0</v>
      </c>
      <c r="K17" s="121" t="str">
        <f t="shared" si="0"/>
        <v>4013/4014</v>
      </c>
      <c r="L17" s="24" t="str">
        <f>VLOOKUP(A17,'Trips&amp;Operators'!$C$1:$E$10000,3,FALSE)</f>
        <v>STRICKLAND</v>
      </c>
      <c r="M17" s="6">
        <f t="shared" si="1"/>
        <v>2.6828703710634727E-2</v>
      </c>
      <c r="N17" s="7">
        <f t="shared" si="2"/>
        <v>38.633333343314007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03:04:41-0600',mode:absolute,to:'2016-09-14 05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7.6600000000000001E-2</v>
      </c>
      <c r="Z17" s="69">
        <f t="shared" si="17"/>
        <v>23.332799999999999</v>
      </c>
      <c r="AA17" s="69">
        <f t="shared" si="9"/>
        <v>23.2562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0"/>
        <v>0105-14</v>
      </c>
      <c r="AE17" s="99" t="str">
        <f t="shared" si="11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17" s="96" t="str">
        <f t="shared" si="12"/>
        <v>"C:\Program Files (x86)\AstroGrep\AstroGrep.exe" /spath="%USERPROFILE%\AppData\Local\Temp\OnboardLogs" /stypes="app*4014*20160914*"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100" t="str">
        <f t="shared" si="16"/>
        <v>"%USERPROFILE%\Documents\GitHub\eaglep3\Utilities\RefineRTDCRunTimes.py" --tripid 105-14 --locoid 4014 --swversion DE.1.0.7.0 --startMP 204:766 --initTime 2016-09-14T04:04:41 --startdatetime 2016-09-14T04:15:22 --delay 1 --endMP 204:233328 --enddatetime 2016-09-14T04:54:00 --enforcementcount 0 &gt;&gt;C:\Users\stu\Documents\GitHub\eaglep3-reporting\EC\2016-09-14-refined-times.txt</v>
      </c>
      <c r="AI17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{"issue":{"subject":"","project_id":79,"tracker_id":40,"status_id":1,"priority_id":2,"assigned_to_id":23,"start_date":"2016-09-14","description":"","custom_fields":[{"id":1,"name":"Subdivision","value":"EC"},{"id":4,"name":"Milepost","value":"23.3328"},{"id":17,"name":"Train ID","value":"105-14"},{"id":16,"name":"Locomotive ID","value":"4014"},{"id":130,"name":"Impact","value":""},{"id":150,"name":"Time of Event (Mountain Time)","value":"04:54:00"},{"id":151,"name":"Denver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397</v>
      </c>
      <c r="B18" s="7">
        <v>4041</v>
      </c>
      <c r="C18" s="24" t="s">
        <v>108</v>
      </c>
      <c r="D18" s="24" t="s">
        <v>605</v>
      </c>
      <c r="E18" s="15">
        <v>42627.21292824074</v>
      </c>
      <c r="F18" s="15">
        <v>42627.216238425928</v>
      </c>
      <c r="G18" s="7">
        <v>2</v>
      </c>
      <c r="H18" s="15" t="s">
        <v>242</v>
      </c>
      <c r="I18" s="15">
        <v>42627.245254629626</v>
      </c>
      <c r="J18" s="7">
        <v>0</v>
      </c>
      <c r="K18" s="121" t="str">
        <f t="shared" si="0"/>
        <v>4041/4042</v>
      </c>
      <c r="L18" s="24" t="str">
        <f>VLOOKUP(A18,'Trips&amp;Operators'!$C$1:$E$10000,3,FALSE)</f>
        <v>STRICKLAND</v>
      </c>
      <c r="M18" s="6">
        <f t="shared" si="1"/>
        <v>2.901620369812008E-2</v>
      </c>
      <c r="N18" s="7">
        <f t="shared" si="2"/>
        <v>41.783333325292915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04:06:37-0600',mode:absolute,to:'2016-09-14 06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23.2652</v>
      </c>
      <c r="Z18" s="69">
        <f t="shared" si="17"/>
        <v>1.5599999999999999E-2</v>
      </c>
      <c r="AA18" s="69">
        <f t="shared" si="9"/>
        <v>23.249600000000001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0"/>
        <v>0106-14</v>
      </c>
      <c r="AE18" s="99" t="str">
        <f t="shared" si="11"/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AF18" s="96" t="str">
        <f t="shared" si="12"/>
        <v>"C:\Program Files (x86)\AstroGrep\AstroGrep.exe" /spath="%USERPROFILE%\AppData\Local\Temp\OnboardLogs" /stypes="app*4041*20160914*"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si="16"/>
        <v>"%USERPROFILE%\Documents\GitHub\eaglep3\Utilities\RefineRTDCRunTimes.py" --tripid 106-14 --locoid 4041 --swversion DE.1.0.7.0 --startMP 204:232652 --initTime 2016-09-14T05:06:37 --startdatetime 2016-09-14T05:11:23 --delay 2 --endMP 204:156 --enddatetime 2016-09-14T05:53:10 --enforcementcount 0 &gt;&gt;C:\Users\stu\Documents\GitHub\eaglep3-reporting\EC\2016-09-14-refined-times.txt</v>
      </c>
      <c r="AI18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{"issue":{"subject":"","project_id":79,"tracker_id":40,"status_id":1,"priority_id":2,"assigned_to_id":23,"start_date":"2016-09-14","description":"","custom_fields":[{"id":1,"name":"Subdivision","value":"EC"},{"id":4,"name":"Milepost","value":"0.0156"},{"id":17,"name":"Train ID","value":"106-14"},{"id":16,"name":"Locomotive ID","value":"4041"},{"id":130,"name":"Impact","value":""},{"id":150,"name":"Time of Event (Mountain Time)","value":"05:53:10"},{"id":151,"name":"Denver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393</v>
      </c>
      <c r="B19" s="7">
        <v>4053</v>
      </c>
      <c r="C19" s="24" t="s">
        <v>108</v>
      </c>
      <c r="D19" s="24" t="s">
        <v>253</v>
      </c>
      <c r="E19" s="15">
        <v>42627.18304398148</v>
      </c>
      <c r="F19" s="15">
        <v>42627.187673611108</v>
      </c>
      <c r="G19" s="7">
        <v>3</v>
      </c>
      <c r="H19" s="15" t="s">
        <v>259</v>
      </c>
      <c r="I19" s="15">
        <v>42627.212743055556</v>
      </c>
      <c r="J19" s="7">
        <v>0</v>
      </c>
      <c r="K19" s="121" t="str">
        <f t="shared" si="0"/>
        <v>4053/4054</v>
      </c>
      <c r="L19" s="24" t="str">
        <f>VLOOKUP(A19,'Trips&amp;Operators'!$C$1:$E$10000,3,FALSE)</f>
        <v>SPECTOR</v>
      </c>
      <c r="M19" s="6">
        <f t="shared" si="1"/>
        <v>2.5069444447581191E-2</v>
      </c>
      <c r="N19" s="7">
        <f t="shared" si="2"/>
        <v>36.100000004516914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03:23:35-0600',mode:absolute,to:'2016-09-14 06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4.58E-2</v>
      </c>
      <c r="Z19" s="69">
        <f t="shared" si="17"/>
        <v>23.3323</v>
      </c>
      <c r="AA19" s="69">
        <f t="shared" si="9"/>
        <v>23.2865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0"/>
        <v>0107-14</v>
      </c>
      <c r="AE19" s="99" t="str">
        <f t="shared" si="11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19" s="96" t="str">
        <f t="shared" si="12"/>
        <v>"C:\Program Files (x86)\AstroGrep\AstroGrep.exe" /spath="%USERPROFILE%\AppData\Local\Temp\OnboardLogs" /stypes="app*4053*20160914*"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0" t="str">
        <f t="shared" si="16"/>
        <v>"%USERPROFILE%\Documents\GitHub\eaglep3\Utilities\RefineRTDCRunTimes.py" --tripid 107-14 --locoid 4053 --swversion DE.1.0.7.0 --startMP 204:458 --initTime 2016-09-14T04:23:35 --startdatetime 2016-09-14T04:30:15 --delay 3 --endMP 204:233323 --enddatetime 2016-09-14T05:06:21 --enforcementcount 0 &gt;&gt;C:\Users\stu\Documents\GitHub\eaglep3-reporting\EC\2016-09-14-refined-times.txt</v>
      </c>
      <c r="AI19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{"issue":{"subject":"","project_id":79,"tracker_id":40,"status_id":1,"priority_id":2,"assigned_to_id":23,"start_date":"2016-09-14","description":"","custom_fields":[{"id":1,"name":"Subdivision","value":"EC"},{"id":4,"name":"Milepost","value":"23.3323"},{"id":17,"name":"Train ID","value":"107-14"},{"id":16,"name":"Locomotive ID","value":"4053"},{"id":130,"name":"Impact","value":""},{"id":150,"name":"Time of Event (Mountain Time)","value":"05:06:21"},{"id":151,"name":"Denver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401</v>
      </c>
      <c r="B20" s="7">
        <v>4054</v>
      </c>
      <c r="C20" s="24" t="s">
        <v>108</v>
      </c>
      <c r="D20" s="24" t="s">
        <v>322</v>
      </c>
      <c r="E20" s="15">
        <v>42627.223171296297</v>
      </c>
      <c r="F20" s="15">
        <v>42627.226574074077</v>
      </c>
      <c r="G20" s="7">
        <v>1</v>
      </c>
      <c r="H20" s="15" t="s">
        <v>235</v>
      </c>
      <c r="I20" s="15">
        <v>42627.253541666665</v>
      </c>
      <c r="J20" s="7">
        <v>0</v>
      </c>
      <c r="K20" s="121" t="str">
        <f t="shared" si="0"/>
        <v>4053/4054</v>
      </c>
      <c r="L20" s="24" t="str">
        <f>VLOOKUP(A20,'Trips&amp;Operators'!$C$1:$E$10000,3,FALSE)</f>
        <v>SPECTOR</v>
      </c>
      <c r="M20" s="6">
        <f t="shared" si="1"/>
        <v>2.696759258833481E-2</v>
      </c>
      <c r="N20" s="7">
        <f t="shared" si="2"/>
        <v>38.833333327202126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04:21:22-0600',mode:absolute,to:'2016-09-14 07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23.300799999999999</v>
      </c>
      <c r="Z20" s="69">
        <f t="shared" si="17"/>
        <v>1.52E-2</v>
      </c>
      <c r="AA20" s="69">
        <f t="shared" si="9"/>
        <v>23.285599999999999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0"/>
        <v>0108-14</v>
      </c>
      <c r="AE20" s="99" t="str">
        <f t="shared" si="11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20" s="96" t="str">
        <f t="shared" si="12"/>
        <v>"C:\Program Files (x86)\AstroGrep\AstroGrep.exe" /spath="%USERPROFILE%\AppData\Local\Temp\OnboardLogs" /stypes="app*4054*20160914*"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6"/>
        <v>"%USERPROFILE%\Documents\GitHub\eaglep3\Utilities\RefineRTDCRunTimes.py" --tripid 108-14 --locoid 4054 --swversion DE.1.0.7.0 --startMP 204:233008 --initTime 2016-09-14T05:21:22 --startdatetime 2016-09-14T05:26:16 --delay 1 --endMP 204:152 --enddatetime 2016-09-14T06:05:06 --enforcementcount 0 &gt;&gt;C:\Users\stu\Documents\GitHub\eaglep3-reporting\EC\2016-09-14-refined-times.txt</v>
      </c>
      <c r="AI20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{"issue":{"subject":"","project_id":79,"tracker_id":40,"status_id":1,"priority_id":2,"assigned_to_id":23,"start_date":"2016-09-14","description":"","custom_fields":[{"id":1,"name":"Subdivision","value":"EC"},{"id":4,"name":"Milepost","value":"0.0152"},{"id":17,"name":"Train ID","value":"108-14"},{"id":16,"name":"Locomotive ID","value":"4054"},{"id":130,"name":"Impact","value":""},{"id":150,"name":"Time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395</v>
      </c>
      <c r="B21" s="7">
        <v>4040</v>
      </c>
      <c r="C21" s="24" t="s">
        <v>108</v>
      </c>
      <c r="D21" s="24" t="s">
        <v>243</v>
      </c>
      <c r="E21" s="15">
        <v>42627.191793981481</v>
      </c>
      <c r="F21" s="15">
        <v>42627.198113425926</v>
      </c>
      <c r="G21" s="7">
        <v>1</v>
      </c>
      <c r="H21" s="15" t="s">
        <v>251</v>
      </c>
      <c r="I21" s="15">
        <v>42627.222534722219</v>
      </c>
      <c r="J21" s="7">
        <v>0</v>
      </c>
      <c r="K21" s="121" t="str">
        <f t="shared" si="0"/>
        <v>4039/4040</v>
      </c>
      <c r="L21" s="24" t="str">
        <f>VLOOKUP(A21,'Trips&amp;Operators'!$C$1:$E$10000,3,FALSE)</f>
        <v>KILLION</v>
      </c>
      <c r="M21" s="6">
        <f t="shared" si="1"/>
        <v>2.4421296293439809E-2</v>
      </c>
      <c r="N21" s="7">
        <f t="shared" si="2"/>
        <v>35.166666662553325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03:36:11-0600',mode:absolute,to:'2016-09-14 06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4.5499999999999999E-2</v>
      </c>
      <c r="Z21" s="69">
        <f t="shared" si="17"/>
        <v>23.3293</v>
      </c>
      <c r="AA21" s="69">
        <f t="shared" si="9"/>
        <v>23.283799999999999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0"/>
        <v>0109-14</v>
      </c>
      <c r="AE21" s="99" t="str">
        <f t="shared" si="11"/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AF21" s="96" t="str">
        <f t="shared" si="12"/>
        <v>"C:\Program Files (x86)\AstroGrep\AstroGrep.exe" /spath="%USERPROFILE%\AppData\Local\Temp\OnboardLogs" /stypes="app*4040*20160914*"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0" t="str">
        <f t="shared" si="16"/>
        <v>"%USERPROFILE%\Documents\GitHub\eaglep3\Utilities\RefineRTDCRunTimes.py" --tripid 109-14 --locoid 4040 --swversion DE.1.0.7.0 --startMP 204:455 --initTime 2016-09-14T04:36:11 --startdatetime 2016-09-14T04:45:17 --delay 1 --endMP 204:233293 --enddatetime 2016-09-14T05:20:27 --enforcementcount 0 &gt;&gt;C:\Users\stu\Documents\GitHub\eaglep3-reporting\EC\2016-09-14-refined-times.txt</v>
      </c>
      <c r="AI21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{"issue":{"subject":"","project_id":79,"tracker_id":40,"status_id":1,"priority_id":2,"assigned_to_id":23,"start_date":"2016-09-14","description":"","custom_fields":[{"id":1,"name":"Subdivision","value":"EC"},{"id":4,"name":"Milepost","value":"23.3293"},{"id":17,"name":"Train ID","value":"109-14"},{"id":16,"name":"Locomotive ID","value":"4040"},{"id":130,"name":"Impact","value":""},{"id":150,"name":"Time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403</v>
      </c>
      <c r="B22" s="7">
        <v>4039</v>
      </c>
      <c r="C22" s="24" t="s">
        <v>108</v>
      </c>
      <c r="D22" s="24" t="s">
        <v>229</v>
      </c>
      <c r="E22" s="15">
        <v>42627.229745370372</v>
      </c>
      <c r="F22" s="15">
        <v>42627.236979166664</v>
      </c>
      <c r="G22" s="7">
        <v>1</v>
      </c>
      <c r="H22" s="15" t="s">
        <v>233</v>
      </c>
      <c r="I22" s="15">
        <v>42627.26290509259</v>
      </c>
      <c r="J22" s="7">
        <v>0</v>
      </c>
      <c r="K22" s="121" t="str">
        <f t="shared" si="0"/>
        <v>4039/4040</v>
      </c>
      <c r="L22" s="24" t="str">
        <f>VLOOKUP(A22,'Trips&amp;Operators'!$C$1:$E$10000,3,FALSE)</f>
        <v>KILLION</v>
      </c>
      <c r="M22" s="6">
        <f t="shared" si="1"/>
        <v>2.5925925925548654E-2</v>
      </c>
      <c r="N22" s="7">
        <f t="shared" si="2"/>
        <v>37.333333332790062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04:30:50-0600',mode:absolute,to:'2016-09-14 07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23.298999999999999</v>
      </c>
      <c r="Z22" s="69">
        <f t="shared" si="17"/>
        <v>1.4999999999999999E-2</v>
      </c>
      <c r="AA22" s="69">
        <f t="shared" si="9"/>
        <v>23.283999999999999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0"/>
        <v>0110-14</v>
      </c>
      <c r="AE22" s="99" t="str">
        <f t="shared" si="11"/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AF22" s="96" t="str">
        <f t="shared" si="12"/>
        <v>"C:\Program Files (x86)\AstroGrep\AstroGrep.exe" /spath="%USERPROFILE%\AppData\Local\Temp\OnboardLogs" /stypes="app*4039*20160914*"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6"/>
        <v>"%USERPROFILE%\Documents\GitHub\eaglep3\Utilities\RefineRTDCRunTimes.py" --tripid 110-14 --locoid 4039 --swversion DE.1.0.7.0 --startMP 204:232990 --initTime 2016-09-14T05:30:50 --startdatetime 2016-09-14T05:41:15 --delay 1 --endMP 204:150 --enddatetime 2016-09-14T06:18:35 --enforcementcount 0 &gt;&gt;C:\Users\stu\Documents\GitHub\eaglep3-reporting\EC\2016-09-14-refined-times.txt</v>
      </c>
      <c r="AI22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{"issue":{"subject":"","project_id":79,"tracker_id":40,"status_id":1,"priority_id":2,"assigned_to_id":23,"start_date":"2016-09-14","description":"","custom_fields":[{"id":1,"name":"Subdivision","value":"EC"},{"id":4,"name":"Milepost","value":"0.015"},{"id":17,"name":"Train ID","value":"110-14"},{"id":16,"name":"Locomotive ID","value":"4039"},{"id":130,"name":"Impact","value":""},{"id":150,"name":"Time of Event (Mountain Time)","value":"06:18:35"},{"id":151,"name":"Denver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396</v>
      </c>
      <c r="B23" s="7">
        <v>4044</v>
      </c>
      <c r="C23" s="24" t="s">
        <v>108</v>
      </c>
      <c r="D23" s="24" t="s">
        <v>606</v>
      </c>
      <c r="E23" s="15">
        <v>42627.204733796294</v>
      </c>
      <c r="F23" s="15">
        <v>42627.20857638889</v>
      </c>
      <c r="G23" s="7">
        <v>1</v>
      </c>
      <c r="H23" s="15" t="s">
        <v>607</v>
      </c>
      <c r="I23" s="15">
        <v>42627.232997685183</v>
      </c>
      <c r="J23" s="7">
        <v>0</v>
      </c>
      <c r="K23" s="121" t="str">
        <f t="shared" si="0"/>
        <v>4043/4044</v>
      </c>
      <c r="L23" s="24" t="str">
        <f>VLOOKUP(A23,'Trips&amp;Operators'!$C$1:$E$10000,3,FALSE)</f>
        <v>ROCHA</v>
      </c>
      <c r="M23" s="6">
        <f t="shared" si="1"/>
        <v>2.4421296293439809E-2</v>
      </c>
      <c r="N23" s="7">
        <f t="shared" si="2"/>
        <v>35.166666662553325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03:54:49-0600',mode:absolute,to:'2016-09-14 06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8.6300000000000002E-2</v>
      </c>
      <c r="Z23" s="69">
        <f t="shared" si="17"/>
        <v>23.334599999999998</v>
      </c>
      <c r="AA23" s="69">
        <f t="shared" si="9"/>
        <v>23.248299999999997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0"/>
        <v>0111-14</v>
      </c>
      <c r="AE23" s="99" t="str">
        <f t="shared" si="11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23" s="96" t="str">
        <f t="shared" si="12"/>
        <v>"C:\Program Files (x86)\AstroGrep\AstroGrep.exe" /spath="%USERPROFILE%\AppData\Local\Temp\OnboardLogs" /stypes="app*4044*20160914*"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6"/>
        <v>"%USERPROFILE%\Documents\GitHub\eaglep3\Utilities\RefineRTDCRunTimes.py" --tripid 111-14 --locoid 4044 --swversion DE.1.0.7.0 --startMP 204:863 --initTime 2016-09-14T04:54:49 --startdatetime 2016-09-14T05:00:21 --delay 1 --endMP 204:233346 --enddatetime 2016-09-14T05:35:31 --enforcementcount 0 &gt;&gt;C:\Users\stu\Documents\GitHub\eaglep3-reporting\EC\2016-09-14-refined-times.txt</v>
      </c>
      <c r="AI23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{"issue":{"subject":"","project_id":79,"tracker_id":40,"status_id":1,"priority_id":2,"assigned_to_id":23,"start_date":"2016-09-14","description":"","custom_fields":[{"id":1,"name":"Subdivision","value":"EC"},{"id":4,"name":"Milepost","value":"23.3346"},{"id":17,"name":"Train ID","value":"111-14"},{"id":16,"name":"Locomotive ID","value":"4044"},{"id":130,"name":"Impact","value":""},{"id":150,"name":"Time of Event (Mountain Time)","value":"05:35:31"},{"id":151,"name":"Denver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406</v>
      </c>
      <c r="B24" s="7">
        <v>4043</v>
      </c>
      <c r="C24" s="24" t="s">
        <v>108</v>
      </c>
      <c r="D24" s="24" t="s">
        <v>236</v>
      </c>
      <c r="E24" s="15">
        <v>42627.245625000003</v>
      </c>
      <c r="F24" s="15">
        <v>42627.247708333336</v>
      </c>
      <c r="G24" s="7">
        <v>1</v>
      </c>
      <c r="H24" s="15" t="s">
        <v>238</v>
      </c>
      <c r="I24" s="15">
        <v>42627.275462962964</v>
      </c>
      <c r="J24" s="7">
        <v>0</v>
      </c>
      <c r="K24" s="121" t="str">
        <f t="shared" si="0"/>
        <v>4043/4044</v>
      </c>
      <c r="L24" s="24" t="str">
        <f>VLOOKUP(A24,'Trips&amp;Operators'!$C$1:$E$10000,3,FALSE)</f>
        <v>ROCHA</v>
      </c>
      <c r="M24" s="6">
        <f t="shared" si="1"/>
        <v>2.7754629627452232E-2</v>
      </c>
      <c r="N24" s="7">
        <f t="shared" si="2"/>
        <v>39.966666663531214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04:53:42-0600',mode:absolute,to:'2016-09-14 07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23.299600000000002</v>
      </c>
      <c r="Z24" s="69">
        <f t="shared" si="17"/>
        <v>1.4500000000000001E-2</v>
      </c>
      <c r="AA24" s="69">
        <f t="shared" si="9"/>
        <v>23.2851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0"/>
        <v>0112-14</v>
      </c>
      <c r="AE24" s="99" t="str">
        <f t="shared" si="11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24" s="96" t="str">
        <f t="shared" si="12"/>
        <v>"C:\Program Files (x86)\AstroGrep\AstroGrep.exe" /spath="%USERPROFILE%\AppData\Local\Temp\OnboardLogs" /stypes="app*4043*20160914*"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6"/>
        <v>"%USERPROFILE%\Documents\GitHub\eaglep3\Utilities\RefineRTDCRunTimes.py" --tripid 112-14 --locoid 4043 --swversion DE.1.0.7.0 --startMP 204:232996 --initTime 2016-09-14T05:53:42 --startdatetime 2016-09-14T05:56:42 --delay 1 --endMP 204:145 --enddatetime 2016-09-14T06:36:40 --enforcementcount 0 &gt;&gt;C:\Users\stu\Documents\GitHub\eaglep3-reporting\EC\2016-09-14-refined-times.txt</v>
      </c>
      <c r="AI24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{"issue":{"subject":"","project_id":79,"tracker_id":40,"status_id":1,"priority_id":2,"assigned_to_id":23,"start_date":"2016-09-14","description":"","custom_fields":[{"id":1,"name":"Subdivision","value":"EC"},{"id":4,"name":"Milepost","value":"0.0145"},{"id":17,"name":"Train ID","value":"112-14"},{"id":16,"name":"Locomotive ID","value":"4043"},{"id":130,"name":"Impact","value":""},{"id":150,"name":"Time of Event (Mountain Time)","value":"06:36:40"},{"id":151,"name":"Denver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399</v>
      </c>
      <c r="B25" s="7">
        <v>4003</v>
      </c>
      <c r="C25" s="24" t="s">
        <v>108</v>
      </c>
      <c r="D25" s="24" t="s">
        <v>608</v>
      </c>
      <c r="E25" s="15">
        <v>42627.216574074075</v>
      </c>
      <c r="F25" s="15">
        <v>42627.219201388885</v>
      </c>
      <c r="G25" s="7">
        <v>1</v>
      </c>
      <c r="H25" s="15" t="s">
        <v>234</v>
      </c>
      <c r="I25" s="15">
        <v>42627.245185185187</v>
      </c>
      <c r="J25" s="7">
        <v>0</v>
      </c>
      <c r="K25" s="121" t="str">
        <f t="shared" si="0"/>
        <v>4003/4004</v>
      </c>
      <c r="L25" s="24" t="str">
        <f>VLOOKUP(A25,'Trips&amp;Operators'!$C$1:$E$10000,3,FALSE)</f>
        <v>MAELZER</v>
      </c>
      <c r="M25" s="6">
        <f t="shared" si="1"/>
        <v>2.5983796302170958E-2</v>
      </c>
      <c r="N25" s="7">
        <f t="shared" si="2"/>
        <v>37.41666667512618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04:11:52-0600',mode:absolute,to:'2016-09-14 06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4.8899999999999999E-2</v>
      </c>
      <c r="Z25" s="69">
        <f t="shared" si="17"/>
        <v>23.3291</v>
      </c>
      <c r="AA25" s="69">
        <f t="shared" si="9"/>
        <v>23.280200000000001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0"/>
        <v>0113-14</v>
      </c>
      <c r="AE25" s="99" t="str">
        <f t="shared" si="11"/>
        <v>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 &amp; aws s3 cp s3://rtdc.mdm.uploadarchive/RTDC4003/2016-09-15/ "%USERPROFILE%\AppData\Local\Temp\OnboardLogs"\RTDC4003\2016-09-15 --recursive &amp; "%USERPROFILE%\Documents\GitHub\mrs-test-scripts\Headless Mode &amp; Sideloading\WalkAndUnGZ.bat" "%USERPROFILE%\AppData\Local\Temp\OnboardLogs"\RTDC4003\2016-09-15</v>
      </c>
      <c r="AF25" s="96" t="str">
        <f t="shared" si="12"/>
        <v>"C:\Program Files (x86)\AstroGrep\AstroGrep.exe" /spath="%USERPROFILE%\AppData\Local\Temp\OnboardLogs" /stypes="app*4003*20160914*"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6"/>
        <v>"%USERPROFILE%\Documents\GitHub\eaglep3\Utilities\RefineRTDCRunTimes.py" --tripid 113-14 --locoid 4003 --swversion DE.1.0.7.0 --startMP 204:489 --initTime 2016-09-14T05:11:52 --startdatetime 2016-09-14T05:15:39 --delay 1 --endMP 204:233291 --enddatetime 2016-09-14T05:53:04 --enforcementcount 0 &gt;&gt;C:\Users\stu\Documents\GitHub\eaglep3-reporting\EC\2016-09-14-refined-times.txt</v>
      </c>
      <c r="AI25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{"issue":{"subject":"","project_id":79,"tracker_id":40,"status_id":1,"priority_id":2,"assigned_to_id":23,"start_date":"2016-09-14","description":"","custom_fields":[{"id":1,"name":"Subdivision","value":"EC"},{"id":4,"name":"Milepost","value":"23.3291"},{"id":17,"name":"Train ID","value":"113-14"},{"id":16,"name":"Locomotive ID","value":"4003"},{"id":130,"name":"Impact","value":""},{"id":150,"name":"Time of Event (Mountain Time)","value":"05:53:04"},{"id":151,"name":"Denver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408</v>
      </c>
      <c r="B26" s="7">
        <v>4004</v>
      </c>
      <c r="C26" s="24" t="s">
        <v>108</v>
      </c>
      <c r="D26" s="24" t="s">
        <v>271</v>
      </c>
      <c r="E26" s="15">
        <v>42627.254467592589</v>
      </c>
      <c r="F26" s="15">
        <v>42627.257905092592</v>
      </c>
      <c r="G26" s="7">
        <v>1</v>
      </c>
      <c r="H26" s="15" t="s">
        <v>131</v>
      </c>
      <c r="I26" s="15">
        <v>42627.285775462966</v>
      </c>
      <c r="J26" s="7">
        <v>0</v>
      </c>
      <c r="K26" s="121" t="str">
        <f t="shared" si="0"/>
        <v>4003/4004</v>
      </c>
      <c r="L26" s="24" t="str">
        <f>VLOOKUP(A26,'Trips&amp;Operators'!$C$1:$E$10000,3,FALSE)</f>
        <v>MAELZER</v>
      </c>
      <c r="M26" s="6">
        <f t="shared" si="1"/>
        <v>2.7870370373420883E-2</v>
      </c>
      <c r="N26" s="7">
        <f t="shared" si="2"/>
        <v>40.133333337726071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05:06:26-0600',mode:absolute,to:'2016-09-14 07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23.297799999999999</v>
      </c>
      <c r="Z26" s="69">
        <f t="shared" si="17"/>
        <v>1.54E-2</v>
      </c>
      <c r="AA26" s="69">
        <f t="shared" si="9"/>
        <v>23.282399999999999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0"/>
        <v>0114-14</v>
      </c>
      <c r="AE26" s="99" t="str">
        <f t="shared" si="11"/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AF26" s="96" t="str">
        <f t="shared" si="12"/>
        <v>"C:\Program Files (x86)\AstroGrep\AstroGrep.exe" /spath="%USERPROFILE%\AppData\Local\Temp\OnboardLogs" /stypes="app*4004*20160914*"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0" t="str">
        <f t="shared" si="16"/>
        <v>"%USERPROFILE%\Documents\GitHub\eaglep3\Utilities\RefineRTDCRunTimes.py" --tripid 114-14 --locoid 4004 --swversion DE.1.0.7.0 --startMP 204:232978 --initTime 2016-09-14T06:06:26 --startdatetime 2016-09-14T06:11:23 --delay 1 --endMP 204:154 --enddatetime 2016-09-14T06:51:31 --enforcementcount 0 &gt;&gt;C:\Users\stu\Documents\GitHub\eaglep3-reporting\EC\2016-09-14-refined-times.txt</v>
      </c>
      <c r="AI26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{"issue":{"subject":"","project_id":79,"tracker_id":40,"status_id":1,"priority_id":2,"assigned_to_id":23,"start_date":"2016-09-14","description":"","custom_fields":[{"id":1,"name":"Subdivision","value":"EC"},{"id":4,"name":"Milepost","value":"0.0154"},{"id":17,"name":"Train ID","value":"114-14"},{"id":16,"name":"Locomotive ID","value":"4004"},{"id":130,"name":"Impact","value":""},{"id":150,"name":"Time of Event (Mountain Time)","value":"06:51:31"},{"id":151,"name":"Denver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402</v>
      </c>
      <c r="B27" s="7">
        <v>4027</v>
      </c>
      <c r="C27" s="24" t="s">
        <v>108</v>
      </c>
      <c r="D27" s="24" t="s">
        <v>609</v>
      </c>
      <c r="E27" s="15">
        <v>42627.227002314816</v>
      </c>
      <c r="F27" s="15">
        <v>42627.229351851849</v>
      </c>
      <c r="G27" s="7">
        <v>2</v>
      </c>
      <c r="H27" s="15" t="s">
        <v>610</v>
      </c>
      <c r="I27" s="15">
        <v>42627.256388888891</v>
      </c>
      <c r="J27" s="7">
        <v>0</v>
      </c>
      <c r="K27" s="121" t="str">
        <f t="shared" si="0"/>
        <v>4027/4028</v>
      </c>
      <c r="L27" s="24" t="str">
        <f>VLOOKUP(A27,'Trips&amp;Operators'!$C$1:$E$10000,3,FALSE)</f>
        <v>RICHARDSON</v>
      </c>
      <c r="M27" s="6">
        <f t="shared" si="1"/>
        <v>2.7037037041736767E-2</v>
      </c>
      <c r="N27" s="7">
        <f t="shared" si="2"/>
        <v>38.933333340100944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04:26:53-0600',mode:absolute,to:'2016-09-14 07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7.5399999999999995E-2</v>
      </c>
      <c r="Z27" s="69">
        <f t="shared" si="17"/>
        <v>23.3276</v>
      </c>
      <c r="AA27" s="69">
        <f t="shared" si="9"/>
        <v>23.252200000000002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0"/>
        <v>0115-14</v>
      </c>
      <c r="AE27" s="99" t="str">
        <f t="shared" si="11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27" s="96" t="str">
        <f t="shared" si="12"/>
        <v>"C:\Program Files (x86)\AstroGrep\AstroGrep.exe" /spath="%USERPROFILE%\AppData\Local\Temp\OnboardLogs" /stypes="app*4027*20160914*"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6"/>
        <v>"%USERPROFILE%\Documents\GitHub\eaglep3\Utilities\RefineRTDCRunTimes.py" --tripid 115-14 --locoid 4027 --swversion DE.1.0.7.0 --startMP 204:754 --initTime 2016-09-14T05:26:53 --startdatetime 2016-09-14T05:30:16 --delay 2 --endMP 204:233276 --enddatetime 2016-09-14T06:09:12 --enforcementcount 0 &gt;&gt;C:\Users\stu\Documents\GitHub\eaglep3-reporting\EC\2016-09-14-refined-times.txt</v>
      </c>
      <c r="AI27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{"issue":{"subject":"","project_id":79,"tracker_id":40,"status_id":1,"priority_id":2,"assigned_to_id":23,"start_date":"2016-09-14","description":"","custom_fields":[{"id":1,"name":"Subdivision","value":"EC"},{"id":4,"name":"Milepost","value":"23.3276"},{"id":17,"name":"Train ID","value":"115-14"},{"id":16,"name":"Locomotive ID","value":"4027"},{"id":130,"name":"Impact","value":""},{"id":150,"name":"Time of Event (Mountain Time)","value":"06:09:12"},{"id":151,"name":"Denver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412</v>
      </c>
      <c r="B28" s="7">
        <v>4028</v>
      </c>
      <c r="C28" s="24" t="s">
        <v>108</v>
      </c>
      <c r="D28" s="24" t="s">
        <v>310</v>
      </c>
      <c r="E28" s="15">
        <v>42627.260960648149</v>
      </c>
      <c r="F28" s="15">
        <v>42627.26835648148</v>
      </c>
      <c r="G28" s="7">
        <v>2</v>
      </c>
      <c r="H28" s="15" t="s">
        <v>272</v>
      </c>
      <c r="I28" s="15">
        <v>42627.296944444446</v>
      </c>
      <c r="J28" s="7">
        <v>0</v>
      </c>
      <c r="K28" s="121" t="str">
        <f t="shared" si="0"/>
        <v>4027/4028</v>
      </c>
      <c r="L28" s="24" t="str">
        <f>VLOOKUP(A28,'Trips&amp;Operators'!$C$1:$E$10000,3,FALSE)</f>
        <v>RICHARDSON</v>
      </c>
      <c r="M28" s="6">
        <f t="shared" si="1"/>
        <v>2.8587962966412306E-2</v>
      </c>
      <c r="N28" s="7">
        <f t="shared" si="2"/>
        <v>41.16666667163372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05:15:47-0600',mode:absolute,to:'2016-09-14 08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23.2989</v>
      </c>
      <c r="Z28" s="69">
        <f t="shared" si="17"/>
        <v>1.38E-2</v>
      </c>
      <c r="AA28" s="69">
        <f t="shared" si="9"/>
        <v>23.2851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0"/>
        <v>0116-14</v>
      </c>
      <c r="AE28" s="99" t="str">
        <f t="shared" si="11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28" s="96" t="str">
        <f t="shared" si="12"/>
        <v>"C:\Program Files (x86)\AstroGrep\AstroGrep.exe" /spath="%USERPROFILE%\AppData\Local\Temp\OnboardLogs" /stypes="app*4028*20160914*"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6"/>
        <v>"%USERPROFILE%\Documents\GitHub\eaglep3\Utilities\RefineRTDCRunTimes.py" --tripid 116-14 --locoid 4028 --swversion DE.1.0.7.0 --startMP 204:232989 --initTime 2016-09-14T06:15:47 --startdatetime 2016-09-14T06:26:26 --delay 2 --endMP 204:138 --enddatetime 2016-09-14T07:07:36 --enforcementcount 0 &gt;&gt;C:\Users\stu\Documents\GitHub\eaglep3-reporting\EC\2016-09-14-refined-times.txt</v>
      </c>
      <c r="AI28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{"issue":{"subject":"","project_id":79,"tracker_id":40,"status_id":1,"priority_id":2,"assigned_to_id":23,"start_date":"2016-09-14","description":"","custom_fields":[{"id":1,"name":"Subdivision","value":"EC"},{"id":4,"name":"Milepost","value":"0.0138"},{"id":17,"name":"Train ID","value":"116-14"},{"id":16,"name":"Locomotive ID","value":"4028"},{"id":130,"name":"Impact","value":""},{"id":150,"name":"Time of Event (Mountain Time)","value":"07:07:36"},{"id":151,"name":"Denver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404</v>
      </c>
      <c r="B29" s="7">
        <v>4038</v>
      </c>
      <c r="C29" s="24" t="s">
        <v>108</v>
      </c>
      <c r="D29" s="24" t="s">
        <v>231</v>
      </c>
      <c r="E29" s="15">
        <v>42627.233506944445</v>
      </c>
      <c r="F29" s="15">
        <v>42627.24009259259</v>
      </c>
      <c r="G29" s="7">
        <v>1</v>
      </c>
      <c r="H29" s="15" t="s">
        <v>323</v>
      </c>
      <c r="I29" s="15">
        <v>42627.265706018516</v>
      </c>
      <c r="J29" s="7">
        <v>0</v>
      </c>
      <c r="K29" s="121" t="str">
        <f t="shared" si="0"/>
        <v>4037/4038</v>
      </c>
      <c r="L29" s="24" t="str">
        <f>VLOOKUP(A29,'Trips&amp;Operators'!$C$1:$E$10000,3,FALSE)</f>
        <v>ARVIDSON</v>
      </c>
      <c r="M29" s="6">
        <f t="shared" si="1"/>
        <v>2.5613425925257616E-2</v>
      </c>
      <c r="N29" s="7">
        <f t="shared" si="2"/>
        <v>36.883333332370967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04:36:15-0600',mode:absolute,to:'2016-09-14 07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4.53E-2</v>
      </c>
      <c r="Z29" s="69">
        <f t="shared" si="17"/>
        <v>23.328800000000001</v>
      </c>
      <c r="AA29" s="69">
        <f t="shared" si="9"/>
        <v>23.2835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0"/>
        <v>0117-14</v>
      </c>
      <c r="AE29" s="99" t="str">
        <f t="shared" si="11"/>
        <v>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 &amp; aws s3 cp s3://rtdc.mdm.uploadarchive/RTDC4038/2016-09-15/ "%USERPROFILE%\AppData\Local\Temp\OnboardLogs"\RTDC4038\2016-09-15 --recursive &amp; "%USERPROFILE%\Documents\GitHub\mrs-test-scripts\Headless Mode &amp; Sideloading\WalkAndUnGZ.bat" "%USERPROFILE%\AppData\Local\Temp\OnboardLogs"\RTDC4038\2016-09-15</v>
      </c>
      <c r="AF29" s="96" t="str">
        <f t="shared" si="12"/>
        <v>"C:\Program Files (x86)\AstroGrep\AstroGrep.exe" /spath="%USERPROFILE%\AppData\Local\Temp\OnboardLogs" /stypes="app*4038*20160914*"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100" t="str">
        <f t="shared" si="16"/>
        <v>"%USERPROFILE%\Documents\GitHub\eaglep3\Utilities\RefineRTDCRunTimes.py" --tripid 117-14 --locoid 4038 --swversion DE.1.0.7.0 --startMP 204:453 --initTime 2016-09-14T05:36:15 --startdatetime 2016-09-14T05:45:44 --delay 1 --endMP 204:233288 --enddatetime 2016-09-14T06:22:37 --enforcementcount 0 &gt;&gt;C:\Users\stu\Documents\GitHub\eaglep3-reporting\EC\2016-09-14-refined-times.txt</v>
      </c>
      <c r="AI29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{"issue":{"subject":"","project_id":79,"tracker_id":40,"status_id":1,"priority_id":2,"assigned_to_id":23,"start_date":"2016-09-14","description":"","custom_fields":[{"id":1,"name":"Subdivision","value":"EC"},{"id":4,"name":"Milepost","value":"23.3288"},{"id":17,"name":"Train ID","value":"117-14"},{"id":16,"name":"Locomotive ID","value":"4038"},{"id":130,"name":"Impact","value":""},{"id":150,"name":"Time of Event (Mountain Time)","value":"06:22:37"},{"id":151,"name":"Denver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414</v>
      </c>
      <c r="B30" s="7">
        <v>4037</v>
      </c>
      <c r="C30" s="24" t="s">
        <v>108</v>
      </c>
      <c r="D30" s="24" t="s">
        <v>256</v>
      </c>
      <c r="E30" s="15">
        <v>42627.273518518516</v>
      </c>
      <c r="F30" s="15">
        <v>42627.278726851851</v>
      </c>
      <c r="G30" s="7">
        <v>2</v>
      </c>
      <c r="H30" s="15" t="s">
        <v>258</v>
      </c>
      <c r="I30" s="15">
        <v>42627.310474537036</v>
      </c>
      <c r="J30" s="7">
        <v>0</v>
      </c>
      <c r="K30" s="121" t="str">
        <f t="shared" si="0"/>
        <v>4037/4038</v>
      </c>
      <c r="L30" s="24" t="str">
        <f>VLOOKUP(A30,'Trips&amp;Operators'!$C$1:$E$10000,3,FALSE)</f>
        <v>ARVIDSON</v>
      </c>
      <c r="M30" s="6">
        <f t="shared" si="1"/>
        <v>3.1747685185109731E-2</v>
      </c>
      <c r="N30" s="7">
        <f t="shared" si="2"/>
        <v>45.716666666558012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05:33:52-0600',mode:absolute,to:'2016-09-14 08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23.296900000000001</v>
      </c>
      <c r="Z30" s="69">
        <f t="shared" si="17"/>
        <v>1.41E-2</v>
      </c>
      <c r="AA30" s="69">
        <f t="shared" si="9"/>
        <v>23.282800000000002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0"/>
        <v>0118-14</v>
      </c>
      <c r="AE30" s="99" t="str">
        <f t="shared" si="11"/>
        <v>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 &amp; aws s3 cp s3://rtdc.mdm.uploadarchive/RTDC4037/2016-09-15/ "%USERPROFILE%\AppData\Local\Temp\OnboardLogs"\RTDC4037\2016-09-15 --recursive &amp; "%USERPROFILE%\Documents\GitHub\mrs-test-scripts\Headless Mode &amp; Sideloading\WalkAndUnGZ.bat" "%USERPROFILE%\AppData\Local\Temp\OnboardLogs"\RTDC4037\2016-09-15</v>
      </c>
      <c r="AF30" s="96" t="str">
        <f t="shared" si="12"/>
        <v>"C:\Program Files (x86)\AstroGrep\AstroGrep.exe" /spath="%USERPROFILE%\AppData\Local\Temp\OnboardLogs" /stypes="app*4037*20160914*"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0" t="str">
        <f t="shared" si="16"/>
        <v>"%USERPROFILE%\Documents\GitHub\eaglep3\Utilities\RefineRTDCRunTimes.py" --tripid 118-14 --locoid 4037 --swversion DE.1.0.7.0 --startMP 204:232969 --initTime 2016-09-14T06:33:52 --startdatetime 2016-09-14T06:41:22 --delay 2 --endMP 204:141 --enddatetime 2016-09-14T07:27:05 --enforcementcount 0 &gt;&gt;C:\Users\stu\Documents\GitHub\eaglep3-reporting\EC\2016-09-14-refined-times.txt</v>
      </c>
      <c r="AI30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{"issue":{"subject":"","project_id":79,"tracker_id":40,"status_id":1,"priority_id":2,"assigned_to_id":23,"start_date":"2016-09-14","description":"","custom_fields":[{"id":1,"name":"Subdivision","value":"EC"},{"id":4,"name":"Milepost","value":"0.0141"},{"id":17,"name":"Train ID","value":"118-14"},{"id":16,"name":"Locomotive ID","value":"4037"},{"id":130,"name":"Impact","value":""},{"id":150,"name":"Time of Event (Mountain Time)","value":"07:27:05"},{"id":151,"name":"Denver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407</v>
      </c>
      <c r="B31" s="7">
        <v>4014</v>
      </c>
      <c r="C31" s="24" t="s">
        <v>108</v>
      </c>
      <c r="D31" s="24" t="s">
        <v>611</v>
      </c>
      <c r="E31" s="15">
        <v>42627.248287037037</v>
      </c>
      <c r="F31" s="15">
        <v>42627.250254629631</v>
      </c>
      <c r="G31" s="7">
        <v>1</v>
      </c>
      <c r="H31" s="15" t="s">
        <v>259</v>
      </c>
      <c r="I31" s="15">
        <v>42627.277974537035</v>
      </c>
      <c r="J31" s="7">
        <v>0</v>
      </c>
      <c r="K31" s="121" t="str">
        <f t="shared" si="0"/>
        <v>4013/4014</v>
      </c>
      <c r="L31" s="24" t="str">
        <f>VLOOKUP(A31,'Trips&amp;Operators'!$C$1:$E$10000,3,FALSE)</f>
        <v>STRICKLAND</v>
      </c>
      <c r="M31" s="6">
        <f t="shared" si="1"/>
        <v>2.7719907404389232E-2</v>
      </c>
      <c r="N31" s="7">
        <f t="shared" si="2"/>
        <v>39.916666662320495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04:57:32-0600',mode:absolute,to:'2016-09-14 07:40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6.9900000000000004E-2</v>
      </c>
      <c r="Z31" s="69">
        <f t="shared" si="17"/>
        <v>23.3323</v>
      </c>
      <c r="AA31" s="69">
        <f t="shared" si="9"/>
        <v>23.2624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0"/>
        <v>0119-14</v>
      </c>
      <c r="AE31" s="99" t="str">
        <f t="shared" si="11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31" s="96" t="str">
        <f t="shared" si="12"/>
        <v>"C:\Program Files (x86)\AstroGrep\AstroGrep.exe" /spath="%USERPROFILE%\AppData\Local\Temp\OnboardLogs" /stypes="app*4014*20160914*"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0" t="str">
        <f t="shared" si="16"/>
        <v>"%USERPROFILE%\Documents\GitHub\eaglep3\Utilities\RefineRTDCRunTimes.py" --tripid 119-14 --locoid 4014 --swversion DE.1.0.7.0 --startMP 204:699 --initTime 2016-09-14T05:57:32 --startdatetime 2016-09-14T06:00:22 --delay 1 --endMP 204:233323 --enddatetime 2016-09-14T06:40:17 --enforcementcount 0 &gt;&gt;C:\Users\stu\Documents\GitHub\eaglep3-reporting\EC\2016-09-14-refined-times.txt</v>
      </c>
      <c r="AI31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{"issue":{"subject":"","project_id":79,"tracker_id":40,"status_id":1,"priority_id":2,"assigned_to_id":23,"start_date":"2016-09-14","description":"","custom_fields":[{"id":1,"name":"Subdivision","value":"EC"},{"id":4,"name":"Milepost","value":"23.3323"},{"id":17,"name":"Train ID","value":"119-14"},{"id":16,"name":"Locomotive ID","value":"4014"},{"id":130,"name":"Impact","value":""},{"id":150,"name":"Time of Event (Mountain Time)","value":"06:40:17"},{"id":151,"name":"Denver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418</v>
      </c>
      <c r="B32" s="7">
        <v>4013</v>
      </c>
      <c r="C32" s="24" t="s">
        <v>108</v>
      </c>
      <c r="D32" s="24" t="s">
        <v>612</v>
      </c>
      <c r="E32" s="15">
        <v>42627.284375000003</v>
      </c>
      <c r="F32" s="15">
        <v>42627.289236111108</v>
      </c>
      <c r="G32" s="7">
        <v>1</v>
      </c>
      <c r="H32" s="15" t="s">
        <v>235</v>
      </c>
      <c r="I32" s="15">
        <v>42627.320185185185</v>
      </c>
      <c r="J32" s="7">
        <v>0</v>
      </c>
      <c r="K32" s="121" t="str">
        <f t="shared" si="0"/>
        <v>4013/4014</v>
      </c>
      <c r="L32" s="24" t="str">
        <f>VLOOKUP(A32,'Trips&amp;Operators'!$C$1:$E$10000,3,FALSE)</f>
        <v>STRICKLAND</v>
      </c>
      <c r="M32" s="6">
        <f t="shared" si="1"/>
        <v>3.0949074076488614E-2</v>
      </c>
      <c r="N32" s="7">
        <f t="shared" si="2"/>
        <v>44.566666670143604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05:49:30-0600',mode:absolute,to:'2016-09-14 08:41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23.301100000000002</v>
      </c>
      <c r="Z32" s="69">
        <f t="shared" si="17"/>
        <v>1.52E-2</v>
      </c>
      <c r="AA32" s="69">
        <f t="shared" si="9"/>
        <v>23.285900000000002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0"/>
        <v>0120-14</v>
      </c>
      <c r="AE32" s="99" t="str">
        <f t="shared" si="11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32" s="96" t="str">
        <f t="shared" si="12"/>
        <v>"C:\Program Files (x86)\AstroGrep\AstroGrep.exe" /spath="%USERPROFILE%\AppData\Local\Temp\OnboardLogs" /stypes="app*4013*20160914*"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100" t="str">
        <f t="shared" si="16"/>
        <v>"%USERPROFILE%\Documents\GitHub\eaglep3\Utilities\RefineRTDCRunTimes.py" --tripid 120-14 --locoid 4013 --swversion DE.1.0.7.0 --startMP 204:233011 --initTime 2016-09-14T06:49:30 --startdatetime 2016-09-14T06:56:30 --delay 1 --endMP 204:152 --enddatetime 2016-09-14T07:41:04 --enforcementcount 0 &gt;&gt;C:\Users\stu\Documents\GitHub\eaglep3-reporting\EC\2016-09-14-refined-times.txt</v>
      </c>
      <c r="AI32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{"issue":{"subject":"","project_id":79,"tracker_id":40,"status_id":1,"priority_id":2,"assigned_to_id":23,"start_date":"2016-09-14","description":"","custom_fields":[{"id":1,"name":"Subdivision","value":"EC"},{"id":4,"name":"Milepost","value":"0.0152"},{"id":17,"name":"Train ID","value":"120-14"},{"id":16,"name":"Locomotive ID","value":"4013"},{"id":130,"name":"Impact","value":""},{"id":150,"name":"Time of Event (Mountain Time)","value":"07:41:04"},{"id":151,"name":"Denver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411</v>
      </c>
      <c r="B33" s="7">
        <v>4053</v>
      </c>
      <c r="C33" s="24" t="s">
        <v>108</v>
      </c>
      <c r="D33" s="24" t="s">
        <v>352</v>
      </c>
      <c r="E33" s="15">
        <v>42627.257245370369</v>
      </c>
      <c r="F33" s="15">
        <v>42627.26059027778</v>
      </c>
      <c r="G33" s="7">
        <v>1</v>
      </c>
      <c r="H33" s="15" t="s">
        <v>613</v>
      </c>
      <c r="I33" s="15">
        <v>42627.28534722222</v>
      </c>
      <c r="J33" s="7">
        <v>0</v>
      </c>
      <c r="K33" s="121" t="str">
        <f t="shared" si="0"/>
        <v>4053/4054</v>
      </c>
      <c r="L33" s="24" t="str">
        <f>VLOOKUP(A33,'Trips&amp;Operators'!$C$1:$E$10000,3,FALSE)</f>
        <v>SPECTOR</v>
      </c>
      <c r="M33" s="6">
        <f t="shared" si="1"/>
        <v>2.4756944440014195E-2</v>
      </c>
      <c r="N33" s="7">
        <f t="shared" si="2"/>
        <v>35.64999999362044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05:10:26-0600',mode:absolute,to:'2016-09-14 07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4.3799999999999999E-2</v>
      </c>
      <c r="Z33" s="69">
        <f t="shared" si="17"/>
        <v>23.332599999999999</v>
      </c>
      <c r="AA33" s="69">
        <f t="shared" si="9"/>
        <v>23.288799999999998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0"/>
        <v>0121-14</v>
      </c>
      <c r="AE33" s="99" t="str">
        <f t="shared" si="11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33" s="96" t="str">
        <f t="shared" si="12"/>
        <v>"C:\Program Files (x86)\AstroGrep\AstroGrep.exe" /spath="%USERPROFILE%\AppData\Local\Temp\OnboardLogs" /stypes="app*4053*20160914*"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0" t="str">
        <f t="shared" si="16"/>
        <v>"%USERPROFILE%\Documents\GitHub\eaglep3\Utilities\RefineRTDCRunTimes.py" --tripid 121-14 --locoid 4053 --swversion DE.1.0.7.0 --startMP 204:438 --initTime 2016-09-14T06:10:26 --startdatetime 2016-09-14T06:15:15 --delay 1 --endMP 204:233326 --enddatetime 2016-09-14T06:50:54 --enforcementcount 0 &gt;&gt;C:\Users\stu\Documents\GitHub\eaglep3-reporting\EC\2016-09-14-refined-times.txt</v>
      </c>
      <c r="AI33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{"issue":{"subject":"","project_id":79,"tracker_id":40,"status_id":1,"priority_id":2,"assigned_to_id":23,"start_date":"2016-09-14","description":"","custom_fields":[{"id":1,"name":"Subdivision","value":"EC"},{"id":4,"name":"Milepost","value":"23.3326"},{"id":17,"name":"Train ID","value":"121-14"},{"id":16,"name":"Locomotive ID","value":"4053"},{"id":130,"name":"Impact","value":""},{"id":150,"name":"Time of Event (Mountain Time)","value":"06:50:54"},{"id":151,"name":"Denver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420</v>
      </c>
      <c r="B34" s="7">
        <v>4054</v>
      </c>
      <c r="C34" s="24" t="s">
        <v>108</v>
      </c>
      <c r="D34" s="24" t="s">
        <v>614</v>
      </c>
      <c r="E34" s="15">
        <v>42627.291921296295</v>
      </c>
      <c r="F34" s="15">
        <v>42627.299490740741</v>
      </c>
      <c r="G34" s="7">
        <v>1</v>
      </c>
      <c r="H34" s="15" t="s">
        <v>250</v>
      </c>
      <c r="I34" s="15">
        <v>42627.328680555554</v>
      </c>
      <c r="J34" s="7">
        <v>0</v>
      </c>
      <c r="K34" s="121" t="str">
        <f t="shared" si="0"/>
        <v>4053/4054</v>
      </c>
      <c r="L34" s="24" t="str">
        <f>VLOOKUP(A34,'Trips&amp;Operators'!$C$1:$E$10000,3,FALSE)</f>
        <v>SPECTOR</v>
      </c>
      <c r="M34" s="6">
        <f t="shared" si="1"/>
        <v>2.9189814813435078E-2</v>
      </c>
      <c r="N34" s="7">
        <f t="shared" si="2"/>
        <v>42.033333331346512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06:00:22-0600',mode:absolute,to:'2016-09-14 08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23.3005</v>
      </c>
      <c r="Z34" s="69">
        <f t="shared" si="17"/>
        <v>1.3899999999999999E-2</v>
      </c>
      <c r="AA34" s="69">
        <f t="shared" si="9"/>
        <v>23.2866</v>
      </c>
      <c r="AB34" s="66" t="str">
        <f>VLOOKUP(A34,Enforcements!$C$7:$K$20,8,0)</f>
        <v>Bulletin (2)</v>
      </c>
      <c r="AC34" s="62" t="str">
        <f>VLOOKUP(A34,Enforcements!$C$7:$E$20,3,0)</f>
        <v>GRADE CROSSING</v>
      </c>
      <c r="AD34" s="63" t="str">
        <f t="shared" si="10"/>
        <v>0122-14</v>
      </c>
      <c r="AE34" s="99" t="str">
        <f t="shared" si="11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34" s="96" t="str">
        <f t="shared" si="12"/>
        <v>"C:\Program Files (x86)\AstroGrep\AstroGrep.exe" /spath="%USERPROFILE%\AppData\Local\Temp\OnboardLogs" /stypes="app*4054*20160914*"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0" t="str">
        <f t="shared" si="16"/>
        <v>"%USERPROFILE%\Documents\GitHub\eaglep3\Utilities\RefineRTDCRunTimes.py" --tripid 122-14 --locoid 4054 --swversion DE.1.0.7.0 --startMP 204:233005 --initTime 2016-09-14T07:00:22 --startdatetime 2016-09-14T07:11:16 --delay 1 --endMP 204:139 --enddatetime 2016-09-14T07:53:18 --enforcementcount 0 &gt;&gt;C:\Users\stu\Documents\GitHub\eaglep3-reporting\EC\2016-09-14-refined-times.txt</v>
      </c>
      <c r="AI34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{"issue":{"subject":"","project_id":79,"tracker_id":40,"status_id":1,"priority_id":2,"assigned_to_id":23,"start_date":"2016-09-14","description":"","custom_fields":[{"id":1,"name":"Subdivision","value":"EC"},{"id":4,"name":"Milepost","value":"0.0139"},{"id":17,"name":"Train ID","value":"122-14"},{"id":16,"name":"Locomotive ID","value":"4054"},{"id":130,"name":"Impact","value":""},{"id":150,"name":"Time of Event (Mountain Time)","value":"07:53:18"},{"id":151,"name":"Denver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413</v>
      </c>
      <c r="B35" s="7">
        <v>4040</v>
      </c>
      <c r="C35" s="24" t="s">
        <v>108</v>
      </c>
      <c r="D35" s="24" t="s">
        <v>243</v>
      </c>
      <c r="E35" s="15">
        <v>42627.266087962962</v>
      </c>
      <c r="F35" s="15">
        <v>42627.271550925929</v>
      </c>
      <c r="G35" s="7">
        <v>1</v>
      </c>
      <c r="H35" s="15" t="s">
        <v>222</v>
      </c>
      <c r="I35" s="15">
        <v>42627.296180555553</v>
      </c>
      <c r="J35" s="7">
        <v>0</v>
      </c>
      <c r="K35" s="121" t="str">
        <f t="shared" si="0"/>
        <v>4039/4040</v>
      </c>
      <c r="L35" s="24" t="str">
        <f>VLOOKUP(A35,'Trips&amp;Operators'!$C$1:$E$10000,3,FALSE)</f>
        <v>KILLION</v>
      </c>
      <c r="M35" s="6">
        <f t="shared" si="1"/>
        <v>2.4629629624541849E-2</v>
      </c>
      <c r="N35" s="7">
        <f t="shared" si="2"/>
        <v>35.466666659340262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05:23:10-0600',mode:absolute,to:'2016-09-14 08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4.5499999999999999E-2</v>
      </c>
      <c r="Z35" s="69">
        <f t="shared" si="17"/>
        <v>23.331399999999999</v>
      </c>
      <c r="AA35" s="69">
        <f t="shared" si="9"/>
        <v>23.285899999999998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0"/>
        <v>0123-14</v>
      </c>
      <c r="AE35" s="99" t="str">
        <f t="shared" si="11"/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AF35" s="96" t="str">
        <f t="shared" si="12"/>
        <v>"C:\Program Files (x86)\AstroGrep\AstroGrep.exe" /spath="%USERPROFILE%\AppData\Local\Temp\OnboardLogs" /stypes="app*4040*20160914*"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0" t="str">
        <f t="shared" si="16"/>
        <v>"%USERPROFILE%\Documents\GitHub\eaglep3\Utilities\RefineRTDCRunTimes.py" --tripid 123-14 --locoid 4040 --swversion DE.1.0.7.0 --startMP 204:455 --initTime 2016-09-14T06:23:10 --startdatetime 2016-09-14T06:31:02 --delay 1 --endMP 204:233314 --enddatetime 2016-09-14T07:06:30 --enforcementcount 0 &gt;&gt;C:\Users\stu\Documents\GitHub\eaglep3-reporting\EC\2016-09-14-refined-times.txt</v>
      </c>
      <c r="AI35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{"issue":{"subject":"","project_id":79,"tracker_id":40,"status_id":1,"priority_id":2,"assigned_to_id":23,"start_date":"2016-09-14","description":"","custom_fields":[{"id":1,"name":"Subdivision","value":"EC"},{"id":4,"name":"Milepost","value":"23.3314"},{"id":17,"name":"Train ID","value":"123-14"},{"id":16,"name":"Locomotive ID","value":"4040"},{"id":130,"name":"Impact","value":""},{"id":150,"name":"Time of Event (Mountain Time)","value":"07:06:30"},{"id":151,"name":"Denver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424</v>
      </c>
      <c r="B36" s="7">
        <v>4039</v>
      </c>
      <c r="C36" s="24" t="s">
        <v>108</v>
      </c>
      <c r="D36" s="24" t="s">
        <v>227</v>
      </c>
      <c r="E36" s="15">
        <v>42627.305775462963</v>
      </c>
      <c r="F36" s="15">
        <v>42627.31</v>
      </c>
      <c r="G36" s="7">
        <v>1</v>
      </c>
      <c r="H36" s="15" t="s">
        <v>238</v>
      </c>
      <c r="I36" s="15">
        <v>42627.340462962966</v>
      </c>
      <c r="J36" s="7">
        <v>0</v>
      </c>
      <c r="K36" s="121" t="str">
        <f t="shared" si="0"/>
        <v>4039/4040</v>
      </c>
      <c r="L36" s="24" t="str">
        <f>VLOOKUP(A36,'Trips&amp;Operators'!$C$1:$E$10000,3,FALSE)</f>
        <v>KILLION</v>
      </c>
      <c r="M36" s="6">
        <f t="shared" si="1"/>
        <v>3.0462962968158536E-2</v>
      </c>
      <c r="N36" s="7">
        <f t="shared" si="2"/>
        <v>43.866666674148291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06:20:19-0600',mode:absolute,to:'2016-09-14 09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23.299099999999999</v>
      </c>
      <c r="Z36" s="69">
        <f t="shared" si="17"/>
        <v>1.4500000000000001E-2</v>
      </c>
      <c r="AA36" s="69">
        <f t="shared" si="9"/>
        <v>23.284599999999998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0"/>
        <v>0124-14</v>
      </c>
      <c r="AE36" s="99" t="str">
        <f t="shared" si="11"/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AF36" s="96" t="str">
        <f t="shared" si="12"/>
        <v>"C:\Program Files (x86)\AstroGrep\AstroGrep.exe" /spath="%USERPROFILE%\AppData\Local\Temp\OnboardLogs" /stypes="app*4039*20160914*"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0" t="str">
        <f t="shared" si="16"/>
        <v>"%USERPROFILE%\Documents\GitHub\eaglep3\Utilities\RefineRTDCRunTimes.py" --tripid 124-14 --locoid 4039 --swversion DE.1.0.7.0 --startMP 204:232991 --initTime 2016-09-14T07:20:19 --startdatetime 2016-09-14T07:26:24 --delay 1 --endMP 204:145 --enddatetime 2016-09-14T08:10:16 --enforcementcount 0 &gt;&gt;C:\Users\stu\Documents\GitHub\eaglep3-reporting\EC\2016-09-14-refined-times.txt</v>
      </c>
      <c r="AI36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{"issue":{"subject":"","project_id":79,"tracker_id":40,"status_id":1,"priority_id":2,"assigned_to_id":23,"start_date":"2016-09-14","description":"","custom_fields":[{"id":1,"name":"Subdivision","value":"EC"},{"id":4,"name":"Milepost","value":"0.0145"},{"id":17,"name":"Train ID","value":"124-14"},{"id":16,"name":"Locomotive ID","value":"4039"},{"id":130,"name":"Impact","value":""},{"id":150,"name":"Time of Event (Mountain Time)","value":"08:10:16"},{"id":151,"name":"Denver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416</v>
      </c>
      <c r="B37" s="7">
        <v>4044</v>
      </c>
      <c r="C37" s="24" t="s">
        <v>108</v>
      </c>
      <c r="D37" s="24" t="s">
        <v>615</v>
      </c>
      <c r="E37" s="15">
        <v>42627.277314814812</v>
      </c>
      <c r="F37" s="15">
        <v>42627.281597222223</v>
      </c>
      <c r="G37" s="7">
        <v>1</v>
      </c>
      <c r="H37" s="15" t="s">
        <v>234</v>
      </c>
      <c r="I37" s="15">
        <v>42627.305995370371</v>
      </c>
      <c r="J37" s="7">
        <v>0</v>
      </c>
      <c r="K37" s="121" t="str">
        <f t="shared" si="0"/>
        <v>4043/4044</v>
      </c>
      <c r="L37" s="24" t="str">
        <f>VLOOKUP(A37,'Trips&amp;Operators'!$C$1:$E$10000,3,FALSE)</f>
        <v>ROCHA</v>
      </c>
      <c r="M37" s="6">
        <f t="shared" si="1"/>
        <v>2.4398148147156462E-2</v>
      </c>
      <c r="N37" s="7">
        <f t="shared" si="2"/>
        <v>35.133333331905305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05:39:20-0600',mode:absolute,to:'2016-09-14 08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4.24E-2</v>
      </c>
      <c r="Z37" s="69">
        <f t="shared" si="17"/>
        <v>23.3291</v>
      </c>
      <c r="AA37" s="69">
        <f t="shared" si="9"/>
        <v>23.2867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0"/>
        <v>0125-14</v>
      </c>
      <c r="AE37" s="99" t="str">
        <f t="shared" si="11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37" s="96" t="str">
        <f t="shared" si="12"/>
        <v>"C:\Program Files (x86)\AstroGrep\AstroGrep.exe" /spath="%USERPROFILE%\AppData\Local\Temp\OnboardLogs" /stypes="app*4044*20160914*"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0" t="str">
        <f t="shared" si="16"/>
        <v>"%USERPROFILE%\Documents\GitHub\eaglep3\Utilities\RefineRTDCRunTimes.py" --tripid 125-14 --locoid 4044 --swversion DE.1.0.7.0 --startMP 204:424 --initTime 2016-09-14T06:39:20 --startdatetime 2016-09-14T06:45:30 --delay 1 --endMP 204:233291 --enddatetime 2016-09-14T07:20:38 --enforcementcount 0 &gt;&gt;C:\Users\stu\Documents\GitHub\eaglep3-reporting\EC\2016-09-14-refined-times.txt</v>
      </c>
      <c r="AI37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{"issue":{"subject":"","project_id":79,"tracker_id":40,"status_id":1,"priority_id":2,"assigned_to_id":23,"start_date":"2016-09-14","description":"","custom_fields":[{"id":1,"name":"Subdivision","value":"EC"},{"id":4,"name":"Milepost","value":"23.3291"},{"id":17,"name":"Train ID","value":"125-14"},{"id":16,"name":"Locomotive ID","value":"4044"},{"id":130,"name":"Impact","value":""},{"id":150,"name":"Time of Event (Mountain Time)","value":"07:20:38"},{"id":151,"name":"Denver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ht="16.5" customHeight="1" x14ac:dyDescent="0.25">
      <c r="A38" s="39" t="s">
        <v>427</v>
      </c>
      <c r="B38" s="7">
        <v>4043</v>
      </c>
      <c r="C38" s="24" t="s">
        <v>108</v>
      </c>
      <c r="D38" s="24" t="s">
        <v>244</v>
      </c>
      <c r="E38" s="15">
        <v>42627.318993055553</v>
      </c>
      <c r="F38" s="15">
        <v>42627.322743055556</v>
      </c>
      <c r="G38" s="7">
        <v>1</v>
      </c>
      <c r="H38" s="15" t="s">
        <v>347</v>
      </c>
      <c r="I38" s="15">
        <v>42627.349710648145</v>
      </c>
      <c r="J38" s="7">
        <v>0</v>
      </c>
      <c r="K38" s="121" t="str">
        <f t="shared" si="0"/>
        <v>4043/4044</v>
      </c>
      <c r="L38" s="24" t="str">
        <f>VLOOKUP(A38,'Trips&amp;Operators'!$C$1:$E$10000,3,FALSE)</f>
        <v>ROCHA</v>
      </c>
      <c r="M38" s="6">
        <f t="shared" si="1"/>
        <v>2.696759258833481E-2</v>
      </c>
      <c r="N38" s="7">
        <f t="shared" si="2"/>
        <v>38.833333327202126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06:39:21-0600',mode:absolute,to:'2016-09-14 09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23.297699999999999</v>
      </c>
      <c r="Z38" s="69">
        <f t="shared" si="17"/>
        <v>1.43E-2</v>
      </c>
      <c r="AA38" s="69">
        <f t="shared" si="9"/>
        <v>23.2834</v>
      </c>
      <c r="AB38" s="66" t="str">
        <f>VLOOKUP(A38,Enforcements!$C$7:$K$20,8,0)</f>
        <v>Bulletin (2)</v>
      </c>
      <c r="AC38" s="62" t="str">
        <f>VLOOKUP(A38,Enforcements!$C$7:$E$20,3,0)</f>
        <v>GRADE CROSSING</v>
      </c>
      <c r="AD38" s="63" t="str">
        <f t="shared" si="10"/>
        <v>0126-14</v>
      </c>
      <c r="AE38" s="99" t="str">
        <f t="shared" si="11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38" s="96" t="str">
        <f t="shared" si="12"/>
        <v>"C:\Program Files (x86)\AstroGrep\AstroGrep.exe" /spath="%USERPROFILE%\AppData\Local\Temp\OnboardLogs" /stypes="app*4043*20160914*"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0" t="str">
        <f t="shared" si="16"/>
        <v>"%USERPROFILE%\Documents\GitHub\eaglep3\Utilities\RefineRTDCRunTimes.py" --tripid 126-14 --locoid 4043 --swversion DE.1.0.7.0 --startMP 204:232977 --initTime 2016-09-14T07:39:21 --startdatetime 2016-09-14T07:44:45 --delay 1 --endMP 204:143 --enddatetime 2016-09-14T08:23:35 --enforcementcount 0 &gt;&gt;C:\Users\stu\Documents\GitHub\eaglep3-reporting\EC\2016-09-14-refined-times.txt</v>
      </c>
      <c r="AI38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{"issue":{"subject":"","project_id":79,"tracker_id":40,"status_id":1,"priority_id":2,"assigned_to_id":23,"start_date":"2016-09-14","description":"","custom_fields":[{"id":1,"name":"Subdivision","value":"EC"},{"id":4,"name":"Milepost","value":"0.0143"},{"id":17,"name":"Train ID","value":"126-14"},{"id":16,"name":"Locomotive ID","value":"4043"},{"id":130,"name":"Impact","value":""},{"id":150,"name":"Time of Event (Mountain Time)","value":"08:23:35"},{"id":151,"name":"Denver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419</v>
      </c>
      <c r="B39" s="7">
        <v>4003</v>
      </c>
      <c r="C39" s="24" t="s">
        <v>108</v>
      </c>
      <c r="D39" s="24" t="s">
        <v>243</v>
      </c>
      <c r="E39" s="15">
        <v>42627.287893518522</v>
      </c>
      <c r="F39" s="15">
        <v>42627.291956018518</v>
      </c>
      <c r="G39" s="7">
        <v>1</v>
      </c>
      <c r="H39" s="15" t="s">
        <v>321</v>
      </c>
      <c r="I39" s="15">
        <v>42627.319166666668</v>
      </c>
      <c r="J39" s="7">
        <v>0</v>
      </c>
      <c r="K39" s="121" t="str">
        <f t="shared" si="0"/>
        <v>4003/4004</v>
      </c>
      <c r="L39" s="24" t="str">
        <f>VLOOKUP(A39,'Trips&amp;Operators'!$C$1:$E$10000,3,FALSE)</f>
        <v>MAELZER</v>
      </c>
      <c r="M39" s="6">
        <f t="shared" si="1"/>
        <v>2.7210648149775807E-2</v>
      </c>
      <c r="N39" s="7">
        <f t="shared" si="2"/>
        <v>39.183333335677162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05:54:34-0600',mode:absolute,to:'2016-09-14 08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4.5499999999999999E-2</v>
      </c>
      <c r="Z39" s="69">
        <f t="shared" si="17"/>
        <v>23.3306</v>
      </c>
      <c r="AA39" s="69">
        <f t="shared" si="9"/>
        <v>23.2851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0"/>
        <v>0127-14</v>
      </c>
      <c r="AE39" s="99" t="str">
        <f t="shared" si="11"/>
        <v>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 &amp; aws s3 cp s3://rtdc.mdm.uploadarchive/RTDC4003/2016-09-15/ "%USERPROFILE%\AppData\Local\Temp\OnboardLogs"\RTDC4003\2016-09-15 --recursive &amp; "%USERPROFILE%\Documents\GitHub\mrs-test-scripts\Headless Mode &amp; Sideloading\WalkAndUnGZ.bat" "%USERPROFILE%\AppData\Local\Temp\OnboardLogs"\RTDC4003\2016-09-15</v>
      </c>
      <c r="AF39" s="96" t="str">
        <f t="shared" si="12"/>
        <v>"C:\Program Files (x86)\AstroGrep\AstroGrep.exe" /spath="%USERPROFILE%\AppData\Local\Temp\OnboardLogs" /stypes="app*4003*20160914*"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0" t="str">
        <f t="shared" si="16"/>
        <v>"%USERPROFILE%\Documents\GitHub\eaglep3\Utilities\RefineRTDCRunTimes.py" --tripid 127-14 --locoid 4003 --swversion DE.1.0.7.0 --startMP 204:455 --initTime 2016-09-14T06:54:34 --startdatetime 2016-09-14T07:00:25 --delay 1 --endMP 204:233306 --enddatetime 2016-09-14T07:39:36 --enforcementcount 0 &gt;&gt;C:\Users\stu\Documents\GitHub\eaglep3-reporting\EC\2016-09-14-refined-times.txt</v>
      </c>
      <c r="AI39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{"issue":{"subject":"","project_id":79,"tracker_id":40,"status_id":1,"priority_id":2,"assigned_to_id":23,"start_date":"2016-09-14","description":"","custom_fields":[{"id":1,"name":"Subdivision","value":"EC"},{"id":4,"name":"Milepost","value":"23.3306"},{"id":17,"name":"Train ID","value":"127-14"},{"id":16,"name":"Locomotive ID","value":"4003"},{"id":130,"name":"Impact","value":""},{"id":150,"name":"Time of Event (Mountain Time)","value":"07:39:36"},{"id":151,"name":"Denver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31" customFormat="1" x14ac:dyDescent="0.25">
      <c r="A40" s="39" t="s">
        <v>430</v>
      </c>
      <c r="B40" s="7">
        <v>4004</v>
      </c>
      <c r="C40" s="24" t="s">
        <v>108</v>
      </c>
      <c r="D40" s="24" t="s">
        <v>285</v>
      </c>
      <c r="E40" s="15">
        <v>42627.328148148146</v>
      </c>
      <c r="F40" s="15">
        <v>42627.33079861111</v>
      </c>
      <c r="G40" s="7">
        <v>0</v>
      </c>
      <c r="H40" s="15" t="s">
        <v>616</v>
      </c>
      <c r="I40" s="15">
        <v>42627.359756944446</v>
      </c>
      <c r="J40" s="7">
        <v>0</v>
      </c>
      <c r="K40" s="121" t="str">
        <f t="shared" si="0"/>
        <v>4003/4004</v>
      </c>
      <c r="L40" s="24" t="str">
        <f>VLOOKUP(A40,'Trips&amp;Operators'!$C$1:$E$10000,3,FALSE)</f>
        <v>MAELZER</v>
      </c>
      <c r="M40" s="6">
        <f t="shared" si="1"/>
        <v>2.8958333336049691E-2</v>
      </c>
      <c r="N40" s="7">
        <f t="shared" si="2"/>
        <v>41.700000003911555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06:52:32-0600',mode:absolute,to:'2016-09-14 09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23.3</v>
      </c>
      <c r="Z40" s="69">
        <f t="shared" si="17"/>
        <v>0.1169</v>
      </c>
      <c r="AA40" s="69">
        <f t="shared" si="9"/>
        <v>23.1831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0"/>
        <v>0128-14</v>
      </c>
      <c r="AE40" s="99" t="str">
        <f t="shared" si="11"/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AF40" s="96" t="str">
        <f t="shared" si="12"/>
        <v>"C:\Program Files (x86)\AstroGrep\AstroGrep.exe" /spath="%USERPROFILE%\AppData\Local\Temp\OnboardLogs" /stypes="app*4004*20160914*"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0" t="str">
        <f t="shared" si="16"/>
        <v>"%USERPROFILE%\Documents\GitHub\eaglep3\Utilities\RefineRTDCRunTimes.py" --tripid 128-14 --locoid 4004 --swversion DE.1.0.7.0 --startMP 204:233000 --initTime 2016-09-14T07:52:32 --startdatetime 2016-09-14T07:56:21 --delay 0 --endMP 204:1169 --enddatetime 2016-09-14T08:38:03 --enforcementcount 0 &gt;&gt;C:\Users\stu\Documents\GitHub\eaglep3-reporting\EC\2016-09-14-refined-times.txt</v>
      </c>
      <c r="AI40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{"issue":{"subject":"","project_id":79,"tracker_id":40,"status_id":1,"priority_id":2,"assigned_to_id":23,"start_date":"2016-09-14","description":"","custom_fields":[{"id":1,"name":"Subdivision","value":"EC"},{"id":4,"name":"Milepost","value":"0.1169"},{"id":17,"name":"Train ID","value":"128-14"},{"id":16,"name":"Locomotive ID","value":"4004"},{"id":130,"name":"Impact","value":""},{"id":150,"name":"Time of Event (Mountain Time)","value":"08:38:03"},{"id":151,"name":"Denver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423</v>
      </c>
      <c r="B41" s="7">
        <v>4027</v>
      </c>
      <c r="C41" s="24" t="s">
        <v>108</v>
      </c>
      <c r="D41" s="24" t="s">
        <v>617</v>
      </c>
      <c r="E41" s="15">
        <v>42627.298472222225</v>
      </c>
      <c r="F41" s="15">
        <v>42627.302384259259</v>
      </c>
      <c r="G41" s="7">
        <v>2</v>
      </c>
      <c r="H41" s="15" t="s">
        <v>308</v>
      </c>
      <c r="I41" s="15">
        <v>42627.32949074074</v>
      </c>
      <c r="J41" s="7">
        <v>0</v>
      </c>
      <c r="K41" s="121" t="str">
        <f t="shared" si="0"/>
        <v>4027/4028</v>
      </c>
      <c r="L41" s="24" t="str">
        <f>VLOOKUP(A41,'Trips&amp;Operators'!$C$1:$E$10000,3,FALSE)</f>
        <v>RICHARDSON</v>
      </c>
      <c r="M41" s="6">
        <f t="shared" si="1"/>
        <v>2.7106481480586808E-2</v>
      </c>
      <c r="N41" s="7">
        <f t="shared" si="2"/>
        <v>39.033333332045004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06:09:48-0600',mode:absolute,to:'2016-09-14 08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4.3700000000000003E-2</v>
      </c>
      <c r="Z41" s="69">
        <f t="shared" si="17"/>
        <v>23.329899999999999</v>
      </c>
      <c r="AA41" s="69">
        <f t="shared" si="9"/>
        <v>23.286199999999997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0"/>
        <v>0129-14</v>
      </c>
      <c r="AE41" s="99" t="str">
        <f t="shared" si="11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41" s="96" t="str">
        <f t="shared" si="12"/>
        <v>"C:\Program Files (x86)\AstroGrep\AstroGrep.exe" /spath="%USERPROFILE%\AppData\Local\Temp\OnboardLogs" /stypes="app*4027*20160914*"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0" t="str">
        <f t="shared" si="16"/>
        <v>"%USERPROFILE%\Documents\GitHub\eaglep3\Utilities\RefineRTDCRunTimes.py" --tripid 129-14 --locoid 4027 --swversion DE.1.0.7.0 --startMP 204:437 --initTime 2016-09-14T07:09:48 --startdatetime 2016-09-14T07:15:26 --delay 2 --endMP 204:233299 --enddatetime 2016-09-14T07:54:28 --enforcementcount 0 &gt;&gt;C:\Users\stu\Documents\GitHub\eaglep3-reporting\EC\2016-09-14-refined-times.txt</v>
      </c>
      <c r="AI41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{"issue":{"subject":"","project_id":79,"tracker_id":40,"status_id":1,"priority_id":2,"assigned_to_id":23,"start_date":"2016-09-14","description":"","custom_fields":[{"id":1,"name":"Subdivision","value":"EC"},{"id":4,"name":"Milepost","value":"23.3299"},{"id":17,"name":"Train ID","value":"129-14"},{"id":16,"name":"Locomotive ID","value":"4027"},{"id":130,"name":"Impact","value":""},{"id":150,"name":"Time of Event (Mountain Time)","value":"07:54:28"},{"id":151,"name":"Denver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433</v>
      </c>
      <c r="B42" s="7">
        <v>4028</v>
      </c>
      <c r="C42" s="24" t="s">
        <v>108</v>
      </c>
      <c r="D42" s="24" t="s">
        <v>224</v>
      </c>
      <c r="E42" s="15">
        <v>42627.336539351854</v>
      </c>
      <c r="F42" s="15">
        <v>42627.341134259259</v>
      </c>
      <c r="G42" s="7">
        <v>1</v>
      </c>
      <c r="H42" s="15" t="s">
        <v>618</v>
      </c>
      <c r="I42" s="15">
        <v>42627.360358796293</v>
      </c>
      <c r="J42" s="7">
        <v>0</v>
      </c>
      <c r="K42" s="121" t="str">
        <f t="shared" si="0"/>
        <v>4027/4028</v>
      </c>
      <c r="L42" s="24" t="str">
        <f>VLOOKUP(A42,'Trips&amp;Operators'!$C$1:$E$10000,3,FALSE)</f>
        <v>RICHARDSON</v>
      </c>
      <c r="M42" s="6">
        <f t="shared" si="1"/>
        <v>1.9224537034460809E-2</v>
      </c>
      <c r="N42" s="7"/>
      <c r="O42" s="7"/>
      <c r="P42" s="7">
        <f>24*60*SUM($M42:$M43)</f>
        <v>40.36666666273959</v>
      </c>
      <c r="Q42" s="25"/>
      <c r="R42" s="25" t="s">
        <v>743</v>
      </c>
      <c r="S42" s="37">
        <f>SUM(U42:U43)/IF(AG42="EC",12,1)</f>
        <v>0.58333333333333337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4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07:04:37-0600',mode:absolute,to:'2016-09-14 09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2" s="54" t="str">
        <f t="shared" si="6"/>
        <v>Y</v>
      </c>
      <c r="X42" s="168">
        <f t="shared" si="7"/>
        <v>1</v>
      </c>
      <c r="Y42" s="69">
        <f t="shared" si="8"/>
        <v>23.298200000000001</v>
      </c>
      <c r="Z42" s="69">
        <f t="shared" si="17"/>
        <v>6.0823</v>
      </c>
      <c r="AA42" s="69">
        <f t="shared" si="9"/>
        <v>17.215900000000001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0"/>
        <v>0130-14</v>
      </c>
      <c r="AE42" s="99" t="str">
        <f t="shared" si="11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42" s="96" t="str">
        <f t="shared" si="12"/>
        <v>"C:\Program Files (x86)\AstroGrep\AstroGrep.exe" /spath="%USERPROFILE%\AppData\Local\Temp\OnboardLogs" /stypes="app*4028*20160914*"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0" t="str">
        <f t="shared" si="16"/>
        <v>"%USERPROFILE%\Documents\GitHub\eaglep3\Utilities\RefineRTDCRunTimes.py" --tripid 130-14 --locoid 4028 --swversion DE.1.0.7.0 --startMP 204:232982 --initTime 2016-09-14T08:04:37 --startdatetime 2016-09-14T08:11:14 --delay 1 --endMP 204:60823 --enddatetime 2016-09-14T08:38:55 --enforcementcount 0 &gt;&gt;C:\Users\stu\Documents\GitHub\eaglep3-reporting\EC\2016-09-14-refined-times.txt</v>
      </c>
      <c r="AI42" s="134" t="str">
        <f t="shared" si="15"/>
        <v>echo {"issue":{"subject":"Form C @ Quebec… soft cut out to avoid phase break","project_id":79,"tracker_id":40,"status_id":1,"priority_id":2,"assigned_to_id":23,"start_date":"2016-09-14","description":"Form C was issued at Quebec XING, train cut out to avoid phase break","custom_fields":[{"id":1,"name":"Subdivision","value":"EC"},{"id":4,"name":"Milepost","value":"6.0823"},{"id":17,"name":"Train ID","value":"130-14"},{"id":16,"name":"Locomotive ID","value":"4028"},{"id":130,"name":"Impact","value":"Unexpected Cut-Out or Disengaged"},{"id":150,"name":"Time of Event (Mountain Time)","value":"08:38:55"},{"id":151,"name":"Denver Issue ID","value":""},{"id":178,"name":"Operational Impact","value":"Yes"},{"id":179,"name":"Denver Segment Assigned","value":"Power"}]}} | curl -X POST -H "Content-Type: application/json" -H "X-Redmine-API-Key: d6333d4a04012a730768444271f8ca06482dae87" https://secure.xorail.net/redmine/issues.json --data @-</v>
      </c>
      <c r="AJ42" s="55" t="s">
        <v>744</v>
      </c>
      <c r="AK42" s="55" t="s">
        <v>148</v>
      </c>
      <c r="AL42" s="55" t="s">
        <v>742</v>
      </c>
    </row>
    <row r="43" spans="1:38" s="1" customFormat="1" x14ac:dyDescent="0.25">
      <c r="A43" s="39" t="s">
        <v>433</v>
      </c>
      <c r="B43" s="7">
        <v>4028</v>
      </c>
      <c r="C43" s="24" t="s">
        <v>108</v>
      </c>
      <c r="D43" s="24" t="s">
        <v>619</v>
      </c>
      <c r="E43" s="15">
        <v>42627.36550925926</v>
      </c>
      <c r="F43" s="15">
        <v>42627.366400462961</v>
      </c>
      <c r="G43" s="7">
        <v>1</v>
      </c>
      <c r="H43" s="15" t="s">
        <v>291</v>
      </c>
      <c r="I43" s="15">
        <v>42627.375208333331</v>
      </c>
      <c r="J43" s="7">
        <v>0</v>
      </c>
      <c r="K43" s="121" t="str">
        <f t="shared" si="0"/>
        <v>4027/4028</v>
      </c>
      <c r="L43" s="24" t="str">
        <f>VLOOKUP(A43,'Trips&amp;Operators'!$C$1:$E$10000,3,FALSE)</f>
        <v>RICHARDSON</v>
      </c>
      <c r="M43" s="6">
        <f t="shared" si="1"/>
        <v>8.8078703702194616E-3</v>
      </c>
      <c r="N43" s="7"/>
      <c r="O43" s="7"/>
      <c r="P43" s="7"/>
      <c r="Q43" s="25"/>
      <c r="R43" s="25"/>
      <c r="S43" s="37"/>
      <c r="T43" s="52" t="str">
        <f t="shared" si="4"/>
        <v>Southbound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3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07:46:20-0600',mode:absolute,to:'2016-09-14 10:00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3" s="54" t="str">
        <f t="shared" si="6"/>
        <v>Y</v>
      </c>
      <c r="X43" s="168">
        <f t="shared" si="7"/>
        <v>0</v>
      </c>
      <c r="Y43" s="69">
        <f t="shared" si="8"/>
        <v>3.6579999999999999</v>
      </c>
      <c r="Z43" s="69">
        <f t="shared" si="17"/>
        <v>1.6899999999999998E-2</v>
      </c>
      <c r="AA43" s="69">
        <f t="shared" si="9"/>
        <v>3.6410999999999998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0"/>
        <v>0130-14</v>
      </c>
      <c r="AE43" s="99" t="str">
        <f t="shared" si="11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43" s="96" t="str">
        <f t="shared" si="12"/>
        <v>"C:\Program Files (x86)\AstroGrep\AstroGrep.exe" /spath="%USERPROFILE%\AppData\Local\Temp\OnboardLogs" /stypes="app*4028*20160914*" /stext=" 15:.+((SYSTEM_STATE.+slice.+state.+changed )|(ment ac)|(system.+state.+changed )|(\|lc)|(penalty)|(\[timeout)|(PRM\|1\|D)|(kpr)|(kdp))" /e /r /s</v>
      </c>
      <c r="AG43" s="1" t="str">
        <f t="shared" si="13"/>
        <v>EC</v>
      </c>
      <c r="AH43" s="100" t="str">
        <f t="shared" si="16"/>
        <v>"%USERPROFILE%\Documents\GitHub\eaglep3\Utilities\RefineRTDCRunTimes.py" --tripid 130-14 --locoid 4028 --swversion DE.1.0.7.0 --startMP 204:36580 --initTime 2016-09-14T08:46:20 --startdatetime 2016-09-14T08:47:37 --delay 1 --endMP 204:169 --enddatetime 2016-09-14T09:00:18 --enforcementcount 0 &gt;&gt;C:\Users\stu\Documents\GitHub\eaglep3-reporting\EC\2016-09-14-refined-times.txt</v>
      </c>
      <c r="AI43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{"issue":{"subject":"","project_id":79,"tracker_id":40,"status_id":1,"priority_id":2,"assigned_to_id":23,"start_date":"2016-09-14","description":"","custom_fields":[{"id":1,"name":"Subdivision","value":"EC"},{"id":4,"name":"Milepost","value":"0.0169"},{"id":17,"name":"Train ID","value":"130-14"},{"id":16,"name":"Locomotive ID","value":"4028"},{"id":130,"name":"Impact","value":""},{"id":150,"name":"Time of Event (Mountain Time)","value":"09:00:18"},{"id":151,"name":"Denver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425</v>
      </c>
      <c r="B44" s="7">
        <v>4038</v>
      </c>
      <c r="C44" s="24" t="s">
        <v>108</v>
      </c>
      <c r="D44" s="24" t="s">
        <v>254</v>
      </c>
      <c r="E44" s="15">
        <v>42627.313634259262</v>
      </c>
      <c r="F44" s="15">
        <v>42627.315520833334</v>
      </c>
      <c r="G44" s="7">
        <v>1</v>
      </c>
      <c r="H44" s="15" t="s">
        <v>354</v>
      </c>
      <c r="I44" s="15">
        <v>42627.347372685188</v>
      </c>
      <c r="J44" s="7">
        <v>0</v>
      </c>
      <c r="K44" s="121" t="str">
        <f t="shared" si="0"/>
        <v>4037/4038</v>
      </c>
      <c r="L44" s="24" t="str">
        <f>VLOOKUP(A44,'Trips&amp;Operators'!$C$1:$E$10000,3,FALSE)</f>
        <v>ARVIDSON</v>
      </c>
      <c r="M44" s="6">
        <f t="shared" si="1"/>
        <v>3.1851851854298729E-2</v>
      </c>
      <c r="N44" s="7">
        <f t="shared" ref="N44:P75" si="18">24*60*SUM($M44:$M44)</f>
        <v>45.86666667019017</v>
      </c>
      <c r="O44" s="7"/>
      <c r="P44" s="7"/>
      <c r="Q44" s="25"/>
      <c r="R44" s="25"/>
      <c r="S44" s="37">
        <f t="shared" ref="S44:S75" si="19">SUM(U44:U44)/IF(AG44="EC",12,1)</f>
        <v>1</v>
      </c>
      <c r="T44" s="52" t="str">
        <f t="shared" si="4"/>
        <v>NorthBound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06:31:38-0600',mode:absolute,to:'2016-09-14 09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4.6399999999999997E-2</v>
      </c>
      <c r="Z44" s="69">
        <f t="shared" si="17"/>
        <v>23.328299999999999</v>
      </c>
      <c r="AA44" s="69">
        <f t="shared" si="9"/>
        <v>23.2819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0"/>
        <v>0131-14</v>
      </c>
      <c r="AE44" s="99" t="str">
        <f t="shared" si="11"/>
        <v>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 &amp; aws s3 cp s3://rtdc.mdm.uploadarchive/RTDC4038/2016-09-15/ "%USERPROFILE%\AppData\Local\Temp\OnboardLogs"\RTDC4038\2016-09-15 --recursive &amp; "%USERPROFILE%\Documents\GitHub\mrs-test-scripts\Headless Mode &amp; Sideloading\WalkAndUnGZ.bat" "%USERPROFILE%\AppData\Local\Temp\OnboardLogs"\RTDC4038\2016-09-15</v>
      </c>
      <c r="AF44" s="96" t="str">
        <f t="shared" si="12"/>
        <v>"C:\Program Files (x86)\AstroGrep\AstroGrep.exe" /spath="%USERPROFILE%\AppData\Local\Temp\OnboardLogs" /stypes="app*4038*20160914*" /stext=" 14:.+((SYSTEM_STATE.+slice.+state.+changed )|(ment ac)|(system.+state.+changed )|(\|lc)|(penalty)|(\[timeout)|(PRM\|1\|D)|(kpr)|(kdp))" /e /r /s</v>
      </c>
      <c r="AG44" s="1" t="str">
        <f t="shared" si="13"/>
        <v>EC</v>
      </c>
      <c r="AH44" s="100" t="str">
        <f t="shared" si="16"/>
        <v>"%USERPROFILE%\Documents\GitHub\eaglep3\Utilities\RefineRTDCRunTimes.py" --tripid 131-14 --locoid 4038 --swversion DE.1.0.7.0 --startMP 204:464 --initTime 2016-09-14T07:31:38 --startdatetime 2016-09-14T07:34:21 --delay 1 --endMP 204:233283 --enddatetime 2016-09-14T08:20:13 --enforcementcount 0 &gt;&gt;C:\Users\stu\Documents\GitHub\eaglep3-reporting\EC\2016-09-14-refined-times.txt</v>
      </c>
      <c r="AI44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{"issue":{"subject":"","project_id":79,"tracker_id":40,"status_id":1,"priority_id":2,"assigned_to_id":23,"start_date":"2016-09-14","description":"","custom_fields":[{"id":1,"name":"Subdivision","value":"EC"},{"id":4,"name":"Milepost","value":"23.3283"},{"id":17,"name":"Train ID","value":"131-14"},{"id":16,"name":"Locomotive ID","value":"4038"},{"id":130,"name":"Impact","value":""},{"id":150,"name":"Time of Event (Mountain Time)","value":"08:20:13"},{"id":151,"name":"Denver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436</v>
      </c>
      <c r="B45" s="7">
        <v>4037</v>
      </c>
      <c r="C45" s="24" t="s">
        <v>108</v>
      </c>
      <c r="D45" s="24" t="s">
        <v>620</v>
      </c>
      <c r="E45" s="15">
        <v>42627.349733796298</v>
      </c>
      <c r="F45" s="15">
        <v>42627.352106481485</v>
      </c>
      <c r="G45" s="7">
        <v>1</v>
      </c>
      <c r="H45" s="15" t="s">
        <v>228</v>
      </c>
      <c r="I45" s="15">
        <v>42627.389479166668</v>
      </c>
      <c r="J45" s="7">
        <v>0</v>
      </c>
      <c r="K45" s="121" t="str">
        <f t="shared" si="0"/>
        <v>4037/4038</v>
      </c>
      <c r="L45" s="24" t="str">
        <f>VLOOKUP(A45,'Trips&amp;Operators'!$C$1:$E$10000,3,FALSE)</f>
        <v>ARVIDSON</v>
      </c>
      <c r="M45" s="6">
        <f t="shared" si="1"/>
        <v>3.7372685183072463E-2</v>
      </c>
      <c r="N45" s="7">
        <f t="shared" si="18"/>
        <v>53.816666663624346</v>
      </c>
      <c r="O45" s="7"/>
      <c r="P45" s="7"/>
      <c r="Q45" s="25"/>
      <c r="R45" s="25"/>
      <c r="S45" s="37">
        <f t="shared" si="19"/>
        <v>1</v>
      </c>
      <c r="T45" s="52" t="str">
        <f t="shared" si="4"/>
        <v>Southbound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07:23:37-0600',mode:absolute,to:'2016-09-14 10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5" s="54" t="str">
        <f t="shared" ref="W45:W61" si="20">IF(AA45&lt;IF(AG45="EC",23,5.65),"Y","N")</f>
        <v>N</v>
      </c>
      <c r="X45" s="168">
        <f t="shared" si="7"/>
        <v>1</v>
      </c>
      <c r="Y45" s="69">
        <f t="shared" ref="Y45:Y76" si="21">RIGHT(D45,LEN(D45)-4)/10000</f>
        <v>23.2959</v>
      </c>
      <c r="Z45" s="69">
        <f t="shared" si="17"/>
        <v>1.5800000000000002E-2</v>
      </c>
      <c r="AA45" s="69">
        <f t="shared" si="9"/>
        <v>23.280100000000001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0"/>
        <v>0132-14</v>
      </c>
      <c r="AE45" s="99" t="str">
        <f t="shared" si="11"/>
        <v>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 &amp; aws s3 cp s3://rtdc.mdm.uploadarchive/RTDC4037/2016-09-15/ "%USERPROFILE%\AppData\Local\Temp\OnboardLogs"\RTDC4037\2016-09-15 --recursive &amp; "%USERPROFILE%\Documents\GitHub\mrs-test-scripts\Headless Mode &amp; Sideloading\WalkAndUnGZ.bat" "%USERPROFILE%\AppData\Local\Temp\OnboardLogs"\RTDC4037\2016-09-15</v>
      </c>
      <c r="AF45" s="96" t="str">
        <f t="shared" si="12"/>
        <v>"C:\Program Files (x86)\AstroGrep\AstroGrep.exe" /spath="%USERPROFILE%\AppData\Local\Temp\OnboardLogs" /stypes="app*4037*20160914*" /stext=" 15:.+((SYSTEM_STATE.+slice.+state.+changed )|(ment ac)|(system.+state.+changed )|(\|lc)|(penalty)|(\[timeout)|(PRM\|1\|D)|(kpr)|(kdp))" /e /r /s</v>
      </c>
      <c r="AG45" s="1" t="str">
        <f t="shared" si="13"/>
        <v>EC</v>
      </c>
      <c r="AH45" s="100" t="str">
        <f t="shared" si="16"/>
        <v>"%USERPROFILE%\Documents\GitHub\eaglep3\Utilities\RefineRTDCRunTimes.py" --tripid 132-14 --locoid 4037 --swversion DE.1.0.7.0 --startMP 204:232959 --initTime 2016-09-14T08:23:37 --startdatetime 2016-09-14T08:27:02 --delay 1 --endMP 204:158 --enddatetime 2016-09-14T09:20:51 --enforcementcount 0 &gt;&gt;C:\Users\stu\Documents\GitHub\eaglep3-reporting\EC\2016-09-14-refined-times.txt</v>
      </c>
      <c r="AI45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{"issue":{"subject":"","project_id":79,"tracker_id":40,"status_id":1,"priority_id":2,"assigned_to_id":23,"start_date":"2016-09-14","description":"","custom_fields":[{"id":1,"name":"Subdivision","value":"EC"},{"id":4,"name":"Milepost","value":"0.0158"},{"id":17,"name":"Train ID","value":"132-14"},{"id":16,"name":"Locomotive ID","value":"4037"},{"id":130,"name":"Impact","value":""},{"id":150,"name":"Time of Event (Mountain Time)","value":"09:20:51"},{"id":151,"name":"Denver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428</v>
      </c>
      <c r="B46" s="7">
        <v>4014</v>
      </c>
      <c r="C46" s="24" t="s">
        <v>108</v>
      </c>
      <c r="D46" s="24" t="s">
        <v>243</v>
      </c>
      <c r="E46" s="15">
        <v>42627.321666666663</v>
      </c>
      <c r="F46" s="15">
        <v>42627.323321759257</v>
      </c>
      <c r="G46" s="7">
        <v>1</v>
      </c>
      <c r="H46" s="15" t="s">
        <v>251</v>
      </c>
      <c r="I46" s="15">
        <v>42627.356076388889</v>
      </c>
      <c r="J46" s="7">
        <v>0</v>
      </c>
      <c r="K46" s="121" t="str">
        <f t="shared" si="0"/>
        <v>4013/4014</v>
      </c>
      <c r="L46" s="24" t="str">
        <f>VLOOKUP(A46,'Trips&amp;Operators'!$C$1:$E$10000,3,FALSE)</f>
        <v>STRICKLAND</v>
      </c>
      <c r="M46" s="6">
        <f t="shared" si="1"/>
        <v>3.2754629632108845E-2</v>
      </c>
      <c r="N46" s="7">
        <f t="shared" si="18"/>
        <v>47.166666670236737</v>
      </c>
      <c r="O46" s="7"/>
      <c r="P46" s="7"/>
      <c r="Q46" s="25"/>
      <c r="R46" s="25"/>
      <c r="S46" s="37">
        <f t="shared" si="19"/>
        <v>1</v>
      </c>
      <c r="T46" s="52" t="str">
        <f t="shared" si="4"/>
        <v>NorthBound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06:43:12-0600',mode:absolute,to:'2016-09-14 09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6" s="54" t="str">
        <f t="shared" si="20"/>
        <v>N</v>
      </c>
      <c r="X46" s="168">
        <f t="shared" si="7"/>
        <v>1</v>
      </c>
      <c r="Y46" s="69">
        <f t="shared" si="21"/>
        <v>4.5499999999999999E-2</v>
      </c>
      <c r="Z46" s="69">
        <f t="shared" si="17"/>
        <v>23.3293</v>
      </c>
      <c r="AA46" s="69">
        <f t="shared" si="9"/>
        <v>23.283799999999999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10"/>
        <v>0133-14</v>
      </c>
      <c r="AE46" s="99" t="str">
        <f t="shared" si="11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46" s="96" t="str">
        <f t="shared" si="12"/>
        <v>"C:\Program Files (x86)\AstroGrep\AstroGrep.exe" /spath="%USERPROFILE%\AppData\Local\Temp\OnboardLogs" /stypes="app*4014*20160914*" /stext=" 14:.+((SYSTEM_STATE.+slice.+state.+changed )|(ment ac)|(system.+state.+changed )|(\|lc)|(penalty)|(\[timeout)|(PRM\|1\|D)|(kpr)|(kdp))" /e /r /s</v>
      </c>
      <c r="AG46" s="1" t="str">
        <f t="shared" si="13"/>
        <v>EC</v>
      </c>
      <c r="AH46" s="100" t="str">
        <f t="shared" si="16"/>
        <v>"%USERPROFILE%\Documents\GitHub\eaglep3\Utilities\RefineRTDCRunTimes.py" --tripid 133-14 --locoid 4014 --swversion DE.1.0.7.0 --startMP 204:455 --initTime 2016-09-14T07:43:12 --startdatetime 2016-09-14T07:45:35 --delay 1 --endMP 204:233293 --enddatetime 2016-09-14T08:32:45 --enforcementcount 0 &gt;&gt;C:\Users\stu\Documents\GitHub\eaglep3-reporting\EC\2016-09-14-refined-times.txt</v>
      </c>
      <c r="AI46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{"issue":{"subject":"","project_id":79,"tracker_id":40,"status_id":1,"priority_id":2,"assigned_to_id":23,"start_date":"2016-09-14","description":"","custom_fields":[{"id":1,"name":"Subdivision","value":"EC"},{"id":4,"name":"Milepost","value":"23.3293"},{"id":17,"name":"Train ID","value":"133-14"},{"id":16,"name":"Locomotive ID","value":"4014"},{"id":130,"name":"Impact","value":""},{"id":150,"name":"Time of Event (Mountain Time)","value":"08:32:45"},{"id":151,"name":"Denver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439</v>
      </c>
      <c r="B47" s="7">
        <v>4013</v>
      </c>
      <c r="C47" s="24" t="s">
        <v>108</v>
      </c>
      <c r="D47" s="24" t="s">
        <v>244</v>
      </c>
      <c r="E47" s="15">
        <v>42627.3593287037</v>
      </c>
      <c r="F47" s="15">
        <v>42627.362037037034</v>
      </c>
      <c r="G47" s="7">
        <v>1</v>
      </c>
      <c r="H47" s="15" t="s">
        <v>225</v>
      </c>
      <c r="I47" s="15">
        <v>42627.396099537036</v>
      </c>
      <c r="J47" s="7">
        <v>0</v>
      </c>
      <c r="K47" s="121" t="str">
        <f t="shared" si="0"/>
        <v>4013/4014</v>
      </c>
      <c r="L47" s="24" t="str">
        <f>VLOOKUP(A47,'Trips&amp;Operators'!$C$1:$E$10000,3,FALSE)</f>
        <v>STRICKLAND</v>
      </c>
      <c r="M47" s="6">
        <f t="shared" si="1"/>
        <v>3.4062500002619345E-2</v>
      </c>
      <c r="N47" s="7">
        <f t="shared" si="18"/>
        <v>49.050000003771856</v>
      </c>
      <c r="O47" s="7"/>
      <c r="P47" s="7"/>
      <c r="Q47" s="25"/>
      <c r="R47" s="25"/>
      <c r="S47" s="37">
        <f t="shared" si="19"/>
        <v>1</v>
      </c>
      <c r="T47" s="52" t="str">
        <f t="shared" si="4"/>
        <v>Southbound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07:37:26-0600',mode:absolute,to:'2016-09-14 10:30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7" s="54" t="str">
        <f t="shared" si="20"/>
        <v>N</v>
      </c>
      <c r="X47" s="168">
        <f t="shared" si="7"/>
        <v>1</v>
      </c>
      <c r="Y47" s="69">
        <f t="shared" si="21"/>
        <v>23.297699999999999</v>
      </c>
      <c r="Z47" s="69">
        <f t="shared" si="17"/>
        <v>1.6299999999999999E-2</v>
      </c>
      <c r="AA47" s="69">
        <f t="shared" si="9"/>
        <v>23.281399999999998</v>
      </c>
      <c r="AB47" s="66" t="str">
        <f>VLOOKUP(A47,Enforcements!$C$7:$K$20,8,0)</f>
        <v>Bulletin (2)</v>
      </c>
      <c r="AC47" s="62" t="str">
        <f>VLOOKUP(A47,Enforcements!$C$7:$E$20,3,0)</f>
        <v>GRADE CROSSING</v>
      </c>
      <c r="AD47" s="63" t="str">
        <f t="shared" si="10"/>
        <v>0134-14</v>
      </c>
      <c r="AE47" s="99" t="str">
        <f t="shared" si="11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47" s="96" t="str">
        <f t="shared" si="12"/>
        <v>"C:\Program Files (x86)\AstroGrep\AstroGrep.exe" /spath="%USERPROFILE%\AppData\Local\Temp\OnboardLogs" /stypes="app*4013*20160914*" /stext=" 15:.+((SYSTEM_STATE.+slice.+state.+changed )|(ment ac)|(system.+state.+changed )|(\|lc)|(penalty)|(\[timeout)|(PRM\|1\|D)|(kpr)|(kdp))" /e /r /s</v>
      </c>
      <c r="AG47" s="1" t="str">
        <f t="shared" si="13"/>
        <v>EC</v>
      </c>
      <c r="AH47" s="100" t="str">
        <f t="shared" si="16"/>
        <v>"%USERPROFILE%\Documents\GitHub\eaglep3\Utilities\RefineRTDCRunTimes.py" --tripid 134-14 --locoid 4013 --swversion DE.1.0.7.0 --startMP 204:232977 --initTime 2016-09-14T08:37:26 --startdatetime 2016-09-14T08:41:20 --delay 1 --endMP 204:163 --enddatetime 2016-09-14T09:30:23 --enforcementcount 0 &gt;&gt;C:\Users\stu\Documents\GitHub\eaglep3-reporting\EC\2016-09-14-refined-times.txt</v>
      </c>
      <c r="AI47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{"issue":{"subject":"","project_id":79,"tracker_id":40,"status_id":1,"priority_id":2,"assigned_to_id":23,"start_date":"2016-09-14","description":"","custom_fields":[{"id":1,"name":"Subdivision","value":"EC"},{"id":4,"name":"Milepost","value":"0.0163"},{"id":17,"name":"Train ID","value":"134-14"},{"id":16,"name":"Locomotive ID","value":"4013"},{"id":130,"name":"Impact","value":""},{"id":150,"name":"Time of Event (Mountain Time)","value":"09:30:23"},{"id":151,"name":"Denver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431</v>
      </c>
      <c r="B48" s="7">
        <v>4053</v>
      </c>
      <c r="C48" s="24" t="s">
        <v>108</v>
      </c>
      <c r="D48" s="24" t="s">
        <v>359</v>
      </c>
      <c r="E48" s="15">
        <v>42627.33090277778</v>
      </c>
      <c r="F48" s="15">
        <v>42627.333541666667</v>
      </c>
      <c r="G48" s="7">
        <v>1</v>
      </c>
      <c r="H48" s="15" t="s">
        <v>232</v>
      </c>
      <c r="I48" s="15">
        <v>42627.360694444447</v>
      </c>
      <c r="J48" s="7">
        <v>0</v>
      </c>
      <c r="K48" s="121" t="str">
        <f t="shared" si="0"/>
        <v>4053/4054</v>
      </c>
      <c r="L48" s="24" t="str">
        <f>VLOOKUP(A48,'Trips&amp;Operators'!$C$1:$E$10000,3,FALSE)</f>
        <v>SPECTOR</v>
      </c>
      <c r="M48" s="6">
        <f t="shared" si="1"/>
        <v>2.715277778042946E-2</v>
      </c>
      <c r="N48" s="7">
        <f t="shared" si="18"/>
        <v>39.100000003818423</v>
      </c>
      <c r="O48" s="7"/>
      <c r="P48" s="7"/>
      <c r="Q48" s="25"/>
      <c r="R48" s="25"/>
      <c r="S48" s="37">
        <f t="shared" si="19"/>
        <v>1</v>
      </c>
      <c r="T48" s="52" t="str">
        <f t="shared" si="4"/>
        <v>NorthBound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06:56:30-0600',mode:absolute,to:'2016-09-14 09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48" s="54" t="str">
        <f t="shared" si="20"/>
        <v>N</v>
      </c>
      <c r="X48" s="168">
        <f t="shared" si="7"/>
        <v>1</v>
      </c>
      <c r="Y48" s="69">
        <f t="shared" si="21"/>
        <v>4.3999999999999997E-2</v>
      </c>
      <c r="Z48" s="69">
        <f t="shared" si="17"/>
        <v>23.330200000000001</v>
      </c>
      <c r="AA48" s="69">
        <f t="shared" si="9"/>
        <v>23.286200000000001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0"/>
        <v>0135-14</v>
      </c>
      <c r="AE48" s="99" t="str">
        <f t="shared" si="11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48" s="96" t="str">
        <f t="shared" si="12"/>
        <v>"C:\Program Files (x86)\AstroGrep\AstroGrep.exe" /spath="%USERPROFILE%\AppData\Local\Temp\OnboardLogs" /stypes="app*4053*20160914*" /stext=" 14:.+((SYSTEM_STATE.+slice.+state.+changed )|(ment ac)|(system.+state.+changed )|(\|lc)|(penalty)|(\[timeout)|(PRM\|1\|D)|(kpr)|(kdp))" /e /r /s</v>
      </c>
      <c r="AG48" s="1" t="str">
        <f t="shared" si="13"/>
        <v>EC</v>
      </c>
      <c r="AH48" s="100" t="str">
        <f t="shared" si="16"/>
        <v>"%USERPROFILE%\Documents\GitHub\eaglep3\Utilities\RefineRTDCRunTimes.py" --tripid 135-14 --locoid 4053 --swversion DE.1.0.7.0 --startMP 204:440 --initTime 2016-09-14T07:56:30 --startdatetime 2016-09-14T08:00:18 --delay 1 --endMP 204:233302 --enddatetime 2016-09-14T08:39:24 --enforcementcount 0 &gt;&gt;C:\Users\stu\Documents\GitHub\eaglep3-reporting\EC\2016-09-14-refined-times.txt</v>
      </c>
      <c r="AI48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{"issue":{"subject":"","project_id":79,"tracker_id":40,"status_id":1,"priority_id":2,"assigned_to_id":23,"start_date":"2016-09-14","description":"","custom_fields":[{"id":1,"name":"Subdivision","value":"EC"},{"id":4,"name":"Milepost","value":"23.3302"},{"id":17,"name":"Train ID","value":"135-14"},{"id":16,"name":"Locomotive ID","value":"4053"},{"id":130,"name":"Impact","value":""},{"id":150,"name":"Time of Event (Mountain Time)","value":"08:39:24"},{"id":151,"name":"Denver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442</v>
      </c>
      <c r="B49" s="7">
        <v>4054</v>
      </c>
      <c r="C49" s="24" t="s">
        <v>108</v>
      </c>
      <c r="D49" s="24" t="s">
        <v>621</v>
      </c>
      <c r="E49" s="15">
        <v>42627.367569444446</v>
      </c>
      <c r="F49" s="15">
        <v>42627.372743055559</v>
      </c>
      <c r="G49" s="7">
        <v>1</v>
      </c>
      <c r="H49" s="15" t="s">
        <v>233</v>
      </c>
      <c r="I49" s="15">
        <v>42627.403067129628</v>
      </c>
      <c r="J49" s="7">
        <v>0</v>
      </c>
      <c r="K49" s="121" t="str">
        <f t="shared" si="0"/>
        <v>4053/4054</v>
      </c>
      <c r="L49" s="24" t="str">
        <f>VLOOKUP(A49,'Trips&amp;Operators'!$C$1:$E$10000,3,FALSE)</f>
        <v>SPECTOR</v>
      </c>
      <c r="M49" s="6">
        <f t="shared" si="1"/>
        <v>3.032407406863058E-2</v>
      </c>
      <c r="N49" s="7">
        <f t="shared" si="18"/>
        <v>43.666666658828035</v>
      </c>
      <c r="O49" s="7"/>
      <c r="P49" s="7"/>
      <c r="Q49" s="25"/>
      <c r="R49" s="25"/>
      <c r="S49" s="37">
        <f t="shared" si="19"/>
        <v>1</v>
      </c>
      <c r="T49" s="52" t="str">
        <f t="shared" si="4"/>
        <v>Southbound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07:49:18-0600',mode:absolute,to:'2016-09-14 10:40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9" s="54" t="str">
        <f t="shared" si="20"/>
        <v>N</v>
      </c>
      <c r="X49" s="168">
        <f t="shared" si="7"/>
        <v>1</v>
      </c>
      <c r="Y49" s="69">
        <f t="shared" si="21"/>
        <v>23.298500000000001</v>
      </c>
      <c r="Z49" s="69">
        <f t="shared" si="17"/>
        <v>1.4999999999999999E-2</v>
      </c>
      <c r="AA49" s="69">
        <f t="shared" si="9"/>
        <v>23.2835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0"/>
        <v>0136-14</v>
      </c>
      <c r="AE49" s="99" t="str">
        <f t="shared" si="11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49" s="96" t="str">
        <f t="shared" si="12"/>
        <v>"C:\Program Files (x86)\AstroGrep\AstroGrep.exe" /spath="%USERPROFILE%\AppData\Local\Temp\OnboardLogs" /stypes="app*4054*20160914*" /stext=" 15:.+((SYSTEM_STATE.+slice.+state.+changed )|(ment ac)|(system.+state.+changed )|(\|lc)|(penalty)|(\[timeout)|(PRM\|1\|D)|(kpr)|(kdp))" /e /r /s</v>
      </c>
      <c r="AG49" s="1" t="str">
        <f t="shared" si="13"/>
        <v>EC</v>
      </c>
      <c r="AH49" s="100" t="str">
        <f t="shared" si="16"/>
        <v>"%USERPROFILE%\Documents\GitHub\eaglep3\Utilities\RefineRTDCRunTimes.py" --tripid 136-14 --locoid 4054 --swversion DE.1.0.7.0 --startMP 204:232985 --initTime 2016-09-14T08:49:18 --startdatetime 2016-09-14T08:56:45 --delay 1 --endMP 204:150 --enddatetime 2016-09-14T09:40:25 --enforcementcount 0 &gt;&gt;C:\Users\stu\Documents\GitHub\eaglep3-reporting\EC\2016-09-14-refined-times.txt</v>
      </c>
      <c r="AI49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{"issue":{"subject":"","project_id":79,"tracker_id":40,"status_id":1,"priority_id":2,"assigned_to_id":23,"start_date":"2016-09-14","description":"","custom_fields":[{"id":1,"name":"Subdivision","value":"EC"},{"id":4,"name":"Milepost","value":"0.015"},{"id":17,"name":"Train ID","value":"136-14"},{"id":16,"name":"Locomotive ID","value":"4054"},{"id":130,"name":"Impact","value":""},{"id":150,"name":"Time of Event (Mountain Time)","value":"09:40:25"},{"id":151,"name":"Denver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435</v>
      </c>
      <c r="B50" s="7">
        <v>4040</v>
      </c>
      <c r="C50" s="24" t="s">
        <v>108</v>
      </c>
      <c r="D50" s="24" t="s">
        <v>279</v>
      </c>
      <c r="E50" s="15">
        <v>42627.341770833336</v>
      </c>
      <c r="F50" s="15">
        <v>42627.344131944446</v>
      </c>
      <c r="G50" s="7">
        <v>1</v>
      </c>
      <c r="H50" s="15" t="s">
        <v>323</v>
      </c>
      <c r="I50" s="15">
        <v>42627.370185185187</v>
      </c>
      <c r="J50" s="7">
        <v>0</v>
      </c>
      <c r="K50" s="121" t="str">
        <f t="shared" si="0"/>
        <v>4039/4040</v>
      </c>
      <c r="L50" s="24" t="str">
        <f>VLOOKUP(A50,'Trips&amp;Operators'!$C$1:$E$10000,3,FALSE)</f>
        <v>KILLION</v>
      </c>
      <c r="M50" s="6">
        <f t="shared" si="1"/>
        <v>2.6053240741021E-2</v>
      </c>
      <c r="N50" s="7">
        <f t="shared" si="18"/>
        <v>37.51666666707024</v>
      </c>
      <c r="O50" s="7"/>
      <c r="P50" s="7"/>
      <c r="Q50" s="25"/>
      <c r="R50" s="25"/>
      <c r="S50" s="37">
        <f t="shared" si="19"/>
        <v>1</v>
      </c>
      <c r="T50" s="52" t="str">
        <f t="shared" si="4"/>
        <v>NorthBound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07:12:09-0600',mode:absolute,to:'2016-09-14 09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50" s="54" t="str">
        <f t="shared" si="20"/>
        <v>N</v>
      </c>
      <c r="X50" s="168">
        <f t="shared" si="7"/>
        <v>1</v>
      </c>
      <c r="Y50" s="69">
        <f t="shared" si="21"/>
        <v>4.4900000000000002E-2</v>
      </c>
      <c r="Z50" s="69">
        <f t="shared" si="17"/>
        <v>23.328800000000001</v>
      </c>
      <c r="AA50" s="69">
        <f t="shared" si="9"/>
        <v>23.283900000000003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0"/>
        <v>0137-14</v>
      </c>
      <c r="AE50" s="99" t="str">
        <f t="shared" si="11"/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AF50" s="96" t="str">
        <f t="shared" si="12"/>
        <v>"C:\Program Files (x86)\AstroGrep\AstroGrep.exe" /spath="%USERPROFILE%\AppData\Local\Temp\OnboardLogs" /stypes="app*4040*20160914*" /stext=" 14:.+((SYSTEM_STATE.+slice.+state.+changed )|(ment ac)|(system.+state.+changed )|(\|lc)|(penalty)|(\[timeout)|(PRM\|1\|D)|(kpr)|(kdp))" /e /r /s</v>
      </c>
      <c r="AG50" s="1" t="str">
        <f t="shared" si="13"/>
        <v>EC</v>
      </c>
      <c r="AH50" s="100" t="str">
        <f t="shared" si="16"/>
        <v>"%USERPROFILE%\Documents\GitHub\eaglep3\Utilities\RefineRTDCRunTimes.py" --tripid 137-14 --locoid 4040 --swversion DE.1.0.7.0 --startMP 204:449 --initTime 2016-09-14T08:12:09 --startdatetime 2016-09-14T08:15:33 --delay 1 --endMP 204:233288 --enddatetime 2016-09-14T08:53:04 --enforcementcount 0 &gt;&gt;C:\Users\stu\Documents\GitHub\eaglep3-reporting\EC\2016-09-14-refined-times.txt</v>
      </c>
      <c r="AI50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{"issue":{"subject":"","project_id":79,"tracker_id":40,"status_id":1,"priority_id":2,"assigned_to_id":23,"start_date":"2016-09-14","description":"","custom_fields":[{"id":1,"name":"Subdivision","value":"EC"},{"id":4,"name":"Milepost","value":"23.3288"},{"id":17,"name":"Train ID","value":"137-14"},{"id":16,"name":"Locomotive ID","value":"4040"},{"id":130,"name":"Impact","value":""},{"id":150,"name":"Time of Event (Mountain Time)","value":"08:53:04"},{"id":151,"name":"Denver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444</v>
      </c>
      <c r="B51" s="7">
        <v>4039</v>
      </c>
      <c r="C51" s="24" t="s">
        <v>108</v>
      </c>
      <c r="D51" s="24" t="s">
        <v>622</v>
      </c>
      <c r="E51" s="15">
        <v>42627.379490740743</v>
      </c>
      <c r="F51" s="15">
        <v>42627.382835648146</v>
      </c>
      <c r="G51" s="7">
        <v>1</v>
      </c>
      <c r="H51" s="15" t="s">
        <v>242</v>
      </c>
      <c r="I51" s="15">
        <v>42627.412349537037</v>
      </c>
      <c r="J51" s="7">
        <v>0</v>
      </c>
      <c r="K51" s="121" t="str">
        <f t="shared" si="0"/>
        <v>4039/4040</v>
      </c>
      <c r="L51" s="24" t="str">
        <f>VLOOKUP(A51,'Trips&amp;Operators'!$C$1:$E$10000,3,FALSE)</f>
        <v>KILLION</v>
      </c>
      <c r="M51" s="6">
        <f t="shared" si="1"/>
        <v>2.9513888890505768E-2</v>
      </c>
      <c r="N51" s="7">
        <f t="shared" si="18"/>
        <v>42.500000002328306</v>
      </c>
      <c r="O51" s="7"/>
      <c r="P51" s="7"/>
      <c r="Q51" s="25"/>
      <c r="R51" s="25"/>
      <c r="S51" s="37">
        <f t="shared" si="19"/>
        <v>1</v>
      </c>
      <c r="T51" s="52" t="str">
        <f t="shared" si="4"/>
        <v>Southbound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08:06:28-0600',mode:absolute,to:'2016-09-14 10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51" s="54" t="str">
        <f t="shared" si="20"/>
        <v>N</v>
      </c>
      <c r="X51" s="168">
        <f t="shared" si="7"/>
        <v>1</v>
      </c>
      <c r="Y51" s="69">
        <f t="shared" si="21"/>
        <v>23.2986</v>
      </c>
      <c r="Z51" s="69">
        <f t="shared" si="17"/>
        <v>1.5599999999999999E-2</v>
      </c>
      <c r="AA51" s="69">
        <f t="shared" si="9"/>
        <v>23.283000000000001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0"/>
        <v>0138-14</v>
      </c>
      <c r="AE51" s="99" t="str">
        <f t="shared" si="11"/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AF51" s="96" t="str">
        <f t="shared" si="12"/>
        <v>"C:\Program Files (x86)\AstroGrep\AstroGrep.exe" /spath="%USERPROFILE%\AppData\Local\Temp\OnboardLogs" /stypes="app*4039*20160914*"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100" t="str">
        <f t="shared" si="16"/>
        <v>"%USERPROFILE%\Documents\GitHub\eaglep3\Utilities\RefineRTDCRunTimes.py" --tripid 138-14 --locoid 4039 --swversion DE.1.0.7.0 --startMP 204:232986 --initTime 2016-09-14T09:06:28 --startdatetime 2016-09-14T09:11:17 --delay 1 --endMP 204:156 --enddatetime 2016-09-14T09:53:47 --enforcementcount 0 &gt;&gt;C:\Users\stu\Documents\GitHub\eaglep3-reporting\EC\2016-09-14-refined-times.txt</v>
      </c>
      <c r="AI51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{"issue":{"subject":"","project_id":79,"tracker_id":40,"status_id":1,"priority_id":2,"assigned_to_id":23,"start_date":"2016-09-14","description":"","custom_fields":[{"id":1,"name":"Subdivision","value":"EC"},{"id":4,"name":"Milepost","value":"0.0156"},{"id":17,"name":"Train ID","value":"138-14"},{"id":16,"name":"Locomotive ID","value":"4039"},{"id":130,"name":"Impact","value":""},{"id":150,"name":"Time of Event (Mountain Time)","value":"09:53:47"},{"id":151,"name":"Denver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437</v>
      </c>
      <c r="B52" s="7">
        <v>4044</v>
      </c>
      <c r="C52" s="24" t="s">
        <v>108</v>
      </c>
      <c r="D52" s="24" t="s">
        <v>313</v>
      </c>
      <c r="E52" s="15">
        <v>42627.352696759262</v>
      </c>
      <c r="F52" s="15">
        <v>42627.354791666665</v>
      </c>
      <c r="G52" s="7">
        <v>1</v>
      </c>
      <c r="H52" s="15" t="s">
        <v>284</v>
      </c>
      <c r="I52" s="15">
        <v>42627.379907407405</v>
      </c>
      <c r="J52" s="7">
        <v>0</v>
      </c>
      <c r="K52" s="121" t="str">
        <f t="shared" si="0"/>
        <v>4043/4044</v>
      </c>
      <c r="L52" s="24" t="str">
        <f>VLOOKUP(A52,'Trips&amp;Operators'!$C$1:$E$10000,3,FALSE)</f>
        <v>ROCHA</v>
      </c>
      <c r="M52" s="6">
        <f t="shared" si="1"/>
        <v>2.5115740740147885E-2</v>
      </c>
      <c r="N52" s="7">
        <f t="shared" si="18"/>
        <v>36.166666665812954</v>
      </c>
      <c r="O52" s="7"/>
      <c r="P52" s="7"/>
      <c r="Q52" s="25"/>
      <c r="R52" s="25"/>
      <c r="S52" s="37">
        <f t="shared" si="19"/>
        <v>1</v>
      </c>
      <c r="T52" s="52" t="str">
        <f t="shared" si="4"/>
        <v>NorthBound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07:27:53-0600',mode:absolute,to:'2016-09-14 10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2" s="54" t="str">
        <f t="shared" si="20"/>
        <v>N</v>
      </c>
      <c r="X52" s="168">
        <f t="shared" si="7"/>
        <v>1</v>
      </c>
      <c r="Y52" s="69">
        <f t="shared" si="21"/>
        <v>4.6199999999999998E-2</v>
      </c>
      <c r="Z52" s="69">
        <f t="shared" si="17"/>
        <v>23.329799999999999</v>
      </c>
      <c r="AA52" s="69">
        <f t="shared" si="9"/>
        <v>23.2836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10"/>
        <v>0139-14</v>
      </c>
      <c r="AE52" s="99" t="str">
        <f t="shared" si="11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52" s="96" t="str">
        <f t="shared" si="12"/>
        <v>"C:\Program Files (x86)\AstroGrep\AstroGrep.exe" /spath="%USERPROFILE%\AppData\Local\Temp\OnboardLogs" /stypes="app*4044*20160914*" /stext=" 15:.+((SYSTEM_STATE.+slice.+state.+changed )|(ment ac)|(system.+state.+changed )|(\|lc)|(penalty)|(\[timeout)|(PRM\|1\|D)|(kpr)|(kdp))" /e /r /s</v>
      </c>
      <c r="AG52" s="1" t="str">
        <f t="shared" si="13"/>
        <v>EC</v>
      </c>
      <c r="AH52" s="100" t="str">
        <f t="shared" si="16"/>
        <v>"%USERPROFILE%\Documents\GitHub\eaglep3\Utilities\RefineRTDCRunTimes.py" --tripid 139-14 --locoid 4044 --swversion DE.1.0.7.0 --startMP 204:462 --initTime 2016-09-14T08:27:53 --startdatetime 2016-09-14T08:30:54 --delay 1 --endMP 204:233298 --enddatetime 2016-09-14T09:07:04 --enforcementcount 0 &gt;&gt;C:\Users\stu\Documents\GitHub\eaglep3-reporting\EC\2016-09-14-refined-times.txt</v>
      </c>
      <c r="AI52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{"issue":{"subject":"","project_id":79,"tracker_id":40,"status_id":1,"priority_id":2,"assigned_to_id":23,"start_date":"2016-09-14","description":"","custom_fields":[{"id":1,"name":"Subdivision","value":"EC"},{"id":4,"name":"Milepost","value":"23.3298"},{"id":17,"name":"Train ID","value":"139-14"},{"id":16,"name":"Locomotive ID","value":"4044"},{"id":130,"name":"Impact","value":""},{"id":150,"name":"Time of Event (Mountain Time)","value":"09:07:04"},{"id":151,"name":"Denver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446</v>
      </c>
      <c r="B53" s="7">
        <v>4043</v>
      </c>
      <c r="C53" s="24" t="s">
        <v>108</v>
      </c>
      <c r="D53" s="24" t="s">
        <v>244</v>
      </c>
      <c r="E53" s="15">
        <v>42627.391157407408</v>
      </c>
      <c r="F53" s="15">
        <v>42627.393564814818</v>
      </c>
      <c r="G53" s="7">
        <v>1</v>
      </c>
      <c r="H53" s="15" t="s">
        <v>233</v>
      </c>
      <c r="I53" s="15">
        <v>42627.422465277778</v>
      </c>
      <c r="J53" s="7">
        <v>0</v>
      </c>
      <c r="K53" s="121" t="str">
        <f t="shared" si="0"/>
        <v>4043/4044</v>
      </c>
      <c r="L53" s="24" t="str">
        <f>VLOOKUP(A53,'Trips&amp;Operators'!$C$1:$E$10000,3,FALSE)</f>
        <v>ROCHA</v>
      </c>
      <c r="M53" s="6">
        <f t="shared" si="1"/>
        <v>2.8900462959427387E-2</v>
      </c>
      <c r="N53" s="7">
        <f t="shared" si="18"/>
        <v>41.616666661575437</v>
      </c>
      <c r="O53" s="7"/>
      <c r="P53" s="7"/>
      <c r="Q53" s="25"/>
      <c r="R53" s="25"/>
      <c r="S53" s="37">
        <f t="shared" si="19"/>
        <v>1</v>
      </c>
      <c r="T53" s="52" t="str">
        <f t="shared" si="4"/>
        <v>Southbound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08:23:16-0600',mode:absolute,to:'2016-09-14 11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3" s="54" t="str">
        <f t="shared" si="20"/>
        <v>N</v>
      </c>
      <c r="X53" s="168">
        <f t="shared" si="7"/>
        <v>1</v>
      </c>
      <c r="Y53" s="69">
        <f t="shared" si="21"/>
        <v>23.297699999999999</v>
      </c>
      <c r="Z53" s="69">
        <f t="shared" si="17"/>
        <v>1.4999999999999999E-2</v>
      </c>
      <c r="AA53" s="69">
        <f t="shared" si="9"/>
        <v>23.282699999999998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0"/>
        <v>0140-14</v>
      </c>
      <c r="AE53" s="99" t="str">
        <f t="shared" si="11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53" s="96" t="str">
        <f t="shared" si="12"/>
        <v>"C:\Program Files (x86)\AstroGrep\AstroGrep.exe" /spath="%USERPROFILE%\AppData\Local\Temp\OnboardLogs" /stypes="app*4043*20160914*" /stext=" 16:.+((SYSTEM_STATE.+slice.+state.+changed )|(ment ac)|(system.+state.+changed )|(\|lc)|(penalty)|(\[timeout)|(PRM\|1\|D)|(kpr)|(kdp))" /e /r /s</v>
      </c>
      <c r="AG53" s="1" t="str">
        <f t="shared" si="13"/>
        <v>EC</v>
      </c>
      <c r="AH53" s="100" t="str">
        <f t="shared" si="16"/>
        <v>"%USERPROFILE%\Documents\GitHub\eaglep3\Utilities\RefineRTDCRunTimes.py" --tripid 140-14 --locoid 4043 --swversion DE.1.0.7.0 --startMP 204:232977 --initTime 2016-09-14T09:23:16 --startdatetime 2016-09-14T09:26:44 --delay 1 --endMP 204:150 --enddatetime 2016-09-14T10:08:21 --enforcementcount 0 &gt;&gt;C:\Users\stu\Documents\GitHub\eaglep3-reporting\EC\2016-09-14-refined-times.txt</v>
      </c>
      <c r="AI53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{"issue":{"subject":"","project_id":79,"tracker_id":40,"status_id":1,"priority_id":2,"assigned_to_id":23,"start_date":"2016-09-14","description":"","custom_fields":[{"id":1,"name":"Subdivision","value":"EC"},{"id":4,"name":"Milepost","value":"0.015"},{"id":17,"name":"Train ID","value":"140-14"},{"id":16,"name":"Locomotive ID","value":"4043"},{"id":130,"name":"Impact","value":""},{"id":150,"name":"Time of Event (Mountain Time)","value":"10:08:21"},{"id":151,"name":"Denver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440</v>
      </c>
      <c r="B54" s="7">
        <v>4042</v>
      </c>
      <c r="C54" s="24" t="s">
        <v>108</v>
      </c>
      <c r="D54" s="24" t="s">
        <v>231</v>
      </c>
      <c r="E54" s="15">
        <v>42627.355624999997</v>
      </c>
      <c r="F54" s="15">
        <v>42627.364814814813</v>
      </c>
      <c r="G54" s="7">
        <v>7</v>
      </c>
      <c r="H54" s="15" t="s">
        <v>623</v>
      </c>
      <c r="I54" s="15">
        <v>42627.397488425922</v>
      </c>
      <c r="J54" s="7">
        <v>0</v>
      </c>
      <c r="K54" s="121" t="str">
        <f t="shared" si="0"/>
        <v>4041/4042</v>
      </c>
      <c r="L54" s="24" t="str">
        <f>VLOOKUP(A54,'Trips&amp;Operators'!$C$1:$E$10000,3,FALSE)</f>
        <v>MAELZER</v>
      </c>
      <c r="M54" s="6">
        <f t="shared" si="1"/>
        <v>3.2673611109203193E-2</v>
      </c>
      <c r="N54" s="7">
        <f t="shared" si="18"/>
        <v>47.049999997252598</v>
      </c>
      <c r="O54" s="7"/>
      <c r="P54" s="7"/>
      <c r="Q54" s="25"/>
      <c r="R54" s="25"/>
      <c r="S54" s="37">
        <f t="shared" si="19"/>
        <v>1</v>
      </c>
      <c r="T54" s="52" t="str">
        <f t="shared" si="4"/>
        <v>NorthBound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07:32:06-0600',mode:absolute,to:'2016-09-14 10:32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4" s="54" t="str">
        <f t="shared" si="20"/>
        <v>N</v>
      </c>
      <c r="X54" s="168">
        <f t="shared" si="7"/>
        <v>1</v>
      </c>
      <c r="Y54" s="69">
        <f t="shared" si="21"/>
        <v>4.53E-2</v>
      </c>
      <c r="Z54" s="69">
        <f t="shared" si="17"/>
        <v>23.328399999999998</v>
      </c>
      <c r="AA54" s="69">
        <f t="shared" si="9"/>
        <v>23.283099999999997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0"/>
        <v>0141-14</v>
      </c>
      <c r="AE54" s="99" t="str">
        <f t="shared" si="11"/>
        <v>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 &amp; 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</v>
      </c>
      <c r="AF54" s="96" t="str">
        <f t="shared" si="12"/>
        <v>"C:\Program Files (x86)\AstroGrep\AstroGrep.exe" /spath="%USERPROFILE%\AppData\Local\Temp\OnboardLogs" /stypes="app*4042*20160914*" /stext=" 15:.+((SYSTEM_STATE.+slice.+state.+changed )|(ment ac)|(system.+state.+changed )|(\|lc)|(penalty)|(\[timeout)|(PRM\|1\|D)|(kpr)|(kdp))" /e /r /s</v>
      </c>
      <c r="AG54" s="1" t="str">
        <f t="shared" si="13"/>
        <v>EC</v>
      </c>
      <c r="AH54" s="100" t="str">
        <f t="shared" si="16"/>
        <v>"%USERPROFILE%\Documents\GitHub\eaglep3\Utilities\RefineRTDCRunTimes.py" --tripid 141-14 --locoid 4042 --swversion DE.1.0.7.0 --startMP 204:453 --initTime 2016-09-14T08:32:06 --startdatetime 2016-09-14T08:45:20 --delay 7 --endMP 204:233284 --enddatetime 2016-09-14T09:32:23 --enforcementcount 0 &gt;&gt;C:\Users\stu\Documents\GitHub\eaglep3-reporting\EC\2016-09-14-refined-times.txt</v>
      </c>
      <c r="AI54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{"issue":{"subject":"","project_id":79,"tracker_id":40,"status_id":1,"priority_id":2,"assigned_to_id":23,"start_date":"2016-09-14","description":"","custom_fields":[{"id":1,"name":"Subdivision","value":"EC"},{"id":4,"name":"Milepost","value":"23.3284"},{"id":17,"name":"Train ID","value":"141-14"},{"id":16,"name":"Locomotive ID","value":"4042"},{"id":130,"name":"Impact","value":""},{"id":150,"name":"Time of Event (Mountain Time)","value":"09:32:23"},{"id":151,"name":"Denver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451</v>
      </c>
      <c r="B55" s="7">
        <v>4041</v>
      </c>
      <c r="C55" s="24" t="s">
        <v>108</v>
      </c>
      <c r="D55" s="24" t="s">
        <v>350</v>
      </c>
      <c r="E55" s="15">
        <v>42627.401388888888</v>
      </c>
      <c r="F55" s="15">
        <v>42627.403703703705</v>
      </c>
      <c r="G55" s="7">
        <v>1</v>
      </c>
      <c r="H55" s="15" t="s">
        <v>238</v>
      </c>
      <c r="I55" s="15">
        <v>42627.431504629632</v>
      </c>
      <c r="J55" s="7">
        <v>0</v>
      </c>
      <c r="K55" s="121" t="str">
        <f t="shared" si="0"/>
        <v>4041/4042</v>
      </c>
      <c r="L55" s="24" t="str">
        <f>VLOOKUP(A55,'Trips&amp;Operators'!$C$1:$E$10000,3,FALSE)</f>
        <v>MAELZER</v>
      </c>
      <c r="M55" s="6">
        <f t="shared" si="1"/>
        <v>2.7800925927294884E-2</v>
      </c>
      <c r="N55" s="7">
        <f t="shared" si="18"/>
        <v>40.033333335304633</v>
      </c>
      <c r="O55" s="7"/>
      <c r="P55" s="7"/>
      <c r="Q55" s="25"/>
      <c r="R55" s="25"/>
      <c r="S55" s="37">
        <f t="shared" si="19"/>
        <v>1</v>
      </c>
      <c r="T55" s="52" t="str">
        <f t="shared" si="4"/>
        <v>Southbound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08:38:00-0600',mode:absolute,to:'2016-09-14 11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5" s="54" t="str">
        <f t="shared" si="20"/>
        <v>N</v>
      </c>
      <c r="X55" s="168">
        <f t="shared" si="7"/>
        <v>1</v>
      </c>
      <c r="Y55" s="69">
        <f t="shared" si="21"/>
        <v>23.2973</v>
      </c>
      <c r="Z55" s="69">
        <f t="shared" si="17"/>
        <v>1.4500000000000001E-2</v>
      </c>
      <c r="AA55" s="69">
        <f t="shared" si="9"/>
        <v>23.282799999999998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0"/>
        <v>0142-14</v>
      </c>
      <c r="AE55" s="99" t="str">
        <f t="shared" si="11"/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AF55" s="96" t="str">
        <f t="shared" si="12"/>
        <v>"C:\Program Files (x86)\AstroGrep\AstroGrep.exe" /spath="%USERPROFILE%\AppData\Local\Temp\OnboardLogs" /stypes="app*4041*20160914*" /stext=" 16:.+((SYSTEM_STATE.+slice.+state.+changed )|(ment ac)|(system.+state.+changed )|(\|lc)|(penalty)|(\[timeout)|(PRM\|1\|D)|(kpr)|(kdp))" /e /r /s</v>
      </c>
      <c r="AG55" s="1" t="str">
        <f t="shared" si="13"/>
        <v>EC</v>
      </c>
      <c r="AH55" s="100" t="str">
        <f t="shared" si="16"/>
        <v>"%USERPROFILE%\Documents\GitHub\eaglep3\Utilities\RefineRTDCRunTimes.py" --tripid 142-14 --locoid 4041 --swversion DE.1.0.7.0 --startMP 204:232973 --initTime 2016-09-14T09:38:00 --startdatetime 2016-09-14T09:41:20 --delay 1 --endMP 204:145 --enddatetime 2016-09-14T10:21:22 --enforcementcount 0 &gt;&gt;C:\Users\stu\Documents\GitHub\eaglep3-reporting\EC\2016-09-14-refined-times.txt</v>
      </c>
      <c r="AI55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{"issue":{"subject":"","project_id":79,"tracker_id":40,"status_id":1,"priority_id":2,"assigned_to_id":23,"start_date":"2016-09-14","description":"","custom_fields":[{"id":1,"name":"Subdivision","value":"EC"},{"id":4,"name":"Milepost","value":"0.0145"},{"id":17,"name":"Train ID","value":"142-14"},{"id":16,"name":"Locomotive ID","value":"4041"},{"id":130,"name":"Impact","value":""},{"id":150,"name":"Time of Event (Mountain Time)","value":"10:21:22"},{"id":151,"name":"Denver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443</v>
      </c>
      <c r="B56" s="7">
        <v>4027</v>
      </c>
      <c r="C56" s="24" t="s">
        <v>108</v>
      </c>
      <c r="D56" s="24" t="s">
        <v>226</v>
      </c>
      <c r="E56" s="15">
        <v>42627.376851851855</v>
      </c>
      <c r="F56" s="15">
        <v>42627.378645833334</v>
      </c>
      <c r="G56" s="7">
        <v>1</v>
      </c>
      <c r="H56" s="15" t="s">
        <v>251</v>
      </c>
      <c r="I56" s="15">
        <v>42627.408750000002</v>
      </c>
      <c r="J56" s="7">
        <v>0</v>
      </c>
      <c r="K56" s="121" t="str">
        <f t="shared" si="0"/>
        <v>4027/4028</v>
      </c>
      <c r="L56" s="24" t="str">
        <f>VLOOKUP(A56,'Trips&amp;Operators'!$C$1:$E$10000,3,FALSE)</f>
        <v>RICHARDSON</v>
      </c>
      <c r="M56" s="6">
        <f t="shared" si="1"/>
        <v>3.0104166668024845E-2</v>
      </c>
      <c r="N56" s="7">
        <f t="shared" si="18"/>
        <v>43.350000001955777</v>
      </c>
      <c r="O56" s="7"/>
      <c r="P56" s="7"/>
      <c r="Q56" s="25"/>
      <c r="R56" s="25"/>
      <c r="S56" s="37">
        <f t="shared" si="19"/>
        <v>1</v>
      </c>
      <c r="T56" s="52" t="str">
        <f t="shared" si="4"/>
        <v>NorthBound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08:02:40-0600',mode:absolute,to:'2016-09-14 10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6" s="54" t="str">
        <f t="shared" si="20"/>
        <v>N</v>
      </c>
      <c r="X56" s="168">
        <f t="shared" ref="X56:X60" si="22">VALUE(LEFT(AD56,4))-VALUE(LEFT(AD55,4))</f>
        <v>1</v>
      </c>
      <c r="Y56" s="69">
        <f t="shared" si="21"/>
        <v>4.7100000000000003E-2</v>
      </c>
      <c r="Z56" s="69">
        <f t="shared" si="17"/>
        <v>23.3293</v>
      </c>
      <c r="AA56" s="69">
        <f t="shared" si="9"/>
        <v>23.2822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0"/>
        <v>0143-14</v>
      </c>
      <c r="AE56" s="99" t="str">
        <f t="shared" si="11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56" s="96" t="str">
        <f t="shared" si="12"/>
        <v>"C:\Program Files (x86)\AstroGrep\AstroGrep.exe" /spath="%USERPROFILE%\AppData\Local\Temp\OnboardLogs" /stypes="app*4027*20160914*" /stext=" 15:.+((SYSTEM_STATE.+slice.+state.+changed )|(ment ac)|(system.+state.+changed )|(\|lc)|(penalty)|(\[timeout)|(PRM\|1\|D)|(kpr)|(kdp))" /e /r /s</v>
      </c>
      <c r="AG56" s="1" t="str">
        <f t="shared" si="13"/>
        <v>EC</v>
      </c>
      <c r="AH56" s="100" t="str">
        <f t="shared" si="16"/>
        <v>"%USERPROFILE%\Documents\GitHub\eaglep3\Utilities\RefineRTDCRunTimes.py" --tripid 143-14 --locoid 4027 --swversion DE.1.0.7.0 --startMP 204:471 --initTime 2016-09-14T09:02:40 --startdatetime 2016-09-14T09:05:15 --delay 1 --endMP 204:233293 --enddatetime 2016-09-14T09:48:36 --enforcementcount 0 &gt;&gt;C:\Users\stu\Documents\GitHub\eaglep3-reporting\EC\2016-09-14-refined-times.txt</v>
      </c>
      <c r="AI56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{"issue":{"subject":"","project_id":79,"tracker_id":40,"status_id":1,"priority_id":2,"assigned_to_id":23,"start_date":"2016-09-14","description":"","custom_fields":[{"id":1,"name":"Subdivision","value":"EC"},{"id":4,"name":"Milepost","value":"23.3293"},{"id":17,"name":"Train ID","value":"143-14"},{"id":16,"name":"Locomotive ID","value":"4027"},{"id":130,"name":"Impact","value":""},{"id":150,"name":"Time of Event (Mountain Time)","value":"09:48:36"},{"id":151,"name":"Denver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453</v>
      </c>
      <c r="B57" s="7">
        <v>4028</v>
      </c>
      <c r="C57" s="24" t="s">
        <v>108</v>
      </c>
      <c r="D57" s="24" t="s">
        <v>227</v>
      </c>
      <c r="E57" s="15">
        <v>42627.412997685184</v>
      </c>
      <c r="F57" s="15">
        <v>42627.414699074077</v>
      </c>
      <c r="G57" s="7">
        <v>1</v>
      </c>
      <c r="H57" s="15" t="s">
        <v>624</v>
      </c>
      <c r="I57" s="15">
        <v>42627.443379629629</v>
      </c>
      <c r="J57" s="7">
        <v>0</v>
      </c>
      <c r="K57" s="121" t="str">
        <f t="shared" si="0"/>
        <v>4027/4028</v>
      </c>
      <c r="L57" s="24" t="str">
        <f>VLOOKUP(A57,'Trips&amp;Operators'!$C$1:$E$10000,3,FALSE)</f>
        <v>RICHARDSON</v>
      </c>
      <c r="M57" s="6">
        <f t="shared" si="1"/>
        <v>2.8680555551545694E-2</v>
      </c>
      <c r="N57" s="7">
        <f t="shared" si="18"/>
        <v>41.2999999942258</v>
      </c>
      <c r="O57" s="7"/>
      <c r="P57" s="7"/>
      <c r="Q57" s="25"/>
      <c r="R57" s="25"/>
      <c r="S57" s="37">
        <f t="shared" si="19"/>
        <v>1</v>
      </c>
      <c r="T57" s="52" t="str">
        <f t="shared" si="4"/>
        <v>Southbound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08:54:43-0600',mode:absolute,to:'2016-09-14 11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7" s="54" t="str">
        <f t="shared" si="20"/>
        <v>N</v>
      </c>
      <c r="X57" s="168">
        <f t="shared" si="22"/>
        <v>1</v>
      </c>
      <c r="Y57" s="69">
        <f t="shared" si="21"/>
        <v>23.299099999999999</v>
      </c>
      <c r="Z57" s="69">
        <f t="shared" si="17"/>
        <v>1.0999999999999999E-2</v>
      </c>
      <c r="AA57" s="69">
        <f t="shared" si="9"/>
        <v>23.2881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0"/>
        <v>0144-14</v>
      </c>
      <c r="AE57" s="99" t="str">
        <f t="shared" si="11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57" s="96" t="str">
        <f t="shared" si="12"/>
        <v>"C:\Program Files (x86)\AstroGrep\AstroGrep.exe" /spath="%USERPROFILE%\AppData\Local\Temp\OnboardLogs" /stypes="app*4028*20160914*" /stext=" 16:.+((SYSTEM_STATE.+slice.+state.+changed )|(ment ac)|(system.+state.+changed )|(\|lc)|(penalty)|(\[timeout)|(PRM\|1\|D)|(kpr)|(kdp))" /e /r /s</v>
      </c>
      <c r="AG57" s="1" t="str">
        <f t="shared" si="13"/>
        <v>EC</v>
      </c>
      <c r="AH57" s="100" t="str">
        <f t="shared" si="16"/>
        <v>"%USERPROFILE%\Documents\GitHub\eaglep3\Utilities\RefineRTDCRunTimes.py" --tripid 144-14 --locoid 4028 --swversion DE.1.0.7.0 --startMP 204:232991 --initTime 2016-09-14T09:54:43 --startdatetime 2016-09-14T09:57:10 --delay 1 --endMP 204:110 --enddatetime 2016-09-14T10:38:28 --enforcementcount 0 &gt;&gt;C:\Users\stu\Documents\GitHub\eaglep3-reporting\EC\2016-09-14-refined-times.txt</v>
      </c>
      <c r="AI57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{"issue":{"subject":"","project_id":79,"tracker_id":40,"status_id":1,"priority_id":2,"assigned_to_id":23,"start_date":"2016-09-14","description":"","custom_fields":[{"id":1,"name":"Subdivision","value":"EC"},{"id":4,"name":"Milepost","value":"0.011"},{"id":17,"name":"Train ID","value":"144-14"},{"id":16,"name":"Locomotive ID","value":"4028"},{"id":130,"name":"Impact","value":""},{"id":150,"name":"Time of Event (Mountain Time)","value":"10:38:28"},{"id":151,"name":"Denver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447</v>
      </c>
      <c r="B58" s="7">
        <v>4038</v>
      </c>
      <c r="C58" s="24" t="s">
        <v>108</v>
      </c>
      <c r="D58" s="24" t="s">
        <v>254</v>
      </c>
      <c r="E58" s="15">
        <v>42627.39267361111</v>
      </c>
      <c r="F58" s="15">
        <v>42627.39502314815</v>
      </c>
      <c r="G58" s="7">
        <v>1</v>
      </c>
      <c r="H58" s="15" t="s">
        <v>308</v>
      </c>
      <c r="I58" s="15">
        <v>42627.428449074076</v>
      </c>
      <c r="J58" s="7">
        <v>0</v>
      </c>
      <c r="K58" s="121" t="str">
        <f t="shared" si="0"/>
        <v>4037/4038</v>
      </c>
      <c r="L58" s="24" t="str">
        <f>VLOOKUP(A58,'Trips&amp;Operators'!$C$1:$E$10000,3,FALSE)</f>
        <v>ACKERMAN</v>
      </c>
      <c r="M58" s="6">
        <f t="shared" si="1"/>
        <v>3.3425925925257616E-2</v>
      </c>
      <c r="N58" s="7">
        <f t="shared" si="18"/>
        <v>48.133333332370967</v>
      </c>
      <c r="O58" s="7"/>
      <c r="P58" s="7"/>
      <c r="Q58" s="25"/>
      <c r="R58" s="25"/>
      <c r="S58" s="37">
        <f t="shared" si="19"/>
        <v>1</v>
      </c>
      <c r="T58" s="52" t="str">
        <f t="shared" si="4"/>
        <v>NorthBound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08:25:27-0600',mode:absolute,to:'2016-09-14 11:16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8" s="54" t="str">
        <f t="shared" si="20"/>
        <v>N</v>
      </c>
      <c r="X58" s="168">
        <f t="shared" si="22"/>
        <v>1</v>
      </c>
      <c r="Y58" s="69">
        <f t="shared" si="21"/>
        <v>4.6399999999999997E-2</v>
      </c>
      <c r="Z58" s="69">
        <f t="shared" si="17"/>
        <v>23.329899999999999</v>
      </c>
      <c r="AA58" s="69">
        <f t="shared" si="9"/>
        <v>23.2835</v>
      </c>
      <c r="AB58" s="66" t="str">
        <f>VLOOKUP(A58,Enforcements!$C$7:$K$20,8,0)</f>
        <v>Speed (6)</v>
      </c>
      <c r="AC58" s="62" t="str">
        <f>VLOOKUP(A58,Enforcements!$C$7:$E$20,3,0)</f>
        <v>PERMANENT SPEED RESTRICTION</v>
      </c>
      <c r="AD58" s="63" t="str">
        <f t="shared" si="10"/>
        <v>0145-14</v>
      </c>
      <c r="AE58" s="99" t="str">
        <f t="shared" si="11"/>
        <v>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 &amp; aws s3 cp s3://rtdc.mdm.uploadarchive/RTDC4038/2016-09-15/ "%USERPROFILE%\AppData\Local\Temp\OnboardLogs"\RTDC4038\2016-09-15 --recursive &amp; "%USERPROFILE%\Documents\GitHub\mrs-test-scripts\Headless Mode &amp; Sideloading\WalkAndUnGZ.bat" "%USERPROFILE%\AppData\Local\Temp\OnboardLogs"\RTDC4038\2016-09-15</v>
      </c>
      <c r="AF58" s="96" t="str">
        <f t="shared" si="12"/>
        <v>"C:\Program Files (x86)\AstroGrep\AstroGrep.exe" /spath="%USERPROFILE%\AppData\Local\Temp\OnboardLogs" /stypes="app*4038*20160914*"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100" t="str">
        <f t="shared" si="16"/>
        <v>"%USERPROFILE%\Documents\GitHub\eaglep3\Utilities\RefineRTDCRunTimes.py" --tripid 145-14 --locoid 4038 --swversion DE.1.0.7.0 --startMP 204:464 --initTime 2016-09-14T09:25:27 --startdatetime 2016-09-14T09:28:50 --delay 1 --endMP 204:233299 --enddatetime 2016-09-14T10:16:58 --enforcementcount 0 &gt;&gt;C:\Users\stu\Documents\GitHub\eaglep3-reporting\EC\2016-09-14-refined-times.txt</v>
      </c>
      <c r="AI58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{"issue":{"subject":"","project_id":79,"tracker_id":40,"status_id":1,"priority_id":2,"assigned_to_id":23,"start_date":"2016-09-14","description":"","custom_fields":[{"id":1,"name":"Subdivision","value":"EC"},{"id":4,"name":"Milepost","value":"23.3299"},{"id":17,"name":"Train ID","value":"145-14"},{"id":16,"name":"Locomotive ID","value":"4038"},{"id":130,"name":"Impact","value":""},{"id":150,"name":"Time of Event (Mountain Time)","value":"10:16:58"},{"id":151,"name":"Denver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457</v>
      </c>
      <c r="B59" s="7">
        <v>4037</v>
      </c>
      <c r="C59" s="24" t="s">
        <v>108</v>
      </c>
      <c r="D59" s="24" t="s">
        <v>255</v>
      </c>
      <c r="E59" s="15">
        <v>42627.430312500001</v>
      </c>
      <c r="F59" s="15">
        <v>42627.432002314818</v>
      </c>
      <c r="G59" s="7">
        <v>1</v>
      </c>
      <c r="H59" s="15" t="s">
        <v>625</v>
      </c>
      <c r="I59" s="15">
        <v>42627.464895833335</v>
      </c>
      <c r="J59" s="7">
        <v>0</v>
      </c>
      <c r="K59" s="121" t="str">
        <f t="shared" si="0"/>
        <v>4037/4038</v>
      </c>
      <c r="L59" s="24" t="str">
        <f>VLOOKUP(A59,'Trips&amp;Operators'!$C$1:$E$10000,3,FALSE)</f>
        <v>ACKERMAN</v>
      </c>
      <c r="M59" s="6">
        <f t="shared" si="1"/>
        <v>3.2893518517084885E-2</v>
      </c>
      <c r="N59" s="7">
        <f t="shared" si="18"/>
        <v>47.366666664602235</v>
      </c>
      <c r="O59" s="7"/>
      <c r="P59" s="7"/>
      <c r="Q59" s="25"/>
      <c r="R59" s="25"/>
      <c r="S59" s="37">
        <f t="shared" si="19"/>
        <v>1</v>
      </c>
      <c r="T59" s="52" t="str">
        <f t="shared" si="4"/>
        <v>Southbound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09:19:39-0600',mode:absolute,to:'2016-09-14 12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9" s="54" t="str">
        <f t="shared" si="20"/>
        <v>N</v>
      </c>
      <c r="X59" s="168">
        <f t="shared" si="22"/>
        <v>1</v>
      </c>
      <c r="Y59" s="69">
        <f t="shared" si="21"/>
        <v>23.298400000000001</v>
      </c>
      <c r="Z59" s="69">
        <f t="shared" si="17"/>
        <v>0.11559999999999999</v>
      </c>
      <c r="AA59" s="69">
        <f t="shared" si="9"/>
        <v>23.1828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0"/>
        <v>0146-14</v>
      </c>
      <c r="AE59" s="99" t="str">
        <f t="shared" si="11"/>
        <v>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 &amp; aws s3 cp s3://rtdc.mdm.uploadarchive/RTDC4037/2016-09-15/ "%USERPROFILE%\AppData\Local\Temp\OnboardLogs"\RTDC4037\2016-09-15 --recursive &amp; "%USERPROFILE%\Documents\GitHub\mrs-test-scripts\Headless Mode &amp; Sideloading\WalkAndUnGZ.bat" "%USERPROFILE%\AppData\Local\Temp\OnboardLogs"\RTDC4037\2016-09-15</v>
      </c>
      <c r="AF59" s="96" t="str">
        <f t="shared" si="12"/>
        <v>"C:\Program Files (x86)\AstroGrep\AstroGrep.exe" /spath="%USERPROFILE%\AppData\Local\Temp\OnboardLogs" /stypes="app*4037*20160914*" /stext=" 17:.+((SYSTEM_STATE.+slice.+state.+changed )|(ment ac)|(system.+state.+changed )|(\|lc)|(penalty)|(\[timeout)|(PRM\|1\|D)|(kpr)|(kdp))" /e /r /s</v>
      </c>
      <c r="AG59" s="1" t="str">
        <f t="shared" si="13"/>
        <v>EC</v>
      </c>
      <c r="AH59" s="100" t="str">
        <f t="shared" si="16"/>
        <v>"%USERPROFILE%\Documents\GitHub\eaglep3\Utilities\RefineRTDCRunTimes.py" --tripid 146-14 --locoid 4037 --swversion DE.1.0.7.0 --startMP 204:232984 --initTime 2016-09-14T10:19:39 --startdatetime 2016-09-14T10:22:05 --delay 1 --endMP 204:1156 --enddatetime 2016-09-14T11:09:27 --enforcementcount 0 &gt;&gt;C:\Users\stu\Documents\GitHub\eaglep3-reporting\EC\2016-09-14-refined-times.txt</v>
      </c>
      <c r="AI59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{"issue":{"subject":"","project_id":79,"tracker_id":40,"status_id":1,"priority_id":2,"assigned_to_id":23,"start_date":"2016-09-14","description":"","custom_fields":[{"id":1,"name":"Subdivision","value":"EC"},{"id":4,"name":"Milepost","value":"0.1156"},{"id":17,"name":"Train ID","value":"146-14"},{"id":16,"name":"Locomotive ID","value":"4037"},{"id":130,"name":"Impact","value":""},{"id":150,"name":"Time of Event (Mountain Time)","value":"11:09:27"},{"id":151,"name":"Denver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449</v>
      </c>
      <c r="B60" s="7">
        <v>4014</v>
      </c>
      <c r="C60" s="24" t="s">
        <v>108</v>
      </c>
      <c r="D60" s="24" t="s">
        <v>277</v>
      </c>
      <c r="E60" s="15">
        <v>42627.397650462961</v>
      </c>
      <c r="F60" s="15">
        <v>42627.399664351855</v>
      </c>
      <c r="G60" s="7">
        <v>1</v>
      </c>
      <c r="H60" s="15" t="s">
        <v>348</v>
      </c>
      <c r="I60" s="15">
        <v>42627.43178240741</v>
      </c>
      <c r="J60" s="7">
        <v>0</v>
      </c>
      <c r="K60" s="121" t="str">
        <f t="shared" si="0"/>
        <v>4013/4014</v>
      </c>
      <c r="L60" s="24" t="str">
        <f>VLOOKUP(A60,'Trips&amp;Operators'!$C$1:$E$10000,3,FALSE)</f>
        <v>STRICKLAND</v>
      </c>
      <c r="M60" s="6">
        <f t="shared" si="1"/>
        <v>3.2118055554747116E-2</v>
      </c>
      <c r="N60" s="7">
        <f t="shared" si="18"/>
        <v>46.249999998835847</v>
      </c>
      <c r="O60" s="7"/>
      <c r="P60" s="7"/>
      <c r="Q60" s="25"/>
      <c r="R60" s="25"/>
      <c r="S60" s="37">
        <f t="shared" si="19"/>
        <v>1</v>
      </c>
      <c r="T60" s="52" t="str">
        <f t="shared" si="4"/>
        <v>NorthBound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08:32:37-0600',mode:absolute,to:'2016-09-14 11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0" s="54" t="str">
        <f t="shared" si="20"/>
        <v>N</v>
      </c>
      <c r="X60" s="168">
        <f t="shared" si="22"/>
        <v>1</v>
      </c>
      <c r="Y60" s="69">
        <f t="shared" si="21"/>
        <v>4.6899999999999997E-2</v>
      </c>
      <c r="Z60" s="69">
        <f t="shared" si="17"/>
        <v>23.331</v>
      </c>
      <c r="AA60" s="69">
        <f t="shared" si="9"/>
        <v>23.284099999999999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0"/>
        <v>0147-14</v>
      </c>
      <c r="AE60" s="99" t="str">
        <f t="shared" si="11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60" s="96" t="str">
        <f t="shared" si="12"/>
        <v>"C:\Program Files (x86)\AstroGrep\AstroGrep.exe" /spath="%USERPROFILE%\AppData\Local\Temp\OnboardLogs" /stypes="app*4014*20160914*" /stext=" 16:.+((SYSTEM_STATE.+slice.+state.+changed )|(ment ac)|(system.+state.+changed )|(\|lc)|(penalty)|(\[timeout)|(PRM\|1\|D)|(kpr)|(kdp))" /e /r /s</v>
      </c>
      <c r="AG60" s="1" t="str">
        <f t="shared" si="13"/>
        <v>EC</v>
      </c>
      <c r="AH60" s="100" t="str">
        <f t="shared" si="16"/>
        <v>"%USERPROFILE%\Documents\GitHub\eaglep3\Utilities\RefineRTDCRunTimes.py" --tripid 147-14 --locoid 4014 --swversion DE.1.0.7.0 --startMP 204:469 --initTime 2016-09-14T09:32:37 --startdatetime 2016-09-14T09:35:31 --delay 1 --endMP 204:233310 --enddatetime 2016-09-14T10:21:46 --enforcementcount 0 &gt;&gt;C:\Users\stu\Documents\GitHub\eaglep3-reporting\EC\2016-09-14-refined-times.txt</v>
      </c>
      <c r="AI60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{"issue":{"subject":"","project_id":79,"tracker_id":40,"status_id":1,"priority_id":2,"assigned_to_id":23,"start_date":"2016-09-14","description":"","custom_fields":[{"id":1,"name":"Subdivision","value":"EC"},{"id":4,"name":"Milepost","value":"23.331"},{"id":17,"name":"Train ID","value":"147-14"},{"id":16,"name":"Locomotive ID","value":"4014"},{"id":130,"name":"Impact","value":""},{"id":150,"name":"Time of Event (Mountain Time)","value":"10:21:46"},{"id":151,"name":"Denver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458</v>
      </c>
      <c r="B61" s="7">
        <v>4013</v>
      </c>
      <c r="C61" s="24" t="s">
        <v>108</v>
      </c>
      <c r="D61" s="24" t="s">
        <v>227</v>
      </c>
      <c r="E61" s="15">
        <v>42627.433148148149</v>
      </c>
      <c r="F61" s="15">
        <v>42627.435231481482</v>
      </c>
      <c r="G61" s="7">
        <v>1</v>
      </c>
      <c r="H61" s="15" t="s">
        <v>258</v>
      </c>
      <c r="I61" s="15">
        <v>42627.468333333331</v>
      </c>
      <c r="J61" s="7">
        <v>0</v>
      </c>
      <c r="K61" s="121" t="str">
        <f t="shared" si="0"/>
        <v>4013/4014</v>
      </c>
      <c r="L61" s="24" t="str">
        <f>VLOOKUP(A61,'Trips&amp;Operators'!$C$1:$E$10000,3,FALSE)</f>
        <v>STRICKLAND</v>
      </c>
      <c r="M61" s="6">
        <f t="shared" si="1"/>
        <v>3.3101851848186925E-2</v>
      </c>
      <c r="N61" s="7">
        <f t="shared" si="18"/>
        <v>47.666666661389172</v>
      </c>
      <c r="O61" s="7"/>
      <c r="P61" s="7"/>
      <c r="Q61" s="25"/>
      <c r="R61" s="25"/>
      <c r="S61" s="37">
        <f t="shared" si="19"/>
        <v>1</v>
      </c>
      <c r="T61" s="52" t="str">
        <f t="shared" si="4"/>
        <v>Southbound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09:23:44-0600',mode:absolute,to:'2016-09-14 12:14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1" s="54" t="str">
        <f t="shared" si="20"/>
        <v>N</v>
      </c>
      <c r="X61" s="168">
        <f>VALUE(LEFT(AD61,4))-VALUE(LEFT(AD60,4))</f>
        <v>1</v>
      </c>
      <c r="Y61" s="69">
        <f t="shared" si="21"/>
        <v>23.299099999999999</v>
      </c>
      <c r="Z61" s="69">
        <f t="shared" si="17"/>
        <v>1.41E-2</v>
      </c>
      <c r="AA61" s="69">
        <f t="shared" si="9"/>
        <v>23.285</v>
      </c>
      <c r="AB61" s="66" t="str">
        <f>VLOOKUP(A61,Enforcements!$C$7:$K$20,8,0)</f>
        <v>Bulletin (2)</v>
      </c>
      <c r="AC61" s="62" t="str">
        <f>VLOOKUP(A61,Enforcements!$C$7:$E$20,3,0)</f>
        <v>GRADE CROSSING</v>
      </c>
      <c r="AD61" s="63" t="str">
        <f t="shared" si="10"/>
        <v>0148-14</v>
      </c>
      <c r="AE61" s="99" t="str">
        <f t="shared" si="11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61" s="96" t="str">
        <f t="shared" si="12"/>
        <v>"C:\Program Files (x86)\AstroGrep\AstroGrep.exe" /spath="%USERPROFILE%\AppData\Local\Temp\OnboardLogs" /stypes="app*4013*20160914*" /stext=" 17:.+((SYSTEM_STATE.+slice.+state.+changed )|(ment ac)|(system.+state.+changed )|(\|lc)|(penalty)|(\[timeout)|(PRM\|1\|D)|(kpr)|(kdp))" /e /r /s</v>
      </c>
      <c r="AG61" s="1" t="str">
        <f t="shared" si="13"/>
        <v>EC</v>
      </c>
      <c r="AH61" s="100" t="str">
        <f t="shared" si="16"/>
        <v>"%USERPROFILE%\Documents\GitHub\eaglep3\Utilities\RefineRTDCRunTimes.py" --tripid 148-14 --locoid 4013 --swversion DE.1.0.7.0 --startMP 204:232991 --initTime 2016-09-14T10:23:44 --startdatetime 2016-09-14T10:26:44 --delay 1 --endMP 204:141 --enddatetime 2016-09-14T11:14:24 --enforcementcount 0 &gt;&gt;C:\Users\stu\Documents\GitHub\eaglep3-reporting\EC\2016-09-14-refined-times.txt</v>
      </c>
      <c r="AI61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{"issue":{"subject":"","project_id":79,"tracker_id":40,"status_id":1,"priority_id":2,"assigned_to_id":23,"start_date":"2016-09-14","description":"","custom_fields":[{"id":1,"name":"Subdivision","value":"EC"},{"id":4,"name":"Milepost","value":"0.0141"},{"id":17,"name":"Train ID","value":"148-14"},{"id":16,"name":"Locomotive ID","value":"4013"},{"id":130,"name":"Impact","value":""},{"id":150,"name":"Time of Event (Mountain Time)","value":"11:14:24"},{"id":151,"name":"Denver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452</v>
      </c>
      <c r="B62" s="7">
        <v>4053</v>
      </c>
      <c r="C62" s="24" t="s">
        <v>108</v>
      </c>
      <c r="D62" s="24" t="s">
        <v>278</v>
      </c>
      <c r="E62" s="15">
        <v>42627.405821759261</v>
      </c>
      <c r="F62" s="15">
        <v>42627.408900462964</v>
      </c>
      <c r="G62" s="7">
        <v>1</v>
      </c>
      <c r="H62" s="15" t="s">
        <v>222</v>
      </c>
      <c r="I62" s="15">
        <v>42627.438252314816</v>
      </c>
      <c r="J62" s="7">
        <v>0</v>
      </c>
      <c r="K62" s="121" t="str">
        <f t="shared" si="0"/>
        <v>4053/4054</v>
      </c>
      <c r="L62" s="24" t="str">
        <f>VLOOKUP(A62,'Trips&amp;Operators'!$C$1:$E$10000,3,FALSE)</f>
        <v>SPECTOR</v>
      </c>
      <c r="M62" s="6">
        <f t="shared" si="1"/>
        <v>2.9351851851970423E-2</v>
      </c>
      <c r="N62" s="7">
        <f t="shared" si="18"/>
        <v>42.266666666837409</v>
      </c>
      <c r="O62" s="7"/>
      <c r="P62" s="7"/>
      <c r="Q62" s="25"/>
      <c r="R62" s="25"/>
      <c r="S62" s="37">
        <f t="shared" si="19"/>
        <v>1</v>
      </c>
      <c r="T62" s="52" t="str">
        <f t="shared" si="4"/>
        <v>NorthBound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08:44:23-0600',mode:absolute,to:'2016-09-14 11:31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62" s="54" t="str">
        <f t="shared" ref="W62:W68" si="23">IF(AA62&lt;IF(AG62="EC",23,5.65),"Y","N")</f>
        <v>N</v>
      </c>
      <c r="X62" s="168">
        <f t="shared" ref="X62:X68" si="24">VALUE(LEFT(AD62,4))-VALUE(LEFT(AD61,4))</f>
        <v>1</v>
      </c>
      <c r="Y62" s="69">
        <f t="shared" si="21"/>
        <v>4.4400000000000002E-2</v>
      </c>
      <c r="Z62" s="69">
        <f t="shared" si="17"/>
        <v>23.331399999999999</v>
      </c>
      <c r="AA62" s="69">
        <f t="shared" si="9"/>
        <v>23.286999999999999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10"/>
        <v>0149-14</v>
      </c>
      <c r="AE62" s="99" t="str">
        <f t="shared" si="11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62" s="96" t="str">
        <f t="shared" si="12"/>
        <v>"C:\Program Files (x86)\AstroGrep\AstroGrep.exe" /spath="%USERPROFILE%\AppData\Local\Temp\OnboardLogs" /stypes="app*4053*20160914*" /stext=" 16:.+((SYSTEM_STATE.+slice.+state.+changed )|(ment ac)|(system.+state.+changed )|(\|lc)|(penalty)|(\[timeout)|(PRM\|1\|D)|(kpr)|(kdp))" /e /r /s</v>
      </c>
      <c r="AG62" s="1" t="str">
        <f t="shared" si="13"/>
        <v>EC</v>
      </c>
      <c r="AH62" s="100" t="str">
        <f t="shared" si="16"/>
        <v>"%USERPROFILE%\Documents\GitHub\eaglep3\Utilities\RefineRTDCRunTimes.py" --tripid 149-14 --locoid 4053 --swversion DE.1.0.7.0 --startMP 204:444 --initTime 2016-09-14T09:44:23 --startdatetime 2016-09-14T09:48:49 --delay 1 --endMP 204:233314 --enddatetime 2016-09-14T10:31:05 --enforcementcount 0 &gt;&gt;C:\Users\stu\Documents\GitHub\eaglep3-reporting\EC\2016-09-14-refined-times.txt</v>
      </c>
      <c r="AI62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{"issue":{"subject":"","project_id":79,"tracker_id":40,"status_id":1,"priority_id":2,"assigned_to_id":23,"start_date":"2016-09-14","description":"","custom_fields":[{"id":1,"name":"Subdivision","value":"EC"},{"id":4,"name":"Milepost","value":"23.3314"},{"id":17,"name":"Train ID","value":"149-14"},{"id":16,"name":"Locomotive ID","value":"4053"},{"id":130,"name":"Impact","value":""},{"id":150,"name":"Time of Event (Mountain Time)","value":"10:31:05"},{"id":151,"name":"Denver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461</v>
      </c>
      <c r="B63" s="7">
        <v>4054</v>
      </c>
      <c r="C63" s="24" t="s">
        <v>108</v>
      </c>
      <c r="D63" s="24" t="s">
        <v>236</v>
      </c>
      <c r="E63" s="15">
        <v>42627.443888888891</v>
      </c>
      <c r="F63" s="15">
        <v>42627.445497685185</v>
      </c>
      <c r="G63" s="7">
        <v>1</v>
      </c>
      <c r="H63" s="15" t="s">
        <v>238</v>
      </c>
      <c r="I63" s="15">
        <v>42627.472974537035</v>
      </c>
      <c r="J63" s="7">
        <v>0</v>
      </c>
      <c r="K63" s="121" t="str">
        <f t="shared" si="0"/>
        <v>4053/4054</v>
      </c>
      <c r="L63" s="24" t="str">
        <f>VLOOKUP(A63,'Trips&amp;Operators'!$C$1:$E$10000,3,FALSE)</f>
        <v>SPECTOR</v>
      </c>
      <c r="M63" s="6">
        <f t="shared" si="1"/>
        <v>2.7476851850224193E-2</v>
      </c>
      <c r="N63" s="7">
        <f t="shared" si="18"/>
        <v>39.566666664322838</v>
      </c>
      <c r="O63" s="7"/>
      <c r="P63" s="7"/>
      <c r="Q63" s="25"/>
      <c r="R63" s="25"/>
      <c r="S63" s="37">
        <f t="shared" si="19"/>
        <v>1</v>
      </c>
      <c r="T63" s="52" t="str">
        <f t="shared" si="4"/>
        <v>Southbound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09:39:12-0600',mode:absolute,to:'2016-09-14 12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3" s="54" t="str">
        <f t="shared" si="23"/>
        <v>N</v>
      </c>
      <c r="X63" s="168">
        <f t="shared" si="24"/>
        <v>1</v>
      </c>
      <c r="Y63" s="69">
        <f t="shared" si="21"/>
        <v>23.299600000000002</v>
      </c>
      <c r="Z63" s="69">
        <f t="shared" si="17"/>
        <v>1.4500000000000001E-2</v>
      </c>
      <c r="AA63" s="69">
        <f t="shared" si="9"/>
        <v>23.2851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10"/>
        <v>0150-14</v>
      </c>
      <c r="AE63" s="99" t="str">
        <f t="shared" si="11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63" s="96" t="str">
        <f t="shared" si="12"/>
        <v>"C:\Program Files (x86)\AstroGrep\AstroGrep.exe" /spath="%USERPROFILE%\AppData\Local\Temp\OnboardLogs" /stypes="app*4054*20160914*" /stext=" 17:.+((SYSTEM_STATE.+slice.+state.+changed )|(ment ac)|(system.+state.+changed )|(\|lc)|(penalty)|(\[timeout)|(PRM\|1\|D)|(kpr)|(kdp))" /e /r /s</v>
      </c>
      <c r="AG63" s="1" t="str">
        <f t="shared" si="13"/>
        <v>EC</v>
      </c>
      <c r="AH63" s="100" t="str">
        <f t="shared" si="16"/>
        <v>"%USERPROFILE%\Documents\GitHub\eaglep3\Utilities\RefineRTDCRunTimes.py" --tripid 150-14 --locoid 4054 --swversion DE.1.0.7.0 --startMP 204:232996 --initTime 2016-09-14T10:39:12 --startdatetime 2016-09-14T10:41:31 --delay 1 --endMP 204:145 --enddatetime 2016-09-14T11:21:05 --enforcementcount 0 &gt;&gt;C:\Users\stu\Documents\GitHub\eaglep3-reporting\EC\2016-09-14-refined-times.txt</v>
      </c>
      <c r="AI63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{"issue":{"subject":"","project_id":79,"tracker_id":40,"status_id":1,"priority_id":2,"assigned_to_id":23,"start_date":"2016-09-14","description":"","custom_fields":[{"id":1,"name":"Subdivision","value":"EC"},{"id":4,"name":"Milepost","value":"0.0145"},{"id":17,"name":"Train ID","value":"150-14"},{"id":16,"name":"Locomotive ID","value":"4054"},{"id":130,"name":"Impact","value":""},{"id":150,"name":"Time of Event (Mountain Time)","value":"11:21:05"},{"id":151,"name":"Denver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454</v>
      </c>
      <c r="B64" s="7">
        <v>4040</v>
      </c>
      <c r="C64" s="24" t="s">
        <v>108</v>
      </c>
      <c r="D64" s="24" t="s">
        <v>240</v>
      </c>
      <c r="E64" s="15">
        <v>42627.413842592592</v>
      </c>
      <c r="F64" s="15">
        <v>42627.49</v>
      </c>
      <c r="G64" s="7">
        <v>1</v>
      </c>
      <c r="H64" s="15" t="s">
        <v>626</v>
      </c>
      <c r="I64" s="15">
        <v>42627.514143518521</v>
      </c>
      <c r="J64" s="7">
        <v>0</v>
      </c>
      <c r="K64" s="121" t="str">
        <f t="shared" si="0"/>
        <v>4039/4040</v>
      </c>
      <c r="L64" s="24" t="str">
        <f>VLOOKUP(A64,'Trips&amp;Operators'!$C$1:$E$10000,3,FALSE)</f>
        <v>KILLION</v>
      </c>
      <c r="M64" s="6">
        <f t="shared" si="1"/>
        <v>2.4143518523487728E-2</v>
      </c>
      <c r="N64" s="7">
        <f t="shared" si="18"/>
        <v>34.766666673822328</v>
      </c>
      <c r="O64" s="7"/>
      <c r="P64" s="7"/>
      <c r="Q64" s="25"/>
      <c r="R64" s="25"/>
      <c r="S64" s="37">
        <f t="shared" si="19"/>
        <v>1</v>
      </c>
      <c r="T64" s="52" t="str">
        <f t="shared" si="4"/>
        <v>NorthBound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08:55:56-0600',mode:absolute,to:'2016-09-14 13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4" s="54" t="str">
        <f t="shared" si="23"/>
        <v>N</v>
      </c>
      <c r="X64" s="168">
        <f t="shared" si="24"/>
        <v>1</v>
      </c>
      <c r="Y64" s="69">
        <f t="shared" si="21"/>
        <v>4.6600000000000003E-2</v>
      </c>
      <c r="Z64" s="69">
        <f t="shared" si="17"/>
        <v>23.337399999999999</v>
      </c>
      <c r="AA64" s="69">
        <f t="shared" si="9"/>
        <v>23.290799999999997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0"/>
        <v>0151-14</v>
      </c>
      <c r="AE64" s="99" t="str">
        <f t="shared" si="11"/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AF64" s="96" t="str">
        <f t="shared" si="12"/>
        <v>"C:\Program Files (x86)\AstroGrep\AstroGrep.exe" /spath="%USERPROFILE%\AppData\Local\Temp\OnboardLogs" /stypes="app*4040*20160914*" /stext=" 18:.+((SYSTEM_STATE.+slice.+state.+changed )|(ment ac)|(system.+state.+changed )|(\|lc)|(penalty)|(\[timeout)|(PRM\|1\|D)|(kpr)|(kdp))" /e /r /s</v>
      </c>
      <c r="AG64" s="1" t="str">
        <f t="shared" si="13"/>
        <v>EC</v>
      </c>
      <c r="AH64" s="100" t="str">
        <f t="shared" si="16"/>
        <v>"%USERPROFILE%\Documents\GitHub\eaglep3\Utilities\RefineRTDCRunTimes.py" --tripid 151-14 --locoid 4040 --swversion DE.1.0.7.0 --startMP 204:466 --initTime 2016-09-14T09:55:56 --startdatetime 2016-09-14T11:45:36 --delay 1 --endMP 204:233374 --enddatetime 2016-09-14T12:20:22 --enforcementcount 0 &gt;&gt;C:\Users\stu\Documents\GitHub\eaglep3-reporting\EC\2016-09-14-refined-times.txt</v>
      </c>
      <c r="AI64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{"issue":{"subject":"","project_id":79,"tracker_id":40,"status_id":1,"priority_id":2,"assigned_to_id":23,"start_date":"2016-09-14","description":"","custom_fields":[{"id":1,"name":"Subdivision","value":"EC"},{"id":4,"name":"Milepost","value":"23.3374"},{"id":17,"name":"Train ID","value":"151-14"},{"id":16,"name":"Locomotive ID","value":"4040"},{"id":130,"name":"Impact","value":""},{"id":150,"name":"Time of Event (Mountain Time)","value":"12:20:22"},{"id":151,"name":"Denver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463</v>
      </c>
      <c r="B65" s="7">
        <v>4039</v>
      </c>
      <c r="C65" s="24" t="s">
        <v>108</v>
      </c>
      <c r="D65" s="24" t="s">
        <v>360</v>
      </c>
      <c r="E65" s="15">
        <v>42627.452847222223</v>
      </c>
      <c r="F65" s="15">
        <v>42627.455879629626</v>
      </c>
      <c r="G65" s="7">
        <v>1</v>
      </c>
      <c r="H65" s="15" t="s">
        <v>627</v>
      </c>
      <c r="I65" s="15">
        <v>42627.485636574071</v>
      </c>
      <c r="J65" s="7">
        <v>0</v>
      </c>
      <c r="K65" s="121" t="str">
        <f t="shared" si="0"/>
        <v>4039/4040</v>
      </c>
      <c r="L65" s="24" t="str">
        <f>VLOOKUP(A65,'Trips&amp;Operators'!$C$1:$E$10000,3,FALSE)</f>
        <v>KILLION</v>
      </c>
      <c r="M65" s="6">
        <f t="shared" si="1"/>
        <v>2.9756944444670808E-2</v>
      </c>
      <c r="N65" s="7">
        <f t="shared" si="18"/>
        <v>42.850000000325963</v>
      </c>
      <c r="O65" s="7"/>
      <c r="P65" s="7"/>
      <c r="Q65" s="25"/>
      <c r="R65" s="25"/>
      <c r="S65" s="37">
        <f t="shared" si="19"/>
        <v>1</v>
      </c>
      <c r="T65" s="52" t="str">
        <f t="shared" si="4"/>
        <v>Southbound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09:52:06-0600',mode:absolute,to:'2016-09-14 12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5" s="54" t="str">
        <f t="shared" si="23"/>
        <v>N</v>
      </c>
      <c r="X65" s="168">
        <f t="shared" si="24"/>
        <v>1</v>
      </c>
      <c r="Y65" s="69">
        <f t="shared" si="21"/>
        <v>23.297899999999998</v>
      </c>
      <c r="Z65" s="69">
        <f t="shared" si="17"/>
        <v>1.23E-2</v>
      </c>
      <c r="AA65" s="69">
        <f t="shared" si="9"/>
        <v>23.285599999999999</v>
      </c>
      <c r="AB65" s="66" t="str">
        <f>VLOOKUP(A65,Enforcements!$C$7:$K$20,8,0)</f>
        <v>Bulletin (2)</v>
      </c>
      <c r="AC65" s="62" t="str">
        <f>VLOOKUP(A65,Enforcements!$C$7:$E$20,3,0)</f>
        <v>GRADE CROSSING</v>
      </c>
      <c r="AD65" s="63" t="str">
        <f t="shared" si="10"/>
        <v>0152-14</v>
      </c>
      <c r="AE65" s="99" t="str">
        <f t="shared" si="11"/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AF65" s="96" t="str">
        <f t="shared" si="12"/>
        <v>"C:\Program Files (x86)\AstroGrep\AstroGrep.exe" /spath="%USERPROFILE%\AppData\Local\Temp\OnboardLogs" /stypes="app*4039*20160914*" /stext=" 17:.+((SYSTEM_STATE.+slice.+state.+changed )|(ment ac)|(system.+state.+changed )|(\|lc)|(penalty)|(\[timeout)|(PRM\|1\|D)|(kpr)|(kdp))" /e /r /s</v>
      </c>
      <c r="AG65" s="1" t="str">
        <f t="shared" si="13"/>
        <v>EC</v>
      </c>
      <c r="AH65" s="100" t="str">
        <f t="shared" si="16"/>
        <v>"%USERPROFILE%\Documents\GitHub\eaglep3\Utilities\RefineRTDCRunTimes.py" --tripid 152-14 --locoid 4039 --swversion DE.1.0.7.0 --startMP 204:232979 --initTime 2016-09-14T10:52:06 --startdatetime 2016-09-14T10:56:28 --delay 1 --endMP 204:123 --enddatetime 2016-09-14T11:39:19 --enforcementcount 0 &gt;&gt;C:\Users\stu\Documents\GitHub\eaglep3-reporting\EC\2016-09-14-refined-times.txt</v>
      </c>
      <c r="AI65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{"issue":{"subject":"","project_id":79,"tracker_id":40,"status_id":1,"priority_id":2,"assigned_to_id":23,"start_date":"2016-09-14","description":"","custom_fields":[{"id":1,"name":"Subdivision","value":"EC"},{"id":4,"name":"Milepost","value":"0.0123"},{"id":17,"name":"Train ID","value":"152-14"},{"id":16,"name":"Locomotive ID","value":"4039"},{"id":130,"name":"Impact","value":""},{"id":150,"name":"Time of Event (Mountain Time)","value":"11:39:19"},{"id":151,"name":"Denver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456</v>
      </c>
      <c r="B66" s="7">
        <v>4044</v>
      </c>
      <c r="C66" s="24" t="s">
        <v>108</v>
      </c>
      <c r="D66" s="24" t="s">
        <v>231</v>
      </c>
      <c r="E66" s="15">
        <v>42627.425451388888</v>
      </c>
      <c r="F66" s="15">
        <v>42627.427407407406</v>
      </c>
      <c r="G66" s="7">
        <v>1</v>
      </c>
      <c r="H66" s="15" t="s">
        <v>351</v>
      </c>
      <c r="I66" s="15">
        <v>42627.452650462961</v>
      </c>
      <c r="J66" s="7">
        <v>0</v>
      </c>
      <c r="K66" s="121" t="str">
        <f t="shared" si="0"/>
        <v>4043/4044</v>
      </c>
      <c r="L66" s="24" t="str">
        <f>VLOOKUP(A66,'Trips&amp;Operators'!$C$1:$E$10000,3,FALSE)</f>
        <v>ROCHA</v>
      </c>
      <c r="M66" s="6">
        <f t="shared" si="1"/>
        <v>2.5243055555620231E-2</v>
      </c>
      <c r="N66" s="7">
        <f t="shared" si="18"/>
        <v>36.350000000093132</v>
      </c>
      <c r="O66" s="7"/>
      <c r="P66" s="7"/>
      <c r="Q66" s="25"/>
      <c r="R66" s="25"/>
      <c r="S66" s="37">
        <f t="shared" si="19"/>
        <v>1</v>
      </c>
      <c r="T66" s="52" t="str">
        <f t="shared" si="4"/>
        <v>NorthBound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09:12:39-0600',mode:absolute,to:'2016-09-14 11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6" s="54" t="str">
        <f t="shared" si="23"/>
        <v>N</v>
      </c>
      <c r="X66" s="168">
        <f t="shared" si="24"/>
        <v>1</v>
      </c>
      <c r="Y66" s="69">
        <f t="shared" si="21"/>
        <v>4.53E-2</v>
      </c>
      <c r="Z66" s="69">
        <f t="shared" si="17"/>
        <v>23.331600000000002</v>
      </c>
      <c r="AA66" s="69">
        <f t="shared" si="9"/>
        <v>23.286300000000001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0"/>
        <v>0153-14</v>
      </c>
      <c r="AE66" s="99" t="str">
        <f t="shared" si="11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66" s="96" t="str">
        <f t="shared" si="12"/>
        <v>"C:\Program Files (x86)\AstroGrep\AstroGrep.exe" /spath="%USERPROFILE%\AppData\Local\Temp\OnboardLogs" /stypes="app*4044*20160914*" /stext=" 16:.+((SYSTEM_STATE.+slice.+state.+changed )|(ment ac)|(system.+state.+changed )|(\|lc)|(penalty)|(\[timeout)|(PRM\|1\|D)|(kpr)|(kdp))" /e /r /s</v>
      </c>
      <c r="AG66" s="1" t="str">
        <f t="shared" si="13"/>
        <v>EC</v>
      </c>
      <c r="AH66" s="100" t="str">
        <f t="shared" si="16"/>
        <v>"%USERPROFILE%\Documents\GitHub\eaglep3\Utilities\RefineRTDCRunTimes.py" --tripid 153-14 --locoid 4044 --swversion DE.1.0.7.0 --startMP 204:453 --initTime 2016-09-14T10:12:39 --startdatetime 2016-09-14T10:15:28 --delay 1 --endMP 204:233316 --enddatetime 2016-09-14T10:51:49 --enforcementcount 0 &gt;&gt;C:\Users\stu\Documents\GitHub\eaglep3-reporting\EC\2016-09-14-refined-times.txt</v>
      </c>
      <c r="AI66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{"issue":{"subject":"","project_id":79,"tracker_id":40,"status_id":1,"priority_id":2,"assigned_to_id":23,"start_date":"2016-09-14","description":"","custom_fields":[{"id":1,"name":"Subdivision","value":"EC"},{"id":4,"name":"Milepost","value":"23.3316"},{"id":17,"name":"Train ID","value":"153-14"},{"id":16,"name":"Locomotive ID","value":"4044"},{"id":130,"name":"Impact","value":""},{"id":150,"name":"Time of Event (Mountain Time)","value":"10:51:49"},{"id":151,"name":"Denver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466</v>
      </c>
      <c r="B67" s="7">
        <v>4043</v>
      </c>
      <c r="C67" s="24" t="s">
        <v>108</v>
      </c>
      <c r="D67" s="24" t="s">
        <v>353</v>
      </c>
      <c r="E67" s="15">
        <v>42627.464803240742</v>
      </c>
      <c r="F67" s="15">
        <v>42627.466747685183</v>
      </c>
      <c r="G67" s="7">
        <v>1</v>
      </c>
      <c r="H67" s="15" t="s">
        <v>131</v>
      </c>
      <c r="I67" s="15">
        <v>42627.493113425924</v>
      </c>
      <c r="J67" s="7">
        <v>0</v>
      </c>
      <c r="K67" s="121" t="str">
        <f t="shared" si="0"/>
        <v>4043/4044</v>
      </c>
      <c r="L67" s="24" t="str">
        <f>VLOOKUP(A67,'Trips&amp;Operators'!$C$1:$E$10000,3,FALSE)</f>
        <v>ROCHA</v>
      </c>
      <c r="M67" s="6">
        <f t="shared" si="1"/>
        <v>2.6365740741312038E-2</v>
      </c>
      <c r="N67" s="7">
        <f t="shared" si="18"/>
        <v>37.966666667489335</v>
      </c>
      <c r="O67" s="7"/>
      <c r="P67" s="7"/>
      <c r="Q67" s="25"/>
      <c r="R67" s="25"/>
      <c r="S67" s="37">
        <f t="shared" si="19"/>
        <v>1</v>
      </c>
      <c r="T67" s="52" t="str">
        <f t="shared" si="4"/>
        <v>Southbound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10:09:19-0600',mode:absolute,to:'2016-09-14 12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7" s="54" t="str">
        <f t="shared" si="23"/>
        <v>N</v>
      </c>
      <c r="X67" s="168">
        <f t="shared" si="24"/>
        <v>1</v>
      </c>
      <c r="Y67" s="69">
        <f t="shared" si="21"/>
        <v>23.295500000000001</v>
      </c>
      <c r="Z67" s="69">
        <f t="shared" si="17"/>
        <v>1.54E-2</v>
      </c>
      <c r="AA67" s="69">
        <f t="shared" si="9"/>
        <v>23.280100000000001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0"/>
        <v>0154-14</v>
      </c>
      <c r="AE67" s="99" t="str">
        <f t="shared" si="11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67" s="96" t="str">
        <f t="shared" si="12"/>
        <v>"C:\Program Files (x86)\AstroGrep\AstroGrep.exe" /spath="%USERPROFILE%\AppData\Local\Temp\OnboardLogs" /stypes="app*4043*20160914*"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100" t="str">
        <f t="shared" si="16"/>
        <v>"%USERPROFILE%\Documents\GitHub\eaglep3\Utilities\RefineRTDCRunTimes.py" --tripid 154-14 --locoid 4043 --swversion DE.1.0.7.0 --startMP 204:232955 --initTime 2016-09-14T11:09:19 --startdatetime 2016-09-14T11:12:07 --delay 1 --endMP 204:154 --enddatetime 2016-09-14T11:50:05 --enforcementcount 0 &gt;&gt;C:\Users\stu\Documents\GitHub\eaglep3-reporting\EC\2016-09-14-refined-times.txt</v>
      </c>
      <c r="AI67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{"issue":{"subject":"","project_id":79,"tracker_id":40,"status_id":1,"priority_id":2,"assigned_to_id":23,"start_date":"2016-09-14","description":"","custom_fields":[{"id":1,"name":"Subdivision","value":"EC"},{"id":4,"name":"Milepost","value":"0.0154"},{"id":17,"name":"Train ID","value":"154-14"},{"id":16,"name":"Locomotive ID","value":"4043"},{"id":130,"name":"Impact","value":""},{"id":150,"name":"Time of Event (Mountain Time)","value":"11:50:05"},{"id":151,"name":"Denver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459</v>
      </c>
      <c r="B68" s="7">
        <v>4042</v>
      </c>
      <c r="C68" s="24" t="s">
        <v>108</v>
      </c>
      <c r="D68" s="24" t="s">
        <v>257</v>
      </c>
      <c r="E68" s="15">
        <v>42627.433831018519</v>
      </c>
      <c r="F68" s="15">
        <v>42627.437662037039</v>
      </c>
      <c r="G68" s="7">
        <v>1</v>
      </c>
      <c r="H68" s="15" t="s">
        <v>628</v>
      </c>
      <c r="I68" s="15">
        <v>42627.44902777778</v>
      </c>
      <c r="J68" s="7">
        <v>0</v>
      </c>
      <c r="K68" s="121" t="str">
        <f t="shared" si="0"/>
        <v>4041/4042</v>
      </c>
      <c r="L68" s="24" t="str">
        <f>VLOOKUP(A68,'Trips&amp;Operators'!$C$1:$E$10000,3,FALSE)</f>
        <v>STARKS</v>
      </c>
      <c r="M68" s="6">
        <f t="shared" si="1"/>
        <v>1.1365740741894115E-2</v>
      </c>
      <c r="N68" s="7"/>
      <c r="O68" s="7"/>
      <c r="P68" s="7">
        <f t="shared" si="18"/>
        <v>16.366666668327525</v>
      </c>
      <c r="Q68" s="25"/>
      <c r="R68" s="25" t="s">
        <v>341</v>
      </c>
      <c r="S68" s="37">
        <f t="shared" si="19"/>
        <v>0.41666666666666669</v>
      </c>
      <c r="T68" s="52" t="str">
        <f t="shared" si="4"/>
        <v>NorthBound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5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09:24:43-0600',mode:absolute,to:'2016-09-14 11:46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8" s="54" t="str">
        <f t="shared" si="23"/>
        <v>Y</v>
      </c>
      <c r="X68" s="168">
        <f t="shared" si="24"/>
        <v>1</v>
      </c>
      <c r="Y68" s="69">
        <f t="shared" si="21"/>
        <v>4.6699999999999998E-2</v>
      </c>
      <c r="Z68" s="69">
        <v>5.29</v>
      </c>
      <c r="AA68" s="69">
        <f t="shared" si="9"/>
        <v>5.2432999999999996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10"/>
        <v>0155-14</v>
      </c>
      <c r="AE68" s="99" t="str">
        <f t="shared" si="11"/>
        <v>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 &amp; 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</v>
      </c>
      <c r="AF68" s="96" t="str">
        <f t="shared" si="12"/>
        <v>"C:\Program Files (x86)\AstroGrep\AstroGrep.exe" /spath="%USERPROFILE%\AppData\Local\Temp\OnboardLogs" /stypes="app*4042*20160914*" /stext=" 16:.+((SYSTEM_STATE.+slice.+state.+changed )|(ment ac)|(system.+state.+changed )|(\|lc)|(penalty)|(\[timeout)|(PRM\|1\|D)|(kpr)|(kdp))" /e /r /s</v>
      </c>
      <c r="AG68" s="1" t="str">
        <f t="shared" si="13"/>
        <v>EC</v>
      </c>
      <c r="AH68" s="100" t="str">
        <f t="shared" si="16"/>
        <v>"%USERPROFILE%\Documents\GitHub\eaglep3\Utilities\RefineRTDCRunTimes.py" --tripid 155-14 --locoid 4042 --swversion DE.1.0.7.0 --startMP 204:467 --initTime 2016-09-14T10:24:43 --startdatetime 2016-09-14T10:30:14 --delay 1 --endMP 204:233261 --enddatetime 2016-09-14T10:46:36 --enforcementcount 0 &gt;&gt;C:\Users\stu\Documents\GitHub\eaglep3-reporting\EC\2016-09-14-refined-times.txt</v>
      </c>
      <c r="AI68" s="134" t="str">
        <f t="shared" si="15"/>
        <v>echo {"issue":{"subject":"Onboard in-route failure","project_id":79,"tracker_id":40,"status_id":1,"priority_id":2,"assigned_to_id":23,"start_date":"2016-09-14","description":"","custom_fields":[{"id":1,"name":"Subdivision","value":"EC"},{"id":4,"name":"Milepost","value":"5.29"},{"id":17,"name":"Train ID","value":"155-14"},{"id":16,"name":"Locomotive ID","value":"4042"},{"id":130,"name":"Impact","value":""},{"id":150,"name":"Time of Event (Mountain Time)","value":"10:46:36"},{"id":151,"name":"Denver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469</v>
      </c>
      <c r="B69" s="7">
        <v>4041</v>
      </c>
      <c r="C69" s="24" t="s">
        <v>108</v>
      </c>
      <c r="D69" s="24" t="s">
        <v>318</v>
      </c>
      <c r="E69" s="15">
        <v>42627.47755787037</v>
      </c>
      <c r="F69" s="15">
        <v>42627.479710648149</v>
      </c>
      <c r="G69" s="7">
        <v>1</v>
      </c>
      <c r="H69" s="15" t="s">
        <v>221</v>
      </c>
      <c r="I69" s="15">
        <v>42627.505543981482</v>
      </c>
      <c r="J69" s="7">
        <v>0</v>
      </c>
      <c r="K69" s="121" t="str">
        <f t="shared" si="0"/>
        <v>4041/4042</v>
      </c>
      <c r="L69" s="24" t="str">
        <f>VLOOKUP(A69,'Trips&amp;Operators'!$C$1:$E$10000,3,FALSE)</f>
        <v>STARKS</v>
      </c>
      <c r="M69" s="6">
        <f t="shared" si="1"/>
        <v>2.5833333333139308E-2</v>
      </c>
      <c r="N69" s="7">
        <f t="shared" si="18"/>
        <v>37.199999999720603</v>
      </c>
      <c r="O69" s="7"/>
      <c r="P69" s="7"/>
      <c r="Q69" s="25"/>
      <c r="R69" s="25"/>
      <c r="S69" s="37">
        <f t="shared" si="19"/>
        <v>1</v>
      </c>
      <c r="T69" s="52" t="str">
        <f t="shared" si="4"/>
        <v>Southbound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10:27:41-0600',mode:absolute,to:'2016-09-14 13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9" s="54" t="str">
        <f t="shared" ref="W69:W100" si="25">IF(AA69&lt;IF(AG69="EC",23,5.65),"Y","N")</f>
        <v>N</v>
      </c>
      <c r="X69" s="168">
        <f t="shared" ref="X69:X93" si="26">VALUE(LEFT(AD69,4))-VALUE(LEFT(AD68,4))</f>
        <v>1</v>
      </c>
      <c r="Y69" s="69">
        <f t="shared" si="21"/>
        <v>23.298100000000002</v>
      </c>
      <c r="Z69" s="69">
        <f t="shared" si="17"/>
        <v>1.49E-2</v>
      </c>
      <c r="AA69" s="69">
        <f t="shared" si="9"/>
        <v>23.283200000000001</v>
      </c>
      <c r="AB69" s="66" t="str">
        <f>VLOOKUP(A69,Enforcements!$C$7:$K$20,8,0)</f>
        <v>Bulletin (2)</v>
      </c>
      <c r="AC69" s="62" t="str">
        <f>VLOOKUP(A69,Enforcements!$C$7:$E$20,3,0)</f>
        <v>GRADE CROSSING</v>
      </c>
      <c r="AD69" s="63" t="str">
        <f t="shared" si="10"/>
        <v>0156-14</v>
      </c>
      <c r="AE69" s="99" t="str">
        <f t="shared" si="11"/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AF69" s="96" t="str">
        <f t="shared" si="12"/>
        <v>"C:\Program Files (x86)\AstroGrep\AstroGrep.exe" /spath="%USERPROFILE%\AppData\Local\Temp\OnboardLogs" /stypes="app*4041*20160914*" /stext=" 18:.+((SYSTEM_STATE.+slice.+state.+changed )|(ment ac)|(system.+state.+changed )|(\|lc)|(penalty)|(\[timeout)|(PRM\|1\|D)|(kpr)|(kdp))" /e /r /s</v>
      </c>
      <c r="AG69" s="1" t="str">
        <f t="shared" si="13"/>
        <v>EC</v>
      </c>
      <c r="AH69" s="100" t="str">
        <f t="shared" si="16"/>
        <v>"%USERPROFILE%\Documents\GitHub\eaglep3\Utilities\RefineRTDCRunTimes.py" --tripid 156-14 --locoid 4041 --swversion DE.1.0.7.0 --startMP 204:232981 --initTime 2016-09-14T11:27:41 --startdatetime 2016-09-14T11:30:47 --delay 1 --endMP 204:149 --enddatetime 2016-09-14T12:07:59 --enforcementcount 0 &gt;&gt;C:\Users\stu\Documents\GitHub\eaglep3-reporting\EC\2016-09-14-refined-times.txt</v>
      </c>
      <c r="AI69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{"issue":{"subject":"","project_id":79,"tracker_id":40,"status_id":1,"priority_id":2,"assigned_to_id":23,"start_date":"2016-09-14","description":"","custom_fields":[{"id":1,"name":"Subdivision","value":"EC"},{"id":4,"name":"Milepost","value":"0.0149"},{"id":17,"name":"Train ID","value":"156-14"},{"id":16,"name":"Locomotive ID","value":"4041"},{"id":130,"name":"Impact","value":""},{"id":150,"name":"Time of Event (Mountain Time)","value":"12:07:59"},{"id":151,"name":"Denver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462</v>
      </c>
      <c r="B70" s="7">
        <v>4027</v>
      </c>
      <c r="C70" s="24" t="s">
        <v>108</v>
      </c>
      <c r="D70" s="24" t="s">
        <v>277</v>
      </c>
      <c r="E70" s="15">
        <v>42627.447523148148</v>
      </c>
      <c r="F70" s="15">
        <v>42627.450833333336</v>
      </c>
      <c r="G70" s="7">
        <v>2</v>
      </c>
      <c r="H70" s="15" t="s">
        <v>308</v>
      </c>
      <c r="I70" s="15">
        <v>42627.481319444443</v>
      </c>
      <c r="J70" s="7">
        <v>0</v>
      </c>
      <c r="K70" s="121" t="str">
        <f t="shared" si="0"/>
        <v>4027/4028</v>
      </c>
      <c r="L70" s="24" t="str">
        <f>VLOOKUP(A70,'Trips&amp;Operators'!$C$1:$E$10000,3,FALSE)</f>
        <v>MAHAN</v>
      </c>
      <c r="M70" s="6">
        <f t="shared" si="1"/>
        <v>3.0486111107165925E-2</v>
      </c>
      <c r="N70" s="7">
        <f t="shared" si="18"/>
        <v>43.899999994318932</v>
      </c>
      <c r="O70" s="7"/>
      <c r="P70" s="7"/>
      <c r="Q70" s="25"/>
      <c r="R70" s="25"/>
      <c r="S70" s="37">
        <f t="shared" si="19"/>
        <v>1</v>
      </c>
      <c r="T70" s="52" t="str">
        <f t="shared" si="4"/>
        <v>NorthBound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09:44:26-0600',mode:absolute,to:'2016-09-14 12:33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0" s="54" t="str">
        <f t="shared" si="25"/>
        <v>N</v>
      </c>
      <c r="X70" s="168">
        <f t="shared" si="26"/>
        <v>1</v>
      </c>
      <c r="Y70" s="69">
        <f t="shared" si="21"/>
        <v>4.6899999999999997E-2</v>
      </c>
      <c r="Z70" s="69">
        <f t="shared" si="17"/>
        <v>23.329899999999999</v>
      </c>
      <c r="AA70" s="69">
        <f t="shared" si="9"/>
        <v>23.282999999999998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0"/>
        <v>0157-14</v>
      </c>
      <c r="AE70" s="99" t="str">
        <f t="shared" si="11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70" s="96" t="str">
        <f t="shared" si="12"/>
        <v>"C:\Program Files (x86)\AstroGrep\AstroGrep.exe" /spath="%USERPROFILE%\AppData\Local\Temp\OnboardLogs" /stypes="app*4027*20160914*" /stext=" 17:.+((SYSTEM_STATE.+slice.+state.+changed )|(ment ac)|(system.+state.+changed )|(\|lc)|(penalty)|(\[timeout)|(PRM\|1\|D)|(kpr)|(kdp))" /e /r /s</v>
      </c>
      <c r="AG70" s="1" t="str">
        <f t="shared" si="13"/>
        <v>EC</v>
      </c>
      <c r="AH70" s="100" t="str">
        <f t="shared" si="16"/>
        <v>"%USERPROFILE%\Documents\GitHub\eaglep3\Utilities\RefineRTDCRunTimes.py" --tripid 157-14 --locoid 4027 --swversion DE.1.0.7.0 --startMP 204:469 --initTime 2016-09-14T10:44:26 --startdatetime 2016-09-14T10:49:12 --delay 2 --endMP 204:233299 --enddatetime 2016-09-14T11:33:06 --enforcementcount 0 &gt;&gt;C:\Users\stu\Documents\GitHub\eaglep3-reporting\EC\2016-09-14-refined-times.txt</v>
      </c>
      <c r="AI70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{"issue":{"subject":"","project_id":79,"tracker_id":40,"status_id":1,"priority_id":2,"assigned_to_id":23,"start_date":"2016-09-14","description":"","custom_fields":[{"id":1,"name":"Subdivision","value":"EC"},{"id":4,"name":"Milepost","value":"23.3299"},{"id":17,"name":"Train ID","value":"157-14"},{"id":16,"name":"Locomotive ID","value":"4027"},{"id":130,"name":"Impact","value":""},{"id":150,"name":"Time of Event (Mountain Time)","value":"11:33:06"},{"id":151,"name":"Denver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470</v>
      </c>
      <c r="B71" s="7">
        <v>4028</v>
      </c>
      <c r="C71" s="24" t="s">
        <v>108</v>
      </c>
      <c r="D71" s="24" t="s">
        <v>224</v>
      </c>
      <c r="E71" s="15">
        <v>42627.483518518522</v>
      </c>
      <c r="F71" s="15">
        <v>42627.487268518518</v>
      </c>
      <c r="G71" s="7">
        <v>1</v>
      </c>
      <c r="H71" s="15" t="s">
        <v>347</v>
      </c>
      <c r="I71" s="15">
        <v>42627.517013888886</v>
      </c>
      <c r="J71" s="7">
        <v>0</v>
      </c>
      <c r="K71" s="121" t="str">
        <f t="shared" si="0"/>
        <v>4027/4028</v>
      </c>
      <c r="L71" s="24" t="str">
        <f>VLOOKUP(A71,'Trips&amp;Operators'!$C$1:$E$10000,3,FALSE)</f>
        <v>MAHAN</v>
      </c>
      <c r="M71" s="6">
        <f t="shared" si="1"/>
        <v>2.9745370367891155E-2</v>
      </c>
      <c r="N71" s="7">
        <f t="shared" si="18"/>
        <v>42.833333329763263</v>
      </c>
      <c r="O71" s="7"/>
      <c r="P71" s="7"/>
      <c r="Q71" s="25"/>
      <c r="R71" s="25"/>
      <c r="S71" s="37">
        <f t="shared" si="19"/>
        <v>1</v>
      </c>
      <c r="T71" s="52" t="str">
        <f t="shared" si="4"/>
        <v>Southbound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10:36:16-0600',mode:absolute,to:'2016-09-14 13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1" s="54" t="str">
        <f t="shared" si="25"/>
        <v>N</v>
      </c>
      <c r="X71" s="168">
        <f t="shared" si="26"/>
        <v>1</v>
      </c>
      <c r="Y71" s="69">
        <f t="shared" si="21"/>
        <v>23.298200000000001</v>
      </c>
      <c r="Z71" s="69">
        <f t="shared" si="17"/>
        <v>1.43E-2</v>
      </c>
      <c r="AA71" s="69">
        <f t="shared" si="9"/>
        <v>23.283900000000003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0"/>
        <v>0158-14</v>
      </c>
      <c r="AE71" s="99" t="str">
        <f t="shared" si="11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71" s="96" t="str">
        <f t="shared" si="12"/>
        <v>"C:\Program Files (x86)\AstroGrep\AstroGrep.exe" /spath="%USERPROFILE%\AppData\Local\Temp\OnboardLogs" /stypes="app*4028*20160914*" /stext=" 18:.+((SYSTEM_STATE.+slice.+state.+changed )|(ment ac)|(system.+state.+changed )|(\|lc)|(penalty)|(\[timeout)|(PRM\|1\|D)|(kpr)|(kdp))" /e /r /s</v>
      </c>
      <c r="AG71" s="1" t="str">
        <f t="shared" si="13"/>
        <v>EC</v>
      </c>
      <c r="AH71" s="100" t="str">
        <f t="shared" si="16"/>
        <v>"%USERPROFILE%\Documents\GitHub\eaglep3\Utilities\RefineRTDCRunTimes.py" --tripid 158-14 --locoid 4028 --swversion DE.1.0.7.0 --startMP 204:232982 --initTime 2016-09-14T11:36:16 --startdatetime 2016-09-14T11:41:40 --delay 1 --endMP 204:143 --enddatetime 2016-09-14T12:24:30 --enforcementcount 0 &gt;&gt;C:\Users\stu\Documents\GitHub\eaglep3-reporting\EC\2016-09-14-refined-times.txt</v>
      </c>
      <c r="AI71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{"issue":{"subject":"","project_id":79,"tracker_id":40,"status_id":1,"priority_id":2,"assigned_to_id":23,"start_date":"2016-09-14","description":"","custom_fields":[{"id":1,"name":"Subdivision","value":"EC"},{"id":4,"name":"Milepost","value":"0.0143"},{"id":17,"name":"Train ID","value":"158-14"},{"id":16,"name":"Locomotive ID","value":"4028"},{"id":130,"name":"Impact","value":""},{"id":150,"name":"Time of Event (Mountain Time)","value":"12:24:30"},{"id":151,"name":"Denver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464</v>
      </c>
      <c r="B72" s="7">
        <v>4003</v>
      </c>
      <c r="C72" s="24" t="s">
        <v>108</v>
      </c>
      <c r="D72" s="24" t="s">
        <v>629</v>
      </c>
      <c r="E72" s="15">
        <v>42627.45517361111</v>
      </c>
      <c r="F72" s="15">
        <v>42627.458564814813</v>
      </c>
      <c r="G72" s="7">
        <v>2</v>
      </c>
      <c r="H72" s="15" t="s">
        <v>630</v>
      </c>
      <c r="I72" s="15">
        <v>42627.486273148148</v>
      </c>
      <c r="J72" s="7">
        <v>0</v>
      </c>
      <c r="K72" s="121" t="str">
        <f t="shared" si="0"/>
        <v>4003/4004</v>
      </c>
      <c r="L72" s="24" t="str">
        <f>VLOOKUP(A72,'Trips&amp;Operators'!$C$1:$E$10000,3,FALSE)</f>
        <v>BROWN</v>
      </c>
      <c r="M72" s="6">
        <f t="shared" si="1"/>
        <v>2.7708333334885538E-2</v>
      </c>
      <c r="N72" s="7">
        <f t="shared" si="18"/>
        <v>39.900000002235174</v>
      </c>
      <c r="O72" s="7"/>
      <c r="P72" s="7"/>
      <c r="Q72" s="25"/>
      <c r="R72" s="25"/>
      <c r="S72" s="37">
        <f t="shared" si="19"/>
        <v>1</v>
      </c>
      <c r="T72" s="52" t="str">
        <f t="shared" si="4"/>
        <v>NorthBound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09:55:27-0600',mode:absolute,to:'2016-09-14 12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2" s="54" t="str">
        <f t="shared" si="25"/>
        <v>N</v>
      </c>
      <c r="X72" s="168">
        <f t="shared" si="26"/>
        <v>1</v>
      </c>
      <c r="Y72" s="69">
        <f t="shared" si="21"/>
        <v>0.14810000000000001</v>
      </c>
      <c r="Z72" s="69">
        <f t="shared" si="17"/>
        <v>23.326599999999999</v>
      </c>
      <c r="AA72" s="69">
        <f t="shared" si="9"/>
        <v>23.1785</v>
      </c>
      <c r="AB72" s="66" t="str">
        <f>VLOOKUP(A72,Enforcements!$C$7:$K$20,8,0)</f>
        <v>Bulletin (2)</v>
      </c>
      <c r="AC72" s="62" t="str">
        <f>VLOOKUP(A72,Enforcements!$C$7:$E$20,3,0)</f>
        <v>GRADE CROSSING</v>
      </c>
      <c r="AD72" s="63" t="str">
        <f t="shared" si="10"/>
        <v>0159-14</v>
      </c>
      <c r="AE72" s="99" t="str">
        <f t="shared" si="11"/>
        <v>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 &amp; aws s3 cp s3://rtdc.mdm.uploadarchive/RTDC4003/2016-09-15/ "%USERPROFILE%\AppData\Local\Temp\OnboardLogs"\RTDC4003\2016-09-15 --recursive &amp; "%USERPROFILE%\Documents\GitHub\mrs-test-scripts\Headless Mode &amp; Sideloading\WalkAndUnGZ.bat" "%USERPROFILE%\AppData\Local\Temp\OnboardLogs"\RTDC4003\2016-09-15</v>
      </c>
      <c r="AF72" s="96" t="str">
        <f t="shared" si="12"/>
        <v>"C:\Program Files (x86)\AstroGrep\AstroGrep.exe" /spath="%USERPROFILE%\AppData\Local\Temp\OnboardLogs" /stypes="app*4003*20160914*" /stext=" 17:.+((SYSTEM_STATE.+slice.+state.+changed )|(ment ac)|(system.+state.+changed )|(\|lc)|(penalty)|(\[timeout)|(PRM\|1\|D)|(kpr)|(kdp))" /e /r /s</v>
      </c>
      <c r="AG72" s="1" t="str">
        <f t="shared" si="13"/>
        <v>EC</v>
      </c>
      <c r="AH72" s="100" t="str">
        <f t="shared" si="16"/>
        <v>"%USERPROFILE%\Documents\GitHub\eaglep3\Utilities\RefineRTDCRunTimes.py" --tripid 159-14 --locoid 4003 --swversion DE.1.0.7.0 --startMP 204:1481 --initTime 2016-09-14T10:55:27 --startdatetime 2016-09-14T11:00:20 --delay 2 --endMP 204:233266 --enddatetime 2016-09-14T11:40:14 --enforcementcount 0 &gt;&gt;C:\Users\stu\Documents\GitHub\eaglep3-reporting\EC\2016-09-14-refined-times.txt</v>
      </c>
      <c r="AI72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{"issue":{"subject":"","project_id":79,"tracker_id":40,"status_id":1,"priority_id":2,"assigned_to_id":23,"start_date":"2016-09-14","description":"","custom_fields":[{"id":1,"name":"Subdivision","value":"EC"},{"id":4,"name":"Milepost","value":"23.3266"},{"id":17,"name":"Train ID","value":"159-14"},{"id":16,"name":"Locomotive ID","value":"4003"},{"id":130,"name":"Impact","value":""},{"id":150,"name":"Time of Event (Mountain Time)","value":"11:40:14"},{"id":151,"name":"Denver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473</v>
      </c>
      <c r="B73" s="7">
        <v>4004</v>
      </c>
      <c r="C73" s="24" t="s">
        <v>108</v>
      </c>
      <c r="D73" s="24" t="s">
        <v>310</v>
      </c>
      <c r="E73" s="15">
        <v>42627.491967592592</v>
      </c>
      <c r="F73" s="15">
        <v>42627.497407407405</v>
      </c>
      <c r="G73" s="7">
        <v>1</v>
      </c>
      <c r="H73" s="15" t="s">
        <v>250</v>
      </c>
      <c r="I73" s="15">
        <v>42627.52815972222</v>
      </c>
      <c r="J73" s="7">
        <v>0</v>
      </c>
      <c r="K73" s="121" t="str">
        <f t="shared" si="0"/>
        <v>4003/4004</v>
      </c>
      <c r="L73" s="24" t="str">
        <f>VLOOKUP(A73,'Trips&amp;Operators'!$C$1:$E$10000,3,FALSE)</f>
        <v>BONDS</v>
      </c>
      <c r="M73" s="6">
        <f t="shared" si="1"/>
        <v>3.0752314814890269E-2</v>
      </c>
      <c r="N73" s="7">
        <f t="shared" si="18"/>
        <v>44.283333333441988</v>
      </c>
      <c r="O73" s="7"/>
      <c r="P73" s="7"/>
      <c r="Q73" s="25"/>
      <c r="R73" s="25"/>
      <c r="S73" s="37">
        <f t="shared" si="19"/>
        <v>1</v>
      </c>
      <c r="T73" s="52" t="str">
        <f t="shared" si="4"/>
        <v>Southbound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10:48:26-0600',mode:absolute,to:'2016-09-14 13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73" s="54" t="str">
        <f t="shared" si="25"/>
        <v>N</v>
      </c>
      <c r="X73" s="168">
        <f t="shared" si="26"/>
        <v>1</v>
      </c>
      <c r="Y73" s="69">
        <f t="shared" si="21"/>
        <v>23.2989</v>
      </c>
      <c r="Z73" s="69">
        <f t="shared" si="17"/>
        <v>1.3899999999999999E-2</v>
      </c>
      <c r="AA73" s="69">
        <f t="shared" si="9"/>
        <v>23.285</v>
      </c>
      <c r="AB73" s="66" t="str">
        <f>VLOOKUP(A73,Enforcements!$C$7:$K$20,8,0)</f>
        <v>Speed (6)</v>
      </c>
      <c r="AC73" s="62" t="str">
        <f>VLOOKUP(A73,Enforcements!$C$7:$E$20,3,0)</f>
        <v>PERMANENT SPEED RESTRICTION</v>
      </c>
      <c r="AD73" s="63" t="str">
        <f t="shared" si="10"/>
        <v>0160-14</v>
      </c>
      <c r="AE73" s="99" t="str">
        <f t="shared" si="11"/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AF73" s="96" t="str">
        <f t="shared" si="12"/>
        <v>"C:\Program Files (x86)\AstroGrep\AstroGrep.exe" /spath="%USERPROFILE%\AppData\Local\Temp\OnboardLogs" /stypes="app*4004*20160914*" /stext=" 18:.+((SYSTEM_STATE.+slice.+state.+changed )|(ment ac)|(system.+state.+changed )|(\|lc)|(penalty)|(\[timeout)|(PRM\|1\|D)|(kpr)|(kdp))" /e /r /s</v>
      </c>
      <c r="AG73" s="1" t="str">
        <f t="shared" si="13"/>
        <v>EC</v>
      </c>
      <c r="AH73" s="100" t="str">
        <f t="shared" si="16"/>
        <v>"%USERPROFILE%\Documents\GitHub\eaglep3\Utilities\RefineRTDCRunTimes.py" --tripid 160-14 --locoid 4004 --swversion DE.1.0.7.0 --startMP 204:232989 --initTime 2016-09-14T11:48:26 --startdatetime 2016-09-14T11:56:16 --delay 1 --endMP 204:139 --enddatetime 2016-09-14T12:40:33 --enforcementcount 0 &gt;&gt;C:\Users\stu\Documents\GitHub\eaglep3-reporting\EC\2016-09-14-refined-times.txt</v>
      </c>
      <c r="AI73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{"issue":{"subject":"","project_id":79,"tracker_id":40,"status_id":1,"priority_id":2,"assigned_to_id":23,"start_date":"2016-09-14","description":"","custom_fields":[{"id":1,"name":"Subdivision","value":"EC"},{"id":4,"name":"Milepost","value":"0.0139"},{"id":17,"name":"Train ID","value":"160-14"},{"id":16,"name":"Locomotive ID","value":"4004"},{"id":130,"name":"Impact","value":""},{"id":150,"name":"Time of Event (Mountain Time)","value":"12:40:33"},{"id":151,"name":"Denver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467</v>
      </c>
      <c r="B74" s="7">
        <v>4014</v>
      </c>
      <c r="C74" s="24" t="s">
        <v>108</v>
      </c>
      <c r="D74" s="24" t="s">
        <v>316</v>
      </c>
      <c r="E74" s="15">
        <v>42627.468877314815</v>
      </c>
      <c r="F74" s="15">
        <v>42627.471099537041</v>
      </c>
      <c r="G74" s="7">
        <v>1</v>
      </c>
      <c r="H74" s="15" t="s">
        <v>631</v>
      </c>
      <c r="I74" s="15">
        <v>42627.496979166666</v>
      </c>
      <c r="J74" s="7">
        <v>0</v>
      </c>
      <c r="K74" s="121" t="str">
        <f t="shared" si="0"/>
        <v>4013/4014</v>
      </c>
      <c r="L74" s="24" t="str">
        <f>VLOOKUP(A74,'Trips&amp;Operators'!$C$1:$E$10000,3,FALSE)</f>
        <v>BARTLETT</v>
      </c>
      <c r="M74" s="6">
        <f t="shared" si="1"/>
        <v>2.5879629625706002E-2</v>
      </c>
      <c r="N74" s="7">
        <f t="shared" si="18"/>
        <v>37.266666661016643</v>
      </c>
      <c r="O74" s="7"/>
      <c r="P74" s="7"/>
      <c r="Q74" s="25"/>
      <c r="R74" s="25"/>
      <c r="S74" s="37">
        <f t="shared" si="19"/>
        <v>1</v>
      </c>
      <c r="T74" s="52" t="str">
        <f t="shared" si="4"/>
        <v>NorthBound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10:15:11-0600',mode:absolute,to:'2016-09-14 12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4" s="54" t="str">
        <f t="shared" si="25"/>
        <v>N</v>
      </c>
      <c r="X74" s="168">
        <f t="shared" si="26"/>
        <v>1</v>
      </c>
      <c r="Y74" s="69">
        <f t="shared" si="21"/>
        <v>4.82E-2</v>
      </c>
      <c r="Z74" s="69">
        <f t="shared" si="17"/>
        <v>23.337599999999998</v>
      </c>
      <c r="AA74" s="69">
        <f t="shared" si="9"/>
        <v>23.289399999999997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0"/>
        <v>0161-14</v>
      </c>
      <c r="AE74" s="99" t="str">
        <f t="shared" si="11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74" s="96" t="str">
        <f t="shared" si="12"/>
        <v>"C:\Program Files (x86)\AstroGrep\AstroGrep.exe" /spath="%USERPROFILE%\AppData\Local\Temp\OnboardLogs" /stypes="app*4014*20160914*" /stext=" 17:.+((SYSTEM_STATE.+slice.+state.+changed )|(ment ac)|(system.+state.+changed )|(\|lc)|(penalty)|(\[timeout)|(PRM\|1\|D)|(kpr)|(kdp))" /e /r /s</v>
      </c>
      <c r="AG74" s="1" t="str">
        <f t="shared" si="13"/>
        <v>EC</v>
      </c>
      <c r="AH74" s="100" t="str">
        <f t="shared" si="16"/>
        <v>"%USERPROFILE%\Documents\GitHub\eaglep3\Utilities\RefineRTDCRunTimes.py" --tripid 161-14 --locoid 4014 --swversion DE.1.0.7.0 --startMP 204:482 --initTime 2016-09-14T11:15:11 --startdatetime 2016-09-14T11:18:23 --delay 1 --endMP 204:233376 --enddatetime 2016-09-14T11:55:39 --enforcementcount 0 &gt;&gt;C:\Users\stu\Documents\GitHub\eaglep3-reporting\EC\2016-09-14-refined-times.txt</v>
      </c>
      <c r="AI74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{"issue":{"subject":"","project_id":79,"tracker_id":40,"status_id":1,"priority_id":2,"assigned_to_id":23,"start_date":"2016-09-14","description":"","custom_fields":[{"id":1,"name":"Subdivision","value":"EC"},{"id":4,"name":"Milepost","value":"23.3376"},{"id":17,"name":"Train ID","value":"161-14"},{"id":16,"name":"Locomotive ID","value":"4014"},{"id":130,"name":"Impact","value":""},{"id":150,"name":"Time of Event (Mountain Time)","value":"11:55:39"},{"id":151,"name":"Denver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476</v>
      </c>
      <c r="B75" s="7">
        <v>4013</v>
      </c>
      <c r="C75" s="24" t="s">
        <v>108</v>
      </c>
      <c r="D75" s="24" t="s">
        <v>632</v>
      </c>
      <c r="E75" s="15">
        <v>42627.498564814814</v>
      </c>
      <c r="F75" s="15">
        <v>42627.508009259262</v>
      </c>
      <c r="G75" s="7">
        <v>1</v>
      </c>
      <c r="H75" s="15" t="s">
        <v>228</v>
      </c>
      <c r="I75" s="15">
        <v>42627.534988425927</v>
      </c>
      <c r="J75" s="7">
        <v>0</v>
      </c>
      <c r="K75" s="121" t="str">
        <f t="shared" si="0"/>
        <v>4013/4014</v>
      </c>
      <c r="L75" s="24" t="str">
        <f>VLOOKUP(A75,'Trips&amp;Operators'!$C$1:$E$10000,3,FALSE)</f>
        <v>BARTLETT</v>
      </c>
      <c r="M75" s="6">
        <f t="shared" si="1"/>
        <v>2.6979166665114462E-2</v>
      </c>
      <c r="N75" s="7">
        <f t="shared" si="18"/>
        <v>38.849999997764826</v>
      </c>
      <c r="O75" s="7"/>
      <c r="P75" s="7"/>
      <c r="Q75" s="25"/>
      <c r="R75" s="25"/>
      <c r="S75" s="37">
        <f t="shared" si="19"/>
        <v>1</v>
      </c>
      <c r="T75" s="52" t="str">
        <f t="shared" si="4"/>
        <v>Southbound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10:57:56-0600',mode:absolute,to:'2016-09-14 13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5" s="54" t="str">
        <f t="shared" si="25"/>
        <v>N</v>
      </c>
      <c r="X75" s="168">
        <f t="shared" si="26"/>
        <v>1</v>
      </c>
      <c r="Y75" s="69">
        <f t="shared" si="21"/>
        <v>23.305299999999999</v>
      </c>
      <c r="Z75" s="69">
        <f t="shared" si="17"/>
        <v>1.5800000000000002E-2</v>
      </c>
      <c r="AA75" s="69">
        <f t="shared" si="9"/>
        <v>23.2895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0"/>
        <v>0162-14</v>
      </c>
      <c r="AE75" s="99" t="str">
        <f t="shared" si="11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75" s="96" t="str">
        <f t="shared" si="12"/>
        <v>"C:\Program Files (x86)\AstroGrep\AstroGrep.exe" /spath="%USERPROFILE%\AppData\Local\Temp\OnboardLogs" /stypes="app*4013*20160914*"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100" t="str">
        <f t="shared" si="16"/>
        <v>"%USERPROFILE%\Documents\GitHub\eaglep3\Utilities\RefineRTDCRunTimes.py" --tripid 162-14 --locoid 4013 --swversion DE.1.0.7.0 --startMP 204:233053 --initTime 2016-09-14T11:57:56 --startdatetime 2016-09-14T12:11:32 --delay 1 --endMP 204:158 --enddatetime 2016-09-14T12:50:23 --enforcementcount 0 &gt;&gt;C:\Users\stu\Documents\GitHub\eaglep3-reporting\EC\2016-09-14-refined-times.txt</v>
      </c>
      <c r="AI75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{"issue":{"subject":"","project_id":79,"tracker_id":40,"status_id":1,"priority_id":2,"assigned_to_id":23,"start_date":"2016-09-14","description":"","custom_fields":[{"id":1,"name":"Subdivision","value":"EC"},{"id":4,"name":"Milepost","value":"0.0158"},{"id":17,"name":"Train ID","value":"162-14"},{"id":16,"name":"Locomotive ID","value":"4013"},{"id":130,"name":"Impact","value":""},{"id":150,"name":"Time of Event (Mountain Time)","value":"12:50:23"},{"id":151,"name":"Denver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468</v>
      </c>
      <c r="B76" s="7">
        <v>4053</v>
      </c>
      <c r="C76" s="24" t="s">
        <v>108</v>
      </c>
      <c r="D76" s="24" t="s">
        <v>243</v>
      </c>
      <c r="E76" s="15">
        <v>42627.475347222222</v>
      </c>
      <c r="F76" s="15">
        <v>42627.48096064815</v>
      </c>
      <c r="G76" s="7">
        <v>1</v>
      </c>
      <c r="H76" s="15" t="s">
        <v>354</v>
      </c>
      <c r="I76" s="15">
        <v>42627.507881944446</v>
      </c>
      <c r="J76" s="7">
        <v>0</v>
      </c>
      <c r="K76" s="121" t="str">
        <f t="shared" si="0"/>
        <v>4053/4054</v>
      </c>
      <c r="L76" s="24" t="str">
        <f>VLOOKUP(A76,'Trips&amp;Operators'!$C$1:$E$10000,3,FALSE)</f>
        <v>BERLING</v>
      </c>
      <c r="M76" s="6">
        <f t="shared" si="1"/>
        <v>2.6921296295768116E-2</v>
      </c>
      <c r="N76" s="7">
        <f t="shared" ref="N76:N93" si="27">24*60*SUM($M76:$M76)</f>
        <v>38.766666665906087</v>
      </c>
      <c r="O76" s="7"/>
      <c r="P76" s="7"/>
      <c r="Q76" s="25"/>
      <c r="R76" s="25"/>
      <c r="S76" s="37">
        <f t="shared" ref="S76:S107" si="28">SUM(U76:U76)/IF(AG76="EC",12,1)</f>
        <v>1</v>
      </c>
      <c r="T76" s="52" t="str">
        <f t="shared" si="4"/>
        <v>NorthBound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https://search-rtdc-monitor-bjffxe2xuh6vdkpspy63sjmuny.us-east-1.es.amazonaws.com/_plugin/kibana/#/discover/Steve-Slow-Train-Analysis-(2080s-and-2083s)?_g=(refreshInterval:(display:Off,section:0,value:0),time:(from:'2016-09-14 10:24:30-0600',mode:absolute,to:'2016-09-14 13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76" s="54" t="str">
        <f t="shared" si="25"/>
        <v>N</v>
      </c>
      <c r="X76" s="168">
        <f t="shared" si="26"/>
        <v>1</v>
      </c>
      <c r="Y76" s="69">
        <f t="shared" si="21"/>
        <v>4.5499999999999999E-2</v>
      </c>
      <c r="Z76" s="69">
        <f t="shared" si="17"/>
        <v>23.328299999999999</v>
      </c>
      <c r="AA76" s="69">
        <f t="shared" si="9"/>
        <v>23.282799999999998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0"/>
        <v>0163-14</v>
      </c>
      <c r="AE76" s="99" t="str">
        <f t="shared" si="11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76" s="96" t="str">
        <f t="shared" si="12"/>
        <v>"C:\Program Files (x86)\AstroGrep\AstroGrep.exe" /spath="%USERPROFILE%\AppData\Local\Temp\OnboardLogs" /stypes="app*4053*20160914*" /stext=" 18:.+((SYSTEM_STATE.+slice.+state.+changed )|(ment ac)|(system.+state.+changed )|(\|lc)|(penalty)|(\[timeout)|(PRM\|1\|D)|(kpr)|(kdp))" /e /r /s</v>
      </c>
      <c r="AG76" s="1" t="str">
        <f t="shared" si="13"/>
        <v>EC</v>
      </c>
      <c r="AH76" s="100" t="str">
        <f t="shared" ref="AH76:AH140" si="29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163-14 --locoid 4053 --swversion DE.1.0.7.0 --startMP 204:455 --initTime 2016-09-14T11:24:30 --startdatetime 2016-09-14T11:32:35 --delay 1 --endMP 204:233283 --enddatetime 2016-09-14T12:11:21 --enforcementcount 0 &gt;&gt;C:\Users\stu\Documents\GitHub\eaglep3-reporting\EC\2016-09-14-refined-times.txt</v>
      </c>
      <c r="AI76" s="134" t="str">
        <f t="shared" si="15"/>
        <v>echo {"issue":{"subject":"","project_id":79,"tracker_id":40,"status_id":1,"priority_id":2,"assigned_to_id":23,"start_date":"2016-09-14","description":"","custom_fields":[{"id":1,"name":"Subdivision","value":"EC"},{"id":4,"name":"Milepost","value":"23.3283"},{"id":17,"name":"Train ID","value":"163-14"},{"id":16,"name":"Locomotive ID","value":"4053"},{"id":130,"name":"Impact","value":""},{"id":150,"name":"Time of Event (Mountain Time)","value":"12:11:21"},{"id":151,"name":"Denver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479</v>
      </c>
      <c r="B77" s="7">
        <v>4054</v>
      </c>
      <c r="C77" s="24" t="s">
        <v>108</v>
      </c>
      <c r="D77" s="24" t="s">
        <v>362</v>
      </c>
      <c r="E77" s="15">
        <v>42627.51357638889</v>
      </c>
      <c r="F77" s="15">
        <v>42627.518321759257</v>
      </c>
      <c r="G77" s="7">
        <v>2</v>
      </c>
      <c r="H77" s="15" t="s">
        <v>633</v>
      </c>
      <c r="I77" s="15">
        <v>42627.546805555554</v>
      </c>
      <c r="J77" s="7">
        <v>0</v>
      </c>
      <c r="K77" s="121" t="str">
        <f t="shared" ref="K77:K140" si="30">IF(ISEVEN(B77),(B77-1)&amp;"/"&amp;B77,B77&amp;"/"&amp;(B77+1))</f>
        <v>4053/4054</v>
      </c>
      <c r="L77" s="24" t="str">
        <f>VLOOKUP(A77,'Trips&amp;Operators'!$C$1:$E$10000,3,FALSE)</f>
        <v>BERLING</v>
      </c>
      <c r="M77" s="6">
        <f t="shared" ref="M77:M140" si="31">I77-F77</f>
        <v>2.8483796297223307E-2</v>
      </c>
      <c r="N77" s="7">
        <f t="shared" si="27"/>
        <v>41.016666668001562</v>
      </c>
      <c r="O77" s="7"/>
      <c r="P77" s="7"/>
      <c r="Q77" s="25"/>
      <c r="R77" s="25"/>
      <c r="S77" s="37">
        <f t="shared" si="28"/>
        <v>1</v>
      </c>
      <c r="T77" s="52" t="str">
        <f t="shared" ref="T77:T140" si="32">IF(ISEVEN(LEFT(AD77,4)),"Southbound","NorthBound")</f>
        <v>Southbound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33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https://search-rtdc-monitor-bjffxe2xuh6vdkpspy63sjmuny.us-east-1.es.amazonaws.com/_plugin/kibana/#/discover/Steve-Slow-Train-Analysis-(2080s-and-2083s)?_g=(refreshInterval:(display:Off,section:0,value:0),time:(from:'2016-09-14 11:19:33-0600',mode:absolute,to:'2016-09-14 14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77" s="54" t="str">
        <f t="shared" si="25"/>
        <v>N</v>
      </c>
      <c r="X77" s="168">
        <f t="shared" si="26"/>
        <v>1</v>
      </c>
      <c r="Y77" s="69">
        <f t="shared" ref="Y77:Y93" si="34">RIGHT(D77,LEN(D77)-4)/10000</f>
        <v>23.2987</v>
      </c>
      <c r="Z77" s="69">
        <f t="shared" si="17"/>
        <v>2.9600000000000001E-2</v>
      </c>
      <c r="AA77" s="69">
        <f t="shared" ref="AA77:AA140" si="35">ABS(Z77-Y77)</f>
        <v>23.269100000000002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6">IF(LEN(A77)=6,"0"&amp;A77,A77)</f>
        <v>0164-14</v>
      </c>
      <c r="AE77" s="99" t="str">
        <f t="shared" ref="AE77:AE140" si="3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77" s="96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/stypes="app*4054*20160914*" /stext=" 19:.+((SYSTEM_STATE.+slice.+state.+changed )|(ment ac)|(system.+state.+changed )|(\|lc)|(penalty)|(\[timeout)|(PRM\|1\|D)|(kpr)|(kdp))"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100" t="str">
        <f t="shared" si="29"/>
        <v>"%USERPROFILE%\Documents\GitHub\eaglep3\Utilities\RefineRTDCRunTimes.py" --tripid 164-14 --locoid 4054 --swversion DE.1.0.7.0 --startMP 204:232987 --initTime 2016-09-14T12:19:33 --startdatetime 2016-09-14T12:26:23 --delay 2 --endMP 204:296 --enddatetime 2016-09-14T13:07:24 --enforcementcount 0 &gt;&gt;C:\Users\stu\Documents\GitHub\eaglep3-reporting\EC\2016-09-14-refined-times.txt</v>
      </c>
      <c r="AI77" s="134" t="str">
        <f t="shared" ref="AI77:AI140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{"issue":{"subject":"","project_id":79,"tracker_id":40,"status_id":1,"priority_id":2,"assigned_to_id":23,"start_date":"2016-09-14","description":"","custom_fields":[{"id":1,"name":"Subdivision","value":"EC"},{"id":4,"name":"Milepost","value":"0.0296"},{"id":17,"name":"Train ID","value":"164-14"},{"id":16,"name":"Locomotive ID","value":"4054"},{"id":130,"name":"Impact","value":""},{"id":150,"name":"Time of Event (Mountain Time)","value":"13:07:24"},{"id":151,"name":"Denver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472</v>
      </c>
      <c r="B78" s="7">
        <v>4040</v>
      </c>
      <c r="C78" s="24" t="s">
        <v>108</v>
      </c>
      <c r="D78" s="24" t="s">
        <v>292</v>
      </c>
      <c r="E78" s="15">
        <v>42627.487175925926</v>
      </c>
      <c r="F78" s="15">
        <v>42627.49</v>
      </c>
      <c r="G78" s="7">
        <v>1</v>
      </c>
      <c r="H78" s="15" t="s">
        <v>626</v>
      </c>
      <c r="I78" s="15">
        <v>42627.514143518521</v>
      </c>
      <c r="J78" s="7">
        <v>0</v>
      </c>
      <c r="K78" s="121" t="str">
        <f t="shared" si="30"/>
        <v>4039/4040</v>
      </c>
      <c r="L78" s="24" t="str">
        <f>VLOOKUP(A78,'Trips&amp;Operators'!$C$1:$E$10000,3,FALSE)</f>
        <v>STAMBAUGH</v>
      </c>
      <c r="M78" s="6">
        <f t="shared" si="31"/>
        <v>2.4143518523487728E-2</v>
      </c>
      <c r="N78" s="7">
        <f t="shared" si="27"/>
        <v>34.766666673822328</v>
      </c>
      <c r="O78" s="7"/>
      <c r="P78" s="7"/>
      <c r="Q78" s="25"/>
      <c r="R78" s="25"/>
      <c r="S78" s="37">
        <f t="shared" si="28"/>
        <v>1</v>
      </c>
      <c r="T78" s="52" t="str">
        <f t="shared" si="32"/>
        <v>NorthBound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10:41:32-0600',mode:absolute,to:'2016-09-14 13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8" s="54" t="str">
        <f t="shared" si="25"/>
        <v>N</v>
      </c>
      <c r="X78" s="168">
        <f t="shared" si="26"/>
        <v>1</v>
      </c>
      <c r="Y78" s="69">
        <f t="shared" si="34"/>
        <v>4.7500000000000001E-2</v>
      </c>
      <c r="Z78" s="69">
        <f t="shared" si="17"/>
        <v>23.337399999999999</v>
      </c>
      <c r="AA78" s="69">
        <f t="shared" si="35"/>
        <v>23.289899999999999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6"/>
        <v>0165-14</v>
      </c>
      <c r="AE78" s="99" t="str">
        <f t="shared" si="37"/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AF78" s="96" t="str">
        <f t="shared" si="38"/>
        <v>"C:\Program Files (x86)\AstroGrep\AstroGrep.exe" /spath="%USERPROFILE%\AppData\Local\Temp\OnboardLogs" /stypes="app*4040*20160914*" /stext=" 18:.+((SYSTEM_STATE.+slice.+state.+changed )|(ment ac)|(system.+state.+changed )|(\|lc)|(penalty)|(\[timeout)|(PRM\|1\|D)|(kpr)|(kdp))" /e /r /s</v>
      </c>
      <c r="AG78" s="1" t="str">
        <f t="shared" si="39"/>
        <v>EC</v>
      </c>
      <c r="AH78" s="100" t="str">
        <f t="shared" si="29"/>
        <v>"%USERPROFILE%\Documents\GitHub\eaglep3\Utilities\RefineRTDCRunTimes.py" --tripid 165-14 --locoid 4040 --swversion DE.1.0.7.0 --startMP 204:475 --initTime 2016-09-14T11:41:32 --startdatetime 2016-09-14T11:45:36 --delay 1 --endMP 204:233374 --enddatetime 2016-09-14T12:20:22 --enforcementcount 0 &gt;&gt;C:\Users\stu\Documents\GitHub\eaglep3-reporting\EC\2016-09-14-refined-times.txt</v>
      </c>
      <c r="AI78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{"issue":{"subject":"","project_id":79,"tracker_id":40,"status_id":1,"priority_id":2,"assigned_to_id":23,"start_date":"2016-09-14","description":"","custom_fields":[{"id":1,"name":"Subdivision","value":"EC"},{"id":4,"name":"Milepost","value":"23.3374"},{"id":17,"name":"Train ID","value":"165-14"},{"id":16,"name":"Locomotive ID","value":"4040"},{"id":130,"name":"Impact","value":""},{"id":150,"name":"Time of Event (Mountain Time)","value":"12:20:22"},{"id":151,"name":"Denver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482</v>
      </c>
      <c r="B79" s="7">
        <v>4039</v>
      </c>
      <c r="C79" s="24" t="s">
        <v>108</v>
      </c>
      <c r="D79" s="24" t="s">
        <v>634</v>
      </c>
      <c r="E79" s="15">
        <v>42627.523159722223</v>
      </c>
      <c r="F79" s="15">
        <v>42627.528784722221</v>
      </c>
      <c r="G79" s="7">
        <v>2</v>
      </c>
      <c r="H79" s="15" t="s">
        <v>225</v>
      </c>
      <c r="I79" s="15">
        <v>42627.555393518516</v>
      </c>
      <c r="J79" s="7">
        <v>0</v>
      </c>
      <c r="K79" s="121" t="str">
        <f t="shared" si="30"/>
        <v>4039/4040</v>
      </c>
      <c r="L79" s="24" t="str">
        <f>VLOOKUP(A79,'Trips&amp;Operators'!$C$1:$E$10000,3,FALSE)</f>
        <v>STAMBAUGH</v>
      </c>
      <c r="M79" s="6">
        <f t="shared" si="31"/>
        <v>2.6608796295477077E-2</v>
      </c>
      <c r="N79" s="7">
        <f t="shared" si="27"/>
        <v>38.316666665486991</v>
      </c>
      <c r="O79" s="7"/>
      <c r="P79" s="7"/>
      <c r="Q79" s="25"/>
      <c r="R79" s="25"/>
      <c r="S79" s="37">
        <f t="shared" si="28"/>
        <v>1</v>
      </c>
      <c r="T79" s="52" t="str">
        <f t="shared" si="32"/>
        <v>Southbound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11:33:21-0600',mode:absolute,to:'2016-09-14 14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9" s="54" t="str">
        <f t="shared" si="25"/>
        <v>N</v>
      </c>
      <c r="X79" s="168">
        <f t="shared" si="26"/>
        <v>1</v>
      </c>
      <c r="Y79" s="69">
        <f t="shared" si="34"/>
        <v>23.3032</v>
      </c>
      <c r="Z79" s="69">
        <f t="shared" ref="Z79:Z142" si="41">RIGHT(H79,LEN(H79)-4)/10000</f>
        <v>1.6299999999999999E-2</v>
      </c>
      <c r="AA79" s="69">
        <f t="shared" si="35"/>
        <v>23.286899999999999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6"/>
        <v>0166-14</v>
      </c>
      <c r="AE79" s="99" t="str">
        <f t="shared" si="37"/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AF79" s="96" t="str">
        <f t="shared" si="38"/>
        <v>"C:\Program Files (x86)\AstroGrep\AstroGrep.exe" /spath="%USERPROFILE%\AppData\Local\Temp\OnboardLogs" /stypes="app*4039*20160914*" /stext=" 19:.+((SYSTEM_STATE.+slice.+state.+changed )|(ment ac)|(system.+state.+changed )|(\|lc)|(penalty)|(\[timeout)|(PRM\|1\|D)|(kpr)|(kdp))" /e /r /s</v>
      </c>
      <c r="AG79" s="1" t="str">
        <f t="shared" si="39"/>
        <v>EC</v>
      </c>
      <c r="AH79" s="100" t="str">
        <f t="shared" si="29"/>
        <v>"%USERPROFILE%\Documents\GitHub\eaglep3\Utilities\RefineRTDCRunTimes.py" --tripid 166-14 --locoid 4039 --swversion DE.1.0.7.0 --startMP 204:233032 --initTime 2016-09-14T12:33:21 --startdatetime 2016-09-14T12:41:27 --delay 2 --endMP 204:163 --enddatetime 2016-09-14T13:19:46 --enforcementcount 0 &gt;&gt;C:\Users\stu\Documents\GitHub\eaglep3-reporting\EC\2016-09-14-refined-times.txt</v>
      </c>
      <c r="AI79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{"issue":{"subject":"","project_id":79,"tracker_id":40,"status_id":1,"priority_id":2,"assigned_to_id":23,"start_date":"2016-09-14","description":"","custom_fields":[{"id":1,"name":"Subdivision","value":"EC"},{"id":4,"name":"Milepost","value":"0.0163"},{"id":17,"name":"Train ID","value":"166-14"},{"id":16,"name":"Locomotive ID","value":"4039"},{"id":130,"name":"Impact","value":""},{"id":150,"name":"Time of Event (Mountain Time)","value":"13:19:46"},{"id":151,"name":"Denver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475</v>
      </c>
      <c r="B80" s="7">
        <v>4044</v>
      </c>
      <c r="C80" s="24" t="s">
        <v>108</v>
      </c>
      <c r="D80" s="24" t="s">
        <v>243</v>
      </c>
      <c r="E80" s="15">
        <v>42627.497060185182</v>
      </c>
      <c r="F80" s="15">
        <v>42627.500520833331</v>
      </c>
      <c r="G80" s="7">
        <v>1</v>
      </c>
      <c r="H80" s="15" t="s">
        <v>635</v>
      </c>
      <c r="I80" s="15">
        <v>42627.526122685187</v>
      </c>
      <c r="J80" s="7">
        <v>0</v>
      </c>
      <c r="K80" s="121" t="str">
        <f t="shared" si="30"/>
        <v>4043/4044</v>
      </c>
      <c r="L80" s="24" t="str">
        <f>VLOOKUP(A80,'Trips&amp;Operators'!$C$1:$E$10000,3,FALSE)</f>
        <v>HILLS</v>
      </c>
      <c r="M80" s="6">
        <f t="shared" si="31"/>
        <v>2.5601851855753921E-2</v>
      </c>
      <c r="N80" s="7">
        <f t="shared" si="27"/>
        <v>36.866666672285646</v>
      </c>
      <c r="O80" s="7"/>
      <c r="P80" s="7"/>
      <c r="Q80" s="25"/>
      <c r="R80" s="25"/>
      <c r="S80" s="37">
        <f t="shared" si="28"/>
        <v>1</v>
      </c>
      <c r="T80" s="52" t="str">
        <f t="shared" si="32"/>
        <v>NorthBound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10:55:46-0600',mode:absolute,to:'2016-09-14 13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80" s="54" t="str">
        <f t="shared" si="25"/>
        <v>N</v>
      </c>
      <c r="X80" s="168">
        <f t="shared" si="26"/>
        <v>1</v>
      </c>
      <c r="Y80" s="69">
        <f t="shared" si="34"/>
        <v>4.5499999999999999E-2</v>
      </c>
      <c r="Z80" s="69">
        <f t="shared" si="41"/>
        <v>23.333600000000001</v>
      </c>
      <c r="AA80" s="69">
        <f t="shared" si="35"/>
        <v>23.2881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6"/>
        <v>0167-14</v>
      </c>
      <c r="AE80" s="99" t="str">
        <f t="shared" si="37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80" s="96" t="str">
        <f t="shared" si="38"/>
        <v>"C:\Program Files (x86)\AstroGrep\AstroGrep.exe" /spath="%USERPROFILE%\AppData\Local\Temp\OnboardLogs" /stypes="app*4044*20160914*" /stext=" 18:.+((SYSTEM_STATE.+slice.+state.+changed )|(ment ac)|(system.+state.+changed )|(\|lc)|(penalty)|(\[timeout)|(PRM\|1\|D)|(kpr)|(kdp))" /e /r /s</v>
      </c>
      <c r="AG80" s="1" t="str">
        <f t="shared" si="39"/>
        <v>EC</v>
      </c>
      <c r="AH80" s="100" t="str">
        <f t="shared" si="29"/>
        <v>"%USERPROFILE%\Documents\GitHub\eaglep3\Utilities\RefineRTDCRunTimes.py" --tripid 167-14 --locoid 4044 --swversion DE.1.0.7.0 --startMP 204:455 --initTime 2016-09-14T11:55:46 --startdatetime 2016-09-14T12:00:45 --delay 1 --endMP 204:233336 --enddatetime 2016-09-14T12:37:37 --enforcementcount 0 &gt;&gt;C:\Users\stu\Documents\GitHub\eaglep3-reporting\EC\2016-09-14-refined-times.txt</v>
      </c>
      <c r="AI80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{"issue":{"subject":"","project_id":79,"tracker_id":40,"status_id":1,"priority_id":2,"assigned_to_id":23,"start_date":"2016-09-14","description":"","custom_fields":[{"id":1,"name":"Subdivision","value":"EC"},{"id":4,"name":"Milepost","value":"23.3336"},{"id":17,"name":"Train ID","value":"167-14"},{"id":16,"name":"Locomotive ID","value":"4044"},{"id":130,"name":"Impact","value":""},{"id":150,"name":"Time of Event (Mountain Time)","value":"12:37:37"},{"id":151,"name":"Denver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484</v>
      </c>
      <c r="B81" s="7">
        <v>4043</v>
      </c>
      <c r="C81" s="24" t="s">
        <v>108</v>
      </c>
      <c r="D81" s="24" t="s">
        <v>636</v>
      </c>
      <c r="E81" s="15">
        <v>42627.527442129627</v>
      </c>
      <c r="F81" s="15">
        <v>42627.539085648146</v>
      </c>
      <c r="G81" s="7">
        <v>1</v>
      </c>
      <c r="H81" s="15" t="s">
        <v>242</v>
      </c>
      <c r="I81" s="15">
        <v>42627.569328703707</v>
      </c>
      <c r="J81" s="7">
        <v>0</v>
      </c>
      <c r="K81" s="121" t="str">
        <f t="shared" si="30"/>
        <v>4043/4044</v>
      </c>
      <c r="L81" s="24" t="str">
        <f>VLOOKUP(A81,'Trips&amp;Operators'!$C$1:$E$10000,3,FALSE)</f>
        <v>HILLS</v>
      </c>
      <c r="M81" s="6">
        <f t="shared" si="31"/>
        <v>3.0243055560276844E-2</v>
      </c>
      <c r="N81" s="7">
        <f t="shared" si="27"/>
        <v>43.550000006798655</v>
      </c>
      <c r="O81" s="7"/>
      <c r="P81" s="7"/>
      <c r="Q81" s="25"/>
      <c r="R81" s="25"/>
      <c r="S81" s="37">
        <f t="shared" si="28"/>
        <v>1</v>
      </c>
      <c r="T81" s="52" t="str">
        <f t="shared" si="32"/>
        <v>Southbound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11:39:31-0600',mode:absolute,to:'2016-09-14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1" s="54" t="str">
        <f t="shared" si="25"/>
        <v>N</v>
      </c>
      <c r="X81" s="168">
        <f t="shared" si="26"/>
        <v>1</v>
      </c>
      <c r="Y81" s="69">
        <f t="shared" si="34"/>
        <v>23.301500000000001</v>
      </c>
      <c r="Z81" s="69">
        <f t="shared" si="41"/>
        <v>1.5599999999999999E-2</v>
      </c>
      <c r="AA81" s="69">
        <f t="shared" si="35"/>
        <v>23.285900000000002</v>
      </c>
      <c r="AB81" s="66" t="str">
        <f>VLOOKUP(A81,Enforcements!$C$7:$K$20,8,0)</f>
        <v>Bulletin (2)</v>
      </c>
      <c r="AC81" s="62" t="str">
        <f>VLOOKUP(A81,Enforcements!$C$7:$E$20,3,0)</f>
        <v>GRADE CROSSING</v>
      </c>
      <c r="AD81" s="63" t="str">
        <f t="shared" si="36"/>
        <v>0168-14</v>
      </c>
      <c r="AE81" s="99" t="str">
        <f t="shared" si="37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81" s="96" t="str">
        <f t="shared" si="38"/>
        <v>"C:\Program Files (x86)\AstroGrep\AstroGrep.exe" /spath="%USERPROFILE%\AppData\Local\Temp\OnboardLogs" /stypes="app*4043*20160914*" /stext=" 19:.+((SYSTEM_STATE.+slice.+state.+changed )|(ment ac)|(system.+state.+changed )|(\|lc)|(penalty)|(\[timeout)|(PRM\|1\|D)|(kpr)|(kdp))" /e /r /s</v>
      </c>
      <c r="AG81" s="1" t="str">
        <f t="shared" si="39"/>
        <v>EC</v>
      </c>
      <c r="AH81" s="100" t="str">
        <f t="shared" si="29"/>
        <v>"%USERPROFILE%\Documents\GitHub\eaglep3\Utilities\RefineRTDCRunTimes.py" --tripid 168-14 --locoid 4043 --swversion DE.1.0.7.0 --startMP 204:233015 --initTime 2016-09-14T12:39:31 --startdatetime 2016-09-14T12:56:17 --delay 1 --endMP 204:156 --enddatetime 2016-09-14T13:39:50 --enforcementcount 0 &gt;&gt;C:\Users\stu\Documents\GitHub\eaglep3-reporting\EC\2016-09-14-refined-times.txt</v>
      </c>
      <c r="AI81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{"issue":{"subject":"","project_id":79,"tracker_id":40,"status_id":1,"priority_id":2,"assigned_to_id":23,"start_date":"2016-09-14","description":"","custom_fields":[{"id":1,"name":"Subdivision","value":"EC"},{"id":4,"name":"Milepost","value":"0.0156"},{"id":17,"name":"Train ID","value":"168-14"},{"id":16,"name":"Locomotive ID","value":"4043"},{"id":130,"name":"Impact","value":""},{"id":150,"name":"Time of Event (Mountain Time)","value":"13:39:50"},{"id":151,"name":"Denver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478</v>
      </c>
      <c r="B82" s="7">
        <v>4042</v>
      </c>
      <c r="C82" s="24" t="s">
        <v>108</v>
      </c>
      <c r="D82" s="24" t="s">
        <v>277</v>
      </c>
      <c r="E82" s="15">
        <v>42627.508460648147</v>
      </c>
      <c r="F82" s="15">
        <v>42627.510810185187</v>
      </c>
      <c r="G82" s="7">
        <v>2</v>
      </c>
      <c r="H82" s="15" t="s">
        <v>628</v>
      </c>
      <c r="I82" s="15">
        <v>42627.536446759259</v>
      </c>
      <c r="J82" s="7">
        <v>0</v>
      </c>
      <c r="K82" s="121" t="str">
        <f t="shared" si="30"/>
        <v>4041/4042</v>
      </c>
      <c r="L82" s="24" t="str">
        <f>VLOOKUP(A82,'Trips&amp;Operators'!$C$1:$E$10000,3,FALSE)</f>
        <v>BRUDER</v>
      </c>
      <c r="M82" s="6">
        <f t="shared" si="31"/>
        <v>2.5636574071540963E-2</v>
      </c>
      <c r="N82" s="7">
        <f t="shared" si="27"/>
        <v>36.916666663018987</v>
      </c>
      <c r="O82" s="7"/>
      <c r="P82" s="7"/>
      <c r="Q82" s="25"/>
      <c r="R82" s="25"/>
      <c r="S82" s="37">
        <f t="shared" si="28"/>
        <v>1</v>
      </c>
      <c r="T82" s="52" t="str">
        <f t="shared" si="32"/>
        <v>NorthBound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11:12:11-0600',mode:absolute,to:'2016-09-14 13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2" s="54" t="str">
        <f t="shared" si="25"/>
        <v>N</v>
      </c>
      <c r="X82" s="168">
        <f t="shared" si="26"/>
        <v>1</v>
      </c>
      <c r="Y82" s="69">
        <f t="shared" si="34"/>
        <v>4.6899999999999997E-2</v>
      </c>
      <c r="Z82" s="69">
        <f t="shared" si="41"/>
        <v>23.3261</v>
      </c>
      <c r="AA82" s="69">
        <f t="shared" si="35"/>
        <v>23.279199999999999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6"/>
        <v>0169-14</v>
      </c>
      <c r="AE82" s="99" t="str">
        <f t="shared" si="37"/>
        <v>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 &amp; 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</v>
      </c>
      <c r="AF82" s="96" t="str">
        <f t="shared" si="38"/>
        <v>"C:\Program Files (x86)\AstroGrep\AstroGrep.exe" /spath="%USERPROFILE%\AppData\Local\Temp\OnboardLogs" /stypes="app*4042*20160914*" /stext=" 18:.+((SYSTEM_STATE.+slice.+state.+changed )|(ment ac)|(system.+state.+changed )|(\|lc)|(penalty)|(\[timeout)|(PRM\|1\|D)|(kpr)|(kdp))" /e /r /s</v>
      </c>
      <c r="AG82" s="1" t="str">
        <f t="shared" si="39"/>
        <v>EC</v>
      </c>
      <c r="AH82" s="100" t="str">
        <f t="shared" si="29"/>
        <v>"%USERPROFILE%\Documents\GitHub\eaglep3\Utilities\RefineRTDCRunTimes.py" --tripid 169-14 --locoid 4042 --swversion DE.1.0.7.0 --startMP 204:469 --initTime 2016-09-14T12:12:11 --startdatetime 2016-09-14T12:15:34 --delay 2 --endMP 204:233261 --enddatetime 2016-09-14T12:52:29 --enforcementcount 0 &gt;&gt;C:\Users\stu\Documents\GitHub\eaglep3-reporting\EC\2016-09-14-refined-times.txt</v>
      </c>
      <c r="AI82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{"issue":{"subject":"","project_id":79,"tracker_id":40,"status_id":1,"priority_id":2,"assigned_to_id":23,"start_date":"2016-09-14","description":"","custom_fields":[{"id":1,"name":"Subdivision","value":"EC"},{"id":4,"name":"Milepost","value":"23.3261"},{"id":17,"name":"Train ID","value":"169-14"},{"id":16,"name":"Locomotive ID","value":"4042"},{"id":130,"name":"Impact","value":""},{"id":150,"name":"Time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487</v>
      </c>
      <c r="B83" s="7">
        <v>4041</v>
      </c>
      <c r="C83" s="24" t="s">
        <v>108</v>
      </c>
      <c r="D83" s="24" t="s">
        <v>224</v>
      </c>
      <c r="E83" s="15">
        <v>42627.542870370373</v>
      </c>
      <c r="F83" s="15">
        <v>42627.549479166664</v>
      </c>
      <c r="G83" s="7">
        <v>2</v>
      </c>
      <c r="H83" s="15" t="s">
        <v>238</v>
      </c>
      <c r="I83" s="15">
        <v>42627.575891203705</v>
      </c>
      <c r="J83" s="7">
        <v>0</v>
      </c>
      <c r="K83" s="121" t="str">
        <f t="shared" si="30"/>
        <v>4041/4042</v>
      </c>
      <c r="L83" s="24" t="str">
        <f>VLOOKUP(A83,'Trips&amp;Operators'!$C$1:$E$10000,3,FALSE)</f>
        <v>BRUDER</v>
      </c>
      <c r="M83" s="6">
        <f t="shared" si="31"/>
        <v>2.641203704115469E-2</v>
      </c>
      <c r="N83" s="7">
        <f t="shared" si="27"/>
        <v>38.033333339262754</v>
      </c>
      <c r="O83" s="7"/>
      <c r="P83" s="7"/>
      <c r="Q83" s="25"/>
      <c r="R83" s="25"/>
      <c r="S83" s="37">
        <f t="shared" si="28"/>
        <v>1</v>
      </c>
      <c r="T83" s="52" t="str">
        <f t="shared" si="32"/>
        <v>Southbound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12:01:44-0600',mode:absolute,to:'2016-09-14 14:49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3" s="54" t="str">
        <f t="shared" si="25"/>
        <v>N</v>
      </c>
      <c r="X83" s="168">
        <f t="shared" si="26"/>
        <v>1</v>
      </c>
      <c r="Y83" s="69">
        <f t="shared" si="34"/>
        <v>23.298200000000001</v>
      </c>
      <c r="Z83" s="69">
        <f t="shared" si="41"/>
        <v>1.4500000000000001E-2</v>
      </c>
      <c r="AA83" s="69">
        <f t="shared" si="35"/>
        <v>23.2837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6"/>
        <v>0170-14</v>
      </c>
      <c r="AE83" s="99" t="str">
        <f t="shared" si="37"/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AF83" s="96" t="str">
        <f t="shared" si="38"/>
        <v>"C:\Program Files (x86)\AstroGrep\AstroGrep.exe" /spath="%USERPROFILE%\AppData\Local\Temp\OnboardLogs" /stypes="app*4041*20160914*" /stext=" 19:.+((SYSTEM_STATE.+slice.+state.+changed )|(ment ac)|(system.+state.+changed )|(\|lc)|(penalty)|(\[timeout)|(PRM\|1\|D)|(kpr)|(kdp))" /e /r /s</v>
      </c>
      <c r="AG83" s="1" t="str">
        <f t="shared" si="39"/>
        <v>EC</v>
      </c>
      <c r="AH83" s="100" t="str">
        <f t="shared" si="29"/>
        <v>"%USERPROFILE%\Documents\GitHub\eaglep3\Utilities\RefineRTDCRunTimes.py" --tripid 170-14 --locoid 4041 --swversion DE.1.0.7.0 --startMP 204:232982 --initTime 2016-09-14T13:01:44 --startdatetime 2016-09-14T13:11:15 --delay 2 --endMP 204:145 --enddatetime 2016-09-14T13:49:17 --enforcementcount 0 &gt;&gt;C:\Users\stu\Documents\GitHub\eaglep3-reporting\EC\2016-09-14-refined-times.txt</v>
      </c>
      <c r="AI83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{"issue":{"subject":"","project_id":79,"tracker_id":40,"status_id":1,"priority_id":2,"assigned_to_id":23,"start_date":"2016-09-14","description":"","custom_fields":[{"id":1,"name":"Subdivision","value":"EC"},{"id":4,"name":"Milepost","value":"0.0145"},{"id":17,"name":"Train ID","value":"170-14"},{"id":16,"name":"Locomotive ID","value":"4041"},{"id":130,"name":"Impact","value":""},{"id":150,"name":"Time of Event (Mountain Time)","value":"13:49:17"},{"id":151,"name":"Denver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480</v>
      </c>
      <c r="B84" s="7">
        <v>4027</v>
      </c>
      <c r="C84" s="24" t="s">
        <v>108</v>
      </c>
      <c r="D84" s="24" t="s">
        <v>231</v>
      </c>
      <c r="E84" s="15">
        <v>42627.518495370372</v>
      </c>
      <c r="F84" s="15">
        <v>42627.521423611113</v>
      </c>
      <c r="G84" s="7">
        <v>2</v>
      </c>
      <c r="H84" s="15" t="s">
        <v>637</v>
      </c>
      <c r="I84" s="15">
        <v>42627.547743055555</v>
      </c>
      <c r="J84" s="7">
        <v>0</v>
      </c>
      <c r="K84" s="121" t="str">
        <f t="shared" si="30"/>
        <v>4027/4028</v>
      </c>
      <c r="L84" s="24" t="str">
        <f>VLOOKUP(A84,'Trips&amp;Operators'!$C$1:$E$10000,3,FALSE)</f>
        <v>SWANSON</v>
      </c>
      <c r="M84" s="6">
        <f t="shared" si="31"/>
        <v>2.6319444441469386E-2</v>
      </c>
      <c r="N84" s="7">
        <f t="shared" si="27"/>
        <v>37.899999995715916</v>
      </c>
      <c r="O84" s="7"/>
      <c r="P84" s="7"/>
      <c r="Q84" s="25"/>
      <c r="R84" s="25"/>
      <c r="S84" s="37">
        <f t="shared" si="28"/>
        <v>1</v>
      </c>
      <c r="T84" s="52" t="str">
        <f t="shared" si="32"/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11:26:38-0600',mode:absolute,to:'2016-09-14 14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4" s="54" t="str">
        <f t="shared" si="25"/>
        <v>N</v>
      </c>
      <c r="X84" s="168">
        <f t="shared" si="26"/>
        <v>1</v>
      </c>
      <c r="Y84" s="69">
        <f t="shared" si="34"/>
        <v>4.53E-2</v>
      </c>
      <c r="Z84" s="69">
        <f t="shared" si="41"/>
        <v>23.332100000000001</v>
      </c>
      <c r="AA84" s="69">
        <f t="shared" si="35"/>
        <v>23.286799999999999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6"/>
        <v>0171-14</v>
      </c>
      <c r="AE84" s="99" t="str">
        <f t="shared" si="37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84" s="96" t="str">
        <f t="shared" si="38"/>
        <v>"C:\Program Files (x86)\AstroGrep\AstroGrep.exe" /spath="%USERPROFILE%\AppData\Local\Temp\OnboardLogs" /stypes="app*4027*20160914*" /stext=" 19:.+((SYSTEM_STATE.+slice.+state.+changed )|(ment ac)|(system.+state.+changed )|(\|lc)|(penalty)|(\[timeout)|(PRM\|1\|D)|(kpr)|(kdp))" /e /r /s</v>
      </c>
      <c r="AG84" s="1" t="str">
        <f t="shared" si="39"/>
        <v>EC</v>
      </c>
      <c r="AH84" s="100" t="str">
        <f t="shared" si="29"/>
        <v>"%USERPROFILE%\Documents\GitHub\eaglep3\Utilities\RefineRTDCRunTimes.py" --tripid 171-14 --locoid 4027 --swversion DE.1.0.7.0 --startMP 204:453 --initTime 2016-09-14T12:26:38 --startdatetime 2016-09-14T12:30:51 --delay 2 --endMP 204:233321 --enddatetime 2016-09-14T13:08:45 --enforcementcount 0 &gt;&gt;C:\Users\stu\Documents\GitHub\eaglep3-reporting\EC\2016-09-14-refined-times.txt</v>
      </c>
      <c r="AI84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{"issue":{"subject":"","project_id":79,"tracker_id":40,"status_id":1,"priority_id":2,"assigned_to_id":23,"start_date":"2016-09-14","description":"","custom_fields":[{"id":1,"name":"Subdivision","value":"EC"},{"id":4,"name":"Milepost","value":"23.3321"},{"id":17,"name":"Train ID","value":"171-14"},{"id":16,"name":"Locomotive ID","value":"4027"},{"id":130,"name":"Impact","value":""},{"id":150,"name":"Time of Event (Mountain Time)","value":"13:08:45"},{"id":151,"name":"Denver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489</v>
      </c>
      <c r="B85" s="7">
        <v>4028</v>
      </c>
      <c r="C85" s="24" t="s">
        <v>108</v>
      </c>
      <c r="D85" s="24" t="s">
        <v>274</v>
      </c>
      <c r="E85" s="15">
        <v>42627.549525462964</v>
      </c>
      <c r="F85" s="15">
        <v>42627.559988425928</v>
      </c>
      <c r="G85" s="7">
        <v>1</v>
      </c>
      <c r="H85" s="15" t="s">
        <v>230</v>
      </c>
      <c r="I85" s="15">
        <v>42627.587222222224</v>
      </c>
      <c r="J85" s="7">
        <v>0</v>
      </c>
      <c r="K85" s="121" t="str">
        <f t="shared" si="30"/>
        <v>4027/4028</v>
      </c>
      <c r="L85" s="24" t="str">
        <f>VLOOKUP(A85,'Trips&amp;Operators'!$C$1:$E$10000,3,FALSE)</f>
        <v>SWANSON</v>
      </c>
      <c r="M85" s="6">
        <f t="shared" si="31"/>
        <v>2.7233796296059154E-2</v>
      </c>
      <c r="N85" s="7">
        <f t="shared" si="27"/>
        <v>39.216666666325182</v>
      </c>
      <c r="O85" s="7"/>
      <c r="P85" s="7"/>
      <c r="Q85" s="25"/>
      <c r="R85" s="25"/>
      <c r="S85" s="37">
        <f t="shared" si="28"/>
        <v>1</v>
      </c>
      <c r="T85" s="52" t="str">
        <f t="shared" si="32"/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12:11:19-0600',mode:absolute,to:'2016-09-14 15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5" s="54" t="str">
        <f t="shared" si="25"/>
        <v>N</v>
      </c>
      <c r="X85" s="168">
        <f t="shared" si="26"/>
        <v>1</v>
      </c>
      <c r="Y85" s="69">
        <f t="shared" si="34"/>
        <v>23.299399999999999</v>
      </c>
      <c r="Z85" s="69">
        <f t="shared" si="41"/>
        <v>1.47E-2</v>
      </c>
      <c r="AA85" s="69">
        <f t="shared" si="35"/>
        <v>23.284699999999997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36"/>
        <v>0172-14</v>
      </c>
      <c r="AE85" s="99" t="str">
        <f t="shared" si="37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85" s="96" t="str">
        <f t="shared" si="38"/>
        <v>"C:\Program Files (x86)\AstroGrep\AstroGrep.exe" /spath="%USERPROFILE%\AppData\Local\Temp\OnboardLogs" /stypes="app*4028*20160914*" /stext=" 20:.+((SYSTEM_STATE.+slice.+state.+changed )|(ment ac)|(system.+state.+changed )|(\|lc)|(penalty)|(\[timeout)|(PRM\|1\|D)|(kpr)|(kdp))" /e /r /s</v>
      </c>
      <c r="AG85" s="1" t="str">
        <f t="shared" si="39"/>
        <v>EC</v>
      </c>
      <c r="AH85" s="100" t="str">
        <f t="shared" si="29"/>
        <v>"%USERPROFILE%\Documents\GitHub\eaglep3\Utilities\RefineRTDCRunTimes.py" --tripid 172-14 --locoid 4028 --swversion DE.1.0.7.0 --startMP 204:232994 --initTime 2016-09-14T13:11:19 --startdatetime 2016-09-14T13:26:23 --delay 1 --endMP 204:147 --enddatetime 2016-09-14T14:05:36 --enforcementcount 0 &gt;&gt;C:\Users\stu\Documents\GitHub\eaglep3-reporting\EC\2016-09-14-refined-times.txt</v>
      </c>
      <c r="AI85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{"issue":{"subject":"","project_id":79,"tracker_id":40,"status_id":1,"priority_id":2,"assigned_to_id":23,"start_date":"2016-09-14","description":"","custom_fields":[{"id":1,"name":"Subdivision","value":"EC"},{"id":4,"name":"Milepost","value":"0.0147"},{"id":17,"name":"Train ID","value":"172-14"},{"id":16,"name":"Locomotive ID","value":"4028"},{"id":130,"name":"Impact","value":""},{"id":150,"name":"Time of Event (Mountain Time)","value":"14:05:36"},{"id":151,"name":"Denver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485</v>
      </c>
      <c r="B86" s="7">
        <v>4003</v>
      </c>
      <c r="C86" s="24" t="s">
        <v>108</v>
      </c>
      <c r="D86" s="24" t="s">
        <v>243</v>
      </c>
      <c r="E86" s="15">
        <v>42627.529618055552</v>
      </c>
      <c r="F86" s="15">
        <v>42627.531412037039</v>
      </c>
      <c r="G86" s="7">
        <v>1</v>
      </c>
      <c r="H86" s="15" t="s">
        <v>323</v>
      </c>
      <c r="I86" s="15">
        <v>42627.557141203702</v>
      </c>
      <c r="J86" s="7">
        <v>0</v>
      </c>
      <c r="K86" s="121" t="str">
        <f t="shared" si="30"/>
        <v>4003/4004</v>
      </c>
      <c r="L86" s="24" t="str">
        <f>VLOOKUP(A86,'Trips&amp;Operators'!$C$1:$E$10000,3,FALSE)</f>
        <v>BONDS</v>
      </c>
      <c r="M86" s="6">
        <f t="shared" si="31"/>
        <v>2.5729166663950309E-2</v>
      </c>
      <c r="N86" s="7">
        <f t="shared" si="27"/>
        <v>37.049999996088445</v>
      </c>
      <c r="O86" s="7"/>
      <c r="P86" s="7"/>
      <c r="Q86" s="25"/>
      <c r="R86" s="25"/>
      <c r="S86" s="37">
        <f t="shared" si="28"/>
        <v>1</v>
      </c>
      <c r="T86" s="52" t="str">
        <f t="shared" si="32"/>
        <v>NorthBound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11:42:39-0600',mode:absolute,to:'2016-09-14 14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86" s="54" t="str">
        <f t="shared" si="25"/>
        <v>N</v>
      </c>
      <c r="X86" s="168">
        <f t="shared" si="26"/>
        <v>1</v>
      </c>
      <c r="Y86" s="69">
        <f t="shared" si="34"/>
        <v>4.5499999999999999E-2</v>
      </c>
      <c r="Z86" s="69">
        <f t="shared" si="41"/>
        <v>23.328800000000001</v>
      </c>
      <c r="AA86" s="69">
        <f t="shared" si="35"/>
        <v>23.283300000000001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6"/>
        <v>0173-14</v>
      </c>
      <c r="AE86" s="99" t="str">
        <f t="shared" si="37"/>
        <v>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 &amp; aws s3 cp s3://rtdc.mdm.uploadarchive/RTDC4003/2016-09-15/ "%USERPROFILE%\AppData\Local\Temp\OnboardLogs"\RTDC4003\2016-09-15 --recursive &amp; "%USERPROFILE%\Documents\GitHub\mrs-test-scripts\Headless Mode &amp; Sideloading\WalkAndUnGZ.bat" "%USERPROFILE%\AppData\Local\Temp\OnboardLogs"\RTDC4003\2016-09-15</v>
      </c>
      <c r="AF86" s="96" t="str">
        <f t="shared" si="38"/>
        <v>"C:\Program Files (x86)\AstroGrep\AstroGrep.exe" /spath="%USERPROFILE%\AppData\Local\Temp\OnboardLogs" /stypes="app*4003*20160914*" /stext=" 19:.+((SYSTEM_STATE.+slice.+state.+changed )|(ment ac)|(system.+state.+changed )|(\|lc)|(penalty)|(\[timeout)|(PRM\|1\|D)|(kpr)|(kdp))" /e /r /s</v>
      </c>
      <c r="AG86" s="1" t="str">
        <f t="shared" si="39"/>
        <v>EC</v>
      </c>
      <c r="AH86" s="100" t="str">
        <f t="shared" si="29"/>
        <v>"%USERPROFILE%\Documents\GitHub\eaglep3\Utilities\RefineRTDCRunTimes.py" --tripid 173-14 --locoid 4003 --swversion DE.1.0.7.0 --startMP 204:455 --initTime 2016-09-14T12:42:39 --startdatetime 2016-09-14T12:45:14 --delay 1 --endMP 204:233288 --enddatetime 2016-09-14T13:22:17 --enforcementcount 0 &gt;&gt;C:\Users\stu\Documents\GitHub\eaglep3-reporting\EC\2016-09-14-refined-times.txt</v>
      </c>
      <c r="AI86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{"issue":{"subject":"","project_id":79,"tracker_id":40,"status_id":1,"priority_id":2,"assigned_to_id":23,"start_date":"2016-09-14","description":"","custom_fields":[{"id":1,"name":"Subdivision","value":"EC"},{"id":4,"name":"Milepost","value":"23.3288"},{"id":17,"name":"Train ID","value":"173-14"},{"id":16,"name":"Locomotive ID","value":"4003"},{"id":130,"name":"Impact","value":""},{"id":150,"name":"Time of Event (Mountain Time)","value":"13:22:17"},{"id":151,"name":"Denver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492</v>
      </c>
      <c r="B87" s="7">
        <v>4004</v>
      </c>
      <c r="C87" s="24" t="s">
        <v>108</v>
      </c>
      <c r="D87" s="24" t="s">
        <v>255</v>
      </c>
      <c r="E87" s="15">
        <v>42627.558796296296</v>
      </c>
      <c r="F87" s="15">
        <v>42627.5702662037</v>
      </c>
      <c r="G87" s="7">
        <v>1</v>
      </c>
      <c r="H87" s="15" t="s">
        <v>223</v>
      </c>
      <c r="I87" s="15">
        <v>42627.597916666666</v>
      </c>
      <c r="J87" s="7">
        <v>0</v>
      </c>
      <c r="K87" s="121" t="str">
        <f t="shared" si="30"/>
        <v>4003/4004</v>
      </c>
      <c r="L87" s="24" t="str">
        <f>VLOOKUP(A87,'Trips&amp;Operators'!$C$1:$E$10000,3,FALSE)</f>
        <v>BONDS</v>
      </c>
      <c r="M87" s="6">
        <f t="shared" si="31"/>
        <v>2.7650462965539191E-2</v>
      </c>
      <c r="N87" s="7">
        <f t="shared" si="27"/>
        <v>39.816666670376435</v>
      </c>
      <c r="O87" s="7"/>
      <c r="P87" s="7"/>
      <c r="Q87" s="25"/>
      <c r="R87" s="25"/>
      <c r="S87" s="37">
        <f t="shared" si="28"/>
        <v>1</v>
      </c>
      <c r="T87" s="52" t="str">
        <f t="shared" si="32"/>
        <v>Southbound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12:24:40-0600',mode:absolute,to:'2016-09-14 15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87" s="54" t="str">
        <f t="shared" si="25"/>
        <v>N</v>
      </c>
      <c r="X87" s="168">
        <f t="shared" si="26"/>
        <v>1</v>
      </c>
      <c r="Y87" s="69">
        <f t="shared" si="34"/>
        <v>23.298400000000001</v>
      </c>
      <c r="Z87" s="69">
        <f t="shared" si="41"/>
        <v>1.6E-2</v>
      </c>
      <c r="AA87" s="69">
        <f t="shared" si="35"/>
        <v>23.282400000000003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6"/>
        <v>0174-14</v>
      </c>
      <c r="AE87" s="99" t="str">
        <f t="shared" si="37"/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AF87" s="96" t="str">
        <f t="shared" si="38"/>
        <v>"C:\Program Files (x86)\AstroGrep\AstroGrep.exe" /spath="%USERPROFILE%\AppData\Local\Temp\OnboardLogs" /stypes="app*4004*20160914*" /stext=" 20:.+((SYSTEM_STATE.+slice.+state.+changed )|(ment ac)|(system.+state.+changed )|(\|lc)|(penalty)|(\[timeout)|(PRM\|1\|D)|(kpr)|(kdp))" /e /r /s</v>
      </c>
      <c r="AG87" s="1" t="str">
        <f t="shared" si="39"/>
        <v>EC</v>
      </c>
      <c r="AH87" s="100" t="str">
        <f t="shared" si="29"/>
        <v>"%USERPROFILE%\Documents\GitHub\eaglep3\Utilities\RefineRTDCRunTimes.py" --tripid 174-14 --locoid 4004 --swversion DE.1.0.7.0 --startMP 204:232984 --initTime 2016-09-14T13:24:40 --startdatetime 2016-09-14T13:41:11 --delay 1 --endMP 204:160 --enddatetime 2016-09-14T14:21:00 --enforcementcount 0 &gt;&gt;C:\Users\stu\Documents\GitHub\eaglep3-reporting\EC\2016-09-14-refined-times.txt</v>
      </c>
      <c r="AI87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{"issue":{"subject":"","project_id":79,"tracker_id":40,"status_id":1,"priority_id":2,"assigned_to_id":23,"start_date":"2016-09-14","description":"","custom_fields":[{"id":1,"name":"Subdivision","value":"EC"},{"id":4,"name":"Milepost","value":"0.016"},{"id":17,"name":"Train ID","value":"174-14"},{"id":16,"name":"Locomotive ID","value":"4004"},{"id":130,"name":"Impact","value":""},{"id":150,"name":"Time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486</v>
      </c>
      <c r="B88" s="7">
        <v>4014</v>
      </c>
      <c r="C88" s="24" t="s">
        <v>108</v>
      </c>
      <c r="D88" s="24" t="s">
        <v>243</v>
      </c>
      <c r="E88" s="15">
        <v>42627.536504629628</v>
      </c>
      <c r="F88" s="15">
        <v>42627.541886574072</v>
      </c>
      <c r="G88" s="7">
        <v>1</v>
      </c>
      <c r="H88" s="15" t="s">
        <v>638</v>
      </c>
      <c r="I88" s="15">
        <v>42627.567372685182</v>
      </c>
      <c r="J88" s="7">
        <v>0</v>
      </c>
      <c r="K88" s="121" t="str">
        <f t="shared" si="30"/>
        <v>4013/4014</v>
      </c>
      <c r="L88" s="24" t="str">
        <f>VLOOKUP(A88,'Trips&amp;Operators'!$C$1:$E$10000,3,FALSE)</f>
        <v>BARTLETT</v>
      </c>
      <c r="M88" s="6">
        <f t="shared" si="31"/>
        <v>2.548611110978527E-2</v>
      </c>
      <c r="N88" s="7">
        <f t="shared" si="27"/>
        <v>36.699999998090789</v>
      </c>
      <c r="O88" s="7"/>
      <c r="P88" s="7"/>
      <c r="Q88" s="25"/>
      <c r="R88" s="25"/>
      <c r="S88" s="37">
        <f t="shared" si="28"/>
        <v>1</v>
      </c>
      <c r="T88" s="52" t="str">
        <f t="shared" si="32"/>
        <v>NorthBound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11:52:34-0600',mode:absolute,to:'2016-09-14 14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8" s="54" t="str">
        <f t="shared" si="25"/>
        <v>N</v>
      </c>
      <c r="X88" s="168">
        <f t="shared" si="26"/>
        <v>1</v>
      </c>
      <c r="Y88" s="69">
        <f t="shared" si="34"/>
        <v>4.5499999999999999E-2</v>
      </c>
      <c r="Z88" s="69">
        <f t="shared" si="41"/>
        <v>23.336300000000001</v>
      </c>
      <c r="AA88" s="69">
        <f t="shared" si="35"/>
        <v>23.290800000000001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6"/>
        <v>0175-14</v>
      </c>
      <c r="AE88" s="99" t="str">
        <f t="shared" si="37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88" s="96" t="str">
        <f t="shared" si="38"/>
        <v>"C:\Program Files (x86)\AstroGrep\AstroGrep.exe" /spath="%USERPROFILE%\AppData\Local\Temp\OnboardLogs" /stypes="app*4014*20160914*" /stext=" 19:.+((SYSTEM_STATE.+slice.+state.+changed )|(ment ac)|(system.+state.+changed )|(\|lc)|(penalty)|(\[timeout)|(PRM\|1\|D)|(kpr)|(kdp))" /e /r /s</v>
      </c>
      <c r="AG88" s="1" t="str">
        <f t="shared" si="39"/>
        <v>EC</v>
      </c>
      <c r="AH88" s="100" t="str">
        <f t="shared" si="29"/>
        <v>"%USERPROFILE%\Documents\GitHub\eaglep3\Utilities\RefineRTDCRunTimes.py" --tripid 175-14 --locoid 4014 --swversion DE.1.0.7.0 --startMP 204:455 --initTime 2016-09-14T12:52:34 --startdatetime 2016-09-14T13:00:19 --delay 1 --endMP 204:233363 --enddatetime 2016-09-14T13:37:01 --enforcementcount 0 &gt;&gt;C:\Users\stu\Documents\GitHub\eaglep3-reporting\EC\2016-09-14-refined-times.txt</v>
      </c>
      <c r="AI88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{"issue":{"subject":"","project_id":79,"tracker_id":40,"status_id":1,"priority_id":2,"assigned_to_id":23,"start_date":"2016-09-14","description":"","custom_fields":[{"id":1,"name":"Subdivision","value":"EC"},{"id":4,"name":"Milepost","value":"23.3363"},{"id":17,"name":"Train ID","value":"175-14"},{"id":16,"name":"Locomotive ID","value":"4014"},{"id":130,"name":"Impact","value":""},{"id":150,"name":"Time of Event (Mountain Time)","value":"13:37:01"},{"id":151,"name":"Denver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494</v>
      </c>
      <c r="B89" s="7">
        <v>4013</v>
      </c>
      <c r="C89" s="24" t="s">
        <v>108</v>
      </c>
      <c r="D89" s="24" t="s">
        <v>639</v>
      </c>
      <c r="E89" s="15">
        <v>42627.569687499999</v>
      </c>
      <c r="F89" s="15">
        <v>42627.580729166664</v>
      </c>
      <c r="G89" s="7">
        <v>1</v>
      </c>
      <c r="H89" s="15" t="s">
        <v>235</v>
      </c>
      <c r="I89" s="15">
        <v>42627.609166666669</v>
      </c>
      <c r="J89" s="7">
        <v>0</v>
      </c>
      <c r="K89" s="121" t="str">
        <f t="shared" si="30"/>
        <v>4013/4014</v>
      </c>
      <c r="L89" s="24" t="str">
        <f>VLOOKUP(A89,'Trips&amp;Operators'!$C$1:$E$10000,3,FALSE)</f>
        <v>BARTLETT</v>
      </c>
      <c r="M89" s="6">
        <f t="shared" si="31"/>
        <v>2.8437500004656613E-2</v>
      </c>
      <c r="N89" s="7">
        <f t="shared" si="27"/>
        <v>40.950000006705523</v>
      </c>
      <c r="O89" s="7"/>
      <c r="P89" s="7"/>
      <c r="Q89" s="25"/>
      <c r="R89" s="25"/>
      <c r="S89" s="37">
        <f t="shared" si="28"/>
        <v>1</v>
      </c>
      <c r="T89" s="52" t="str">
        <f t="shared" si="32"/>
        <v>Southbound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12:40:21-0600',mode:absolute,to:'2016-09-14 15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9" s="54" t="str">
        <f t="shared" si="25"/>
        <v>N</v>
      </c>
      <c r="X89" s="168">
        <f t="shared" si="26"/>
        <v>1</v>
      </c>
      <c r="Y89" s="69">
        <f t="shared" si="34"/>
        <v>23.305900000000001</v>
      </c>
      <c r="Z89" s="69">
        <f t="shared" si="41"/>
        <v>1.52E-2</v>
      </c>
      <c r="AA89" s="69">
        <f t="shared" si="35"/>
        <v>23.290700000000001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6"/>
        <v>0176-14</v>
      </c>
      <c r="AE89" s="99" t="str">
        <f t="shared" si="37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89" s="96" t="str">
        <f t="shared" si="38"/>
        <v>"C:\Program Files (x86)\AstroGrep\AstroGrep.exe" /spath="%USERPROFILE%\AppData\Local\Temp\OnboardLogs" /stypes="app*4013*20160914*" /stext=" 20:.+((SYSTEM_STATE.+slice.+state.+changed )|(ment ac)|(system.+state.+changed )|(\|lc)|(penalty)|(\[timeout)|(PRM\|1\|D)|(kpr)|(kdp))" /e /r /s</v>
      </c>
      <c r="AG89" s="1" t="str">
        <f t="shared" si="39"/>
        <v>EC</v>
      </c>
      <c r="AH89" s="100" t="str">
        <f t="shared" si="29"/>
        <v>"%USERPROFILE%\Documents\GitHub\eaglep3\Utilities\RefineRTDCRunTimes.py" --tripid 176-14 --locoid 4013 --swversion DE.1.0.7.0 --startMP 204:233059 --initTime 2016-09-14T13:40:21 --startdatetime 2016-09-14T13:56:15 --delay 1 --endMP 204:152 --enddatetime 2016-09-14T14:37:12 --enforcementcount 0 &gt;&gt;C:\Users\stu\Documents\GitHub\eaglep3-reporting\EC\2016-09-14-refined-times.txt</v>
      </c>
      <c r="AI89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{"issue":{"subject":"","project_id":79,"tracker_id":40,"status_id":1,"priority_id":2,"assigned_to_id":23,"start_date":"2016-09-14","description":"","custom_fields":[{"id":1,"name":"Subdivision","value":"EC"},{"id":4,"name":"Milepost","value":"0.0152"},{"id":17,"name":"Train ID","value":"176-14"},{"id":16,"name":"Locomotive ID","value":"4013"},{"id":130,"name":"Impact","value":""},{"id":150,"name":"Time of Event (Mountain Time)","value":"14:37:12"},{"id":151,"name":"Denver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488</v>
      </c>
      <c r="B90" s="7">
        <v>4053</v>
      </c>
      <c r="C90" s="24" t="s">
        <v>108</v>
      </c>
      <c r="D90" s="24" t="s">
        <v>346</v>
      </c>
      <c r="E90" s="15">
        <v>42627.549456018518</v>
      </c>
      <c r="F90" s="15">
        <v>42627.552314814813</v>
      </c>
      <c r="G90" s="7">
        <v>1</v>
      </c>
      <c r="H90" s="15" t="s">
        <v>311</v>
      </c>
      <c r="I90" s="15">
        <v>42627.576828703706</v>
      </c>
      <c r="J90" s="7">
        <v>0</v>
      </c>
      <c r="K90" s="121" t="str">
        <f t="shared" si="30"/>
        <v>4053/4054</v>
      </c>
      <c r="L90" s="24" t="str">
        <f>VLOOKUP(A90,'Trips&amp;Operators'!$C$1:$E$10000,3,FALSE)</f>
        <v>BERLING</v>
      </c>
      <c r="M90" s="6">
        <f t="shared" si="31"/>
        <v>2.4513888893125113E-2</v>
      </c>
      <c r="N90" s="7">
        <f t="shared" si="27"/>
        <v>35.300000006100163</v>
      </c>
      <c r="O90" s="7"/>
      <c r="P90" s="7"/>
      <c r="Q90" s="25"/>
      <c r="R90" s="25"/>
      <c r="S90" s="37">
        <f t="shared" si="28"/>
        <v>1</v>
      </c>
      <c r="T90" s="52" t="str">
        <f t="shared" si="32"/>
        <v>NorthBound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12:11:13-0600',mode:absolute,to:'2016-09-14 14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90" s="54" t="str">
        <f t="shared" si="25"/>
        <v>N</v>
      </c>
      <c r="X90" s="168">
        <f t="shared" si="26"/>
        <v>1</v>
      </c>
      <c r="Y90" s="69">
        <f t="shared" si="34"/>
        <v>6.3700000000000007E-2</v>
      </c>
      <c r="Z90" s="69">
        <f t="shared" si="41"/>
        <v>23.3278</v>
      </c>
      <c r="AA90" s="69">
        <f t="shared" si="35"/>
        <v>23.264099999999999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6"/>
        <v>0177-14</v>
      </c>
      <c r="AE90" s="99" t="str">
        <f t="shared" si="37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90" s="96" t="str">
        <f t="shared" si="38"/>
        <v>"C:\Program Files (x86)\AstroGrep\AstroGrep.exe" /spath="%USERPROFILE%\AppData\Local\Temp\OnboardLogs" /stypes="app*4053*20160914*" /stext=" 19:.+((SYSTEM_STATE.+slice.+state.+changed )|(ment ac)|(system.+state.+changed )|(\|lc)|(penalty)|(\[timeout)|(PRM\|1\|D)|(kpr)|(kdp))" /e /r /s</v>
      </c>
      <c r="AG90" s="1" t="str">
        <f t="shared" si="39"/>
        <v>EC</v>
      </c>
      <c r="AH90" s="100" t="str">
        <f t="shared" si="29"/>
        <v>"%USERPROFILE%\Documents\GitHub\eaglep3\Utilities\RefineRTDCRunTimes.py" --tripid 177-14 --locoid 4053 --swversion DE.1.0.7.0 --startMP 204:637 --initTime 2016-09-14T13:11:13 --startdatetime 2016-09-14T13:15:20 --delay 1 --endMP 204:233278 --enddatetime 2016-09-14T13:50:38 --enforcementcount 0 &gt;&gt;C:\Users\stu\Documents\GitHub\eaglep3-reporting\EC\2016-09-14-refined-times.txt</v>
      </c>
      <c r="AI90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{"issue":{"subject":"","project_id":79,"tracker_id":40,"status_id":1,"priority_id":2,"assigned_to_id":23,"start_date":"2016-09-14","description":"","custom_fields":[{"id":1,"name":"Subdivision","value":"EC"},{"id":4,"name":"Milepost","value":"23.3278"},{"id":17,"name":"Train ID","value":"177-14"},{"id":16,"name":"Locomotive ID","value":"4053"},{"id":130,"name":"Impact","value":""},{"id":150,"name":"Time of Event (Mountain Time)","value":"13:50:38"},{"id":151,"name":"Denver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496</v>
      </c>
      <c r="B91" s="7">
        <v>4054</v>
      </c>
      <c r="C91" s="24" t="s">
        <v>108</v>
      </c>
      <c r="D91" s="24" t="s">
        <v>640</v>
      </c>
      <c r="E91" s="15">
        <v>42627.586840277778</v>
      </c>
      <c r="F91" s="15">
        <v>42627.590497685182</v>
      </c>
      <c r="G91" s="7">
        <v>1</v>
      </c>
      <c r="H91" s="15" t="s">
        <v>641</v>
      </c>
      <c r="I91" s="15">
        <v>42627.620057870372</v>
      </c>
      <c r="J91" s="7">
        <v>0</v>
      </c>
      <c r="K91" s="121" t="str">
        <f t="shared" si="30"/>
        <v>4053/4054</v>
      </c>
      <c r="L91" s="24" t="str">
        <f>VLOOKUP(A91,'Trips&amp;Operators'!$C$1:$E$10000,3,FALSE)</f>
        <v>BERLING</v>
      </c>
      <c r="M91" s="6">
        <f t="shared" si="31"/>
        <v>2.956018519034842E-2</v>
      </c>
      <c r="N91" s="7">
        <f t="shared" si="27"/>
        <v>42.566666674101725</v>
      </c>
      <c r="O91" s="7"/>
      <c r="P91" s="7"/>
      <c r="Q91" s="25"/>
      <c r="R91" s="25"/>
      <c r="S91" s="37">
        <f t="shared" si="28"/>
        <v>1</v>
      </c>
      <c r="T91" s="52" t="str">
        <f t="shared" si="32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13:05:03-0600',mode:absolute,to:'2016-09-14 15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91" s="54" t="str">
        <f t="shared" si="25"/>
        <v>N</v>
      </c>
      <c r="X91" s="168">
        <f t="shared" si="26"/>
        <v>1</v>
      </c>
      <c r="Y91" s="69">
        <f t="shared" si="34"/>
        <v>23.296099999999999</v>
      </c>
      <c r="Z91" s="69">
        <f t="shared" si="41"/>
        <v>1.8100000000000002E-2</v>
      </c>
      <c r="AA91" s="69">
        <f t="shared" si="35"/>
        <v>23.277999999999999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6"/>
        <v>0178-14</v>
      </c>
      <c r="AE91" s="99" t="str">
        <f t="shared" si="37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91" s="96" t="str">
        <f t="shared" si="38"/>
        <v>"C:\Program Files (x86)\AstroGrep\AstroGrep.exe" /spath="%USERPROFILE%\AppData\Local\Temp\OnboardLogs" /stypes="app*4054*20160914*" /stext=" 20:.+((SYSTEM_STATE.+slice.+state.+changed )|(ment ac)|(system.+state.+changed )|(\|lc)|(penalty)|(\[timeout)|(PRM\|1\|D)|(kpr)|(kdp))" /e /r /s</v>
      </c>
      <c r="AG91" s="1" t="str">
        <f t="shared" si="39"/>
        <v>EC</v>
      </c>
      <c r="AH91" s="100" t="str">
        <f t="shared" si="29"/>
        <v>"%USERPROFILE%\Documents\GitHub\eaglep3\Utilities\RefineRTDCRunTimes.py" --tripid 178-14 --locoid 4054 --swversion DE.1.0.7.0 --startMP 204:232961 --initTime 2016-09-14T14:05:03 --startdatetime 2016-09-14T14:10:19 --delay 1 --endMP 204:181 --enddatetime 2016-09-14T14:52:53 --enforcementcount 0 &gt;&gt;C:\Users\stu\Documents\GitHub\eaglep3-reporting\EC\2016-09-14-refined-times.txt</v>
      </c>
      <c r="AI91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{"issue":{"subject":"","project_id":79,"tracker_id":40,"status_id":1,"priority_id":2,"assigned_to_id":23,"start_date":"2016-09-14","description":"","custom_fields":[{"id":1,"name":"Subdivision","value":"EC"},{"id":4,"name":"Milepost","value":"0.0181"},{"id":17,"name":"Train ID","value":"178-14"},{"id":16,"name":"Locomotive ID","value":"4054"},{"id":130,"name":"Impact","value":""},{"id":150,"name":"Time of Event (Mountain Time)","value":"14:52:53"},{"id":151,"name":"Denver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491</v>
      </c>
      <c r="B92" s="7">
        <v>4040</v>
      </c>
      <c r="C92" s="24" t="s">
        <v>108</v>
      </c>
      <c r="D92" s="24" t="s">
        <v>226</v>
      </c>
      <c r="E92" s="15">
        <v>42627.556944444441</v>
      </c>
      <c r="F92" s="15">
        <v>42627.563530092593</v>
      </c>
      <c r="G92" s="7">
        <v>1</v>
      </c>
      <c r="H92" s="15" t="s">
        <v>642</v>
      </c>
      <c r="I92" s="15">
        <v>42627.58761574074</v>
      </c>
      <c r="J92" s="7">
        <v>0</v>
      </c>
      <c r="K92" s="121" t="str">
        <f t="shared" si="30"/>
        <v>4039/4040</v>
      </c>
      <c r="L92" s="24" t="str">
        <f>VLOOKUP(A92,'Trips&amp;Operators'!$C$1:$E$10000,3,FALSE)</f>
        <v>STAMBAUGH</v>
      </c>
      <c r="M92" s="6">
        <f t="shared" si="31"/>
        <v>2.4085648146865424E-2</v>
      </c>
      <c r="N92" s="7">
        <f t="shared" si="27"/>
        <v>34.68333333148621</v>
      </c>
      <c r="O92" s="7"/>
      <c r="P92" s="7"/>
      <c r="Q92" s="25"/>
      <c r="R92" s="25"/>
      <c r="S92" s="37">
        <f t="shared" si="28"/>
        <v>1</v>
      </c>
      <c r="T92" s="52" t="str">
        <f t="shared" si="32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12:22:00-0600',mode:absolute,to:'2016-09-14 15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92" s="54" t="str">
        <f t="shared" si="25"/>
        <v>N</v>
      </c>
      <c r="X92" s="168">
        <f t="shared" si="26"/>
        <v>1</v>
      </c>
      <c r="Y92" s="69">
        <f t="shared" si="34"/>
        <v>4.7100000000000003E-2</v>
      </c>
      <c r="Z92" s="69">
        <f t="shared" si="41"/>
        <v>23.334</v>
      </c>
      <c r="AA92" s="69">
        <f t="shared" si="35"/>
        <v>23.286899999999999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6"/>
        <v>0179-14</v>
      </c>
      <c r="AE92" s="99" t="str">
        <f t="shared" si="37"/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AF92" s="96" t="str">
        <f t="shared" si="38"/>
        <v>"C:\Program Files (x86)\AstroGrep\AstroGrep.exe" /spath="%USERPROFILE%\AppData\Local\Temp\OnboardLogs" /stypes="app*4040*20160914*" /stext=" 20:.+((SYSTEM_STATE.+slice.+state.+changed )|(ment ac)|(system.+state.+changed )|(\|lc)|(penalty)|(\[timeout)|(PRM\|1\|D)|(kpr)|(kdp))" /e /r /s</v>
      </c>
      <c r="AG92" s="1" t="str">
        <f t="shared" si="39"/>
        <v>EC</v>
      </c>
      <c r="AH92" s="100" t="str">
        <f t="shared" si="29"/>
        <v>"%USERPROFILE%\Documents\GitHub\eaglep3\Utilities\RefineRTDCRunTimes.py" --tripid 179-14 --locoid 4040 --swversion DE.1.0.7.0 --startMP 204:471 --initTime 2016-09-14T13:22:00 --startdatetime 2016-09-14T13:31:29 --delay 1 --endMP 204:233340 --enddatetime 2016-09-14T14:06:10 --enforcementcount 0 &gt;&gt;C:\Users\stu\Documents\GitHub\eaglep3-reporting\EC\2016-09-14-refined-times.txt</v>
      </c>
      <c r="AI92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{"issue":{"subject":"","project_id":79,"tracker_id":40,"status_id":1,"priority_id":2,"assigned_to_id":23,"start_date":"2016-09-14","description":"","custom_fields":[{"id":1,"name":"Subdivision","value":"EC"},{"id":4,"name":"Milepost","value":"23.334"},{"id":17,"name":"Train ID","value":"179-14"},{"id":16,"name":"Locomotive ID","value":"4040"},{"id":130,"name":"Impact","value":""},{"id":150,"name":"Time of Event (Mountain Time)","value":"14:06:10"},{"id":151,"name":"Denver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500</v>
      </c>
      <c r="B93" s="7">
        <v>4039</v>
      </c>
      <c r="C93" s="24" t="s">
        <v>108</v>
      </c>
      <c r="D93" s="24" t="s">
        <v>643</v>
      </c>
      <c r="E93" s="15">
        <v>42627.598946759259</v>
      </c>
      <c r="F93" s="15">
        <v>42627.601921296293</v>
      </c>
      <c r="G93" s="7">
        <v>1</v>
      </c>
      <c r="H93" s="15" t="s">
        <v>644</v>
      </c>
      <c r="I93" s="15">
        <v>42627.627766203703</v>
      </c>
      <c r="J93" s="7">
        <v>0</v>
      </c>
      <c r="K93" s="121" t="str">
        <f t="shared" si="30"/>
        <v>4039/4040</v>
      </c>
      <c r="L93" s="24" t="str">
        <f>VLOOKUP(A93,'Trips&amp;Operators'!$C$1:$E$10000,3,FALSE)</f>
        <v>STAMBAUGH</v>
      </c>
      <c r="M93" s="6">
        <f t="shared" si="31"/>
        <v>2.584490740991896E-2</v>
      </c>
      <c r="N93" s="7">
        <f t="shared" si="27"/>
        <v>37.216666670283303</v>
      </c>
      <c r="O93" s="7"/>
      <c r="P93" s="7"/>
      <c r="Q93" s="25"/>
      <c r="R93" s="25"/>
      <c r="S93" s="37">
        <f t="shared" si="28"/>
        <v>1</v>
      </c>
      <c r="T93" s="52" t="str">
        <f t="shared" si="32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13:22:29-0600',mode:absolute,to:'2016-09-14 16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3" s="54" t="str">
        <f t="shared" si="25"/>
        <v>N</v>
      </c>
      <c r="X93" s="168">
        <f t="shared" si="26"/>
        <v>1</v>
      </c>
      <c r="Y93" s="69">
        <f t="shared" si="34"/>
        <v>23.302499999999998</v>
      </c>
      <c r="Z93" s="69">
        <f t="shared" si="41"/>
        <v>1.01E-2</v>
      </c>
      <c r="AA93" s="69">
        <f t="shared" si="35"/>
        <v>23.292399999999997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6"/>
        <v>0180-14</v>
      </c>
      <c r="AE93" s="99" t="str">
        <f t="shared" si="37"/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AF93" s="96" t="str">
        <f t="shared" si="38"/>
        <v>"C:\Program Files (x86)\AstroGrep\AstroGrep.exe" /spath="%USERPROFILE%\AppData\Local\Temp\OnboardLogs" /stypes="app*4039*20160914*" /stext=" 21:.+((SYSTEM_STATE.+slice.+state.+changed )|(ment ac)|(system.+state.+changed )|(\|lc)|(penalty)|(\[timeout)|(PRM\|1\|D)|(kpr)|(kdp))" /e /r /s</v>
      </c>
      <c r="AG93" s="1" t="str">
        <f t="shared" si="39"/>
        <v>EC</v>
      </c>
      <c r="AH93" s="100" t="str">
        <f t="shared" si="29"/>
        <v>"%USERPROFILE%\Documents\GitHub\eaglep3\Utilities\RefineRTDCRunTimes.py" --tripid 180-14 --locoid 4039 --swversion DE.1.0.7.0 --startMP 204:233025 --initTime 2016-09-14T14:22:29 --startdatetime 2016-09-14T14:26:46 --delay 1 --endMP 204:101 --enddatetime 2016-09-14T15:03:59 --enforcementcount 0 &gt;&gt;C:\Users\stu\Documents\GitHub\eaglep3-reporting\EC\2016-09-14-refined-times.txt</v>
      </c>
      <c r="AI93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{"issue":{"subject":"","project_id":79,"tracker_id":40,"status_id":1,"priority_id":2,"assigned_to_id":23,"start_date":"2016-09-14","description":"","custom_fields":[{"id":1,"name":"Subdivision","value":"EC"},{"id":4,"name":"Milepost","value":"0.0101"},{"id":17,"name":"Train ID","value":"180-14"},{"id":16,"name":"Locomotive ID","value":"4039"},{"id":130,"name":"Impact","value":""},{"id":150,"name":"Time of Event (Mountain Time)","value":"15:03:59"},{"id":151,"name":"Denver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736</v>
      </c>
      <c r="B94" s="7"/>
      <c r="C94" s="24" t="s">
        <v>108</v>
      </c>
      <c r="D94" s="24" t="s">
        <v>643</v>
      </c>
      <c r="E94" s="15">
        <v>42627.598946759259</v>
      </c>
      <c r="F94" s="15"/>
      <c r="G94" s="7">
        <v>1</v>
      </c>
      <c r="H94" s="15" t="s">
        <v>644</v>
      </c>
      <c r="I94" s="15"/>
      <c r="J94" s="7">
        <v>0</v>
      </c>
      <c r="K94" s="121" t="str">
        <f t="shared" si="30"/>
        <v>-1/</v>
      </c>
      <c r="L94" s="24" t="e">
        <f>VLOOKUP(A94,'Trips&amp;Operators'!$C$1:$E$10000,3,FALSE)</f>
        <v>#N/A</v>
      </c>
      <c r="M94" s="6">
        <f t="shared" si="31"/>
        <v>0</v>
      </c>
      <c r="N94" s="7"/>
      <c r="O94" s="7"/>
      <c r="P94" s="7">
        <v>1</v>
      </c>
      <c r="Q94" s="25"/>
      <c r="R94" s="25" t="s">
        <v>341</v>
      </c>
      <c r="S94" s="37">
        <f t="shared" si="28"/>
        <v>0</v>
      </c>
      <c r="T94" s="52" t="str">
        <f t="shared" si="32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13:22:29-0600',mode:absolute,to:'1900-01-00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94" s="54" t="str">
        <f t="shared" si="25"/>
        <v>N</v>
      </c>
      <c r="X94" s="168">
        <f t="shared" ref="X94:X99" si="42">VALUE(LEFT(AD94,4))-VALUE(LEFT(AD93,4))</f>
        <v>1</v>
      </c>
      <c r="Y94" s="69">
        <f t="shared" ref="Y94:Y99" si="43">RIGHT(D94,LEN(D94)-4)/10000</f>
        <v>23.302499999999998</v>
      </c>
      <c r="Z94" s="69">
        <f t="shared" si="41"/>
        <v>1.01E-2</v>
      </c>
      <c r="AA94" s="69">
        <f t="shared" si="35"/>
        <v>23.292399999999997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6"/>
        <v>0181-14</v>
      </c>
      <c r="AE94" s="99" t="str">
        <f t="shared" si="37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94" s="96" t="str">
        <f t="shared" si="38"/>
        <v>"C:\Program Files (x86)\AstroGrep\AstroGrep.exe" /spath="%USERPROFILE%\AppData\Local\Temp\OnboardLogs" /stypes="app**19000100*" /stext=" 06:.+((SYSTEM_STATE.+slice.+state.+changed )|(ment ac)|(system.+state.+changed )|(\|lc)|(penalty)|(\[timeout)|(PRM\|1\|D)|(kpr)|(kdp))" /e /r /s</v>
      </c>
      <c r="AG94" s="1" t="str">
        <f t="shared" si="39"/>
        <v>EC</v>
      </c>
      <c r="AH94" s="100" t="str">
        <f t="shared" ref="AH94" si="44">refinertdcruntimes&amp;" --tripid "&amp;A94&amp;" --locoid "&amp;B94&amp;" --swversion "&amp;C94&amp;" --startMP "&amp;D94&amp;" --initTime "&amp;TEXT(E94,"yyyy-mm-ddTHH:MM:SS")&amp;" --startdatetime "&amp;TEXT(F94,"yyyy-mm-ddTHH:MM:SS")&amp;" --delay "&amp;G94&amp;" --endMP "&amp;H94&amp;" --enddatetime "&amp;TEXT(I94,"yyyy-mm-ddTHH:MM:SS")&amp;" --enforcementcount "&amp;J94&amp;IF(outputrefinedruntimes," &gt;&gt;"&amp;RefinedRTDCRunTimesOutputFile,"")</f>
        <v>"%USERPROFILE%\Documents\GitHub\eaglep3\Utilities\RefineRTDCRunTimes.py" --tripid 181-14 --locoid  --swversion DE.1.0.7.0 --startMP 204:233025 --initTime 2016-09-14T14:22:29 --startdatetime 1900-01-00T00:00:00 --delay 1 --endMP 204:101 --enddatetime 1900-01-00T00:00:00 --enforcementcount 0 &gt;&gt;C:\Users\stu\Documents\GitHub\eaglep3-reporting\EC\2016-09-14-refined-times.txt</v>
      </c>
      <c r="AI94" s="134" t="str">
        <f t="shared" si="40"/>
        <v>echo {"issue":{"subject":"Onboard in-route failure","project_id":79,"tracker_id":40,"status_id":1,"priority_id":2,"assigned_to_id":23,"start_date":"1900-01-00","description":"","custom_fields":[{"id":1,"name":"Subdivision","value":"EC"},{"id":4,"name":"Milepost","value":"0.0101"},{"id":17,"name":"Train ID","value":"181-14"},{"id":16,"name":"Locomotive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502</v>
      </c>
      <c r="B95" s="7">
        <v>4043</v>
      </c>
      <c r="C95" s="24" t="s">
        <v>108</v>
      </c>
      <c r="D95" s="24" t="s">
        <v>283</v>
      </c>
      <c r="E95" s="15">
        <v>42627.603148148148</v>
      </c>
      <c r="F95" s="15">
        <v>42627.613032407404</v>
      </c>
      <c r="G95" s="7">
        <v>2</v>
      </c>
      <c r="H95" s="15" t="s">
        <v>258</v>
      </c>
      <c r="I95" s="15">
        <v>42627.639733796299</v>
      </c>
      <c r="J95" s="7">
        <v>0</v>
      </c>
      <c r="K95" s="121" t="str">
        <f t="shared" si="30"/>
        <v>4043/4044</v>
      </c>
      <c r="L95" s="24" t="str">
        <f>VLOOKUP(A95,'Trips&amp;Operators'!$C$1:$E$10000,3,FALSE)</f>
        <v>HILLS</v>
      </c>
      <c r="M95" s="6">
        <f t="shared" si="31"/>
        <v>2.6701388895162381E-2</v>
      </c>
      <c r="N95" s="7">
        <f t="shared" ref="N95:N131" si="45">24*60*SUM($M95:$M95)</f>
        <v>38.450000009033829</v>
      </c>
      <c r="O95" s="7"/>
      <c r="P95" s="7"/>
      <c r="Q95" s="25"/>
      <c r="R95" s="25"/>
      <c r="S95" s="37">
        <f t="shared" si="28"/>
        <v>1</v>
      </c>
      <c r="T95" s="52" t="str">
        <f t="shared" si="32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13:28:32-0600',mode:absolute,to:'2016-09-14 16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5" s="54" t="str">
        <f t="shared" si="25"/>
        <v>N</v>
      </c>
      <c r="X95" s="168">
        <f t="shared" si="42"/>
        <v>1</v>
      </c>
      <c r="Y95" s="69">
        <f t="shared" si="43"/>
        <v>23.296700000000001</v>
      </c>
      <c r="Z95" s="69">
        <f t="shared" si="41"/>
        <v>1.41E-2</v>
      </c>
      <c r="AA95" s="69">
        <f t="shared" si="35"/>
        <v>23.282600000000002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6"/>
        <v>0182-14</v>
      </c>
      <c r="AE95" s="99" t="str">
        <f t="shared" si="37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95" s="96" t="str">
        <f t="shared" si="38"/>
        <v>"C:\Program Files (x86)\AstroGrep\AstroGrep.exe" /spath="%USERPROFILE%\AppData\Local\Temp\OnboardLogs" /stypes="app*4043*20160914*" /stext=" 21:.+((SYSTEM_STATE.+slice.+state.+changed )|(ment ac)|(system.+state.+changed )|(\|lc)|(penalty)|(\[timeout)|(PRM\|1\|D)|(kpr)|(kdp))" /e /r /s</v>
      </c>
      <c r="AG95" s="1" t="str">
        <f t="shared" si="39"/>
        <v>EC</v>
      </c>
      <c r="AH95" s="100" t="str">
        <f t="shared" si="29"/>
        <v>"%USERPROFILE%\Documents\GitHub\eaglep3\Utilities\RefineRTDCRunTimes.py" --tripid 182-14 --locoid 4043 --swversion DE.1.0.7.0 --startMP 204:232967 --initTime 2016-09-14T14:28:32 --startdatetime 2016-09-14T14:42:46 --delay 2 --endMP 204:141 --enddatetime 2016-09-14T15:21:13 --enforcementcount 0 &gt;&gt;C:\Users\stu\Documents\GitHub\eaglep3-reporting\EC\2016-09-14-refined-times.txt</v>
      </c>
      <c r="AI95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{"issue":{"subject":"","project_id":79,"tracker_id":40,"status_id":1,"priority_id":2,"assigned_to_id":23,"start_date":"2016-09-14","description":"","custom_fields":[{"id":1,"name":"Subdivision","value":"EC"},{"id":4,"name":"Milepost","value":"0.0141"},{"id":17,"name":"Train ID","value":"182-14"},{"id":16,"name":"Locomotive ID","value":"4043"},{"id":130,"name":"Impact","value":""},{"id":150,"name":"Time of Event (Mountain Time)","value":"15:21:13"},{"id":151,"name":"Denver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495</v>
      </c>
      <c r="B96" s="7">
        <v>4042</v>
      </c>
      <c r="C96" s="24" t="s">
        <v>108</v>
      </c>
      <c r="D96" s="24" t="s">
        <v>231</v>
      </c>
      <c r="E96" s="15">
        <v>42627.579328703701</v>
      </c>
      <c r="F96" s="15">
        <v>42627.583518518521</v>
      </c>
      <c r="G96" s="7">
        <v>1</v>
      </c>
      <c r="H96" s="15" t="s">
        <v>348</v>
      </c>
      <c r="I96" s="15">
        <v>42627.608067129629</v>
      </c>
      <c r="J96" s="7">
        <v>0</v>
      </c>
      <c r="K96" s="121" t="str">
        <f t="shared" si="30"/>
        <v>4041/4042</v>
      </c>
      <c r="L96" s="24" t="str">
        <f>VLOOKUP(A96,'Trips&amp;Operators'!$C$1:$E$10000,3,FALSE)</f>
        <v>BRUDER</v>
      </c>
      <c r="M96" s="6">
        <f t="shared" si="31"/>
        <v>2.4548611108912155E-2</v>
      </c>
      <c r="N96" s="7">
        <f t="shared" si="45"/>
        <v>35.349999996833503</v>
      </c>
      <c r="O96" s="7"/>
      <c r="P96" s="7"/>
      <c r="Q96" s="25"/>
      <c r="R96" s="25"/>
      <c r="S96" s="37">
        <f t="shared" si="28"/>
        <v>1</v>
      </c>
      <c r="T96" s="52" t="str">
        <f t="shared" si="32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12:54:14-0600',mode:absolute,to:'2016-09-14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6" s="54" t="str">
        <f t="shared" si="25"/>
        <v>N</v>
      </c>
      <c r="X96" s="168">
        <f t="shared" si="42"/>
        <v>1</v>
      </c>
      <c r="Y96" s="69">
        <f t="shared" si="43"/>
        <v>4.53E-2</v>
      </c>
      <c r="Z96" s="69">
        <f t="shared" si="41"/>
        <v>23.331</v>
      </c>
      <c r="AA96" s="69">
        <f t="shared" si="35"/>
        <v>23.285699999999999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6"/>
        <v>0183-14</v>
      </c>
      <c r="AE96" s="99" t="str">
        <f t="shared" si="37"/>
        <v>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 &amp; 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</v>
      </c>
      <c r="AF96" s="96" t="str">
        <f t="shared" si="38"/>
        <v>"C:\Program Files (x86)\AstroGrep\AstroGrep.exe" /spath="%USERPROFILE%\AppData\Local\Temp\OnboardLogs" /stypes="app*4042*20160914*" /stext=" 20:.+((SYSTEM_STATE.+slice.+state.+changed )|(ment ac)|(system.+state.+changed )|(\|lc)|(penalty)|(\[timeout)|(PRM\|1\|D)|(kpr)|(kdp))" /e /r /s</v>
      </c>
      <c r="AG96" s="1" t="str">
        <f t="shared" si="39"/>
        <v>EC</v>
      </c>
      <c r="AH96" s="100" t="str">
        <f t="shared" si="29"/>
        <v>"%USERPROFILE%\Documents\GitHub\eaglep3\Utilities\RefineRTDCRunTimes.py" --tripid 183-14 --locoid 4042 --swversion DE.1.0.7.0 --startMP 204:453 --initTime 2016-09-14T13:54:14 --startdatetime 2016-09-14T14:00:16 --delay 1 --endMP 204:233310 --enddatetime 2016-09-14T14:35:37 --enforcementcount 0 &gt;&gt;C:\Users\stu\Documents\GitHub\eaglep3-reporting\EC\2016-09-14-refined-times.txt</v>
      </c>
      <c r="AI96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{"issue":{"subject":"","project_id":79,"tracker_id":40,"status_id":1,"priority_id":2,"assigned_to_id":23,"start_date":"2016-09-14","description":"","custom_fields":[{"id":1,"name":"Subdivision","value":"EC"},{"id":4,"name":"Milepost","value":"23.331"},{"id":17,"name":"Train ID","value":"183-14"},{"id":16,"name":"Locomotive ID","value":"4042"},{"id":130,"name":"Impact","value":""},{"id":150,"name":"Time of Event (Mountain Time)","value":"14:35:37"},{"id":151,"name":"Denver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505</v>
      </c>
      <c r="B97" s="7">
        <v>4041</v>
      </c>
      <c r="C97" s="24" t="s">
        <v>108</v>
      </c>
      <c r="D97" s="24" t="s">
        <v>362</v>
      </c>
      <c r="E97" s="15">
        <v>42627.616574074076</v>
      </c>
      <c r="F97" s="15">
        <v>42627.622453703705</v>
      </c>
      <c r="G97" s="7">
        <v>1</v>
      </c>
      <c r="H97" s="15" t="s">
        <v>228</v>
      </c>
      <c r="I97" s="15">
        <v>42627.649189814816</v>
      </c>
      <c r="J97" s="7">
        <v>0</v>
      </c>
      <c r="K97" s="121" t="str">
        <f t="shared" si="30"/>
        <v>4041/4042</v>
      </c>
      <c r="L97" s="24" t="str">
        <f>VLOOKUP(A97,'Trips&amp;Operators'!$C$1:$E$10000,3,FALSE)</f>
        <v>BRUDER</v>
      </c>
      <c r="M97" s="6">
        <f t="shared" si="31"/>
        <v>2.6736111110949423E-2</v>
      </c>
      <c r="N97" s="7">
        <f t="shared" si="45"/>
        <v>38.499999999767169</v>
      </c>
      <c r="O97" s="7"/>
      <c r="P97" s="7"/>
      <c r="Q97" s="25"/>
      <c r="R97" s="25"/>
      <c r="S97" s="37">
        <f t="shared" si="28"/>
        <v>1</v>
      </c>
      <c r="T97" s="52" t="str">
        <f t="shared" si="32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13:47:52-0600',mode:absolute,to:'2016-09-14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7" s="54" t="str">
        <f t="shared" si="25"/>
        <v>N</v>
      </c>
      <c r="X97" s="168">
        <f t="shared" si="42"/>
        <v>1</v>
      </c>
      <c r="Y97" s="69">
        <f t="shared" si="43"/>
        <v>23.2987</v>
      </c>
      <c r="Z97" s="69">
        <f t="shared" si="41"/>
        <v>1.5800000000000002E-2</v>
      </c>
      <c r="AA97" s="69">
        <f t="shared" si="35"/>
        <v>23.282900000000001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6"/>
        <v>0184-14</v>
      </c>
      <c r="AE97" s="99" t="str">
        <f t="shared" si="37"/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AF97" s="96" t="str">
        <f t="shared" si="38"/>
        <v>"C:\Program Files (x86)\AstroGrep\AstroGrep.exe" /spath="%USERPROFILE%\AppData\Local\Temp\OnboardLogs" /stypes="app*4041*20160914*" /stext=" 21:.+((SYSTEM_STATE.+slice.+state.+changed )|(ment ac)|(system.+state.+changed )|(\|lc)|(penalty)|(\[timeout)|(PRM\|1\|D)|(kpr)|(kdp))" /e /r /s</v>
      </c>
      <c r="AG97" s="1" t="str">
        <f t="shared" si="39"/>
        <v>EC</v>
      </c>
      <c r="AH97" s="100" t="str">
        <f t="shared" si="29"/>
        <v>"%USERPROFILE%\Documents\GitHub\eaglep3\Utilities\RefineRTDCRunTimes.py" --tripid 184-14 --locoid 4041 --swversion DE.1.0.7.0 --startMP 204:232987 --initTime 2016-09-14T14:47:52 --startdatetime 2016-09-14T14:56:20 --delay 1 --endMP 204:158 --enddatetime 2016-09-14T15:34:50 --enforcementcount 0 &gt;&gt;C:\Users\stu\Documents\GitHub\eaglep3-reporting\EC\2016-09-14-refined-times.txt</v>
      </c>
      <c r="AI97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{"issue":{"subject":"","project_id":79,"tracker_id":40,"status_id":1,"priority_id":2,"assigned_to_id":23,"start_date":"2016-09-14","description":"","custom_fields":[{"id":1,"name":"Subdivision","value":"EC"},{"id":4,"name":"Milepost","value":"0.0158"},{"id":17,"name":"Train ID","value":"184-14"},{"id":16,"name":"Locomotive ID","value":"4041"},{"id":130,"name":"Impact","value":""},{"id":150,"name":"Time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497</v>
      </c>
      <c r="B98" s="7">
        <v>4027</v>
      </c>
      <c r="C98" s="24" t="s">
        <v>108</v>
      </c>
      <c r="D98" s="24" t="s">
        <v>317</v>
      </c>
      <c r="E98" s="15">
        <v>42627.58861111111</v>
      </c>
      <c r="F98" s="15">
        <v>42627.5940625</v>
      </c>
      <c r="G98" s="7">
        <v>1</v>
      </c>
      <c r="H98" s="15" t="s">
        <v>308</v>
      </c>
      <c r="I98" s="15">
        <v>42627.61922453704</v>
      </c>
      <c r="J98" s="7">
        <v>0</v>
      </c>
      <c r="K98" s="121" t="str">
        <f t="shared" si="30"/>
        <v>4027/4028</v>
      </c>
      <c r="L98" s="24" t="str">
        <f>VLOOKUP(A98,'Trips&amp;Operators'!$C$1:$E$10000,3,FALSE)</f>
        <v>SWANSON</v>
      </c>
      <c r="M98" s="6">
        <f t="shared" si="31"/>
        <v>2.5162037039990537E-2</v>
      </c>
      <c r="N98" s="7">
        <f t="shared" si="45"/>
        <v>36.233333337586373</v>
      </c>
      <c r="O98" s="7"/>
      <c r="P98" s="7"/>
      <c r="Q98" s="25"/>
      <c r="R98" s="25"/>
      <c r="S98" s="37">
        <f t="shared" si="28"/>
        <v>1</v>
      </c>
      <c r="T98" s="52" t="str">
        <f t="shared" si="32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13:07:36-0600',mode:absolute,to:'2016-09-14 15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8" s="54" t="str">
        <f t="shared" si="25"/>
        <v>N</v>
      </c>
      <c r="X98" s="168">
        <f t="shared" si="42"/>
        <v>1</v>
      </c>
      <c r="Y98" s="69">
        <f t="shared" si="43"/>
        <v>4.4600000000000001E-2</v>
      </c>
      <c r="Z98" s="69">
        <f t="shared" si="41"/>
        <v>23.329899999999999</v>
      </c>
      <c r="AA98" s="69">
        <f t="shared" si="35"/>
        <v>23.285299999999999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36"/>
        <v>0185-14</v>
      </c>
      <c r="AE98" s="99" t="str">
        <f t="shared" si="37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98" s="96" t="str">
        <f t="shared" si="38"/>
        <v>"C:\Program Files (x86)\AstroGrep\AstroGrep.exe" /spath="%USERPROFILE%\AppData\Local\Temp\OnboardLogs" /stypes="app*4027*20160914*" /stext=" 20:.+((SYSTEM_STATE.+slice.+state.+changed )|(ment ac)|(system.+state.+changed )|(\|lc)|(penalty)|(\[timeout)|(PRM\|1\|D)|(kpr)|(kdp))" /e /r /s</v>
      </c>
      <c r="AG98" s="1" t="str">
        <f t="shared" si="39"/>
        <v>EC</v>
      </c>
      <c r="AH98" s="100" t="str">
        <f t="shared" si="29"/>
        <v>"%USERPROFILE%\Documents\GitHub\eaglep3\Utilities\RefineRTDCRunTimes.py" --tripid 185-14 --locoid 4027 --swversion DE.1.0.7.0 --startMP 204:446 --initTime 2016-09-14T14:07:36 --startdatetime 2016-09-14T14:15:27 --delay 1 --endMP 204:233299 --enddatetime 2016-09-14T14:51:41 --enforcementcount 0 &gt;&gt;C:\Users\stu\Documents\GitHub\eaglep3-reporting\EC\2016-09-14-refined-times.txt</v>
      </c>
      <c r="AI98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{"issue":{"subject":"","project_id":79,"tracker_id":40,"status_id":1,"priority_id":2,"assigned_to_id":23,"start_date":"2016-09-14","description":"","custom_fields":[{"id":1,"name":"Subdivision","value":"EC"},{"id":4,"name":"Milepost","value":"23.3299"},{"id":17,"name":"Train ID","value":"185-14"},{"id":16,"name":"Locomotive ID","value":"4027"},{"id":130,"name":"Impact","value":""},{"id":150,"name":"Time of Event (Mountain Time)","value":"14:51:41"},{"id":151,"name":"Denver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506</v>
      </c>
      <c r="B99" s="7">
        <v>4028</v>
      </c>
      <c r="C99" s="24" t="s">
        <v>108</v>
      </c>
      <c r="D99" s="24" t="s">
        <v>244</v>
      </c>
      <c r="E99" s="15">
        <v>42627.622048611112</v>
      </c>
      <c r="F99" s="15">
        <v>42627.632893518516</v>
      </c>
      <c r="G99" s="7">
        <v>1</v>
      </c>
      <c r="H99" s="15" t="s">
        <v>272</v>
      </c>
      <c r="I99" s="15">
        <v>42627.660381944443</v>
      </c>
      <c r="J99" s="7">
        <v>0</v>
      </c>
      <c r="K99" s="121" t="str">
        <f t="shared" si="30"/>
        <v>4027/4028</v>
      </c>
      <c r="L99" s="24" t="str">
        <f>VLOOKUP(A99,'Trips&amp;Operators'!$C$1:$E$10000,3,FALSE)</f>
        <v>SWANSON</v>
      </c>
      <c r="M99" s="6">
        <f t="shared" si="31"/>
        <v>2.7488425927003846E-2</v>
      </c>
      <c r="N99" s="7">
        <f t="shared" si="45"/>
        <v>39.583333334885538</v>
      </c>
      <c r="O99" s="7"/>
      <c r="P99" s="7"/>
      <c r="Q99" s="25"/>
      <c r="R99" s="25"/>
      <c r="S99" s="37">
        <f t="shared" si="28"/>
        <v>1</v>
      </c>
      <c r="T99" s="52" t="str">
        <f t="shared" si="32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13:55:45-0600',mode:absolute,to:'2016-09-14 16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99" s="54" t="str">
        <f t="shared" si="25"/>
        <v>N</v>
      </c>
      <c r="X99" s="168">
        <f t="shared" si="42"/>
        <v>1</v>
      </c>
      <c r="Y99" s="69">
        <f t="shared" si="43"/>
        <v>23.297699999999999</v>
      </c>
      <c r="Z99" s="69">
        <f t="shared" si="41"/>
        <v>1.38E-2</v>
      </c>
      <c r="AA99" s="69">
        <f t="shared" si="35"/>
        <v>23.283899999999999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6"/>
        <v>0186-14</v>
      </c>
      <c r="AE99" s="99" t="str">
        <f t="shared" si="37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99" s="96" t="str">
        <f t="shared" si="38"/>
        <v>"C:\Program Files (x86)\AstroGrep\AstroGrep.exe" /spath="%USERPROFILE%\AppData\Local\Temp\OnboardLogs" /stypes="app*4028*20160914*" /stext=" 21:.+((SYSTEM_STATE.+slice.+state.+changed )|(ment ac)|(system.+state.+changed )|(\|lc)|(penalty)|(\[timeout)|(PRM\|1\|D)|(kpr)|(kdp))" /e /r /s</v>
      </c>
      <c r="AG99" s="1" t="str">
        <f t="shared" si="39"/>
        <v>EC</v>
      </c>
      <c r="AH99" s="100" t="str">
        <f t="shared" si="29"/>
        <v>"%USERPROFILE%\Documents\GitHub\eaglep3\Utilities\RefineRTDCRunTimes.py" --tripid 186-14 --locoid 4028 --swversion DE.1.0.7.0 --startMP 204:232977 --initTime 2016-09-14T14:55:45 --startdatetime 2016-09-14T15:11:22 --delay 1 --endMP 204:138 --enddatetime 2016-09-14T15:50:57 --enforcementcount 0 &gt;&gt;C:\Users\stu\Documents\GitHub\eaglep3-reporting\EC\2016-09-14-refined-times.txt</v>
      </c>
      <c r="AI99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{"issue":{"subject":"","project_id":79,"tracker_id":40,"status_id":1,"priority_id":2,"assigned_to_id":23,"start_date":"2016-09-14","description":"","custom_fields":[{"id":1,"name":"Subdivision","value":"EC"},{"id":4,"name":"Milepost","value":"0.0138"},{"id":17,"name":"Train ID","value":"186-14"},{"id":16,"name":"Locomotive ID","value":"4028"},{"id":130,"name":"Impact","value":""},{"id":150,"name":"Time of Event (Mountain Time)","value":"15:50:57"},{"id":151,"name":"Denver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501</v>
      </c>
      <c r="B100" s="7">
        <v>4003</v>
      </c>
      <c r="C100" s="24" t="s">
        <v>108</v>
      </c>
      <c r="D100" s="24" t="s">
        <v>241</v>
      </c>
      <c r="E100" s="15">
        <v>42627.600254629629</v>
      </c>
      <c r="F100" s="15">
        <v>42627.60434027778</v>
      </c>
      <c r="G100" s="7">
        <v>1</v>
      </c>
      <c r="H100" s="15" t="s">
        <v>349</v>
      </c>
      <c r="I100" s="15">
        <v>42627.629756944443</v>
      </c>
      <c r="J100" s="7">
        <v>0</v>
      </c>
      <c r="K100" s="121" t="str">
        <f t="shared" si="30"/>
        <v>4003/4004</v>
      </c>
      <c r="L100" s="24" t="str">
        <f>VLOOKUP(A100,'Trips&amp;Operators'!$C$1:$E$10000,3,FALSE)</f>
        <v>BONDS</v>
      </c>
      <c r="M100" s="6">
        <f t="shared" si="31"/>
        <v>2.5416666663659271E-2</v>
      </c>
      <c r="N100" s="7">
        <f t="shared" si="45"/>
        <v>36.59999999566935</v>
      </c>
      <c r="O100" s="7"/>
      <c r="P100" s="7"/>
      <c r="Q100" s="25"/>
      <c r="R100" s="25"/>
      <c r="S100" s="37">
        <f t="shared" si="28"/>
        <v>1</v>
      </c>
      <c r="T100" s="52" t="str">
        <f t="shared" si="32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13:24:22-0600',mode:absolute,to:'2016-09-14 16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0" s="54" t="str">
        <f t="shared" si="25"/>
        <v>N</v>
      </c>
      <c r="X100" s="168">
        <f t="shared" ref="X100:X131" si="46">VALUE(LEFT(AD100,4))-VALUE(LEFT(AD99,4))</f>
        <v>1</v>
      </c>
      <c r="Y100" s="69">
        <f t="shared" ref="Y100:Y131" si="47">RIGHT(D100,LEN(D100)-4)/10000</f>
        <v>4.5100000000000001E-2</v>
      </c>
      <c r="Z100" s="69">
        <f t="shared" si="41"/>
        <v>23.3309</v>
      </c>
      <c r="AA100" s="69">
        <f t="shared" si="35"/>
        <v>23.285799999999998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6"/>
        <v>0187-14</v>
      </c>
      <c r="AE100" s="99" t="str">
        <f t="shared" si="37"/>
        <v>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 &amp; aws s3 cp s3://rtdc.mdm.uploadarchive/RTDC4003/2016-09-15/ "%USERPROFILE%\AppData\Local\Temp\OnboardLogs"\RTDC4003\2016-09-15 --recursive &amp; "%USERPROFILE%\Documents\GitHub\mrs-test-scripts\Headless Mode &amp; Sideloading\WalkAndUnGZ.bat" "%USERPROFILE%\AppData\Local\Temp\OnboardLogs"\RTDC4003\2016-09-15</v>
      </c>
      <c r="AF100" s="96" t="str">
        <f t="shared" si="38"/>
        <v>"C:\Program Files (x86)\AstroGrep\AstroGrep.exe" /spath="%USERPROFILE%\AppData\Local\Temp\OnboardLogs" /stypes="app*4003*20160914*" /stext=" 21:.+((SYSTEM_STATE.+slice.+state.+changed )|(ment ac)|(system.+state.+changed )|(\|lc)|(penalty)|(\[timeout)|(PRM\|1\|D)|(kpr)|(kdp))" /e /r /s</v>
      </c>
      <c r="AG100" s="1" t="str">
        <f t="shared" si="39"/>
        <v>EC</v>
      </c>
      <c r="AH100" s="100" t="str">
        <f t="shared" si="29"/>
        <v>"%USERPROFILE%\Documents\GitHub\eaglep3\Utilities\RefineRTDCRunTimes.py" --tripid 187-14 --locoid 4003 --swversion DE.1.0.7.0 --startMP 204:451 --initTime 2016-09-14T14:24:22 --startdatetime 2016-09-14T14:30:15 --delay 1 --endMP 204:233309 --enddatetime 2016-09-14T15:06:51 --enforcementcount 0 &gt;&gt;C:\Users\stu\Documents\GitHub\eaglep3-reporting\EC\2016-09-14-refined-times.txt</v>
      </c>
      <c r="AI100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{"issue":{"subject":"","project_id":79,"tracker_id":40,"status_id":1,"priority_id":2,"assigned_to_id":23,"start_date":"2016-09-14","description":"","custom_fields":[{"id":1,"name":"Subdivision","value":"EC"},{"id":4,"name":"Milepost","value":"23.3309"},{"id":17,"name":"Train ID","value":"187-14"},{"id":16,"name":"Locomotive ID","value":"4003"},{"id":130,"name":"Impact","value":""},{"id":150,"name":"Time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509</v>
      </c>
      <c r="B101" s="7">
        <v>4004</v>
      </c>
      <c r="C101" s="24" t="s">
        <v>108</v>
      </c>
      <c r="D101" s="24" t="s">
        <v>645</v>
      </c>
      <c r="E101" s="15">
        <v>42627.634664351855</v>
      </c>
      <c r="F101" s="15">
        <v>42627.643229166664</v>
      </c>
      <c r="G101" s="7">
        <v>1</v>
      </c>
      <c r="H101" s="15" t="s">
        <v>347</v>
      </c>
      <c r="I101" s="15">
        <v>42627.670104166667</v>
      </c>
      <c r="J101" s="7">
        <v>0</v>
      </c>
      <c r="K101" s="121" t="str">
        <f t="shared" si="30"/>
        <v>4003/4004</v>
      </c>
      <c r="L101" s="24" t="str">
        <f>VLOOKUP(A101,'Trips&amp;Operators'!$C$1:$E$10000,3,FALSE)</f>
        <v>BONDS</v>
      </c>
      <c r="M101" s="6">
        <f t="shared" si="31"/>
        <v>2.6875000003201421E-2</v>
      </c>
      <c r="N101" s="7">
        <f t="shared" si="45"/>
        <v>38.700000004610047</v>
      </c>
      <c r="O101" s="7"/>
      <c r="P101" s="7"/>
      <c r="Q101" s="25"/>
      <c r="R101" s="25"/>
      <c r="S101" s="37">
        <f t="shared" si="28"/>
        <v>1</v>
      </c>
      <c r="T101" s="52" t="str">
        <f t="shared" si="32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14:13:55-0600',mode:absolute,to:'2016-09-14 17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1" s="54" t="str">
        <f t="shared" ref="W101:W132" si="48">IF(AA101&lt;IF(AG101="EC",23,5.65),"Y","N")</f>
        <v>N</v>
      </c>
      <c r="X101" s="168">
        <f t="shared" si="46"/>
        <v>1</v>
      </c>
      <c r="Y101" s="69">
        <f t="shared" si="47"/>
        <v>23.298300000000001</v>
      </c>
      <c r="Z101" s="69">
        <f t="shared" si="41"/>
        <v>1.43E-2</v>
      </c>
      <c r="AA101" s="69">
        <f t="shared" si="35"/>
        <v>23.284000000000002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6"/>
        <v>0188-14</v>
      </c>
      <c r="AE101" s="99" t="str">
        <f t="shared" si="37"/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AF101" s="96" t="str">
        <f t="shared" si="38"/>
        <v>"C:\Program Files (x86)\AstroGrep\AstroGrep.exe" /spath="%USERPROFILE%\AppData\Local\Temp\OnboardLogs" /stypes="app*4004*20160914*" /stext=" 22:.+((SYSTEM_STATE.+slice.+state.+changed )|(ment ac)|(system.+state.+changed )|(\|lc)|(penalty)|(\[timeout)|(PRM\|1\|D)|(kpr)|(kdp))" /e /r /s</v>
      </c>
      <c r="AG101" s="1" t="str">
        <f t="shared" si="39"/>
        <v>EC</v>
      </c>
      <c r="AH101" s="100" t="str">
        <f t="shared" si="29"/>
        <v>"%USERPROFILE%\Documents\GitHub\eaglep3\Utilities\RefineRTDCRunTimes.py" --tripid 188-14 --locoid 4004 --swversion DE.1.0.7.0 --startMP 204:232983 --initTime 2016-09-14T15:13:55 --startdatetime 2016-09-14T15:26:15 --delay 1 --endMP 204:143 --enddatetime 2016-09-14T16:04:57 --enforcementcount 0 &gt;&gt;C:\Users\stu\Documents\GitHub\eaglep3-reporting\EC\2016-09-14-refined-times.txt</v>
      </c>
      <c r="AI101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{"issue":{"subject":"","project_id":79,"tracker_id":40,"status_id":1,"priority_id":2,"assigned_to_id":23,"start_date":"2016-09-14","description":"","custom_fields":[{"id":1,"name":"Subdivision","value":"EC"},{"id":4,"name":"Milepost","value":"0.0143"},{"id":17,"name":"Train ID","value":"188-14"},{"id":16,"name":"Locomotive ID","value":"4004"},{"id":130,"name":"Impact","value":""},{"id":150,"name":"Time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504</v>
      </c>
      <c r="B102" s="7">
        <v>4014</v>
      </c>
      <c r="C102" s="24" t="s">
        <v>108</v>
      </c>
      <c r="D102" s="24" t="s">
        <v>252</v>
      </c>
      <c r="E102" s="15">
        <v>42627.612280092595</v>
      </c>
      <c r="F102" s="15">
        <v>42627.61478009259</v>
      </c>
      <c r="G102" s="7">
        <v>1</v>
      </c>
      <c r="H102" s="15" t="s">
        <v>260</v>
      </c>
      <c r="I102" s="15">
        <v>42627.639965277776</v>
      </c>
      <c r="J102" s="7">
        <v>0</v>
      </c>
      <c r="K102" s="121" t="str">
        <f t="shared" si="30"/>
        <v>4013/4014</v>
      </c>
      <c r="L102" s="24" t="str">
        <f>VLOOKUP(A102,'Trips&amp;Operators'!$C$1:$E$10000,3,FALSE)</f>
        <v>BARTLETT</v>
      </c>
      <c r="M102" s="6">
        <f t="shared" si="31"/>
        <v>2.5185185186273884E-2</v>
      </c>
      <c r="N102" s="7">
        <f t="shared" si="45"/>
        <v>36.266666668234393</v>
      </c>
      <c r="O102" s="7"/>
      <c r="P102" s="7"/>
      <c r="Q102" s="25"/>
      <c r="R102" s="25"/>
      <c r="S102" s="37">
        <f t="shared" si="28"/>
        <v>1</v>
      </c>
      <c r="T102" s="52" t="str">
        <f t="shared" si="32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13:41:41-0600',mode:absolute,to:'2016-09-14 16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2" s="54" t="str">
        <f t="shared" si="48"/>
        <v>N</v>
      </c>
      <c r="X102" s="168">
        <f t="shared" si="46"/>
        <v>1</v>
      </c>
      <c r="Y102" s="69">
        <f t="shared" si="47"/>
        <v>4.7300000000000002E-2</v>
      </c>
      <c r="Z102" s="69">
        <f t="shared" si="41"/>
        <v>23.329499999999999</v>
      </c>
      <c r="AA102" s="69">
        <f t="shared" si="35"/>
        <v>23.2822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6"/>
        <v>0189-14</v>
      </c>
      <c r="AE102" s="99" t="str">
        <f t="shared" si="37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102" s="96" t="str">
        <f t="shared" si="38"/>
        <v>"C:\Program Files (x86)\AstroGrep\AstroGrep.exe" /spath="%USERPROFILE%\AppData\Local\Temp\OnboardLogs" /stypes="app*4014*20160914*" /stext=" 21:.+((SYSTEM_STATE.+slice.+state.+changed )|(ment ac)|(system.+state.+changed )|(\|lc)|(penalty)|(\[timeout)|(PRM\|1\|D)|(kpr)|(kdp))" /e /r /s</v>
      </c>
      <c r="AG102" s="1" t="str">
        <f t="shared" si="39"/>
        <v>EC</v>
      </c>
      <c r="AH102" s="100" t="str">
        <f t="shared" si="29"/>
        <v>"%USERPROFILE%\Documents\GitHub\eaglep3\Utilities\RefineRTDCRunTimes.py" --tripid 189-14 --locoid 4014 --swversion DE.1.0.7.0 --startMP 204:473 --initTime 2016-09-14T14:41:41 --startdatetime 2016-09-14T14:45:17 --delay 1 --endMP 204:233295 --enddatetime 2016-09-14T15:21:33 --enforcementcount 0 &gt;&gt;C:\Users\stu\Documents\GitHub\eaglep3-reporting\EC\2016-09-14-refined-times.txt</v>
      </c>
      <c r="AI102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{"issue":{"subject":"","project_id":79,"tracker_id":40,"status_id":1,"priority_id":2,"assigned_to_id":23,"start_date":"2016-09-14","description":"","custom_fields":[{"id":1,"name":"Subdivision","value":"EC"},{"id":4,"name":"Milepost","value":"23.3295"},{"id":17,"name":"Train ID","value":"189-14"},{"id":16,"name":"Locomotive ID","value":"4014"},{"id":130,"name":"Impact","value":""},{"id":150,"name":"Time of Event (Mountain Time)","value":"15:21:33"},{"id":151,"name":"Denver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511</v>
      </c>
      <c r="B103" s="7">
        <v>4013</v>
      </c>
      <c r="C103" s="24" t="s">
        <v>108</v>
      </c>
      <c r="D103" s="24" t="s">
        <v>224</v>
      </c>
      <c r="E103" s="15">
        <v>42627.641539351855</v>
      </c>
      <c r="F103" s="15">
        <v>42627.653715277775</v>
      </c>
      <c r="G103" s="7">
        <v>1</v>
      </c>
      <c r="H103" s="15" t="s">
        <v>233</v>
      </c>
      <c r="I103" s="15">
        <v>42627.683912037035</v>
      </c>
      <c r="J103" s="7">
        <v>0</v>
      </c>
      <c r="K103" s="121" t="str">
        <f t="shared" si="30"/>
        <v>4013/4014</v>
      </c>
      <c r="L103" s="24" t="str">
        <f>VLOOKUP(A103,'Trips&amp;Operators'!$C$1:$E$10000,3,FALSE)</f>
        <v>BARTLETT</v>
      </c>
      <c r="M103" s="6">
        <f t="shared" si="31"/>
        <v>3.0196759260434192E-2</v>
      </c>
      <c r="N103" s="7">
        <f t="shared" si="45"/>
        <v>43.483333335025236</v>
      </c>
      <c r="O103" s="7"/>
      <c r="P103" s="7"/>
      <c r="Q103" s="25"/>
      <c r="R103" s="25"/>
      <c r="S103" s="37">
        <f t="shared" si="28"/>
        <v>1</v>
      </c>
      <c r="T103" s="52" t="str">
        <f t="shared" si="32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14:23:49-0600',mode:absolute,to:'2016-09-14 17:24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3" s="54" t="str">
        <f t="shared" si="48"/>
        <v>N</v>
      </c>
      <c r="X103" s="168">
        <f t="shared" si="46"/>
        <v>1</v>
      </c>
      <c r="Y103" s="69">
        <f t="shared" si="47"/>
        <v>23.298200000000001</v>
      </c>
      <c r="Z103" s="69">
        <f t="shared" si="41"/>
        <v>1.4999999999999999E-2</v>
      </c>
      <c r="AA103" s="69">
        <f t="shared" si="35"/>
        <v>23.283200000000001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6"/>
        <v>0190-14</v>
      </c>
      <c r="AE103" s="99" t="str">
        <f t="shared" si="37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103" s="96" t="str">
        <f t="shared" si="38"/>
        <v>"C:\Program Files (x86)\AstroGrep\AstroGrep.exe" /spath="%USERPROFILE%\AppData\Local\Temp\OnboardLogs" /stypes="app*4013*20160914*" /stext=" 22:.+((SYSTEM_STATE.+slice.+state.+changed )|(ment ac)|(system.+state.+changed )|(\|lc)|(penalty)|(\[timeout)|(PRM\|1\|D)|(kpr)|(kdp))" /e /r /s</v>
      </c>
      <c r="AG103" s="1" t="str">
        <f t="shared" si="39"/>
        <v>EC</v>
      </c>
      <c r="AH103" s="100" t="str">
        <f t="shared" si="29"/>
        <v>"%USERPROFILE%\Documents\GitHub\eaglep3\Utilities\RefineRTDCRunTimes.py" --tripid 190-14 --locoid 4013 --swversion DE.1.0.7.0 --startMP 204:232982 --initTime 2016-09-14T15:23:49 --startdatetime 2016-09-14T15:41:21 --delay 1 --endMP 204:150 --enddatetime 2016-09-14T16:24:50 --enforcementcount 0 &gt;&gt;C:\Users\stu\Documents\GitHub\eaglep3-reporting\EC\2016-09-14-refined-times.txt</v>
      </c>
      <c r="AI103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{"issue":{"subject":"","project_id":79,"tracker_id":40,"status_id":1,"priority_id":2,"assigned_to_id":23,"start_date":"2016-09-14","description":"","custom_fields":[{"id":1,"name":"Subdivision","value":"EC"},{"id":4,"name":"Milepost","value":"0.015"},{"id":17,"name":"Train ID","value":"190-14"},{"id":16,"name":"Locomotive ID","value":"4013"},{"id":130,"name":"Impact","value":""},{"id":150,"name":"Time of Event (Mountain Time)","value":"16:24:50"},{"id":151,"name":"Denver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507</v>
      </c>
      <c r="B104" s="7">
        <v>4053</v>
      </c>
      <c r="C104" s="24" t="s">
        <v>108</v>
      </c>
      <c r="D104" s="24" t="s">
        <v>646</v>
      </c>
      <c r="E104" s="15">
        <v>42627.62190972222</v>
      </c>
      <c r="F104" s="15">
        <v>42627.625810185185</v>
      </c>
      <c r="G104" s="7">
        <v>1</v>
      </c>
      <c r="H104" s="15" t="s">
        <v>232</v>
      </c>
      <c r="I104" s="15">
        <v>42627.651238425926</v>
      </c>
      <c r="J104" s="7">
        <v>0</v>
      </c>
      <c r="K104" s="121" t="str">
        <f t="shared" si="30"/>
        <v>4053/4054</v>
      </c>
      <c r="L104" s="24" t="str">
        <f>VLOOKUP(A104,'Trips&amp;Operators'!$C$1:$E$10000,3,FALSE)</f>
        <v>BERLING</v>
      </c>
      <c r="M104" s="6">
        <f t="shared" si="31"/>
        <v>2.5428240740438923E-2</v>
      </c>
      <c r="N104" s="7">
        <f t="shared" si="45"/>
        <v>36.616666666232049</v>
      </c>
      <c r="O104" s="7"/>
      <c r="P104" s="7"/>
      <c r="Q104" s="25"/>
      <c r="R104" s="25"/>
      <c r="S104" s="37">
        <f t="shared" si="28"/>
        <v>1</v>
      </c>
      <c r="T104" s="52" t="str">
        <f t="shared" si="32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13:55:33-0600',mode:absolute,to:'2016-09-14 16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4" s="54" t="str">
        <f t="shared" si="48"/>
        <v>N</v>
      </c>
      <c r="X104" s="168">
        <f t="shared" si="46"/>
        <v>1</v>
      </c>
      <c r="Y104" s="69">
        <f t="shared" si="47"/>
        <v>4.8800000000000003E-2</v>
      </c>
      <c r="Z104" s="69">
        <f t="shared" si="41"/>
        <v>23.330200000000001</v>
      </c>
      <c r="AA104" s="69">
        <f t="shared" si="35"/>
        <v>23.281400000000001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6"/>
        <v>0191-14</v>
      </c>
      <c r="AE104" s="99" t="str">
        <f t="shared" si="37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104" s="96" t="str">
        <f t="shared" si="38"/>
        <v>"C:\Program Files (x86)\AstroGrep\AstroGrep.exe" /spath="%USERPROFILE%\AppData\Local\Temp\OnboardLogs" /stypes="app*4053*20160914*" /stext=" 21:.+((SYSTEM_STATE.+slice.+state.+changed )|(ment ac)|(system.+state.+changed )|(\|lc)|(penalty)|(\[timeout)|(PRM\|1\|D)|(kpr)|(kdp))" /e /r /s</v>
      </c>
      <c r="AG104" s="1" t="str">
        <f t="shared" si="39"/>
        <v>EC</v>
      </c>
      <c r="AH104" s="100" t="str">
        <f t="shared" si="29"/>
        <v>"%USERPROFILE%\Documents\GitHub\eaglep3\Utilities\RefineRTDCRunTimes.py" --tripid 191-14 --locoid 4053 --swversion DE.1.0.7.0 --startMP 204:488 --initTime 2016-09-14T14:55:33 --startdatetime 2016-09-14T15:01:10 --delay 1 --endMP 204:233302 --enddatetime 2016-09-14T15:37:47 --enforcementcount 0 &gt;&gt;C:\Users\stu\Documents\GitHub\eaglep3-reporting\EC\2016-09-14-refined-times.txt</v>
      </c>
      <c r="AI104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{"issue":{"subject":"","project_id":79,"tracker_id":40,"status_id":1,"priority_id":2,"assigned_to_id":23,"start_date":"2016-09-14","description":"","custom_fields":[{"id":1,"name":"Subdivision","value":"EC"},{"id":4,"name":"Milepost","value":"23.3302"},{"id":17,"name":"Train ID","value":"191-14"},{"id":16,"name":"Locomotive ID","value":"4053"},{"id":130,"name":"Impact","value":""},{"id":150,"name":"Time of Event (Mountain Time)","value":"15:37:47"},{"id":151,"name":"Denver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517</v>
      </c>
      <c r="B105" s="7">
        <v>4054</v>
      </c>
      <c r="C105" s="24" t="s">
        <v>108</v>
      </c>
      <c r="D105" s="24" t="s">
        <v>285</v>
      </c>
      <c r="E105" s="15">
        <v>42627.658159722225</v>
      </c>
      <c r="F105" s="15">
        <v>42627.664074074077</v>
      </c>
      <c r="G105" s="7">
        <v>1</v>
      </c>
      <c r="H105" s="15" t="s">
        <v>233</v>
      </c>
      <c r="I105" s="15">
        <v>42627.691342592596</v>
      </c>
      <c r="J105" s="7">
        <v>0</v>
      </c>
      <c r="K105" s="121" t="str">
        <f t="shared" si="30"/>
        <v>4053/4054</v>
      </c>
      <c r="L105" s="24" t="str">
        <f>VLOOKUP(A105,'Trips&amp;Operators'!$C$1:$E$10000,3,FALSE)</f>
        <v>BERLING</v>
      </c>
      <c r="M105" s="6">
        <f t="shared" si="31"/>
        <v>2.7268518519122154E-2</v>
      </c>
      <c r="N105" s="7">
        <f t="shared" si="45"/>
        <v>39.266666667535901</v>
      </c>
      <c r="O105" s="7"/>
      <c r="P105" s="7"/>
      <c r="Q105" s="25"/>
      <c r="R105" s="25"/>
      <c r="S105" s="37">
        <f t="shared" si="28"/>
        <v>1</v>
      </c>
      <c r="T105" s="52" t="str">
        <f t="shared" si="32"/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14:47:45-0600',mode:absolute,to:'2016-09-14 17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05" s="54" t="str">
        <f t="shared" si="48"/>
        <v>N</v>
      </c>
      <c r="X105" s="168">
        <f t="shared" si="46"/>
        <v>1</v>
      </c>
      <c r="Y105" s="69">
        <f t="shared" si="47"/>
        <v>23.3</v>
      </c>
      <c r="Z105" s="69">
        <f t="shared" si="41"/>
        <v>1.4999999999999999E-2</v>
      </c>
      <c r="AA105" s="69">
        <f t="shared" si="35"/>
        <v>23.285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6"/>
        <v>0192-14</v>
      </c>
      <c r="AE105" s="99" t="str">
        <f t="shared" si="37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105" s="96" t="str">
        <f t="shared" si="38"/>
        <v>"C:\Program Files (x86)\AstroGrep\AstroGrep.exe" /spath="%USERPROFILE%\AppData\Local\Temp\OnboardLogs" /stypes="app*4054*20160914*" /stext=" 22:.+((SYSTEM_STATE.+slice.+state.+changed )|(ment ac)|(system.+state.+changed )|(\|lc)|(penalty)|(\[timeout)|(PRM\|1\|D)|(kpr)|(kdp))" /e /r /s</v>
      </c>
      <c r="AG105" s="1" t="str">
        <f t="shared" si="39"/>
        <v>EC</v>
      </c>
      <c r="AH105" s="100" t="str">
        <f t="shared" si="29"/>
        <v>"%USERPROFILE%\Documents\GitHub\eaglep3\Utilities\RefineRTDCRunTimes.py" --tripid 192-14 --locoid 4054 --swversion DE.1.0.7.0 --startMP 204:233000 --initTime 2016-09-14T15:47:45 --startdatetime 2016-09-14T15:56:16 --delay 1 --endMP 204:150 --enddatetime 2016-09-14T16:35:32 --enforcementcount 0 &gt;&gt;C:\Users\stu\Documents\GitHub\eaglep3-reporting\EC\2016-09-14-refined-times.txt</v>
      </c>
      <c r="AI105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{"issue":{"subject":"","project_id":79,"tracker_id":40,"status_id":1,"priority_id":2,"assigned_to_id":23,"start_date":"2016-09-14","description":"","custom_fields":[{"id":1,"name":"Subdivision","value":"EC"},{"id":4,"name":"Milepost","value":"0.015"},{"id":17,"name":"Train ID","value":"192-14"},{"id":16,"name":"Locomotive ID","value":"4054"},{"id":130,"name":"Impact","value":""},{"id":150,"name":"Time of Event (Mountain Time)","value":"16:35:32"},{"id":151,"name":"Denver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508</v>
      </c>
      <c r="B106" s="7">
        <v>4040</v>
      </c>
      <c r="C106" s="24" t="s">
        <v>108</v>
      </c>
      <c r="D106" s="24" t="s">
        <v>647</v>
      </c>
      <c r="E106" s="15">
        <v>42627.633252314816</v>
      </c>
      <c r="F106" s="15">
        <v>42627.635972222219</v>
      </c>
      <c r="G106" s="7">
        <v>1</v>
      </c>
      <c r="H106" s="15" t="s">
        <v>648</v>
      </c>
      <c r="I106" s="15">
        <v>42627.660682870373</v>
      </c>
      <c r="J106" s="7">
        <v>0</v>
      </c>
      <c r="K106" s="121" t="str">
        <f t="shared" si="30"/>
        <v>4039/4040</v>
      </c>
      <c r="L106" s="24" t="str">
        <f>VLOOKUP(A106,'Trips&amp;Operators'!$C$1:$E$10000,3,FALSE)</f>
        <v>STAMBAUGH</v>
      </c>
      <c r="M106" s="6">
        <f t="shared" si="31"/>
        <v>2.4710648154723458E-2</v>
      </c>
      <c r="N106" s="7">
        <f t="shared" si="45"/>
        <v>35.58333334280178</v>
      </c>
      <c r="O106" s="7"/>
      <c r="P106" s="7"/>
      <c r="Q106" s="25"/>
      <c r="R106" s="25"/>
      <c r="S106" s="37">
        <f t="shared" si="28"/>
        <v>1</v>
      </c>
      <c r="T106" s="52" t="str">
        <f t="shared" si="32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14:11:53-0600',mode:absolute,to:'2016-09-14 16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6" s="54" t="str">
        <f t="shared" si="48"/>
        <v>N</v>
      </c>
      <c r="X106" s="168">
        <f t="shared" si="46"/>
        <v>1</v>
      </c>
      <c r="Y106" s="69">
        <f t="shared" si="47"/>
        <v>4.1300000000000003E-2</v>
      </c>
      <c r="Z106" s="69">
        <f t="shared" si="41"/>
        <v>23.333400000000001</v>
      </c>
      <c r="AA106" s="69">
        <f t="shared" si="35"/>
        <v>23.292100000000001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6"/>
        <v>0193-14</v>
      </c>
      <c r="AE106" s="99" t="str">
        <f t="shared" si="37"/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AF106" s="96" t="str">
        <f t="shared" si="38"/>
        <v>"C:\Program Files (x86)\AstroGrep\AstroGrep.exe" /spath="%USERPROFILE%\AppData\Local\Temp\OnboardLogs" /stypes="app*4040*20160914*" /stext=" 21:.+((SYSTEM_STATE.+slice.+state.+changed )|(ment ac)|(system.+state.+changed )|(\|lc)|(penalty)|(\[timeout)|(PRM\|1\|D)|(kpr)|(kdp))" /e /r /s</v>
      </c>
      <c r="AG106" s="1" t="str">
        <f t="shared" si="39"/>
        <v>EC</v>
      </c>
      <c r="AH106" s="100" t="str">
        <f t="shared" si="29"/>
        <v>"%USERPROFILE%\Documents\GitHub\eaglep3\Utilities\RefineRTDCRunTimes.py" --tripid 193-14 --locoid 4040 --swversion DE.1.0.7.0 --startMP 204:413 --initTime 2016-09-14T15:11:53 --startdatetime 2016-09-14T15:15:48 --delay 1 --endMP 204:233334 --enddatetime 2016-09-14T15:51:23 --enforcementcount 0 &gt;&gt;C:\Users\stu\Documents\GitHub\eaglep3-reporting\EC\2016-09-14-refined-times.txt</v>
      </c>
      <c r="AI106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{"issue":{"subject":"","project_id":79,"tracker_id":40,"status_id":1,"priority_id":2,"assigned_to_id":23,"start_date":"2016-09-14","description":"","custom_fields":[{"id":1,"name":"Subdivision","value":"EC"},{"id":4,"name":"Milepost","value":"23.3334"},{"id":17,"name":"Train ID","value":"193-14"},{"id":16,"name":"Locomotive ID","value":"4040"},{"id":130,"name":"Impact","value":""},{"id":150,"name":"Time of Event (Mountain Time)","value":"15:51:23"},{"id":151,"name":"Denver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519</v>
      </c>
      <c r="B107" s="7">
        <v>4039</v>
      </c>
      <c r="C107" s="24" t="s">
        <v>108</v>
      </c>
      <c r="D107" s="24" t="s">
        <v>288</v>
      </c>
      <c r="E107" s="15">
        <v>42627.670682870368</v>
      </c>
      <c r="F107" s="15">
        <v>42627.674664351849</v>
      </c>
      <c r="G107" s="7">
        <v>1</v>
      </c>
      <c r="H107" s="15" t="s">
        <v>649</v>
      </c>
      <c r="I107" s="15">
        <v>42627.703275462962</v>
      </c>
      <c r="J107" s="7">
        <v>0</v>
      </c>
      <c r="K107" s="121" t="str">
        <f t="shared" si="30"/>
        <v>4039/4040</v>
      </c>
      <c r="L107" s="24" t="str">
        <f>VLOOKUP(A107,'Trips&amp;Operators'!$C$1:$E$10000,3,FALSE)</f>
        <v>STAMBAUGH</v>
      </c>
      <c r="M107" s="6">
        <f t="shared" si="31"/>
        <v>2.8611111112695653E-2</v>
      </c>
      <c r="N107" s="7">
        <f t="shared" si="45"/>
        <v>41.20000000228174</v>
      </c>
      <c r="O107" s="7"/>
      <c r="P107" s="7"/>
      <c r="Q107" s="25"/>
      <c r="R107" s="25"/>
      <c r="S107" s="37">
        <f t="shared" si="28"/>
        <v>1</v>
      </c>
      <c r="T107" s="52" t="str">
        <f t="shared" si="32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15:05:47-0600',mode:absolute,to:'2016-09-14 17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7" s="54" t="str">
        <f t="shared" si="48"/>
        <v>N</v>
      </c>
      <c r="X107" s="168">
        <f t="shared" si="46"/>
        <v>1</v>
      </c>
      <c r="Y107" s="69">
        <f t="shared" si="47"/>
        <v>23.3017</v>
      </c>
      <c r="Z107" s="69">
        <f t="shared" si="41"/>
        <v>1.18E-2</v>
      </c>
      <c r="AA107" s="69">
        <f t="shared" si="35"/>
        <v>23.289899999999999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6"/>
        <v>0194-14</v>
      </c>
      <c r="AE107" s="99" t="str">
        <f t="shared" si="37"/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AF107" s="96" t="str">
        <f t="shared" si="38"/>
        <v>"C:\Program Files (x86)\AstroGrep\AstroGrep.exe" /spath="%USERPROFILE%\AppData\Local\Temp\OnboardLogs" /stypes="app*4039*20160914*" /stext=" 22:.+((SYSTEM_STATE.+slice.+state.+changed )|(ment ac)|(system.+state.+changed )|(\|lc)|(penalty)|(\[timeout)|(PRM\|1\|D)|(kpr)|(kdp))" /e /r /s</v>
      </c>
      <c r="AG107" s="1" t="str">
        <f t="shared" si="39"/>
        <v>EC</v>
      </c>
      <c r="AH107" s="100" t="str">
        <f t="shared" si="29"/>
        <v>"%USERPROFILE%\Documents\GitHub\eaglep3\Utilities\RefineRTDCRunTimes.py" --tripid 194-14 --locoid 4039 --swversion DE.1.0.7.0 --startMP 204:233017 --initTime 2016-09-14T16:05:47 --startdatetime 2016-09-14T16:11:31 --delay 1 --endMP 204:118 --enddatetime 2016-09-14T16:52:43 --enforcementcount 0 &gt;&gt;C:\Users\stu\Documents\GitHub\eaglep3-reporting\EC\2016-09-14-refined-times.txt</v>
      </c>
      <c r="AI107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{"issue":{"subject":"","project_id":79,"tracker_id":40,"status_id":1,"priority_id":2,"assigned_to_id":23,"start_date":"2016-09-14","description":"","custom_fields":[{"id":1,"name":"Subdivision","value":"EC"},{"id":4,"name":"Milepost","value":"0.0118"},{"id":17,"name":"Train ID","value":"194-14"},{"id":16,"name":"Locomotive ID","value":"4039"},{"id":130,"name":"Impact","value":""},{"id":150,"name":"Time of Event (Mountain Time)","value":"16:52:43"},{"id":151,"name":"Denver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512</v>
      </c>
      <c r="B108" s="7">
        <v>4044</v>
      </c>
      <c r="C108" s="24" t="s">
        <v>108</v>
      </c>
      <c r="D108" s="24" t="s">
        <v>359</v>
      </c>
      <c r="E108" s="15">
        <v>42627.647939814815</v>
      </c>
      <c r="F108" s="15">
        <v>42627.650613425925</v>
      </c>
      <c r="G108" s="7">
        <v>1</v>
      </c>
      <c r="H108" s="15" t="s">
        <v>355</v>
      </c>
      <c r="I108" s="15">
        <v>42627.677303240744</v>
      </c>
      <c r="J108" s="7">
        <v>0</v>
      </c>
      <c r="K108" s="121" t="str">
        <f t="shared" si="30"/>
        <v>4043/4044</v>
      </c>
      <c r="L108" s="24" t="str">
        <f>VLOOKUP(A108,'Trips&amp;Operators'!$C$1:$E$10000,3,FALSE)</f>
        <v>HILLS</v>
      </c>
      <c r="M108" s="6">
        <f t="shared" si="31"/>
        <v>2.6689814818382729E-2</v>
      </c>
      <c r="N108" s="7">
        <f t="shared" si="45"/>
        <v>38.43333333847113</v>
      </c>
      <c r="O108" s="7"/>
      <c r="P108" s="7"/>
      <c r="Q108" s="25"/>
      <c r="R108" s="25"/>
      <c r="S108" s="37">
        <f t="shared" ref="S108:S132" si="49">SUM(U108:U108)/IF(AG108="EC",12,1)</f>
        <v>1</v>
      </c>
      <c r="T108" s="52" t="str">
        <f t="shared" si="32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14:33:02-0600',mode:absolute,to:'2016-09-14 17:15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8" s="54" t="str">
        <f t="shared" si="48"/>
        <v>N</v>
      </c>
      <c r="X108" s="168">
        <f t="shared" si="46"/>
        <v>1</v>
      </c>
      <c r="Y108" s="69">
        <f t="shared" si="47"/>
        <v>4.3999999999999997E-2</v>
      </c>
      <c r="Z108" s="69">
        <f t="shared" si="41"/>
        <v>23.331900000000001</v>
      </c>
      <c r="AA108" s="69">
        <f t="shared" si="35"/>
        <v>23.2879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6"/>
        <v>0195-14</v>
      </c>
      <c r="AE108" s="99" t="str">
        <f t="shared" si="37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108" s="96" t="str">
        <f t="shared" si="38"/>
        <v>"C:\Program Files (x86)\AstroGrep\AstroGrep.exe" /spath="%USERPROFILE%\AppData\Local\Temp\OnboardLogs" /stypes="app*4044*20160914*" /stext=" 22:.+((SYSTEM_STATE.+slice.+state.+changed )|(ment ac)|(system.+state.+changed )|(\|lc)|(penalty)|(\[timeout)|(PRM\|1\|D)|(kpr)|(kdp))" /e /r /s</v>
      </c>
      <c r="AG108" s="1" t="str">
        <f t="shared" si="39"/>
        <v>EC</v>
      </c>
      <c r="AH108" s="100" t="str">
        <f t="shared" si="29"/>
        <v>"%USERPROFILE%\Documents\GitHub\eaglep3\Utilities\RefineRTDCRunTimes.py" --tripid 195-14 --locoid 4044 --swversion DE.1.0.7.0 --startMP 204:440 --initTime 2016-09-14T15:33:02 --startdatetime 2016-09-14T15:36:53 --delay 1 --endMP 204:233319 --enddatetime 2016-09-14T16:15:19 --enforcementcount 0 &gt;&gt;C:\Users\stu\Documents\GitHub\eaglep3-reporting\EC\2016-09-14-refined-times.txt</v>
      </c>
      <c r="AI108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{"issue":{"subject":"","project_id":79,"tracker_id":40,"status_id":1,"priority_id":2,"assigned_to_id":23,"start_date":"2016-09-14","description":"","custom_fields":[{"id":1,"name":"Subdivision","value":"EC"},{"id":4,"name":"Milepost","value":"23.3319"},{"id":17,"name":"Train ID","value":"195-14"},{"id":16,"name":"Locomotive ID","value":"4044"},{"id":130,"name":"Impact","value":""},{"id":150,"name":"Time of Event (Mountain Time)","value":"16:15:19"},{"id":151,"name":"Denver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523</v>
      </c>
      <c r="B109" s="7">
        <v>4043</v>
      </c>
      <c r="C109" s="24" t="s">
        <v>108</v>
      </c>
      <c r="D109" s="24" t="s">
        <v>650</v>
      </c>
      <c r="E109" s="15">
        <v>42627.679178240738</v>
      </c>
      <c r="F109" s="15">
        <v>42627.685115740744</v>
      </c>
      <c r="G109" s="7">
        <v>1</v>
      </c>
      <c r="H109" s="15" t="s">
        <v>272</v>
      </c>
      <c r="I109" s="15">
        <v>42627.712916666664</v>
      </c>
      <c r="J109" s="7">
        <v>0</v>
      </c>
      <c r="K109" s="121" t="str">
        <f t="shared" si="30"/>
        <v>4043/4044</v>
      </c>
      <c r="L109" s="24" t="str">
        <f>VLOOKUP(A109,'Trips&amp;Operators'!$C$1:$E$10000,3,FALSE)</f>
        <v>HILLS</v>
      </c>
      <c r="M109" s="6">
        <f t="shared" si="31"/>
        <v>2.7800925920018926E-2</v>
      </c>
      <c r="N109" s="7">
        <f t="shared" si="45"/>
        <v>40.033333324827254</v>
      </c>
      <c r="O109" s="7"/>
      <c r="P109" s="7"/>
      <c r="Q109" s="25"/>
      <c r="R109" s="25"/>
      <c r="S109" s="37">
        <f t="shared" si="49"/>
        <v>1</v>
      </c>
      <c r="T109" s="52" t="str">
        <f t="shared" si="32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15:18:01-0600',mode:absolute,to:'2016-09-14 18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9" s="54" t="str">
        <f t="shared" si="48"/>
        <v>N</v>
      </c>
      <c r="X109" s="168">
        <f t="shared" si="46"/>
        <v>1</v>
      </c>
      <c r="Y109" s="69">
        <f t="shared" si="47"/>
        <v>23.299800000000001</v>
      </c>
      <c r="Z109" s="69">
        <f t="shared" si="41"/>
        <v>1.38E-2</v>
      </c>
      <c r="AA109" s="69">
        <f t="shared" si="35"/>
        <v>23.286000000000001</v>
      </c>
      <c r="AB109" s="66" t="str">
        <f>VLOOKUP(A109,Enforcements!$C$7:$K$20,8,0)</f>
        <v>Bulletin (2)</v>
      </c>
      <c r="AC109" s="62" t="str">
        <f>VLOOKUP(A109,Enforcements!$C$7:$E$20,3,0)</f>
        <v>GRADE CROSSING</v>
      </c>
      <c r="AD109" s="63" t="str">
        <f t="shared" si="36"/>
        <v>0196-14</v>
      </c>
      <c r="AE109" s="99" t="str">
        <f t="shared" si="37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109" s="96" t="str">
        <f t="shared" si="38"/>
        <v>"C:\Program Files (x86)\AstroGrep\AstroGrep.exe" /spath="%USERPROFILE%\AppData\Local\Temp\OnboardLogs" /stypes="app*4043*20160914*" /stext=" 23:.+((SYSTEM_STATE.+slice.+state.+changed )|(ment ac)|(system.+state.+changed )|(\|lc)|(penalty)|(\[timeout)|(PRM\|1\|D)|(kpr)|(kdp))" /e /r /s</v>
      </c>
      <c r="AG109" s="1" t="str">
        <f t="shared" si="39"/>
        <v>EC</v>
      </c>
      <c r="AH109" s="100" t="str">
        <f t="shared" si="29"/>
        <v>"%USERPROFILE%\Documents\GitHub\eaglep3\Utilities\RefineRTDCRunTimes.py" --tripid 196-14 --locoid 4043 --swversion DE.1.0.7.0 --startMP 204:232998 --initTime 2016-09-14T16:18:01 --startdatetime 2016-09-14T16:26:34 --delay 1 --endMP 204:138 --enddatetime 2016-09-14T17:06:36 --enforcementcount 0 &gt;&gt;C:\Users\stu\Documents\GitHub\eaglep3-reporting\EC\2016-09-14-refined-times.txt</v>
      </c>
      <c r="AI109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{"issue":{"subject":"","project_id":79,"tracker_id":40,"status_id":1,"priority_id":2,"assigned_to_id":23,"start_date":"2016-09-14","description":"","custom_fields":[{"id":1,"name":"Subdivision","value":"EC"},{"id":4,"name":"Milepost","value":"0.0138"},{"id":17,"name":"Train ID","value":"196-14"},{"id":16,"name":"Locomotive ID","value":"4043"},{"id":130,"name":"Impact","value":""},{"id":150,"name":"Time of Event (Mountain Time)","value":"17:06:36"},{"id":151,"name":"Denver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515</v>
      </c>
      <c r="B110" s="7">
        <v>4042</v>
      </c>
      <c r="C110" s="24" t="s">
        <v>108</v>
      </c>
      <c r="D110" s="24" t="s">
        <v>239</v>
      </c>
      <c r="E110" s="15">
        <v>42627.652187500003</v>
      </c>
      <c r="F110" s="15">
        <v>42627.656550925924</v>
      </c>
      <c r="G110" s="7">
        <v>1</v>
      </c>
      <c r="H110" s="15" t="s">
        <v>260</v>
      </c>
      <c r="I110" s="15">
        <v>42627.681250000001</v>
      </c>
      <c r="J110" s="7">
        <v>0</v>
      </c>
      <c r="K110" s="121" t="str">
        <f t="shared" si="30"/>
        <v>4041/4042</v>
      </c>
      <c r="L110" s="24" t="str">
        <f>VLOOKUP(A110,'Trips&amp;Operators'!$C$1:$E$10000,3,FALSE)</f>
        <v>BRUDER</v>
      </c>
      <c r="M110" s="6">
        <f t="shared" si="31"/>
        <v>2.4699074077943806E-2</v>
      </c>
      <c r="N110" s="7">
        <f t="shared" si="45"/>
        <v>35.56666667223908</v>
      </c>
      <c r="O110" s="7"/>
      <c r="P110" s="7"/>
      <c r="Q110" s="25"/>
      <c r="R110" s="25"/>
      <c r="S110" s="37">
        <f t="shared" si="49"/>
        <v>1</v>
      </c>
      <c r="T110" s="52" t="str">
        <f t="shared" si="32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14:39:09-0600',mode:absolute,to:'2016-09-14 17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0" s="54" t="str">
        <f t="shared" si="48"/>
        <v>N</v>
      </c>
      <c r="X110" s="168">
        <f t="shared" si="46"/>
        <v>1</v>
      </c>
      <c r="Y110" s="69">
        <f t="shared" si="47"/>
        <v>4.4699999999999997E-2</v>
      </c>
      <c r="Z110" s="69">
        <f t="shared" si="41"/>
        <v>23.329499999999999</v>
      </c>
      <c r="AA110" s="69">
        <f t="shared" si="35"/>
        <v>23.284800000000001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36"/>
        <v>0197-14</v>
      </c>
      <c r="AE110" s="99" t="str">
        <f t="shared" si="37"/>
        <v>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 &amp; 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</v>
      </c>
      <c r="AF110" s="96" t="str">
        <f t="shared" si="38"/>
        <v>"C:\Program Files (x86)\AstroGrep\AstroGrep.exe" /spath="%USERPROFILE%\AppData\Local\Temp\OnboardLogs" /stypes="app*4042*20160914*" /stext=" 22:.+((SYSTEM_STATE.+slice.+state.+changed )|(ment ac)|(system.+state.+changed )|(\|lc)|(penalty)|(\[timeout)|(PRM\|1\|D)|(kpr)|(kdp))" /e /r /s</v>
      </c>
      <c r="AG110" s="1" t="str">
        <f t="shared" si="39"/>
        <v>EC</v>
      </c>
      <c r="AH110" s="100" t="str">
        <f t="shared" si="29"/>
        <v>"%USERPROFILE%\Documents\GitHub\eaglep3\Utilities\RefineRTDCRunTimes.py" --tripid 197-14 --locoid 4042 --swversion DE.1.0.7.0 --startMP 204:447 --initTime 2016-09-14T15:39:09 --startdatetime 2016-09-14T15:45:26 --delay 1 --endMP 204:233295 --enddatetime 2016-09-14T16:21:00 --enforcementcount 0 &gt;&gt;C:\Users\stu\Documents\GitHub\eaglep3-reporting\EC\2016-09-14-refined-times.txt</v>
      </c>
      <c r="AI110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{"issue":{"subject":"","project_id":79,"tracker_id":40,"status_id":1,"priority_id":2,"assigned_to_id":23,"start_date":"2016-09-14","description":"","custom_fields":[{"id":1,"name":"Subdivision","value":"EC"},{"id":4,"name":"Milepost","value":"23.3295"},{"id":17,"name":"Train ID","value":"197-14"},{"id":16,"name":"Locomotive ID","value":"4042"},{"id":130,"name":"Impact","value":""},{"id":150,"name":"Time of Event (Mountain Time)","value":"16:21:00"},{"id":151,"name":"Denver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525</v>
      </c>
      <c r="B111" s="7">
        <v>4041</v>
      </c>
      <c r="C111" s="24" t="s">
        <v>108</v>
      </c>
      <c r="D111" s="24" t="s">
        <v>273</v>
      </c>
      <c r="E111" s="15">
        <v>42627.689456018517</v>
      </c>
      <c r="F111" s="15">
        <v>42627.695324074077</v>
      </c>
      <c r="G111" s="7">
        <v>1</v>
      </c>
      <c r="H111" s="15" t="s">
        <v>230</v>
      </c>
      <c r="I111" s="15">
        <v>42627.721539351849</v>
      </c>
      <c r="J111" s="7">
        <v>0</v>
      </c>
      <c r="K111" s="121" t="str">
        <f t="shared" si="30"/>
        <v>4041/4042</v>
      </c>
      <c r="L111" s="24" t="str">
        <f>VLOOKUP(A111,'Trips&amp;Operators'!$C$1:$E$10000,3,FALSE)</f>
        <v>BRUDER</v>
      </c>
      <c r="M111" s="6">
        <f t="shared" si="31"/>
        <v>2.6215277772280388E-2</v>
      </c>
      <c r="N111" s="7">
        <f t="shared" si="45"/>
        <v>37.749999992083758</v>
      </c>
      <c r="O111" s="7"/>
      <c r="P111" s="7"/>
      <c r="Q111" s="25"/>
      <c r="R111" s="25"/>
      <c r="S111" s="37">
        <f t="shared" si="49"/>
        <v>1</v>
      </c>
      <c r="T111" s="52" t="str">
        <f t="shared" si="32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15:32:49-0600',mode:absolute,to:'2016-09-14 18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1" s="54" t="str">
        <f t="shared" si="48"/>
        <v>N</v>
      </c>
      <c r="X111" s="168">
        <f t="shared" si="46"/>
        <v>1</v>
      </c>
      <c r="Y111" s="69">
        <f t="shared" si="47"/>
        <v>23.297999999999998</v>
      </c>
      <c r="Z111" s="69">
        <f t="shared" si="41"/>
        <v>1.47E-2</v>
      </c>
      <c r="AA111" s="69">
        <f t="shared" si="35"/>
        <v>23.283299999999997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36"/>
        <v>0198-14</v>
      </c>
      <c r="AE111" s="99" t="str">
        <f t="shared" si="37"/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AF111" s="96" t="str">
        <f t="shared" si="38"/>
        <v>"C:\Program Files (x86)\AstroGrep\AstroGrep.exe" /spath="%USERPROFILE%\AppData\Local\Temp\OnboardLogs" /stypes="app*4041*20160914*" /stext=" 23:.+((SYSTEM_STATE.+slice.+state.+changed )|(ment ac)|(system.+state.+changed )|(\|lc)|(penalty)|(\[timeout)|(PRM\|1\|D)|(kpr)|(kdp))" /e /r /s</v>
      </c>
      <c r="AG111" s="1" t="str">
        <f t="shared" si="39"/>
        <v>EC</v>
      </c>
      <c r="AH111" s="100" t="str">
        <f t="shared" si="29"/>
        <v>"%USERPROFILE%\Documents\GitHub\eaglep3\Utilities\RefineRTDCRunTimes.py" --tripid 198-14 --locoid 4041 --swversion DE.1.0.7.0 --startMP 204:232980 --initTime 2016-09-14T16:32:49 --startdatetime 2016-09-14T16:41:16 --delay 1 --endMP 204:147 --enddatetime 2016-09-14T17:19:01 --enforcementcount 0 &gt;&gt;C:\Users\stu\Documents\GitHub\eaglep3-reporting\EC\2016-09-14-refined-times.txt</v>
      </c>
      <c r="AI111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{"issue":{"subject":"","project_id":79,"tracker_id":40,"status_id":1,"priority_id":2,"assigned_to_id":23,"start_date":"2016-09-14","description":"","custom_fields":[{"id":1,"name":"Subdivision","value":"EC"},{"id":4,"name":"Milepost","value":"0.0147"},{"id":17,"name":"Train ID","value":"198-14"},{"id":16,"name":"Locomotive ID","value":"4041"},{"id":130,"name":"Impact","value":""},{"id":150,"name":"Time of Event (Mountain Time)","value":"17:19:01"},{"id":151,"name":"Denver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518</v>
      </c>
      <c r="B112" s="7">
        <v>4027</v>
      </c>
      <c r="C112" s="24" t="s">
        <v>108</v>
      </c>
      <c r="D112" s="24" t="s">
        <v>278</v>
      </c>
      <c r="E112" s="15">
        <v>42627.66233796296</v>
      </c>
      <c r="F112" s="15">
        <v>42627.667210648149</v>
      </c>
      <c r="G112" s="7">
        <v>1</v>
      </c>
      <c r="H112" s="15" t="s">
        <v>232</v>
      </c>
      <c r="I112" s="15">
        <v>42627.698391203703</v>
      </c>
      <c r="J112" s="7">
        <v>0</v>
      </c>
      <c r="K112" s="121" t="str">
        <f t="shared" si="30"/>
        <v>4027/4028</v>
      </c>
      <c r="L112" s="24" t="str">
        <f>VLOOKUP(A112,'Trips&amp;Operators'!$C$1:$E$10000,3,FALSE)</f>
        <v>SWANSON</v>
      </c>
      <c r="M112" s="6">
        <f t="shared" si="31"/>
        <v>3.1180555553874001E-2</v>
      </c>
      <c r="N112" s="7">
        <f t="shared" si="45"/>
        <v>44.899999997578561</v>
      </c>
      <c r="O112" s="7"/>
      <c r="P112" s="7"/>
      <c r="Q112" s="25"/>
      <c r="R112" s="25"/>
      <c r="S112" s="37">
        <f t="shared" si="49"/>
        <v>1</v>
      </c>
      <c r="T112" s="52" t="str">
        <f t="shared" si="32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14:53:46-0600',mode:absolute,to:'2016-09-14 17:45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2" s="54" t="str">
        <f t="shared" si="48"/>
        <v>N</v>
      </c>
      <c r="X112" s="168">
        <f t="shared" si="46"/>
        <v>1</v>
      </c>
      <c r="Y112" s="69">
        <f t="shared" si="47"/>
        <v>4.4400000000000002E-2</v>
      </c>
      <c r="Z112" s="69">
        <f t="shared" si="41"/>
        <v>23.330200000000001</v>
      </c>
      <c r="AA112" s="69">
        <f t="shared" si="35"/>
        <v>23.285800000000002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36"/>
        <v>0199-14</v>
      </c>
      <c r="AE112" s="99" t="str">
        <f t="shared" si="37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112" s="96" t="str">
        <f t="shared" si="38"/>
        <v>"C:\Program Files (x86)\AstroGrep\AstroGrep.exe" /spath="%USERPROFILE%\AppData\Local\Temp\OnboardLogs" /stypes="app*4027*20160914*" /stext=" 22:.+((SYSTEM_STATE.+slice.+state.+changed )|(ment ac)|(system.+state.+changed )|(\|lc)|(penalty)|(\[timeout)|(PRM\|1\|D)|(kpr)|(kdp))" /e /r /s</v>
      </c>
      <c r="AG112" s="1" t="str">
        <f t="shared" si="39"/>
        <v>EC</v>
      </c>
      <c r="AH112" s="100" t="str">
        <f t="shared" si="29"/>
        <v>"%USERPROFILE%\Documents\GitHub\eaglep3\Utilities\RefineRTDCRunTimes.py" --tripid 199-14 --locoid 4027 --swversion DE.1.0.7.0 --startMP 204:444 --initTime 2016-09-14T15:53:46 --startdatetime 2016-09-14T16:00:47 --delay 1 --endMP 204:233302 --enddatetime 2016-09-14T16:45:41 --enforcementcount 0 &gt;&gt;C:\Users\stu\Documents\GitHub\eaglep3-reporting\EC\2016-09-14-refined-times.txt</v>
      </c>
      <c r="AI112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{"issue":{"subject":"","project_id":79,"tracker_id":40,"status_id":1,"priority_id":2,"assigned_to_id":23,"start_date":"2016-09-14","description":"","custom_fields":[{"id":1,"name":"Subdivision","value":"EC"},{"id":4,"name":"Milepost","value":"23.3302"},{"id":17,"name":"Train ID","value":"199-14"},{"id":16,"name":"Locomotive ID","value":"4027"},{"id":130,"name":"Impact","value":""},{"id":150,"name":"Time of Event (Mountain Time)","value":"16:45:41"},{"id":151,"name":"Denver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529</v>
      </c>
      <c r="B113" s="7">
        <v>4028</v>
      </c>
      <c r="C113" s="24" t="s">
        <v>108</v>
      </c>
      <c r="D113" s="24" t="s">
        <v>274</v>
      </c>
      <c r="E113" s="15">
        <v>42627.701701388891</v>
      </c>
      <c r="F113" s="15">
        <v>42627.705983796295</v>
      </c>
      <c r="G113" s="7">
        <v>1</v>
      </c>
      <c r="H113" s="15" t="s">
        <v>250</v>
      </c>
      <c r="I113" s="15">
        <v>42627.732916666668</v>
      </c>
      <c r="J113" s="7">
        <v>0</v>
      </c>
      <c r="K113" s="121" t="str">
        <f t="shared" si="30"/>
        <v>4027/4028</v>
      </c>
      <c r="L113" s="24" t="str">
        <f>VLOOKUP(A113,'Trips&amp;Operators'!$C$1:$E$10000,3,FALSE)</f>
        <v>SWANSON</v>
      </c>
      <c r="M113" s="6">
        <f t="shared" si="31"/>
        <v>2.6932870372547768E-2</v>
      </c>
      <c r="N113" s="7">
        <f t="shared" si="45"/>
        <v>38.783333336468786</v>
      </c>
      <c r="O113" s="7"/>
      <c r="P113" s="7"/>
      <c r="Q113" s="25"/>
      <c r="R113" s="25"/>
      <c r="S113" s="37">
        <f t="shared" si="49"/>
        <v>1</v>
      </c>
      <c r="T113" s="52" t="str">
        <f t="shared" si="32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15:50:27-0600',mode:absolute,to:'2016-09-14 18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3" s="54" t="str">
        <f t="shared" si="48"/>
        <v>N</v>
      </c>
      <c r="X113" s="168">
        <f t="shared" si="46"/>
        <v>1</v>
      </c>
      <c r="Y113" s="69">
        <f t="shared" si="47"/>
        <v>23.299399999999999</v>
      </c>
      <c r="Z113" s="69">
        <f t="shared" si="41"/>
        <v>1.3899999999999999E-2</v>
      </c>
      <c r="AA113" s="69">
        <f t="shared" si="35"/>
        <v>23.285499999999999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6"/>
        <v>0200-14</v>
      </c>
      <c r="AE113" s="99" t="str">
        <f t="shared" si="37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113" s="96" t="str">
        <f t="shared" si="38"/>
        <v>"C:\Program Files (x86)\AstroGrep\AstroGrep.exe" /spath="%USERPROFILE%\AppData\Local\Temp\OnboardLogs" /stypes="app*4028*20160914*" /stext=" 23:.+((SYSTEM_STATE.+slice.+state.+changed )|(ment ac)|(system.+state.+changed )|(\|lc)|(penalty)|(\[timeout)|(PRM\|1\|D)|(kpr)|(kdp))" /e /r /s</v>
      </c>
      <c r="AG113" s="1" t="str">
        <f t="shared" si="39"/>
        <v>EC</v>
      </c>
      <c r="AH113" s="100" t="str">
        <f t="shared" si="29"/>
        <v>"%USERPROFILE%\Documents\GitHub\eaglep3\Utilities\RefineRTDCRunTimes.py" --tripid 200-14 --locoid 4028 --swversion DE.1.0.7.0 --startMP 204:232994 --initTime 2016-09-14T16:50:27 --startdatetime 2016-09-14T16:56:37 --delay 1 --endMP 204:139 --enddatetime 2016-09-14T17:35:24 --enforcementcount 0 &gt;&gt;C:\Users\stu\Documents\GitHub\eaglep3-reporting\EC\2016-09-14-refined-times.txt</v>
      </c>
      <c r="AI113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{"issue":{"subject":"","project_id":79,"tracker_id":40,"status_id":1,"priority_id":2,"assigned_to_id":23,"start_date":"2016-09-14","description":"","custom_fields":[{"id":1,"name":"Subdivision","value":"EC"},{"id":4,"name":"Milepost","value":"0.0139"},{"id":17,"name":"Train ID","value":"200-14"},{"id":16,"name":"Locomotive ID","value":"4028"},{"id":130,"name":"Impact","value":""},{"id":150,"name":"Time of Event (Mountain Time)","value":"17:35:24"},{"id":151,"name":"Denver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520</v>
      </c>
      <c r="B114" s="7">
        <v>4003</v>
      </c>
      <c r="C114" s="24" t="s">
        <v>108</v>
      </c>
      <c r="D114" s="24" t="s">
        <v>239</v>
      </c>
      <c r="E114" s="15">
        <v>42627.671817129631</v>
      </c>
      <c r="F114" s="15">
        <v>42627.677222222221</v>
      </c>
      <c r="G114" s="7">
        <v>1</v>
      </c>
      <c r="H114" s="15" t="s">
        <v>349</v>
      </c>
      <c r="I114" s="15">
        <v>42627.701655092591</v>
      </c>
      <c r="J114" s="7">
        <v>0</v>
      </c>
      <c r="K114" s="121" t="str">
        <f t="shared" si="30"/>
        <v>4003/4004</v>
      </c>
      <c r="L114" s="24" t="str">
        <f>VLOOKUP(A114,'Trips&amp;Operators'!$C$1:$E$10000,3,FALSE)</f>
        <v>BONDS</v>
      </c>
      <c r="M114" s="6">
        <f t="shared" si="31"/>
        <v>2.4432870370219462E-2</v>
      </c>
      <c r="N114" s="7">
        <f t="shared" si="45"/>
        <v>35.183333333116025</v>
      </c>
      <c r="O114" s="7"/>
      <c r="P114" s="7"/>
      <c r="Q114" s="25"/>
      <c r="R114" s="25"/>
      <c r="S114" s="37">
        <f t="shared" si="49"/>
        <v>1</v>
      </c>
      <c r="T114" s="52" t="str">
        <f t="shared" si="32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15:07:25-0600',mode:absolute,to:'2016-09-14 17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14" s="54" t="str">
        <f t="shared" si="48"/>
        <v>N</v>
      </c>
      <c r="X114" s="168">
        <f t="shared" si="46"/>
        <v>1</v>
      </c>
      <c r="Y114" s="69">
        <f t="shared" si="47"/>
        <v>4.4699999999999997E-2</v>
      </c>
      <c r="Z114" s="69">
        <f t="shared" si="41"/>
        <v>23.3309</v>
      </c>
      <c r="AA114" s="69">
        <f t="shared" si="35"/>
        <v>23.286200000000001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6"/>
        <v>0201-14</v>
      </c>
      <c r="AE114" s="99" t="str">
        <f t="shared" si="37"/>
        <v>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 &amp; aws s3 cp s3://rtdc.mdm.uploadarchive/RTDC4003/2016-09-15/ "%USERPROFILE%\AppData\Local\Temp\OnboardLogs"\RTDC4003\2016-09-15 --recursive &amp; "%USERPROFILE%\Documents\GitHub\mrs-test-scripts\Headless Mode &amp; Sideloading\WalkAndUnGZ.bat" "%USERPROFILE%\AppData\Local\Temp\OnboardLogs"\RTDC4003\2016-09-15</v>
      </c>
      <c r="AF114" s="96" t="str">
        <f t="shared" si="38"/>
        <v>"C:\Program Files (x86)\AstroGrep\AstroGrep.exe" /spath="%USERPROFILE%\AppData\Local\Temp\OnboardLogs" /stypes="app*4003*20160914*" /stext=" 22:.+((SYSTEM_STATE.+slice.+state.+changed )|(ment ac)|(system.+state.+changed )|(\|lc)|(penalty)|(\[timeout)|(PRM\|1\|D)|(kpr)|(kdp))" /e /r /s</v>
      </c>
      <c r="AG114" s="1" t="str">
        <f t="shared" si="39"/>
        <v>EC</v>
      </c>
      <c r="AH114" s="100" t="str">
        <f t="shared" si="29"/>
        <v>"%USERPROFILE%\Documents\GitHub\eaglep3\Utilities\RefineRTDCRunTimes.py" --tripid 201-14 --locoid 4003 --swversion DE.1.0.7.0 --startMP 204:447 --initTime 2016-09-14T16:07:25 --startdatetime 2016-09-14T16:15:12 --delay 1 --endMP 204:233309 --enddatetime 2016-09-14T16:50:23 --enforcementcount 0 &gt;&gt;C:\Users\stu\Documents\GitHub\eaglep3-reporting\EC\2016-09-14-refined-times.txt</v>
      </c>
      <c r="AI114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{"issue":{"subject":"","project_id":79,"tracker_id":40,"status_id":1,"priority_id":2,"assigned_to_id":23,"start_date":"2016-09-14","description":"","custom_fields":[{"id":1,"name":"Subdivision","value":"EC"},{"id":4,"name":"Milepost","value":"23.3309"},{"id":17,"name":"Train ID","value":"201-14"},{"id":16,"name":"Locomotive ID","value":"4003"},{"id":130,"name":"Impact","value":""},{"id":150,"name":"Time of Event (Mountain Time)","value":"16:50:23"},{"id":151,"name":"Denver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530</v>
      </c>
      <c r="B115" s="7">
        <v>4004</v>
      </c>
      <c r="C115" s="24" t="s">
        <v>108</v>
      </c>
      <c r="D115" s="24" t="s">
        <v>236</v>
      </c>
      <c r="E115" s="15">
        <v>42627.703819444447</v>
      </c>
      <c r="F115" s="15">
        <v>42627.716435185182</v>
      </c>
      <c r="G115" s="7">
        <v>1</v>
      </c>
      <c r="H115" s="15" t="s">
        <v>233</v>
      </c>
      <c r="I115" s="15">
        <v>42627.743784722225</v>
      </c>
      <c r="J115" s="7">
        <v>0</v>
      </c>
      <c r="K115" s="121" t="str">
        <f t="shared" si="30"/>
        <v>4003/4004</v>
      </c>
      <c r="L115" s="24" t="str">
        <f>VLOOKUP(A115,'Trips&amp;Operators'!$C$1:$E$10000,3,FALSE)</f>
        <v>BONDS</v>
      </c>
      <c r="M115" s="6">
        <f t="shared" si="31"/>
        <v>2.7349537042027805E-2</v>
      </c>
      <c r="N115" s="7">
        <f t="shared" si="45"/>
        <v>39.383333340520039</v>
      </c>
      <c r="O115" s="7"/>
      <c r="P115" s="7"/>
      <c r="Q115" s="25"/>
      <c r="R115" s="25"/>
      <c r="S115" s="37">
        <f t="shared" si="49"/>
        <v>1</v>
      </c>
      <c r="T115" s="52" t="str">
        <f t="shared" si="32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15:53:30-0600',mode:absolute,to:'2016-09-14 18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15" s="54" t="str">
        <f t="shared" si="48"/>
        <v>N</v>
      </c>
      <c r="X115" s="168">
        <f t="shared" si="46"/>
        <v>1</v>
      </c>
      <c r="Y115" s="69">
        <f t="shared" si="47"/>
        <v>23.299600000000002</v>
      </c>
      <c r="Z115" s="69">
        <f t="shared" si="41"/>
        <v>1.4999999999999999E-2</v>
      </c>
      <c r="AA115" s="69">
        <f t="shared" si="35"/>
        <v>23.284600000000001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6"/>
        <v>0202-14</v>
      </c>
      <c r="AE115" s="99" t="str">
        <f t="shared" si="37"/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AF115" s="96" t="str">
        <f t="shared" si="38"/>
        <v>"C:\Program Files (x86)\AstroGrep\AstroGrep.exe" /spath="%USERPROFILE%\AppData\Local\Temp\OnboardLogs" /stypes="app*4004*20160914*" /stext=" 23:.+((SYSTEM_STATE.+slice.+state.+changed )|(ment ac)|(system.+state.+changed )|(\|lc)|(penalty)|(\[timeout)|(PRM\|1\|D)|(kpr)|(kdp))" /e /r /s</v>
      </c>
      <c r="AG115" s="1" t="str">
        <f t="shared" si="39"/>
        <v>EC</v>
      </c>
      <c r="AH115" s="100" t="str">
        <f t="shared" si="29"/>
        <v>"%USERPROFILE%\Documents\GitHub\eaglep3\Utilities\RefineRTDCRunTimes.py" --tripid 202-14 --locoid 4004 --swversion DE.1.0.7.0 --startMP 204:232996 --initTime 2016-09-14T16:53:30 --startdatetime 2016-09-14T17:11:40 --delay 1 --endMP 204:150 --enddatetime 2016-09-14T17:51:03 --enforcementcount 0 &gt;&gt;C:\Users\stu\Documents\GitHub\eaglep3-reporting\EC\2016-09-14-refined-times.txt</v>
      </c>
      <c r="AI115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{"issue":{"subject":"","project_id":79,"tracker_id":40,"status_id":1,"priority_id":2,"assigned_to_id":23,"start_date":"2016-09-14","description":"","custom_fields":[{"id":1,"name":"Subdivision","value":"EC"},{"id":4,"name":"Milepost","value":"0.015"},{"id":17,"name":"Train ID","value":"202-14"},{"id":16,"name":"Locomotive ID","value":"4004"},{"id":130,"name":"Impact","value":""},{"id":150,"name":"Time of Event (Mountain Time)","value":"17:51:03"},{"id":151,"name":"Denver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524</v>
      </c>
      <c r="B116" s="7">
        <v>4014</v>
      </c>
      <c r="C116" s="24" t="s">
        <v>108</v>
      </c>
      <c r="D116" s="24" t="s">
        <v>279</v>
      </c>
      <c r="E116" s="15">
        <v>42627.685150462959</v>
      </c>
      <c r="F116" s="15">
        <v>42627.687743055554</v>
      </c>
      <c r="G116" s="7">
        <v>1</v>
      </c>
      <c r="H116" s="15" t="s">
        <v>321</v>
      </c>
      <c r="I116" s="15">
        <v>42627.713738425926</v>
      </c>
      <c r="J116" s="7">
        <v>0</v>
      </c>
      <c r="K116" s="121" t="str">
        <f t="shared" si="30"/>
        <v>4013/4014</v>
      </c>
      <c r="L116" s="24" t="str">
        <f>VLOOKUP(A116,'Trips&amp;Operators'!$C$1:$E$10000,3,FALSE)</f>
        <v>BARTLETT</v>
      </c>
      <c r="M116" s="6">
        <f t="shared" si="31"/>
        <v>2.5995370371674653E-2</v>
      </c>
      <c r="N116" s="7">
        <f t="shared" si="45"/>
        <v>37.433333335211501</v>
      </c>
      <c r="O116" s="7"/>
      <c r="P116" s="7"/>
      <c r="Q116" s="25"/>
      <c r="R116" s="25"/>
      <c r="S116" s="37">
        <f t="shared" si="49"/>
        <v>1</v>
      </c>
      <c r="T116" s="52" t="str">
        <f t="shared" si="32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15:26:37-0600',mode:absolute,to:'2016-09-14 18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6" s="54" t="str">
        <f t="shared" si="48"/>
        <v>N</v>
      </c>
      <c r="X116" s="168">
        <f t="shared" si="46"/>
        <v>1</v>
      </c>
      <c r="Y116" s="69">
        <f t="shared" si="47"/>
        <v>4.4900000000000002E-2</v>
      </c>
      <c r="Z116" s="69">
        <f t="shared" si="41"/>
        <v>23.3306</v>
      </c>
      <c r="AA116" s="69">
        <f t="shared" si="35"/>
        <v>23.285700000000002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6"/>
        <v>0203-14</v>
      </c>
      <c r="AE116" s="99" t="str">
        <f t="shared" si="37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116" s="96" t="str">
        <f t="shared" si="38"/>
        <v>"C:\Program Files (x86)\AstroGrep\AstroGrep.exe" /spath="%USERPROFILE%\AppData\Local\Temp\OnboardLogs" /stypes="app*4014*20160914*" /stext=" 23:.+((SYSTEM_STATE.+slice.+state.+changed )|(ment ac)|(system.+state.+changed )|(\|lc)|(penalty)|(\[timeout)|(PRM\|1\|D)|(kpr)|(kdp))" /e /r /s</v>
      </c>
      <c r="AG116" s="1" t="str">
        <f t="shared" si="39"/>
        <v>EC</v>
      </c>
      <c r="AH116" s="100" t="str">
        <f t="shared" si="29"/>
        <v>"%USERPROFILE%\Documents\GitHub\eaglep3\Utilities\RefineRTDCRunTimes.py" --tripid 203-14 --locoid 4014 --swversion DE.1.0.7.0 --startMP 204:449 --initTime 2016-09-14T16:26:37 --startdatetime 2016-09-14T16:30:21 --delay 1 --endMP 204:233306 --enddatetime 2016-09-14T17:07:47 --enforcementcount 0 &gt;&gt;C:\Users\stu\Documents\GitHub\eaglep3-reporting\EC\2016-09-14-refined-times.txt</v>
      </c>
      <c r="AI116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{"issue":{"subject":"","project_id":79,"tracker_id":40,"status_id":1,"priority_id":2,"assigned_to_id":23,"start_date":"2016-09-14","description":"","custom_fields":[{"id":1,"name":"Subdivision","value":"EC"},{"id":4,"name":"Milepost","value":"23.3306"},{"id":17,"name":"Train ID","value":"203-14"},{"id":16,"name":"Locomotive ID","value":"4014"},{"id":130,"name":"Impact","value":""},{"id":150,"name":"Time of Event (Mountain Time)","value":"17:07:47"},{"id":151,"name":"Denver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535</v>
      </c>
      <c r="B117" s="7">
        <v>4013</v>
      </c>
      <c r="C117" s="24" t="s">
        <v>108</v>
      </c>
      <c r="D117" s="24" t="s">
        <v>227</v>
      </c>
      <c r="E117" s="15">
        <v>42627.716469907406</v>
      </c>
      <c r="F117" s="15">
        <v>42627.7265625</v>
      </c>
      <c r="G117" s="7">
        <v>1</v>
      </c>
      <c r="H117" s="15" t="s">
        <v>223</v>
      </c>
      <c r="I117" s="15">
        <v>42627.753460648149</v>
      </c>
      <c r="J117" s="7">
        <v>0</v>
      </c>
      <c r="K117" s="121" t="str">
        <f t="shared" si="30"/>
        <v>4013/4014</v>
      </c>
      <c r="L117" s="24" t="str">
        <f>VLOOKUP(A117,'Trips&amp;Operators'!$C$1:$E$10000,3,FALSE)</f>
        <v>BARTLETT</v>
      </c>
      <c r="M117" s="6">
        <f t="shared" si="31"/>
        <v>2.6898148149484769E-2</v>
      </c>
      <c r="N117" s="7">
        <f t="shared" si="45"/>
        <v>38.733333335258067</v>
      </c>
      <c r="O117" s="7"/>
      <c r="P117" s="7"/>
      <c r="Q117" s="25"/>
      <c r="R117" s="25"/>
      <c r="S117" s="37">
        <f t="shared" si="49"/>
        <v>1</v>
      </c>
      <c r="T117" s="52" t="str">
        <f t="shared" si="32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16:11:43-0600',mode:absolute,to:'2016-09-14 19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7" s="54" t="str">
        <f t="shared" si="48"/>
        <v>N</v>
      </c>
      <c r="X117" s="168">
        <f t="shared" si="46"/>
        <v>1</v>
      </c>
      <c r="Y117" s="69">
        <f t="shared" si="47"/>
        <v>23.299099999999999</v>
      </c>
      <c r="Z117" s="69">
        <f t="shared" si="41"/>
        <v>1.6E-2</v>
      </c>
      <c r="AA117" s="69">
        <f t="shared" si="35"/>
        <v>23.283100000000001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36"/>
        <v>0204-14</v>
      </c>
      <c r="AE117" s="99" t="str">
        <f t="shared" si="37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117" s="96" t="str">
        <f t="shared" si="38"/>
        <v>"C:\Program Files (x86)\AstroGrep\AstroGrep.exe" /spath="%USERPROFILE%\AppData\Local\Temp\OnboardLogs" /stypes="app*4013*20160915*" /stext=" 00:.+((SYSTEM_STATE.+slice.+state.+changed )|(ment ac)|(system.+state.+changed )|(\|lc)|(penalty)|(\[timeout)|(PRM\|1\|D)|(kpr)|(kdp))" /e /r /s</v>
      </c>
      <c r="AG117" s="1" t="str">
        <f t="shared" si="39"/>
        <v>EC</v>
      </c>
      <c r="AH117" s="100" t="str">
        <f t="shared" si="29"/>
        <v>"%USERPROFILE%\Documents\GitHub\eaglep3\Utilities\RefineRTDCRunTimes.py" --tripid 204-14 --locoid 4013 --swversion DE.1.0.7.0 --startMP 204:232991 --initTime 2016-09-14T17:11:43 --startdatetime 2016-09-14T17:26:15 --delay 1 --endMP 204:160 --enddatetime 2016-09-14T18:04:59 --enforcementcount 0 &gt;&gt;C:\Users\stu\Documents\GitHub\eaglep3-reporting\EC\2016-09-14-refined-times.txt</v>
      </c>
      <c r="AI117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{"issue":{"subject":"","project_id":79,"tracker_id":40,"status_id":1,"priority_id":2,"assigned_to_id":23,"start_date":"2016-09-14","description":"","custom_fields":[{"id":1,"name":"Subdivision","value":"EC"},{"id":4,"name":"Milepost","value":"0.016"},{"id":17,"name":"Train ID","value":"204-14"},{"id":16,"name":"Locomotive ID","value":"4013"},{"id":130,"name":"Impact","value":""},{"id":150,"name":"Time of Event (Mountain Time)","value":"18:04:59"},{"id":151,"name":"Denver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526</v>
      </c>
      <c r="B118" s="7">
        <v>4053</v>
      </c>
      <c r="C118" s="24" t="s">
        <v>108</v>
      </c>
      <c r="D118" s="24" t="s">
        <v>254</v>
      </c>
      <c r="E118" s="15">
        <v>42627.692615740743</v>
      </c>
      <c r="F118" s="15">
        <v>42627.698159722226</v>
      </c>
      <c r="G118" s="7">
        <v>1</v>
      </c>
      <c r="H118" s="15" t="s">
        <v>623</v>
      </c>
      <c r="I118" s="15">
        <v>42627.724988425929</v>
      </c>
      <c r="J118" s="7">
        <v>0</v>
      </c>
      <c r="K118" s="121" t="str">
        <f t="shared" si="30"/>
        <v>4053/4054</v>
      </c>
      <c r="L118" s="24" t="str">
        <f>VLOOKUP(A118,'Trips&amp;Operators'!$C$1:$E$10000,3,FALSE)</f>
        <v>BERLING</v>
      </c>
      <c r="M118" s="6">
        <f t="shared" si="31"/>
        <v>2.6828703703358769E-2</v>
      </c>
      <c r="N118" s="7">
        <f t="shared" si="45"/>
        <v>38.633333332836628</v>
      </c>
      <c r="O118" s="7"/>
      <c r="P118" s="7"/>
      <c r="Q118" s="25"/>
      <c r="R118" s="25"/>
      <c r="S118" s="37">
        <f t="shared" si="49"/>
        <v>1</v>
      </c>
      <c r="T118" s="52" t="str">
        <f t="shared" si="32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15:37:22-0600',mode:absolute,to:'2016-09-14 18:23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18" s="54" t="str">
        <f t="shared" si="48"/>
        <v>N</v>
      </c>
      <c r="X118" s="168">
        <f t="shared" si="46"/>
        <v>1</v>
      </c>
      <c r="Y118" s="69">
        <f t="shared" si="47"/>
        <v>4.6399999999999997E-2</v>
      </c>
      <c r="Z118" s="69">
        <f t="shared" si="41"/>
        <v>23.328399999999998</v>
      </c>
      <c r="AA118" s="69">
        <f t="shared" si="35"/>
        <v>23.282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36"/>
        <v>0205-14</v>
      </c>
      <c r="AE118" s="99" t="str">
        <f t="shared" si="37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118" s="96" t="str">
        <f t="shared" si="38"/>
        <v>"C:\Program Files (x86)\AstroGrep\AstroGrep.exe" /spath="%USERPROFILE%\AppData\Local\Temp\OnboardLogs" /stypes="app*4053*20160914*" /stext=" 23:.+((SYSTEM_STATE.+slice.+state.+changed )|(ment ac)|(system.+state.+changed )|(\|lc)|(penalty)|(\[timeout)|(PRM\|1\|D)|(kpr)|(kdp))" /e /r /s</v>
      </c>
      <c r="AG118" s="1" t="str">
        <f t="shared" si="39"/>
        <v>EC</v>
      </c>
      <c r="AH118" s="100" t="str">
        <f t="shared" si="29"/>
        <v>"%USERPROFILE%\Documents\GitHub\eaglep3\Utilities\RefineRTDCRunTimes.py" --tripid 205-14 --locoid 4053 --swversion DE.1.0.7.0 --startMP 204:464 --initTime 2016-09-14T16:37:22 --startdatetime 2016-09-14T16:45:21 --delay 1 --endMP 204:233284 --enddatetime 2016-09-14T17:23:59 --enforcementcount 0 &gt;&gt;C:\Users\stu\Documents\GitHub\eaglep3-reporting\EC\2016-09-14-refined-times.txt</v>
      </c>
      <c r="AI118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{"issue":{"subject":"","project_id":79,"tracker_id":40,"status_id":1,"priority_id":2,"assigned_to_id":23,"start_date":"2016-09-14","description":"","custom_fields":[{"id":1,"name":"Subdivision","value":"EC"},{"id":4,"name":"Milepost","value":"23.3284"},{"id":17,"name":"Train ID","value":"205-14"},{"id":16,"name":"Locomotive ID","value":"4053"},{"id":130,"name":"Impact","value":""},{"id":150,"name":"Time of Event (Mountain Time)","value":"17:23:59"},{"id":151,"name":"Denver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539</v>
      </c>
      <c r="B119" s="7">
        <v>4054</v>
      </c>
      <c r="C119" s="24" t="s">
        <v>108</v>
      </c>
      <c r="D119" s="24" t="s">
        <v>651</v>
      </c>
      <c r="E119" s="15">
        <v>42627.732476851852</v>
      </c>
      <c r="F119" s="15">
        <v>42627.737349537034</v>
      </c>
      <c r="G119" s="7">
        <v>1</v>
      </c>
      <c r="H119" s="15" t="s">
        <v>221</v>
      </c>
      <c r="I119" s="15">
        <v>42627.76462962963</v>
      </c>
      <c r="J119" s="7">
        <v>0</v>
      </c>
      <c r="K119" s="121" t="str">
        <f t="shared" si="30"/>
        <v>4053/4054</v>
      </c>
      <c r="L119" s="24" t="str">
        <f>VLOOKUP(A119,'Trips&amp;Operators'!$C$1:$E$10000,3,FALSE)</f>
        <v>BERLING</v>
      </c>
      <c r="M119" s="6">
        <f t="shared" si="31"/>
        <v>2.7280092595901806E-2</v>
      </c>
      <c r="N119" s="7">
        <f t="shared" si="45"/>
        <v>39.283333338098601</v>
      </c>
      <c r="O119" s="7"/>
      <c r="P119" s="7"/>
      <c r="Q119" s="25"/>
      <c r="R119" s="25"/>
      <c r="S119" s="37">
        <f t="shared" si="49"/>
        <v>1</v>
      </c>
      <c r="T119" s="52" t="str">
        <f t="shared" si="32"/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16:34:46-0600',mode:absolute,to:'2016-09-14 19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9" s="54" t="str">
        <f t="shared" si="48"/>
        <v>N</v>
      </c>
      <c r="X119" s="168">
        <f t="shared" si="46"/>
        <v>1</v>
      </c>
      <c r="Y119" s="69">
        <f t="shared" si="47"/>
        <v>23.2971</v>
      </c>
      <c r="Z119" s="69">
        <f t="shared" si="41"/>
        <v>1.49E-2</v>
      </c>
      <c r="AA119" s="69">
        <f t="shared" si="35"/>
        <v>23.2822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6"/>
        <v>0206-14</v>
      </c>
      <c r="AE119" s="99" t="str">
        <f t="shared" si="37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119" s="96" t="str">
        <f t="shared" si="38"/>
        <v>"C:\Program Files (x86)\AstroGrep\AstroGrep.exe" /spath="%USERPROFILE%\AppData\Local\Temp\OnboardLogs" /stypes="app*4054*20160915*" /stext=" 00:.+((SYSTEM_STATE.+slice.+state.+changed )|(ment ac)|(system.+state.+changed )|(\|lc)|(penalty)|(\[timeout)|(PRM\|1\|D)|(kpr)|(kdp))" /e /r /s</v>
      </c>
      <c r="AG119" s="1" t="str">
        <f t="shared" si="39"/>
        <v>EC</v>
      </c>
      <c r="AH119" s="100" t="str">
        <f t="shared" si="29"/>
        <v>"%USERPROFILE%\Documents\GitHub\eaglep3\Utilities\RefineRTDCRunTimes.py" --tripid 206-14 --locoid 4054 --swversion DE.1.0.7.0 --startMP 204:232971 --initTime 2016-09-14T17:34:46 --startdatetime 2016-09-14T17:41:47 --delay 1 --endMP 204:149 --enddatetime 2016-09-14T18:21:04 --enforcementcount 0 &gt;&gt;C:\Users\stu\Documents\GitHub\eaglep3-reporting\EC\2016-09-14-refined-times.txt</v>
      </c>
      <c r="AI119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{"issue":{"subject":"","project_id":79,"tracker_id":40,"status_id":1,"priority_id":2,"assigned_to_id":23,"start_date":"2016-09-14","description":"","custom_fields":[{"id":1,"name":"Subdivision","value":"EC"},{"id":4,"name":"Milepost","value":"0.0149"},{"id":17,"name":"Train ID","value":"206-14"},{"id":16,"name":"Locomotive ID","value":"4054"},{"id":130,"name":"Impact","value":""},{"id":150,"name":"Time of Event (Mountain Time)","value":"18:21:04"},{"id":151,"name":"Denver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531</v>
      </c>
      <c r="B120" s="7">
        <v>4040</v>
      </c>
      <c r="C120" s="24" t="s">
        <v>108</v>
      </c>
      <c r="D120" s="24" t="s">
        <v>352</v>
      </c>
      <c r="E120" s="15">
        <v>42627.705972222226</v>
      </c>
      <c r="F120" s="15">
        <v>42627.708819444444</v>
      </c>
      <c r="G120" s="7">
        <v>1</v>
      </c>
      <c r="H120" s="15" t="s">
        <v>312</v>
      </c>
      <c r="I120" s="15">
        <v>42627.734212962961</v>
      </c>
      <c r="J120" s="7">
        <v>0</v>
      </c>
      <c r="K120" s="121" t="str">
        <f t="shared" si="30"/>
        <v>4039/4040</v>
      </c>
      <c r="L120" s="24" t="str">
        <f>VLOOKUP(A120,'Trips&amp;Operators'!$C$1:$E$10000,3,FALSE)</f>
        <v>STAMBAUGH</v>
      </c>
      <c r="M120" s="6">
        <f t="shared" si="31"/>
        <v>2.5393518517375924E-2</v>
      </c>
      <c r="N120" s="7">
        <f t="shared" si="45"/>
        <v>36.56666666502133</v>
      </c>
      <c r="O120" s="7"/>
      <c r="P120" s="7"/>
      <c r="Q120" s="25"/>
      <c r="R120" s="25"/>
      <c r="S120" s="37">
        <f t="shared" si="49"/>
        <v>1</v>
      </c>
      <c r="T120" s="52" t="str">
        <f t="shared" si="32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15:56:36-0600',mode:absolute,to:'2016-09-14 18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0" s="54" t="str">
        <f t="shared" si="48"/>
        <v>N</v>
      </c>
      <c r="X120" s="168">
        <f t="shared" si="46"/>
        <v>1</v>
      </c>
      <c r="Y120" s="69">
        <f t="shared" si="47"/>
        <v>4.3799999999999999E-2</v>
      </c>
      <c r="Z120" s="69">
        <f t="shared" si="41"/>
        <v>23.330400000000001</v>
      </c>
      <c r="AA120" s="69">
        <f t="shared" si="35"/>
        <v>23.2866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6"/>
        <v>0207-14</v>
      </c>
      <c r="AE120" s="99" t="str">
        <f t="shared" si="37"/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AF120" s="96" t="str">
        <f t="shared" si="38"/>
        <v>"C:\Program Files (x86)\AstroGrep\AstroGrep.exe" /spath="%USERPROFILE%\AppData\Local\Temp\OnboardLogs" /stypes="app*4040*20160914*" /stext=" 23:.+((SYSTEM_STATE.+slice.+state.+changed )|(ment ac)|(system.+state.+changed )|(\|lc)|(penalty)|(\[timeout)|(PRM\|1\|D)|(kpr)|(kdp))" /e /r /s</v>
      </c>
      <c r="AG120" s="1" t="str">
        <f t="shared" si="39"/>
        <v>EC</v>
      </c>
      <c r="AH120" s="100" t="str">
        <f t="shared" si="29"/>
        <v>"%USERPROFILE%\Documents\GitHub\eaglep3\Utilities\RefineRTDCRunTimes.py" --tripid 207-14 --locoid 4040 --swversion DE.1.0.7.0 --startMP 204:438 --initTime 2016-09-14T16:56:36 --startdatetime 2016-09-14T17:00:42 --delay 1 --endMP 204:233304 --enddatetime 2016-09-14T17:37:16 --enforcementcount 0 &gt;&gt;C:\Users\stu\Documents\GitHub\eaglep3-reporting\EC\2016-09-14-refined-times.txt</v>
      </c>
      <c r="AI120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{"issue":{"subject":"","project_id":79,"tracker_id":40,"status_id":1,"priority_id":2,"assigned_to_id":23,"start_date":"2016-09-14","description":"","custom_fields":[{"id":1,"name":"Subdivision","value":"EC"},{"id":4,"name":"Milepost","value":"23.3304"},{"id":17,"name":"Train ID","value":"207-14"},{"id":16,"name":"Locomotive ID","value":"4040"},{"id":130,"name":"Impact","value":""},{"id":150,"name":"Time of Event (Mountain Time)","value":"17:37:16"},{"id":151,"name":"Denver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543</v>
      </c>
      <c r="B121" s="7">
        <v>4039</v>
      </c>
      <c r="C121" s="24" t="s">
        <v>108</v>
      </c>
      <c r="D121" s="24" t="s">
        <v>322</v>
      </c>
      <c r="E121" s="15">
        <v>42627.743842592594</v>
      </c>
      <c r="F121" s="15">
        <v>42627.747997685183</v>
      </c>
      <c r="G121" s="7">
        <v>2</v>
      </c>
      <c r="H121" s="15" t="s">
        <v>652</v>
      </c>
      <c r="I121" s="15">
        <v>42627.774502314816</v>
      </c>
      <c r="J121" s="7">
        <v>0</v>
      </c>
      <c r="K121" s="121" t="str">
        <f t="shared" si="30"/>
        <v>4039/4040</v>
      </c>
      <c r="L121" s="24" t="str">
        <f>VLOOKUP(A121,'Trips&amp;Operators'!$C$1:$E$10000,3,FALSE)</f>
        <v>STAMBAUGH</v>
      </c>
      <c r="M121" s="6">
        <f t="shared" si="31"/>
        <v>2.6504629633564036E-2</v>
      </c>
      <c r="N121" s="7">
        <f t="shared" si="45"/>
        <v>38.166666672332212</v>
      </c>
      <c r="O121" s="7"/>
      <c r="P121" s="7"/>
      <c r="Q121" s="25"/>
      <c r="R121" s="25"/>
      <c r="S121" s="37">
        <f t="shared" si="49"/>
        <v>1</v>
      </c>
      <c r="T121" s="52" t="str">
        <f t="shared" si="32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16:51:08-0600',mode:absolute,to:'2016-09-14 19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21" s="54" t="str">
        <f t="shared" si="48"/>
        <v>N</v>
      </c>
      <c r="X121" s="168">
        <f t="shared" si="46"/>
        <v>1</v>
      </c>
      <c r="Y121" s="69">
        <f t="shared" si="47"/>
        <v>23.300799999999999</v>
      </c>
      <c r="Z121" s="69">
        <f t="shared" si="41"/>
        <v>1.7600000000000001E-2</v>
      </c>
      <c r="AA121" s="69">
        <f t="shared" si="35"/>
        <v>23.283199999999997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6"/>
        <v>0208-14</v>
      </c>
      <c r="AE121" s="99" t="str">
        <f t="shared" si="37"/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AF121" s="96" t="str">
        <f t="shared" si="38"/>
        <v>"C:\Program Files (x86)\AstroGrep\AstroGrep.exe" /spath="%USERPROFILE%\AppData\Local\Temp\OnboardLogs" /stypes="app*4039*20160915*" /stext=" 00:.+((SYSTEM_STATE.+slice.+state.+changed )|(ment ac)|(system.+state.+changed )|(\|lc)|(penalty)|(\[timeout)|(PRM\|1\|D)|(kpr)|(kdp))" /e /r /s</v>
      </c>
      <c r="AG121" s="1" t="str">
        <f t="shared" si="39"/>
        <v>EC</v>
      </c>
      <c r="AH121" s="100" t="str">
        <f t="shared" si="29"/>
        <v>"%USERPROFILE%\Documents\GitHub\eaglep3\Utilities\RefineRTDCRunTimes.py" --tripid 208-14 --locoid 4039 --swversion DE.1.0.7.0 --startMP 204:233008 --initTime 2016-09-14T17:51:08 --startdatetime 2016-09-14T17:57:07 --delay 2 --endMP 204:176 --enddatetime 2016-09-14T18:35:17 --enforcementcount 0 &gt;&gt;C:\Users\stu\Documents\GitHub\eaglep3-reporting\EC\2016-09-14-refined-times.txt</v>
      </c>
      <c r="AI121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{"issue":{"subject":"","project_id":79,"tracker_id":40,"status_id":1,"priority_id":2,"assigned_to_id":23,"start_date":"2016-09-14","description":"","custom_fields":[{"id":1,"name":"Subdivision","value":"EC"},{"id":4,"name":"Milepost","value":"0.0176"},{"id":17,"name":"Train ID","value":"208-14"},{"id":16,"name":"Locomotive ID","value":"4039"},{"id":130,"name":"Impact","value":""},{"id":150,"name":"Time of Event (Mountain Time)","value":"18:35:17"},{"id":151,"name":"Denver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533</v>
      </c>
      <c r="B122" s="7">
        <v>4044</v>
      </c>
      <c r="C122" s="24" t="s">
        <v>108</v>
      </c>
      <c r="D122" s="24" t="s">
        <v>316</v>
      </c>
      <c r="E122" s="15">
        <v>42627.715381944443</v>
      </c>
      <c r="F122" s="15">
        <v>42627.719166666669</v>
      </c>
      <c r="G122" s="7">
        <v>1</v>
      </c>
      <c r="H122" s="15" t="s">
        <v>290</v>
      </c>
      <c r="I122" s="15">
        <v>42627.748379629629</v>
      </c>
      <c r="J122" s="7">
        <v>0</v>
      </c>
      <c r="K122" s="121" t="str">
        <f t="shared" si="30"/>
        <v>4043/4044</v>
      </c>
      <c r="L122" s="24" t="str">
        <f>VLOOKUP(A122,'Trips&amp;Operators'!$C$1:$E$10000,3,FALSE)</f>
        <v>STURGEON</v>
      </c>
      <c r="M122" s="6">
        <f t="shared" si="31"/>
        <v>2.9212962959718425E-2</v>
      </c>
      <c r="N122" s="7">
        <f t="shared" si="45"/>
        <v>42.066666661994532</v>
      </c>
      <c r="O122" s="7"/>
      <c r="P122" s="7"/>
      <c r="Q122" s="25"/>
      <c r="R122" s="25"/>
      <c r="S122" s="37">
        <f t="shared" si="49"/>
        <v>1</v>
      </c>
      <c r="T122" s="52" t="str">
        <f t="shared" si="32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16:10:09-0600',mode:absolute,to:'2016-09-14 18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22" s="54" t="str">
        <f t="shared" si="48"/>
        <v>N</v>
      </c>
      <c r="X122" s="168">
        <f t="shared" si="46"/>
        <v>1</v>
      </c>
      <c r="Y122" s="69">
        <f t="shared" si="47"/>
        <v>4.82E-2</v>
      </c>
      <c r="Z122" s="69">
        <f t="shared" si="41"/>
        <v>23.328900000000001</v>
      </c>
      <c r="AA122" s="69">
        <f t="shared" si="35"/>
        <v>23.2807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6"/>
        <v>0209-14</v>
      </c>
      <c r="AE122" s="99" t="str">
        <f t="shared" si="37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122" s="96" t="str">
        <f t="shared" si="38"/>
        <v>"C:\Program Files (x86)\AstroGrep\AstroGrep.exe" /spath="%USERPROFILE%\AppData\Local\Temp\OnboardLogs" /stypes="app*4044*20160914*" /stext=" 23:.+((SYSTEM_STATE.+slice.+state.+changed )|(ment ac)|(system.+state.+changed )|(\|lc)|(penalty)|(\[timeout)|(PRM\|1\|D)|(kpr)|(kdp))" /e /r /s</v>
      </c>
      <c r="AG122" s="1" t="str">
        <f t="shared" si="39"/>
        <v>EC</v>
      </c>
      <c r="AH122" s="100" t="str">
        <f t="shared" si="29"/>
        <v>"%USERPROFILE%\Documents\GitHub\eaglep3\Utilities\RefineRTDCRunTimes.py" --tripid 209-14 --locoid 4044 --swversion DE.1.0.7.0 --startMP 204:482 --initTime 2016-09-14T17:10:09 --startdatetime 2016-09-14T17:15:36 --delay 1 --endMP 204:233289 --enddatetime 2016-09-14T17:57:40 --enforcementcount 0 &gt;&gt;C:\Users\stu\Documents\GitHub\eaglep3-reporting\EC\2016-09-14-refined-times.txt</v>
      </c>
      <c r="AI122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{"issue":{"subject":"","project_id":79,"tracker_id":40,"status_id":1,"priority_id":2,"assigned_to_id":23,"start_date":"2016-09-14","description":"","custom_fields":[{"id":1,"name":"Subdivision","value":"EC"},{"id":4,"name":"Milepost","value":"23.3289"},{"id":17,"name":"Train ID","value":"209-14"},{"id":16,"name":"Locomotive ID","value":"4044"},{"id":130,"name":"Impact","value":""},{"id":150,"name":"Time of Event (Mountain Time)","value":"17:57:40"},{"id":151,"name":"Denver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546</v>
      </c>
      <c r="B123" s="7">
        <v>4043</v>
      </c>
      <c r="C123" s="24" t="s">
        <v>108</v>
      </c>
      <c r="D123" s="24" t="s">
        <v>653</v>
      </c>
      <c r="E123" s="15">
        <v>42627.754340277781</v>
      </c>
      <c r="F123" s="15">
        <v>42627.757928240739</v>
      </c>
      <c r="G123" s="7">
        <v>1</v>
      </c>
      <c r="H123" s="15" t="s">
        <v>291</v>
      </c>
      <c r="I123" s="15">
        <v>42627.785185185188</v>
      </c>
      <c r="J123" s="7">
        <v>0</v>
      </c>
      <c r="K123" s="121" t="str">
        <f t="shared" si="30"/>
        <v>4043/4044</v>
      </c>
      <c r="L123" s="24" t="str">
        <f>VLOOKUP(A123,'Trips&amp;Operators'!$C$1:$E$10000,3,FALSE)</f>
        <v>STURGEON</v>
      </c>
      <c r="M123" s="6">
        <f t="shared" si="31"/>
        <v>2.7256944449618459E-2</v>
      </c>
      <c r="N123" s="7">
        <f t="shared" si="45"/>
        <v>39.250000007450581</v>
      </c>
      <c r="O123" s="7"/>
      <c r="P123" s="7"/>
      <c r="Q123" s="25"/>
      <c r="R123" s="25"/>
      <c r="S123" s="37">
        <f t="shared" si="49"/>
        <v>1</v>
      </c>
      <c r="T123" s="52" t="str">
        <f t="shared" si="32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17:06:15-0600',mode:absolute,to:'2016-09-14 19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3" s="54" t="str">
        <f t="shared" si="48"/>
        <v>N</v>
      </c>
      <c r="X123" s="168">
        <f t="shared" si="46"/>
        <v>1</v>
      </c>
      <c r="Y123" s="69">
        <f t="shared" si="47"/>
        <v>23.297499999999999</v>
      </c>
      <c r="Z123" s="69">
        <f t="shared" si="41"/>
        <v>1.6899999999999998E-2</v>
      </c>
      <c r="AA123" s="69">
        <f t="shared" si="35"/>
        <v>23.2806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6"/>
        <v>0210-14</v>
      </c>
      <c r="AE123" s="99" t="str">
        <f t="shared" si="37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123" s="96" t="str">
        <f t="shared" si="38"/>
        <v>"C:\Program Files (x86)\AstroGrep\AstroGrep.exe" /spath="%USERPROFILE%\AppData\Local\Temp\OnboardLogs" /stypes="app*4043*20160915*" /stext=" 00:.+((SYSTEM_STATE.+slice.+state.+changed )|(ment ac)|(system.+state.+changed )|(\|lc)|(penalty)|(\[timeout)|(PRM\|1\|D)|(kpr)|(kdp))" /e /r /s</v>
      </c>
      <c r="AG123" s="1" t="str">
        <f t="shared" si="39"/>
        <v>EC</v>
      </c>
      <c r="AH123" s="100" t="str">
        <f t="shared" si="29"/>
        <v>"%USERPROFILE%\Documents\GitHub\eaglep3\Utilities\RefineRTDCRunTimes.py" --tripid 210-14 --locoid 4043 --swversion DE.1.0.7.0 --startMP 204:232975 --initTime 2016-09-14T18:06:15 --startdatetime 2016-09-14T18:11:25 --delay 1 --endMP 204:169 --enddatetime 2016-09-14T18:50:40 --enforcementcount 0 &gt;&gt;C:\Users\stu\Documents\GitHub\eaglep3-reporting\EC\2016-09-14-refined-times.txt</v>
      </c>
      <c r="AI123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{"issue":{"subject":"","project_id":79,"tracker_id":40,"status_id":1,"priority_id":2,"assigned_to_id":23,"start_date":"2016-09-14","description":"","custom_fields":[{"id":1,"name":"Subdivision","value":"EC"},{"id":4,"name":"Milepost","value":"0.0169"},{"id":17,"name":"Train ID","value":"210-14"},{"id":16,"name":"Locomotive ID","value":"4043"},{"id":130,"name":"Impact","value":""},{"id":150,"name":"Time of Event (Mountain Time)","value":"18:50:40"},{"id":151,"name":"Denver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537</v>
      </c>
      <c r="B124" s="7">
        <v>4042</v>
      </c>
      <c r="C124" s="24" t="s">
        <v>108</v>
      </c>
      <c r="D124" s="24" t="s">
        <v>361</v>
      </c>
      <c r="E124" s="15">
        <v>42627.724340277775</v>
      </c>
      <c r="F124" s="15">
        <v>42627.729432870372</v>
      </c>
      <c r="G124" s="7">
        <v>2</v>
      </c>
      <c r="H124" s="15" t="s">
        <v>320</v>
      </c>
      <c r="I124" s="15">
        <v>42627.755671296298</v>
      </c>
      <c r="J124" s="7">
        <v>0</v>
      </c>
      <c r="K124" s="121" t="str">
        <f t="shared" si="30"/>
        <v>4041/4042</v>
      </c>
      <c r="L124" s="24" t="str">
        <f>VLOOKUP(A124,'Trips&amp;Operators'!$C$1:$E$10000,3,FALSE)</f>
        <v>HILLS</v>
      </c>
      <c r="M124" s="6">
        <f t="shared" si="31"/>
        <v>2.6238425925839692E-2</v>
      </c>
      <c r="N124" s="7">
        <f t="shared" si="45"/>
        <v>37.783333333209157</v>
      </c>
      <c r="O124" s="7"/>
      <c r="P124" s="7"/>
      <c r="Q124" s="25"/>
      <c r="R124" s="25"/>
      <c r="S124" s="37">
        <f t="shared" si="49"/>
        <v>1</v>
      </c>
      <c r="T124" s="52" t="str">
        <f t="shared" si="32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16:23:03-0600',mode:absolute,to:'2016-09-14 19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4" s="54" t="str">
        <f t="shared" si="48"/>
        <v>N</v>
      </c>
      <c r="X124" s="168">
        <f t="shared" si="46"/>
        <v>1</v>
      </c>
      <c r="Y124" s="69">
        <f t="shared" si="47"/>
        <v>4.8399999999999999E-2</v>
      </c>
      <c r="Z124" s="69">
        <f t="shared" si="41"/>
        <v>23.328499999999998</v>
      </c>
      <c r="AA124" s="69">
        <f t="shared" si="35"/>
        <v>23.280099999999997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6"/>
        <v>0211-14</v>
      </c>
      <c r="AE124" s="99" t="str">
        <f t="shared" si="37"/>
        <v>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 &amp; 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</v>
      </c>
      <c r="AF124" s="96" t="str">
        <f t="shared" si="38"/>
        <v>"C:\Program Files (x86)\AstroGrep\AstroGrep.exe" /spath="%USERPROFILE%\AppData\Local\Temp\OnboardLogs" /stypes="app*4042*20160915*" /stext=" 00:.+((SYSTEM_STATE.+slice.+state.+changed )|(ment ac)|(system.+state.+changed )|(\|lc)|(penalty)|(\[timeout)|(PRM\|1\|D)|(kpr)|(kdp))" /e /r /s</v>
      </c>
      <c r="AG124" s="1" t="str">
        <f t="shared" si="39"/>
        <v>EC</v>
      </c>
      <c r="AH124" s="100" t="str">
        <f t="shared" si="29"/>
        <v>"%USERPROFILE%\Documents\GitHub\eaglep3\Utilities\RefineRTDCRunTimes.py" --tripid 211-14 --locoid 4042 --swversion DE.1.0.7.0 --startMP 204:484 --initTime 2016-09-14T17:23:03 --startdatetime 2016-09-14T17:30:23 --delay 2 --endMP 204:233285 --enddatetime 2016-09-14T18:08:10 --enforcementcount 0 &gt;&gt;C:\Users\stu\Documents\GitHub\eaglep3-reporting\EC\2016-09-14-refined-times.txt</v>
      </c>
      <c r="AI124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{"issue":{"subject":"","project_id":79,"tracker_id":40,"status_id":1,"priority_id":2,"assigned_to_id":23,"start_date":"2016-09-14","description":"","custom_fields":[{"id":1,"name":"Subdivision","value":"EC"},{"id":4,"name":"Milepost","value":"23.3285"},{"id":17,"name":"Train ID","value":"211-14"},{"id":16,"name":"Locomotive ID","value":"4042"},{"id":130,"name":"Impact","value":""},{"id":150,"name":"Time of Event (Mountain Time)","value":"18:08:10"},{"id":151,"name":"Denver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550</v>
      </c>
      <c r="B125" s="7">
        <v>4041</v>
      </c>
      <c r="C125" s="24" t="s">
        <v>108</v>
      </c>
      <c r="D125" s="24" t="s">
        <v>244</v>
      </c>
      <c r="E125" s="15">
        <v>42627.760613425926</v>
      </c>
      <c r="F125" s="15">
        <v>42627.768240740741</v>
      </c>
      <c r="G125" s="7">
        <v>3</v>
      </c>
      <c r="H125" s="15" t="s">
        <v>238</v>
      </c>
      <c r="I125" s="15">
        <v>42627.795648148145</v>
      </c>
      <c r="J125" s="7">
        <v>0</v>
      </c>
      <c r="K125" s="121" t="str">
        <f t="shared" si="30"/>
        <v>4041/4042</v>
      </c>
      <c r="L125" s="24" t="str">
        <f>VLOOKUP(A125,'Trips&amp;Operators'!$C$1:$E$10000,3,FALSE)</f>
        <v>HILLS</v>
      </c>
      <c r="M125" s="6">
        <f t="shared" si="31"/>
        <v>2.7407407404098194E-2</v>
      </c>
      <c r="N125" s="7">
        <f t="shared" si="45"/>
        <v>39.466666661901399</v>
      </c>
      <c r="O125" s="7"/>
      <c r="P125" s="7"/>
      <c r="Q125" s="25"/>
      <c r="R125" s="25"/>
      <c r="S125" s="37">
        <f t="shared" si="49"/>
        <v>1</v>
      </c>
      <c r="T125" s="52" t="str">
        <f t="shared" si="32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17:15:17-0600',mode:absolute,to:'2016-09-14 20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5" s="54" t="str">
        <f t="shared" si="48"/>
        <v>N</v>
      </c>
      <c r="X125" s="168">
        <f t="shared" si="46"/>
        <v>1</v>
      </c>
      <c r="Y125" s="69">
        <f t="shared" si="47"/>
        <v>23.297699999999999</v>
      </c>
      <c r="Z125" s="69">
        <f t="shared" si="41"/>
        <v>1.4500000000000001E-2</v>
      </c>
      <c r="AA125" s="69">
        <f t="shared" si="35"/>
        <v>23.283199999999997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6"/>
        <v>0212-14</v>
      </c>
      <c r="AE125" s="99" t="str">
        <f t="shared" si="37"/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AF125" s="96" t="str">
        <f t="shared" si="38"/>
        <v>"C:\Program Files (x86)\AstroGrep\AstroGrep.exe" /spath="%USERPROFILE%\AppData\Local\Temp\OnboardLogs" /stypes="app*4041*20160915*" /stext=" 01:.+((SYSTEM_STATE.+slice.+state.+changed )|(ment ac)|(system.+state.+changed )|(\|lc)|(penalty)|(\[timeout)|(PRM\|1\|D)|(kpr)|(kdp))" /e /r /s</v>
      </c>
      <c r="AG125" s="1" t="str">
        <f t="shared" si="39"/>
        <v>EC</v>
      </c>
      <c r="AH125" s="100" t="str">
        <f t="shared" si="29"/>
        <v>"%USERPROFILE%\Documents\GitHub\eaglep3\Utilities\RefineRTDCRunTimes.py" --tripid 212-14 --locoid 4041 --swversion DE.1.0.7.0 --startMP 204:232977 --initTime 2016-09-14T18:15:17 --startdatetime 2016-09-14T18:26:16 --delay 3 --endMP 204:145 --enddatetime 2016-09-14T19:05:44 --enforcementcount 0 &gt;&gt;C:\Users\stu\Documents\GitHub\eaglep3-reporting\EC\2016-09-14-refined-times.txt</v>
      </c>
      <c r="AI125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{"issue":{"subject":"","project_id":79,"tracker_id":40,"status_id":1,"priority_id":2,"assigned_to_id":23,"start_date":"2016-09-14","description":"","custom_fields":[{"id":1,"name":"Subdivision","value":"EC"},{"id":4,"name":"Milepost","value":"0.0145"},{"id":17,"name":"Train ID","value":"212-14"},{"id":16,"name":"Locomotive ID","value":"4041"},{"id":130,"name":"Impact","value":""},{"id":150,"name":"Time of Event (Mountain Time)","value":"19:05:44"},{"id":151,"name":"Denver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541</v>
      </c>
      <c r="B126" s="7">
        <v>4027</v>
      </c>
      <c r="C126" s="24" t="s">
        <v>108</v>
      </c>
      <c r="D126" s="24" t="s">
        <v>231</v>
      </c>
      <c r="E126" s="15">
        <v>42627.736458333333</v>
      </c>
      <c r="F126" s="15">
        <v>42627.739849537036</v>
      </c>
      <c r="G126" s="7">
        <v>1</v>
      </c>
      <c r="H126" s="15" t="s">
        <v>323</v>
      </c>
      <c r="I126" s="15">
        <v>42627.764606481483</v>
      </c>
      <c r="J126" s="7">
        <v>0</v>
      </c>
      <c r="K126" s="121" t="str">
        <f t="shared" si="30"/>
        <v>4027/4028</v>
      </c>
      <c r="L126" s="24" t="str">
        <f>VLOOKUP(A126,'Trips&amp;Operators'!$C$1:$E$10000,3,FALSE)</f>
        <v>SMITH</v>
      </c>
      <c r="M126" s="6">
        <f t="shared" si="31"/>
        <v>2.4756944447290152E-2</v>
      </c>
      <c r="N126" s="7">
        <f t="shared" si="45"/>
        <v>35.650000004097819</v>
      </c>
      <c r="O126" s="7"/>
      <c r="P126" s="7"/>
      <c r="Q126" s="25"/>
      <c r="R126" s="25"/>
      <c r="S126" s="37">
        <f t="shared" si="49"/>
        <v>1</v>
      </c>
      <c r="T126" s="52" t="str">
        <f t="shared" si="32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16:40:30-0600',mode:absolute,to:'2016-09-14 19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26" s="54" t="str">
        <f t="shared" si="48"/>
        <v>N</v>
      </c>
      <c r="X126" s="168">
        <f t="shared" si="46"/>
        <v>1</v>
      </c>
      <c r="Y126" s="69">
        <f t="shared" si="47"/>
        <v>4.53E-2</v>
      </c>
      <c r="Z126" s="69">
        <f t="shared" si="41"/>
        <v>23.328800000000001</v>
      </c>
      <c r="AA126" s="69">
        <f t="shared" si="35"/>
        <v>23.2835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6"/>
        <v>0213-14</v>
      </c>
      <c r="AE126" s="99" t="str">
        <f t="shared" si="37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126" s="96" t="str">
        <f t="shared" si="38"/>
        <v>"C:\Program Files (x86)\AstroGrep\AstroGrep.exe" /spath="%USERPROFILE%\AppData\Local\Temp\OnboardLogs" /stypes="app*4027*20160915*" /stext=" 00:.+((SYSTEM_STATE.+slice.+state.+changed )|(ment ac)|(system.+state.+changed )|(\|lc)|(penalty)|(\[timeout)|(PRM\|1\|D)|(kpr)|(kdp))" /e /r /s</v>
      </c>
      <c r="AG126" s="1" t="str">
        <f t="shared" si="39"/>
        <v>EC</v>
      </c>
      <c r="AH126" s="100" t="str">
        <f t="shared" si="29"/>
        <v>"%USERPROFILE%\Documents\GitHub\eaglep3\Utilities\RefineRTDCRunTimes.py" --tripid 213-14 --locoid 4027 --swversion DE.1.0.7.0 --startMP 204:453 --initTime 2016-09-14T17:40:30 --startdatetime 2016-09-14T17:45:23 --delay 1 --endMP 204:233288 --enddatetime 2016-09-14T18:21:02 --enforcementcount 0 &gt;&gt;C:\Users\stu\Documents\GitHub\eaglep3-reporting\EC\2016-09-14-refined-times.txt</v>
      </c>
      <c r="AI126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{"issue":{"subject":"","project_id":79,"tracker_id":40,"status_id":1,"priority_id":2,"assigned_to_id":23,"start_date":"2016-09-14","description":"","custom_fields":[{"id":1,"name":"Subdivision","value":"EC"},{"id":4,"name":"Milepost","value":"23.3288"},{"id":17,"name":"Train ID","value":"213-14"},{"id":16,"name":"Locomotive ID","value":"4027"},{"id":130,"name":"Impact","value":""},{"id":150,"name":"Time of Event (Mountain Time)","value":"18:21:02"},{"id":151,"name":"Denver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552</v>
      </c>
      <c r="B127" s="7">
        <v>4028</v>
      </c>
      <c r="C127" s="24" t="s">
        <v>108</v>
      </c>
      <c r="D127" s="24" t="s">
        <v>350</v>
      </c>
      <c r="E127" s="15">
        <v>42627.769756944443</v>
      </c>
      <c r="F127" s="15">
        <v>42627.778703703705</v>
      </c>
      <c r="G127" s="7">
        <v>1</v>
      </c>
      <c r="H127" s="15" t="s">
        <v>131</v>
      </c>
      <c r="I127" s="15">
        <v>42627.806157407409</v>
      </c>
      <c r="J127" s="7">
        <v>0</v>
      </c>
      <c r="K127" s="121" t="str">
        <f t="shared" si="30"/>
        <v>4027/4028</v>
      </c>
      <c r="L127" s="24" t="str">
        <f>VLOOKUP(A127,'Trips&amp;Operators'!$C$1:$E$10000,3,FALSE)</f>
        <v>SMITH</v>
      </c>
      <c r="M127" s="6">
        <f t="shared" si="31"/>
        <v>2.7453703703940846E-2</v>
      </c>
      <c r="N127" s="7">
        <f t="shared" si="45"/>
        <v>39.533333333674818</v>
      </c>
      <c r="O127" s="7"/>
      <c r="P127" s="7"/>
      <c r="Q127" s="25"/>
      <c r="R127" s="25"/>
      <c r="S127" s="37">
        <f t="shared" si="49"/>
        <v>1</v>
      </c>
      <c r="T127" s="52" t="str">
        <f t="shared" si="32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17:28:27-0600',mode:absolute,to:'2016-09-14 20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7" s="54" t="str">
        <f t="shared" si="48"/>
        <v>N</v>
      </c>
      <c r="X127" s="168">
        <f t="shared" si="46"/>
        <v>1</v>
      </c>
      <c r="Y127" s="69">
        <f t="shared" si="47"/>
        <v>23.2973</v>
      </c>
      <c r="Z127" s="69">
        <f t="shared" si="41"/>
        <v>1.54E-2</v>
      </c>
      <c r="AA127" s="69">
        <f t="shared" si="35"/>
        <v>23.2819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36"/>
        <v>0214-14</v>
      </c>
      <c r="AE127" s="99" t="str">
        <f t="shared" si="37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127" s="96" t="str">
        <f t="shared" si="38"/>
        <v>"C:\Program Files (x86)\AstroGrep\AstroGrep.exe" /spath="%USERPROFILE%\AppData\Local\Temp\OnboardLogs" /stypes="app*4028*20160915*" /stext=" 01:.+((SYSTEM_STATE.+slice.+state.+changed )|(ment ac)|(system.+state.+changed )|(\|lc)|(penalty)|(\[timeout)|(PRM\|1\|D)|(kpr)|(kdp))" /e /r /s</v>
      </c>
      <c r="AG127" s="1" t="str">
        <f t="shared" si="39"/>
        <v>EC</v>
      </c>
      <c r="AH127" s="100" t="str">
        <f t="shared" si="29"/>
        <v>"%USERPROFILE%\Documents\GitHub\eaglep3\Utilities\RefineRTDCRunTimes.py" --tripid 214-14 --locoid 4028 --swversion DE.1.0.7.0 --startMP 204:232973 --initTime 2016-09-14T18:28:27 --startdatetime 2016-09-14T18:41:20 --delay 1 --endMP 204:154 --enddatetime 2016-09-14T19:20:52 --enforcementcount 0 &gt;&gt;C:\Users\stu\Documents\GitHub\eaglep3-reporting\EC\2016-09-14-refined-times.txt</v>
      </c>
      <c r="AI127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{"issue":{"subject":"","project_id":79,"tracker_id":40,"status_id":1,"priority_id":2,"assigned_to_id":23,"start_date":"2016-09-14","description":"","custom_fields":[{"id":1,"name":"Subdivision","value":"EC"},{"id":4,"name":"Milepost","value":"0.0154"},{"id":17,"name":"Train ID","value":"214-14"},{"id":16,"name":"Locomotive ID","value":"4028"},{"id":130,"name":"Impact","value":""},{"id":150,"name":"Time of Event (Mountain Time)","value":"19:20:52"},{"id":151,"name":"Denver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544</v>
      </c>
      <c r="B128" s="7">
        <v>4003</v>
      </c>
      <c r="C128" s="24" t="s">
        <v>108</v>
      </c>
      <c r="D128" s="24" t="s">
        <v>239</v>
      </c>
      <c r="E128" s="15">
        <v>42627.746087962965</v>
      </c>
      <c r="F128" s="15">
        <v>42627.750347222223</v>
      </c>
      <c r="G128" s="7">
        <v>1</v>
      </c>
      <c r="H128" s="15" t="s">
        <v>348</v>
      </c>
      <c r="I128" s="15">
        <v>42627.776608796295</v>
      </c>
      <c r="J128" s="7">
        <v>0</v>
      </c>
      <c r="K128" s="121" t="str">
        <f t="shared" si="30"/>
        <v>4003/4004</v>
      </c>
      <c r="L128" s="24" t="str">
        <f>VLOOKUP(A128,'Trips&amp;Operators'!$C$1:$E$10000,3,FALSE)</f>
        <v>SWANSON</v>
      </c>
      <c r="M128" s="6">
        <f t="shared" si="31"/>
        <v>2.626157407212304E-2</v>
      </c>
      <c r="N128" s="7">
        <f t="shared" si="45"/>
        <v>37.816666663857177</v>
      </c>
      <c r="O128" s="7"/>
      <c r="P128" s="7"/>
      <c r="Q128" s="25"/>
      <c r="R128" s="25"/>
      <c r="S128" s="37">
        <f t="shared" si="49"/>
        <v>1</v>
      </c>
      <c r="T128" s="52" t="str">
        <f t="shared" si="32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16:54:22-0600',mode:absolute,to:'2016-09-14 19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28" s="54" t="str">
        <f t="shared" si="48"/>
        <v>N</v>
      </c>
      <c r="X128" s="168">
        <f t="shared" si="46"/>
        <v>1</v>
      </c>
      <c r="Y128" s="69">
        <f t="shared" si="47"/>
        <v>4.4699999999999997E-2</v>
      </c>
      <c r="Z128" s="69">
        <f t="shared" si="41"/>
        <v>23.331</v>
      </c>
      <c r="AA128" s="69">
        <f t="shared" si="35"/>
        <v>23.286300000000001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36"/>
        <v>0215-14</v>
      </c>
      <c r="AE128" s="99" t="str">
        <f t="shared" si="37"/>
        <v>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 &amp; aws s3 cp s3://rtdc.mdm.uploadarchive/RTDC4003/2016-09-15/ "%USERPROFILE%\AppData\Local\Temp\OnboardLogs"\RTDC4003\2016-09-15 --recursive &amp; "%USERPROFILE%\Documents\GitHub\mrs-test-scripts\Headless Mode &amp; Sideloading\WalkAndUnGZ.bat" "%USERPROFILE%\AppData\Local\Temp\OnboardLogs"\RTDC4003\2016-09-15</v>
      </c>
      <c r="AF128" s="96" t="str">
        <f t="shared" si="38"/>
        <v>"C:\Program Files (x86)\AstroGrep\AstroGrep.exe" /spath="%USERPROFILE%\AppData\Local\Temp\OnboardLogs" /stypes="app*4003*20160915*" /stext=" 00:.+((SYSTEM_STATE.+slice.+state.+changed )|(ment ac)|(system.+state.+changed )|(\|lc)|(penalty)|(\[timeout)|(PRM\|1\|D)|(kpr)|(kdp))" /e /r /s</v>
      </c>
      <c r="AG128" s="1" t="str">
        <f t="shared" si="39"/>
        <v>EC</v>
      </c>
      <c r="AH128" s="100" t="str">
        <f t="shared" si="29"/>
        <v>"%USERPROFILE%\Documents\GitHub\eaglep3\Utilities\RefineRTDCRunTimes.py" --tripid 215-14 --locoid 4003 --swversion DE.1.0.7.0 --startMP 204:447 --initTime 2016-09-14T17:54:22 --startdatetime 2016-09-14T18:00:30 --delay 1 --endMP 204:233310 --enddatetime 2016-09-14T18:38:19 --enforcementcount 0 &gt;&gt;C:\Users\stu\Documents\GitHub\eaglep3-reporting\EC\2016-09-14-refined-times.txt</v>
      </c>
      <c r="AI128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{"issue":{"subject":"","project_id":79,"tracker_id":40,"status_id":1,"priority_id":2,"assigned_to_id":23,"start_date":"2016-09-14","description":"","custom_fields":[{"id":1,"name":"Subdivision","value":"EC"},{"id":4,"name":"Milepost","value":"23.331"},{"id":17,"name":"Train ID","value":"215-14"},{"id":16,"name":"Locomotive ID","value":"4003"},{"id":130,"name":"Impact","value":""},{"id":150,"name":"Time of Event (Mountain Time)","value":"18:38:19"},{"id":151,"name":"Denver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556</v>
      </c>
      <c r="B129" s="7">
        <v>4004</v>
      </c>
      <c r="C129" s="24" t="s">
        <v>108</v>
      </c>
      <c r="D129" s="24" t="s">
        <v>621</v>
      </c>
      <c r="E129" s="15">
        <v>42627.778969907406</v>
      </c>
      <c r="F129" s="15">
        <v>42627.789456018516</v>
      </c>
      <c r="G129" s="7">
        <v>2</v>
      </c>
      <c r="H129" s="15" t="s">
        <v>233</v>
      </c>
      <c r="I129" s="15">
        <v>42627.818564814814</v>
      </c>
      <c r="J129" s="7">
        <v>0</v>
      </c>
      <c r="K129" s="121" t="str">
        <f t="shared" si="30"/>
        <v>4003/4004</v>
      </c>
      <c r="L129" s="24" t="str">
        <f>VLOOKUP(A129,'Trips&amp;Operators'!$C$1:$E$10000,3,FALSE)</f>
        <v>SWANSON</v>
      </c>
      <c r="M129" s="6">
        <f t="shared" si="31"/>
        <v>2.9108796297805384E-2</v>
      </c>
      <c r="N129" s="7">
        <f t="shared" si="45"/>
        <v>41.916666668839753</v>
      </c>
      <c r="O129" s="7"/>
      <c r="P129" s="7"/>
      <c r="Q129" s="25"/>
      <c r="R129" s="25"/>
      <c r="S129" s="37">
        <f t="shared" si="49"/>
        <v>1</v>
      </c>
      <c r="T129" s="52" t="str">
        <f t="shared" si="32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17:41:43-0600',mode:absolute,to:'2016-09-14 20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9" s="54" t="str">
        <f t="shared" si="48"/>
        <v>N</v>
      </c>
      <c r="X129" s="168">
        <f t="shared" si="46"/>
        <v>1</v>
      </c>
      <c r="Y129" s="69">
        <f t="shared" si="47"/>
        <v>23.298500000000001</v>
      </c>
      <c r="Z129" s="69">
        <f t="shared" si="41"/>
        <v>1.4999999999999999E-2</v>
      </c>
      <c r="AA129" s="69">
        <f t="shared" si="35"/>
        <v>23.2835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6"/>
        <v>0216-14</v>
      </c>
      <c r="AE129" s="99" t="str">
        <f t="shared" si="37"/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AF129" s="96" t="str">
        <f t="shared" si="38"/>
        <v>"C:\Program Files (x86)\AstroGrep\AstroGrep.exe" /spath="%USERPROFILE%\AppData\Local\Temp\OnboardLogs" /stypes="app*4004*20160915*" /stext=" 01:.+((SYSTEM_STATE.+slice.+state.+changed )|(ment ac)|(system.+state.+changed )|(\|lc)|(penalty)|(\[timeout)|(PRM\|1\|D)|(kpr)|(kdp))" /e /r /s</v>
      </c>
      <c r="AG129" s="1" t="str">
        <f t="shared" si="39"/>
        <v>EC</v>
      </c>
      <c r="AH129" s="100" t="str">
        <f t="shared" si="29"/>
        <v>"%USERPROFILE%\Documents\GitHub\eaglep3\Utilities\RefineRTDCRunTimes.py" --tripid 216-14 --locoid 4004 --swversion DE.1.0.7.0 --startMP 204:232985 --initTime 2016-09-14T18:41:43 --startdatetime 2016-09-14T18:56:49 --delay 2 --endMP 204:150 --enddatetime 2016-09-14T19:38:44 --enforcementcount 0 &gt;&gt;C:\Users\stu\Documents\GitHub\eaglep3-reporting\EC\2016-09-14-refined-times.txt</v>
      </c>
      <c r="AI129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{"issue":{"subject":"","project_id":79,"tracker_id":40,"status_id":1,"priority_id":2,"assigned_to_id":23,"start_date":"2016-09-14","description":"","custom_fields":[{"id":1,"name":"Subdivision","value":"EC"},{"id":4,"name":"Milepost","value":"0.015"},{"id":17,"name":"Train ID","value":"216-14"},{"id":16,"name":"Locomotive ID","value":"4004"},{"id":130,"name":"Impact","value":""},{"id":150,"name":"Time of Event (Mountain Time)","value":"19:38:44"},{"id":151,"name":"Denver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547</v>
      </c>
      <c r="B130" s="7">
        <v>4014</v>
      </c>
      <c r="C130" s="24" t="s">
        <v>108</v>
      </c>
      <c r="D130" s="24" t="s">
        <v>240</v>
      </c>
      <c r="E130" s="15">
        <v>42627.755266203705</v>
      </c>
      <c r="F130" s="15">
        <v>42627.760810185187</v>
      </c>
      <c r="G130" s="7">
        <v>2</v>
      </c>
      <c r="H130" s="15" t="s">
        <v>222</v>
      </c>
      <c r="I130" s="15">
        <v>42627.784988425927</v>
      </c>
      <c r="J130" s="7">
        <v>0</v>
      </c>
      <c r="K130" s="121" t="str">
        <f t="shared" si="30"/>
        <v>4013/4014</v>
      </c>
      <c r="L130" s="24" t="str">
        <f>VLOOKUP(A130,'Trips&amp;Operators'!$C$1:$E$10000,3,FALSE)</f>
        <v>LEVIN</v>
      </c>
      <c r="M130" s="6">
        <f t="shared" si="31"/>
        <v>2.417824073927477E-2</v>
      </c>
      <c r="N130" s="7">
        <f t="shared" si="45"/>
        <v>34.816666664555669</v>
      </c>
      <c r="O130" s="7"/>
      <c r="P130" s="7"/>
      <c r="Q130" s="25"/>
      <c r="R130" s="25"/>
      <c r="S130" s="37">
        <f t="shared" si="49"/>
        <v>1</v>
      </c>
      <c r="T130" s="52" t="str">
        <f t="shared" si="32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17:07:35-0600',mode:absolute,to:'2016-09-14 19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0" s="54" t="str">
        <f t="shared" si="48"/>
        <v>N</v>
      </c>
      <c r="X130" s="168">
        <f t="shared" si="46"/>
        <v>1</v>
      </c>
      <c r="Y130" s="69">
        <f t="shared" si="47"/>
        <v>4.6600000000000003E-2</v>
      </c>
      <c r="Z130" s="69">
        <f t="shared" si="41"/>
        <v>23.331399999999999</v>
      </c>
      <c r="AA130" s="69">
        <f t="shared" si="35"/>
        <v>23.284799999999997</v>
      </c>
      <c r="AB130" s="66" t="str">
        <f>VLOOKUP(A130,Enforcements!$C$7:$K$20,8,0)</f>
        <v>Bulletin (2)</v>
      </c>
      <c r="AC130" s="62" t="str">
        <f>VLOOKUP(A130,Enforcements!$C$7:$E$20,3,0)</f>
        <v>GRADE CROSSING</v>
      </c>
      <c r="AD130" s="63" t="str">
        <f t="shared" si="36"/>
        <v>0217-14</v>
      </c>
      <c r="AE130" s="99" t="str">
        <f t="shared" si="37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130" s="96" t="str">
        <f t="shared" si="38"/>
        <v>"C:\Program Files (x86)\AstroGrep\AstroGrep.exe" /spath="%USERPROFILE%\AppData\Local\Temp\OnboardLogs" /stypes="app*4014*20160915*" /stext=" 00:.+((SYSTEM_STATE.+slice.+state.+changed )|(ment ac)|(system.+state.+changed )|(\|lc)|(penalty)|(\[timeout)|(PRM\|1\|D)|(kpr)|(kdp))" /e /r /s</v>
      </c>
      <c r="AG130" s="1" t="str">
        <f t="shared" si="39"/>
        <v>EC</v>
      </c>
      <c r="AH130" s="100" t="str">
        <f t="shared" si="29"/>
        <v>"%USERPROFILE%\Documents\GitHub\eaglep3\Utilities\RefineRTDCRunTimes.py" --tripid 217-14 --locoid 4014 --swversion DE.1.0.7.0 --startMP 204:466 --initTime 2016-09-14T18:07:35 --startdatetime 2016-09-14T18:15:34 --delay 2 --endMP 204:233314 --enddatetime 2016-09-14T18:50:23 --enforcementcount 0 &gt;&gt;C:\Users\stu\Documents\GitHub\eaglep3-reporting\EC\2016-09-14-refined-times.txt</v>
      </c>
      <c r="AI130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{"issue":{"subject":"","project_id":79,"tracker_id":40,"status_id":1,"priority_id":2,"assigned_to_id":23,"start_date":"2016-09-14","description":"","custom_fields":[{"id":1,"name":"Subdivision","value":"EC"},{"id":4,"name":"Milepost","value":"23.3314"},{"id":17,"name":"Train ID","value":"217-14"},{"id":16,"name":"Locomotive ID","value":"4014"},{"id":130,"name":"Impact","value":""},{"id":150,"name":"Time of Event (Mountain Time)","value":"18:50:23"},{"id":151,"name":"Denver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559</v>
      </c>
      <c r="B131" s="7">
        <v>4013</v>
      </c>
      <c r="C131" s="24" t="s">
        <v>108</v>
      </c>
      <c r="D131" s="24" t="s">
        <v>650</v>
      </c>
      <c r="E131" s="15">
        <v>42627.793576388889</v>
      </c>
      <c r="F131" s="15">
        <v>42627.799502314818</v>
      </c>
      <c r="G131" s="7">
        <v>1</v>
      </c>
      <c r="H131" s="15" t="s">
        <v>221</v>
      </c>
      <c r="I131" s="15">
        <v>42627.825624999998</v>
      </c>
      <c r="J131" s="7">
        <v>0</v>
      </c>
      <c r="K131" s="121" t="str">
        <f t="shared" si="30"/>
        <v>4013/4014</v>
      </c>
      <c r="L131" s="24" t="str">
        <f>VLOOKUP(A131,'Trips&amp;Operators'!$C$1:$E$10000,3,FALSE)</f>
        <v>LEVIN</v>
      </c>
      <c r="M131" s="6">
        <f t="shared" si="31"/>
        <v>2.6122685179871041E-2</v>
      </c>
      <c r="N131" s="7">
        <f t="shared" si="45"/>
        <v>37.6166666590143</v>
      </c>
      <c r="O131" s="7"/>
      <c r="P131" s="7"/>
      <c r="Q131" s="25"/>
      <c r="R131" s="25"/>
      <c r="S131" s="37">
        <f t="shared" si="49"/>
        <v>1</v>
      </c>
      <c r="T131" s="52" t="str">
        <f t="shared" si="32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18:02:45-0600',mode:absolute,to:'2016-09-14 20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1" s="54" t="str">
        <f t="shared" si="48"/>
        <v>N</v>
      </c>
      <c r="X131" s="168">
        <f t="shared" si="46"/>
        <v>1</v>
      </c>
      <c r="Y131" s="69">
        <f t="shared" si="47"/>
        <v>23.299800000000001</v>
      </c>
      <c r="Z131" s="69">
        <f t="shared" si="41"/>
        <v>1.49E-2</v>
      </c>
      <c r="AA131" s="69">
        <f t="shared" si="35"/>
        <v>23.2849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6"/>
        <v>0218-14</v>
      </c>
      <c r="AE131" s="99" t="str">
        <f t="shared" si="37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131" s="96" t="str">
        <f t="shared" si="38"/>
        <v>"C:\Program Files (x86)\AstroGrep\AstroGrep.exe" /spath="%USERPROFILE%\AppData\Local\Temp\OnboardLogs" /stypes="app*4013*20160915*" /stext=" 01:.+((SYSTEM_STATE.+slice.+state.+changed )|(ment ac)|(system.+state.+changed )|(\|lc)|(penalty)|(\[timeout)|(PRM\|1\|D)|(kpr)|(kdp))" /e /r /s</v>
      </c>
      <c r="AG131" s="1" t="str">
        <f t="shared" si="39"/>
        <v>EC</v>
      </c>
      <c r="AH131" s="100" t="str">
        <f t="shared" si="29"/>
        <v>"%USERPROFILE%\Documents\GitHub\eaglep3\Utilities\RefineRTDCRunTimes.py" --tripid 218-14 --locoid 4013 --swversion DE.1.0.7.0 --startMP 204:232998 --initTime 2016-09-14T19:02:45 --startdatetime 2016-09-14T19:11:17 --delay 1 --endMP 204:149 --enddatetime 2016-09-14T19:48:54 --enforcementcount 0 &gt;&gt;C:\Users\stu\Documents\GitHub\eaglep3-reporting\EC\2016-09-14-refined-times.txt</v>
      </c>
      <c r="AI131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{"issue":{"subject":"","project_id":79,"tracker_id":40,"status_id":1,"priority_id":2,"assigned_to_id":23,"start_date":"2016-09-14","description":"","custom_fields":[{"id":1,"name":"Subdivision","value":"EC"},{"id":4,"name":"Milepost","value":"0.0149"},{"id":17,"name":"Train ID","value":"218-14"},{"id":16,"name":"Locomotive ID","value":"4013"},{"id":130,"name":"Impact","value":""},{"id":150,"name":"Time of Event (Mountain Time)","value":"19:48:54"},{"id":151,"name":"Denver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551</v>
      </c>
      <c r="B132" s="7">
        <v>4053</v>
      </c>
      <c r="C132" s="24" t="s">
        <v>108</v>
      </c>
      <c r="D132" s="24" t="s">
        <v>654</v>
      </c>
      <c r="E132" s="15">
        <v>42627.778553240743</v>
      </c>
      <c r="F132" s="15">
        <v>42627.780486111114</v>
      </c>
      <c r="G132" s="7">
        <v>1</v>
      </c>
      <c r="H132" s="15" t="s">
        <v>320</v>
      </c>
      <c r="I132" s="15">
        <v>42627.798391203702</v>
      </c>
      <c r="J132" s="7">
        <v>0</v>
      </c>
      <c r="K132" s="121" t="str">
        <f t="shared" si="30"/>
        <v>4053/4054</v>
      </c>
      <c r="L132" s="24" t="str">
        <f>VLOOKUP(A132,'Trips&amp;Operators'!$C$1:$E$10000,3,FALSE)</f>
        <v>COOLAHAN</v>
      </c>
      <c r="M132" s="6">
        <f t="shared" si="31"/>
        <v>1.7905092587170657E-2</v>
      </c>
      <c r="N132" s="7"/>
      <c r="O132" s="7"/>
      <c r="P132" s="7">
        <f>24*60*SUM($M132:$M132)</f>
        <v>25.783333325525746</v>
      </c>
      <c r="Q132" s="25"/>
      <c r="R132" s="25" t="s">
        <v>341</v>
      </c>
      <c r="S132" s="37">
        <f t="shared" si="49"/>
        <v>0.75</v>
      </c>
      <c r="T132" s="52" t="str">
        <f t="shared" si="32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9</v>
      </c>
      <c r="V132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17:41:07-0600',mode:absolute,to:'2016-09-14 20:09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2" s="54" t="str">
        <f t="shared" si="48"/>
        <v>Y</v>
      </c>
      <c r="X132" s="168">
        <f t="shared" ref="X132:X163" si="50">VALUE(LEFT(AD132,4))-VALUE(LEFT(AD131,4))</f>
        <v>1</v>
      </c>
      <c r="Y132" s="69">
        <f t="shared" ref="Y132:Y163" si="51">RIGHT(D132,LEN(D132)-4)/10000</f>
        <v>3.72</v>
      </c>
      <c r="Z132" s="69">
        <f t="shared" si="41"/>
        <v>23.328499999999998</v>
      </c>
      <c r="AA132" s="69">
        <f t="shared" si="35"/>
        <v>19.608499999999999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6"/>
        <v>0219-14</v>
      </c>
      <c r="AE132" s="99" t="str">
        <f t="shared" si="37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132" s="96" t="str">
        <f t="shared" si="38"/>
        <v>"C:\Program Files (x86)\AstroGrep\AstroGrep.exe" /spath="%USERPROFILE%\AppData\Local\Temp\OnboardLogs" /stypes="app*4053*20160915*" /stext=" 01:.+((SYSTEM_STATE.+slice.+state.+changed )|(ment ac)|(system.+state.+changed )|(\|lc)|(penalty)|(\[timeout)|(PRM\|1\|D)|(kpr)|(kdp))" /e /r /s</v>
      </c>
      <c r="AG132" s="1" t="str">
        <f t="shared" si="39"/>
        <v>EC</v>
      </c>
      <c r="AH132" s="100" t="str">
        <f t="shared" si="29"/>
        <v>"%USERPROFILE%\Documents\GitHub\eaglep3\Utilities\RefineRTDCRunTimes.py" --tripid 219-14 --locoid 4053 --swversion DE.1.0.7.0 --startMP 204:37200 --initTime 2016-09-14T18:41:07 --startdatetime 2016-09-14T18:43:54 --delay 1 --endMP 204:233285 --enddatetime 2016-09-14T19:09:41 --enforcementcount 0 &gt;&gt;C:\Users\stu\Documents\GitHub\eaglep3-reporting\EC\2016-09-14-refined-times.txt</v>
      </c>
      <c r="AI132" s="134" t="str">
        <f t="shared" si="40"/>
        <v>echo {"issue":{"subject":"Onboard in-route failure","project_id":79,"tracker_id":40,"status_id":1,"priority_id":2,"assigned_to_id":23,"start_date":"2016-09-14","description":"Multiple CPU faults caused an onboard in-route failure","custom_fields":[{"id":1,"name":"Subdivision","value":"EC"},{"id":4,"name":"Milepost","value":"23.3285"},{"id":17,"name":"Train ID","value":"219-14"},{"id":16,"name":"Locomotive ID","value":"4053"},{"id":130,"name":"Impact","value":"Failed State"},{"id":150,"name":"Time of Event (Mountain Time)","value":"19:09:41"},{"id":151,"name":"Denver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32" s="55" t="s">
        <v>740</v>
      </c>
      <c r="AK132" s="55" t="s">
        <v>145</v>
      </c>
      <c r="AL132" s="55" t="s">
        <v>741</v>
      </c>
    </row>
    <row r="133" spans="1:38" s="23" customFormat="1" x14ac:dyDescent="0.25">
      <c r="A133" s="39" t="s">
        <v>551</v>
      </c>
      <c r="B133" s="7">
        <v>4053</v>
      </c>
      <c r="C133" s="24" t="s">
        <v>108</v>
      </c>
      <c r="D133" s="24" t="s">
        <v>243</v>
      </c>
      <c r="E133" s="15">
        <v>42627.767106481479</v>
      </c>
      <c r="F133" s="15">
        <v>42627.780486111114</v>
      </c>
      <c r="G133" s="7">
        <v>3</v>
      </c>
      <c r="H133" s="15" t="s">
        <v>243</v>
      </c>
      <c r="I133" s="15">
        <v>42627.798391203702</v>
      </c>
      <c r="J133" s="7">
        <v>0</v>
      </c>
      <c r="K133" s="121" t="str">
        <f t="shared" si="30"/>
        <v>4053/4054</v>
      </c>
      <c r="L133" s="24" t="str">
        <f>VLOOKUP(A133,'Trips&amp;Operators'!$C$1:$E$10000,3,FALSE)</f>
        <v>COOLAHAN</v>
      </c>
      <c r="M133" s="6">
        <f t="shared" si="31"/>
        <v>1.7905092587170657E-2</v>
      </c>
      <c r="N133" s="7"/>
      <c r="O133" s="7"/>
      <c r="P133" s="7"/>
      <c r="Q133" s="25"/>
      <c r="R133" s="25"/>
      <c r="S133" s="37"/>
      <c r="T133" s="52" t="str">
        <f t="shared" si="32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0</v>
      </c>
      <c r="V133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17:24:38-0600',mode:absolute,to:'2016-09-14 20:09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3" s="54" t="str">
        <f t="shared" ref="W133:W164" si="52">IF(AA133&lt;IF(AG133="EC",23,5.65),"Y","N")</f>
        <v>Y</v>
      </c>
      <c r="X133" s="168">
        <f t="shared" si="50"/>
        <v>0</v>
      </c>
      <c r="Y133" s="69">
        <f t="shared" si="51"/>
        <v>4.5499999999999999E-2</v>
      </c>
      <c r="Z133" s="69">
        <f t="shared" si="41"/>
        <v>4.5499999999999999E-2</v>
      </c>
      <c r="AA133" s="69">
        <f t="shared" si="35"/>
        <v>0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6"/>
        <v>0219-14</v>
      </c>
      <c r="AE133" s="99" t="str">
        <f t="shared" si="37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133" s="96" t="str">
        <f t="shared" si="38"/>
        <v>"C:\Program Files (x86)\AstroGrep\AstroGrep.exe" /spath="%USERPROFILE%\AppData\Local\Temp\OnboardLogs" /stypes="app*4053*20160915*" /stext=" 01:.+((SYSTEM_STATE.+slice.+state.+changed )|(ment ac)|(system.+state.+changed )|(\|lc)|(penalty)|(\[timeout)|(PRM\|1\|D)|(kpr)|(kdp))" /e /r /s</v>
      </c>
      <c r="AG133" s="1" t="str">
        <f t="shared" si="39"/>
        <v>EC</v>
      </c>
      <c r="AH133" s="100" t="str">
        <f t="shared" si="29"/>
        <v>"%USERPROFILE%\Documents\GitHub\eaglep3\Utilities\RefineRTDCRunTimes.py" --tripid 219-14 --locoid 4053 --swversion DE.1.0.7.0 --startMP 204:455 --initTime 2016-09-14T18:24:38 --startdatetime 2016-09-14T18:43:54 --delay 3 --endMP 204:455 --enddatetime 2016-09-14T19:09:41 --enforcementcount 0 &gt;&gt;C:\Users\stu\Documents\GitHub\eaglep3-reporting\EC\2016-09-14-refined-times.txt</v>
      </c>
      <c r="AI133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{"issue":{"subject":"","project_id":79,"tracker_id":40,"status_id":1,"priority_id":2,"assigned_to_id":23,"start_date":"2016-09-14","description":"","custom_fields":[{"id":1,"name":"Subdivision","value":"EC"},{"id":4,"name":"Milepost","value":"0.0455"},{"id":17,"name":"Train ID","value":"219-14"},{"id":16,"name":"Locomotive ID","value":"4053"},{"id":130,"name":"Impact","value":""},{"id":150,"name":"Time of Event (Mountain Time)","value":"19:09:41"},{"id":151,"name":"Denver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563</v>
      </c>
      <c r="B134" s="7">
        <v>4054</v>
      </c>
      <c r="C134" s="24" t="s">
        <v>108</v>
      </c>
      <c r="D134" s="24" t="s">
        <v>274</v>
      </c>
      <c r="E134" s="15">
        <v>42627.806504629632</v>
      </c>
      <c r="F134" s="15">
        <v>42627.810046296298</v>
      </c>
      <c r="G134" s="7">
        <v>1</v>
      </c>
      <c r="H134" s="15" t="s">
        <v>238</v>
      </c>
      <c r="I134" s="15">
        <v>42627.83625</v>
      </c>
      <c r="J134" s="7">
        <v>0</v>
      </c>
      <c r="K134" s="121" t="str">
        <f t="shared" si="30"/>
        <v>4053/4054</v>
      </c>
      <c r="L134" s="24" t="str">
        <f>VLOOKUP(A134,'Trips&amp;Operators'!$C$1:$E$10000,3,FALSE)</f>
        <v>COOLAHAN</v>
      </c>
      <c r="M134" s="6">
        <f t="shared" si="31"/>
        <v>2.6203703702776693E-2</v>
      </c>
      <c r="N134" s="7">
        <f t="shared" ref="N134:N175" si="53">24*60*SUM($M134:$M134)</f>
        <v>37.733333331998438</v>
      </c>
      <c r="O134" s="7"/>
      <c r="P134" s="7"/>
      <c r="Q134" s="25"/>
      <c r="R134" s="25"/>
      <c r="S134" s="37">
        <f t="shared" ref="S134:S176" si="54">SUM(U134:U134)/IF(AG134="EC",12,1)</f>
        <v>1</v>
      </c>
      <c r="T134" s="52" t="str">
        <f t="shared" si="32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18:21:22-0600',mode:absolute,to:'2016-09-14 21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4" s="54" t="str">
        <f t="shared" si="52"/>
        <v>N</v>
      </c>
      <c r="X134" s="168">
        <f t="shared" si="50"/>
        <v>1</v>
      </c>
      <c r="Y134" s="69">
        <f t="shared" si="51"/>
        <v>23.299399999999999</v>
      </c>
      <c r="Z134" s="69">
        <f t="shared" si="41"/>
        <v>1.4500000000000001E-2</v>
      </c>
      <c r="AA134" s="69">
        <f t="shared" si="35"/>
        <v>23.284899999999997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6"/>
        <v>0220-14</v>
      </c>
      <c r="AE134" s="99" t="str">
        <f t="shared" si="37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134" s="96" t="str">
        <f t="shared" si="38"/>
        <v>"C:\Program Files (x86)\AstroGrep\AstroGrep.exe" /spath="%USERPROFILE%\AppData\Local\Temp\OnboardLogs" /stypes="app*4054*20160915*" /stext=" 02:.+((SYSTEM_STATE.+slice.+state.+changed )|(ment ac)|(system.+state.+changed )|(\|lc)|(penalty)|(\[timeout)|(PRM\|1\|D)|(kpr)|(kdp))" /e /r /s</v>
      </c>
      <c r="AG134" s="1" t="str">
        <f t="shared" si="39"/>
        <v>EC</v>
      </c>
      <c r="AH134" s="100" t="str">
        <f t="shared" si="29"/>
        <v>"%USERPROFILE%\Documents\GitHub\eaglep3\Utilities\RefineRTDCRunTimes.py" --tripid 220-14 --locoid 4054 --swversion DE.1.0.7.0 --startMP 204:232994 --initTime 2016-09-14T19:21:22 --startdatetime 2016-09-14T19:26:28 --delay 1 --endMP 204:145 --enddatetime 2016-09-14T20:04:12 --enforcementcount 0 &gt;&gt;C:\Users\stu\Documents\GitHub\eaglep3-reporting\EC\2016-09-14-refined-times.txt</v>
      </c>
      <c r="AI134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{"issue":{"subject":"","project_id":79,"tracker_id":40,"status_id":1,"priority_id":2,"assigned_to_id":23,"start_date":"2016-09-14","description":"","custom_fields":[{"id":1,"name":"Subdivision","value":"EC"},{"id":4,"name":"Milepost","value":"0.0145"},{"id":17,"name":"Train ID","value":"220-14"},{"id":16,"name":"Locomotive ID","value":"4054"},{"id":130,"name":"Impact","value":""},{"id":150,"name":"Time of Event (Mountain Time)","value":"20:04:12"},{"id":151,"name":"Denver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558</v>
      </c>
      <c r="B135" s="7">
        <v>4044</v>
      </c>
      <c r="C135" s="24" t="s">
        <v>108</v>
      </c>
      <c r="D135" s="24" t="s">
        <v>253</v>
      </c>
      <c r="E135" s="15">
        <v>42627.786793981482</v>
      </c>
      <c r="F135" s="15">
        <v>42627.791875000003</v>
      </c>
      <c r="G135" s="7">
        <v>1</v>
      </c>
      <c r="H135" s="15" t="s">
        <v>284</v>
      </c>
      <c r="I135" s="15">
        <v>42627.816620370373</v>
      </c>
      <c r="J135" s="7">
        <v>0</v>
      </c>
      <c r="K135" s="121" t="str">
        <f t="shared" si="30"/>
        <v>4043/4044</v>
      </c>
      <c r="L135" s="24" t="str">
        <f>VLOOKUP(A135,'Trips&amp;Operators'!$C$1:$E$10000,3,FALSE)</f>
        <v>STURGEON</v>
      </c>
      <c r="M135" s="6">
        <f t="shared" si="31"/>
        <v>2.47453703705105E-2</v>
      </c>
      <c r="N135" s="7">
        <f t="shared" si="53"/>
        <v>35.63333333353512</v>
      </c>
      <c r="O135" s="7"/>
      <c r="P135" s="7"/>
      <c r="Q135" s="25"/>
      <c r="R135" s="25"/>
      <c r="S135" s="37">
        <f t="shared" si="54"/>
        <v>1</v>
      </c>
      <c r="T135" s="52" t="str">
        <f t="shared" si="32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17:52:59-0600',mode:absolute,to:'2016-09-14 20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5" s="54" t="str">
        <f t="shared" si="52"/>
        <v>N</v>
      </c>
      <c r="X135" s="168">
        <f t="shared" si="50"/>
        <v>1</v>
      </c>
      <c r="Y135" s="69">
        <f t="shared" si="51"/>
        <v>4.58E-2</v>
      </c>
      <c r="Z135" s="69">
        <f t="shared" si="41"/>
        <v>23.329799999999999</v>
      </c>
      <c r="AA135" s="69">
        <f t="shared" si="35"/>
        <v>23.283999999999999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36"/>
        <v>0221-14</v>
      </c>
      <c r="AE135" s="99" t="str">
        <f t="shared" si="37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135" s="96" t="str">
        <f t="shared" si="38"/>
        <v>"C:\Program Files (x86)\AstroGrep\AstroGrep.exe" /spath="%USERPROFILE%\AppData\Local\Temp\OnboardLogs" /stypes="app*4044*20160915*" /stext=" 01:.+((SYSTEM_STATE.+slice.+state.+changed )|(ment ac)|(system.+state.+changed )|(\|lc)|(penalty)|(\[timeout)|(PRM\|1\|D)|(kpr)|(kdp))" /e /r /s</v>
      </c>
      <c r="AG135" s="1" t="str">
        <f t="shared" si="39"/>
        <v>EC</v>
      </c>
      <c r="AH135" s="100" t="str">
        <f t="shared" si="29"/>
        <v>"%USERPROFILE%\Documents\GitHub\eaglep3\Utilities\RefineRTDCRunTimes.py" --tripid 221-14 --locoid 4044 --swversion DE.1.0.7.0 --startMP 204:458 --initTime 2016-09-14T18:52:59 --startdatetime 2016-09-14T19:00:18 --delay 1 --endMP 204:233298 --enddatetime 2016-09-14T19:35:56 --enforcementcount 0 &gt;&gt;C:\Users\stu\Documents\GitHub\eaglep3-reporting\EC\2016-09-14-refined-times.txt</v>
      </c>
      <c r="AI135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{"issue":{"subject":"","project_id":79,"tracker_id":40,"status_id":1,"priority_id":2,"assigned_to_id":23,"start_date":"2016-09-14","description":"","custom_fields":[{"id":1,"name":"Subdivision","value":"EC"},{"id":4,"name":"Milepost","value":"23.3298"},{"id":17,"name":"Train ID","value":"221-14"},{"id":16,"name":"Locomotive ID","value":"4044"},{"id":130,"name":"Impact","value":""},{"id":150,"name":"Time of Event (Mountain Time)","value":"19:35:56"},{"id":151,"name":"Denver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567</v>
      </c>
      <c r="B136" s="7">
        <v>4043</v>
      </c>
      <c r="C136" s="24" t="s">
        <v>108</v>
      </c>
      <c r="D136" s="24" t="s">
        <v>621</v>
      </c>
      <c r="E136" s="15">
        <v>42627.824618055558</v>
      </c>
      <c r="F136" s="15">
        <v>42627.831238425926</v>
      </c>
      <c r="G136" s="7">
        <v>1</v>
      </c>
      <c r="H136" s="15" t="s">
        <v>319</v>
      </c>
      <c r="I136" s="15">
        <v>42627.857800925929</v>
      </c>
      <c r="J136" s="7">
        <v>0</v>
      </c>
      <c r="K136" s="121" t="str">
        <f t="shared" si="30"/>
        <v>4043/4044</v>
      </c>
      <c r="L136" s="24" t="str">
        <f>VLOOKUP(A136,'Trips&amp;Operators'!$C$1:$E$10000,3,FALSE)</f>
        <v>STURGEON</v>
      </c>
      <c r="M136" s="6">
        <f t="shared" si="31"/>
        <v>2.6562500002910383E-2</v>
      </c>
      <c r="N136" s="7">
        <f t="shared" si="53"/>
        <v>38.250000004190952</v>
      </c>
      <c r="O136" s="7"/>
      <c r="P136" s="7"/>
      <c r="Q136" s="25"/>
      <c r="R136" s="25"/>
      <c r="S136" s="37">
        <f t="shared" si="54"/>
        <v>1</v>
      </c>
      <c r="T136" s="52" t="str">
        <f t="shared" si="32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18:47:27-0600',mode:absolute,to:'2016-09-14 21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6" s="54" t="str">
        <f t="shared" si="52"/>
        <v>N</v>
      </c>
      <c r="X136" s="168">
        <f t="shared" si="50"/>
        <v>1</v>
      </c>
      <c r="Y136" s="69">
        <f t="shared" si="51"/>
        <v>23.298500000000001</v>
      </c>
      <c r="Z136" s="69">
        <f t="shared" si="41"/>
        <v>1.72E-2</v>
      </c>
      <c r="AA136" s="69">
        <f t="shared" si="35"/>
        <v>23.281300000000002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6"/>
        <v>0222-14</v>
      </c>
      <c r="AE136" s="99" t="str">
        <f t="shared" si="37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136" s="96" t="str">
        <f t="shared" si="38"/>
        <v>"C:\Program Files (x86)\AstroGrep\AstroGrep.exe" /spath="%USERPROFILE%\AppData\Local\Temp\OnboardLogs" /stypes="app*4043*20160915*" /stext=" 02:.+((SYSTEM_STATE.+slice.+state.+changed )|(ment ac)|(system.+state.+changed )|(\|lc)|(penalty)|(\[timeout)|(PRM\|1\|D)|(kpr)|(kdp))" /e /r /s</v>
      </c>
      <c r="AG136" s="1" t="str">
        <f t="shared" si="39"/>
        <v>EC</v>
      </c>
      <c r="AH136" s="100" t="str">
        <f t="shared" si="29"/>
        <v>"%USERPROFILE%\Documents\GitHub\eaglep3\Utilities\RefineRTDCRunTimes.py" --tripid 222-14 --locoid 4043 --swversion DE.1.0.7.0 --startMP 204:232985 --initTime 2016-09-14T19:47:27 --startdatetime 2016-09-14T19:56:59 --delay 1 --endMP 204:172 --enddatetime 2016-09-14T20:35:14 --enforcementcount 0 &gt;&gt;C:\Users\stu\Documents\GitHub\eaglep3-reporting\EC\2016-09-14-refined-times.txt</v>
      </c>
      <c r="AI136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{"issue":{"subject":"","project_id":79,"tracker_id":40,"status_id":1,"priority_id":2,"assigned_to_id":23,"start_date":"2016-09-14","description":"","custom_fields":[{"id":1,"name":"Subdivision","value":"EC"},{"id":4,"name":"Milepost","value":"0.0172"},{"id":17,"name":"Train ID","value":"222-14"},{"id":16,"name":"Locomotive ID","value":"4043"},{"id":130,"name":"Impact","value":""},{"id":150,"name":"Time of Event (Mountain Time)","value":"20:35:14"},{"id":151,"name":"Denver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564</v>
      </c>
      <c r="B137" s="7">
        <v>4027</v>
      </c>
      <c r="C137" s="24" t="s">
        <v>108</v>
      </c>
      <c r="D137" s="24" t="s">
        <v>240</v>
      </c>
      <c r="E137" s="15">
        <v>42627.80978009259</v>
      </c>
      <c r="F137" s="15">
        <v>42627.812743055554</v>
      </c>
      <c r="G137" s="7">
        <v>1</v>
      </c>
      <c r="H137" s="15" t="s">
        <v>290</v>
      </c>
      <c r="I137" s="15">
        <v>42627.838229166664</v>
      </c>
      <c r="J137" s="7">
        <v>0</v>
      </c>
      <c r="K137" s="121" t="str">
        <f t="shared" si="30"/>
        <v>4027/4028</v>
      </c>
      <c r="L137" s="24" t="str">
        <f>VLOOKUP(A137,'Trips&amp;Operators'!$C$1:$E$10000,3,FALSE)</f>
        <v>SMITH</v>
      </c>
      <c r="M137" s="6">
        <f t="shared" si="31"/>
        <v>2.548611110978527E-2</v>
      </c>
      <c r="N137" s="7">
        <f t="shared" si="53"/>
        <v>36.699999998090789</v>
      </c>
      <c r="O137" s="7"/>
      <c r="P137" s="7"/>
      <c r="Q137" s="25"/>
      <c r="R137" s="25"/>
      <c r="S137" s="37">
        <f t="shared" si="54"/>
        <v>1</v>
      </c>
      <c r="T137" s="52" t="str">
        <f t="shared" si="32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18:26:05-0600',mode:absolute,to:'2016-09-14 21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7" s="54" t="str">
        <f t="shared" si="52"/>
        <v>N</v>
      </c>
      <c r="X137" s="168">
        <f t="shared" si="50"/>
        <v>1</v>
      </c>
      <c r="Y137" s="69">
        <f t="shared" si="51"/>
        <v>4.6600000000000003E-2</v>
      </c>
      <c r="Z137" s="69">
        <f t="shared" si="41"/>
        <v>23.328900000000001</v>
      </c>
      <c r="AA137" s="69">
        <f t="shared" si="35"/>
        <v>23.282299999999999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36"/>
        <v>0223-14</v>
      </c>
      <c r="AE137" s="99" t="str">
        <f t="shared" si="37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137" s="96" t="str">
        <f t="shared" si="38"/>
        <v>"C:\Program Files (x86)\AstroGrep\AstroGrep.exe" /spath="%USERPROFILE%\AppData\Local\Temp\OnboardLogs" /stypes="app*4027*20160915*" /stext=" 02:.+((SYSTEM_STATE.+slice.+state.+changed )|(ment ac)|(system.+state.+changed )|(\|lc)|(penalty)|(\[timeout)|(PRM\|1\|D)|(kpr)|(kdp))" /e /r /s</v>
      </c>
      <c r="AG137" s="1" t="str">
        <f t="shared" si="39"/>
        <v>EC</v>
      </c>
      <c r="AH137" s="100" t="str">
        <f t="shared" si="29"/>
        <v>"%USERPROFILE%\Documents\GitHub\eaglep3\Utilities\RefineRTDCRunTimes.py" --tripid 223-14 --locoid 4027 --swversion DE.1.0.7.0 --startMP 204:466 --initTime 2016-09-14T19:26:05 --startdatetime 2016-09-14T19:30:21 --delay 1 --endMP 204:233289 --enddatetime 2016-09-14T20:07:03 --enforcementcount 0 &gt;&gt;C:\Users\stu\Documents\GitHub\eaglep3-reporting\EC\2016-09-14-refined-times.txt</v>
      </c>
      <c r="AI137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{"issue":{"subject":"","project_id":79,"tracker_id":40,"status_id":1,"priority_id":2,"assigned_to_id":23,"start_date":"2016-09-14","description":"","custom_fields":[{"id":1,"name":"Subdivision","value":"EC"},{"id":4,"name":"Milepost","value":"23.3289"},{"id":17,"name":"Train ID","value":"223-14"},{"id":16,"name":"Locomotive ID","value":"4027"},{"id":130,"name":"Impact","value":""},{"id":150,"name":"Time of Event (Mountain Time)","value":"20:07:03"},{"id":151,"name":"Denver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570</v>
      </c>
      <c r="B138" s="7">
        <v>4028</v>
      </c>
      <c r="C138" s="24" t="s">
        <v>108</v>
      </c>
      <c r="D138" s="24" t="s">
        <v>621</v>
      </c>
      <c r="E138" s="15">
        <v>42627.846122685187</v>
      </c>
      <c r="F138" s="15">
        <v>42627.8515625</v>
      </c>
      <c r="G138" s="7">
        <v>1</v>
      </c>
      <c r="H138" s="15" t="s">
        <v>358</v>
      </c>
      <c r="I138" s="15">
        <v>42627.878194444442</v>
      </c>
      <c r="J138" s="7">
        <v>0</v>
      </c>
      <c r="K138" s="121" t="str">
        <f t="shared" si="30"/>
        <v>4027/4028</v>
      </c>
      <c r="L138" s="24" t="str">
        <f>VLOOKUP(A138,'Trips&amp;Operators'!$C$1:$E$10000,3,FALSE)</f>
        <v>SMITH</v>
      </c>
      <c r="M138" s="6">
        <f t="shared" si="31"/>
        <v>2.6631944441760425E-2</v>
      </c>
      <c r="N138" s="7">
        <f t="shared" si="53"/>
        <v>38.349999996135011</v>
      </c>
      <c r="O138" s="7"/>
      <c r="P138" s="7"/>
      <c r="Q138" s="25"/>
      <c r="R138" s="25"/>
      <c r="S138" s="37">
        <f t="shared" si="54"/>
        <v>1</v>
      </c>
      <c r="T138" s="52" t="str">
        <f t="shared" si="32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19:18:25-0600',mode:absolute,to:'2016-09-14 22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8" s="54" t="str">
        <f t="shared" si="52"/>
        <v>N</v>
      </c>
      <c r="X138" s="168">
        <f t="shared" si="50"/>
        <v>1</v>
      </c>
      <c r="Y138" s="69">
        <f t="shared" si="51"/>
        <v>23.298500000000001</v>
      </c>
      <c r="Z138" s="69">
        <f t="shared" si="41"/>
        <v>1.6500000000000001E-2</v>
      </c>
      <c r="AA138" s="69">
        <f t="shared" si="35"/>
        <v>23.282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6"/>
        <v>0224-14</v>
      </c>
      <c r="AE138" s="99" t="str">
        <f t="shared" si="37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138" s="96" t="str">
        <f t="shared" si="38"/>
        <v>"C:\Program Files (x86)\AstroGrep\AstroGrep.exe" /spath="%USERPROFILE%\AppData\Local\Temp\OnboardLogs" /stypes="app*4028*20160915*" /stext=" 03:.+((SYSTEM_STATE.+slice.+state.+changed )|(ment ac)|(system.+state.+changed )|(\|lc)|(penalty)|(\[timeout)|(PRM\|1\|D)|(kpr)|(kdp))" /e /r /s</v>
      </c>
      <c r="AG138" s="1" t="str">
        <f t="shared" si="39"/>
        <v>EC</v>
      </c>
      <c r="AH138" s="100" t="str">
        <f t="shared" si="29"/>
        <v>"%USERPROFILE%\Documents\GitHub\eaglep3\Utilities\RefineRTDCRunTimes.py" --tripid 224-14 --locoid 4028 --swversion DE.1.0.7.0 --startMP 204:232985 --initTime 2016-09-14T20:18:25 --startdatetime 2016-09-14T20:26:15 --delay 1 --endMP 204:165 --enddatetime 2016-09-14T21:04:36 --enforcementcount 0 &gt;&gt;C:\Users\stu\Documents\GitHub\eaglep3-reporting\EC\2016-09-14-refined-times.txt</v>
      </c>
      <c r="AI138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{"issue":{"subject":"","project_id":79,"tracker_id":40,"status_id":1,"priority_id":2,"assigned_to_id":23,"start_date":"2016-09-14","description":"","custom_fields":[{"id":1,"name":"Subdivision","value":"EC"},{"id":4,"name":"Milepost","value":"0.0165"},{"id":17,"name":"Train ID","value":"224-14"},{"id":16,"name":"Locomotive ID","value":"4028"},{"id":130,"name":"Impact","value":""},{"id":150,"name":"Time of Event (Mountain Time)","value":"21:04:36"},{"id":151,"name":"Denver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568</v>
      </c>
      <c r="B139" s="7">
        <v>4014</v>
      </c>
      <c r="C139" s="24" t="s">
        <v>108</v>
      </c>
      <c r="D139" s="24" t="s">
        <v>617</v>
      </c>
      <c r="E139" s="15">
        <v>42627.827048611114</v>
      </c>
      <c r="F139" s="15">
        <v>42627.833541666667</v>
      </c>
      <c r="G139" s="7">
        <v>1</v>
      </c>
      <c r="H139" s="15" t="s">
        <v>355</v>
      </c>
      <c r="I139" s="15">
        <v>42627.858506944445</v>
      </c>
      <c r="J139" s="7">
        <v>0</v>
      </c>
      <c r="K139" s="121" t="str">
        <f t="shared" si="30"/>
        <v>4013/4014</v>
      </c>
      <c r="L139" s="24" t="str">
        <f>VLOOKUP(A139,'Trips&amp;Operators'!$C$1:$E$10000,3,FALSE)</f>
        <v>LEVIN</v>
      </c>
      <c r="M139" s="6">
        <f t="shared" si="31"/>
        <v>2.4965277778392192E-2</v>
      </c>
      <c r="N139" s="7">
        <f t="shared" si="53"/>
        <v>35.950000000884756</v>
      </c>
      <c r="O139" s="7"/>
      <c r="P139" s="7"/>
      <c r="Q139" s="25"/>
      <c r="R139" s="25"/>
      <c r="S139" s="37">
        <f t="shared" si="54"/>
        <v>1</v>
      </c>
      <c r="T139" s="52" t="str">
        <f t="shared" si="32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18:50:57-0600',mode:absolute,to:'2016-09-14 21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9" s="54" t="str">
        <f t="shared" si="52"/>
        <v>N</v>
      </c>
      <c r="X139" s="168">
        <f t="shared" si="50"/>
        <v>1</v>
      </c>
      <c r="Y139" s="69">
        <f t="shared" si="51"/>
        <v>4.3700000000000003E-2</v>
      </c>
      <c r="Z139" s="69">
        <f t="shared" si="41"/>
        <v>23.331900000000001</v>
      </c>
      <c r="AA139" s="69">
        <f t="shared" si="35"/>
        <v>23.2882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6"/>
        <v>0225-14</v>
      </c>
      <c r="AE139" s="99" t="str">
        <f t="shared" si="37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139" s="96" t="str">
        <f t="shared" si="38"/>
        <v>"C:\Program Files (x86)\AstroGrep\AstroGrep.exe" /spath="%USERPROFILE%\AppData\Local\Temp\OnboardLogs" /stypes="app*4014*20160915*" /stext=" 02:.+((SYSTEM_STATE.+slice.+state.+changed )|(ment ac)|(system.+state.+changed )|(\|lc)|(penalty)|(\[timeout)|(PRM\|1\|D)|(kpr)|(kdp))" /e /r /s</v>
      </c>
      <c r="AG139" s="1" t="str">
        <f t="shared" si="39"/>
        <v>EC</v>
      </c>
      <c r="AH139" s="100" t="str">
        <f t="shared" si="29"/>
        <v>"%USERPROFILE%\Documents\GitHub\eaglep3\Utilities\RefineRTDCRunTimes.py" --tripid 225-14 --locoid 4014 --swversion DE.1.0.7.0 --startMP 204:437 --initTime 2016-09-14T19:50:57 --startdatetime 2016-09-14T20:00:18 --delay 1 --endMP 204:233319 --enddatetime 2016-09-14T20:36:15 --enforcementcount 0 &gt;&gt;C:\Users\stu\Documents\GitHub\eaglep3-reporting\EC\2016-09-14-refined-times.txt</v>
      </c>
      <c r="AI139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{"issue":{"subject":"","project_id":79,"tracker_id":40,"status_id":1,"priority_id":2,"assigned_to_id":23,"start_date":"2016-09-14","description":"","custom_fields":[{"id":1,"name":"Subdivision","value":"EC"},{"id":4,"name":"Milepost","value":"23.3319"},{"id":17,"name":"Train ID","value":"225-14"},{"id":16,"name":"Locomotive ID","value":"4014"},{"id":130,"name":"Impact","value":""},{"id":150,"name":"Time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574</v>
      </c>
      <c r="B140" s="7">
        <v>4013</v>
      </c>
      <c r="C140" s="24" t="s">
        <v>108</v>
      </c>
      <c r="D140" s="24" t="s">
        <v>236</v>
      </c>
      <c r="E140" s="15">
        <v>42627.868946759256</v>
      </c>
      <c r="F140" s="15">
        <v>42627.872442129628</v>
      </c>
      <c r="G140" s="7">
        <v>0</v>
      </c>
      <c r="H140" s="15" t="s">
        <v>250</v>
      </c>
      <c r="I140" s="15">
        <v>42627.899247685185</v>
      </c>
      <c r="J140" s="7">
        <v>0</v>
      </c>
      <c r="K140" s="121" t="str">
        <f t="shared" si="30"/>
        <v>4013/4014</v>
      </c>
      <c r="L140" s="24" t="str">
        <f>VLOOKUP(A140,'Trips&amp;Operators'!$C$1:$E$10000,3,FALSE)</f>
        <v>LEVIN</v>
      </c>
      <c r="M140" s="6">
        <f t="shared" si="31"/>
        <v>2.6805555557075422E-2</v>
      </c>
      <c r="N140" s="7">
        <f t="shared" si="53"/>
        <v>38.600000002188608</v>
      </c>
      <c r="O140" s="7"/>
      <c r="P140" s="7"/>
      <c r="Q140" s="25"/>
      <c r="R140" s="25"/>
      <c r="S140" s="37">
        <f t="shared" si="54"/>
        <v>1</v>
      </c>
      <c r="T140" s="52" t="str">
        <f t="shared" si="32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33"/>
        <v>https://search-rtdc-monitor-bjffxe2xuh6vdkpspy63sjmuny.us-east-1.es.amazonaws.com/_plugin/kibana/#/discover/Steve-Slow-Train-Analysis-(2080s-and-2083s)?_g=(refreshInterval:(display:Off,section:0,value:0),time:(from:'2016-09-14 19:51:17-0600',mode:absolute,to:'2016-09-14 22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0" s="54" t="str">
        <f t="shared" si="52"/>
        <v>N</v>
      </c>
      <c r="X140" s="168">
        <f t="shared" si="50"/>
        <v>1</v>
      </c>
      <c r="Y140" s="69">
        <f t="shared" si="51"/>
        <v>23.299600000000002</v>
      </c>
      <c r="Z140" s="69">
        <f t="shared" si="41"/>
        <v>1.3899999999999999E-2</v>
      </c>
      <c r="AA140" s="69">
        <f t="shared" si="35"/>
        <v>23.285700000000002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6"/>
        <v>0226-14</v>
      </c>
      <c r="AE140" s="99" t="str">
        <f t="shared" si="37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140" s="96" t="str">
        <f t="shared" si="38"/>
        <v>"C:\Program Files (x86)\AstroGrep\AstroGrep.exe" /spath="%USERPROFILE%\AppData\Local\Temp\OnboardLogs" /stypes="app*4013*20160915*" /stext=" 03:.+((SYSTEM_STATE.+slice.+state.+changed )|(ment ac)|(system.+state.+changed )|(\|lc)|(penalty)|(\[timeout)|(PRM\|1\|D)|(kpr)|(kdp))" /e /r /s</v>
      </c>
      <c r="AG140" s="1" t="str">
        <f t="shared" si="39"/>
        <v>EC</v>
      </c>
      <c r="AH140" s="100" t="str">
        <f t="shared" si="29"/>
        <v>"%USERPROFILE%\Documents\GitHub\eaglep3\Utilities\RefineRTDCRunTimes.py" --tripid 226-14 --locoid 4013 --swversion DE.1.0.7.0 --startMP 204:232996 --initTime 2016-09-14T20:51:17 --startdatetime 2016-09-14T20:56:19 --delay 0 --endMP 204:139 --enddatetime 2016-09-14T21:34:55 --enforcementcount 0 &gt;&gt;C:\Users\stu\Documents\GitHub\eaglep3-reporting\EC\2016-09-14-refined-times.txt</v>
      </c>
      <c r="AI140" s="134" t="str">
        <f t="shared" si="40"/>
        <v>echo {"issue":{"subject":"","project_id":79,"tracker_id":40,"status_id":1,"priority_id":2,"assigned_to_id":23,"start_date":"2016-09-14","description":"","custom_fields":[{"id":1,"name":"Subdivision","value":"EC"},{"id":4,"name":"Milepost","value":"0.0139"},{"id":17,"name":"Train ID","value":"226-14"},{"id":16,"name":"Locomotive ID","value":"4013"},{"id":130,"name":"Impact","value":""},{"id":150,"name":"Time of Event (Mountain Time)","value":"21:34:55"},{"id":151,"name":"Denver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571</v>
      </c>
      <c r="B141" s="7">
        <v>4053</v>
      </c>
      <c r="C141" s="24" t="s">
        <v>108</v>
      </c>
      <c r="D141" s="24" t="s">
        <v>359</v>
      </c>
      <c r="E141" s="15">
        <v>42627.851944444446</v>
      </c>
      <c r="F141" s="15">
        <v>42627.854571759257</v>
      </c>
      <c r="G141" s="7">
        <v>3</v>
      </c>
      <c r="H141" s="15" t="s">
        <v>309</v>
      </c>
      <c r="I141" s="15">
        <v>42627.879317129627</v>
      </c>
      <c r="J141" s="7">
        <v>0</v>
      </c>
      <c r="K141" s="121" t="str">
        <f t="shared" ref="K141:K204" si="55">IF(ISEVEN(B141),(B141-1)&amp;"/"&amp;B141,B141&amp;"/"&amp;(B141+1))</f>
        <v>4053/4054</v>
      </c>
      <c r="L141" s="24" t="str">
        <f>VLOOKUP(A141,'Trips&amp;Operators'!$C$1:$E$10000,3,FALSE)</f>
        <v>COOLAHAN</v>
      </c>
      <c r="M141" s="6">
        <f t="shared" ref="M141:M204" si="56">I141-F141</f>
        <v>2.47453703705105E-2</v>
      </c>
      <c r="N141" s="7">
        <f t="shared" si="53"/>
        <v>35.63333333353512</v>
      </c>
      <c r="O141" s="7"/>
      <c r="P141" s="7"/>
      <c r="Q141" s="25"/>
      <c r="R141" s="25"/>
      <c r="S141" s="37">
        <f t="shared" si="54"/>
        <v>1</v>
      </c>
      <c r="T141" s="52" t="str">
        <f t="shared" ref="T141:T204" si="57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8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https://search-rtdc-monitor-bjffxe2xuh6vdkpspy63sjmuny.us-east-1.es.amazonaws.com/_plugin/kibana/#/discover/Steve-Slow-Train-Analysis-(2080s-and-2083s)?_g=(refreshInterval:(display:Off,section:0,value:0),time:(from:'2016-09-14 19:26:48-0600',mode:absolute,to:'2016-09-14 22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41" s="54" t="str">
        <f t="shared" si="52"/>
        <v>N</v>
      </c>
      <c r="X141" s="168">
        <f t="shared" si="50"/>
        <v>1</v>
      </c>
      <c r="Y141" s="69">
        <f t="shared" si="51"/>
        <v>4.3999999999999997E-2</v>
      </c>
      <c r="Z141" s="69">
        <f t="shared" si="41"/>
        <v>23.3308</v>
      </c>
      <c r="AA141" s="69">
        <f t="shared" ref="AA141:AA204" si="59">ABS(Z141-Y141)</f>
        <v>23.286799999999999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60">IF(LEN(A141)=6,"0"&amp;A141,A141)</f>
        <v>0227-14</v>
      </c>
      <c r="AE141" s="99" t="str">
        <f t="shared" ref="AE141:AE204" si="61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141" s="96" t="str">
        <f t="shared" ref="AF141:AF204" si="6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/stypes="app*4053*20160915*" /stext=" 03:.+((SYSTEM_STATE.+slice.+state.+changed )|(ment ac)|(system.+state.+changed )|(\|lc)|(penalty)|(\[timeout)|(PRM\|1\|D)|(kpr)|(kdp))" /e /r /s</v>
      </c>
      <c r="AG141" s="1" t="str">
        <f t="shared" ref="AG141:AG204" si="63">IFERROR(IF(VALUE(LEFT(AD141,2))&lt;=2,"EC",IF(OR(VALUE(LEFT(AD141,2))=8,VALUE(LEFT(AD141,2))=18),"NW","Other")),"Other")</f>
        <v>EC</v>
      </c>
      <c r="AH141" s="100" t="str">
        <f t="shared" ref="AH141:AH201" si="6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227-14 --locoid 4053 --swversion DE.1.0.7.0 --startMP 204:440 --initTime 2016-09-14T20:26:48 --startdatetime 2016-09-14T20:30:35 --delay 3 --endMP 204:233308 --enddatetime 2016-09-14T21:06:13 --enforcementcount 0 &gt;&gt;C:\Users\stu\Documents\GitHub\eaglep3-reporting\EC\2016-09-14-refined-times.txt</v>
      </c>
      <c r="AI141" s="134" t="str">
        <f t="shared" ref="AI141:AI204" si="6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{"issue":{"subject":"","project_id":79,"tracker_id":40,"status_id":1,"priority_id":2,"assigned_to_id":23,"start_date":"2016-09-14","description":"","custom_fields":[{"id":1,"name":"Subdivision","value":"EC"},{"id":4,"name":"Milepost","value":"23.3308"},{"id":17,"name":"Train ID","value":"227-14"},{"id":16,"name":"Locomotive ID","value":"4053"},{"id":130,"name":"Impact","value":""},{"id":150,"name":"Time of Event (Mountain Time)","value":"21:06:13"},{"id":151,"name":"Denver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576</v>
      </c>
      <c r="B142" s="7">
        <v>4054</v>
      </c>
      <c r="C142" s="24" t="s">
        <v>108</v>
      </c>
      <c r="D142" s="24" t="s">
        <v>655</v>
      </c>
      <c r="E142" s="15">
        <v>42627.888321759259</v>
      </c>
      <c r="F142" s="15">
        <v>42627.893576388888</v>
      </c>
      <c r="G142" s="7">
        <v>1</v>
      </c>
      <c r="H142" s="15" t="s">
        <v>221</v>
      </c>
      <c r="I142" s="15">
        <v>42627.919745370367</v>
      </c>
      <c r="J142" s="7">
        <v>0</v>
      </c>
      <c r="K142" s="121" t="str">
        <f t="shared" si="55"/>
        <v>4053/4054</v>
      </c>
      <c r="L142" s="24" t="str">
        <f>VLOOKUP(A142,'Trips&amp;Operators'!$C$1:$E$10000,3,FALSE)</f>
        <v>COOLAHAN</v>
      </c>
      <c r="M142" s="6">
        <f t="shared" si="56"/>
        <v>2.6168981479713693E-2</v>
      </c>
      <c r="N142" s="7">
        <f t="shared" si="53"/>
        <v>37.683333330787718</v>
      </c>
      <c r="O142" s="7"/>
      <c r="P142" s="7"/>
      <c r="Q142" s="25"/>
      <c r="R142" s="25"/>
      <c r="S142" s="37">
        <f t="shared" si="54"/>
        <v>1</v>
      </c>
      <c r="T142" s="52" t="str">
        <f t="shared" si="57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20:19:11-0600',mode:absolute,to:'2016-09-14 23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2" s="54" t="str">
        <f t="shared" si="52"/>
        <v>N</v>
      </c>
      <c r="X142" s="168">
        <f t="shared" si="50"/>
        <v>1</v>
      </c>
      <c r="Y142" s="69">
        <f t="shared" si="51"/>
        <v>23.300599999999999</v>
      </c>
      <c r="Z142" s="69">
        <f t="shared" si="41"/>
        <v>1.49E-2</v>
      </c>
      <c r="AA142" s="69">
        <f t="shared" si="59"/>
        <v>23.285699999999999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60"/>
        <v>0228-14</v>
      </c>
      <c r="AE142" s="99" t="str">
        <f t="shared" si="61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142" s="96" t="str">
        <f t="shared" si="62"/>
        <v>"C:\Program Files (x86)\AstroGrep\AstroGrep.exe" /spath="%USERPROFILE%\AppData\Local\Temp\OnboardLogs" /stypes="app*4054*20160915*" /stext=" 04:.+((SYSTEM_STATE.+slice.+state.+changed )|(ment ac)|(system.+state.+changed )|(\|lc)|(penalty)|(\[timeout)|(PRM\|1\|D)|(kpr)|(kdp))" /e /r /s</v>
      </c>
      <c r="AG142" s="1" t="str">
        <f t="shared" si="63"/>
        <v>EC</v>
      </c>
      <c r="AH142" s="100" t="str">
        <f t="shared" si="64"/>
        <v>"%USERPROFILE%\Documents\GitHub\eaglep3\Utilities\RefineRTDCRunTimes.py" --tripid 228-14 --locoid 4054 --swversion DE.1.0.7.0 --startMP 204:233006 --initTime 2016-09-14T21:19:11 --startdatetime 2016-09-14T21:26:45 --delay 1 --endMP 204:149 --enddatetime 2016-09-14T22:04:26 --enforcementcount 0 &gt;&gt;C:\Users\stu\Documents\GitHub\eaglep3-reporting\EC\2016-09-14-refined-times.txt</v>
      </c>
      <c r="AI142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{"issue":{"subject":"","project_id":79,"tracker_id":40,"status_id":1,"priority_id":2,"assigned_to_id":23,"start_date":"2016-09-14","description":"","custom_fields":[{"id":1,"name":"Subdivision","value":"EC"},{"id":4,"name":"Milepost","value":"0.0149"},{"id":17,"name":"Train ID","value":"228-14"},{"id":16,"name":"Locomotive ID","value":"4054"},{"id":130,"name":"Impact","value":""},{"id":150,"name":"Time of Event (Mountain Time)","value":"22:04:26"},{"id":151,"name":"Denver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573</v>
      </c>
      <c r="B143" s="7">
        <v>4044</v>
      </c>
      <c r="C143" s="24" t="s">
        <v>108</v>
      </c>
      <c r="D143" s="24" t="s">
        <v>313</v>
      </c>
      <c r="E143" s="15">
        <v>42627.865451388891</v>
      </c>
      <c r="F143" s="15">
        <v>42627.875219907408</v>
      </c>
      <c r="G143" s="7">
        <v>1</v>
      </c>
      <c r="H143" s="15" t="s">
        <v>251</v>
      </c>
      <c r="I143" s="15">
        <v>42627.900069444448</v>
      </c>
      <c r="J143" s="7">
        <v>0</v>
      </c>
      <c r="K143" s="121" t="str">
        <f t="shared" si="55"/>
        <v>4043/4044</v>
      </c>
      <c r="L143" s="24" t="str">
        <f>VLOOKUP(A143,'Trips&amp;Operators'!$C$1:$E$10000,3,FALSE)</f>
        <v>STURGEON</v>
      </c>
      <c r="M143" s="6">
        <f t="shared" si="56"/>
        <v>2.4849537039699499E-2</v>
      </c>
      <c r="N143" s="7">
        <f t="shared" si="53"/>
        <v>35.783333337167278</v>
      </c>
      <c r="O143" s="7"/>
      <c r="P143" s="7"/>
      <c r="Q143" s="25"/>
      <c r="R143" s="25"/>
      <c r="S143" s="37">
        <f t="shared" si="54"/>
        <v>1</v>
      </c>
      <c r="T143" s="52" t="str">
        <f t="shared" si="57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19:46:15-0600',mode:absolute,to:'2016-09-14 22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3" s="54" t="str">
        <f t="shared" si="52"/>
        <v>N</v>
      </c>
      <c r="X143" s="168">
        <f t="shared" si="50"/>
        <v>1</v>
      </c>
      <c r="Y143" s="69">
        <f t="shared" si="51"/>
        <v>4.6199999999999998E-2</v>
      </c>
      <c r="Z143" s="69">
        <f t="shared" ref="Z143:Z206" si="66">RIGHT(H143,LEN(H143)-4)/10000</f>
        <v>23.3293</v>
      </c>
      <c r="AA143" s="69">
        <f t="shared" si="59"/>
        <v>23.283100000000001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60"/>
        <v>0229-14</v>
      </c>
      <c r="AE143" s="99" t="str">
        <f t="shared" si="61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143" s="96" t="str">
        <f t="shared" si="62"/>
        <v>"C:\Program Files (x86)\AstroGrep\AstroGrep.exe" /spath="%USERPROFILE%\AppData\Local\Temp\OnboardLogs" /stypes="app*4044*20160915*" /stext=" 03:.+((SYSTEM_STATE.+slice.+state.+changed )|(ment ac)|(system.+state.+changed )|(\|lc)|(penalty)|(\[timeout)|(PRM\|1\|D)|(kpr)|(kdp))" /e /r /s</v>
      </c>
      <c r="AG143" s="1" t="str">
        <f t="shared" si="63"/>
        <v>EC</v>
      </c>
      <c r="AH143" s="100" t="str">
        <f t="shared" si="64"/>
        <v>"%USERPROFILE%\Documents\GitHub\eaglep3\Utilities\RefineRTDCRunTimes.py" --tripid 229-14 --locoid 4044 --swversion DE.1.0.7.0 --startMP 204:462 --initTime 2016-09-14T20:46:15 --startdatetime 2016-09-14T21:00:19 --delay 1 --endMP 204:233293 --enddatetime 2016-09-14T21:36:06 --enforcementcount 0 &gt;&gt;C:\Users\stu\Documents\GitHub\eaglep3-reporting\EC\2016-09-14-refined-times.txt</v>
      </c>
      <c r="AI143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{"issue":{"subject":"","project_id":79,"tracker_id":40,"status_id":1,"priority_id":2,"assigned_to_id":23,"start_date":"2016-09-14","description":"","custom_fields":[{"id":1,"name":"Subdivision","value":"EC"},{"id":4,"name":"Milepost","value":"23.3293"},{"id":17,"name":"Train ID","value":"229-14"},{"id":16,"name":"Locomotive ID","value":"4044"},{"id":130,"name":"Impact","value":""},{"id":150,"name":"Time of Event (Mountain Time)","value":"21:36:06"},{"id":151,"name":"Denver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579</v>
      </c>
      <c r="B144" s="7">
        <v>4043</v>
      </c>
      <c r="C144" s="24" t="s">
        <v>108</v>
      </c>
      <c r="D144" s="24" t="s">
        <v>621</v>
      </c>
      <c r="E144" s="15">
        <v>42627.908321759256</v>
      </c>
      <c r="F144" s="15">
        <v>42627.914247685185</v>
      </c>
      <c r="G144" s="7">
        <v>1</v>
      </c>
      <c r="H144" s="15" t="s">
        <v>289</v>
      </c>
      <c r="I144" s="15">
        <v>42627.941134259258</v>
      </c>
      <c r="J144" s="7">
        <v>0</v>
      </c>
      <c r="K144" s="121" t="str">
        <f t="shared" si="55"/>
        <v>4043/4044</v>
      </c>
      <c r="L144" s="24" t="str">
        <f>VLOOKUP(A144,'Trips&amp;Operators'!$C$1:$E$10000,3,FALSE)</f>
        <v>STURGEON</v>
      </c>
      <c r="M144" s="6">
        <f t="shared" si="56"/>
        <v>2.6886574072705116E-2</v>
      </c>
      <c r="N144" s="7">
        <f t="shared" si="53"/>
        <v>38.716666664695367</v>
      </c>
      <c r="O144" s="7"/>
      <c r="P144" s="7"/>
      <c r="Q144" s="25"/>
      <c r="R144" s="25"/>
      <c r="S144" s="37">
        <f t="shared" si="54"/>
        <v>1</v>
      </c>
      <c r="T144" s="52" t="str">
        <f t="shared" si="57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20:47:59-0600',mode:absolute,to:'2016-09-14 23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4" s="54" t="str">
        <f t="shared" si="52"/>
        <v>N</v>
      </c>
      <c r="X144" s="168">
        <f t="shared" si="50"/>
        <v>1</v>
      </c>
      <c r="Y144" s="69">
        <f t="shared" si="51"/>
        <v>23.298500000000001</v>
      </c>
      <c r="Z144" s="69">
        <f t="shared" si="66"/>
        <v>1.67E-2</v>
      </c>
      <c r="AA144" s="69">
        <f t="shared" si="59"/>
        <v>23.2818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60"/>
        <v>0230-14</v>
      </c>
      <c r="AE144" s="99" t="str">
        <f t="shared" si="61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144" s="96" t="str">
        <f t="shared" si="62"/>
        <v>"C:\Program Files (x86)\AstroGrep\AstroGrep.exe" /spath="%USERPROFILE%\AppData\Local\Temp\OnboardLogs" /stypes="app*4043*20160915*" /stext=" 04:.+((SYSTEM_STATE.+slice.+state.+changed )|(ment ac)|(system.+state.+changed )|(\|lc)|(penalty)|(\[timeout)|(PRM\|1\|D)|(kpr)|(kdp))" /e /r /s</v>
      </c>
      <c r="AG144" s="1" t="str">
        <f t="shared" si="63"/>
        <v>EC</v>
      </c>
      <c r="AH144" s="100" t="str">
        <f t="shared" si="64"/>
        <v>"%USERPROFILE%\Documents\GitHub\eaglep3\Utilities\RefineRTDCRunTimes.py" --tripid 230-14 --locoid 4043 --swversion DE.1.0.7.0 --startMP 204:232985 --initTime 2016-09-14T21:47:59 --startdatetime 2016-09-14T21:56:31 --delay 1 --endMP 204:167 --enddatetime 2016-09-14T22:35:14 --enforcementcount 0 &gt;&gt;C:\Users\stu\Documents\GitHub\eaglep3-reporting\EC\2016-09-14-refined-times.txt</v>
      </c>
      <c r="AI144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{"issue":{"subject":"","project_id":79,"tracker_id":40,"status_id":1,"priority_id":2,"assigned_to_id":23,"start_date":"2016-09-14","description":"","custom_fields":[{"id":1,"name":"Subdivision","value":"EC"},{"id":4,"name":"Milepost","value":"0.0167"},{"id":17,"name":"Train ID","value":"230-14"},{"id":16,"name":"Locomotive ID","value":"4043"},{"id":130,"name":"Impact","value":""},{"id":150,"name":"Time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577</v>
      </c>
      <c r="B145" s="7">
        <v>4027</v>
      </c>
      <c r="C145" s="24" t="s">
        <v>108</v>
      </c>
      <c r="D145" s="24" t="s">
        <v>257</v>
      </c>
      <c r="E145" s="15">
        <v>42627.893240740741</v>
      </c>
      <c r="F145" s="15">
        <v>42627.895995370367</v>
      </c>
      <c r="G145" s="7">
        <v>1</v>
      </c>
      <c r="H145" s="15" t="s">
        <v>232</v>
      </c>
      <c r="I145" s="15">
        <v>42627.92046296296</v>
      </c>
      <c r="J145" s="7">
        <v>0</v>
      </c>
      <c r="K145" s="121" t="str">
        <f t="shared" si="55"/>
        <v>4027/4028</v>
      </c>
      <c r="L145" s="24" t="str">
        <f>VLOOKUP(A145,'Trips&amp;Operators'!$C$1:$E$10000,3,FALSE)</f>
        <v>SMITH</v>
      </c>
      <c r="M145" s="6">
        <f t="shared" si="56"/>
        <v>2.4467592593282461E-2</v>
      </c>
      <c r="N145" s="7">
        <f t="shared" si="53"/>
        <v>35.233333334326744</v>
      </c>
      <c r="O145" s="7"/>
      <c r="P145" s="7"/>
      <c r="Q145" s="25"/>
      <c r="R145" s="25"/>
      <c r="S145" s="37">
        <f t="shared" si="54"/>
        <v>1</v>
      </c>
      <c r="T145" s="52" t="str">
        <f t="shared" si="57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20:26:16-0600',mode:absolute,to:'2016-09-14 23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45" s="54" t="str">
        <f t="shared" si="52"/>
        <v>N</v>
      </c>
      <c r="X145" s="168">
        <f t="shared" si="50"/>
        <v>1</v>
      </c>
      <c r="Y145" s="69">
        <f t="shared" si="51"/>
        <v>4.6699999999999998E-2</v>
      </c>
      <c r="Z145" s="69">
        <f t="shared" si="66"/>
        <v>23.330200000000001</v>
      </c>
      <c r="AA145" s="69">
        <f t="shared" si="59"/>
        <v>23.2835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60"/>
        <v>0231-14</v>
      </c>
      <c r="AE145" s="99" t="str">
        <f t="shared" si="61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145" s="96" t="str">
        <f t="shared" si="62"/>
        <v>"C:\Program Files (x86)\AstroGrep\AstroGrep.exe" /spath="%USERPROFILE%\AppData\Local\Temp\OnboardLogs" /stypes="app*4027*20160915*" /stext=" 04:.+((SYSTEM_STATE.+slice.+state.+changed )|(ment ac)|(system.+state.+changed )|(\|lc)|(penalty)|(\[timeout)|(PRM\|1\|D)|(kpr)|(kdp))" /e /r /s</v>
      </c>
      <c r="AG145" s="1" t="str">
        <f t="shared" si="63"/>
        <v>EC</v>
      </c>
      <c r="AH145" s="100" t="str">
        <f t="shared" si="64"/>
        <v>"%USERPROFILE%\Documents\GitHub\eaglep3\Utilities\RefineRTDCRunTimes.py" --tripid 231-14 --locoid 4027 --swversion DE.1.0.7.0 --startMP 204:467 --initTime 2016-09-14T21:26:16 --startdatetime 2016-09-14T21:30:14 --delay 1 --endMP 204:233302 --enddatetime 2016-09-14T22:05:28 --enforcementcount 0 &gt;&gt;C:\Users\stu\Documents\GitHub\eaglep3-reporting\EC\2016-09-14-refined-times.txt</v>
      </c>
      <c r="AI145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{"issue":{"subject":"","project_id":79,"tracker_id":40,"status_id":1,"priority_id":2,"assigned_to_id":23,"start_date":"2016-09-14","description":"","custom_fields":[{"id":1,"name":"Subdivision","value":"EC"},{"id":4,"name":"Milepost","value":"23.3302"},{"id":17,"name":"Train ID","value":"231-14"},{"id":16,"name":"Locomotive ID","value":"4027"},{"id":130,"name":"Impact","value":""},{"id":150,"name":"Time of Event (Mountain Time)","value":"22:05:28"},{"id":151,"name":"Denver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582</v>
      </c>
      <c r="B146" s="7">
        <v>4028</v>
      </c>
      <c r="C146" s="24" t="s">
        <v>108</v>
      </c>
      <c r="D146" s="24" t="s">
        <v>227</v>
      </c>
      <c r="E146" s="15">
        <v>42627.931828703702</v>
      </c>
      <c r="F146" s="15">
        <v>42627.934861111113</v>
      </c>
      <c r="G146" s="7">
        <v>1</v>
      </c>
      <c r="H146" s="15" t="s">
        <v>242</v>
      </c>
      <c r="I146" s="15">
        <v>42627.961064814815</v>
      </c>
      <c r="J146" s="7">
        <v>0</v>
      </c>
      <c r="K146" s="121" t="str">
        <f t="shared" si="55"/>
        <v>4027/4028</v>
      </c>
      <c r="L146" s="24" t="str">
        <f>VLOOKUP(A146,'Trips&amp;Operators'!$C$1:$E$10000,3,FALSE)</f>
        <v>SMITH</v>
      </c>
      <c r="M146" s="6">
        <f t="shared" si="56"/>
        <v>2.6203703702776693E-2</v>
      </c>
      <c r="N146" s="7">
        <f t="shared" si="53"/>
        <v>37.733333331998438</v>
      </c>
      <c r="O146" s="7"/>
      <c r="P146" s="7"/>
      <c r="Q146" s="25"/>
      <c r="R146" s="25"/>
      <c r="S146" s="37">
        <f t="shared" si="54"/>
        <v>1</v>
      </c>
      <c r="T146" s="52" t="str">
        <f t="shared" si="57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21:21:50-0600',mode:absolute,to:'2016-09-15 00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6" s="54" t="str">
        <f t="shared" si="52"/>
        <v>N</v>
      </c>
      <c r="X146" s="168">
        <f t="shared" si="50"/>
        <v>1</v>
      </c>
      <c r="Y146" s="69">
        <f t="shared" si="51"/>
        <v>23.299099999999999</v>
      </c>
      <c r="Z146" s="69">
        <f t="shared" si="66"/>
        <v>1.5599999999999999E-2</v>
      </c>
      <c r="AA146" s="69">
        <f t="shared" si="59"/>
        <v>23.2835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60"/>
        <v>0232-14</v>
      </c>
      <c r="AE146" s="99" t="str">
        <f t="shared" si="61"/>
        <v>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 &amp; 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</v>
      </c>
      <c r="AF146" s="96" t="str">
        <f t="shared" si="62"/>
        <v>"C:\Program Files (x86)\AstroGrep\AstroGrep.exe" /spath="%USERPROFILE%\AppData\Local\Temp\OnboardLogs" /stypes="app*4028*20160915*" /stext=" 05:.+((SYSTEM_STATE.+slice.+state.+changed )|(ment ac)|(system.+state.+changed )|(\|lc)|(penalty)|(\[timeout)|(PRM\|1\|D)|(kpr)|(kdp))" /e /r /s</v>
      </c>
      <c r="AG146" s="1" t="str">
        <f t="shared" si="63"/>
        <v>EC</v>
      </c>
      <c r="AH146" s="100" t="str">
        <f t="shared" si="64"/>
        <v>"%USERPROFILE%\Documents\GitHub\eaglep3\Utilities\RefineRTDCRunTimes.py" --tripid 232-14 --locoid 4028 --swversion DE.1.0.7.0 --startMP 204:232991 --initTime 2016-09-14T22:21:50 --startdatetime 2016-09-14T22:26:12 --delay 1 --endMP 204:156 --enddatetime 2016-09-14T23:03:56 --enforcementcount 0 &gt;&gt;C:\Users\stu\Documents\GitHub\eaglep3-reporting\EC\2016-09-14-refined-times.txt</v>
      </c>
      <c r="AI146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{"issue":{"subject":"","project_id":79,"tracker_id":40,"status_id":1,"priority_id":2,"assigned_to_id":23,"start_date":"2016-09-14","description":"","custom_fields":[{"id":1,"name":"Subdivision","value":"EC"},{"id":4,"name":"Milepost","value":"0.0156"},{"id":17,"name":"Train ID","value":"232-14"},{"id":16,"name":"Locomotive ID","value":"4028"},{"id":130,"name":"Impact","value":""},{"id":150,"name":"Time of Event (Mountain Time)","value":"23:03:56"},{"id":151,"name":"Denver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580</v>
      </c>
      <c r="B147" s="7">
        <v>4014</v>
      </c>
      <c r="C147" s="24" t="s">
        <v>108</v>
      </c>
      <c r="D147" s="24" t="s">
        <v>314</v>
      </c>
      <c r="E147" s="15">
        <v>42627.913356481484</v>
      </c>
      <c r="F147" s="15">
        <v>42627.916875000003</v>
      </c>
      <c r="G147" s="7">
        <v>1</v>
      </c>
      <c r="H147" s="15" t="s">
        <v>637</v>
      </c>
      <c r="I147" s="15">
        <v>42627.941863425927</v>
      </c>
      <c r="J147" s="7">
        <v>0</v>
      </c>
      <c r="K147" s="121" t="str">
        <f t="shared" si="55"/>
        <v>4013/4014</v>
      </c>
      <c r="L147" s="24" t="str">
        <f>VLOOKUP(A147,'Trips&amp;Operators'!$C$1:$E$10000,3,FALSE)</f>
        <v>LEVIN</v>
      </c>
      <c r="M147" s="6">
        <f t="shared" si="56"/>
        <v>2.4988425924675539E-2</v>
      </c>
      <c r="N147" s="7">
        <f t="shared" si="53"/>
        <v>35.983333331532776</v>
      </c>
      <c r="O147" s="7"/>
      <c r="P147" s="7"/>
      <c r="Q147" s="25"/>
      <c r="R147" s="25"/>
      <c r="S147" s="37">
        <f t="shared" si="54"/>
        <v>1</v>
      </c>
      <c r="T147" s="52" t="str">
        <f t="shared" si="57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20:55:14-0600',mode:absolute,to:'2016-09-14 23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7" s="54" t="str">
        <f t="shared" si="52"/>
        <v>N</v>
      </c>
      <c r="X147" s="168">
        <f t="shared" si="50"/>
        <v>1</v>
      </c>
      <c r="Y147" s="69">
        <f t="shared" si="51"/>
        <v>4.3499999999999997E-2</v>
      </c>
      <c r="Z147" s="69">
        <f t="shared" si="66"/>
        <v>23.332100000000001</v>
      </c>
      <c r="AA147" s="69">
        <f t="shared" si="59"/>
        <v>23.288599999999999</v>
      </c>
      <c r="AB147" s="66" t="str">
        <f>VLOOKUP(A147,Enforcements!$C$7:$K$20,8,0)</f>
        <v>Bulletin (2)</v>
      </c>
      <c r="AC147" s="62" t="str">
        <f>VLOOKUP(A147,Enforcements!$C$7:$E$20,3,0)</f>
        <v>GRADE CROSSING</v>
      </c>
      <c r="AD147" s="63" t="str">
        <f t="shared" si="60"/>
        <v>0233-14</v>
      </c>
      <c r="AE147" s="99" t="str">
        <f t="shared" si="61"/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AF147" s="96" t="str">
        <f t="shared" si="62"/>
        <v>"C:\Program Files (x86)\AstroGrep\AstroGrep.exe" /spath="%USERPROFILE%\AppData\Local\Temp\OnboardLogs" /stypes="app*4014*20160915*" /stext=" 04:.+((SYSTEM_STATE.+slice.+state.+changed )|(ment ac)|(system.+state.+changed )|(\|lc)|(penalty)|(\[timeout)|(PRM\|1\|D)|(kpr)|(kdp))" /e /r /s</v>
      </c>
      <c r="AG147" s="1" t="str">
        <f t="shared" si="63"/>
        <v>EC</v>
      </c>
      <c r="AH147" s="100" t="str">
        <f t="shared" si="64"/>
        <v>"%USERPROFILE%\Documents\GitHub\eaglep3\Utilities\RefineRTDCRunTimes.py" --tripid 233-14 --locoid 4014 --swversion DE.1.0.7.0 --startMP 204:435 --initTime 2016-09-14T21:55:14 --startdatetime 2016-09-14T22:00:18 --delay 1 --endMP 204:233321 --enddatetime 2016-09-14T22:36:17 --enforcementcount 0 &gt;&gt;C:\Users\stu\Documents\GitHub\eaglep3-reporting\EC\2016-09-14-refined-times.txt</v>
      </c>
      <c r="AI147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{"issue":{"subject":"","project_id":79,"tracker_id":40,"status_id":1,"priority_id":2,"assigned_to_id":23,"start_date":"2016-09-14","description":"","custom_fields":[{"id":1,"name":"Subdivision","value":"EC"},{"id":4,"name":"Milepost","value":"23.3321"},{"id":17,"name":"Train ID","value":"233-14"},{"id":16,"name":"Locomotive ID","value":"4014"},{"id":130,"name":"Impact","value":""},{"id":150,"name":"Time of Event (Mountain Time)","value":"22:36:17"},{"id":151,"name":"Denver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585</v>
      </c>
      <c r="B148" s="7">
        <v>4013</v>
      </c>
      <c r="C148" s="24" t="s">
        <v>108</v>
      </c>
      <c r="D148" s="24" t="s">
        <v>288</v>
      </c>
      <c r="E148" s="15">
        <v>42627.949629629627</v>
      </c>
      <c r="F148" s="15">
        <v>42627.955891203703</v>
      </c>
      <c r="G148" s="7">
        <v>1</v>
      </c>
      <c r="H148" s="15" t="s">
        <v>238</v>
      </c>
      <c r="I148" s="15">
        <v>42627.982048611113</v>
      </c>
      <c r="J148" s="7">
        <v>0</v>
      </c>
      <c r="K148" s="121" t="str">
        <f t="shared" si="55"/>
        <v>4013/4014</v>
      </c>
      <c r="L148" s="24" t="str">
        <f>VLOOKUP(A148,'Trips&amp;Operators'!$C$1:$E$10000,3,FALSE)</f>
        <v>LEVIN</v>
      </c>
      <c r="M148" s="6">
        <f t="shared" si="56"/>
        <v>2.6157407410209998E-2</v>
      </c>
      <c r="N148" s="7">
        <f t="shared" si="53"/>
        <v>37.666666670702398</v>
      </c>
      <c r="O148" s="7"/>
      <c r="P148" s="7"/>
      <c r="Q148" s="25"/>
      <c r="R148" s="25"/>
      <c r="S148" s="37">
        <f t="shared" si="54"/>
        <v>1</v>
      </c>
      <c r="T148" s="52" t="str">
        <f t="shared" si="57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21:47:28-0600',mode:absolute,to:'2016-09-15 00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8" s="54" t="str">
        <f t="shared" si="52"/>
        <v>N</v>
      </c>
      <c r="X148" s="168">
        <f t="shared" si="50"/>
        <v>1</v>
      </c>
      <c r="Y148" s="69">
        <f t="shared" si="51"/>
        <v>23.3017</v>
      </c>
      <c r="Z148" s="69">
        <f t="shared" si="66"/>
        <v>1.4500000000000001E-2</v>
      </c>
      <c r="AA148" s="69">
        <f t="shared" si="59"/>
        <v>23.287199999999999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60"/>
        <v>0234-14</v>
      </c>
      <c r="AE148" s="99" t="str">
        <f t="shared" si="61"/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AF148" s="96" t="str">
        <f t="shared" si="62"/>
        <v>"C:\Program Files (x86)\AstroGrep\AstroGrep.exe" /spath="%USERPROFILE%\AppData\Local\Temp\OnboardLogs" /stypes="app*4013*20160915*" /stext=" 05:.+((SYSTEM_STATE.+slice.+state.+changed )|(ment ac)|(system.+state.+changed )|(\|lc)|(penalty)|(\[timeout)|(PRM\|1\|D)|(kpr)|(kdp))" /e /r /s</v>
      </c>
      <c r="AG148" s="1" t="str">
        <f t="shared" si="63"/>
        <v>EC</v>
      </c>
      <c r="AH148" s="100" t="str">
        <f t="shared" si="64"/>
        <v>"%USERPROFILE%\Documents\GitHub\eaglep3\Utilities\RefineRTDCRunTimes.py" --tripid 234-14 --locoid 4013 --swversion DE.1.0.7.0 --startMP 204:233017 --initTime 2016-09-14T22:47:28 --startdatetime 2016-09-14T22:56:29 --delay 1 --endMP 204:145 --enddatetime 2016-09-14T23:34:09 --enforcementcount 0 &gt;&gt;C:\Users\stu\Documents\GitHub\eaglep3-reporting\EC\2016-09-14-refined-times.txt</v>
      </c>
      <c r="AI148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{"issue":{"subject":"","project_id":79,"tracker_id":40,"status_id":1,"priority_id":2,"assigned_to_id":23,"start_date":"2016-09-14","description":"","custom_fields":[{"id":1,"name":"Subdivision","value":"EC"},{"id":4,"name":"Milepost","value":"0.0145"},{"id":17,"name":"Train ID","value":"234-14"},{"id":16,"name":"Locomotive ID","value":"4013"},{"id":130,"name":"Impact","value":""},{"id":150,"name":"Time of Event (Mountain Time)","value":"23:34:09"},{"id":151,"name":"Denver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583</v>
      </c>
      <c r="B149" s="7">
        <v>4053</v>
      </c>
      <c r="C149" s="24" t="s">
        <v>108</v>
      </c>
      <c r="D149" s="24" t="s">
        <v>226</v>
      </c>
      <c r="E149" s="15">
        <v>42627.935162037036</v>
      </c>
      <c r="F149" s="15">
        <v>42627.937743055554</v>
      </c>
      <c r="G149" s="7">
        <v>1</v>
      </c>
      <c r="H149" s="15" t="s">
        <v>348</v>
      </c>
      <c r="I149" s="15">
        <v>42627.962673611109</v>
      </c>
      <c r="J149" s="7">
        <v>0</v>
      </c>
      <c r="K149" s="121" t="str">
        <f t="shared" si="55"/>
        <v>4053/4054</v>
      </c>
      <c r="L149" s="24" t="str">
        <f>VLOOKUP(A149,'Trips&amp;Operators'!$C$1:$E$10000,3,FALSE)</f>
        <v>COOLAHAN</v>
      </c>
      <c r="M149" s="6">
        <f t="shared" si="56"/>
        <v>2.4930555555329192E-2</v>
      </c>
      <c r="N149" s="7">
        <f t="shared" si="53"/>
        <v>35.899999999674037</v>
      </c>
      <c r="O149" s="7"/>
      <c r="P149" s="7"/>
      <c r="Q149" s="25"/>
      <c r="R149" s="25"/>
      <c r="S149" s="37">
        <f t="shared" si="54"/>
        <v>1</v>
      </c>
      <c r="T149" s="52" t="str">
        <f t="shared" si="57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21:26:38-0600',mode:absolute,to:'2016-09-15 00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49" s="54" t="str">
        <f t="shared" si="52"/>
        <v>N</v>
      </c>
      <c r="X149" s="168">
        <f t="shared" si="50"/>
        <v>1</v>
      </c>
      <c r="Y149" s="69">
        <f t="shared" si="51"/>
        <v>4.7100000000000003E-2</v>
      </c>
      <c r="Z149" s="69">
        <f t="shared" si="66"/>
        <v>23.331</v>
      </c>
      <c r="AA149" s="69">
        <f t="shared" si="59"/>
        <v>23.283899999999999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60"/>
        <v>0235-14</v>
      </c>
      <c r="AE149" s="99" t="str">
        <f t="shared" si="61"/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AF149" s="96" t="str">
        <f t="shared" si="62"/>
        <v>"C:\Program Files (x86)\AstroGrep\AstroGrep.exe" /spath="%USERPROFILE%\AppData\Local\Temp\OnboardLogs" /stypes="app*4053*20160915*" /stext=" 05:.+((SYSTEM_STATE.+slice.+state.+changed )|(ment ac)|(system.+state.+changed )|(\|lc)|(penalty)|(\[timeout)|(PRM\|1\|D)|(kpr)|(kdp))" /e /r /s</v>
      </c>
      <c r="AG149" s="1" t="str">
        <f t="shared" si="63"/>
        <v>EC</v>
      </c>
      <c r="AH149" s="100" t="str">
        <f t="shared" si="64"/>
        <v>"%USERPROFILE%\Documents\GitHub\eaglep3\Utilities\RefineRTDCRunTimes.py" --tripid 235-14 --locoid 4053 --swversion DE.1.0.7.0 --startMP 204:471 --initTime 2016-09-14T22:26:38 --startdatetime 2016-09-14T22:30:21 --delay 1 --endMP 204:233310 --enddatetime 2016-09-14T23:06:15 --enforcementcount 0 &gt;&gt;C:\Users\stu\Documents\GitHub\eaglep3-reporting\EC\2016-09-14-refined-times.txt</v>
      </c>
      <c r="AI149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{"issue":{"subject":"","project_id":79,"tracker_id":40,"status_id":1,"priority_id":2,"assigned_to_id":23,"start_date":"2016-09-14","description":"","custom_fields":[{"id":1,"name":"Subdivision","value":"EC"},{"id":4,"name":"Milepost","value":"23.331"},{"id":17,"name":"Train ID","value":"235-14"},{"id":16,"name":"Locomotive ID","value":"4053"},{"id":130,"name":"Impact","value":""},{"id":150,"name":"Time of Event (Mountain Time)","value":"23:06:15"},{"id":151,"name":"Denver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587</v>
      </c>
      <c r="B150" s="7">
        <v>4054</v>
      </c>
      <c r="C150" s="24" t="s">
        <v>108</v>
      </c>
      <c r="D150" s="24" t="s">
        <v>236</v>
      </c>
      <c r="E150" s="15">
        <v>42627.972673611112</v>
      </c>
      <c r="F150" s="15">
        <v>42627.9766087963</v>
      </c>
      <c r="G150" s="7">
        <v>1</v>
      </c>
      <c r="H150" s="15" t="s">
        <v>230</v>
      </c>
      <c r="I150" s="15">
        <v>42628.002627314818</v>
      </c>
      <c r="J150" s="7">
        <v>0</v>
      </c>
      <c r="K150" s="121" t="str">
        <f t="shared" si="55"/>
        <v>4053/4054</v>
      </c>
      <c r="L150" s="24" t="str">
        <f>VLOOKUP(A150,'Trips&amp;Operators'!$C$1:$E$10000,3,FALSE)</f>
        <v>COOLAHAN</v>
      </c>
      <c r="M150" s="6">
        <f t="shared" si="56"/>
        <v>2.6018518517958E-2</v>
      </c>
      <c r="N150" s="7">
        <f t="shared" si="53"/>
        <v>37.46666666585952</v>
      </c>
      <c r="O150" s="7"/>
      <c r="P150" s="7"/>
      <c r="Q150" s="25"/>
      <c r="R150" s="25"/>
      <c r="S150" s="37">
        <f t="shared" si="54"/>
        <v>1</v>
      </c>
      <c r="T150" s="52" t="str">
        <f t="shared" si="57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22:20:39-0600',mode:absolute,to:'2016-09-15 01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50" s="54" t="str">
        <f t="shared" si="52"/>
        <v>N</v>
      </c>
      <c r="X150" s="168">
        <f t="shared" si="50"/>
        <v>1</v>
      </c>
      <c r="Y150" s="69">
        <f t="shared" si="51"/>
        <v>23.299600000000002</v>
      </c>
      <c r="Z150" s="69">
        <f t="shared" si="66"/>
        <v>1.47E-2</v>
      </c>
      <c r="AA150" s="69">
        <f t="shared" si="59"/>
        <v>23.2849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60"/>
        <v>0236-14</v>
      </c>
      <c r="AE150" s="99" t="str">
        <f t="shared" si="61"/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AF150" s="96" t="str">
        <f t="shared" si="62"/>
        <v>"C:\Program Files (x86)\AstroGrep\AstroGrep.exe" /spath="%USERPROFILE%\AppData\Local\Temp\OnboardLogs" /stypes="app*4054*20160915*" /stext=" 06:.+((SYSTEM_STATE.+slice.+state.+changed )|(ment ac)|(system.+state.+changed )|(\|lc)|(penalty)|(\[timeout)|(PRM\|1\|D)|(kpr)|(kdp))" /e /r /s</v>
      </c>
      <c r="AG150" s="1" t="str">
        <f t="shared" si="63"/>
        <v>EC</v>
      </c>
      <c r="AH150" s="100" t="str">
        <f t="shared" si="64"/>
        <v>"%USERPROFILE%\Documents\GitHub\eaglep3\Utilities\RefineRTDCRunTimes.py" --tripid 236-14 --locoid 4054 --swversion DE.1.0.7.0 --startMP 204:232996 --initTime 2016-09-14T23:20:39 --startdatetime 2016-09-14T23:26:19 --delay 1 --endMP 204:147 --enddatetime 2016-09-15T00:03:47 --enforcementcount 0 &gt;&gt;C:\Users\stu\Documents\GitHub\eaglep3-reporting\EC\2016-09-14-refined-times.txt</v>
      </c>
      <c r="AI150" s="134" t="str">
        <f t="shared" si="65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ID","value":"236-14"},{"id":16,"name":"Locomotive ID","value":"4054"},{"id":130,"name":"Impact","value":""},{"id":150,"name":"Time of Event (Mountain Time)","value":"00:03:47"},{"id":151,"name":"Denver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586</v>
      </c>
      <c r="B151" s="7">
        <v>4044</v>
      </c>
      <c r="C151" s="24" t="s">
        <v>108</v>
      </c>
      <c r="D151" s="24" t="s">
        <v>262</v>
      </c>
      <c r="E151" s="15">
        <v>42627.950648148151</v>
      </c>
      <c r="F151" s="15">
        <v>42627.958668981482</v>
      </c>
      <c r="G151" s="7">
        <v>1</v>
      </c>
      <c r="H151" s="15" t="s">
        <v>309</v>
      </c>
      <c r="I151" s="15">
        <v>42627.983449074076</v>
      </c>
      <c r="J151" s="7">
        <v>0</v>
      </c>
      <c r="K151" s="121" t="str">
        <f t="shared" si="55"/>
        <v>4043/4044</v>
      </c>
      <c r="L151" s="24" t="str">
        <f>VLOOKUP(A151,'Trips&amp;Operators'!$C$1:$E$10000,3,FALSE)</f>
        <v>STURGEON</v>
      </c>
      <c r="M151" s="6">
        <f t="shared" si="56"/>
        <v>2.4780092593573499E-2</v>
      </c>
      <c r="N151" s="7">
        <f t="shared" si="53"/>
        <v>35.683333334745839</v>
      </c>
      <c r="O151" s="7"/>
      <c r="P151" s="7"/>
      <c r="Q151" s="25"/>
      <c r="R151" s="25"/>
      <c r="S151" s="37">
        <f t="shared" si="54"/>
        <v>1</v>
      </c>
      <c r="T151" s="52" t="str">
        <f t="shared" si="57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21:48:56-0600',mode:absolute,to:'2016-09-15 00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51" s="54" t="str">
        <f t="shared" si="52"/>
        <v>N</v>
      </c>
      <c r="X151" s="168">
        <f t="shared" si="50"/>
        <v>1</v>
      </c>
      <c r="Y151" s="69">
        <f t="shared" si="51"/>
        <v>4.5999999999999999E-2</v>
      </c>
      <c r="Z151" s="69">
        <f t="shared" si="66"/>
        <v>23.3308</v>
      </c>
      <c r="AA151" s="69">
        <f t="shared" si="59"/>
        <v>23.284800000000001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60"/>
        <v>0237-14</v>
      </c>
      <c r="AE151" s="99" t="str">
        <f t="shared" si="61"/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AF151" s="96" t="str">
        <f t="shared" si="62"/>
        <v>"C:\Program Files (x86)\AstroGrep\AstroGrep.exe" /spath="%USERPROFILE%\AppData\Local\Temp\OnboardLogs" /stypes="app*4044*20160915*" /stext=" 05:.+((SYSTEM_STATE.+slice.+state.+changed )|(ment ac)|(system.+state.+changed )|(\|lc)|(penalty)|(\[timeout)|(PRM\|1\|D)|(kpr)|(kdp))" /e /r /s</v>
      </c>
      <c r="AG151" s="1" t="str">
        <f t="shared" si="63"/>
        <v>EC</v>
      </c>
      <c r="AH151" s="100" t="str">
        <f t="shared" si="64"/>
        <v>"%USERPROFILE%\Documents\GitHub\eaglep3\Utilities\RefineRTDCRunTimes.py" --tripid 237-14 --locoid 4044 --swversion DE.1.0.7.0 --startMP 204:460 --initTime 2016-09-14T22:48:56 --startdatetime 2016-09-14T23:00:29 --delay 1 --endMP 204:233308 --enddatetime 2016-09-14T23:36:10 --enforcementcount 0 &gt;&gt;C:\Users\stu\Documents\GitHub\eaglep3-reporting\EC\2016-09-14-refined-times.txt</v>
      </c>
      <c r="AI151" s="134" t="str">
        <f t="shared" si="65"/>
        <v>echo {"issue":{"subject":"","project_id":79,"tracker_id":40,"status_id":1,"priority_id":2,"assigned_to_id":23,"start_date":"2016-09-14","description":"","custom_fields":[{"id":1,"name":"Subdivision","value":"EC"},{"id":4,"name":"Milepost","value":"23.3308"},{"id":17,"name":"Train ID","value":"237-14"},{"id":16,"name":"Locomotive ID","value":"4044"},{"id":130,"name":"Impact","value":""},{"id":150,"name":"Time of Event (Mountain Time)","value":"23:36:10"},{"id":151,"name":"Denver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589</v>
      </c>
      <c r="B152" s="7">
        <v>4043</v>
      </c>
      <c r="C152" s="24" t="s">
        <v>108</v>
      </c>
      <c r="D152" s="24" t="s">
        <v>655</v>
      </c>
      <c r="E152" s="15">
        <v>42627.991284722222</v>
      </c>
      <c r="F152" s="15">
        <v>42627.997685185182</v>
      </c>
      <c r="G152" s="7">
        <v>1</v>
      </c>
      <c r="H152" s="15" t="s">
        <v>225</v>
      </c>
      <c r="I152" s="15">
        <v>42628.024976851855</v>
      </c>
      <c r="J152" s="7">
        <v>0</v>
      </c>
      <c r="K152" s="121" t="str">
        <f t="shared" si="55"/>
        <v>4043/4044</v>
      </c>
      <c r="L152" s="24" t="str">
        <f>VLOOKUP(A152,'Trips&amp;Operators'!$C$1:$E$10000,3,FALSE)</f>
        <v>STURGEON</v>
      </c>
      <c r="M152" s="6">
        <f t="shared" si="56"/>
        <v>2.7291666672681458E-2</v>
      </c>
      <c r="N152" s="7">
        <f t="shared" si="53"/>
        <v>39.3000000086613</v>
      </c>
      <c r="O152" s="7"/>
      <c r="P152" s="7"/>
      <c r="Q152" s="25"/>
      <c r="R152" s="25"/>
      <c r="S152" s="37">
        <f t="shared" si="54"/>
        <v>1</v>
      </c>
      <c r="T152" s="52" t="str">
        <f t="shared" si="57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22:47:27-0600',mode:absolute,to:'2016-09-15 01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2" s="54" t="str">
        <f t="shared" si="52"/>
        <v>N</v>
      </c>
      <c r="X152" s="168">
        <f t="shared" si="50"/>
        <v>1</v>
      </c>
      <c r="Y152" s="69">
        <f t="shared" si="51"/>
        <v>23.300599999999999</v>
      </c>
      <c r="Z152" s="69">
        <f t="shared" si="66"/>
        <v>1.6299999999999999E-2</v>
      </c>
      <c r="AA152" s="69">
        <f t="shared" si="59"/>
        <v>23.284299999999998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60"/>
        <v>0238-14</v>
      </c>
      <c r="AE152" s="99" t="str">
        <f t="shared" si="61"/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AF152" s="96" t="str">
        <f t="shared" si="62"/>
        <v>"C:\Program Files (x86)\AstroGrep\AstroGrep.exe" /spath="%USERPROFILE%\AppData\Local\Temp\OnboardLogs" /stypes="app*4043*20160915*" /stext=" 06:.+((SYSTEM_STATE.+slice.+state.+changed )|(ment ac)|(system.+state.+changed )|(\|lc)|(penalty)|(\[timeout)|(PRM\|1\|D)|(kpr)|(kdp))" /e /r /s</v>
      </c>
      <c r="AG152" s="1" t="str">
        <f t="shared" si="63"/>
        <v>EC</v>
      </c>
      <c r="AH152" s="100" t="str">
        <f t="shared" si="64"/>
        <v>"%USERPROFILE%\Documents\GitHub\eaglep3\Utilities\RefineRTDCRunTimes.py" --tripid 238-14 --locoid 4043 --swversion DE.1.0.7.0 --startMP 204:233006 --initTime 2016-09-14T23:47:27 --startdatetime 2016-09-14T23:56:40 --delay 1 --endMP 204:163 --enddatetime 2016-09-15T00:35:58 --enforcementcount 0 &gt;&gt;C:\Users\stu\Documents\GitHub\eaglep3-reporting\EC\2016-09-14-refined-times.txt</v>
      </c>
      <c r="AI152" s="134" t="str">
        <f t="shared" si="65"/>
        <v>echo {"issue":{"subject":"","project_id":79,"tracker_id":40,"status_id":1,"priority_id":2,"assigned_to_id":23,"start_date":"2016-09-15","description":"","custom_fields":[{"id":1,"name":"Subdivision","value":"EC"},{"id":4,"name":"Milepost","value":"0.0163"},{"id":17,"name":"Train ID","value":"238-14"},{"id":16,"name":"Locomotive ID","value":"4043"},{"id":130,"name":"Impact","value":""},{"id":150,"name":"Time of Event (Mountain Time)","value":"00:35:58"},{"id":151,"name":"Denver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588</v>
      </c>
      <c r="B153" s="7">
        <v>4027</v>
      </c>
      <c r="C153" s="24" t="s">
        <v>108</v>
      </c>
      <c r="D153" s="24" t="s">
        <v>237</v>
      </c>
      <c r="E153" s="15">
        <v>42627.976898148147</v>
      </c>
      <c r="F153" s="15">
        <v>42627.979317129626</v>
      </c>
      <c r="G153" s="7">
        <v>1</v>
      </c>
      <c r="H153" s="15" t="s">
        <v>656</v>
      </c>
      <c r="I153" s="15">
        <v>42628.004687499997</v>
      </c>
      <c r="J153" s="7">
        <v>0</v>
      </c>
      <c r="K153" s="121" t="str">
        <f t="shared" si="55"/>
        <v>4027/4028</v>
      </c>
      <c r="L153" s="24" t="str">
        <f>VLOOKUP(A153,'Trips&amp;Operators'!$C$1:$E$10000,3,FALSE)</f>
        <v>SMITH</v>
      </c>
      <c r="M153" s="6">
        <f t="shared" si="56"/>
        <v>2.5370370371092577E-2</v>
      </c>
      <c r="N153" s="7">
        <f t="shared" si="53"/>
        <v>36.53333333437331</v>
      </c>
      <c r="O153" s="7"/>
      <c r="P153" s="7"/>
      <c r="Q153" s="25"/>
      <c r="R153" s="25"/>
      <c r="S153" s="37">
        <f t="shared" si="54"/>
        <v>1</v>
      </c>
      <c r="T153" s="52" t="str">
        <f t="shared" si="57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22:26:44-0600',mode:absolute,to:'2016-09-15 01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3" s="54" t="str">
        <f t="shared" si="52"/>
        <v>N</v>
      </c>
      <c r="X153" s="168">
        <f t="shared" si="50"/>
        <v>1</v>
      </c>
      <c r="Y153" s="69">
        <f t="shared" si="51"/>
        <v>4.5699999999999998E-2</v>
      </c>
      <c r="Z153" s="69">
        <f t="shared" si="66"/>
        <v>23.327999999999999</v>
      </c>
      <c r="AA153" s="69">
        <f t="shared" si="59"/>
        <v>23.282299999999999</v>
      </c>
      <c r="AB153" s="66" t="str">
        <f>VLOOKUP(A153,Enforcements!$C$7:$K$20,8,0)</f>
        <v>Bulletin (2)</v>
      </c>
      <c r="AC153" s="62" t="str">
        <f>VLOOKUP(A153,Enforcements!$C$7:$E$20,3,0)</f>
        <v>GRADE CROSSING</v>
      </c>
      <c r="AD153" s="63" t="str">
        <f t="shared" si="60"/>
        <v>0239-14</v>
      </c>
      <c r="AE153" s="99" t="str">
        <f t="shared" si="61"/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AF153" s="96" t="str">
        <f t="shared" si="62"/>
        <v>"C:\Program Files (x86)\AstroGrep\AstroGrep.exe" /spath="%USERPROFILE%\AppData\Local\Temp\OnboardLogs" /stypes="app*4027*20160915*" /stext=" 06:.+((SYSTEM_STATE.+slice.+state.+changed )|(ment ac)|(system.+state.+changed )|(\|lc)|(penalty)|(\[timeout)|(PRM\|1\|D)|(kpr)|(kdp))" /e /r /s</v>
      </c>
      <c r="AG153" s="1" t="str">
        <f t="shared" si="63"/>
        <v>EC</v>
      </c>
      <c r="AH153" s="100" t="str">
        <f t="shared" si="64"/>
        <v>"%USERPROFILE%\Documents\GitHub\eaglep3\Utilities\RefineRTDCRunTimes.py" --tripid 239-14 --locoid 4027 --swversion DE.1.0.7.0 --startMP 204:457 --initTime 2016-09-14T23:26:44 --startdatetime 2016-09-14T23:30:13 --delay 1 --endMP 204:233280 --enddatetime 2016-09-15T00:06:45 --enforcementcount 0 &gt;&gt;C:\Users\stu\Documents\GitHub\eaglep3-reporting\EC\2016-09-14-refined-times.txt</v>
      </c>
      <c r="AI153" s="134" t="str">
        <f t="shared" si="65"/>
        <v>echo {"issue":{"subject":"","project_id":79,"tracker_id":40,"status_id":1,"priority_id":2,"assigned_to_id":23,"start_date":"2016-09-15","description":"","custom_fields":[{"id":1,"name":"Subdivision","value":"EC"},{"id":4,"name":"Milepost","value":"23.328"},{"id":17,"name":"Train ID","value":"239-14"},{"id":16,"name":"Locomotive ID","value":"4027"},{"id":130,"name":"Impact","value":""},{"id":150,"name":"Time of Event (Mountain Time)","value":"00:06:45"},{"id":151,"name":"Denver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591</v>
      </c>
      <c r="B154" s="7">
        <v>4028</v>
      </c>
      <c r="C154" s="24" t="s">
        <v>108</v>
      </c>
      <c r="D154" s="24" t="s">
        <v>657</v>
      </c>
      <c r="E154" s="15">
        <v>42628.014826388891</v>
      </c>
      <c r="F154" s="15">
        <v>42628.018275462964</v>
      </c>
      <c r="G154" s="7">
        <v>1</v>
      </c>
      <c r="H154" s="15" t="s">
        <v>258</v>
      </c>
      <c r="I154" s="15">
        <v>42628.043773148151</v>
      </c>
      <c r="J154" s="7">
        <v>0</v>
      </c>
      <c r="K154" s="121" t="str">
        <f t="shared" si="55"/>
        <v>4027/4028</v>
      </c>
      <c r="L154" s="24" t="str">
        <f>VLOOKUP(A154,'Trips&amp;Operators'!$C$1:$E$10000,3,FALSE)</f>
        <v>SMITH</v>
      </c>
      <c r="M154" s="6">
        <f t="shared" si="56"/>
        <v>2.5497685186564922E-2</v>
      </c>
      <c r="N154" s="7">
        <f t="shared" si="53"/>
        <v>36.716666668653488</v>
      </c>
      <c r="O154" s="7"/>
      <c r="P154" s="7"/>
      <c r="Q154" s="25"/>
      <c r="R154" s="25"/>
      <c r="S154" s="37">
        <f t="shared" si="54"/>
        <v>1</v>
      </c>
      <c r="T154" s="52" t="str">
        <f t="shared" si="57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23:21:21-0600',mode:absolute,to:'2016-09-15 02:03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54" s="54" t="str">
        <f t="shared" si="52"/>
        <v>N</v>
      </c>
      <c r="X154" s="168">
        <f t="shared" si="50"/>
        <v>1</v>
      </c>
      <c r="Y154" s="69">
        <f t="shared" si="51"/>
        <v>23.2972</v>
      </c>
      <c r="Z154" s="69">
        <f t="shared" si="66"/>
        <v>1.41E-2</v>
      </c>
      <c r="AA154" s="69">
        <f t="shared" si="59"/>
        <v>23.283100000000001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60"/>
        <v>0240-14</v>
      </c>
      <c r="AE154" s="99" t="str">
        <f t="shared" si="61"/>
        <v>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 &amp; aws s3 cp s3://rtdc.mdm.uploadarchive/RTDC4028/2016-09-16/ "%USERPROFILE%\AppData\Local\Temp\OnboardLogs"\RTDC4028\2016-09-16 --recursive &amp; "%USERPROFILE%\Documents\GitHub\mrs-test-scripts\Headless Mode &amp; Sideloading\WalkAndUnGZ.bat" "%USERPROFILE%\AppData\Local\Temp\OnboardLogs"\RTDC4028\2016-09-16</v>
      </c>
      <c r="AF154" s="96" t="str">
        <f t="shared" si="62"/>
        <v>"C:\Program Files (x86)\AstroGrep\AstroGrep.exe" /spath="%USERPROFILE%\AppData\Local\Temp\OnboardLogs" /stypes="app*4028*20160915*" /stext=" 07:.+((SYSTEM_STATE.+slice.+state.+changed )|(ment ac)|(system.+state.+changed )|(\|lc)|(penalty)|(\[timeout)|(PRM\|1\|D)|(kpr)|(kdp))" /e /r /s</v>
      </c>
      <c r="AG154" s="1" t="str">
        <f t="shared" si="63"/>
        <v>EC</v>
      </c>
      <c r="AH154" s="100" t="str">
        <f t="shared" si="64"/>
        <v>"%USERPROFILE%\Documents\GitHub\eaglep3\Utilities\RefineRTDCRunTimes.py" --tripid 240-14 --locoid 4028 --swversion DE.1.0.7.0 --startMP 204:232972 --initTime 2016-09-15T00:21:21 --startdatetime 2016-09-15T00:26:19 --delay 1 --endMP 204:141 --enddatetime 2016-09-15T01:03:02 --enforcementcount 0 &gt;&gt;C:\Users\stu\Documents\GitHub\eaglep3-reporting\EC\2016-09-14-refined-times.txt</v>
      </c>
      <c r="AI154" s="134" t="str">
        <f t="shared" si="65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ID","value":"240-14"},{"id":16,"name":"Locomotive ID","value":"4028"},{"id":130,"name":"Impact","value":""},{"id":150,"name":"Time of Event (Mountain Time)","value":"01:03:02"},{"id":151,"name":"Denver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590</v>
      </c>
      <c r="B155" s="7">
        <v>4014</v>
      </c>
      <c r="C155" s="24" t="s">
        <v>108</v>
      </c>
      <c r="D155" s="24" t="s">
        <v>314</v>
      </c>
      <c r="E155" s="15">
        <v>42627.994606481479</v>
      </c>
      <c r="F155" s="15">
        <v>42628.000185185185</v>
      </c>
      <c r="G155" s="7">
        <v>1</v>
      </c>
      <c r="H155" s="15" t="s">
        <v>356</v>
      </c>
      <c r="I155" s="15">
        <v>42628.024791666663</v>
      </c>
      <c r="J155" s="7">
        <v>0</v>
      </c>
      <c r="K155" s="121" t="str">
        <f t="shared" si="55"/>
        <v>4013/4014</v>
      </c>
      <c r="L155" s="24" t="str">
        <f>VLOOKUP(A155,'Trips&amp;Operators'!$C$1:$E$10000,3,FALSE)</f>
        <v>LEVIN</v>
      </c>
      <c r="M155" s="6">
        <f t="shared" si="56"/>
        <v>2.4606481478258502E-2</v>
      </c>
      <c r="N155" s="7">
        <f t="shared" si="53"/>
        <v>35.433333328692243</v>
      </c>
      <c r="O155" s="7"/>
      <c r="P155" s="7"/>
      <c r="Q155" s="25"/>
      <c r="R155" s="25"/>
      <c r="S155" s="37">
        <f t="shared" si="54"/>
        <v>1</v>
      </c>
      <c r="T155" s="52" t="str">
        <f t="shared" si="57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22:52:14-0600',mode:absolute,to:'2016-09-15 01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5" s="54" t="str">
        <f t="shared" si="52"/>
        <v>N</v>
      </c>
      <c r="X155" s="168">
        <f t="shared" si="50"/>
        <v>1</v>
      </c>
      <c r="Y155" s="69">
        <f t="shared" si="51"/>
        <v>4.3499999999999997E-2</v>
      </c>
      <c r="Z155" s="69">
        <f t="shared" si="66"/>
        <v>23.332699999999999</v>
      </c>
      <c r="AA155" s="69">
        <f t="shared" si="59"/>
        <v>23.289199999999997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60"/>
        <v>0241-14</v>
      </c>
      <c r="AE155" s="99" t="str">
        <f t="shared" si="61"/>
        <v>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 &amp; 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</v>
      </c>
      <c r="AF155" s="96" t="str">
        <f t="shared" si="62"/>
        <v>"C:\Program Files (x86)\AstroGrep\AstroGrep.exe" /spath="%USERPROFILE%\AppData\Local\Temp\OnboardLogs" /stypes="app*4014*20160915*" /stext=" 06:.+((SYSTEM_STATE.+slice.+state.+changed )|(ment ac)|(system.+state.+changed )|(\|lc)|(penalty)|(\[timeout)|(PRM\|1\|D)|(kpr)|(kdp))" /e /r /s</v>
      </c>
      <c r="AG155" s="1" t="str">
        <f t="shared" si="63"/>
        <v>EC</v>
      </c>
      <c r="AH155" s="100" t="str">
        <f t="shared" si="64"/>
        <v>"%USERPROFILE%\Documents\GitHub\eaglep3\Utilities\RefineRTDCRunTimes.py" --tripid 241-14 --locoid 4014 --swversion DE.1.0.7.0 --startMP 204:435 --initTime 2016-09-14T23:52:14 --startdatetime 2016-09-15T00:00:16 --delay 1 --endMP 204:233327 --enddatetime 2016-09-15T00:35:42 --enforcementcount 0 &gt;&gt;C:\Users\stu\Documents\GitHub\eaglep3-reporting\EC\2016-09-14-refined-times.txt</v>
      </c>
      <c r="AI155" s="134" t="str">
        <f t="shared" si="65"/>
        <v>echo {"issue":{"subject":"","project_id":79,"tracker_id":40,"status_id":1,"priority_id":2,"assigned_to_id":23,"start_date":"2016-09-15","description":"","custom_fields":[{"id":1,"name":"Subdivision","value":"EC"},{"id":4,"name":"Milepost","value":"23.3327"},{"id":17,"name":"Train ID","value":"241-14"},{"id":16,"name":"Locomotive ID","value":"4014"},{"id":130,"name":"Impact","value":""},{"id":150,"name":"Time of Event (Mountain Time)","value":"00:35:42"},{"id":151,"name":"Denver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594</v>
      </c>
      <c r="B156" s="7">
        <v>4013</v>
      </c>
      <c r="C156" s="24" t="s">
        <v>108</v>
      </c>
      <c r="D156" s="24" t="s">
        <v>655</v>
      </c>
      <c r="E156" s="15">
        <v>42628.031747685185</v>
      </c>
      <c r="F156" s="15">
        <v>42628.039050925923</v>
      </c>
      <c r="G156" s="7">
        <v>1</v>
      </c>
      <c r="H156" s="15" t="s">
        <v>658</v>
      </c>
      <c r="I156" s="15">
        <v>42628.065578703703</v>
      </c>
      <c r="J156" s="7">
        <v>0</v>
      </c>
      <c r="K156" s="121" t="str">
        <f t="shared" si="55"/>
        <v>4013/4014</v>
      </c>
      <c r="L156" s="24" t="str">
        <f>VLOOKUP(A156,'Trips&amp;Operators'!$C$1:$E$10000,3,FALSE)</f>
        <v>LEVIN</v>
      </c>
      <c r="M156" s="6">
        <f t="shared" si="56"/>
        <v>2.6527777779847383E-2</v>
      </c>
      <c r="N156" s="7">
        <f t="shared" si="53"/>
        <v>38.200000002980232</v>
      </c>
      <c r="O156" s="7"/>
      <c r="P156" s="7"/>
      <c r="Q156" s="25"/>
      <c r="R156" s="25"/>
      <c r="S156" s="37">
        <f t="shared" si="54"/>
        <v>1</v>
      </c>
      <c r="T156" s="52" t="str">
        <f t="shared" si="57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23:45:43-0600',mode:absolute,to:'2016-09-15 02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6" s="54" t="str">
        <f t="shared" si="52"/>
        <v>N</v>
      </c>
      <c r="X156" s="168">
        <f t="shared" si="50"/>
        <v>1</v>
      </c>
      <c r="Y156" s="69">
        <f t="shared" si="51"/>
        <v>23.300599999999999</v>
      </c>
      <c r="Z156" s="69">
        <f t="shared" si="66"/>
        <v>1.1599999999999999E-2</v>
      </c>
      <c r="AA156" s="69">
        <f t="shared" si="59"/>
        <v>23.288999999999998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60"/>
        <v>0242-14</v>
      </c>
      <c r="AE156" s="99" t="str">
        <f t="shared" si="61"/>
        <v>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 &amp; 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</v>
      </c>
      <c r="AF156" s="96" t="str">
        <f t="shared" si="62"/>
        <v>"C:\Program Files (x86)\AstroGrep\AstroGrep.exe" /spath="%USERPROFILE%\AppData\Local\Temp\OnboardLogs" /stypes="app*4013*20160915*" /stext=" 07:.+((SYSTEM_STATE.+slice.+state.+changed )|(ment ac)|(system.+state.+changed )|(\|lc)|(penalty)|(\[timeout)|(PRM\|1\|D)|(kpr)|(kdp))" /e /r /s</v>
      </c>
      <c r="AG156" s="1" t="str">
        <f t="shared" si="63"/>
        <v>EC</v>
      </c>
      <c r="AH156" s="100" t="str">
        <f t="shared" si="64"/>
        <v>"%USERPROFILE%\Documents\GitHub\eaglep3\Utilities\RefineRTDCRunTimes.py" --tripid 242-14 --locoid 4013 --swversion DE.1.0.7.0 --startMP 204:233006 --initTime 2016-09-15T00:45:43 --startdatetime 2016-09-15T00:56:14 --delay 1 --endMP 204:116 --enddatetime 2016-09-15T01:34:26 --enforcementcount 0 &gt;&gt;C:\Users\stu\Documents\GitHub\eaglep3-reporting\EC\2016-09-14-refined-times.txt</v>
      </c>
      <c r="AI156" s="134" t="str">
        <f t="shared" si="65"/>
        <v>echo {"issue":{"subject":"","project_id":79,"tracker_id":40,"status_id":1,"priority_id":2,"assigned_to_id":23,"start_date":"2016-09-15","description":"","custom_fields":[{"id":1,"name":"Subdivision","value":"EC"},{"id":4,"name":"Milepost","value":"0.0116"},{"id":17,"name":"Train ID","value":"242-14"},{"id":16,"name":"Locomotive ID","value":"4013"},{"id":130,"name":"Impact","value":""},{"id":150,"name":"Time of Event (Mountain Time)","value":"01:34:26"},{"id":151,"name":"Denver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592</v>
      </c>
      <c r="B157" s="7">
        <v>4053</v>
      </c>
      <c r="C157" s="24" t="s">
        <v>108</v>
      </c>
      <c r="D157" s="24" t="s">
        <v>252</v>
      </c>
      <c r="E157" s="15">
        <v>42628.017337962963</v>
      </c>
      <c r="F157" s="15">
        <v>42628.021226851852</v>
      </c>
      <c r="G157" s="7">
        <v>1</v>
      </c>
      <c r="H157" s="15" t="s">
        <v>222</v>
      </c>
      <c r="I157" s="15">
        <v>42628.046134259261</v>
      </c>
      <c r="J157" s="7">
        <v>0</v>
      </c>
      <c r="K157" s="121" t="str">
        <f t="shared" si="55"/>
        <v>4053/4054</v>
      </c>
      <c r="L157" s="24" t="str">
        <f>VLOOKUP(A157,'Trips&amp;Operators'!$C$1:$E$10000,3,FALSE)</f>
        <v>COOLAHAN</v>
      </c>
      <c r="M157" s="6">
        <f t="shared" si="56"/>
        <v>2.4907407409045845E-2</v>
      </c>
      <c r="N157" s="7">
        <f t="shared" si="53"/>
        <v>35.866666669026017</v>
      </c>
      <c r="O157" s="7"/>
      <c r="P157" s="7"/>
      <c r="Q157" s="25"/>
      <c r="R157" s="25"/>
      <c r="S157" s="37">
        <f t="shared" si="54"/>
        <v>1</v>
      </c>
      <c r="T157" s="52" t="str">
        <f t="shared" si="57"/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23:24:58-0600',mode:absolute,to:'2016-09-15 02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57" s="54" t="str">
        <f t="shared" si="52"/>
        <v>N</v>
      </c>
      <c r="X157" s="168">
        <f t="shared" si="50"/>
        <v>1</v>
      </c>
      <c r="Y157" s="69">
        <f t="shared" si="51"/>
        <v>4.7300000000000002E-2</v>
      </c>
      <c r="Z157" s="69">
        <f t="shared" si="66"/>
        <v>23.331399999999999</v>
      </c>
      <c r="AA157" s="69">
        <f t="shared" si="59"/>
        <v>23.284099999999999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60"/>
        <v>0243-14</v>
      </c>
      <c r="AE157" s="99" t="str">
        <f t="shared" si="61"/>
        <v>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 &amp; aws s3 cp s3://rtdc.mdm.uploadarchive/RTDC4053/2016-09-16/ "%USERPROFILE%\AppData\Local\Temp\OnboardLogs"\RTDC4053\2016-09-16 --recursive &amp; "%USERPROFILE%\Documents\GitHub\mrs-test-scripts\Headless Mode &amp; Sideloading\WalkAndUnGZ.bat" "%USERPROFILE%\AppData\Local\Temp\OnboardLogs"\RTDC4053\2016-09-16</v>
      </c>
      <c r="AF157" s="96" t="str">
        <f t="shared" si="62"/>
        <v>"C:\Program Files (x86)\AstroGrep\AstroGrep.exe" /spath="%USERPROFILE%\AppData\Local\Temp\OnboardLogs" /stypes="app*4053*20160915*" /stext=" 07:.+((SYSTEM_STATE.+slice.+state.+changed )|(ment ac)|(system.+state.+changed )|(\|lc)|(penalty)|(\[timeout)|(PRM\|1\|D)|(kpr)|(kdp))" /e /r /s</v>
      </c>
      <c r="AG157" s="1" t="str">
        <f t="shared" si="63"/>
        <v>EC</v>
      </c>
      <c r="AH157" s="100" t="str">
        <f t="shared" si="64"/>
        <v>"%USERPROFILE%\Documents\GitHub\eaglep3\Utilities\RefineRTDCRunTimes.py" --tripid 243-14 --locoid 4053 --swversion DE.1.0.7.0 --startMP 204:473 --initTime 2016-09-15T00:24:58 --startdatetime 2016-09-15T00:30:34 --delay 1 --endMP 204:233314 --enddatetime 2016-09-15T01:06:26 --enforcementcount 0 &gt;&gt;C:\Users\stu\Documents\GitHub\eaglep3-reporting\EC\2016-09-14-refined-times.txt</v>
      </c>
      <c r="AI157" s="134" t="str">
        <f t="shared" si="65"/>
        <v>echo {"issue":{"subject":"","project_id":79,"tracker_id":40,"status_id":1,"priority_id":2,"assigned_to_id":23,"start_date":"2016-09-15","description":"","custom_fields":[{"id":1,"name":"Subdivision","value":"EC"},{"id":4,"name":"Milepost","value":"23.3314"},{"id":17,"name":"Train ID","value":"243-14"},{"id":16,"name":"Locomotive ID","value":"4053"},{"id":130,"name":"Impact","value":""},{"id":150,"name":"Time of Event (Mountain Time)","value":"01:06:26"},{"id":151,"name":"Denver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596</v>
      </c>
      <c r="B158" s="7">
        <v>4054</v>
      </c>
      <c r="C158" s="24" t="s">
        <v>108</v>
      </c>
      <c r="D158" s="24" t="s">
        <v>659</v>
      </c>
      <c r="E158" s="15">
        <v>42628.053854166668</v>
      </c>
      <c r="F158" s="15">
        <v>42628.060115740744</v>
      </c>
      <c r="G158" s="7">
        <v>1</v>
      </c>
      <c r="H158" s="15" t="s">
        <v>660</v>
      </c>
      <c r="I158" s="15">
        <v>42628.085810185185</v>
      </c>
      <c r="J158" s="7">
        <v>0</v>
      </c>
      <c r="K158" s="121" t="str">
        <f t="shared" si="55"/>
        <v>4053/4054</v>
      </c>
      <c r="L158" s="24" t="str">
        <f>VLOOKUP(A158,'Trips&amp;Operators'!$C$1:$E$10000,3,FALSE)</f>
        <v>COOLAHAN</v>
      </c>
      <c r="M158" s="6">
        <f t="shared" si="56"/>
        <v>2.569444444088731E-2</v>
      </c>
      <c r="N158" s="7">
        <f t="shared" si="53"/>
        <v>36.999999994877726</v>
      </c>
      <c r="O158" s="7"/>
      <c r="P158" s="7"/>
      <c r="Q158" s="25"/>
      <c r="R158" s="25"/>
      <c r="S158" s="37">
        <f t="shared" si="54"/>
        <v>1</v>
      </c>
      <c r="T158" s="52" t="str">
        <f t="shared" si="57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https://search-rtdc-monitor-bjffxe2xuh6vdkpspy63sjmuny.us-east-1.es.amazonaws.com/_plugin/kibana/#/discover/Steve-Slow-Train-Analysis-(2080s-and-2083s)?_g=(refreshInterval:(display:Off,section:0,value:0),time:(from:'2016-09-15 00:17:33-0600',mode:absolute,to:'2016-09-15 03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58" s="54" t="str">
        <f t="shared" si="52"/>
        <v>N</v>
      </c>
      <c r="X158" s="168">
        <f t="shared" si="50"/>
        <v>1</v>
      </c>
      <c r="Y158" s="69">
        <f t="shared" si="51"/>
        <v>23.299299999999999</v>
      </c>
      <c r="Z158" s="69">
        <f t="shared" si="66"/>
        <v>1.9400000000000001E-2</v>
      </c>
      <c r="AA158" s="69">
        <f t="shared" si="59"/>
        <v>23.279899999999998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60"/>
        <v>0244-14</v>
      </c>
      <c r="AE158" s="99" t="str">
        <f t="shared" si="61"/>
        <v>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 &amp; aws s3 cp s3://rtdc.mdm.uploadarchive/RTDC4054/2016-09-16/ "%USERPROFILE%\AppData\Local\Temp\OnboardLogs"\RTDC4054\2016-09-16 --recursive &amp; "%USERPROFILE%\Documents\GitHub\mrs-test-scripts\Headless Mode &amp; Sideloading\WalkAndUnGZ.bat" "%USERPROFILE%\AppData\Local\Temp\OnboardLogs"\RTDC4054\2016-09-16</v>
      </c>
      <c r="AF158" s="96" t="str">
        <f t="shared" si="62"/>
        <v>"C:\Program Files (x86)\AstroGrep\AstroGrep.exe" /spath="%USERPROFILE%\AppData\Local\Temp\OnboardLogs" /stypes="app*4054*20160915*" /stext=" 08:.+((SYSTEM_STATE.+slice.+state.+changed )|(ment ac)|(system.+state.+changed )|(\|lc)|(penalty)|(\[timeout)|(PRM\|1\|D)|(kpr)|(kdp))" /e /r /s</v>
      </c>
      <c r="AG158" s="1" t="str">
        <f t="shared" si="63"/>
        <v>EC</v>
      </c>
      <c r="AH158" s="100" t="str">
        <f t="shared" si="64"/>
        <v>"%USERPROFILE%\Documents\GitHub\eaglep3\Utilities\RefineRTDCRunTimes.py" --tripid 244-14 --locoid 4054 --swversion DE.1.0.7.0 --startMP 204:232993 --initTime 2016-09-15T01:17:33 --startdatetime 2016-09-15T01:26:34 --delay 1 --endMP 204:194 --enddatetime 2016-09-15T02:03:34 --enforcementcount 0 &gt;&gt;C:\Users\stu\Documents\GitHub\eaglep3-reporting\EC\2016-09-14-refined-times.txt</v>
      </c>
      <c r="AI158" s="134" t="str">
        <f t="shared" si="65"/>
        <v>echo {"issue":{"subject":"","project_id":79,"tracker_id":40,"status_id":1,"priority_id":2,"assigned_to_id":23,"start_date":"2016-09-15","description":"","custom_fields":[{"id":1,"name":"Subdivision","value":"EC"},{"id":4,"name":"Milepost","value":"0.0194"},{"id":17,"name":"Train ID","value":"244-14"},{"id":16,"name":"Locomotive ID","value":"4054"},{"id":130,"name":"Impact","value":""},{"id":150,"name":"Time of Event (Mountain Time)","value":"02:03:34"},{"id":151,"name":"Denver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398</v>
      </c>
      <c r="B159" s="7">
        <v>4025</v>
      </c>
      <c r="C159" s="24" t="s">
        <v>108</v>
      </c>
      <c r="D159" s="24" t="s">
        <v>332</v>
      </c>
      <c r="E159" s="15">
        <v>42627.241064814814</v>
      </c>
      <c r="F159" s="15">
        <v>42627.243946759256</v>
      </c>
      <c r="G159" s="7">
        <v>2</v>
      </c>
      <c r="H159" s="15" t="s">
        <v>327</v>
      </c>
      <c r="I159" s="15">
        <v>42627.253437500003</v>
      </c>
      <c r="J159" s="7">
        <v>0</v>
      </c>
      <c r="K159" s="121" t="str">
        <f t="shared" si="55"/>
        <v>4025/4026</v>
      </c>
      <c r="L159" s="24" t="str">
        <f>VLOOKUP(A159,'Trips&amp;Operators'!$C$1:$E$10000,3,FALSE)</f>
        <v>STARKS</v>
      </c>
      <c r="M159" s="6">
        <f t="shared" si="56"/>
        <v>9.4907407474238425E-3</v>
      </c>
      <c r="N159" s="7">
        <f t="shared" si="53"/>
        <v>13.666666676290333</v>
      </c>
      <c r="O159" s="7"/>
      <c r="P159" s="7"/>
      <c r="Q159" s="25"/>
      <c r="R159" s="25"/>
      <c r="S159" s="37">
        <f t="shared" si="54"/>
        <v>1</v>
      </c>
      <c r="T159" s="52" t="str">
        <f t="shared" si="57"/>
        <v>NorthBound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04:47:08-0600',mode:absolute,to:'2016-09-14 07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9" s="54" t="str">
        <f t="shared" si="52"/>
        <v>N</v>
      </c>
      <c r="X159" s="168">
        <f t="shared" si="50"/>
        <v>557</v>
      </c>
      <c r="Y159" s="69">
        <f t="shared" si="51"/>
        <v>9.6500000000000002E-2</v>
      </c>
      <c r="Z159" s="69">
        <f t="shared" si="66"/>
        <v>5.8928000000000003</v>
      </c>
      <c r="AA159" s="69">
        <f t="shared" si="59"/>
        <v>5.7963000000000005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60"/>
        <v>0801-14</v>
      </c>
      <c r="AE159" s="99" t="str">
        <f t="shared" si="61"/>
        <v>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 &amp; 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</v>
      </c>
      <c r="AF159" s="96" t="str">
        <f t="shared" si="62"/>
        <v>"C:\Program Files (x86)\AstroGrep\AstroGrep.exe" /spath="%USERPROFILE%\AppData\Local\Temp\OnboardLogs" /stypes="app*4025*20160914*" /stext=" 12:.+((SYSTEM_STATE.+slice.+state.+changed )|(ment ac)|(system.+state.+changed )|(\|lc)|(penalty)|(\[timeout)|(PRM\|1\|D)|(kpr)|(kdp))" /e /r /s</v>
      </c>
      <c r="AG159" s="1" t="str">
        <f t="shared" si="63"/>
        <v>NW</v>
      </c>
      <c r="AH159" s="100" t="str">
        <f t="shared" si="64"/>
        <v>"%USERPROFILE%\Documents\GitHub\eaglep3\Utilities\RefineRTDCRunTimes.py" --tripid 801-14 --locoid 4025 --swversion DE.1.0.7.0 --startMP 204:965 --initTime 2016-09-14T05:47:08 --startdatetime 2016-09-14T05:51:17 --delay 2 --endMP 300:58928 --enddatetime 2016-09-14T06:04:57 --enforcementcount 0 &gt;&gt;C:\Users\stu\Documents\GitHub\eaglep3-reporting\EC\2016-09-14-refined-times.txt</v>
      </c>
      <c r="AI159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{"issue":{"subject":"","project_id":79,"tracker_id":40,"status_id":1,"priority_id":2,"assigned_to_id":23,"start_date":"2016-09-14","description":"","custom_fields":[{"id":1,"name":"Subdivision","value":"NW"},{"id":4,"name":"Milepost","value":"5.8928"},{"id":17,"name":"Train ID","value":"801-14"},{"id":16,"name":"Locomotive ID","value":"4025"},{"id":130,"name":"Impact","value":""},{"id":150,"name":"Time of Event (Mountain Time)","value":"06:04:57"},{"id":151,"name":"Denver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409</v>
      </c>
      <c r="B160" s="7">
        <v>4026</v>
      </c>
      <c r="C160" s="24" t="s">
        <v>108</v>
      </c>
      <c r="D160" s="24" t="s">
        <v>286</v>
      </c>
      <c r="E160" s="15">
        <v>42627.254282407404</v>
      </c>
      <c r="F160" s="15">
        <v>42627.256736111114</v>
      </c>
      <c r="G160" s="7">
        <v>1</v>
      </c>
      <c r="H160" s="15" t="s">
        <v>671</v>
      </c>
      <c r="I160" s="15">
        <v>42627.267569444448</v>
      </c>
      <c r="J160" s="7">
        <v>0</v>
      </c>
      <c r="K160" s="121" t="str">
        <f t="shared" si="55"/>
        <v>4025/4026</v>
      </c>
      <c r="L160" s="24" t="str">
        <f>VLOOKUP(A160,'Trips&amp;Operators'!$C$1:$E$10000,3,FALSE)</f>
        <v>STARKS</v>
      </c>
      <c r="M160" s="6">
        <f t="shared" si="56"/>
        <v>1.0833333333721384E-2</v>
      </c>
      <c r="N160" s="7">
        <f t="shared" si="53"/>
        <v>15.600000000558794</v>
      </c>
      <c r="O160" s="7"/>
      <c r="P160" s="7"/>
      <c r="Q160" s="25"/>
      <c r="R160" s="25"/>
      <c r="S160" s="37">
        <f t="shared" si="54"/>
        <v>1</v>
      </c>
      <c r="T160" s="52" t="str">
        <f t="shared" si="57"/>
        <v>Southbound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05:06:10-0600',mode:absolute,to:'2016-09-14 07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0" s="54" t="str">
        <f t="shared" si="52"/>
        <v>N</v>
      </c>
      <c r="X160" s="168">
        <f t="shared" si="50"/>
        <v>1</v>
      </c>
      <c r="Y160" s="69">
        <f t="shared" si="51"/>
        <v>5.8619000000000003</v>
      </c>
      <c r="Z160" s="69">
        <f t="shared" si="66"/>
        <v>7.6799999999999993E-2</v>
      </c>
      <c r="AA160" s="69">
        <f t="shared" si="59"/>
        <v>5.7850999999999999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60"/>
        <v>0802-14</v>
      </c>
      <c r="AE160" s="99" t="str">
        <f t="shared" si="61"/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AF160" s="96" t="str">
        <f t="shared" si="62"/>
        <v>"C:\Program Files (x86)\AstroGrep\AstroGrep.exe" /spath="%USERPROFILE%\AppData\Local\Temp\OnboardLogs" /stypes="app*4026*20160914*" /stext=" 12:.+((SYSTEM_STATE.+slice.+state.+changed )|(ment ac)|(system.+state.+changed )|(\|lc)|(penalty)|(\[timeout)|(PRM\|1\|D)|(kpr)|(kdp))" /e /r /s</v>
      </c>
      <c r="AG160" s="1" t="str">
        <f t="shared" si="63"/>
        <v>NW</v>
      </c>
      <c r="AH160" s="100" t="str">
        <f t="shared" si="64"/>
        <v>"%USERPROFILE%\Documents\GitHub\eaglep3\Utilities\RefineRTDCRunTimes.py" --tripid 802-14 --locoid 4026 --swversion DE.1.0.7.0 --startMP 300:58619 --initTime 2016-09-14T06:06:10 --startdatetime 2016-09-14T06:09:42 --delay 1 --endMP 204:768 --enddatetime 2016-09-14T06:25:18 --enforcementcount 0 &gt;&gt;C:\Users\stu\Documents\GitHub\eaglep3-reporting\EC\2016-09-14-refined-times.txt</v>
      </c>
      <c r="AI160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{"issue":{"subject":"","project_id":79,"tracker_id":40,"status_id":1,"priority_id":2,"assigned_to_id":23,"start_date":"2016-09-14","description":"","custom_fields":[{"id":1,"name":"Subdivision","value":"NW"},{"id":4,"name":"Milepost","value":"0.0768"},{"id":17,"name":"Train ID","value":"802-14"},{"id":16,"name":"Locomotive ID","value":"4026"},{"id":130,"name":"Impact","value":""},{"id":150,"name":"Time of Event (Mountain Time)","value":"06:25:18"},{"id":151,"name":"Denver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410</v>
      </c>
      <c r="B161" s="7">
        <v>4020</v>
      </c>
      <c r="C161" s="24" t="s">
        <v>108</v>
      </c>
      <c r="D161" s="24" t="s">
        <v>672</v>
      </c>
      <c r="E161" s="15">
        <v>42627.255879629629</v>
      </c>
      <c r="F161" s="15">
        <v>42627.264756944445</v>
      </c>
      <c r="G161" s="7">
        <v>3</v>
      </c>
      <c r="H161" s="15" t="s">
        <v>673</v>
      </c>
      <c r="I161" s="15">
        <v>42627.274050925924</v>
      </c>
      <c r="J161" s="7">
        <v>0</v>
      </c>
      <c r="K161" s="121" t="str">
        <f t="shared" si="55"/>
        <v>4019/4020</v>
      </c>
      <c r="L161" s="24" t="str">
        <f>VLOOKUP(A161,'Trips&amp;Operators'!$C$1:$E$10000,3,FALSE)</f>
        <v>BRANDNER</v>
      </c>
      <c r="M161" s="6">
        <f t="shared" si="56"/>
        <v>9.29398147854954E-3</v>
      </c>
      <c r="N161" s="7">
        <f t="shared" si="53"/>
        <v>13.383333329111338</v>
      </c>
      <c r="O161" s="7"/>
      <c r="P161" s="7"/>
      <c r="Q161" s="25"/>
      <c r="R161" s="25"/>
      <c r="S161" s="37">
        <f t="shared" si="54"/>
        <v>1</v>
      </c>
      <c r="T161" s="52" t="str">
        <f t="shared" si="57"/>
        <v>NorthBound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05:08:28-0600',mode:absolute,to:'2016-09-14 07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1" s="54" t="str">
        <f t="shared" si="52"/>
        <v>N</v>
      </c>
      <c r="X161" s="168">
        <f t="shared" si="50"/>
        <v>1</v>
      </c>
      <c r="Y161" s="69">
        <f t="shared" si="51"/>
        <v>9.6199999999999994E-2</v>
      </c>
      <c r="Z161" s="69">
        <f t="shared" si="66"/>
        <v>5.8997000000000002</v>
      </c>
      <c r="AA161" s="69">
        <f t="shared" si="59"/>
        <v>5.8035000000000005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60"/>
        <v>0803-14</v>
      </c>
      <c r="AE161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61" s="96" t="str">
        <f t="shared" si="62"/>
        <v>"C:\Program Files (x86)\AstroGrep\AstroGrep.exe" /spath="%USERPROFILE%\AppData\Local\Temp\OnboardLogs" /stypes="app*4020*20160914*" /stext=" 12:.+((SYSTEM_STATE.+slice.+state.+changed )|(ment ac)|(system.+state.+changed )|(\|lc)|(penalty)|(\[timeout)|(PRM\|1\|D)|(kpr)|(kdp))" /e /r /s</v>
      </c>
      <c r="AG161" s="1" t="str">
        <f t="shared" si="63"/>
        <v>NW</v>
      </c>
      <c r="AH161" s="100" t="str">
        <f t="shared" si="64"/>
        <v>"%USERPROFILE%\Documents\GitHub\eaglep3\Utilities\RefineRTDCRunTimes.py" --tripid 803-14 --locoid 4020 --swversion DE.1.0.7.0 --startMP 204:962 --initTime 2016-09-14T06:08:28 --startdatetime 2016-09-14T06:21:15 --delay 3 --endMP 300:58997 --enddatetime 2016-09-14T06:34:38 --enforcementcount 0 &gt;&gt;C:\Users\stu\Documents\GitHub\eaglep3-reporting\EC\2016-09-14-refined-times.txt</v>
      </c>
      <c r="AI161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{"issue":{"subject":"","project_id":79,"tracker_id":40,"status_id":1,"priority_id":2,"assigned_to_id":23,"start_date":"2016-09-14","description":"","custom_fields":[{"id":1,"name":"Subdivision","value":"NW"},{"id":4,"name":"Milepost","value":"5.8997"},{"id":17,"name":"Train ID","value":"803-14"},{"id":16,"name":"Locomotive ID","value":"4020"},{"id":130,"name":"Impact","value":""},{"id":150,"name":"Time of Event (Mountain Time)","value":"06:34:38"},{"id":151,"name":"Denver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415</v>
      </c>
      <c r="B162" s="7">
        <v>4019</v>
      </c>
      <c r="C162" s="24" t="s">
        <v>108</v>
      </c>
      <c r="D162" s="24" t="s">
        <v>674</v>
      </c>
      <c r="E162" s="15">
        <v>42627.275787037041</v>
      </c>
      <c r="F162" s="15">
        <v>42627.278796296298</v>
      </c>
      <c r="G162" s="7">
        <v>2</v>
      </c>
      <c r="H162" s="15" t="s">
        <v>328</v>
      </c>
      <c r="I162" s="15">
        <v>42627.289282407408</v>
      </c>
      <c r="J162" s="7">
        <v>0</v>
      </c>
      <c r="K162" s="121" t="str">
        <f t="shared" si="55"/>
        <v>4019/4020</v>
      </c>
      <c r="L162" s="24" t="str">
        <f>VLOOKUP(A162,'Trips&amp;Operators'!$C$1:$E$10000,3,FALSE)</f>
        <v>BRANDNER</v>
      </c>
      <c r="M162" s="6">
        <f t="shared" si="56"/>
        <v>1.0486111110367347E-2</v>
      </c>
      <c r="N162" s="7">
        <f t="shared" si="53"/>
        <v>15.099999998928979</v>
      </c>
      <c r="O162" s="7"/>
      <c r="P162" s="7"/>
      <c r="Q162" s="25"/>
      <c r="R162" s="25"/>
      <c r="S162" s="37">
        <f t="shared" si="54"/>
        <v>1</v>
      </c>
      <c r="T162" s="52" t="str">
        <f t="shared" si="57"/>
        <v>Southbound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05:37:08-0600',mode:absolute,to:'2016-09-14 07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2" s="54" t="str">
        <f t="shared" si="52"/>
        <v>N</v>
      </c>
      <c r="X162" s="168">
        <f t="shared" si="50"/>
        <v>1</v>
      </c>
      <c r="Y162" s="69">
        <f t="shared" si="51"/>
        <v>5.8677000000000001</v>
      </c>
      <c r="Z162" s="69">
        <f t="shared" si="66"/>
        <v>6.8000000000000005E-2</v>
      </c>
      <c r="AA162" s="69">
        <f t="shared" si="59"/>
        <v>5.7997000000000005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60"/>
        <v>0804-14</v>
      </c>
      <c r="AE162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62" s="96" t="str">
        <f t="shared" si="62"/>
        <v>"C:\Program Files (x86)\AstroGrep\AstroGrep.exe" /spath="%USERPROFILE%\AppData\Local\Temp\OnboardLogs" /stypes="app*4019*20160914*" /stext=" 12:.+((SYSTEM_STATE.+slice.+state.+changed )|(ment ac)|(system.+state.+changed )|(\|lc)|(penalty)|(\[timeout)|(PRM\|1\|D)|(kpr)|(kdp))" /e /r /s</v>
      </c>
      <c r="AG162" s="1" t="str">
        <f t="shared" si="63"/>
        <v>NW</v>
      </c>
      <c r="AH162" s="100" t="str">
        <f t="shared" si="64"/>
        <v>"%USERPROFILE%\Documents\GitHub\eaglep3\Utilities\RefineRTDCRunTimes.py" --tripid 804-14 --locoid 4019 --swversion DE.1.0.7.0 --startMP 300:58677 --initTime 2016-09-14T06:37:08 --startdatetime 2016-09-14T06:41:28 --delay 2 --endMP 204:680 --enddatetime 2016-09-14T06:56:34 --enforcementcount 0 &gt;&gt;C:\Users\stu\Documents\GitHub\eaglep3-reporting\EC\2016-09-14-refined-times.txt</v>
      </c>
      <c r="AI162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{"issue":{"subject":"","project_id":79,"tracker_id":40,"status_id":1,"priority_id":2,"assigned_to_id":23,"start_date":"2016-09-14","description":"","custom_fields":[{"id":1,"name":"Subdivision","value":"NW"},{"id":4,"name":"Milepost","value":"0.068"},{"id":17,"name":"Train ID","value":"804-14"},{"id":16,"name":"Locomotive ID","value":"4019"},{"id":130,"name":"Impact","value":""},{"id":150,"name":"Time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417</v>
      </c>
      <c r="B163" s="7">
        <v>4025</v>
      </c>
      <c r="C163" s="24" t="s">
        <v>108</v>
      </c>
      <c r="D163" s="24" t="s">
        <v>675</v>
      </c>
      <c r="E163" s="15">
        <v>42627.283912037034</v>
      </c>
      <c r="F163" s="15">
        <v>42627.29791666667</v>
      </c>
      <c r="G163" s="7">
        <v>1</v>
      </c>
      <c r="H163" s="15" t="s">
        <v>372</v>
      </c>
      <c r="I163" s="15">
        <v>42627.308923611112</v>
      </c>
      <c r="J163" s="7">
        <v>0</v>
      </c>
      <c r="K163" s="121" t="str">
        <f t="shared" si="55"/>
        <v>4025/4026</v>
      </c>
      <c r="L163" s="24" t="str">
        <f>VLOOKUP(A163,'Trips&amp;Operators'!$C$1:$E$10000,3,FALSE)</f>
        <v>STARKS</v>
      </c>
      <c r="M163" s="6">
        <f t="shared" si="56"/>
        <v>1.1006944441760425E-2</v>
      </c>
      <c r="N163" s="7">
        <f t="shared" si="53"/>
        <v>15.849999996135011</v>
      </c>
      <c r="O163" s="7"/>
      <c r="P163" s="7"/>
      <c r="Q163" s="25"/>
      <c r="R163" s="25"/>
      <c r="S163" s="37">
        <f t="shared" si="54"/>
        <v>1</v>
      </c>
      <c r="T163" s="52" t="str">
        <f t="shared" si="57"/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05:48:50-0600',mode:absolute,to:'2016-09-14 08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3" s="54" t="str">
        <f t="shared" si="52"/>
        <v>N</v>
      </c>
      <c r="X163" s="168">
        <f t="shared" si="50"/>
        <v>1</v>
      </c>
      <c r="Y163" s="69">
        <f t="shared" si="51"/>
        <v>0.1041</v>
      </c>
      <c r="Z163" s="69">
        <f t="shared" si="66"/>
        <v>5.8936999999999999</v>
      </c>
      <c r="AA163" s="69">
        <f t="shared" si="59"/>
        <v>5.7896000000000001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60"/>
        <v>0805-14</v>
      </c>
      <c r="AE163" s="99" t="str">
        <f t="shared" si="61"/>
        <v>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 &amp; 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</v>
      </c>
      <c r="AF163" s="96" t="str">
        <f t="shared" si="62"/>
        <v>"C:\Program Files (x86)\AstroGrep\AstroGrep.exe" /spath="%USERPROFILE%\AppData\Local\Temp\OnboardLogs" /stypes="app*4025*20160914*" /stext=" 13:.+((SYSTEM_STATE.+slice.+state.+changed )|(ment ac)|(system.+state.+changed )|(\|lc)|(penalty)|(\[timeout)|(PRM\|1\|D)|(kpr)|(kdp))" /e /r /s</v>
      </c>
      <c r="AG163" s="1" t="str">
        <f t="shared" si="63"/>
        <v>NW</v>
      </c>
      <c r="AH163" s="100" t="str">
        <f t="shared" si="64"/>
        <v>"%USERPROFILE%\Documents\GitHub\eaglep3\Utilities\RefineRTDCRunTimes.py" --tripid 805-14 --locoid 4025 --swversion DE.1.0.7.0 --startMP 204:1041 --initTime 2016-09-14T06:48:50 --startdatetime 2016-09-14T07:09:00 --delay 1 --endMP 300:58937 --enddatetime 2016-09-14T07:24:51 --enforcementcount 0 &gt;&gt;C:\Users\stu\Documents\GitHub\eaglep3-reporting\EC\2016-09-14-refined-times.txt</v>
      </c>
      <c r="AI163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{"issue":{"subject":"","project_id":79,"tracker_id":40,"status_id":1,"priority_id":2,"assigned_to_id":23,"start_date":"2016-09-14","description":"","custom_fields":[{"id":1,"name":"Subdivision","value":"NW"},{"id":4,"name":"Milepost","value":"5.8937"},{"id":17,"name":"Train ID","value":"805-14"},{"id":16,"name":"Locomotive ID","value":"4025"},{"id":130,"name":"Impact","value":""},{"id":150,"name":"Time of Event (Mountain Time)","value":"07:24:51"},{"id":151,"name":"Denver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422</v>
      </c>
      <c r="B164" s="7">
        <v>4026</v>
      </c>
      <c r="C164" s="24" t="s">
        <v>108</v>
      </c>
      <c r="D164" s="24" t="s">
        <v>676</v>
      </c>
      <c r="E164" s="15">
        <v>42627.296782407408</v>
      </c>
      <c r="F164" s="15">
        <v>42627.29791666667</v>
      </c>
      <c r="G164" s="7">
        <v>1</v>
      </c>
      <c r="H164" s="15" t="s">
        <v>677</v>
      </c>
      <c r="I164" s="15">
        <v>42627.308923611112</v>
      </c>
      <c r="J164" s="7">
        <v>0</v>
      </c>
      <c r="K164" s="121" t="str">
        <f t="shared" si="55"/>
        <v>4025/4026</v>
      </c>
      <c r="L164" s="24" t="str">
        <f>VLOOKUP(A164,'Trips&amp;Operators'!$C$1:$E$10000,3,FALSE)</f>
        <v>STARKS</v>
      </c>
      <c r="M164" s="6">
        <f t="shared" si="56"/>
        <v>1.1006944441760425E-2</v>
      </c>
      <c r="N164" s="7">
        <f t="shared" si="53"/>
        <v>15.849999996135011</v>
      </c>
      <c r="O164" s="7"/>
      <c r="P164" s="7"/>
      <c r="Q164" s="25"/>
      <c r="R164" s="25"/>
      <c r="S164" s="37">
        <f t="shared" si="54"/>
        <v>1</v>
      </c>
      <c r="T164" s="52" t="str">
        <f t="shared" si="57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06:07:22-0600',mode:absolute,to:'2016-09-14 08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4" s="54" t="str">
        <f t="shared" si="52"/>
        <v>N</v>
      </c>
      <c r="X164" s="168">
        <f t="shared" ref="X164:X165" si="67">VALUE(LEFT(AD164,4))-VALUE(LEFT(AD163,4))</f>
        <v>1</v>
      </c>
      <c r="Y164" s="69">
        <f t="shared" ref="Y164:Y195" si="68">RIGHT(D164,LEN(D164)-4)/10000</f>
        <v>5.8623000000000003</v>
      </c>
      <c r="Z164" s="69">
        <f t="shared" si="66"/>
        <v>8.9499999999999996E-2</v>
      </c>
      <c r="AA164" s="69">
        <f t="shared" si="59"/>
        <v>5.7728000000000002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60"/>
        <v>0806-14</v>
      </c>
      <c r="AE164" s="99" t="str">
        <f t="shared" si="61"/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AF164" s="96" t="str">
        <f t="shared" si="62"/>
        <v>"C:\Program Files (x86)\AstroGrep\AstroGrep.exe" /spath="%USERPROFILE%\AppData\Local\Temp\OnboardLogs" /stypes="app*4026*20160914*" /stext=" 13:.+((SYSTEM_STATE.+slice.+state.+changed )|(ment ac)|(system.+state.+changed )|(\|lc)|(penalty)|(\[timeout)|(PRM\|1\|D)|(kpr)|(kdp))" /e /r /s</v>
      </c>
      <c r="AG164" s="1" t="str">
        <f t="shared" si="63"/>
        <v>NW</v>
      </c>
      <c r="AH164" s="100" t="str">
        <f t="shared" si="64"/>
        <v>"%USERPROFILE%\Documents\GitHub\eaglep3\Utilities\RefineRTDCRunTimes.py" --tripid 806-14 --locoid 4026 --swversion DE.1.0.7.0 --startMP 300:58623 --initTime 2016-09-14T07:07:22 --startdatetime 2016-09-14T07:09:00 --delay 1 --endMP 204:895 --enddatetime 2016-09-14T07:24:51 --enforcementcount 0 &gt;&gt;C:\Users\stu\Documents\GitHub\eaglep3-reporting\EC\2016-09-14-refined-times.txt</v>
      </c>
      <c r="AI164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{"issue":{"subject":"","project_id":79,"tracker_id":40,"status_id":1,"priority_id":2,"assigned_to_id":23,"start_date":"2016-09-14","description":"","custom_fields":[{"id":1,"name":"Subdivision","value":"NW"},{"id":4,"name":"Milepost","value":"0.0895"},{"id":17,"name":"Train ID","value":"806-14"},{"id":16,"name":"Locomotive ID","value":"4026"},{"id":130,"name":"Impact","value":""},{"id":150,"name":"Time of Event (Mountain Time)","value":"07:24:51"},{"id":151,"name":"Denver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421</v>
      </c>
      <c r="B165" s="7">
        <v>4020</v>
      </c>
      <c r="C165" s="24" t="s">
        <v>108</v>
      </c>
      <c r="D165" s="24" t="s">
        <v>326</v>
      </c>
      <c r="E165" s="15">
        <v>42627.293182870373</v>
      </c>
      <c r="F165" s="15">
        <v>42627.306562500002</v>
      </c>
      <c r="G165" s="7">
        <v>7</v>
      </c>
      <c r="H165" s="15" t="s">
        <v>678</v>
      </c>
      <c r="I165" s="15">
        <v>42627.316979166666</v>
      </c>
      <c r="J165" s="7">
        <v>0</v>
      </c>
      <c r="K165" s="121" t="str">
        <f t="shared" si="55"/>
        <v>4019/4020</v>
      </c>
      <c r="L165" s="24" t="str">
        <f>VLOOKUP(A165,'Trips&amp;Operators'!$C$1:$E$10000,3,FALSE)</f>
        <v>BRANDNER</v>
      </c>
      <c r="M165" s="6">
        <f t="shared" si="56"/>
        <v>1.0416666664241347E-2</v>
      </c>
      <c r="N165" s="7">
        <f t="shared" si="53"/>
        <v>14.99999999650754</v>
      </c>
      <c r="O165" s="7"/>
      <c r="P165" s="7"/>
      <c r="Q165" s="25"/>
      <c r="R165" s="25"/>
      <c r="S165" s="37">
        <f t="shared" si="54"/>
        <v>1</v>
      </c>
      <c r="T165" s="52" t="str">
        <f t="shared" si="57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06:02:11-0600',mode:absolute,to:'2016-09-14 08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5" s="54" t="str">
        <f t="shared" ref="W165:W196" si="69">IF(AA165&lt;IF(AG165="EC",23,5.65),"Y","N")</f>
        <v>N</v>
      </c>
      <c r="X165" s="168">
        <f t="shared" si="67"/>
        <v>1</v>
      </c>
      <c r="Y165" s="69">
        <f t="shared" si="68"/>
        <v>9.7900000000000001E-2</v>
      </c>
      <c r="Z165" s="69">
        <f t="shared" si="66"/>
        <v>5.8992000000000004</v>
      </c>
      <c r="AA165" s="69">
        <f t="shared" si="59"/>
        <v>5.8013000000000003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60"/>
        <v>0807-14</v>
      </c>
      <c r="AE165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65" s="96" t="str">
        <f t="shared" si="62"/>
        <v>"C:\Program Files (x86)\AstroGrep\AstroGrep.exe" /spath="%USERPROFILE%\AppData\Local\Temp\OnboardLogs" /stypes="app*4020*20160914*" /stext=" 13:.+((SYSTEM_STATE.+slice.+state.+changed )|(ment ac)|(system.+state.+changed )|(\|lc)|(penalty)|(\[timeout)|(PRM\|1\|D)|(kpr)|(kdp))" /e /r /s</v>
      </c>
      <c r="AG165" s="1" t="str">
        <f t="shared" si="63"/>
        <v>NW</v>
      </c>
      <c r="AH165" s="100" t="str">
        <f t="shared" si="64"/>
        <v>"%USERPROFILE%\Documents\GitHub\eaglep3\Utilities\RefineRTDCRunTimes.py" --tripid 807-14 --locoid 4020 --swversion DE.1.0.7.0 --startMP 204:979 --initTime 2016-09-14T07:02:11 --startdatetime 2016-09-14T07:21:27 --delay 7 --endMP 300:58992 --enddatetime 2016-09-14T07:36:27 --enforcementcount 0 &gt;&gt;C:\Users\stu\Documents\GitHub\eaglep3-reporting\EC\2016-09-14-refined-times.txt</v>
      </c>
      <c r="AI165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{"issue":{"subject":"","project_id":79,"tracker_id":40,"status_id":1,"priority_id":2,"assigned_to_id":23,"start_date":"2016-09-14","description":"","custom_fields":[{"id":1,"name":"Subdivision","value":"NW"},{"id":4,"name":"Milepost","value":"5.8992"},{"id":17,"name":"Train ID","value":"807-14"},{"id":16,"name":"Locomotive ID","value":"4020"},{"id":130,"name":"Impact","value":""},{"id":150,"name":"Time of Event (Mountain Time)","value":"07:36:27"},{"id":151,"name":"Denver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426</v>
      </c>
      <c r="B166" s="7">
        <v>4019</v>
      </c>
      <c r="C166" s="24" t="s">
        <v>108</v>
      </c>
      <c r="D166" s="24" t="s">
        <v>679</v>
      </c>
      <c r="E166" s="15">
        <v>42627.318206018521</v>
      </c>
      <c r="F166" s="15">
        <v>42627.319965277777</v>
      </c>
      <c r="G166" s="7">
        <v>1</v>
      </c>
      <c r="H166" s="15" t="s">
        <v>680</v>
      </c>
      <c r="I166" s="15">
        <v>42627.330775462964</v>
      </c>
      <c r="J166" s="7">
        <v>0</v>
      </c>
      <c r="K166" s="121" t="str">
        <f t="shared" si="55"/>
        <v>4019/4020</v>
      </c>
      <c r="L166" s="24" t="str">
        <f>VLOOKUP(A166,'Trips&amp;Operators'!$C$1:$E$10000,3,FALSE)</f>
        <v>BRANDNER</v>
      </c>
      <c r="M166" s="6">
        <f t="shared" si="56"/>
        <v>1.0810185187438037E-2</v>
      </c>
      <c r="N166" s="7">
        <f t="shared" si="53"/>
        <v>15.566666669910774</v>
      </c>
      <c r="O166" s="7"/>
      <c r="P166" s="7"/>
      <c r="Q166" s="25"/>
      <c r="R166" s="25"/>
      <c r="S166" s="37">
        <f t="shared" si="54"/>
        <v>1</v>
      </c>
      <c r="T166" s="52" t="str">
        <f t="shared" si="57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06:38:13-0600',mode:absolute,to:'2016-09-14 08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6" s="54" t="str">
        <f t="shared" si="69"/>
        <v>N</v>
      </c>
      <c r="X166" s="168">
        <f t="shared" ref="X166:X184" si="70">VALUE(LEFT(AD166,4))-VALUE(LEFT(AD165,4))</f>
        <v>1</v>
      </c>
      <c r="Y166" s="69">
        <f t="shared" si="68"/>
        <v>5.8681000000000001</v>
      </c>
      <c r="Z166" s="69">
        <f t="shared" si="66"/>
        <v>6.8500000000000005E-2</v>
      </c>
      <c r="AA166" s="69">
        <f t="shared" si="59"/>
        <v>5.7995999999999999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60"/>
        <v>0808-14</v>
      </c>
      <c r="AE166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66" s="96" t="str">
        <f t="shared" si="62"/>
        <v>"C:\Program Files (x86)\AstroGrep\AstroGrep.exe" /spath="%USERPROFILE%\AppData\Local\Temp\OnboardLogs" /stypes="app*4019*20160914*" /stext=" 13:.+((SYSTEM_STATE.+slice.+state.+changed )|(ment ac)|(system.+state.+changed )|(\|lc)|(penalty)|(\[timeout)|(PRM\|1\|D)|(kpr)|(kdp))" /e /r /s</v>
      </c>
      <c r="AG166" s="1" t="str">
        <f t="shared" si="63"/>
        <v>NW</v>
      </c>
      <c r="AH166" s="100" t="str">
        <f t="shared" si="64"/>
        <v>"%USERPROFILE%\Documents\GitHub\eaglep3\Utilities\RefineRTDCRunTimes.py" --tripid 808-14 --locoid 4019 --swversion DE.1.0.7.0 --startMP 300:58681 --initTime 2016-09-14T07:38:13 --startdatetime 2016-09-14T07:40:45 --delay 1 --endMP 204:685 --enddatetime 2016-09-14T07:56:19 --enforcementcount 0 &gt;&gt;C:\Users\stu\Documents\GitHub\eaglep3-reporting\EC\2016-09-14-refined-times.txt</v>
      </c>
      <c r="AI166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{"issue":{"subject":"","project_id":79,"tracker_id":40,"status_id":1,"priority_id":2,"assigned_to_id":23,"start_date":"2016-09-14","description":"","custom_fields":[{"id":1,"name":"Subdivision","value":"NW"},{"id":4,"name":"Milepost","value":"0.0685"},{"id":17,"name":"Train ID","value":"808-14"},{"id":16,"name":"Locomotive ID","value":"4019"},{"id":130,"name":"Impact","value":""},{"id":150,"name":"Time of Event (Mountain Time)","value":"07:56:19"},{"id":151,"name":"Denver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429</v>
      </c>
      <c r="B167" s="7">
        <v>4025</v>
      </c>
      <c r="C167" s="24" t="s">
        <v>108</v>
      </c>
      <c r="D167" s="24" t="s">
        <v>681</v>
      </c>
      <c r="E167" s="15">
        <v>42627.324942129628</v>
      </c>
      <c r="F167" s="15">
        <v>42627.327256944445</v>
      </c>
      <c r="G167" s="7">
        <v>1</v>
      </c>
      <c r="H167" s="15" t="s">
        <v>682</v>
      </c>
      <c r="I167" s="15">
        <v>42627.336064814815</v>
      </c>
      <c r="J167" s="7">
        <v>0</v>
      </c>
      <c r="K167" s="121" t="str">
        <f t="shared" si="55"/>
        <v>4025/4026</v>
      </c>
      <c r="L167" s="24" t="str">
        <f>VLOOKUP(A167,'Trips&amp;Operators'!$C$1:$E$10000,3,FALSE)</f>
        <v>STARKS</v>
      </c>
      <c r="M167" s="6">
        <f t="shared" si="56"/>
        <v>8.8078703702194616E-3</v>
      </c>
      <c r="N167" s="7">
        <f t="shared" si="53"/>
        <v>12.683333333116025</v>
      </c>
      <c r="O167" s="7"/>
      <c r="P167" s="7"/>
      <c r="Q167" s="25"/>
      <c r="R167" s="25"/>
      <c r="S167" s="37">
        <f t="shared" si="54"/>
        <v>1</v>
      </c>
      <c r="T167" s="52" t="str">
        <f t="shared" si="57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06:47:55-0600',mode:absolute,to:'2016-09-14 09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7" s="54" t="str">
        <f t="shared" si="69"/>
        <v>N</v>
      </c>
      <c r="X167" s="168">
        <f t="shared" si="70"/>
        <v>1</v>
      </c>
      <c r="Y167" s="69">
        <f t="shared" si="68"/>
        <v>0.1193</v>
      </c>
      <c r="Z167" s="69">
        <f t="shared" si="66"/>
        <v>5.8943000000000003</v>
      </c>
      <c r="AA167" s="69">
        <f t="shared" si="59"/>
        <v>5.7750000000000004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60"/>
        <v>0809-14</v>
      </c>
      <c r="AE167" s="99" t="str">
        <f t="shared" si="61"/>
        <v>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 &amp; 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</v>
      </c>
      <c r="AF167" s="96" t="str">
        <f t="shared" si="62"/>
        <v>"C:\Program Files (x86)\AstroGrep\AstroGrep.exe" /spath="%USERPROFILE%\AppData\Local\Temp\OnboardLogs" /stypes="app*4025*20160914*" /stext=" 14:.+((SYSTEM_STATE.+slice.+state.+changed )|(ment ac)|(system.+state.+changed )|(\|lc)|(penalty)|(\[timeout)|(PRM\|1\|D)|(kpr)|(kdp))" /e /r /s</v>
      </c>
      <c r="AG167" s="1" t="str">
        <f t="shared" si="63"/>
        <v>NW</v>
      </c>
      <c r="AH167" s="100" t="str">
        <f t="shared" si="64"/>
        <v>"%USERPROFILE%\Documents\GitHub\eaglep3\Utilities\RefineRTDCRunTimes.py" --tripid 809-14 --locoid 4025 --swversion DE.1.0.7.0 --startMP 204:1193 --initTime 2016-09-14T07:47:55 --startdatetime 2016-09-14T07:51:15 --delay 1 --endMP 300:58943 --enddatetime 2016-09-14T08:03:56 --enforcementcount 0 &gt;&gt;C:\Users\stu\Documents\GitHub\eaglep3-reporting\EC\2016-09-14-refined-times.txt</v>
      </c>
      <c r="AI167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{"issue":{"subject":"","project_id":79,"tracker_id":40,"status_id":1,"priority_id":2,"assigned_to_id":23,"start_date":"2016-09-14","description":"","custom_fields":[{"id":1,"name":"Subdivision","value":"NW"},{"id":4,"name":"Milepost","value":"5.8943"},{"id":17,"name":"Train ID","value":"809-14"},{"id":16,"name":"Locomotive ID","value":"4025"},{"id":130,"name":"Impact","value":""},{"id":150,"name":"Time of Event (Mountain Time)","value":"08:03:56"},{"id":151,"name":"Denver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434</v>
      </c>
      <c r="B168" s="7">
        <v>4026</v>
      </c>
      <c r="C168" s="24" t="s">
        <v>108</v>
      </c>
      <c r="D168" s="24" t="s">
        <v>286</v>
      </c>
      <c r="E168" s="15">
        <v>42627.336944444447</v>
      </c>
      <c r="F168" s="15">
        <v>42627.338171296295</v>
      </c>
      <c r="G168" s="7">
        <v>1</v>
      </c>
      <c r="H168" s="15" t="s">
        <v>683</v>
      </c>
      <c r="I168" s="15">
        <v>42627.351215277777</v>
      </c>
      <c r="J168" s="7">
        <v>0</v>
      </c>
      <c r="K168" s="121" t="str">
        <f t="shared" si="55"/>
        <v>4025/4026</v>
      </c>
      <c r="L168" s="24" t="str">
        <f>VLOOKUP(A168,'Trips&amp;Operators'!$C$1:$E$10000,3,FALSE)</f>
        <v>STARKS</v>
      </c>
      <c r="M168" s="6">
        <f t="shared" si="56"/>
        <v>1.3043981482042E-2</v>
      </c>
      <c r="N168" s="7">
        <f t="shared" si="53"/>
        <v>18.78333333414048</v>
      </c>
      <c r="O168" s="7"/>
      <c r="P168" s="7"/>
      <c r="Q168" s="25"/>
      <c r="R168" s="25"/>
      <c r="S168" s="37">
        <f t="shared" si="54"/>
        <v>1</v>
      </c>
      <c r="T168" s="52" t="str">
        <f t="shared" si="57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07:05:12-0600',mode:absolute,to:'2016-09-14 09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8" s="54" t="str">
        <f t="shared" si="69"/>
        <v>N</v>
      </c>
      <c r="X168" s="168">
        <f t="shared" si="70"/>
        <v>1</v>
      </c>
      <c r="Y168" s="69">
        <f t="shared" si="68"/>
        <v>5.8619000000000003</v>
      </c>
      <c r="Z168" s="69">
        <f t="shared" si="66"/>
        <v>6.7799999999999999E-2</v>
      </c>
      <c r="AA168" s="69">
        <f t="shared" si="59"/>
        <v>5.7941000000000003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60"/>
        <v>0810-14</v>
      </c>
      <c r="AE168" s="99" t="str">
        <f t="shared" si="61"/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AF168" s="96" t="str">
        <f t="shared" si="62"/>
        <v>"C:\Program Files (x86)\AstroGrep\AstroGrep.exe" /spath="%USERPROFILE%\AppData\Local\Temp\OnboardLogs" /stypes="app*4026*20160914*" /stext=" 14:.+((SYSTEM_STATE.+slice.+state.+changed )|(ment ac)|(system.+state.+changed )|(\|lc)|(penalty)|(\[timeout)|(PRM\|1\|D)|(kpr)|(kdp))" /e /r /s</v>
      </c>
      <c r="AG168" s="1" t="str">
        <f t="shared" si="63"/>
        <v>NW</v>
      </c>
      <c r="AH168" s="100" t="str">
        <f t="shared" si="64"/>
        <v>"%USERPROFILE%\Documents\GitHub\eaglep3\Utilities\RefineRTDCRunTimes.py" --tripid 810-14 --locoid 4026 --swversion DE.1.0.7.0 --startMP 300:58619 --initTime 2016-09-14T08:05:12 --startdatetime 2016-09-14T08:06:58 --delay 1 --endMP 204:678 --enddatetime 2016-09-14T08:25:45 --enforcementcount 0 &gt;&gt;C:\Users\stu\Documents\GitHub\eaglep3-reporting\EC\2016-09-14-refined-times.txt</v>
      </c>
      <c r="AI168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{"issue":{"subject":"","project_id":79,"tracker_id":40,"status_id":1,"priority_id":2,"assigned_to_id":23,"start_date":"2016-09-14","description":"","custom_fields":[{"id":1,"name":"Subdivision","value":"NW"},{"id":4,"name":"Milepost","value":"0.0678"},{"id":17,"name":"Train ID","value":"810-14"},{"id":16,"name":"Locomotive ID","value":"4026"},{"id":130,"name":"Impact","value":""},{"id":150,"name":"Time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432</v>
      </c>
      <c r="B169" s="7">
        <v>4020</v>
      </c>
      <c r="C169" s="24" t="s">
        <v>108</v>
      </c>
      <c r="D169" s="24" t="s">
        <v>330</v>
      </c>
      <c r="E169" s="15">
        <v>42627.336273148147</v>
      </c>
      <c r="F169" s="15">
        <v>42627.348078703704</v>
      </c>
      <c r="G169" s="7">
        <v>2</v>
      </c>
      <c r="H169" s="15" t="s">
        <v>684</v>
      </c>
      <c r="I169" s="15">
        <v>42627.358298611114</v>
      </c>
      <c r="J169" s="7">
        <v>0</v>
      </c>
      <c r="K169" s="121" t="str">
        <f t="shared" si="55"/>
        <v>4019/4020</v>
      </c>
      <c r="L169" s="24" t="str">
        <f>VLOOKUP(A169,'Trips&amp;Operators'!$C$1:$E$10000,3,FALSE)</f>
        <v>BRANDNER</v>
      </c>
      <c r="M169" s="6">
        <f t="shared" si="56"/>
        <v>1.021990740991896E-2</v>
      </c>
      <c r="N169" s="7">
        <f t="shared" si="53"/>
        <v>14.716666670283303</v>
      </c>
      <c r="O169" s="7"/>
      <c r="P169" s="7"/>
      <c r="Q169" s="25"/>
      <c r="R169" s="25"/>
      <c r="S169" s="37">
        <f t="shared" si="54"/>
        <v>1</v>
      </c>
      <c r="T169" s="52" t="str">
        <f t="shared" si="57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07:04:14-0600',mode:absolute,to:'2016-09-14 09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9" s="54" t="str">
        <f t="shared" si="69"/>
        <v>N</v>
      </c>
      <c r="X169" s="168">
        <f t="shared" si="70"/>
        <v>1</v>
      </c>
      <c r="Y169" s="69">
        <f t="shared" si="68"/>
        <v>9.7199999999999995E-2</v>
      </c>
      <c r="Z169" s="69">
        <f t="shared" si="66"/>
        <v>5.8975</v>
      </c>
      <c r="AA169" s="69">
        <f t="shared" si="59"/>
        <v>5.8003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60"/>
        <v>0811-14</v>
      </c>
      <c r="AE169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69" s="96" t="str">
        <f t="shared" si="62"/>
        <v>"C:\Program Files (x86)\AstroGrep\AstroGrep.exe" /spath="%USERPROFILE%\AppData\Local\Temp\OnboardLogs" /stypes="app*4020*20160914*" /stext=" 14:.+((SYSTEM_STATE.+slice.+state.+changed )|(ment ac)|(system.+state.+changed )|(\|lc)|(penalty)|(\[timeout)|(PRM\|1\|D)|(kpr)|(kdp))" /e /r /s</v>
      </c>
      <c r="AG169" s="1" t="str">
        <f t="shared" si="63"/>
        <v>NW</v>
      </c>
      <c r="AH169" s="100" t="str">
        <f t="shared" si="64"/>
        <v>"%USERPROFILE%\Documents\GitHub\eaglep3\Utilities\RefineRTDCRunTimes.py" --tripid 811-14 --locoid 4020 --swversion DE.1.0.7.0 --startMP 204:972 --initTime 2016-09-14T08:04:14 --startdatetime 2016-09-14T08:21:14 --delay 2 --endMP 300:58975 --enddatetime 2016-09-14T08:35:57 --enforcementcount 0 &gt;&gt;C:\Users\stu\Documents\GitHub\eaglep3-reporting\EC\2016-09-14-refined-times.txt</v>
      </c>
      <c r="AI169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{"issue":{"subject":"","project_id":79,"tracker_id":40,"status_id":1,"priority_id":2,"assigned_to_id":23,"start_date":"2016-09-14","description":"","custom_fields":[{"id":1,"name":"Subdivision","value":"NW"},{"id":4,"name":"Milepost","value":"5.8975"},{"id":17,"name":"Train ID","value":"811-14"},{"id":16,"name":"Locomotive ID","value":"4020"},{"id":130,"name":"Impact","value":""},{"id":150,"name":"Time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441</v>
      </c>
      <c r="B170" s="7">
        <v>4019</v>
      </c>
      <c r="C170" s="24" t="s">
        <v>108</v>
      </c>
      <c r="D170" s="24" t="s">
        <v>685</v>
      </c>
      <c r="E170" s="15">
        <v>42627.359710648147</v>
      </c>
      <c r="F170" s="15">
        <v>42627.361516203702</v>
      </c>
      <c r="G170" s="7">
        <v>1</v>
      </c>
      <c r="H170" s="15" t="s">
        <v>376</v>
      </c>
      <c r="I170" s="15">
        <v>42627.371770833335</v>
      </c>
      <c r="J170" s="7">
        <v>0</v>
      </c>
      <c r="K170" s="121" t="str">
        <f t="shared" si="55"/>
        <v>4019/4020</v>
      </c>
      <c r="L170" s="24" t="str">
        <f>VLOOKUP(A170,'Trips&amp;Operators'!$C$1:$E$10000,3,FALSE)</f>
        <v>BRANDNER</v>
      </c>
      <c r="M170" s="6">
        <f t="shared" si="56"/>
        <v>1.025462963298196E-2</v>
      </c>
      <c r="N170" s="7">
        <f t="shared" si="53"/>
        <v>14.766666671494022</v>
      </c>
      <c r="O170" s="7"/>
      <c r="P170" s="7"/>
      <c r="Q170" s="25"/>
      <c r="R170" s="25"/>
      <c r="S170" s="37">
        <f t="shared" si="54"/>
        <v>1</v>
      </c>
      <c r="T170" s="52" t="str">
        <f t="shared" si="57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07:37:59-0600',mode:absolute,to:'2016-09-14 09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0" s="54" t="str">
        <f t="shared" si="69"/>
        <v>N</v>
      </c>
      <c r="X170" s="168">
        <f t="shared" si="70"/>
        <v>1</v>
      </c>
      <c r="Y170" s="69">
        <f t="shared" si="68"/>
        <v>5.8654999999999999</v>
      </c>
      <c r="Z170" s="69">
        <f t="shared" si="66"/>
        <v>7.0800000000000002E-2</v>
      </c>
      <c r="AA170" s="69">
        <f t="shared" si="59"/>
        <v>5.7946999999999997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60"/>
        <v>0812-14</v>
      </c>
      <c r="AE170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70" s="96" t="str">
        <f t="shared" si="62"/>
        <v>"C:\Program Files (x86)\AstroGrep\AstroGrep.exe" /spath="%USERPROFILE%\AppData\Local\Temp\OnboardLogs" /stypes="app*4019*20160914*" /stext=" 14:.+((SYSTEM_STATE.+slice.+state.+changed )|(ment ac)|(system.+state.+changed )|(\|lc)|(penalty)|(\[timeout)|(PRM\|1\|D)|(kpr)|(kdp))" /e /r /s</v>
      </c>
      <c r="AG170" s="1" t="str">
        <f t="shared" si="63"/>
        <v>NW</v>
      </c>
      <c r="AH170" s="100" t="str">
        <f t="shared" si="64"/>
        <v>"%USERPROFILE%\Documents\GitHub\eaglep3\Utilities\RefineRTDCRunTimes.py" --tripid 812-14 --locoid 4019 --swversion DE.1.0.7.0 --startMP 300:58655 --initTime 2016-09-14T08:37:59 --startdatetime 2016-09-14T08:40:35 --delay 1 --endMP 204:708 --enddatetime 2016-09-14T08:55:21 --enforcementcount 0 &gt;&gt;C:\Users\stu\Documents\GitHub\eaglep3-reporting\EC\2016-09-14-refined-times.txt</v>
      </c>
      <c r="AI170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{"issue":{"subject":"","project_id":79,"tracker_id":40,"status_id":1,"priority_id":2,"assigned_to_id":23,"start_date":"2016-09-14","description":"","custom_fields":[{"id":1,"name":"Subdivision","value":"NW"},{"id":4,"name":"Milepost","value":"0.0708"},{"id":17,"name":"Train ID","value":"812-14"},{"id":16,"name":"Locomotive ID","value":"4019"},{"id":130,"name":"Impact","value":""},{"id":150,"name":"Time of Event (Mountain Time)","value":"08:55:21"},{"id":151,"name":"Denver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445</v>
      </c>
      <c r="B171" s="7">
        <v>4020</v>
      </c>
      <c r="C171" s="24" t="s">
        <v>108</v>
      </c>
      <c r="D171" s="24" t="s">
        <v>686</v>
      </c>
      <c r="E171" s="15">
        <v>42627.379583333335</v>
      </c>
      <c r="F171" s="15">
        <v>42627.389814814815</v>
      </c>
      <c r="G171" s="7">
        <v>1</v>
      </c>
      <c r="H171" s="15" t="s">
        <v>687</v>
      </c>
      <c r="I171" s="15">
        <v>42627.39984953704</v>
      </c>
      <c r="J171" s="7">
        <v>0</v>
      </c>
      <c r="K171" s="121" t="str">
        <f t="shared" si="55"/>
        <v>4019/4020</v>
      </c>
      <c r="L171" s="24" t="str">
        <f>VLOOKUP(A171,'Trips&amp;Operators'!$C$1:$E$10000,3,FALSE)</f>
        <v>BRANDNER</v>
      </c>
      <c r="M171" s="6">
        <f t="shared" si="56"/>
        <v>1.0034722225100268E-2</v>
      </c>
      <c r="N171" s="7">
        <f t="shared" si="53"/>
        <v>14.450000004144385</v>
      </c>
      <c r="O171" s="7"/>
      <c r="P171" s="7"/>
      <c r="Q171" s="25"/>
      <c r="R171" s="25"/>
      <c r="S171" s="37">
        <f t="shared" si="54"/>
        <v>1</v>
      </c>
      <c r="T171" s="52" t="str">
        <f t="shared" si="57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08:06:36-0600',mode:absolute,to:'2016-09-14 10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1" s="54" t="str">
        <f t="shared" si="69"/>
        <v>N</v>
      </c>
      <c r="X171" s="168">
        <f t="shared" si="70"/>
        <v>1</v>
      </c>
      <c r="Y171" s="69">
        <f t="shared" si="68"/>
        <v>0.1</v>
      </c>
      <c r="Z171" s="69">
        <f t="shared" si="66"/>
        <v>5.8963000000000001</v>
      </c>
      <c r="AA171" s="69">
        <f t="shared" si="59"/>
        <v>5.7963000000000005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60"/>
        <v>0813-14</v>
      </c>
      <c r="AE171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71" s="96" t="str">
        <f t="shared" si="62"/>
        <v>"C:\Program Files (x86)\AstroGrep\AstroGrep.exe" /spath="%USERPROFILE%\AppData\Local\Temp\OnboardLogs" /stypes="app*4020*20160914*" /stext=" 15:.+((SYSTEM_STATE.+slice.+state.+changed )|(ment ac)|(system.+state.+changed )|(\|lc)|(penalty)|(\[timeout)|(PRM\|1\|D)|(kpr)|(kdp))" /e /r /s</v>
      </c>
      <c r="AG171" s="1" t="str">
        <f t="shared" si="63"/>
        <v>NW</v>
      </c>
      <c r="AH171" s="100" t="str">
        <f t="shared" si="64"/>
        <v>"%USERPROFILE%\Documents\GitHub\eaglep3\Utilities\RefineRTDCRunTimes.py" --tripid 813-14 --locoid 4020 --swversion DE.1.0.7.0 --startMP 204:1000 --initTime 2016-09-14T09:06:36 --startdatetime 2016-09-14T09:21:20 --delay 1 --endMP 300:58963 --enddatetime 2016-09-14T09:35:47 --enforcementcount 0 &gt;&gt;C:\Users\stu\Documents\GitHub\eaglep3-reporting\EC\2016-09-14-refined-times.txt</v>
      </c>
      <c r="AI171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{"issue":{"subject":"","project_id":79,"tracker_id":40,"status_id":1,"priority_id":2,"assigned_to_id":23,"start_date":"2016-09-14","description":"","custom_fields":[{"id":1,"name":"Subdivision","value":"NW"},{"id":4,"name":"Milepost","value":"5.8963"},{"id":17,"name":"Train ID","value":"813-14"},{"id":16,"name":"Locomotive ID","value":"4020"},{"id":130,"name":"Impact","value":""},{"id":150,"name":"Time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450</v>
      </c>
      <c r="B172" s="7">
        <v>4019</v>
      </c>
      <c r="C172" s="24" t="s">
        <v>108</v>
      </c>
      <c r="D172" s="24" t="s">
        <v>688</v>
      </c>
      <c r="E172" s="15">
        <v>42627.401145833333</v>
      </c>
      <c r="F172" s="15">
        <v>42627.402766203704</v>
      </c>
      <c r="G172" s="7">
        <v>1</v>
      </c>
      <c r="H172" s="15" t="s">
        <v>689</v>
      </c>
      <c r="I172" s="15">
        <v>42627.415405092594</v>
      </c>
      <c r="J172" s="7">
        <v>0</v>
      </c>
      <c r="K172" s="121" t="str">
        <f t="shared" si="55"/>
        <v>4019/4020</v>
      </c>
      <c r="L172" s="24" t="str">
        <f>VLOOKUP(A172,'Trips&amp;Operators'!$C$1:$E$10000,3,FALSE)</f>
        <v>BRANDNER</v>
      </c>
      <c r="M172" s="6">
        <f t="shared" si="56"/>
        <v>1.2638888889341615E-2</v>
      </c>
      <c r="N172" s="7">
        <f t="shared" si="53"/>
        <v>18.200000000651926</v>
      </c>
      <c r="O172" s="7"/>
      <c r="P172" s="7"/>
      <c r="Q172" s="25"/>
      <c r="R172" s="25"/>
      <c r="S172" s="37">
        <f t="shared" si="54"/>
        <v>1</v>
      </c>
      <c r="T172" s="52" t="str">
        <f t="shared" si="57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08:37:39-0600',mode:absolute,to:'2016-09-14 10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2" s="54" t="str">
        <f t="shared" si="69"/>
        <v>N</v>
      </c>
      <c r="X172" s="168">
        <f t="shared" si="70"/>
        <v>1</v>
      </c>
      <c r="Y172" s="69">
        <f t="shared" si="68"/>
        <v>5.8653000000000004</v>
      </c>
      <c r="Z172" s="69">
        <f t="shared" si="66"/>
        <v>6.4000000000000001E-2</v>
      </c>
      <c r="AA172" s="69">
        <f t="shared" si="59"/>
        <v>5.8013000000000003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60"/>
        <v>0814-14</v>
      </c>
      <c r="AE172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72" s="96" t="str">
        <f t="shared" si="62"/>
        <v>"C:\Program Files (x86)\AstroGrep\AstroGrep.exe" /spath="%USERPROFILE%\AppData\Local\Temp\OnboardLogs" /stypes="app*4019*20160914*" /stext=" 15:.+((SYSTEM_STATE.+slice.+state.+changed )|(ment ac)|(system.+state.+changed )|(\|lc)|(penalty)|(\[timeout)|(PRM\|1\|D)|(kpr)|(kdp))" /e /r /s</v>
      </c>
      <c r="AG172" s="1" t="str">
        <f t="shared" si="63"/>
        <v>NW</v>
      </c>
      <c r="AH172" s="100" t="str">
        <f t="shared" si="64"/>
        <v>"%USERPROFILE%\Documents\GitHub\eaglep3\Utilities\RefineRTDCRunTimes.py" --tripid 814-14 --locoid 4019 --swversion DE.1.0.7.0 --startMP 300:58653 --initTime 2016-09-14T09:37:39 --startdatetime 2016-09-14T09:39:59 --delay 1 --endMP 204:640 --enddatetime 2016-09-14T09:58:11 --enforcementcount 0 &gt;&gt;C:\Users\stu\Documents\GitHub\eaglep3-reporting\EC\2016-09-14-refined-times.txt</v>
      </c>
      <c r="AI172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{"issue":{"subject":"","project_id":79,"tracker_id":40,"status_id":1,"priority_id":2,"assigned_to_id":23,"start_date":"2016-09-14","description":"","custom_fields":[{"id":1,"name":"Subdivision","value":"NW"},{"id":4,"name":"Milepost","value":"0.064"},{"id":17,"name":"Train ID","value":"814-14"},{"id":16,"name":"Locomotive ID","value":"4019"},{"id":130,"name":"Impact","value":""},{"id":150,"name":"Time of Event (Mountain Time)","value":"09:58:11"},{"id":151,"name":"Denver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455</v>
      </c>
      <c r="B173" s="7">
        <v>4020</v>
      </c>
      <c r="C173" s="24" t="s">
        <v>108</v>
      </c>
      <c r="D173" s="24" t="s">
        <v>377</v>
      </c>
      <c r="E173" s="15">
        <v>42627.420300925929</v>
      </c>
      <c r="F173" s="15">
        <v>42627.431423611109</v>
      </c>
      <c r="G173" s="7">
        <v>1</v>
      </c>
      <c r="H173" s="15" t="s">
        <v>690</v>
      </c>
      <c r="I173" s="15">
        <v>42627.440439814818</v>
      </c>
      <c r="J173" s="7">
        <v>0</v>
      </c>
      <c r="K173" s="121" t="str">
        <f t="shared" si="55"/>
        <v>4019/4020</v>
      </c>
      <c r="L173" s="24" t="str">
        <f>VLOOKUP(A173,'Trips&amp;Operators'!$C$1:$E$10000,3,FALSE)</f>
        <v>BRANDNER</v>
      </c>
      <c r="M173" s="6">
        <f t="shared" si="56"/>
        <v>9.0162037085974589E-3</v>
      </c>
      <c r="N173" s="7">
        <f t="shared" si="53"/>
        <v>12.983333340380341</v>
      </c>
      <c r="O173" s="7"/>
      <c r="P173" s="7"/>
      <c r="Q173" s="25"/>
      <c r="R173" s="25"/>
      <c r="S173" s="37">
        <f t="shared" si="54"/>
        <v>1</v>
      </c>
      <c r="T173" s="52" t="str">
        <f t="shared" si="57"/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09:05:14-0600',mode:absolute,to:'2016-09-14 11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3" s="54" t="str">
        <f t="shared" si="69"/>
        <v>N</v>
      </c>
      <c r="X173" s="168">
        <f t="shared" si="70"/>
        <v>1</v>
      </c>
      <c r="Y173" s="69">
        <f t="shared" si="68"/>
        <v>9.74E-2</v>
      </c>
      <c r="Z173" s="69">
        <f t="shared" si="66"/>
        <v>5.8954000000000004</v>
      </c>
      <c r="AA173" s="69">
        <f t="shared" si="59"/>
        <v>5.798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60"/>
        <v>0815-14</v>
      </c>
      <c r="AE173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73" s="96" t="str">
        <f t="shared" si="62"/>
        <v>"C:\Program Files (x86)\AstroGrep\AstroGrep.exe" /spath="%USERPROFILE%\AppData\Local\Temp\OnboardLogs" /stypes="app*4020*20160914*" /stext=" 16:.+((SYSTEM_STATE.+slice.+state.+changed )|(ment ac)|(system.+state.+changed )|(\|lc)|(penalty)|(\[timeout)|(PRM\|1\|D)|(kpr)|(kdp))" /e /r /s</v>
      </c>
      <c r="AG173" s="1" t="str">
        <f t="shared" si="63"/>
        <v>NW</v>
      </c>
      <c r="AH173" s="100" t="str">
        <f t="shared" si="64"/>
        <v>"%USERPROFILE%\Documents\GitHub\eaglep3\Utilities\RefineRTDCRunTimes.py" --tripid 815-14 --locoid 4020 --swversion DE.1.0.7.0 --startMP 204:974 --initTime 2016-09-14T10:05:14 --startdatetime 2016-09-14T10:21:15 --delay 1 --endMP 300:58954 --enddatetime 2016-09-14T10:34:14 --enforcementcount 0 &gt;&gt;C:\Users\stu\Documents\GitHub\eaglep3-reporting\EC\2016-09-14-refined-times.txt</v>
      </c>
      <c r="AI173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{"issue":{"subject":"","project_id":79,"tracker_id":40,"status_id":1,"priority_id":2,"assigned_to_id":23,"start_date":"2016-09-14","description":"","custom_fields":[{"id":1,"name":"Subdivision","value":"NW"},{"id":4,"name":"Milepost","value":"5.8954"},{"id":17,"name":"Train ID","value":"815-14"},{"id":16,"name":"Locomotive ID","value":"4020"},{"id":130,"name":"Impact","value":""},{"id":150,"name":"Time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460</v>
      </c>
      <c r="B174" s="7">
        <v>4019</v>
      </c>
      <c r="C174" s="24" t="s">
        <v>108</v>
      </c>
      <c r="D174" s="24" t="s">
        <v>691</v>
      </c>
      <c r="E174" s="15">
        <v>42627.442326388889</v>
      </c>
      <c r="F174" s="15">
        <v>42627.444641203707</v>
      </c>
      <c r="G174" s="7">
        <v>1</v>
      </c>
      <c r="H174" s="15" t="s">
        <v>680</v>
      </c>
      <c r="I174" s="15">
        <v>42627.45480324074</v>
      </c>
      <c r="J174" s="7">
        <v>0</v>
      </c>
      <c r="K174" s="121" t="str">
        <f t="shared" si="55"/>
        <v>4019/4020</v>
      </c>
      <c r="L174" s="24" t="str">
        <f>VLOOKUP(A174,'Trips&amp;Operators'!$C$1:$E$10000,3,FALSE)</f>
        <v>BRANDNER</v>
      </c>
      <c r="M174" s="6">
        <f t="shared" si="56"/>
        <v>1.0162037033296656E-2</v>
      </c>
      <c r="N174" s="7">
        <f t="shared" si="53"/>
        <v>14.633333327947184</v>
      </c>
      <c r="O174" s="7"/>
      <c r="P174" s="7"/>
      <c r="Q174" s="25"/>
      <c r="R174" s="25"/>
      <c r="S174" s="37">
        <f t="shared" si="54"/>
        <v>1</v>
      </c>
      <c r="T174" s="52" t="str">
        <f t="shared" si="57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09:36:57-0600',mode:absolute,to:'2016-09-14 11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4" s="54" t="str">
        <f t="shared" si="69"/>
        <v>N</v>
      </c>
      <c r="X174" s="168">
        <f t="shared" si="70"/>
        <v>1</v>
      </c>
      <c r="Y174" s="69">
        <f t="shared" si="68"/>
        <v>5.8640999999999996</v>
      </c>
      <c r="Z174" s="69">
        <f t="shared" si="66"/>
        <v>6.8500000000000005E-2</v>
      </c>
      <c r="AA174" s="69">
        <f t="shared" si="59"/>
        <v>5.7955999999999994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60"/>
        <v>0816-14</v>
      </c>
      <c r="AE174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74" s="96" t="str">
        <f t="shared" si="62"/>
        <v>"C:\Program Files (x86)\AstroGrep\AstroGrep.exe" /spath="%USERPROFILE%\AppData\Local\Temp\OnboardLogs" /stypes="app*4019*20160914*" /stext=" 16:.+((SYSTEM_STATE.+slice.+state.+changed )|(ment ac)|(system.+state.+changed )|(\|lc)|(penalty)|(\[timeout)|(PRM\|1\|D)|(kpr)|(kdp))" /e /r /s</v>
      </c>
      <c r="AG174" s="1" t="str">
        <f t="shared" si="63"/>
        <v>NW</v>
      </c>
      <c r="AH174" s="100" t="str">
        <f t="shared" si="64"/>
        <v>"%USERPROFILE%\Documents\GitHub\eaglep3\Utilities\RefineRTDCRunTimes.py" --tripid 816-14 --locoid 4019 --swversion DE.1.0.7.0 --startMP 300:58641 --initTime 2016-09-14T10:36:57 --startdatetime 2016-09-14T10:40:17 --delay 1 --endMP 204:685 --enddatetime 2016-09-14T10:54:55 --enforcementcount 0 &gt;&gt;C:\Users\stu\Documents\GitHub\eaglep3-reporting\EC\2016-09-14-refined-times.txt</v>
      </c>
      <c r="AI174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{"issue":{"subject":"","project_id":79,"tracker_id":40,"status_id":1,"priority_id":2,"assigned_to_id":23,"start_date":"2016-09-14","description":"","custom_fields":[{"id":1,"name":"Subdivision","value":"NW"},{"id":4,"name":"Milepost","value":"0.0685"},{"id":17,"name":"Train ID","value":"816-14"},{"id":16,"name":"Locomotive ID","value":"4019"},{"id":130,"name":"Impact","value":""},{"id":150,"name":"Time of Event (Mountain Time)","value":"10:54:55"},{"id":151,"name":"Denver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465</v>
      </c>
      <c r="B175" s="7">
        <v>4020</v>
      </c>
      <c r="C175" s="24" t="s">
        <v>108</v>
      </c>
      <c r="D175" s="24" t="s">
        <v>326</v>
      </c>
      <c r="E175" s="15">
        <v>42627.458310185182</v>
      </c>
      <c r="F175" s="15">
        <v>42627.473287037035</v>
      </c>
      <c r="G175" s="7">
        <v>4</v>
      </c>
      <c r="H175" s="15" t="s">
        <v>687</v>
      </c>
      <c r="I175" s="15">
        <v>42627.48510416667</v>
      </c>
      <c r="J175" s="7">
        <v>0</v>
      </c>
      <c r="K175" s="121" t="str">
        <f t="shared" si="55"/>
        <v>4019/4020</v>
      </c>
      <c r="L175" s="24" t="str">
        <f>VLOOKUP(A175,'Trips&amp;Operators'!$C$1:$E$10000,3,FALSE)</f>
        <v>BRANDNER</v>
      </c>
      <c r="M175" s="6">
        <f t="shared" si="56"/>
        <v>1.1817129634437151E-2</v>
      </c>
      <c r="N175" s="7">
        <f t="shared" si="53"/>
        <v>17.016666673589498</v>
      </c>
      <c r="O175" s="7"/>
      <c r="P175" s="7"/>
      <c r="Q175" s="25"/>
      <c r="R175" s="25"/>
      <c r="S175" s="37">
        <f t="shared" si="54"/>
        <v>1</v>
      </c>
      <c r="T175" s="52" t="str">
        <f t="shared" si="57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09:59:58-0600',mode:absolute,to:'2016-09-14 12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5" s="54" t="str">
        <f t="shared" si="69"/>
        <v>N</v>
      </c>
      <c r="X175" s="168">
        <f t="shared" si="70"/>
        <v>1</v>
      </c>
      <c r="Y175" s="69">
        <f t="shared" si="68"/>
        <v>9.7900000000000001E-2</v>
      </c>
      <c r="Z175" s="69">
        <f t="shared" si="66"/>
        <v>5.8963000000000001</v>
      </c>
      <c r="AA175" s="69">
        <f t="shared" si="59"/>
        <v>5.7984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60"/>
        <v>0817-14</v>
      </c>
      <c r="AE175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75" s="96" t="str">
        <f t="shared" si="62"/>
        <v>"C:\Program Files (x86)\AstroGrep\AstroGrep.exe" /spath="%USERPROFILE%\AppData\Local\Temp\OnboardLogs" /stypes="app*4020*20160914*" /stext=" 17:.+((SYSTEM_STATE.+slice.+state.+changed )|(ment ac)|(system.+state.+changed )|(\|lc)|(penalty)|(\[timeout)|(PRM\|1\|D)|(kpr)|(kdp))" /e /r /s</v>
      </c>
      <c r="AG175" s="1" t="str">
        <f t="shared" si="63"/>
        <v>NW</v>
      </c>
      <c r="AH175" s="100" t="str">
        <f t="shared" si="64"/>
        <v>"%USERPROFILE%\Documents\GitHub\eaglep3\Utilities\RefineRTDCRunTimes.py" --tripid 817-14 --locoid 4020 --swversion DE.1.0.7.0 --startMP 204:979 --initTime 2016-09-14T10:59:58 --startdatetime 2016-09-14T11:21:32 --delay 4 --endMP 300:58963 --enddatetime 2016-09-14T11:38:33 --enforcementcount 0 &gt;&gt;C:\Users\stu\Documents\GitHub\eaglep3-reporting\EC\2016-09-14-refined-times.txt</v>
      </c>
      <c r="AI175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{"issue":{"subject":"","project_id":79,"tracker_id":40,"status_id":1,"priority_id":2,"assigned_to_id":23,"start_date":"2016-09-14","description":"","custom_fields":[{"id":1,"name":"Subdivision","value":"NW"},{"id":4,"name":"Milepost","value":"5.8963"},{"id":17,"name":"Train ID","value":"817-14"},{"id":16,"name":"Locomotive ID","value":"4020"},{"id":130,"name":"Impact","value":""},{"id":150,"name":"Time of Event (Mountain Time)","value":"11:38:33"},{"id":151,"name":"Denver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471</v>
      </c>
      <c r="B176" s="7">
        <v>4019</v>
      </c>
      <c r="C176" s="24" t="s">
        <v>108</v>
      </c>
      <c r="D176" s="24" t="s">
        <v>692</v>
      </c>
      <c r="E176" s="15">
        <v>42627.494606481479</v>
      </c>
      <c r="F176" s="15">
        <v>42627.487939814811</v>
      </c>
      <c r="G176" s="7">
        <v>0</v>
      </c>
      <c r="H176" s="15" t="s">
        <v>376</v>
      </c>
      <c r="I176" s="15">
        <v>42627.491782407407</v>
      </c>
      <c r="J176" s="7">
        <v>0</v>
      </c>
      <c r="K176" s="121" t="str">
        <f t="shared" si="55"/>
        <v>4019/4020</v>
      </c>
      <c r="L176" s="24" t="str">
        <f>VLOOKUP(A176,'Trips&amp;Operators'!$C$1:$E$10000,3,FALSE)</f>
        <v>BRANDNER</v>
      </c>
      <c r="M176" s="6">
        <f t="shared" si="56"/>
        <v>3.8425925959018059E-3</v>
      </c>
      <c r="N176" s="7"/>
      <c r="O176" s="7"/>
      <c r="P176" s="7">
        <f>24*60*SUM($M176:$M177)</f>
        <v>13.266666666604578</v>
      </c>
      <c r="Q176" s="25"/>
      <c r="R176" s="25" t="s">
        <v>734</v>
      </c>
      <c r="S176" s="37">
        <f t="shared" si="54"/>
        <v>1</v>
      </c>
      <c r="T176" s="52" t="str">
        <f t="shared" si="57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10:52:14-0600',mode:absolute,to:'2016-09-14 12:48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6" s="54" t="str">
        <f t="shared" si="69"/>
        <v>Y</v>
      </c>
      <c r="X176" s="168">
        <f t="shared" si="70"/>
        <v>1</v>
      </c>
      <c r="Y176" s="69">
        <f t="shared" si="68"/>
        <v>3.1154999999999999</v>
      </c>
      <c r="Z176" s="69">
        <f t="shared" si="66"/>
        <v>7.0800000000000002E-2</v>
      </c>
      <c r="AA176" s="69">
        <f t="shared" si="59"/>
        <v>3.0446999999999997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60"/>
        <v>0818-14</v>
      </c>
      <c r="AE176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76" s="96" t="str">
        <f t="shared" si="62"/>
        <v>"C:\Program Files (x86)\AstroGrep\AstroGrep.exe" /spath="%USERPROFILE%\AppData\Local\Temp\OnboardLogs" /stypes="app*4019*20160914*" /stext=" 17:.+((SYSTEM_STATE.+slice.+state.+changed )|(ment ac)|(system.+state.+changed )|(\|lc)|(penalty)|(\[timeout)|(PRM\|1\|D)|(kpr)|(kdp))" /e /r /s</v>
      </c>
      <c r="AG176" s="1" t="str">
        <f t="shared" si="63"/>
        <v>NW</v>
      </c>
      <c r="AH176" s="100" t="str">
        <f t="shared" si="64"/>
        <v>"%USERPROFILE%\Documents\GitHub\eaglep3\Utilities\RefineRTDCRunTimes.py" --tripid 818-14 --locoid 4019 --swversion DE.1.0.7.0 --startMP 300:31155 --initTime 2016-09-14T11:52:14 --startdatetime 2016-09-14T11:42:38 --delay 0 --endMP 204:708 --enddatetime 2016-09-14T11:48:10 --enforcementcount 0 &gt;&gt;C:\Users\stu\Documents\GitHub\eaglep3-reporting\EC\2016-09-14-refined-times.txt</v>
      </c>
      <c r="AI176" s="134" t="str">
        <f t="shared" si="65"/>
        <v>echo {"issue":{"subject":"Pecos 6S did not respond to clear requests","project_id":79,"tracker_id":40,"status_id":1,"priority_id":2,"assigned_to_id":23,"start_date":"2016-09-14","description":"Pecos 6S was STOP from 11:44:55.143 - 12:31:30.856. During that time there were a few clear requests from the dispatcher, but no response. Any issues here, or was there some logic not being obeyed?","custom_fields":[{"id":1,"name":"Subdivision","value":"NW"},{"id":4,"name":"Milepost","value":"0.0708"},{"id":17,"name":"Train ID","value":"818-14"},{"id":16,"name":"Locomotive ID","value":"4019"},{"id":130,"name":"Impact","value":"Unexpected Cut-Out or Disengaged"},{"id":150,"name":"Time of Event (Mountain Time)","value":"11:48:10"},{"id":151,"name":"Denver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6" s="55" t="s">
        <v>735</v>
      </c>
      <c r="AK176" s="55" t="s">
        <v>148</v>
      </c>
      <c r="AL176" s="55" t="s">
        <v>147</v>
      </c>
    </row>
    <row r="177" spans="1:38" s="23" customFormat="1" x14ac:dyDescent="0.25">
      <c r="A177" s="39" t="s">
        <v>471</v>
      </c>
      <c r="B177" s="7">
        <v>4019</v>
      </c>
      <c r="C177" s="24" t="s">
        <v>108</v>
      </c>
      <c r="D177" s="24" t="s">
        <v>693</v>
      </c>
      <c r="E177" s="15">
        <v>42627.486504629633</v>
      </c>
      <c r="F177" s="15">
        <v>42627.495891203704</v>
      </c>
      <c r="G177" s="7">
        <v>1</v>
      </c>
      <c r="H177" s="15" t="s">
        <v>694</v>
      </c>
      <c r="I177" s="15">
        <v>42627.501261574071</v>
      </c>
      <c r="J177" s="7">
        <v>0</v>
      </c>
      <c r="K177" s="121" t="str">
        <f t="shared" si="55"/>
        <v>4019/4020</v>
      </c>
      <c r="L177" s="24" t="str">
        <f>VLOOKUP(A177,'Trips&amp;Operators'!$C$1:$E$10000,3,FALSE)</f>
        <v>BRANDNER</v>
      </c>
      <c r="M177" s="6">
        <f t="shared" si="56"/>
        <v>5.3703703670180403E-3</v>
      </c>
      <c r="N177" s="7"/>
      <c r="O177" s="7"/>
      <c r="P177" s="7"/>
      <c r="Q177" s="25"/>
      <c r="R177" s="25"/>
      <c r="S177" s="37"/>
      <c r="T177" s="52" t="str">
        <f t="shared" si="57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10:40:34-0600',mode:absolute,to:'2016-09-14 13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7" s="54" t="str">
        <f t="shared" si="69"/>
        <v>Y</v>
      </c>
      <c r="X177" s="168">
        <f t="shared" si="70"/>
        <v>0</v>
      </c>
      <c r="Y177" s="69">
        <f t="shared" si="68"/>
        <v>5.8648999999999996</v>
      </c>
      <c r="Z177" s="69">
        <f t="shared" si="66"/>
        <v>4.2519</v>
      </c>
      <c r="AA177" s="69">
        <f t="shared" si="59"/>
        <v>1.6129999999999995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60"/>
        <v>0818-14</v>
      </c>
      <c r="AE177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77" s="96" t="str">
        <f t="shared" si="62"/>
        <v>"C:\Program Files (x86)\AstroGrep\AstroGrep.exe" /spath="%USERPROFILE%\AppData\Local\Temp\OnboardLogs" /stypes="app*4019*20160914*" /stext=" 18:.+((SYSTEM_STATE.+slice.+state.+changed )|(ment ac)|(system.+state.+changed )|(\|lc)|(penalty)|(\[timeout)|(PRM\|1\|D)|(kpr)|(kdp))" /e /r /s</v>
      </c>
      <c r="AG177" s="1" t="str">
        <f t="shared" si="63"/>
        <v>NW</v>
      </c>
      <c r="AH177" s="100" t="str">
        <f t="shared" si="64"/>
        <v>"%USERPROFILE%\Documents\GitHub\eaglep3\Utilities\RefineRTDCRunTimes.py" --tripid 818-14 --locoid 4019 --swversion DE.1.0.7.0 --startMP 300:58649 --initTime 2016-09-14T11:40:34 --startdatetime 2016-09-14T11:54:05 --delay 1 --endMP 300:42519 --enddatetime 2016-09-14T12:01:49 --enforcementcount 0 &gt;&gt;C:\Users\stu\Documents\GitHub\eaglep3-reporting\EC\2016-09-14-refined-times.txt</v>
      </c>
      <c r="AI177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{"issue":{"subject":"","project_id":79,"tracker_id":40,"status_id":1,"priority_id":2,"assigned_to_id":23,"start_date":"2016-09-14","description":"","custom_fields":[{"id":1,"name":"Subdivision","value":"NW"},{"id":4,"name":"Milepost","value":"4.2519"},{"id":17,"name":"Train ID","value":"818-14"},{"id":16,"name":"Locomotive ID","value":"4019"},{"id":130,"name":"Impact","value":""},{"id":150,"name":"Time of Event (Mountain Time)","value":"12:01:49"},{"id":151,"name":"Denver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477</v>
      </c>
      <c r="B178" s="7">
        <v>4020</v>
      </c>
      <c r="C178" s="24" t="s">
        <v>108</v>
      </c>
      <c r="D178" s="24" t="s">
        <v>370</v>
      </c>
      <c r="E178" s="15">
        <v>42627.503530092596</v>
      </c>
      <c r="F178" s="15">
        <v>42627.514861111114</v>
      </c>
      <c r="G178" s="7">
        <v>1</v>
      </c>
      <c r="H178" s="15" t="s">
        <v>695</v>
      </c>
      <c r="I178" s="15">
        <v>42627.525578703702</v>
      </c>
      <c r="J178" s="7">
        <v>0</v>
      </c>
      <c r="K178" s="121" t="str">
        <f t="shared" si="55"/>
        <v>4019/4020</v>
      </c>
      <c r="L178" s="24" t="str">
        <f>VLOOKUP(A178,'Trips&amp;Operators'!$C$1:$E$10000,3,FALSE)</f>
        <v>BRANDNER</v>
      </c>
      <c r="M178" s="6">
        <f t="shared" si="56"/>
        <v>1.0717592587752733E-2</v>
      </c>
      <c r="N178" s="7">
        <f t="shared" ref="N178:N218" si="71">24*60*SUM($M178:$M178)</f>
        <v>15.433333326363936</v>
      </c>
      <c r="O178" s="7"/>
      <c r="P178" s="7"/>
      <c r="Q178" s="25"/>
      <c r="R178" s="25"/>
      <c r="S178" s="37">
        <f t="shared" ref="S178:S218" si="72">SUM(U178:U178)/IF(AG178="EC",12,1)</f>
        <v>1</v>
      </c>
      <c r="T178" s="52" t="str">
        <f t="shared" si="57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11:05:05-0600',mode:absolute,to:'2016-09-14 13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8" s="54" t="str">
        <f t="shared" si="69"/>
        <v>N</v>
      </c>
      <c r="X178" s="168">
        <f t="shared" si="70"/>
        <v>1</v>
      </c>
      <c r="Y178" s="69">
        <f t="shared" si="68"/>
        <v>0.1002</v>
      </c>
      <c r="Z178" s="69">
        <f t="shared" si="66"/>
        <v>5.8986000000000001</v>
      </c>
      <c r="AA178" s="69">
        <f t="shared" si="59"/>
        <v>5.7984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60"/>
        <v>0819-14</v>
      </c>
      <c r="AE178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78" s="96" t="str">
        <f t="shared" si="62"/>
        <v>"C:\Program Files (x86)\AstroGrep\AstroGrep.exe" /spath="%USERPROFILE%\AppData\Local\Temp\OnboardLogs" /stypes="app*4020*20160914*" /stext=" 18:.+((SYSTEM_STATE.+slice.+state.+changed )|(ment ac)|(system.+state.+changed )|(\|lc)|(penalty)|(\[timeout)|(PRM\|1\|D)|(kpr)|(kdp))" /e /r /s</v>
      </c>
      <c r="AG178" s="1" t="str">
        <f t="shared" si="63"/>
        <v>NW</v>
      </c>
      <c r="AH178" s="100" t="str">
        <f t="shared" si="64"/>
        <v>"%USERPROFILE%\Documents\GitHub\eaglep3\Utilities\RefineRTDCRunTimes.py" --tripid 819-14 --locoid 4020 --swversion DE.1.0.7.0 --startMP 204:1002 --initTime 2016-09-14T12:05:05 --startdatetime 2016-09-14T12:21:24 --delay 1 --endMP 300:58986 --enddatetime 2016-09-14T12:36:50 --enforcementcount 0 &gt;&gt;C:\Users\stu\Documents\GitHub\eaglep3-reporting\EC\2016-09-14-refined-times.txt</v>
      </c>
      <c r="AI178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{"issue":{"subject":"","project_id":79,"tracker_id":40,"status_id":1,"priority_id":2,"assigned_to_id":23,"start_date":"2016-09-14","description":"","custom_fields":[{"id":1,"name":"Subdivision","value":"NW"},{"id":4,"name":"Milepost","value":"5.8986"},{"id":17,"name":"Train ID","value":"819-14"},{"id":16,"name":"Locomotive ID","value":"4020"},{"id":130,"name":"Impact","value":""},{"id":150,"name":"Time of Event (Mountain Time)","value":"12:36:50"},{"id":151,"name":"Denver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483</v>
      </c>
      <c r="B179" s="7">
        <v>4019</v>
      </c>
      <c r="C179" s="24" t="s">
        <v>108</v>
      </c>
      <c r="D179" s="24" t="s">
        <v>696</v>
      </c>
      <c r="E179" s="15">
        <v>42627.527094907404</v>
      </c>
      <c r="F179" s="15">
        <v>42627.529016203705</v>
      </c>
      <c r="G179" s="7">
        <v>2</v>
      </c>
      <c r="H179" s="15" t="s">
        <v>697</v>
      </c>
      <c r="I179" s="15">
        <v>42627.541909722226</v>
      </c>
      <c r="J179" s="7">
        <v>0</v>
      </c>
      <c r="K179" s="121" t="str">
        <f t="shared" si="55"/>
        <v>4019/4020</v>
      </c>
      <c r="L179" s="24" t="str">
        <f>VLOOKUP(A179,'Trips&amp;Operators'!$C$1:$E$10000,3,FALSE)</f>
        <v>BRANDNER</v>
      </c>
      <c r="M179" s="6">
        <f t="shared" si="56"/>
        <v>1.2893518520286307E-2</v>
      </c>
      <c r="N179" s="7">
        <f t="shared" si="71"/>
        <v>18.566666669212282</v>
      </c>
      <c r="O179" s="7"/>
      <c r="P179" s="7"/>
      <c r="Q179" s="25"/>
      <c r="R179" s="25"/>
      <c r="S179" s="37">
        <f t="shared" si="72"/>
        <v>1</v>
      </c>
      <c r="T179" s="52" t="str">
        <f t="shared" si="57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11:39:01-0600',mode:absolute,to:'2016-09-14 14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9" s="54" t="str">
        <f t="shared" si="69"/>
        <v>N</v>
      </c>
      <c r="X179" s="168">
        <f t="shared" si="70"/>
        <v>1</v>
      </c>
      <c r="Y179" s="69">
        <f t="shared" si="68"/>
        <v>5.8667999999999996</v>
      </c>
      <c r="Z179" s="69">
        <f t="shared" si="66"/>
        <v>7.85E-2</v>
      </c>
      <c r="AA179" s="69">
        <f t="shared" si="59"/>
        <v>5.7882999999999996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60"/>
        <v>0820-14</v>
      </c>
      <c r="AE179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79" s="96" t="str">
        <f t="shared" si="62"/>
        <v>"C:\Program Files (x86)\AstroGrep\AstroGrep.exe" /spath="%USERPROFILE%\AppData\Local\Temp\OnboardLogs" /stypes="app*4019*20160914*" /stext=" 19:.+((SYSTEM_STATE.+slice.+state.+changed )|(ment ac)|(system.+state.+changed )|(\|lc)|(penalty)|(\[timeout)|(PRM\|1\|D)|(kpr)|(kdp))" /e /r /s</v>
      </c>
      <c r="AG179" s="1" t="str">
        <f t="shared" si="63"/>
        <v>NW</v>
      </c>
      <c r="AH179" s="100" t="str">
        <f t="shared" si="64"/>
        <v>"%USERPROFILE%\Documents\GitHub\eaglep3\Utilities\RefineRTDCRunTimes.py" --tripid 820-14 --locoid 4019 --swversion DE.1.0.7.0 --startMP 300:58668 --initTime 2016-09-14T12:39:01 --startdatetime 2016-09-14T12:41:47 --delay 2 --endMP 204:785 --enddatetime 2016-09-14T13:00:21 --enforcementcount 0 &gt;&gt;C:\Users\stu\Documents\GitHub\eaglep3-reporting\EC\2016-09-14-refined-times.txt</v>
      </c>
      <c r="AI179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{"issue":{"subject":"","project_id":79,"tracker_id":40,"status_id":1,"priority_id":2,"assigned_to_id":23,"start_date":"2016-09-14","description":"","custom_fields":[{"id":1,"name":"Subdivision","value":"NW"},{"id":4,"name":"Milepost","value":"0.0785"},{"id":17,"name":"Train ID","value":"820-14"},{"id":16,"name":"Locomotive ID","value":"4019"},{"id":130,"name":"Impact","value":""},{"id":150,"name":"Time of Event (Mountain Time)","value":"13:00:21"},{"id":151,"name":"Denver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490</v>
      </c>
      <c r="B180" s="7">
        <v>4020</v>
      </c>
      <c r="C180" s="24" t="s">
        <v>108</v>
      </c>
      <c r="D180" s="24" t="s">
        <v>698</v>
      </c>
      <c r="E180" s="15">
        <v>42627.549479166664</v>
      </c>
      <c r="F180" s="15">
        <v>42627.556759259256</v>
      </c>
      <c r="G180" s="7">
        <v>1</v>
      </c>
      <c r="H180" s="15" t="s">
        <v>699</v>
      </c>
      <c r="I180" s="15">
        <v>42627.567106481481</v>
      </c>
      <c r="J180" s="7">
        <v>0</v>
      </c>
      <c r="K180" s="121" t="str">
        <f t="shared" si="55"/>
        <v>4019/4020</v>
      </c>
      <c r="L180" s="24" t="str">
        <f>VLOOKUP(A180,'Trips&amp;Operators'!$C$1:$E$10000,3,FALSE)</f>
        <v>MAHAN</v>
      </c>
      <c r="M180" s="6">
        <f t="shared" si="56"/>
        <v>1.0347222225391306E-2</v>
      </c>
      <c r="N180" s="7">
        <f t="shared" si="71"/>
        <v>14.900000004563481</v>
      </c>
      <c r="O180" s="7"/>
      <c r="P180" s="7"/>
      <c r="Q180" s="25"/>
      <c r="R180" s="25"/>
      <c r="S180" s="37">
        <f t="shared" si="72"/>
        <v>1</v>
      </c>
      <c r="T180" s="52" t="str">
        <f t="shared" si="57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12:11:15-0600',mode:absolute,to:'2016-09-14 14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0" s="54" t="str">
        <f t="shared" si="69"/>
        <v>N</v>
      </c>
      <c r="X180" s="168">
        <f t="shared" si="70"/>
        <v>1</v>
      </c>
      <c r="Y180" s="69">
        <f t="shared" si="68"/>
        <v>0.107</v>
      </c>
      <c r="Z180" s="69">
        <f t="shared" si="66"/>
        <v>5.8993000000000002</v>
      </c>
      <c r="AA180" s="69">
        <f t="shared" si="59"/>
        <v>5.7923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60"/>
        <v>0821-14</v>
      </c>
      <c r="AE180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80" s="96" t="str">
        <f t="shared" si="62"/>
        <v>"C:\Program Files (x86)\AstroGrep\AstroGrep.exe" /spath="%USERPROFILE%\AppData\Local\Temp\OnboardLogs" /stypes="app*4020*20160914*" /stext=" 19:.+((SYSTEM_STATE.+slice.+state.+changed )|(ment ac)|(system.+state.+changed )|(\|lc)|(penalty)|(\[timeout)|(PRM\|1\|D)|(kpr)|(kdp))" /e /r /s</v>
      </c>
      <c r="AG180" s="1" t="str">
        <f t="shared" si="63"/>
        <v>NW</v>
      </c>
      <c r="AH180" s="100" t="str">
        <f t="shared" si="64"/>
        <v>"%USERPROFILE%\Documents\GitHub\eaglep3\Utilities\RefineRTDCRunTimes.py" --tripid 821-14 --locoid 4020 --swversion DE.1.0.7.0 --startMP 204:1070 --initTime 2016-09-14T13:11:15 --startdatetime 2016-09-14T13:21:44 --delay 1 --endMP 300:58993 --enddatetime 2016-09-14T13:36:38 --enforcementcount 0 &gt;&gt;C:\Users\stu\Documents\GitHub\eaglep3-reporting\EC\2016-09-14-refined-times.txt</v>
      </c>
      <c r="AI180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{"issue":{"subject":"","project_id":79,"tracker_id":40,"status_id":1,"priority_id":2,"assigned_to_id":23,"start_date":"2016-09-14","description":"","custom_fields":[{"id":1,"name":"Subdivision","value":"NW"},{"id":4,"name":"Milepost","value":"5.8993"},{"id":17,"name":"Train ID","value":"821-14"},{"id":16,"name":"Locomotive ID","value":"4020"},{"id":130,"name":"Impact","value":""},{"id":150,"name":"Time of Event (Mountain Time)","value":"13:36:38"},{"id":151,"name":"Denver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493</v>
      </c>
      <c r="B181" s="7">
        <v>4019</v>
      </c>
      <c r="C181" s="24" t="s">
        <v>108</v>
      </c>
      <c r="D181" s="24" t="s">
        <v>674</v>
      </c>
      <c r="E181" s="15">
        <v>42627.568611111114</v>
      </c>
      <c r="F181" s="15">
        <v>42627.570243055554</v>
      </c>
      <c r="G181" s="7">
        <v>1</v>
      </c>
      <c r="H181" s="15" t="s">
        <v>700</v>
      </c>
      <c r="I181" s="15">
        <v>42627.579664351855</v>
      </c>
      <c r="J181" s="7">
        <v>0</v>
      </c>
      <c r="K181" s="121" t="str">
        <f t="shared" si="55"/>
        <v>4019/4020</v>
      </c>
      <c r="L181" s="24" t="str">
        <f>VLOOKUP(A181,'Trips&amp;Operators'!$C$1:$E$10000,3,FALSE)</f>
        <v>MAHAN</v>
      </c>
      <c r="M181" s="6">
        <f t="shared" si="56"/>
        <v>9.4212963012978435E-3</v>
      </c>
      <c r="N181" s="7">
        <f t="shared" si="71"/>
        <v>13.566666673868895</v>
      </c>
      <c r="O181" s="7"/>
      <c r="P181" s="7"/>
      <c r="Q181" s="25"/>
      <c r="R181" s="25"/>
      <c r="S181" s="37">
        <f t="shared" si="72"/>
        <v>1</v>
      </c>
      <c r="T181" s="52" t="str">
        <f t="shared" si="57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12:38:48-0600',mode:absolute,to:'2016-09-14 14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1" s="54" t="str">
        <f t="shared" si="69"/>
        <v>N</v>
      </c>
      <c r="X181" s="168">
        <f t="shared" si="70"/>
        <v>1</v>
      </c>
      <c r="Y181" s="69">
        <f t="shared" si="68"/>
        <v>5.8677000000000001</v>
      </c>
      <c r="Z181" s="69">
        <f t="shared" si="66"/>
        <v>7.3099999999999998E-2</v>
      </c>
      <c r="AA181" s="69">
        <f t="shared" si="59"/>
        <v>5.7946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60"/>
        <v>0822-14</v>
      </c>
      <c r="AE181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81" s="96" t="str">
        <f t="shared" si="62"/>
        <v>"C:\Program Files (x86)\AstroGrep\AstroGrep.exe" /spath="%USERPROFILE%\AppData\Local\Temp\OnboardLogs" /stypes="app*4019*20160914*" /stext=" 19:.+((SYSTEM_STATE.+slice.+state.+changed )|(ment ac)|(system.+state.+changed )|(\|lc)|(penalty)|(\[timeout)|(PRM\|1\|D)|(kpr)|(kdp))" /e /r /s</v>
      </c>
      <c r="AG181" s="1" t="str">
        <f t="shared" si="63"/>
        <v>NW</v>
      </c>
      <c r="AH181" s="100" t="str">
        <f t="shared" si="64"/>
        <v>"%USERPROFILE%\Documents\GitHub\eaglep3\Utilities\RefineRTDCRunTimes.py" --tripid 822-14 --locoid 4019 --swversion DE.1.0.7.0 --startMP 300:58677 --initTime 2016-09-14T13:38:48 --startdatetime 2016-09-14T13:41:09 --delay 1 --endMP 204:731 --enddatetime 2016-09-14T13:54:43 --enforcementcount 0 &gt;&gt;C:\Users\stu\Documents\GitHub\eaglep3-reporting\EC\2016-09-14-refined-times.txt</v>
      </c>
      <c r="AI181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{"issue":{"subject":"","project_id":79,"tracker_id":40,"status_id":1,"priority_id":2,"assigned_to_id":23,"start_date":"2016-09-14","description":"","custom_fields":[{"id":1,"name":"Subdivision","value":"NW"},{"id":4,"name":"Milepost","value":"0.0731"},{"id":17,"name":"Train ID","value":"822-14"},{"id":16,"name":"Locomotive ID","value":"4019"},{"id":130,"name":"Impact","value":""},{"id":150,"name":"Time of Event (Mountain Time)","value":"13:54:43"},{"id":151,"name":"Denver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498</v>
      </c>
      <c r="B182" s="7">
        <v>4020</v>
      </c>
      <c r="C182" s="24" t="s">
        <v>108</v>
      </c>
      <c r="D182" s="24" t="s">
        <v>701</v>
      </c>
      <c r="E182" s="15">
        <v>42627.589791666665</v>
      </c>
      <c r="F182" s="15">
        <v>42627.598194444443</v>
      </c>
      <c r="G182" s="7">
        <v>1</v>
      </c>
      <c r="H182" s="15" t="s">
        <v>702</v>
      </c>
      <c r="I182" s="15">
        <v>42627.608877314815</v>
      </c>
      <c r="J182" s="7">
        <v>0</v>
      </c>
      <c r="K182" s="121" t="str">
        <f t="shared" si="55"/>
        <v>4019/4020</v>
      </c>
      <c r="L182" s="24" t="str">
        <f>VLOOKUP(A182,'Trips&amp;Operators'!$C$1:$E$10000,3,FALSE)</f>
        <v>MOSES</v>
      </c>
      <c r="M182" s="6">
        <f t="shared" si="56"/>
        <v>1.0682870371965691E-2</v>
      </c>
      <c r="N182" s="7">
        <f t="shared" si="71"/>
        <v>15.383333335630596</v>
      </c>
      <c r="O182" s="7"/>
      <c r="P182" s="7"/>
      <c r="Q182" s="25"/>
      <c r="R182" s="25"/>
      <c r="S182" s="37">
        <f t="shared" si="72"/>
        <v>1</v>
      </c>
      <c r="T182" s="52" t="str">
        <f t="shared" si="57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13:09:18-0600',mode:absolute,to:'2016-09-14 15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2" s="54" t="str">
        <f t="shared" si="69"/>
        <v>N</v>
      </c>
      <c r="X182" s="168">
        <f t="shared" si="70"/>
        <v>1</v>
      </c>
      <c r="Y182" s="69">
        <f t="shared" si="68"/>
        <v>0.1021</v>
      </c>
      <c r="Z182" s="69">
        <f t="shared" si="66"/>
        <v>5.8958000000000004</v>
      </c>
      <c r="AA182" s="69">
        <f t="shared" si="59"/>
        <v>5.7937000000000003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60"/>
        <v>0823-14</v>
      </c>
      <c r="AE182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82" s="96" t="str">
        <f t="shared" si="62"/>
        <v>"C:\Program Files (x86)\AstroGrep\AstroGrep.exe" /spath="%USERPROFILE%\AppData\Local\Temp\OnboardLogs" /stypes="app*4020*20160914*" /stext=" 20:.+((SYSTEM_STATE.+slice.+state.+changed )|(ment ac)|(system.+state.+changed )|(\|lc)|(penalty)|(\[timeout)|(PRM\|1\|D)|(kpr)|(kdp))" /e /r /s</v>
      </c>
      <c r="AG182" s="1" t="str">
        <f t="shared" si="63"/>
        <v>NW</v>
      </c>
      <c r="AH182" s="100" t="str">
        <f t="shared" si="64"/>
        <v>"%USERPROFILE%\Documents\GitHub\eaglep3\Utilities\RefineRTDCRunTimes.py" --tripid 823-14 --locoid 4020 --swversion DE.1.0.7.0 --startMP 204:1021 --initTime 2016-09-14T14:09:18 --startdatetime 2016-09-14T14:21:24 --delay 1 --endMP 300:58958 --enddatetime 2016-09-14T14:36:47 --enforcementcount 0 &gt;&gt;C:\Users\stu\Documents\GitHub\eaglep3-reporting\EC\2016-09-14-refined-times.txt</v>
      </c>
      <c r="AI182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{"issue":{"subject":"","project_id":79,"tracker_id":40,"status_id":1,"priority_id":2,"assigned_to_id":23,"start_date":"2016-09-14","description":"","custom_fields":[{"id":1,"name":"Subdivision","value":"NW"},{"id":4,"name":"Milepost","value":"5.8958"},{"id":17,"name":"Train ID","value":"823-14"},{"id":16,"name":"Locomotive ID","value":"4020"},{"id":130,"name":"Impact","value":""},{"id":150,"name":"Time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503</v>
      </c>
      <c r="B183" s="7">
        <v>4019</v>
      </c>
      <c r="C183" s="24" t="s">
        <v>108</v>
      </c>
      <c r="D183" s="24" t="s">
        <v>374</v>
      </c>
      <c r="E183" s="15">
        <v>42627.610034722224</v>
      </c>
      <c r="F183" s="15">
        <v>42627.611712962964</v>
      </c>
      <c r="G183" s="7">
        <v>1</v>
      </c>
      <c r="H183" s="15" t="s">
        <v>703</v>
      </c>
      <c r="I183" s="15">
        <v>42627.621759259258</v>
      </c>
      <c r="J183" s="7">
        <v>0</v>
      </c>
      <c r="K183" s="121" t="str">
        <f t="shared" si="55"/>
        <v>4019/4020</v>
      </c>
      <c r="L183" s="24" t="str">
        <f>VLOOKUP(A183,'Trips&amp;Operators'!$C$1:$E$10000,3,FALSE)</f>
        <v>MOSES</v>
      </c>
      <c r="M183" s="6">
        <f t="shared" si="56"/>
        <v>1.0046296294603962E-2</v>
      </c>
      <c r="N183" s="7">
        <f t="shared" si="71"/>
        <v>14.466666664229706</v>
      </c>
      <c r="O183" s="7"/>
      <c r="P183" s="7"/>
      <c r="Q183" s="25"/>
      <c r="R183" s="25"/>
      <c r="S183" s="37">
        <f t="shared" si="72"/>
        <v>1</v>
      </c>
      <c r="T183" s="52" t="str">
        <f t="shared" si="57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13:38:27-0600',mode:absolute,to:'2016-09-14 15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3" s="54" t="str">
        <f t="shared" si="69"/>
        <v>N</v>
      </c>
      <c r="X183" s="168">
        <f t="shared" si="70"/>
        <v>1</v>
      </c>
      <c r="Y183" s="69">
        <f t="shared" si="68"/>
        <v>5.8634000000000004</v>
      </c>
      <c r="Z183" s="69">
        <f t="shared" si="66"/>
        <v>6.5600000000000006E-2</v>
      </c>
      <c r="AA183" s="69">
        <f t="shared" si="59"/>
        <v>5.7978000000000005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60"/>
        <v>0824-14</v>
      </c>
      <c r="AE183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83" s="96" t="str">
        <f t="shared" si="62"/>
        <v>"C:\Program Files (x86)\AstroGrep\AstroGrep.exe" /spath="%USERPROFILE%\AppData\Local\Temp\OnboardLogs" /stypes="app*4019*20160914*" /stext=" 20:.+((SYSTEM_STATE.+slice.+state.+changed )|(ment ac)|(system.+state.+changed )|(\|lc)|(penalty)|(\[timeout)|(PRM\|1\|D)|(kpr)|(kdp))" /e /r /s</v>
      </c>
      <c r="AG183" s="1" t="str">
        <f t="shared" si="63"/>
        <v>NW</v>
      </c>
      <c r="AH183" s="100" t="str">
        <f t="shared" si="64"/>
        <v>"%USERPROFILE%\Documents\GitHub\eaglep3\Utilities\RefineRTDCRunTimes.py" --tripid 824-14 --locoid 4019 --swversion DE.1.0.7.0 --startMP 300:58634 --initTime 2016-09-14T14:38:27 --startdatetime 2016-09-14T14:40:52 --delay 1 --endMP 204:656 --enddatetime 2016-09-14T14:55:20 --enforcementcount 0 &gt;&gt;C:\Users\stu\Documents\GitHub\eaglep3-reporting\EC\2016-09-14-refined-times.txt</v>
      </c>
      <c r="AI183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{"issue":{"subject":"","project_id":79,"tracker_id":40,"status_id":1,"priority_id":2,"assigned_to_id":23,"start_date":"2016-09-14","description":"","custom_fields":[{"id":1,"name":"Subdivision","value":"NW"},{"id":4,"name":"Milepost","value":"0.0656"},{"id":17,"name":"Train ID","value":"824-14"},{"id":16,"name":"Locomotive ID","value":"4019"},{"id":130,"name":"Impact","value":""},{"id":150,"name":"Time of Event (Mountain Time)","value":"14:55:20"},{"id":151,"name":"Denver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510</v>
      </c>
      <c r="B184" s="7">
        <v>4020</v>
      </c>
      <c r="C184" s="24" t="s">
        <v>108</v>
      </c>
      <c r="D184" s="24" t="s">
        <v>704</v>
      </c>
      <c r="E184" s="15">
        <v>42627.63658564815</v>
      </c>
      <c r="F184" s="15">
        <v>42627.639884259261</v>
      </c>
      <c r="G184" s="7">
        <v>1</v>
      </c>
      <c r="H184" s="15" t="s">
        <v>705</v>
      </c>
      <c r="I184" s="15">
        <v>42627.649571759262</v>
      </c>
      <c r="J184" s="7">
        <v>0</v>
      </c>
      <c r="K184" s="121" t="str">
        <f t="shared" si="55"/>
        <v>4019/4020</v>
      </c>
      <c r="L184" s="24" t="str">
        <f>VLOOKUP(A184,'Trips&amp;Operators'!$C$1:$E$10000,3,FALSE)</f>
        <v>MOSES</v>
      </c>
      <c r="M184" s="6">
        <f t="shared" si="56"/>
        <v>9.6875000017462298E-3</v>
      </c>
      <c r="N184" s="7">
        <f t="shared" si="71"/>
        <v>13.950000002514571</v>
      </c>
      <c r="O184" s="7"/>
      <c r="P184" s="7"/>
      <c r="Q184" s="25"/>
      <c r="R184" s="25"/>
      <c r="S184" s="37">
        <f t="shared" si="72"/>
        <v>1</v>
      </c>
      <c r="T184" s="52" t="str">
        <f t="shared" si="57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14:16:41-0600',mode:absolute,to:'2016-09-14 16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4" s="54" t="str">
        <f t="shared" si="69"/>
        <v>N</v>
      </c>
      <c r="X184" s="168">
        <f t="shared" si="70"/>
        <v>1</v>
      </c>
      <c r="Y184" s="69">
        <f t="shared" si="68"/>
        <v>9.3700000000000006E-2</v>
      </c>
      <c r="Z184" s="69">
        <f t="shared" si="66"/>
        <v>5.8998999999999997</v>
      </c>
      <c r="AA184" s="69">
        <f t="shared" si="59"/>
        <v>5.8061999999999996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60"/>
        <v>0825-14</v>
      </c>
      <c r="AE184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84" s="96" t="str">
        <f t="shared" si="62"/>
        <v>"C:\Program Files (x86)\AstroGrep\AstroGrep.exe" /spath="%USERPROFILE%\AppData\Local\Temp\OnboardLogs" /stypes="app*4020*20160914*" /stext=" 21:.+((SYSTEM_STATE.+slice.+state.+changed )|(ment ac)|(system.+state.+changed )|(\|lc)|(penalty)|(\[timeout)|(PRM\|1\|D)|(kpr)|(kdp))" /e /r /s</v>
      </c>
      <c r="AG184" s="1" t="str">
        <f t="shared" si="63"/>
        <v>NW</v>
      </c>
      <c r="AH184" s="100" t="str">
        <f t="shared" si="64"/>
        <v>"%USERPROFILE%\Documents\GitHub\eaglep3\Utilities\RefineRTDCRunTimes.py" --tripid 825-14 --locoid 4020 --swversion DE.1.0.7.0 --startMP 204:937 --initTime 2016-09-14T15:16:41 --startdatetime 2016-09-14T15:21:26 --delay 1 --endMP 300:58999 --enddatetime 2016-09-14T15:35:23 --enforcementcount 0 &gt;&gt;C:\Users\stu\Documents\GitHub\eaglep3-reporting\EC\2016-09-14-refined-times.txt</v>
      </c>
      <c r="AI184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{"issue":{"subject":"","project_id":79,"tracker_id":40,"status_id":1,"priority_id":2,"assigned_to_id":23,"start_date":"2016-09-14","description":"","custom_fields":[{"id":1,"name":"Subdivision","value":"NW"},{"id":4,"name":"Milepost","value":"5.8999"},{"id":17,"name":"Train ID","value":"825-14"},{"id":16,"name":"Locomotive ID","value":"4020"},{"id":130,"name":"Impact","value":""},{"id":150,"name":"Time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514</v>
      </c>
      <c r="B185" s="7">
        <v>4019</v>
      </c>
      <c r="C185" s="24" t="s">
        <v>108</v>
      </c>
      <c r="D185" s="24" t="s">
        <v>696</v>
      </c>
      <c r="E185" s="15">
        <v>42627.651458333334</v>
      </c>
      <c r="F185" s="15">
        <v>42627.653067129628</v>
      </c>
      <c r="G185" s="7">
        <v>1</v>
      </c>
      <c r="H185" s="15" t="s">
        <v>371</v>
      </c>
      <c r="I185" s="15">
        <v>42627.664282407408</v>
      </c>
      <c r="J185" s="7">
        <v>0</v>
      </c>
      <c r="K185" s="121" t="str">
        <f t="shared" si="55"/>
        <v>4019/4020</v>
      </c>
      <c r="L185" s="24" t="str">
        <f>VLOOKUP(A185,'Trips&amp;Operators'!$C$1:$E$10000,3,FALSE)</f>
        <v>MOSES</v>
      </c>
      <c r="M185" s="6">
        <f t="shared" si="56"/>
        <v>1.1215277780138422E-2</v>
      </c>
      <c r="N185" s="7">
        <f t="shared" si="71"/>
        <v>16.150000003399327</v>
      </c>
      <c r="O185" s="7"/>
      <c r="P185" s="7"/>
      <c r="Q185" s="25"/>
      <c r="R185" s="25"/>
      <c r="S185" s="37">
        <f t="shared" si="72"/>
        <v>1</v>
      </c>
      <c r="T185" s="52" t="str">
        <f t="shared" si="57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14:38:06-0600',mode:absolute,to:'2016-09-14 16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5" s="54" t="str">
        <f t="shared" si="69"/>
        <v>N</v>
      </c>
      <c r="X185" s="168">
        <f t="shared" ref="X185:X192" si="73">VALUE(LEFT(AD185,4))-VALUE(LEFT(AD184,4))</f>
        <v>1</v>
      </c>
      <c r="Y185" s="69">
        <f t="shared" si="68"/>
        <v>5.8667999999999996</v>
      </c>
      <c r="Z185" s="69">
        <f t="shared" si="66"/>
        <v>7.0499999999999993E-2</v>
      </c>
      <c r="AA185" s="69">
        <f t="shared" si="59"/>
        <v>5.7962999999999996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60"/>
        <v>0826-14</v>
      </c>
      <c r="AE185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85" s="96" t="str">
        <f t="shared" si="62"/>
        <v>"C:\Program Files (x86)\AstroGrep\AstroGrep.exe" /spath="%USERPROFILE%\AppData\Local\Temp\OnboardLogs" /stypes="app*4019*20160914*" /stext=" 21:.+((SYSTEM_STATE.+slice.+state.+changed )|(ment ac)|(system.+state.+changed )|(\|lc)|(penalty)|(\[timeout)|(PRM\|1\|D)|(kpr)|(kdp))" /e /r /s</v>
      </c>
      <c r="AG185" s="1" t="str">
        <f t="shared" si="63"/>
        <v>NW</v>
      </c>
      <c r="AH185" s="100" t="str">
        <f t="shared" si="64"/>
        <v>"%USERPROFILE%\Documents\GitHub\eaglep3\Utilities\RefineRTDCRunTimes.py" --tripid 826-14 --locoid 4019 --swversion DE.1.0.7.0 --startMP 300:58668 --initTime 2016-09-14T15:38:06 --startdatetime 2016-09-14T15:40:25 --delay 1 --endMP 204:705 --enddatetime 2016-09-14T15:56:34 --enforcementcount 0 &gt;&gt;C:\Users\stu\Documents\GitHub\eaglep3-reporting\EC\2016-09-14-refined-times.txt</v>
      </c>
      <c r="AI185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{"issue":{"subject":"","project_id":79,"tracker_id":40,"status_id":1,"priority_id":2,"assigned_to_id":23,"start_date":"2016-09-14","description":"","custom_fields":[{"id":1,"name":"Subdivision","value":"NW"},{"id":4,"name":"Milepost","value":"0.0705"},{"id":17,"name":"Train ID","value":"826-14"},{"id":16,"name":"Locomotive ID","value":"4019"},{"id":130,"name":"Impact","value":""},{"id":150,"name":"Time of Event (Mountain Time)","value":"15:56:34"},{"id":151,"name":"Denver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516</v>
      </c>
      <c r="B186" s="7">
        <v>4025</v>
      </c>
      <c r="C186" s="24" t="s">
        <v>108</v>
      </c>
      <c r="D186" s="24" t="s">
        <v>367</v>
      </c>
      <c r="E186" s="15">
        <v>42627.653692129628</v>
      </c>
      <c r="F186" s="15">
        <v>42627.660624999997</v>
      </c>
      <c r="G186" s="7">
        <v>1</v>
      </c>
      <c r="H186" s="15" t="s">
        <v>706</v>
      </c>
      <c r="I186" s="15">
        <v>42627.671134259261</v>
      </c>
      <c r="J186" s="7">
        <v>0</v>
      </c>
      <c r="K186" s="121" t="str">
        <f t="shared" si="55"/>
        <v>4025/4026</v>
      </c>
      <c r="L186" s="24" t="str">
        <f>VLOOKUP(A186,'Trips&amp;Operators'!$C$1:$E$10000,3,FALSE)</f>
        <v>DELGADO</v>
      </c>
      <c r="M186" s="6">
        <f t="shared" si="56"/>
        <v>1.0509259263926651E-2</v>
      </c>
      <c r="N186" s="7">
        <f t="shared" si="71"/>
        <v>15.133333340054378</v>
      </c>
      <c r="O186" s="7"/>
      <c r="P186" s="7"/>
      <c r="Q186" s="25"/>
      <c r="R186" s="25"/>
      <c r="S186" s="37">
        <f t="shared" si="72"/>
        <v>1</v>
      </c>
      <c r="T186" s="52" t="str">
        <f t="shared" si="57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14:41:19-0600',mode:absolute,to:'2016-09-14 17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6" s="54" t="str">
        <f t="shared" si="69"/>
        <v>N</v>
      </c>
      <c r="X186" s="168">
        <f t="shared" si="73"/>
        <v>1</v>
      </c>
      <c r="Y186" s="69">
        <f t="shared" si="68"/>
        <v>9.5100000000000004E-2</v>
      </c>
      <c r="Z186" s="69">
        <f t="shared" si="66"/>
        <v>5.8975999999999997</v>
      </c>
      <c r="AA186" s="69">
        <f t="shared" si="59"/>
        <v>5.8024999999999993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60"/>
        <v>0827-14</v>
      </c>
      <c r="AE186" s="99" t="str">
        <f t="shared" si="61"/>
        <v>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 &amp; 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</v>
      </c>
      <c r="AF186" s="96" t="str">
        <f t="shared" si="62"/>
        <v>"C:\Program Files (x86)\AstroGrep\AstroGrep.exe" /spath="%USERPROFILE%\AppData\Local\Temp\OnboardLogs" /stypes="app*4025*20160914*" /stext=" 22:.+((SYSTEM_STATE.+slice.+state.+changed )|(ment ac)|(system.+state.+changed )|(\|lc)|(penalty)|(\[timeout)|(PRM\|1\|D)|(kpr)|(kdp))" /e /r /s</v>
      </c>
      <c r="AG186" s="1" t="str">
        <f t="shared" si="63"/>
        <v>NW</v>
      </c>
      <c r="AH186" s="100" t="str">
        <f t="shared" si="64"/>
        <v>"%USERPROFILE%\Documents\GitHub\eaglep3\Utilities\RefineRTDCRunTimes.py" --tripid 827-14 --locoid 4025 --swversion DE.1.0.7.0 --startMP 204:951 --initTime 2016-09-14T15:41:19 --startdatetime 2016-09-14T15:51:18 --delay 1 --endMP 300:58976 --enddatetime 2016-09-14T16:06:26 --enforcementcount 0 &gt;&gt;C:\Users\stu\Documents\GitHub\eaglep3-reporting\EC\2016-09-14-refined-times.txt</v>
      </c>
      <c r="AI186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{"issue":{"subject":"","project_id":79,"tracker_id":40,"status_id":1,"priority_id":2,"assigned_to_id":23,"start_date":"2016-09-14","description":"","custom_fields":[{"id":1,"name":"Subdivision","value":"NW"},{"id":4,"name":"Milepost","value":"5.8976"},{"id":17,"name":"Train ID","value":"827-14"},{"id":16,"name":"Locomotive ID","value":"4025"},{"id":130,"name":"Impact","value":""},{"id":150,"name":"Time of Event (Mountain Time)","value":"16:06:26"},{"id":151,"name":"Denver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521</v>
      </c>
      <c r="B187" s="7">
        <v>4026</v>
      </c>
      <c r="C187" s="24" t="s">
        <v>108</v>
      </c>
      <c r="D187" s="24" t="s">
        <v>707</v>
      </c>
      <c r="E187" s="15">
        <v>42627.672465277778</v>
      </c>
      <c r="F187" s="15">
        <v>42627.673819444448</v>
      </c>
      <c r="G187" s="7">
        <v>1</v>
      </c>
      <c r="H187" s="15" t="s">
        <v>708</v>
      </c>
      <c r="I187" s="15">
        <v>42627.685601851852</v>
      </c>
      <c r="J187" s="7">
        <v>0</v>
      </c>
      <c r="K187" s="121" t="str">
        <f t="shared" si="55"/>
        <v>4025/4026</v>
      </c>
      <c r="L187" s="24" t="str">
        <f>VLOOKUP(A187,'Trips&amp;Operators'!$C$1:$E$10000,3,FALSE)</f>
        <v>DELGADO</v>
      </c>
      <c r="M187" s="6">
        <f t="shared" si="56"/>
        <v>1.1782407404098194E-2</v>
      </c>
      <c r="N187" s="7">
        <f t="shared" si="71"/>
        <v>16.966666661901399</v>
      </c>
      <c r="O187" s="7"/>
      <c r="P187" s="7"/>
      <c r="Q187" s="25"/>
      <c r="R187" s="25"/>
      <c r="S187" s="37">
        <f t="shared" si="72"/>
        <v>1</v>
      </c>
      <c r="T187" s="52" t="str">
        <f t="shared" si="57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15:08:21-0600',mode:absolute,to:'2016-09-14 17:27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7" s="54" t="str">
        <f t="shared" si="69"/>
        <v>N</v>
      </c>
      <c r="X187" s="168">
        <f t="shared" si="73"/>
        <v>1</v>
      </c>
      <c r="Y187" s="69">
        <f t="shared" si="68"/>
        <v>5.8662000000000001</v>
      </c>
      <c r="Z187" s="69">
        <f t="shared" si="66"/>
        <v>6.8699999999999997E-2</v>
      </c>
      <c r="AA187" s="69">
        <f t="shared" si="59"/>
        <v>5.7975000000000003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60"/>
        <v>0828-14</v>
      </c>
      <c r="AE187" s="99" t="str">
        <f t="shared" si="61"/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AF187" s="96" t="str">
        <f t="shared" si="62"/>
        <v>"C:\Program Files (x86)\AstroGrep\AstroGrep.exe" /spath="%USERPROFILE%\AppData\Local\Temp\OnboardLogs" /stypes="app*4026*20160914*" /stext=" 22:.+((SYSTEM_STATE.+slice.+state.+changed )|(ment ac)|(system.+state.+changed )|(\|lc)|(penalty)|(\[timeout)|(PRM\|1\|D)|(kpr)|(kdp))" /e /r /s</v>
      </c>
      <c r="AG187" s="1" t="str">
        <f t="shared" si="63"/>
        <v>NW</v>
      </c>
      <c r="AH187" s="100" t="str">
        <f t="shared" si="64"/>
        <v>"%USERPROFILE%\Documents\GitHub\eaglep3\Utilities\RefineRTDCRunTimes.py" --tripid 828-14 --locoid 4026 --swversion DE.1.0.7.0 --startMP 300:58662 --initTime 2016-09-14T16:08:21 --startdatetime 2016-09-14T16:10:18 --delay 1 --endMP 204:687 --enddatetime 2016-09-14T16:27:16 --enforcementcount 0 &gt;&gt;C:\Users\stu\Documents\GitHub\eaglep3-reporting\EC\2016-09-14-refined-times.txt</v>
      </c>
      <c r="AI187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{"issue":{"subject":"","project_id":79,"tracker_id":40,"status_id":1,"priority_id":2,"assigned_to_id":23,"start_date":"2016-09-14","description":"","custom_fields":[{"id":1,"name":"Subdivision","value":"NW"},{"id":4,"name":"Milepost","value":"0.0687"},{"id":17,"name":"Train ID","value":"828-14"},{"id":16,"name":"Locomotive ID","value":"4026"},{"id":130,"name":"Impact","value":""},{"id":150,"name":"Time of Event (Mountain Time)","value":"16:27:16"},{"id":151,"name":"Denver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522</v>
      </c>
      <c r="B188" s="7">
        <v>4020</v>
      </c>
      <c r="C188" s="24" t="s">
        <v>108</v>
      </c>
      <c r="D188" s="24" t="s">
        <v>686</v>
      </c>
      <c r="E188" s="15">
        <v>42627.677939814814</v>
      </c>
      <c r="F188" s="15">
        <v>42627.681666666664</v>
      </c>
      <c r="G188" s="7">
        <v>1</v>
      </c>
      <c r="H188" s="15" t="s">
        <v>709</v>
      </c>
      <c r="I188" s="15">
        <v>42627.691990740743</v>
      </c>
      <c r="J188" s="7">
        <v>0</v>
      </c>
      <c r="K188" s="121" t="str">
        <f t="shared" si="55"/>
        <v>4019/4020</v>
      </c>
      <c r="L188" s="24" t="str">
        <f>VLOOKUP(A188,'Trips&amp;Operators'!$C$1:$E$10000,3,FALSE)</f>
        <v>MOSES</v>
      </c>
      <c r="M188" s="6">
        <f t="shared" si="56"/>
        <v>1.0324074079107959E-2</v>
      </c>
      <c r="N188" s="7">
        <f t="shared" si="71"/>
        <v>14.866666673915461</v>
      </c>
      <c r="O188" s="7"/>
      <c r="P188" s="7"/>
      <c r="Q188" s="25"/>
      <c r="R188" s="25"/>
      <c r="S188" s="37">
        <f t="shared" si="72"/>
        <v>1</v>
      </c>
      <c r="T188" s="52" t="str">
        <f t="shared" si="57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15:16:14-0600',mode:absolute,to:'2016-09-14 17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8" s="54" t="str">
        <f t="shared" si="69"/>
        <v>N</v>
      </c>
      <c r="X188" s="168">
        <f t="shared" si="73"/>
        <v>1</v>
      </c>
      <c r="Y188" s="69">
        <f t="shared" si="68"/>
        <v>0.1</v>
      </c>
      <c r="Z188" s="69">
        <f t="shared" si="66"/>
        <v>5.8983999999999996</v>
      </c>
      <c r="AA188" s="69">
        <f t="shared" si="59"/>
        <v>5.7984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60"/>
        <v>0829-14</v>
      </c>
      <c r="AE188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88" s="96" t="str">
        <f t="shared" si="62"/>
        <v>"C:\Program Files (x86)\AstroGrep\AstroGrep.exe" /spath="%USERPROFILE%\AppData\Local\Temp\OnboardLogs" /stypes="app*4020*20160914*" /stext=" 22:.+((SYSTEM_STATE.+slice.+state.+changed )|(ment ac)|(system.+state.+changed )|(\|lc)|(penalty)|(\[timeout)|(PRM\|1\|D)|(kpr)|(kdp))" /e /r /s</v>
      </c>
      <c r="AG188" s="1" t="str">
        <f t="shared" si="63"/>
        <v>NW</v>
      </c>
      <c r="AH188" s="100" t="str">
        <f t="shared" si="64"/>
        <v>"%USERPROFILE%\Documents\GitHub\eaglep3\Utilities\RefineRTDCRunTimes.py" --tripid 829-14 --locoid 4020 --swversion DE.1.0.7.0 --startMP 204:1000 --initTime 2016-09-14T16:16:14 --startdatetime 2016-09-14T16:21:36 --delay 1 --endMP 300:58984 --enddatetime 2016-09-14T16:36:28 --enforcementcount 0 &gt;&gt;C:\Users\stu\Documents\GitHub\eaglep3-reporting\EC\2016-09-14-refined-times.txt</v>
      </c>
      <c r="AI188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{"issue":{"subject":"","project_id":79,"tracker_id":40,"status_id":1,"priority_id":2,"assigned_to_id":23,"start_date":"2016-09-14","description":"","custom_fields":[{"id":1,"name":"Subdivision","value":"NW"},{"id":4,"name":"Milepost","value":"5.8984"},{"id":17,"name":"Train ID","value":"829-14"},{"id":16,"name":"Locomotive ID","value":"4020"},{"id":130,"name":"Impact","value":""},{"id":150,"name":"Time of Event (Mountain Time)","value":"16:36:28"},{"id":151,"name":"Denver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527</v>
      </c>
      <c r="B189" s="7">
        <v>4019</v>
      </c>
      <c r="C189" s="24" t="s">
        <v>108</v>
      </c>
      <c r="D189" s="24" t="s">
        <v>674</v>
      </c>
      <c r="E189" s="15">
        <v>42627.693553240744</v>
      </c>
      <c r="F189" s="15">
        <v>42627.695370370369</v>
      </c>
      <c r="G189" s="7">
        <v>1</v>
      </c>
      <c r="H189" s="15" t="s">
        <v>287</v>
      </c>
      <c r="I189" s="15">
        <v>42627.70653935185</v>
      </c>
      <c r="J189" s="7">
        <v>0</v>
      </c>
      <c r="K189" s="121" t="str">
        <f t="shared" si="55"/>
        <v>4019/4020</v>
      </c>
      <c r="L189" s="24" t="str">
        <f>VLOOKUP(A189,'Trips&amp;Operators'!$C$1:$E$10000,3,FALSE)</f>
        <v>MOSES</v>
      </c>
      <c r="M189" s="6">
        <f t="shared" si="56"/>
        <v>1.116898148029577E-2</v>
      </c>
      <c r="N189" s="7">
        <f t="shared" si="71"/>
        <v>16.083333331625909</v>
      </c>
      <c r="O189" s="7"/>
      <c r="P189" s="7"/>
      <c r="Q189" s="25"/>
      <c r="R189" s="25"/>
      <c r="S189" s="37">
        <f t="shared" si="72"/>
        <v>1</v>
      </c>
      <c r="T189" s="52" t="str">
        <f t="shared" si="57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15:38:43-0600',mode:absolute,to:'2016-09-14 17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9" s="54" t="str">
        <f t="shared" si="69"/>
        <v>N</v>
      </c>
      <c r="X189" s="168">
        <f t="shared" si="73"/>
        <v>1</v>
      </c>
      <c r="Y189" s="69">
        <f t="shared" si="68"/>
        <v>5.8677000000000001</v>
      </c>
      <c r="Z189" s="69">
        <f t="shared" si="66"/>
        <v>6.6799999999999998E-2</v>
      </c>
      <c r="AA189" s="69">
        <f t="shared" si="59"/>
        <v>5.8009000000000004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60"/>
        <v>0830-14</v>
      </c>
      <c r="AE189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89" s="96" t="str">
        <f t="shared" si="62"/>
        <v>"C:\Program Files (x86)\AstroGrep\AstroGrep.exe" /spath="%USERPROFILE%\AppData\Local\Temp\OnboardLogs" /stypes="app*4019*20160914*" /stext=" 22:.+((SYSTEM_STATE.+slice.+state.+changed )|(ment ac)|(system.+state.+changed )|(\|lc)|(penalty)|(\[timeout)|(PRM\|1\|D)|(kpr)|(kdp))" /e /r /s</v>
      </c>
      <c r="AG189" s="1" t="str">
        <f t="shared" si="63"/>
        <v>NW</v>
      </c>
      <c r="AH189" s="100" t="str">
        <f t="shared" si="64"/>
        <v>"%USERPROFILE%\Documents\GitHub\eaglep3\Utilities\RefineRTDCRunTimes.py" --tripid 830-14 --locoid 4019 --swversion DE.1.0.7.0 --startMP 300:58677 --initTime 2016-09-14T16:38:43 --startdatetime 2016-09-14T16:41:20 --delay 1 --endMP 204:668 --enddatetime 2016-09-14T16:57:25 --enforcementcount 0 &gt;&gt;C:\Users\stu\Documents\GitHub\eaglep3-reporting\EC\2016-09-14-refined-times.txt</v>
      </c>
      <c r="AI189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{"issue":{"subject":"","project_id":79,"tracker_id":40,"status_id":1,"priority_id":2,"assigned_to_id":23,"start_date":"2016-09-14","description":"","custom_fields":[{"id":1,"name":"Subdivision","value":"NW"},{"id":4,"name":"Milepost","value":"0.0668"},{"id":17,"name":"Train ID","value":"830-14"},{"id":16,"name":"Locomotive ID","value":"4019"},{"id":130,"name":"Impact","value":""},{"id":150,"name":"Time of Event (Mountain Time)","value":"16:57:25"},{"id":151,"name":"Denver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528</v>
      </c>
      <c r="B190" s="7">
        <v>4025</v>
      </c>
      <c r="C190" s="24" t="s">
        <v>108</v>
      </c>
      <c r="D190" s="24" t="s">
        <v>373</v>
      </c>
      <c r="E190" s="15">
        <v>42627.699050925927</v>
      </c>
      <c r="F190" s="15">
        <v>42627.702268518522</v>
      </c>
      <c r="G190" s="7">
        <v>1</v>
      </c>
      <c r="H190" s="15" t="s">
        <v>710</v>
      </c>
      <c r="I190" s="15">
        <v>42627.71303240741</v>
      </c>
      <c r="J190" s="7">
        <v>0</v>
      </c>
      <c r="K190" s="121" t="str">
        <f t="shared" si="55"/>
        <v>4025/4026</v>
      </c>
      <c r="L190" s="24" t="str">
        <f>VLOOKUP(A190,'Trips&amp;Operators'!$C$1:$E$10000,3,FALSE)</f>
        <v>DELGADO</v>
      </c>
      <c r="M190" s="6">
        <f t="shared" si="56"/>
        <v>1.0763888887595385E-2</v>
      </c>
      <c r="N190" s="7">
        <f t="shared" si="71"/>
        <v>15.499999998137355</v>
      </c>
      <c r="O190" s="7"/>
      <c r="P190" s="7"/>
      <c r="Q190" s="25"/>
      <c r="R190" s="25"/>
      <c r="S190" s="37">
        <f t="shared" si="72"/>
        <v>1</v>
      </c>
      <c r="T190" s="52" t="str">
        <f t="shared" si="57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15:46:38-0600',mode:absolute,to:'2016-09-14 18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0" s="54" t="str">
        <f t="shared" si="69"/>
        <v>N</v>
      </c>
      <c r="X190" s="168">
        <f t="shared" si="73"/>
        <v>1</v>
      </c>
      <c r="Y190" s="69">
        <f t="shared" si="68"/>
        <v>9.8100000000000007E-2</v>
      </c>
      <c r="Z190" s="69">
        <f t="shared" si="66"/>
        <v>5.8964999999999996</v>
      </c>
      <c r="AA190" s="69">
        <f t="shared" si="59"/>
        <v>5.7984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60"/>
        <v>0831-14</v>
      </c>
      <c r="AE190" s="99" t="str">
        <f t="shared" si="61"/>
        <v>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 &amp; 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</v>
      </c>
      <c r="AF190" s="96" t="str">
        <f t="shared" si="62"/>
        <v>"C:\Program Files (x86)\AstroGrep\AstroGrep.exe" /spath="%USERPROFILE%\AppData\Local\Temp\OnboardLogs" /stypes="app*4025*20160914*" /stext=" 23:.+((SYSTEM_STATE.+slice.+state.+changed )|(ment ac)|(system.+state.+changed )|(\|lc)|(penalty)|(\[timeout)|(PRM\|1\|D)|(kpr)|(kdp))" /e /r /s</v>
      </c>
      <c r="AG190" s="1" t="str">
        <f t="shared" si="63"/>
        <v>NW</v>
      </c>
      <c r="AH190" s="100" t="str">
        <f t="shared" si="64"/>
        <v>"%USERPROFILE%\Documents\GitHub\eaglep3\Utilities\RefineRTDCRunTimes.py" --tripid 831-14 --locoid 4025 --swversion DE.1.0.7.0 --startMP 204:981 --initTime 2016-09-14T16:46:38 --startdatetime 2016-09-14T16:51:16 --delay 1 --endMP 300:58965 --enddatetime 2016-09-14T17:06:46 --enforcementcount 0 &gt;&gt;C:\Users\stu\Documents\GitHub\eaglep3-reporting\EC\2016-09-14-refined-times.txt</v>
      </c>
      <c r="AI190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{"issue":{"subject":"","project_id":79,"tracker_id":40,"status_id":1,"priority_id":2,"assigned_to_id":23,"start_date":"2016-09-14","description":"","custom_fields":[{"id":1,"name":"Subdivision","value":"NW"},{"id":4,"name":"Milepost","value":"5.8965"},{"id":17,"name":"Train ID","value":"831-14"},{"id":16,"name":"Locomotive ID","value":"4025"},{"id":130,"name":"Impact","value":""},{"id":150,"name":"Time of Event (Mountain Time)","value":"17:06:46"},{"id":151,"name":"Denver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532</v>
      </c>
      <c r="B191" s="7">
        <v>4026</v>
      </c>
      <c r="C191" s="24" t="s">
        <v>108</v>
      </c>
      <c r="D191" s="24" t="s">
        <v>711</v>
      </c>
      <c r="E191" s="15">
        <v>42627.714224537034</v>
      </c>
      <c r="F191" s="15">
        <v>42627.715509259258</v>
      </c>
      <c r="G191" s="7">
        <v>1</v>
      </c>
      <c r="H191" s="15" t="s">
        <v>712</v>
      </c>
      <c r="I191" s="15">
        <v>42627.727164351854</v>
      </c>
      <c r="J191" s="7">
        <v>0</v>
      </c>
      <c r="K191" s="121" t="str">
        <f t="shared" si="55"/>
        <v>4025/4026</v>
      </c>
      <c r="L191" s="24" t="str">
        <f>VLOOKUP(A191,'Trips&amp;Operators'!$C$1:$E$10000,3,FALSE)</f>
        <v>DELGADO</v>
      </c>
      <c r="M191" s="6">
        <f t="shared" si="56"/>
        <v>1.1655092595901806E-2</v>
      </c>
      <c r="N191" s="7">
        <f t="shared" si="71"/>
        <v>16.783333338098601</v>
      </c>
      <c r="O191" s="7"/>
      <c r="P191" s="7"/>
      <c r="Q191" s="25"/>
      <c r="R191" s="25"/>
      <c r="S191" s="37">
        <f t="shared" si="72"/>
        <v>1</v>
      </c>
      <c r="T191" s="52" t="str">
        <f t="shared" si="57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16:08:29-0600',mode:absolute,to:'2016-09-14 18:27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1" s="54" t="str">
        <f t="shared" si="69"/>
        <v>N</v>
      </c>
      <c r="X191" s="168">
        <f t="shared" si="73"/>
        <v>1</v>
      </c>
      <c r="Y191" s="69">
        <f t="shared" si="68"/>
        <v>5.8651</v>
      </c>
      <c r="Z191" s="69">
        <f t="shared" si="66"/>
        <v>6.7299999999999999E-2</v>
      </c>
      <c r="AA191" s="69">
        <f t="shared" si="59"/>
        <v>5.7977999999999996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60"/>
        <v>0832-14</v>
      </c>
      <c r="AE191" s="99" t="str">
        <f t="shared" si="61"/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AF191" s="96" t="str">
        <f t="shared" si="62"/>
        <v>"C:\Program Files (x86)\AstroGrep\AstroGrep.exe" /spath="%USERPROFILE%\AppData\Local\Temp\OnboardLogs" /stypes="app*4026*20160914*" /stext=" 23:.+((SYSTEM_STATE.+slice.+state.+changed )|(ment ac)|(system.+state.+changed )|(\|lc)|(penalty)|(\[timeout)|(PRM\|1\|D)|(kpr)|(kdp))" /e /r /s</v>
      </c>
      <c r="AG191" s="1" t="str">
        <f t="shared" si="63"/>
        <v>NW</v>
      </c>
      <c r="AH191" s="100" t="str">
        <f t="shared" si="64"/>
        <v>"%USERPROFILE%\Documents\GitHub\eaglep3\Utilities\RefineRTDCRunTimes.py" --tripid 832-14 --locoid 4026 --swversion DE.1.0.7.0 --startMP 300:58651 --initTime 2016-09-14T17:08:29 --startdatetime 2016-09-14T17:10:20 --delay 1 --endMP 204:673 --enddatetime 2016-09-14T17:27:07 --enforcementcount 0 &gt;&gt;C:\Users\stu\Documents\GitHub\eaglep3-reporting\EC\2016-09-14-refined-times.txt</v>
      </c>
      <c r="AI191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{"issue":{"subject":"","project_id":79,"tracker_id":40,"status_id":1,"priority_id":2,"assigned_to_id":23,"start_date":"2016-09-14","description":"","custom_fields":[{"id":1,"name":"Subdivision","value":"NW"},{"id":4,"name":"Milepost","value":"0.0673"},{"id":17,"name":"Train ID","value":"832-14"},{"id":16,"name":"Locomotive ID","value":"4026"},{"id":130,"name":"Impact","value":""},{"id":150,"name":"Time of Event (Mountain Time)","value":"17:27:07"},{"id":151,"name":"Denver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536</v>
      </c>
      <c r="B192" s="7">
        <v>4020</v>
      </c>
      <c r="C192" s="24" t="s">
        <v>108</v>
      </c>
      <c r="D192" s="24" t="s">
        <v>713</v>
      </c>
      <c r="E192" s="15">
        <v>42627.719386574077</v>
      </c>
      <c r="F192" s="15">
        <v>42627.723171296297</v>
      </c>
      <c r="G192" s="7">
        <v>1</v>
      </c>
      <c r="H192" s="15" t="s">
        <v>709</v>
      </c>
      <c r="I192" s="15">
        <v>42627.733564814815</v>
      </c>
      <c r="J192" s="7">
        <v>0</v>
      </c>
      <c r="K192" s="121" t="str">
        <f t="shared" si="55"/>
        <v>4019/4020</v>
      </c>
      <c r="L192" s="24" t="str">
        <f>VLOOKUP(A192,'Trips&amp;Operators'!$C$1:$E$10000,3,FALSE)</f>
        <v>MOSES</v>
      </c>
      <c r="M192" s="6">
        <f t="shared" si="56"/>
        <v>1.0393518517958E-2</v>
      </c>
      <c r="N192" s="7">
        <f t="shared" si="71"/>
        <v>14.96666666585952</v>
      </c>
      <c r="O192" s="7"/>
      <c r="P192" s="7"/>
      <c r="Q192" s="25"/>
      <c r="R192" s="25"/>
      <c r="S192" s="37">
        <f t="shared" si="72"/>
        <v>1</v>
      </c>
      <c r="T192" s="52" t="str">
        <f t="shared" si="57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16:15:55-0600',mode:absolute,to:'2016-09-14 18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2" s="54" t="str">
        <f t="shared" si="69"/>
        <v>N</v>
      </c>
      <c r="X192" s="168">
        <f t="shared" si="73"/>
        <v>1</v>
      </c>
      <c r="Y192" s="69">
        <f t="shared" si="68"/>
        <v>9.6000000000000002E-2</v>
      </c>
      <c r="Z192" s="69">
        <f t="shared" si="66"/>
        <v>5.8983999999999996</v>
      </c>
      <c r="AA192" s="69">
        <f t="shared" si="59"/>
        <v>5.8023999999999996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60"/>
        <v>0833-14</v>
      </c>
      <c r="AE192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92" s="96" t="str">
        <f t="shared" si="62"/>
        <v>"C:\Program Files (x86)\AstroGrep\AstroGrep.exe" /spath="%USERPROFILE%\AppData\Local\Temp\OnboardLogs" /stypes="app*4020*20160914*" /stext=" 23:.+((SYSTEM_STATE.+slice.+state.+changed )|(ment ac)|(system.+state.+changed )|(\|lc)|(penalty)|(\[timeout)|(PRM\|1\|D)|(kpr)|(kdp))" /e /r /s</v>
      </c>
      <c r="AG192" s="1" t="str">
        <f t="shared" si="63"/>
        <v>NW</v>
      </c>
      <c r="AH192" s="100" t="str">
        <f t="shared" si="64"/>
        <v>"%USERPROFILE%\Documents\GitHub\eaglep3\Utilities\RefineRTDCRunTimes.py" --tripid 833-14 --locoid 4020 --swversion DE.1.0.7.0 --startMP 204:960 --initTime 2016-09-14T17:15:55 --startdatetime 2016-09-14T17:21:22 --delay 1 --endMP 300:58984 --enddatetime 2016-09-14T17:36:20 --enforcementcount 0 &gt;&gt;C:\Users\stu\Documents\GitHub\eaglep3-reporting\EC\2016-09-14-refined-times.txt</v>
      </c>
      <c r="AI192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{"issue":{"subject":"","project_id":79,"tracker_id":40,"status_id":1,"priority_id":2,"assigned_to_id":23,"start_date":"2016-09-14","description":"","custom_fields":[{"id":1,"name":"Subdivision","value":"NW"},{"id":4,"name":"Milepost","value":"5.8984"},{"id":17,"name":"Train ID","value":"833-14"},{"id":16,"name":"Locomotive ID","value":"4020"},{"id":130,"name":"Impact","value":""},{"id":150,"name":"Time of Event (Mountain Time)","value":"17:36:20"},{"id":151,"name":"Denver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540</v>
      </c>
      <c r="B193" s="7">
        <v>4019</v>
      </c>
      <c r="C193" s="24" t="s">
        <v>108</v>
      </c>
      <c r="D193" s="24" t="s">
        <v>714</v>
      </c>
      <c r="E193" s="15">
        <v>42627.734872685185</v>
      </c>
      <c r="F193" s="15">
        <v>42627.736446759256</v>
      </c>
      <c r="G193" s="7">
        <v>1</v>
      </c>
      <c r="H193" s="15" t="s">
        <v>369</v>
      </c>
      <c r="I193" s="15">
        <v>42627.747870370367</v>
      </c>
      <c r="J193" s="7">
        <v>0</v>
      </c>
      <c r="K193" s="121" t="str">
        <f t="shared" si="55"/>
        <v>4019/4020</v>
      </c>
      <c r="L193" s="24" t="str">
        <f>VLOOKUP(A193,'Trips&amp;Operators'!$C$1:$E$10000,3,FALSE)</f>
        <v>MOSES</v>
      </c>
      <c r="M193" s="6">
        <f t="shared" si="56"/>
        <v>1.1423611111240461E-2</v>
      </c>
      <c r="N193" s="7">
        <f t="shared" si="71"/>
        <v>16.450000000186265</v>
      </c>
      <c r="O193" s="7"/>
      <c r="P193" s="7"/>
      <c r="Q193" s="25"/>
      <c r="R193" s="25"/>
      <c r="S193" s="37">
        <f t="shared" si="72"/>
        <v>1</v>
      </c>
      <c r="T193" s="52" t="str">
        <f t="shared" si="57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16:38:13-0600',mode:absolute,to:'2016-09-14 18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3" s="54" t="str">
        <f t="shared" si="69"/>
        <v>N</v>
      </c>
      <c r="X193" s="168">
        <f t="shared" ref="X193:X198" si="74">VALUE(LEFT(AD193,4))-VALUE(LEFT(AD192,4))</f>
        <v>1</v>
      </c>
      <c r="Y193" s="69">
        <f t="shared" si="68"/>
        <v>5.8673000000000002</v>
      </c>
      <c r="Z193" s="69">
        <f t="shared" si="66"/>
        <v>7.1199999999999999E-2</v>
      </c>
      <c r="AA193" s="69">
        <f t="shared" si="59"/>
        <v>5.7961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60"/>
        <v>0834-14</v>
      </c>
      <c r="AE193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93" s="96" t="str">
        <f t="shared" si="62"/>
        <v>"C:\Program Files (x86)\AstroGrep\AstroGrep.exe" /spath="%USERPROFILE%\AppData\Local\Temp\OnboardLogs" /stypes="app*4019*20160914*" /stext=" 23:.+((SYSTEM_STATE.+slice.+state.+changed )|(ment ac)|(system.+state.+changed )|(\|lc)|(penalty)|(\[timeout)|(PRM\|1\|D)|(kpr)|(kdp))" /e /r /s</v>
      </c>
      <c r="AG193" s="1" t="str">
        <f t="shared" si="63"/>
        <v>NW</v>
      </c>
      <c r="AH193" s="100" t="str">
        <f t="shared" si="64"/>
        <v>"%USERPROFILE%\Documents\GitHub\eaglep3\Utilities\RefineRTDCRunTimes.py" --tripid 834-14 --locoid 4019 --swversion DE.1.0.7.0 --startMP 300:58673 --initTime 2016-09-14T17:38:13 --startdatetime 2016-09-14T17:40:29 --delay 1 --endMP 204:712 --enddatetime 2016-09-14T17:56:56 --enforcementcount 0 &gt;&gt;C:\Users\stu\Documents\GitHub\eaglep3-reporting\EC\2016-09-14-refined-times.txt</v>
      </c>
      <c r="AI193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{"issue":{"subject":"","project_id":79,"tracker_id":40,"status_id":1,"priority_id":2,"assigned_to_id":23,"start_date":"2016-09-14","description":"","custom_fields":[{"id":1,"name":"Subdivision","value":"NW"},{"id":4,"name":"Milepost","value":"0.0712"},{"id":17,"name":"Train ID","value":"834-14"},{"id":16,"name":"Locomotive ID","value":"4019"},{"id":130,"name":"Impact","value":""},{"id":150,"name":"Time of Event (Mountain Time)","value":"17:56:56"},{"id":151,"name":"Denver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542</v>
      </c>
      <c r="B194" s="7">
        <v>4025</v>
      </c>
      <c r="C194" s="24" t="s">
        <v>108</v>
      </c>
      <c r="D194" s="24" t="s">
        <v>672</v>
      </c>
      <c r="E194" s="15">
        <v>42627.741238425922</v>
      </c>
      <c r="F194" s="15">
        <v>42627.744027777779</v>
      </c>
      <c r="G194" s="7">
        <v>1</v>
      </c>
      <c r="H194" s="15" t="s">
        <v>331</v>
      </c>
      <c r="I194" s="15">
        <v>42627.755115740743</v>
      </c>
      <c r="J194" s="7">
        <v>0</v>
      </c>
      <c r="K194" s="121" t="str">
        <f t="shared" si="55"/>
        <v>4025/4026</v>
      </c>
      <c r="L194" s="24" t="str">
        <f>VLOOKUP(A194,'Trips&amp;Operators'!$C$1:$E$10000,3,FALSE)</f>
        <v>DELGADO</v>
      </c>
      <c r="M194" s="6">
        <f t="shared" si="56"/>
        <v>1.1087962964666076E-2</v>
      </c>
      <c r="N194" s="7">
        <f t="shared" si="71"/>
        <v>15.966666669119149</v>
      </c>
      <c r="O194" s="7"/>
      <c r="P194" s="7"/>
      <c r="Q194" s="25"/>
      <c r="R194" s="25"/>
      <c r="S194" s="37">
        <f t="shared" si="72"/>
        <v>1</v>
      </c>
      <c r="T194" s="52" t="str">
        <f t="shared" si="57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16:47:23-0600',mode:absolute,to:'2016-09-14 19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4" s="54" t="str">
        <f t="shared" si="69"/>
        <v>N</v>
      </c>
      <c r="X194" s="168">
        <f t="shared" si="74"/>
        <v>1</v>
      </c>
      <c r="Y194" s="69">
        <f t="shared" si="68"/>
        <v>9.6199999999999994E-2</v>
      </c>
      <c r="Z194" s="69">
        <f t="shared" si="66"/>
        <v>5.8930999999999996</v>
      </c>
      <c r="AA194" s="69">
        <f t="shared" si="59"/>
        <v>5.7968999999999999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60"/>
        <v>0835-14</v>
      </c>
      <c r="AE194" s="99" t="str">
        <f t="shared" si="61"/>
        <v>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 &amp; 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</v>
      </c>
      <c r="AF194" s="96" t="str">
        <f t="shared" si="62"/>
        <v>"C:\Program Files (x86)\AstroGrep\AstroGrep.exe" /spath="%USERPROFILE%\AppData\Local\Temp\OnboardLogs" /stypes="app*4025*20160915*" /stext=" 00:.+((SYSTEM_STATE.+slice.+state.+changed )|(ment ac)|(system.+state.+changed )|(\|lc)|(penalty)|(\[timeout)|(PRM\|1\|D)|(kpr)|(kdp))" /e /r /s</v>
      </c>
      <c r="AG194" s="1" t="str">
        <f t="shared" si="63"/>
        <v>NW</v>
      </c>
      <c r="AH194" s="100" t="str">
        <f t="shared" si="64"/>
        <v>"%USERPROFILE%\Documents\GitHub\eaglep3\Utilities\RefineRTDCRunTimes.py" --tripid 835-14 --locoid 4025 --swversion DE.1.0.7.0 --startMP 204:962 --initTime 2016-09-14T17:47:23 --startdatetime 2016-09-14T17:51:24 --delay 1 --endMP 300:58931 --enddatetime 2016-09-14T18:07:22 --enforcementcount 0 &gt;&gt;C:\Users\stu\Documents\GitHub\eaglep3-reporting\EC\2016-09-14-refined-times.txt</v>
      </c>
      <c r="AI194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{"issue":{"subject":"","project_id":79,"tracker_id":40,"status_id":1,"priority_id":2,"assigned_to_id":23,"start_date":"2016-09-14","description":"","custom_fields":[{"id":1,"name":"Subdivision","value":"NW"},{"id":4,"name":"Milepost","value":"5.8931"},{"id":17,"name":"Train ID","value":"835-14"},{"id":16,"name":"Locomotive ID","value":"4025"},{"id":130,"name":"Impact","value":""},{"id":150,"name":"Time of Event (Mountain Time)","value":"18:07:22"},{"id":151,"name":"Denver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548</v>
      </c>
      <c r="B195" s="7">
        <v>4026</v>
      </c>
      <c r="C195" s="24" t="s">
        <v>108</v>
      </c>
      <c r="D195" s="24" t="s">
        <v>329</v>
      </c>
      <c r="E195" s="15">
        <v>42627.756516203706</v>
      </c>
      <c r="F195" s="15">
        <v>42627.758113425924</v>
      </c>
      <c r="G195" s="7">
        <v>1</v>
      </c>
      <c r="H195" s="15" t="s">
        <v>715</v>
      </c>
      <c r="I195" s="15">
        <v>42627.76871527778</v>
      </c>
      <c r="J195" s="7">
        <v>0</v>
      </c>
      <c r="K195" s="121" t="str">
        <f t="shared" si="55"/>
        <v>4025/4026</v>
      </c>
      <c r="L195" s="24" t="str">
        <f>VLOOKUP(A195,'Trips&amp;Operators'!$C$1:$E$10000,3,FALSE)</f>
        <v>DELGADO</v>
      </c>
      <c r="M195" s="6">
        <f t="shared" si="56"/>
        <v>1.0601851856335998E-2</v>
      </c>
      <c r="N195" s="7">
        <f t="shared" si="71"/>
        <v>15.266666673123837</v>
      </c>
      <c r="O195" s="7"/>
      <c r="P195" s="7"/>
      <c r="Q195" s="25"/>
      <c r="R195" s="25"/>
      <c r="S195" s="37">
        <f t="shared" si="72"/>
        <v>1</v>
      </c>
      <c r="T195" s="52" t="str">
        <f t="shared" si="57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17:09:23-0600',mode:absolute,to:'2016-09-14 19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5" s="54" t="str">
        <f t="shared" si="69"/>
        <v>N</v>
      </c>
      <c r="X195" s="168">
        <f t="shared" si="74"/>
        <v>1</v>
      </c>
      <c r="Y195" s="69">
        <f t="shared" si="68"/>
        <v>5.8616999999999999</v>
      </c>
      <c r="Z195" s="69">
        <f t="shared" si="66"/>
        <v>7.2599999999999998E-2</v>
      </c>
      <c r="AA195" s="69">
        <f t="shared" si="59"/>
        <v>5.7890999999999995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60"/>
        <v>0836-14</v>
      </c>
      <c r="AE195" s="99" t="str">
        <f t="shared" si="61"/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AF195" s="96" t="str">
        <f t="shared" si="62"/>
        <v>"C:\Program Files (x86)\AstroGrep\AstroGrep.exe" /spath="%USERPROFILE%\AppData\Local\Temp\OnboardLogs" /stypes="app*4026*20160915*" /stext=" 00:.+((SYSTEM_STATE.+slice.+state.+changed )|(ment ac)|(system.+state.+changed )|(\|lc)|(penalty)|(\[timeout)|(PRM\|1\|D)|(kpr)|(kdp))" /e /r /s</v>
      </c>
      <c r="AG195" s="1" t="str">
        <f t="shared" si="63"/>
        <v>NW</v>
      </c>
      <c r="AH195" s="100" t="str">
        <f t="shared" si="64"/>
        <v>"%USERPROFILE%\Documents\GitHub\eaglep3\Utilities\RefineRTDCRunTimes.py" --tripid 836-14 --locoid 4026 --swversion DE.1.0.7.0 --startMP 300:58617 --initTime 2016-09-14T18:09:23 --startdatetime 2016-09-14T18:11:41 --delay 1 --endMP 204:726 --enddatetime 2016-09-14T18:26:57 --enforcementcount 0 &gt;&gt;C:\Users\stu\Documents\GitHub\eaglep3-reporting\EC\2016-09-14-refined-times.txt</v>
      </c>
      <c r="AI195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{"issue":{"subject":"","project_id":79,"tracker_id":40,"status_id":1,"priority_id":2,"assigned_to_id":23,"start_date":"2016-09-14","description":"","custom_fields":[{"id":1,"name":"Subdivision","value":"NW"},{"id":4,"name":"Milepost","value":"0.0726"},{"id":17,"name":"Train ID","value":"836-14"},{"id":16,"name":"Locomotive ID","value":"4026"},{"id":130,"name":"Impact","value":""},{"id":150,"name":"Time of Event (Mountain Time)","value":"18:26:57"},{"id":151,"name":"Denver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549</v>
      </c>
      <c r="B196" s="7">
        <v>4020</v>
      </c>
      <c r="C196" s="24" t="s">
        <v>108</v>
      </c>
      <c r="D196" s="24" t="s">
        <v>716</v>
      </c>
      <c r="E196" s="15">
        <v>42627.761481481481</v>
      </c>
      <c r="F196" s="15">
        <v>42627.764826388891</v>
      </c>
      <c r="G196" s="7">
        <v>1</v>
      </c>
      <c r="H196" s="15" t="s">
        <v>379</v>
      </c>
      <c r="I196" s="15">
        <v>42627.77449074074</v>
      </c>
      <c r="J196" s="7">
        <v>0</v>
      </c>
      <c r="K196" s="121" t="str">
        <f t="shared" si="55"/>
        <v>4019/4020</v>
      </c>
      <c r="L196" s="24" t="str">
        <f>VLOOKUP(A196,'Trips&amp;Operators'!$C$1:$E$10000,3,FALSE)</f>
        <v>MOSES</v>
      </c>
      <c r="M196" s="6">
        <f t="shared" si="56"/>
        <v>9.6643518481869251E-3</v>
      </c>
      <c r="N196" s="7">
        <f t="shared" si="71"/>
        <v>13.916666661389172</v>
      </c>
      <c r="O196" s="7"/>
      <c r="P196" s="7"/>
      <c r="Q196" s="25"/>
      <c r="R196" s="25"/>
      <c r="S196" s="37">
        <f t="shared" si="72"/>
        <v>1</v>
      </c>
      <c r="T196" s="52" t="str">
        <f t="shared" si="57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17:16:32-0600',mode:absolute,to:'2016-09-14 19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6" s="54" t="str">
        <f t="shared" si="69"/>
        <v>N</v>
      </c>
      <c r="X196" s="168">
        <f t="shared" si="74"/>
        <v>1</v>
      </c>
      <c r="Y196" s="69">
        <f t="shared" ref="Y196:Y218" si="75">RIGHT(D196,LEN(D196)-4)/10000</f>
        <v>0.1007</v>
      </c>
      <c r="Z196" s="69">
        <f t="shared" si="66"/>
        <v>5.8948</v>
      </c>
      <c r="AA196" s="69">
        <f t="shared" si="59"/>
        <v>5.7941000000000003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60"/>
        <v>0837-14</v>
      </c>
      <c r="AE196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196" s="96" t="str">
        <f t="shared" si="62"/>
        <v>"C:\Program Files (x86)\AstroGrep\AstroGrep.exe" /spath="%USERPROFILE%\AppData\Local\Temp\OnboardLogs" /stypes="app*4020*20160915*" /stext=" 00:.+((SYSTEM_STATE.+slice.+state.+changed )|(ment ac)|(system.+state.+changed )|(\|lc)|(penalty)|(\[timeout)|(PRM\|1\|D)|(kpr)|(kdp))" /e /r /s</v>
      </c>
      <c r="AG196" s="1" t="str">
        <f t="shared" si="63"/>
        <v>NW</v>
      </c>
      <c r="AH196" s="100" t="str">
        <f t="shared" si="64"/>
        <v>"%USERPROFILE%\Documents\GitHub\eaglep3\Utilities\RefineRTDCRunTimes.py" --tripid 837-14 --locoid 4020 --swversion DE.1.0.7.0 --startMP 204:1007 --initTime 2016-09-14T18:16:32 --startdatetime 2016-09-14T18:21:21 --delay 1 --endMP 300:58948 --enddatetime 2016-09-14T18:35:16 --enforcementcount 0 &gt;&gt;C:\Users\stu\Documents\GitHub\eaglep3-reporting\EC\2016-09-14-refined-times.txt</v>
      </c>
      <c r="AI196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{"issue":{"subject":"","project_id":79,"tracker_id":40,"status_id":1,"priority_id":2,"assigned_to_id":23,"start_date":"2016-09-14","description":"","custom_fields":[{"id":1,"name":"Subdivision","value":"NW"},{"id":4,"name":"Milepost","value":"5.8948"},{"id":17,"name":"Train ID","value":"837-14"},{"id":16,"name":"Locomotive ID","value":"4020"},{"id":130,"name":"Impact","value":""},{"id":150,"name":"Time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554</v>
      </c>
      <c r="B197" s="7">
        <v>4019</v>
      </c>
      <c r="C197" s="24" t="s">
        <v>108</v>
      </c>
      <c r="D197" s="24" t="s">
        <v>375</v>
      </c>
      <c r="E197" s="15">
        <v>42627.775902777779</v>
      </c>
      <c r="F197" s="15">
        <v>42627.77752314815</v>
      </c>
      <c r="G197" s="7">
        <v>1</v>
      </c>
      <c r="H197" s="15" t="s">
        <v>703</v>
      </c>
      <c r="I197" s="15">
        <v>42627.789861111109</v>
      </c>
      <c r="J197" s="7">
        <v>0</v>
      </c>
      <c r="K197" s="121" t="str">
        <f t="shared" si="55"/>
        <v>4019/4020</v>
      </c>
      <c r="L197" s="24" t="str">
        <f>VLOOKUP(A197,'Trips&amp;Operators'!$C$1:$E$10000,3,FALSE)</f>
        <v>MOSES</v>
      </c>
      <c r="M197" s="6">
        <f t="shared" si="56"/>
        <v>1.2337962958554272E-2</v>
      </c>
      <c r="N197" s="7">
        <f t="shared" si="71"/>
        <v>17.766666660318151</v>
      </c>
      <c r="O197" s="7"/>
      <c r="P197" s="7"/>
      <c r="Q197" s="25"/>
      <c r="R197" s="25"/>
      <c r="S197" s="37">
        <f t="shared" si="72"/>
        <v>1</v>
      </c>
      <c r="T197" s="52" t="str">
        <f t="shared" si="57"/>
        <v>Southbound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17:37:18-0600',mode:absolute,to:'2016-09-14 19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7" s="54" t="str">
        <f t="shared" ref="W197:W218" si="76">IF(AA197&lt;IF(AG197="EC",23,5.65),"Y","N")</f>
        <v>N</v>
      </c>
      <c r="X197" s="168">
        <f t="shared" si="74"/>
        <v>1</v>
      </c>
      <c r="Y197" s="69">
        <f t="shared" si="75"/>
        <v>5.8632</v>
      </c>
      <c r="Z197" s="69">
        <f t="shared" si="66"/>
        <v>6.5600000000000006E-2</v>
      </c>
      <c r="AA197" s="69">
        <f t="shared" si="59"/>
        <v>5.7976000000000001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60"/>
        <v>0838-14</v>
      </c>
      <c r="AE197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97" s="96" t="str">
        <f t="shared" si="62"/>
        <v>"C:\Program Files (x86)\AstroGrep\AstroGrep.exe" /spath="%USERPROFILE%\AppData\Local\Temp\OnboardLogs" /stypes="app*4019*20160915*" /stext=" 00:.+((SYSTEM_STATE.+slice.+state.+changed )|(ment ac)|(system.+state.+changed )|(\|lc)|(penalty)|(\[timeout)|(PRM\|1\|D)|(kpr)|(kdp))" /e /r /s</v>
      </c>
      <c r="AG197" s="1" t="str">
        <f t="shared" si="63"/>
        <v>NW</v>
      </c>
      <c r="AH197" s="100" t="str">
        <f t="shared" si="64"/>
        <v>"%USERPROFILE%\Documents\GitHub\eaglep3\Utilities\RefineRTDCRunTimes.py" --tripid 838-14 --locoid 4019 --swversion DE.1.0.7.0 --startMP 300:58632 --initTime 2016-09-14T18:37:18 --startdatetime 2016-09-14T18:39:38 --delay 1 --endMP 204:656 --enddatetime 2016-09-14T18:57:24 --enforcementcount 0 &gt;&gt;C:\Users\stu\Documents\GitHub\eaglep3-reporting\EC\2016-09-14-refined-times.txt</v>
      </c>
      <c r="AI197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{"issue":{"subject":"","project_id":79,"tracker_id":40,"status_id":1,"priority_id":2,"assigned_to_id":23,"start_date":"2016-09-14","description":"","custom_fields":[{"id":1,"name":"Subdivision","value":"NW"},{"id":4,"name":"Milepost","value":"0.0656"},{"id":17,"name":"Train ID","value":"838-14"},{"id":16,"name":"Locomotive ID","value":"4019"},{"id":130,"name":"Impact","value":""},{"id":150,"name":"Time of Event (Mountain Time)","value":"18:57:24"},{"id":151,"name":"Denver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557</v>
      </c>
      <c r="B198" s="7">
        <v>4025</v>
      </c>
      <c r="C198" s="24" t="s">
        <v>108</v>
      </c>
      <c r="D198" s="24" t="s">
        <v>717</v>
      </c>
      <c r="E198" s="15">
        <v>42627.782962962963</v>
      </c>
      <c r="F198" s="15">
        <v>42627.785601851851</v>
      </c>
      <c r="G198" s="7">
        <v>1</v>
      </c>
      <c r="H198" s="15" t="s">
        <v>682</v>
      </c>
      <c r="I198" s="15">
        <v>42627.796030092592</v>
      </c>
      <c r="J198" s="7">
        <v>0</v>
      </c>
      <c r="K198" s="121" t="str">
        <f t="shared" si="55"/>
        <v>4025/4026</v>
      </c>
      <c r="L198" s="24" t="str">
        <f>VLOOKUP(A198,'Trips&amp;Operators'!$C$1:$E$10000,3,FALSE)</f>
        <v>DELGADO</v>
      </c>
      <c r="M198" s="6">
        <f t="shared" si="56"/>
        <v>1.0428240741021E-2</v>
      </c>
      <c r="N198" s="7">
        <f t="shared" si="71"/>
        <v>15.01666666707024</v>
      </c>
      <c r="O198" s="7"/>
      <c r="P198" s="7"/>
      <c r="Q198" s="25"/>
      <c r="R198" s="25"/>
      <c r="S198" s="37">
        <f t="shared" si="72"/>
        <v>1</v>
      </c>
      <c r="T198" s="52" t="str">
        <f t="shared" si="57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17:47:28-0600',mode:absolute,to:'2016-09-14 20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8" s="54" t="str">
        <f t="shared" si="76"/>
        <v>N</v>
      </c>
      <c r="X198" s="168">
        <f t="shared" si="74"/>
        <v>1</v>
      </c>
      <c r="Y198" s="69">
        <f t="shared" si="75"/>
        <v>0.1023</v>
      </c>
      <c r="Z198" s="69">
        <f t="shared" si="66"/>
        <v>5.8943000000000003</v>
      </c>
      <c r="AA198" s="69">
        <f t="shared" si="59"/>
        <v>5.7920000000000007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60"/>
        <v>0839-14</v>
      </c>
      <c r="AE198" s="99" t="str">
        <f t="shared" si="61"/>
        <v>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 &amp; 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</v>
      </c>
      <c r="AF198" s="96" t="str">
        <f t="shared" si="62"/>
        <v>"C:\Program Files (x86)\AstroGrep\AstroGrep.exe" /spath="%USERPROFILE%\AppData\Local\Temp\OnboardLogs" /stypes="app*4025*20160915*" /stext=" 01:.+((SYSTEM_STATE.+slice.+state.+changed )|(ment ac)|(system.+state.+changed )|(\|lc)|(penalty)|(\[timeout)|(PRM\|1\|D)|(kpr)|(kdp))" /e /r /s</v>
      </c>
      <c r="AG198" s="1" t="str">
        <f t="shared" si="63"/>
        <v>NW</v>
      </c>
      <c r="AH198" s="100" t="str">
        <f t="shared" si="64"/>
        <v>"%USERPROFILE%\Documents\GitHub\eaglep3\Utilities\RefineRTDCRunTimes.py" --tripid 839-14 --locoid 4025 --swversion DE.1.0.7.0 --startMP 204:1023 --initTime 2016-09-14T18:47:28 --startdatetime 2016-09-14T18:51:16 --delay 1 --endMP 300:58943 --enddatetime 2016-09-14T19:06:17 --enforcementcount 0 &gt;&gt;C:\Users\stu\Documents\GitHub\eaglep3-reporting\EC\2016-09-14-refined-times.txt</v>
      </c>
      <c r="AI198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{"issue":{"subject":"","project_id":79,"tracker_id":40,"status_id":1,"priority_id":2,"assigned_to_id":23,"start_date":"2016-09-14","description":"","custom_fields":[{"id":1,"name":"Subdivision","value":"NW"},{"id":4,"name":"Milepost","value":"5.8943"},{"id":17,"name":"Train ID","value":"839-14"},{"id":16,"name":"Locomotive ID","value":"4025"},{"id":130,"name":"Impact","value":""},{"id":150,"name":"Time of Event (Mountain Time)","value":"19:06:17"},{"id":151,"name":"Denver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565</v>
      </c>
      <c r="B199" s="7">
        <v>4019</v>
      </c>
      <c r="C199" s="24" t="s">
        <v>108</v>
      </c>
      <c r="D199" s="24" t="s">
        <v>674</v>
      </c>
      <c r="E199" s="15">
        <v>42627.821331018517</v>
      </c>
      <c r="F199" s="15">
        <v>42627.822951388887</v>
      </c>
      <c r="G199" s="7">
        <v>1</v>
      </c>
      <c r="H199" s="15" t="s">
        <v>718</v>
      </c>
      <c r="I199" s="15">
        <v>42627.834965277776</v>
      </c>
      <c r="J199" s="7">
        <v>0</v>
      </c>
      <c r="K199" s="121" t="str">
        <f t="shared" si="55"/>
        <v>4019/4020</v>
      </c>
      <c r="L199" s="24" t="str">
        <f>VLOOKUP(A199,'Trips&amp;Operators'!$C$1:$E$10000,3,FALSE)</f>
        <v>MOSES</v>
      </c>
      <c r="M199" s="6">
        <f t="shared" si="56"/>
        <v>1.2013888888759539E-2</v>
      </c>
      <c r="N199" s="7">
        <f t="shared" si="71"/>
        <v>17.299999999813735</v>
      </c>
      <c r="O199" s="7"/>
      <c r="P199" s="7"/>
      <c r="Q199" s="25"/>
      <c r="R199" s="25"/>
      <c r="S199" s="37">
        <f t="shared" si="72"/>
        <v>1</v>
      </c>
      <c r="T199" s="52" t="str">
        <f t="shared" si="57"/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18:42:43-0600',mode:absolute,to:'2016-09-14 21:02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9" s="54" t="str">
        <f t="shared" si="76"/>
        <v>N</v>
      </c>
      <c r="X199" s="168">
        <f t="shared" ref="X199:X203" si="77">VALUE(LEFT(AD199,4))-VALUE(LEFT(AD198,4))</f>
        <v>1</v>
      </c>
      <c r="Y199" s="69">
        <f t="shared" si="75"/>
        <v>5.8677000000000001</v>
      </c>
      <c r="Z199" s="69">
        <f t="shared" si="66"/>
        <v>6.59E-2</v>
      </c>
      <c r="AA199" s="69">
        <f t="shared" si="59"/>
        <v>5.8018000000000001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60"/>
        <v>0840-14</v>
      </c>
      <c r="AE199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199" s="96" t="str">
        <f t="shared" si="62"/>
        <v>"C:\Program Files (x86)\AstroGrep\AstroGrep.exe" /spath="%USERPROFILE%\AppData\Local\Temp\OnboardLogs" /stypes="app*4019*20160915*" /stext=" 02:.+((SYSTEM_STATE.+slice.+state.+changed )|(ment ac)|(system.+state.+changed )|(\|lc)|(penalty)|(\[timeout)|(PRM\|1\|D)|(kpr)|(kdp))" /e /r /s</v>
      </c>
      <c r="AG199" s="1" t="str">
        <f t="shared" si="63"/>
        <v>NW</v>
      </c>
      <c r="AH199" s="100" t="str">
        <f t="shared" si="64"/>
        <v>"%USERPROFILE%\Documents\GitHub\eaglep3\Utilities\RefineRTDCRunTimes.py" --tripid 840-14 --locoid 4019 --swversion DE.1.0.7.0 --startMP 300:58677 --initTime 2016-09-14T19:42:43 --startdatetime 2016-09-14T19:45:03 --delay 1 --endMP 204:659 --enddatetime 2016-09-14T20:02:21 --enforcementcount 0 &gt;&gt;C:\Users\stu\Documents\GitHub\eaglep3-reporting\EC\2016-09-14-refined-times.txt</v>
      </c>
      <c r="AI199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{"issue":{"subject":"","project_id":79,"tracker_id":40,"status_id":1,"priority_id":2,"assigned_to_id":23,"start_date":"2016-09-14","description":"","custom_fields":[{"id":1,"name":"Subdivision","value":"NW"},{"id":4,"name":"Milepost","value":"0.0659"},{"id":17,"name":"Train ID","value":"840-14"},{"id":16,"name":"Locomotive ID","value":"4019"},{"id":130,"name":"Impact","value":""},{"id":150,"name":"Time of Event (Mountain Time)","value":"20:02:21"},{"id":151,"name":"Denver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562</v>
      </c>
      <c r="B200" s="7">
        <v>4020</v>
      </c>
      <c r="C200" s="24" t="s">
        <v>108</v>
      </c>
      <c r="D200" s="24" t="s">
        <v>367</v>
      </c>
      <c r="E200" s="15">
        <v>42627.803055555552</v>
      </c>
      <c r="F200" s="15">
        <v>42627.848171296297</v>
      </c>
      <c r="G200" s="7">
        <v>1</v>
      </c>
      <c r="H200" s="15" t="s">
        <v>719</v>
      </c>
      <c r="I200" s="15">
        <v>42627.858217592591</v>
      </c>
      <c r="J200" s="7">
        <v>0</v>
      </c>
      <c r="K200" s="121" t="str">
        <f t="shared" si="55"/>
        <v>4019/4020</v>
      </c>
      <c r="L200" s="24" t="str">
        <f>VLOOKUP(A200,'Trips&amp;Operators'!$C$1:$E$10000,3,FALSE)</f>
        <v>MOSES</v>
      </c>
      <c r="M200" s="6">
        <f t="shared" si="56"/>
        <v>1.0046296294603962E-2</v>
      </c>
      <c r="N200" s="7">
        <f t="shared" si="71"/>
        <v>14.466666664229706</v>
      </c>
      <c r="O200" s="7"/>
      <c r="P200" s="7"/>
      <c r="Q200" s="25"/>
      <c r="R200" s="25"/>
      <c r="S200" s="37">
        <f t="shared" si="72"/>
        <v>1</v>
      </c>
      <c r="T200" s="52" t="str">
        <f t="shared" si="57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18:16:24-0600',mode:absolute,to:'2016-09-14 21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0" s="54" t="str">
        <f t="shared" si="76"/>
        <v>N</v>
      </c>
      <c r="X200" s="168">
        <f t="shared" si="77"/>
        <v>1</v>
      </c>
      <c r="Y200" s="69">
        <f t="shared" si="75"/>
        <v>9.5100000000000004E-2</v>
      </c>
      <c r="Z200" s="69">
        <f t="shared" si="66"/>
        <v>5.8994999999999997</v>
      </c>
      <c r="AA200" s="69">
        <f t="shared" si="59"/>
        <v>5.8043999999999993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60"/>
        <v>0841-14</v>
      </c>
      <c r="AE200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200" s="96" t="str">
        <f t="shared" si="62"/>
        <v>"C:\Program Files (x86)\AstroGrep\AstroGrep.exe" /spath="%USERPROFILE%\AppData\Local\Temp\OnboardLogs" /stypes="app*4020*20160915*" /stext=" 02:.+((SYSTEM_STATE.+slice.+state.+changed )|(ment ac)|(system.+state.+changed )|(\|lc)|(penalty)|(\[timeout)|(PRM\|1\|D)|(kpr)|(kdp))" /e /r /s</v>
      </c>
      <c r="AG200" s="1" t="str">
        <f t="shared" si="63"/>
        <v>NW</v>
      </c>
      <c r="AH200" s="100" t="str">
        <f t="shared" si="64"/>
        <v>"%USERPROFILE%\Documents\GitHub\eaglep3\Utilities\RefineRTDCRunTimes.py" --tripid 841-14 --locoid 4020 --swversion DE.1.0.7.0 --startMP 204:951 --initTime 2016-09-14T19:16:24 --startdatetime 2016-09-14T20:21:22 --delay 1 --endMP 300:58995 --enddatetime 2016-09-14T20:35:50 --enforcementcount 0 &gt;&gt;C:\Users\stu\Documents\GitHub\eaglep3-reporting\EC\2016-09-14-refined-times.txt</v>
      </c>
      <c r="AI200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{"issue":{"subject":"","project_id":79,"tracker_id":40,"status_id":1,"priority_id":2,"assigned_to_id":23,"start_date":"2016-09-14","description":"","custom_fields":[{"id":1,"name":"Subdivision","value":"NW"},{"id":4,"name":"Milepost","value":"5.8995"},{"id":17,"name":"Train ID","value":"841-14"},{"id":16,"name":"Locomotive ID","value":"4020"},{"id":130,"name":"Impact","value":""},{"id":150,"name":"Time of Event (Mountain Time)","value":"20:35:50"},{"id":151,"name":"Denver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572</v>
      </c>
      <c r="B201" s="7">
        <v>4019</v>
      </c>
      <c r="C201" s="24" t="s">
        <v>108</v>
      </c>
      <c r="D201" s="24" t="s">
        <v>679</v>
      </c>
      <c r="E201" s="15">
        <v>42627.859479166669</v>
      </c>
      <c r="F201" s="15">
        <v>42627.860914351855</v>
      </c>
      <c r="G201" s="7">
        <v>0</v>
      </c>
      <c r="H201" s="15" t="s">
        <v>720</v>
      </c>
      <c r="I201" s="15">
        <v>42627.872210648151</v>
      </c>
      <c r="J201" s="7">
        <v>0</v>
      </c>
      <c r="K201" s="121" t="str">
        <f t="shared" si="55"/>
        <v>4019/4020</v>
      </c>
      <c r="L201" s="24" t="str">
        <f>VLOOKUP(A201,'Trips&amp;Operators'!$C$1:$E$10000,3,FALSE)</f>
        <v>MOSES</v>
      </c>
      <c r="M201" s="6">
        <f t="shared" si="56"/>
        <v>1.1296296295768116E-2</v>
      </c>
      <c r="N201" s="7">
        <f t="shared" si="71"/>
        <v>16.266666665906087</v>
      </c>
      <c r="O201" s="7"/>
      <c r="P201" s="7"/>
      <c r="Q201" s="25"/>
      <c r="R201" s="25"/>
      <c r="S201" s="37">
        <f t="shared" si="72"/>
        <v>1</v>
      </c>
      <c r="T201" s="52" t="str">
        <f t="shared" si="57"/>
        <v>Southbound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19:37:39-0600',mode:absolute,to:'2016-09-14 21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01" s="54" t="str">
        <f t="shared" si="76"/>
        <v>N</v>
      </c>
      <c r="X201" s="168">
        <f t="shared" si="77"/>
        <v>1</v>
      </c>
      <c r="Y201" s="69">
        <f t="shared" si="75"/>
        <v>5.8681000000000001</v>
      </c>
      <c r="Z201" s="69">
        <f t="shared" si="66"/>
        <v>6.5699999999999995E-2</v>
      </c>
      <c r="AA201" s="69">
        <f t="shared" si="59"/>
        <v>5.8024000000000004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60"/>
        <v>0842-14</v>
      </c>
      <c r="AE201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201" s="96" t="str">
        <f t="shared" si="62"/>
        <v>"C:\Program Files (x86)\AstroGrep\AstroGrep.exe" /spath="%USERPROFILE%\AppData\Local\Temp\OnboardLogs" /stypes="app*4019*20160915*" /stext=" 02:.+((SYSTEM_STATE.+slice.+state.+changed )|(ment ac)|(system.+state.+changed )|(\|lc)|(penalty)|(\[timeout)|(PRM\|1\|D)|(kpr)|(kdp))" /e /r /s</v>
      </c>
      <c r="AG201" s="1" t="str">
        <f t="shared" si="63"/>
        <v>NW</v>
      </c>
      <c r="AH201" s="100" t="str">
        <f t="shared" si="64"/>
        <v>"%USERPROFILE%\Documents\GitHub\eaglep3\Utilities\RefineRTDCRunTimes.py" --tripid 842-14 --locoid 4019 --swversion DE.1.0.7.0 --startMP 300:58681 --initTime 2016-09-14T20:37:39 --startdatetime 2016-09-14T20:39:43 --delay 0 --endMP 204:657 --enddatetime 2016-09-14T20:55:59 --enforcementcount 0 &gt;&gt;C:\Users\stu\Documents\GitHub\eaglep3-reporting\EC\2016-09-14-refined-times.txt</v>
      </c>
      <c r="AI201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{"issue":{"subject":"","project_id":79,"tracker_id":40,"status_id":1,"priority_id":2,"assigned_to_id":23,"start_date":"2016-09-14","description":"","custom_fields":[{"id":1,"name":"Subdivision","value":"NW"},{"id":4,"name":"Milepost","value":"0.0657"},{"id":17,"name":"Train ID","value":"842-14"},{"id":16,"name":"Locomotive ID","value":"4019"},{"id":130,"name":"Impact","value":""},{"id":150,"name":"Time of Event (Mountain Time)","value":"20:55:59"},{"id":151,"name":"Denver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569</v>
      </c>
      <c r="B202" s="7">
        <v>4020</v>
      </c>
      <c r="C202" s="24" t="s">
        <v>108</v>
      </c>
      <c r="D202" s="24" t="s">
        <v>721</v>
      </c>
      <c r="E202" s="15">
        <v>42627.844502314816</v>
      </c>
      <c r="F202" s="15">
        <v>42627.848171296297</v>
      </c>
      <c r="G202" s="7">
        <v>1</v>
      </c>
      <c r="H202" s="15" t="s">
        <v>719</v>
      </c>
      <c r="I202" s="15">
        <v>42627.858217592591</v>
      </c>
      <c r="J202" s="7">
        <v>0</v>
      </c>
      <c r="K202" s="121" t="str">
        <f t="shared" si="55"/>
        <v>4019/4020</v>
      </c>
      <c r="L202" s="24" t="str">
        <f>VLOOKUP(A202,'Trips&amp;Operators'!$C$1:$E$10000,3,FALSE)</f>
        <v>MOSES</v>
      </c>
      <c r="M202" s="6">
        <f t="shared" si="56"/>
        <v>1.0046296294603962E-2</v>
      </c>
      <c r="N202" s="7">
        <f t="shared" si="71"/>
        <v>14.466666664229706</v>
      </c>
      <c r="O202" s="7"/>
      <c r="P202" s="7"/>
      <c r="Q202" s="25"/>
      <c r="R202" s="25"/>
      <c r="S202" s="37">
        <f t="shared" si="72"/>
        <v>1</v>
      </c>
      <c r="T202" s="52" t="str">
        <f t="shared" si="57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19:16:05-0600',mode:absolute,to:'2016-09-14 21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2" s="54" t="str">
        <f t="shared" si="76"/>
        <v>N</v>
      </c>
      <c r="X202" s="168">
        <f t="shared" si="77"/>
        <v>1</v>
      </c>
      <c r="Y202" s="69">
        <f t="shared" si="75"/>
        <v>9.4600000000000004E-2</v>
      </c>
      <c r="Z202" s="69">
        <f t="shared" si="66"/>
        <v>5.8994999999999997</v>
      </c>
      <c r="AA202" s="69">
        <f t="shared" si="59"/>
        <v>5.8048999999999999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60"/>
        <v>0843-14</v>
      </c>
      <c r="AE202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202" s="96" t="str">
        <f t="shared" si="62"/>
        <v>"C:\Program Files (x86)\AstroGrep\AstroGrep.exe" /spath="%USERPROFILE%\AppData\Local\Temp\OnboardLogs" /stypes="app*4020*20160915*" /stext=" 02:.+((SYSTEM_STATE.+slice.+state.+changed )|(ment ac)|(system.+state.+changed )|(\|lc)|(penalty)|(\[timeout)|(PRM\|1\|D)|(kpr)|(kdp))" /e /r /s</v>
      </c>
      <c r="AG202" s="1" t="str">
        <f t="shared" si="63"/>
        <v>NW</v>
      </c>
      <c r="AH202" s="100" t="str">
        <f t="shared" ref="AH202:AH218" si="78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843-14 --locoid 4020 --swversion DE.1.0.7.0 --startMP 204:946 --initTime 2016-09-14T20:16:05 --startdatetime 2016-09-14T20:21:22 --delay 1 --endMP 300:58995 --enddatetime 2016-09-14T20:35:50 --enforcementcount 0 &gt;&gt;C:\Users\stu\Documents\GitHub\eaglep3-reporting\EC\2016-09-14-refined-times.txt</v>
      </c>
      <c r="AI202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{"issue":{"subject":"","project_id":79,"tracker_id":40,"status_id":1,"priority_id":2,"assigned_to_id":23,"start_date":"2016-09-14","description":"","custom_fields":[{"id":1,"name":"Subdivision","value":"NW"},{"id":4,"name":"Milepost","value":"5.8995"},{"id":17,"name":"Train ID","value":"843-14"},{"id":16,"name":"Locomotive ID","value":"4020"},{"id":130,"name":"Impact","value":""},{"id":150,"name":"Time of Event (Mountain Time)","value":"20:35:50"},{"id":151,"name":"Denver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578</v>
      </c>
      <c r="B203" s="7">
        <v>4019</v>
      </c>
      <c r="C203" s="24" t="s">
        <v>108</v>
      </c>
      <c r="D203" s="24" t="s">
        <v>378</v>
      </c>
      <c r="E203" s="15">
        <v>42627.902395833335</v>
      </c>
      <c r="F203" s="15">
        <v>42627.904131944444</v>
      </c>
      <c r="G203" s="7">
        <v>1</v>
      </c>
      <c r="H203" s="15" t="s">
        <v>328</v>
      </c>
      <c r="I203" s="15">
        <v>42627.914513888885</v>
      </c>
      <c r="J203" s="7">
        <v>0</v>
      </c>
      <c r="K203" s="121" t="str">
        <f t="shared" si="55"/>
        <v>4019/4020</v>
      </c>
      <c r="L203" s="24" t="str">
        <f>VLOOKUP(A203,'Trips&amp;Operators'!$C$1:$E$10000,3,FALSE)</f>
        <v>DELGADO</v>
      </c>
      <c r="M203" s="6">
        <f t="shared" si="56"/>
        <v>1.0381944441178348E-2</v>
      </c>
      <c r="N203" s="7">
        <f t="shared" si="71"/>
        <v>14.949999995296821</v>
      </c>
      <c r="O203" s="7"/>
      <c r="P203" s="7"/>
      <c r="Q203" s="25"/>
      <c r="R203" s="25"/>
      <c r="S203" s="37">
        <f t="shared" si="72"/>
        <v>1</v>
      </c>
      <c r="T203" s="52" t="str">
        <f t="shared" si="57"/>
        <v>Southbound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20:39:27-0600',mode:absolute,to:'2016-09-14 22:56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03" s="54" t="str">
        <f t="shared" si="76"/>
        <v>N</v>
      </c>
      <c r="X203" s="168">
        <f t="shared" si="77"/>
        <v>1</v>
      </c>
      <c r="Y203" s="69">
        <f t="shared" si="75"/>
        <v>5.8638000000000003</v>
      </c>
      <c r="Z203" s="69">
        <f t="shared" si="66"/>
        <v>6.8000000000000005E-2</v>
      </c>
      <c r="AA203" s="69">
        <f t="shared" si="59"/>
        <v>5.7958000000000007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60"/>
        <v>0844-14</v>
      </c>
      <c r="AE203" s="99" t="str">
        <f t="shared" si="61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203" s="96" t="str">
        <f t="shared" si="62"/>
        <v>"C:\Program Files (x86)\AstroGrep\AstroGrep.exe" /spath="%USERPROFILE%\AppData\Local\Temp\OnboardLogs" /stypes="app*4019*20160915*" /stext=" 03:.+((SYSTEM_STATE.+slice.+state.+changed )|(ment ac)|(system.+state.+changed )|(\|lc)|(penalty)|(\[timeout)|(PRM\|1\|D)|(kpr)|(kdp))" /e /r /s</v>
      </c>
      <c r="AG203" s="1" t="str">
        <f t="shared" si="63"/>
        <v>NW</v>
      </c>
      <c r="AH203" s="100" t="str">
        <f t="shared" si="78"/>
        <v>"%USERPROFILE%\Documents\GitHub\eaglep3\Utilities\RefineRTDCRunTimes.py" --tripid 844-14 --locoid 4019 --swversion DE.1.0.7.0 --startMP 300:58638 --initTime 2016-09-14T21:39:27 --startdatetime 2016-09-14T21:41:57 --delay 1 --endMP 204:680 --enddatetime 2016-09-14T21:56:54 --enforcementcount 0 &gt;&gt;C:\Users\stu\Documents\GitHub\eaglep3-reporting\EC\2016-09-14-refined-times.txt</v>
      </c>
      <c r="AI203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{"issue":{"subject":"","project_id":79,"tracker_id":40,"status_id":1,"priority_id":2,"assigned_to_id":23,"start_date":"2016-09-14","description":"","custom_fields":[{"id":1,"name":"Subdivision","value":"NW"},{"id":4,"name":"Milepost","value":"0.068"},{"id":17,"name":"Train ID","value":"844-14"},{"id":16,"name":"Locomotive ID","value":"4019"},{"id":130,"name":"Impact","value":""},{"id":150,"name":"Time of Event (Mountain Time)","value":"21:56:54"},{"id":151,"name":"Denver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575</v>
      </c>
      <c r="B204" s="7">
        <v>4020</v>
      </c>
      <c r="C204" s="24" t="s">
        <v>108</v>
      </c>
      <c r="D204" s="24" t="s">
        <v>367</v>
      </c>
      <c r="E204" s="15">
        <v>42627.88318287037</v>
      </c>
      <c r="F204" s="15">
        <v>42627.889768518522</v>
      </c>
      <c r="G204" s="7">
        <v>3</v>
      </c>
      <c r="H204" s="15" t="s">
        <v>722</v>
      </c>
      <c r="I204" s="15">
        <v>42627.900960648149</v>
      </c>
      <c r="J204" s="7">
        <v>0</v>
      </c>
      <c r="K204" s="121" t="str">
        <f t="shared" si="55"/>
        <v>4019/4020</v>
      </c>
      <c r="L204" s="24" t="str">
        <f>VLOOKUP(A204,'Trips&amp;Operators'!$C$1:$E$10000,3,FALSE)</f>
        <v>DELGADO</v>
      </c>
      <c r="M204" s="6">
        <f t="shared" si="56"/>
        <v>1.1192129626579117E-2</v>
      </c>
      <c r="N204" s="7">
        <f t="shared" si="71"/>
        <v>16.116666662273929</v>
      </c>
      <c r="O204" s="7"/>
      <c r="P204" s="7"/>
      <c r="Q204" s="25"/>
      <c r="R204" s="25"/>
      <c r="S204" s="37">
        <f t="shared" si="72"/>
        <v>1</v>
      </c>
      <c r="T204" s="52" t="str">
        <f t="shared" si="57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8"/>
        <v>https://search-rtdc-monitor-bjffxe2xuh6vdkpspy63sjmuny.us-east-1.es.amazonaws.com/_plugin/kibana/#/discover/Steve-Slow-Train-Analysis-(2080s-and-2083s)?_g=(refreshInterval:(display:Off,section:0,value:0),time:(from:'2016-09-14 20:11:47-0600',mode:absolute,to:'2016-09-14 22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4" s="54" t="str">
        <f t="shared" si="76"/>
        <v>N</v>
      </c>
      <c r="X204" s="168">
        <f t="shared" ref="X204:X218" si="79">VALUE(LEFT(AD204,4))-VALUE(LEFT(AD203,4))</f>
        <v>1</v>
      </c>
      <c r="Y204" s="69">
        <f t="shared" si="75"/>
        <v>9.5100000000000004E-2</v>
      </c>
      <c r="Z204" s="69">
        <f t="shared" si="66"/>
        <v>5.8952</v>
      </c>
      <c r="AA204" s="69">
        <f t="shared" si="59"/>
        <v>5.8000999999999996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60"/>
        <v>0845-14</v>
      </c>
      <c r="AE204" s="99" t="str">
        <f t="shared" si="61"/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204" s="96" t="str">
        <f t="shared" si="62"/>
        <v>"C:\Program Files (x86)\AstroGrep\AstroGrep.exe" /spath="%USERPROFILE%\AppData\Local\Temp\OnboardLogs" /stypes="app*4020*20160915*" /stext=" 03:.+((SYSTEM_STATE.+slice.+state.+changed )|(ment ac)|(system.+state.+changed )|(\|lc)|(penalty)|(\[timeout)|(PRM\|1\|D)|(kpr)|(kdp))" /e /r /s</v>
      </c>
      <c r="AG204" s="1" t="str">
        <f t="shared" si="63"/>
        <v>NW</v>
      </c>
      <c r="AH204" s="100" t="str">
        <f t="shared" si="78"/>
        <v>"%USERPROFILE%\Documents\GitHub\eaglep3\Utilities\RefineRTDCRunTimes.py" --tripid 845-14 --locoid 4020 --swversion DE.1.0.7.0 --startMP 204:951 --initTime 2016-09-14T21:11:47 --startdatetime 2016-09-14T21:21:16 --delay 3 --endMP 300:58952 --enddatetime 2016-09-14T21:37:23 --enforcementcount 0 &gt;&gt;C:\Users\stu\Documents\GitHub\eaglep3-reporting\EC\2016-09-14-refined-times.txt</v>
      </c>
      <c r="AI204" s="134" t="str">
        <f t="shared" si="65"/>
        <v>echo {"issue":{"subject":"","project_id":79,"tracker_id":40,"status_id":1,"priority_id":2,"assigned_to_id":23,"start_date":"2016-09-14","description":"","custom_fields":[{"id":1,"name":"Subdivision","value":"NW"},{"id":4,"name":"Milepost","value":"5.8952"},{"id":17,"name":"Train ID","value":"845-14"},{"id":16,"name":"Locomotive ID","value":"4020"},{"id":130,"name":"Impact","value":""},{"id":150,"name":"Time of Event (Mountain Time)","value":"21:37:23"},{"id":151,"name":"Denver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s="23" customFormat="1" x14ac:dyDescent="0.25">
      <c r="A205" s="39" t="s">
        <v>581</v>
      </c>
      <c r="B205" s="7">
        <v>4020</v>
      </c>
      <c r="C205" s="24" t="s">
        <v>108</v>
      </c>
      <c r="D205" s="24" t="s">
        <v>723</v>
      </c>
      <c r="E205" s="15">
        <v>42627.926053240742</v>
      </c>
      <c r="F205" s="15">
        <v>42627.931423611109</v>
      </c>
      <c r="G205" s="7">
        <v>1</v>
      </c>
      <c r="H205" s="15" t="s">
        <v>682</v>
      </c>
      <c r="I205" s="15">
        <v>42627.943032407406</v>
      </c>
      <c r="J205" s="7">
        <v>0</v>
      </c>
      <c r="K205" s="121" t="str">
        <f t="shared" ref="K205:K218" si="80">IF(ISEVEN(B205),(B205-1)&amp;"/"&amp;B205,B205&amp;"/"&amp;(B205+1))</f>
        <v>4019/4020</v>
      </c>
      <c r="L205" s="24" t="str">
        <f>VLOOKUP(A205,'Trips&amp;Operators'!$C$1:$E$10000,3,FALSE)</f>
        <v>DELGADO</v>
      </c>
      <c r="M205" s="6">
        <f t="shared" ref="M205:M218" si="81">I205-F205</f>
        <v>1.1608796296059154E-2</v>
      </c>
      <c r="N205" s="7">
        <f t="shared" si="71"/>
        <v>16.716666666325182</v>
      </c>
      <c r="O205" s="7"/>
      <c r="P205" s="7"/>
      <c r="Q205" s="25"/>
      <c r="R205" s="25"/>
      <c r="S205" s="37">
        <f t="shared" si="72"/>
        <v>1</v>
      </c>
      <c r="T205" s="52" t="str">
        <f t="shared" ref="T205:T218" si="82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8" si="83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https://search-rtdc-monitor-bjffxe2xuh6vdkpspy63sjmuny.us-east-1.es.amazonaws.com/_plugin/kibana/#/discover/Steve-Slow-Train-Analysis-(2080s-and-2083s)?_g=(refreshInterval:(display:Off,section:0,value:0),time:(from:'2016-09-14 21:13:31-0600',mode:absolute,to:'2016-09-14 23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5" s="54" t="str">
        <f t="shared" si="76"/>
        <v>N</v>
      </c>
      <c r="X205" s="168">
        <f t="shared" si="79"/>
        <v>2</v>
      </c>
      <c r="Y205" s="69">
        <f t="shared" si="75"/>
        <v>9.69E-2</v>
      </c>
      <c r="Z205" s="69">
        <f t="shared" si="66"/>
        <v>5.8943000000000003</v>
      </c>
      <c r="AA205" s="69">
        <f t="shared" ref="AA205:AA218" si="84">ABS(Z205-Y205)</f>
        <v>5.7974000000000006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18" si="85">IF(LEN(A205)=6,"0"&amp;A205,A205)</f>
        <v>0847-14</v>
      </c>
      <c r="AE205" s="99" t="str">
        <f t="shared" ref="AE205:AE218" si="86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AF205" s="96" t="str">
        <f t="shared" ref="AF205:AF218" si="8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/stypes="app*4020*20160915*" /stext=" 04:.+((SYSTEM_STATE.+slice.+state.+changed )|(ment ac)|(system.+state.+changed )|(\|lc)|(penalty)|(\[timeout)|(PRM\|1\|D)|(kpr)|(kdp))" /e /r /s</v>
      </c>
      <c r="AG205" s="1" t="str">
        <f t="shared" ref="AG205:AG218" si="88">IFERROR(IF(VALUE(LEFT(AD205,2))&lt;=2,"EC",IF(OR(VALUE(LEFT(AD205,2))=8,VALUE(LEFT(AD205,2))=18),"NW","Other")),"Other")</f>
        <v>NW</v>
      </c>
      <c r="AH205" s="100" t="str">
        <f t="shared" si="78"/>
        <v>"%USERPROFILE%\Documents\GitHub\eaglep3\Utilities\RefineRTDCRunTimes.py" --tripid 847-14 --locoid 4020 --swversion DE.1.0.7.0 --startMP 204:969 --initTime 2016-09-14T22:13:31 --startdatetime 2016-09-14T22:21:15 --delay 1 --endMP 300:58943 --enddatetime 2016-09-14T22:37:58 --enforcementcount 0 &gt;&gt;C:\Users\stu\Documents\GitHub\eaglep3-reporting\EC\2016-09-14-refined-times.txt</v>
      </c>
      <c r="AI205" s="134" t="str">
        <f t="shared" ref="AI205:AI218" si="8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{"issue":{"subject":"","project_id":79,"tracker_id":40,"status_id":1,"priority_id":2,"assigned_to_id":23,"start_date":"2016-09-14","description":"","custom_fields":[{"id":1,"name":"Subdivision","value":"NW"},{"id":4,"name":"Milepost","value":"5.8943"},{"id":17,"name":"Train ID","value":"847-14"},{"id":16,"name":"Locomotive ID","value":"4020"},{"id":130,"name":"Impact","value":""},{"id":150,"name":"Time of Event (Mountain Time)","value":"22:37:58"},{"id":151,"name":"Denver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555</v>
      </c>
      <c r="B206" s="7">
        <v>4040</v>
      </c>
      <c r="C206" s="24" t="s">
        <v>108</v>
      </c>
      <c r="D206" s="24" t="s">
        <v>315</v>
      </c>
      <c r="E206" s="15">
        <v>42627.776087962964</v>
      </c>
      <c r="F206" s="15">
        <v>25568.958333333332</v>
      </c>
      <c r="G206" s="7">
        <v>6</v>
      </c>
      <c r="H206" s="15" t="s">
        <v>661</v>
      </c>
      <c r="I206" s="15">
        <v>25568.958333333332</v>
      </c>
      <c r="J206" s="7">
        <v>0</v>
      </c>
      <c r="K206" s="121" t="str">
        <f t="shared" si="80"/>
        <v>4039/4040</v>
      </c>
      <c r="L206" s="24" t="str">
        <f>VLOOKUP(A206,'Trips&amp;Operators'!$C$1:$E$10000,3,FALSE)</f>
        <v>STAMBAUGH</v>
      </c>
      <c r="M206" s="6">
        <f t="shared" si="81"/>
        <v>0</v>
      </c>
      <c r="N206" s="7">
        <f t="shared" si="71"/>
        <v>0</v>
      </c>
      <c r="O206" s="7"/>
      <c r="P206" s="7"/>
      <c r="Q206" s="25"/>
      <c r="R206" s="25"/>
      <c r="S206" s="37">
        <f t="shared" si="72"/>
        <v>1</v>
      </c>
      <c r="T206" s="52" t="str">
        <f t="shared" si="82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17:37:34-0600',mode:absolute,to:'1970-01-01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6" s="54" t="str">
        <f t="shared" si="76"/>
        <v>Y</v>
      </c>
      <c r="X206" s="168">
        <f t="shared" si="79"/>
        <v>-544</v>
      </c>
      <c r="Y206" s="69">
        <f t="shared" si="75"/>
        <v>4.9299999999999997E-2</v>
      </c>
      <c r="Z206" s="69">
        <f t="shared" si="66"/>
        <v>2.3300999999999998</v>
      </c>
      <c r="AA206" s="69">
        <f t="shared" si="84"/>
        <v>2.2807999999999997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85"/>
        <v>0303-14</v>
      </c>
      <c r="AE206" s="99" t="str">
        <f t="shared" si="86"/>
        <v>aws s3 cp s3://rtdc.mdm.uploadarchive/RTDC4040/1969-12-31/ "%USERPROFILE%\AppData\Local\Temp\OnboardLogs"\RTDC4040\1969-12-31 --recursive &amp; "%USERPROFILE%\Documents\GitHub\mrs-test-scripts\Headless Mode &amp; Sideloading\WalkAndUnGZ.bat" "%USERPROFILE%\AppData\Local\Temp\OnboardLogs"\RTDC4040\1969-12-31 &amp; aws s3 cp s3://rtdc.mdm.uploadarchive/RTDC4040/1970-01-01/ "%USERPROFILE%\AppData\Local\Temp\OnboardLogs"\RTDC4040\1970-01-01 --recursive &amp; "%USERPROFILE%\Documents\GitHub\mrs-test-scripts\Headless Mode &amp; Sideloading\WalkAndUnGZ.bat" "%USERPROFILE%\AppData\Local\Temp\OnboardLogs"\RTDC4040\1970-01-01</v>
      </c>
      <c r="AF206" s="96" t="str">
        <f t="shared" si="87"/>
        <v>"C:\Program Files (x86)\AstroGrep\AstroGrep.exe" /spath="%USERPROFILE%\AppData\Local\Temp\OnboardLogs" /stypes="app*4040*19700101*" /stext=" 05:.+((SYSTEM_STATE.+slice.+state.+changed )|(ment ac)|(system.+state.+changed )|(\|lc)|(penalty)|(\[timeout)|(PRM\|1\|D)|(kpr)|(kdp))" /e /r /s</v>
      </c>
      <c r="AG206" s="1" t="str">
        <f t="shared" si="88"/>
        <v>Other</v>
      </c>
      <c r="AH206" s="100" t="str">
        <f t="shared" si="78"/>
        <v>"%USERPROFILE%\Documents\GitHub\eaglep3\Utilities\RefineRTDCRunTimes.py" --tripid 303-14 --locoid 4040 --swversion DE.1.0.7.0 --startMP 204:493 --initTime 2016-09-14T18:37:34 --startdatetime 1969-12-31T23:00:00 --delay 6 --endMP 300:23301 --enddatetime 1969-12-31T23:00:00 --enforcementcount 0 &gt;&gt;C:\Users\stu\Documents\GitHub\eaglep3-reporting\EC\2016-09-14-refined-times.txt</v>
      </c>
      <c r="AI206" s="134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ID","value":"303-14"},{"id":16,"name":"Locomotive ID","value":"4040"},{"id":130,"name":"Impact","value":""},{"id":150,"name":"Time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561</v>
      </c>
      <c r="B207" s="7">
        <v>4042</v>
      </c>
      <c r="C207" s="24" t="s">
        <v>108</v>
      </c>
      <c r="D207" s="24" t="s">
        <v>231</v>
      </c>
      <c r="E207" s="15">
        <v>42627.798715277779</v>
      </c>
      <c r="F207" s="15">
        <v>25568.958333333332</v>
      </c>
      <c r="G207" s="7">
        <v>1</v>
      </c>
      <c r="H207" s="15" t="s">
        <v>662</v>
      </c>
      <c r="I207" s="15">
        <v>25568.958333333332</v>
      </c>
      <c r="J207" s="7">
        <v>0</v>
      </c>
      <c r="K207" s="121" t="str">
        <f t="shared" si="80"/>
        <v>4041/4042</v>
      </c>
      <c r="L207" s="24" t="str">
        <f>VLOOKUP(A207,'Trips&amp;Operators'!$C$1:$E$10000,3,FALSE)</f>
        <v>HILLS</v>
      </c>
      <c r="M207" s="6">
        <f t="shared" si="81"/>
        <v>0</v>
      </c>
      <c r="N207" s="7">
        <f t="shared" si="71"/>
        <v>0</v>
      </c>
      <c r="O207" s="7"/>
      <c r="P207" s="7"/>
      <c r="Q207" s="25"/>
      <c r="R207" s="25"/>
      <c r="S207" s="37">
        <f t="shared" si="72"/>
        <v>1</v>
      </c>
      <c r="T207" s="52" t="str">
        <f t="shared" si="82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18:10:09-0600',mode:absolute,to:'1970-01-01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7" s="54" t="str">
        <f t="shared" si="76"/>
        <v>Y</v>
      </c>
      <c r="X207" s="168">
        <f t="shared" si="79"/>
        <v>2</v>
      </c>
      <c r="Y207" s="69">
        <f t="shared" si="75"/>
        <v>4.53E-2</v>
      </c>
      <c r="Z207" s="69">
        <f t="shared" ref="Z207:Z218" si="90">RIGHT(H207,LEN(H207)-4)/10000</f>
        <v>2.3306</v>
      </c>
      <c r="AA207" s="69">
        <f t="shared" si="84"/>
        <v>2.2852999999999999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85"/>
        <v>0305-14</v>
      </c>
      <c r="AE207" s="99" t="str">
        <f t="shared" si="86"/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207" s="96" t="str">
        <f t="shared" si="87"/>
        <v>"C:\Program Files (x86)\AstroGrep\AstroGrep.exe" /spath="%USERPROFILE%\AppData\Local\Temp\OnboardLogs" /stypes="app*4042*19700101*" /stext=" 05:.+((SYSTEM_STATE.+slice.+state.+changed )|(ment ac)|(system.+state.+changed )|(\|lc)|(penalty)|(\[timeout)|(PRM\|1\|D)|(kpr)|(kdp))" /e /r /s</v>
      </c>
      <c r="AG207" s="1" t="str">
        <f t="shared" si="88"/>
        <v>Other</v>
      </c>
      <c r="AH207" s="100" t="str">
        <f t="shared" si="78"/>
        <v>"%USERPROFILE%\Documents\GitHub\eaglep3\Utilities\RefineRTDCRunTimes.py" --tripid 305-14 --locoid 4042 --swversion DE.1.0.7.0 --startMP 204:453 --initTime 2016-09-14T19:10:09 --startdatetime 1969-12-31T23:00:00 --delay 1 --endMP 300:23306 --enddatetime 1969-12-31T23:00:00 --enforcementcount 0 &gt;&gt;C:\Users\stu\Documents\GitHub\eaglep3-reporting\EC\2016-09-14-refined-times.txt</v>
      </c>
      <c r="AI207" s="134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ID","value":"305-14"},{"id":16,"name":"Locomotive ID","value":"4042"},{"id":130,"name":"Impact","value":""},{"id":150,"name":"Time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566</v>
      </c>
      <c r="B208" s="7">
        <v>4003</v>
      </c>
      <c r="C208" s="24" t="s">
        <v>108</v>
      </c>
      <c r="D208" s="24" t="s">
        <v>241</v>
      </c>
      <c r="E208" s="15">
        <v>42627.820567129631</v>
      </c>
      <c r="F208" s="15">
        <v>25568.958333333332</v>
      </c>
      <c r="G208" s="7">
        <v>1</v>
      </c>
      <c r="H208" s="15" t="s">
        <v>661</v>
      </c>
      <c r="I208" s="15">
        <v>25568.958333333332</v>
      </c>
      <c r="J208" s="7">
        <v>0</v>
      </c>
      <c r="K208" s="121" t="str">
        <f t="shared" si="80"/>
        <v>4003/4004</v>
      </c>
      <c r="L208" s="24" t="str">
        <f>VLOOKUP(A208,'Trips&amp;Operators'!$C$1:$E$10000,3,FALSE)</f>
        <v>SWANSON</v>
      </c>
      <c r="M208" s="6">
        <f t="shared" si="81"/>
        <v>0</v>
      </c>
      <c r="N208" s="7">
        <f t="shared" si="71"/>
        <v>0</v>
      </c>
      <c r="O208" s="7"/>
      <c r="P208" s="7"/>
      <c r="Q208" s="25"/>
      <c r="R208" s="25"/>
      <c r="S208" s="37">
        <f t="shared" si="72"/>
        <v>1</v>
      </c>
      <c r="T208" s="52" t="str">
        <f t="shared" si="82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18:41:37-0600',mode:absolute,to:'1970-01-01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08" s="54" t="str">
        <f t="shared" si="76"/>
        <v>Y</v>
      </c>
      <c r="X208" s="168">
        <f t="shared" si="79"/>
        <v>2</v>
      </c>
      <c r="Y208" s="69">
        <f t="shared" si="75"/>
        <v>4.5100000000000001E-2</v>
      </c>
      <c r="Z208" s="69">
        <f t="shared" si="90"/>
        <v>2.3300999999999998</v>
      </c>
      <c r="AA208" s="69">
        <f t="shared" si="84"/>
        <v>2.2849999999999997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85"/>
        <v>0307-14</v>
      </c>
      <c r="AE208" s="99" t="str">
        <f t="shared" si="86"/>
        <v>aws s3 cp s3://rtdc.mdm.uploadarchive/RTDC4003/1969-12-31/ "%USERPROFILE%\AppData\Local\Temp\OnboardLogs"\RTDC4003\1969-12-31 --recursive &amp; "%USERPROFILE%\Documents\GitHub\mrs-test-scripts\Headless Mode &amp; Sideloading\WalkAndUnGZ.bat" "%USERPROFILE%\AppData\Local\Temp\OnboardLogs"\RTDC4003\1969-12-31 &amp; aws s3 cp s3://rtdc.mdm.uploadarchive/RTDC4003/1970-01-01/ "%USERPROFILE%\AppData\Local\Temp\OnboardLogs"\RTDC4003\1970-01-01 --recursive &amp; "%USERPROFILE%\Documents\GitHub\mrs-test-scripts\Headless Mode &amp; Sideloading\WalkAndUnGZ.bat" "%USERPROFILE%\AppData\Local\Temp\OnboardLogs"\RTDC4003\1970-01-01</v>
      </c>
      <c r="AF208" s="96" t="str">
        <f t="shared" si="87"/>
        <v>"C:\Program Files (x86)\AstroGrep\AstroGrep.exe" /spath="%USERPROFILE%\AppData\Local\Temp\OnboardLogs" /stypes="app*4003*19700101*" /stext=" 05:.+((SYSTEM_STATE.+slice.+state.+changed )|(ment ac)|(system.+state.+changed )|(\|lc)|(penalty)|(\[timeout)|(PRM\|1\|D)|(kpr)|(kdp))" /e /r /s</v>
      </c>
      <c r="AG208" s="1" t="str">
        <f t="shared" si="88"/>
        <v>Other</v>
      </c>
      <c r="AH208" s="100" t="str">
        <f t="shared" si="78"/>
        <v>"%USERPROFILE%\Documents\GitHub\eaglep3\Utilities\RefineRTDCRunTimes.py" --tripid 307-14 --locoid 4003 --swversion DE.1.0.7.0 --startMP 204:451 --initTime 2016-09-14T19:41:37 --startdatetime 1969-12-31T23:00:00 --delay 1 --endMP 300:23301 --enddatetime 1969-12-31T23:00:00 --enforcementcount 0 &gt;&gt;C:\Users\stu\Documents\GitHub\eaglep3-reporting\EC\2016-09-14-refined-times.txt</v>
      </c>
      <c r="AI208" s="134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ID","value":"307-14"},{"id":16,"name":"Locomotive ID","value":"4003"},{"id":130,"name":"Impact","value":""},{"id":150,"name":"Time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s="23" customFormat="1" x14ac:dyDescent="0.25">
      <c r="A209" s="39" t="s">
        <v>593</v>
      </c>
      <c r="B209" s="7">
        <v>4044</v>
      </c>
      <c r="C209" s="24" t="s">
        <v>108</v>
      </c>
      <c r="D209" s="24" t="s">
        <v>663</v>
      </c>
      <c r="E209" s="15">
        <v>42628.033310185187</v>
      </c>
      <c r="F209" s="15">
        <v>42628.035671296297</v>
      </c>
      <c r="G209" s="7">
        <v>3</v>
      </c>
      <c r="H209" s="15" t="s">
        <v>664</v>
      </c>
      <c r="I209" s="15">
        <v>42628.041574074072</v>
      </c>
      <c r="J209" s="7">
        <v>0</v>
      </c>
      <c r="K209" s="121" t="str">
        <f t="shared" si="80"/>
        <v>4043/4044</v>
      </c>
      <c r="L209" s="24" t="str">
        <f>VLOOKUP(A209,'Trips&amp;Operators'!$C$1:$E$10000,3,FALSE)</f>
        <v>STURGEON</v>
      </c>
      <c r="M209" s="6">
        <f t="shared" si="81"/>
        <v>5.9027777751907706E-3</v>
      </c>
      <c r="N209" s="7">
        <f t="shared" si="71"/>
        <v>8.4999999962747097</v>
      </c>
      <c r="O209" s="7"/>
      <c r="P209" s="7"/>
      <c r="Q209" s="25"/>
      <c r="R209" s="25"/>
      <c r="S209" s="37">
        <f t="shared" si="72"/>
        <v>1</v>
      </c>
      <c r="T209" s="52" t="str">
        <f t="shared" si="82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23:47:58-0600',mode:absolute,to:'2016-09-15 01:59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9" s="54" t="str">
        <f t="shared" si="76"/>
        <v>Y</v>
      </c>
      <c r="X209" s="168">
        <f t="shared" si="79"/>
        <v>2</v>
      </c>
      <c r="Y209" s="69">
        <f t="shared" si="75"/>
        <v>0.48430000000000001</v>
      </c>
      <c r="Z209" s="69">
        <f t="shared" si="90"/>
        <v>2.4706999999999999</v>
      </c>
      <c r="AA209" s="69">
        <f t="shared" si="84"/>
        <v>1.9863999999999999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85"/>
        <v>0309-14</v>
      </c>
      <c r="AE209" s="99" t="str">
        <f t="shared" si="86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209" s="96" t="str">
        <f t="shared" si="87"/>
        <v>"C:\Program Files (x86)\AstroGrep\AstroGrep.exe" /spath="%USERPROFILE%\AppData\Local\Temp\OnboardLogs" /stypes="app*4044*20160915*" /stext=" 06:.+((SYSTEM_STATE.+slice.+state.+changed )|(ment ac)|(system.+state.+changed )|(\|lc)|(penalty)|(\[timeout)|(PRM\|1\|D)|(kpr)|(kdp))" /e /r /s</v>
      </c>
      <c r="AG209" s="1" t="str">
        <f t="shared" si="88"/>
        <v>Other</v>
      </c>
      <c r="AH209" s="100" t="str">
        <f t="shared" si="78"/>
        <v>"%USERPROFILE%\Documents\GitHub\eaglep3\Utilities\RefineRTDCRunTimes.py" --tripid 309-14 --locoid 4044 --swversion DE.1.0.7.0 --startMP 300:4843 --initTime 2016-09-15T00:47:58 --startdatetime 2016-09-15T00:51:22 --delay 3 --endMP 300:24707 --enddatetime 2016-09-15T00:59:52 --enforcementcount 0 &gt;&gt;C:\Users\stu\Documents\GitHub\eaglep3-reporting\EC\2016-09-14-refined-times.txt</v>
      </c>
      <c r="AI209" s="134" t="str">
        <f t="shared" si="89"/>
        <v>echo {"issue":{"subject":"","project_id":79,"tracker_id":40,"status_id":1,"priority_id":2,"assigned_to_id":23,"start_date":"2016-09-15","description":"","custom_fields":[{"id":1,"name":"Subdivision","value":"Other"},{"id":4,"name":"Milepost","value":"2.4707"},{"id":17,"name":"Train ID","value":"309-14"},{"id":16,"name":"Locomotive ID","value":"4044"},{"id":130,"name":"Impact","value":""},{"id":150,"name":"Time of Event (Mountain Time)","value":"00:59:52"},{"id":151,"name":"Denver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595</v>
      </c>
      <c r="B210" s="7">
        <v>4027</v>
      </c>
      <c r="C210" s="24" t="s">
        <v>108</v>
      </c>
      <c r="D210" s="24" t="s">
        <v>231</v>
      </c>
      <c r="E210" s="15">
        <v>42628.045798611114</v>
      </c>
      <c r="F210" s="15">
        <v>42628.046886574077</v>
      </c>
      <c r="G210" s="7">
        <v>1</v>
      </c>
      <c r="H210" s="15" t="s">
        <v>665</v>
      </c>
      <c r="I210" s="15">
        <v>42628.052002314813</v>
      </c>
      <c r="J210" s="7">
        <v>0</v>
      </c>
      <c r="K210" s="121" t="str">
        <f t="shared" si="80"/>
        <v>4027/4028</v>
      </c>
      <c r="L210" s="24" t="str">
        <f>VLOOKUP(A210,'Trips&amp;Operators'!$C$1:$E$10000,3,FALSE)</f>
        <v>SMITH</v>
      </c>
      <c r="M210" s="6">
        <f t="shared" si="81"/>
        <v>5.1157407360733487E-3</v>
      </c>
      <c r="N210" s="7">
        <f t="shared" si="71"/>
        <v>7.3666666599456221</v>
      </c>
      <c r="O210" s="7"/>
      <c r="P210" s="7"/>
      <c r="Q210" s="25"/>
      <c r="R210" s="25"/>
      <c r="S210" s="37">
        <f t="shared" si="72"/>
        <v>1</v>
      </c>
      <c r="T210" s="52" t="str">
        <f t="shared" si="82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https://search-rtdc-monitor-bjffxe2xuh6vdkpspy63sjmuny.us-east-1.es.amazonaws.com/_plugin/kibana/#/discover/Steve-Slow-Train-Analysis-(2080s-and-2083s)?_g=(refreshInterval:(display:Off,section:0,value:0),time:(from:'2016-09-15 00:05:57-0600',mode:absolute,to:'2016-09-15 02:14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10" s="54" t="str">
        <f t="shared" si="76"/>
        <v>Y</v>
      </c>
      <c r="X210" s="168">
        <f t="shared" si="79"/>
        <v>2</v>
      </c>
      <c r="Y210" s="69">
        <f t="shared" si="75"/>
        <v>4.53E-2</v>
      </c>
      <c r="Z210" s="69">
        <f t="shared" si="90"/>
        <v>2.4963000000000002</v>
      </c>
      <c r="AA210" s="69">
        <f t="shared" si="84"/>
        <v>2.4510000000000001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85"/>
        <v>0311-14</v>
      </c>
      <c r="AE210" s="99" t="str">
        <f t="shared" si="86"/>
        <v>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 &amp; aws s3 cp s3://rtdc.mdm.uploadarchive/RTDC4027/2016-09-16/ "%USERPROFILE%\AppData\Local\Temp\OnboardLogs"\RTDC4027\2016-09-16 --recursive &amp; "%USERPROFILE%\Documents\GitHub\mrs-test-scripts\Headless Mode &amp; Sideloading\WalkAndUnGZ.bat" "%USERPROFILE%\AppData\Local\Temp\OnboardLogs"\RTDC4027\2016-09-16</v>
      </c>
      <c r="AF210" s="96" t="str">
        <f t="shared" si="87"/>
        <v>"C:\Program Files (x86)\AstroGrep\AstroGrep.exe" /spath="%USERPROFILE%\AppData\Local\Temp\OnboardLogs" /stypes="app*4027*20160915*" /stext=" 07:.+((SYSTEM_STATE.+slice.+state.+changed )|(ment ac)|(system.+state.+changed )|(\|lc)|(penalty)|(\[timeout)|(PRM\|1\|D)|(kpr)|(kdp))" /e /r /s</v>
      </c>
      <c r="AG210" s="1" t="str">
        <f t="shared" si="88"/>
        <v>Other</v>
      </c>
      <c r="AH210" s="100" t="str">
        <f t="shared" si="78"/>
        <v>"%USERPROFILE%\Documents\GitHub\eaglep3\Utilities\RefineRTDCRunTimes.py" --tripid 311-14 --locoid 4027 --swversion DE.1.0.7.0 --startMP 204:453 --initTime 2016-09-15T01:05:57 --startdatetime 2016-09-15T01:07:31 --delay 1 --endMP 300:24963 --enddatetime 2016-09-15T01:14:53 --enforcementcount 0 &gt;&gt;C:\Users\stu\Documents\GitHub\eaglep3-reporting\EC\2016-09-14-refined-times.txt</v>
      </c>
      <c r="AI210" s="134" t="str">
        <f t="shared" si="89"/>
        <v>echo {"issue":{"subject":"","project_id":79,"tracker_id":40,"status_id":1,"priority_id":2,"assigned_to_id":23,"start_date":"2016-09-15","description":"","custom_fields":[{"id":1,"name":"Subdivision","value":"Other"},{"id":4,"name":"Milepost","value":"2.4963"},{"id":17,"name":"Train ID","value":"311-14"},{"id":16,"name":"Locomotive ID","value":"4027"},{"id":130,"name":"Impact","value":""},{"id":150,"name":"Time of Event (Mountain Time)","value":"01:14:53"},{"id":151,"name":"Denver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366</v>
      </c>
      <c r="B211" s="7">
        <v>4018</v>
      </c>
      <c r="C211" s="24" t="s">
        <v>108</v>
      </c>
      <c r="D211" s="24" t="s">
        <v>367</v>
      </c>
      <c r="E211" s="15">
        <v>42627.094108796293</v>
      </c>
      <c r="F211" s="15">
        <v>42627.095590277779</v>
      </c>
      <c r="G211" s="7">
        <v>1</v>
      </c>
      <c r="H211" s="15" t="s">
        <v>368</v>
      </c>
      <c r="I211" s="15">
        <v>42627.101747685185</v>
      </c>
      <c r="J211" s="7">
        <v>0</v>
      </c>
      <c r="K211" s="121" t="str">
        <f t="shared" si="80"/>
        <v>4017/4018</v>
      </c>
      <c r="L211" s="24" t="str">
        <f>VLOOKUP(A211,'Trips&amp;Operators'!$C$1:$E$10000,3,FALSE)</f>
        <v>CHANDLER</v>
      </c>
      <c r="M211" s="6">
        <f t="shared" si="81"/>
        <v>6.1574074061354622E-3</v>
      </c>
      <c r="N211" s="7">
        <f t="shared" si="71"/>
        <v>8.8666666648350656</v>
      </c>
      <c r="O211" s="7"/>
      <c r="P211" s="7"/>
      <c r="Q211" s="25"/>
      <c r="R211" s="25"/>
      <c r="S211" s="37">
        <f t="shared" si="72"/>
        <v>1</v>
      </c>
      <c r="T211" s="52" t="str">
        <f t="shared" si="82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01:15:31-0600',mode:absolute,to:'2016-09-14 03:26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1" s="54" t="str">
        <f t="shared" si="76"/>
        <v>Y</v>
      </c>
      <c r="X211" s="168">
        <f t="shared" si="79"/>
        <v>4</v>
      </c>
      <c r="Y211" s="69">
        <f t="shared" si="75"/>
        <v>9.5100000000000004E-2</v>
      </c>
      <c r="Z211" s="69">
        <f t="shared" si="90"/>
        <v>2.2835000000000001</v>
      </c>
      <c r="AA211" s="69">
        <f t="shared" si="84"/>
        <v>2.1884000000000001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85"/>
        <v>0315-13</v>
      </c>
      <c r="AE211" s="99" t="str">
        <f t="shared" si="86"/>
        <v>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 &amp; 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</v>
      </c>
      <c r="AF211" s="96" t="str">
        <f t="shared" si="87"/>
        <v>"C:\Program Files (x86)\AstroGrep\AstroGrep.exe" /spath="%USERPROFILE%\AppData\Local\Temp\OnboardLogs" /stypes="app*4018*20160914*" /stext=" 08:.+((SYSTEM_STATE.+slice.+state.+changed )|(ment ac)|(system.+state.+changed )|(\|lc)|(penalty)|(\[timeout)|(PRM\|1\|D)|(kpr)|(kdp))" /e /r /s</v>
      </c>
      <c r="AG211" s="1" t="str">
        <f t="shared" si="88"/>
        <v>Other</v>
      </c>
      <c r="AH211" s="100" t="str">
        <f t="shared" si="78"/>
        <v>"%USERPROFILE%\Documents\GitHub\eaglep3\Utilities\RefineRTDCRunTimes.py" --tripid 315-13 --locoid 4018 --swversion DE.1.0.7.0 --startMP 204:951 --initTime 2016-09-14T02:15:31 --startdatetime 2016-09-14T02:17:39 --delay 1 --endMP 300:22835 --enddatetime 2016-09-14T02:26:31 --enforcementcount 0 &gt;&gt;C:\Users\stu\Documents\GitHub\eaglep3-reporting\EC\2016-09-14-refined-times.txt</v>
      </c>
      <c r="AI211" s="134" t="str">
        <f t="shared" si="89"/>
        <v>echo {"issue":{"subject":"","project_id":79,"tracker_id":40,"status_id":1,"priority_id":2,"assigned_to_id":23,"start_date":"2016-09-14","description":"","custom_fields":[{"id":1,"name":"Subdivision","value":"Other"},{"id":4,"name":"Milepost","value":"2.2835"},{"id":17,"name":"Train ID","value":"315-13"},{"id":16,"name":"Locomotive ID","value":"4018"},{"id":130,"name":"Impact","value":""},{"id":150,"name":"Time of Event (Mountain Time)","value":"02:26:31"},{"id":151,"name":"Denver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598</v>
      </c>
      <c r="B212" s="7">
        <v>4053</v>
      </c>
      <c r="C212" s="24" t="s">
        <v>108</v>
      </c>
      <c r="D212" s="24" t="s">
        <v>666</v>
      </c>
      <c r="E212" s="15">
        <v>42628.08730324074</v>
      </c>
      <c r="F212" s="15">
        <v>25568.958333333332</v>
      </c>
      <c r="G212" s="7">
        <v>1</v>
      </c>
      <c r="H212" s="15" t="s">
        <v>357</v>
      </c>
      <c r="I212" s="15">
        <v>25568.958333333332</v>
      </c>
      <c r="J212" s="7">
        <v>0</v>
      </c>
      <c r="K212" s="121" t="str">
        <f t="shared" si="80"/>
        <v>4053/4054</v>
      </c>
      <c r="L212" s="24" t="str">
        <f>VLOOKUP(A212,'Trips&amp;Operators'!$C$1:$E$10000,3,FALSE)</f>
        <v>COOLAHAN</v>
      </c>
      <c r="M212" s="6">
        <f t="shared" si="81"/>
        <v>0</v>
      </c>
      <c r="N212" s="7">
        <f t="shared" si="71"/>
        <v>0</v>
      </c>
      <c r="O212" s="7"/>
      <c r="P212" s="7"/>
      <c r="Q212" s="25"/>
      <c r="R212" s="25"/>
      <c r="S212" s="37">
        <f t="shared" si="72"/>
        <v>0</v>
      </c>
      <c r="T212" s="52" t="str">
        <f t="shared" si="82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https://search-rtdc-monitor-bjffxe2xuh6vdkpspy63sjmuny.us-east-1.es.amazonaws.com/_plugin/kibana/#/discover/Steve-Slow-Train-Analysis-(2080s-and-2083s)?_g=(refreshInterval:(display:Off,section:0,value:0),time:(from:'2016-09-15 01:05:43-0600',mode:absolute,to:'1970-01-01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12" s="54" t="str">
        <f t="shared" si="76"/>
        <v>Y</v>
      </c>
      <c r="X212" s="168">
        <f t="shared" si="79"/>
        <v>0</v>
      </c>
      <c r="Y212" s="69">
        <f t="shared" si="75"/>
        <v>5.0599999999999999E-2</v>
      </c>
      <c r="Z212" s="69">
        <f t="shared" si="90"/>
        <v>5.0900000000000001E-2</v>
      </c>
      <c r="AA212" s="69">
        <f t="shared" si="84"/>
        <v>3.0000000000000165E-4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85"/>
        <v>0315-14</v>
      </c>
      <c r="AE212" s="99" t="str">
        <f t="shared" si="86"/>
        <v>aws s3 cp s3://rtdc.mdm.uploadarchive/RTDC4053/1969-12-31/ "%USERPROFILE%\AppData\Local\Temp\OnboardLogs"\RTDC4053\1969-12-31 --recursive &amp; "%USERPROFILE%\Documents\GitHub\mrs-test-scripts\Headless Mode &amp; Sideloading\WalkAndUnGZ.bat" "%USERPROFILE%\AppData\Local\Temp\OnboardLogs"\RTDC4053\1969-12-31 &amp; aws s3 cp s3://rtdc.mdm.uploadarchive/RTDC4053/1970-01-01/ "%USERPROFILE%\AppData\Local\Temp\OnboardLogs"\RTDC4053\1970-01-01 --recursive &amp; "%USERPROFILE%\Documents\GitHub\mrs-test-scripts\Headless Mode &amp; Sideloading\WalkAndUnGZ.bat" "%USERPROFILE%\AppData\Local\Temp\OnboardLogs"\RTDC4053\1970-01-01</v>
      </c>
      <c r="AF212" s="96" t="str">
        <f t="shared" si="87"/>
        <v>"C:\Program Files (x86)\AstroGrep\AstroGrep.exe" /spath="%USERPROFILE%\AppData\Local\Temp\OnboardLogs" /stypes="app*4053*19700101*" /stext=" 05:.+((SYSTEM_STATE.+slice.+state.+changed )|(ment ac)|(system.+state.+changed )|(\|lc)|(penalty)|(\[timeout)|(PRM\|1\|D)|(kpr)|(kdp))" /e /r /s</v>
      </c>
      <c r="AG212" s="1" t="str">
        <f t="shared" si="88"/>
        <v>Other</v>
      </c>
      <c r="AH212" s="100" t="str">
        <f t="shared" si="78"/>
        <v>"%USERPROFILE%\Documents\GitHub\eaglep3\Utilities\RefineRTDCRunTimes.py" --tripid 315-14 --locoid 4053 --swversion DE.1.0.7.0 --startMP 204:506 --initTime 2016-09-15T02:05:43 --startdatetime 1969-12-31T23:00:00 --delay 1 --endMP 204:509 --enddatetime 1969-12-31T23:00:00 --enforcementcount 0 &gt;&gt;C:\Users\stu\Documents\GitHub\eaglep3-reporting\EC\2016-09-14-refined-times.txt</v>
      </c>
      <c r="AI212" s="134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{"issue":{"subject":"","project_id":79,"tracker_id":40,"status_id":1,"priority_id":2,"assigned_to_id":23,"start_date":"1969-12-31","description":"","custom_fields":[{"id":1,"name":"Subdivision","value":"Other"},{"id":4,"name":"Milepost","value":"0.0509"},{"id":17,"name":"Train ID","value":"315-14"},{"id":16,"name":"Locomotive ID","value":"4053"},{"id":130,"name":"Impact","value":""},{"id":150,"name":"Time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438</v>
      </c>
      <c r="B213" s="7">
        <v>4025</v>
      </c>
      <c r="C213" s="24" t="s">
        <v>108</v>
      </c>
      <c r="D213" s="24" t="s">
        <v>724</v>
      </c>
      <c r="E213" s="15">
        <v>42627.354571759257</v>
      </c>
      <c r="F213" s="15">
        <v>25568.958333333332</v>
      </c>
      <c r="G213" s="7">
        <v>1</v>
      </c>
      <c r="H213" s="15" t="s">
        <v>725</v>
      </c>
      <c r="I213" s="15">
        <v>25568.958333333332</v>
      </c>
      <c r="J213" s="7">
        <v>0</v>
      </c>
      <c r="K213" s="121" t="str">
        <f t="shared" si="80"/>
        <v>4025/4026</v>
      </c>
      <c r="L213" s="24" t="str">
        <f>VLOOKUP(A213,'Trips&amp;Operators'!$C$1:$E$10000,3,FALSE)</f>
        <v>STARKS</v>
      </c>
      <c r="M213" s="6">
        <f t="shared" si="81"/>
        <v>0</v>
      </c>
      <c r="N213" s="7">
        <f t="shared" si="71"/>
        <v>0</v>
      </c>
      <c r="O213" s="7"/>
      <c r="P213" s="7"/>
      <c r="Q213" s="25"/>
      <c r="R213" s="25"/>
      <c r="S213" s="37">
        <f t="shared" si="72"/>
        <v>1</v>
      </c>
      <c r="T213" s="52" t="str">
        <f t="shared" si="82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07:30:35-0600',mode:absolute,to:'1970-01-01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13" s="54" t="str">
        <f t="shared" si="76"/>
        <v>Y</v>
      </c>
      <c r="X213" s="168">
        <f t="shared" si="79"/>
        <v>588</v>
      </c>
      <c r="Y213" s="69">
        <f t="shared" si="75"/>
        <v>9.9000000000000005E-2</v>
      </c>
      <c r="Z213" s="69">
        <f t="shared" si="90"/>
        <v>2.4207000000000001</v>
      </c>
      <c r="AA213" s="69">
        <f t="shared" si="84"/>
        <v>2.3216999999999999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85"/>
        <v>0903-14</v>
      </c>
      <c r="AE213" s="99" t="str">
        <f t="shared" si="86"/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213" s="96" t="str">
        <f t="shared" si="87"/>
        <v>"C:\Program Files (x86)\AstroGrep\AstroGrep.exe" /spath="%USERPROFILE%\AppData\Local\Temp\OnboardLogs" /stypes="app*4025*19700101*" /stext=" 05:.+((SYSTEM_STATE.+slice.+state.+changed )|(ment ac)|(system.+state.+changed )|(\|lc)|(penalty)|(\[timeout)|(PRM\|1\|D)|(kpr)|(kdp))" /e /r /s</v>
      </c>
      <c r="AG213" s="1" t="str">
        <f t="shared" si="88"/>
        <v>Other</v>
      </c>
      <c r="AH213" s="100" t="str">
        <f t="shared" si="78"/>
        <v>"%USERPROFILE%\Documents\GitHub\eaglep3\Utilities\RefineRTDCRunTimes.py" --tripid 903-14 --locoid 4025 --swversion DE.1.0.7.0 --startMP 204:990 --initTime 2016-09-14T08:30:35 --startdatetime 1969-12-31T23:00:00 --delay 1 --endMP 300:24207 --enddatetime 1969-12-31T23:00:00 --enforcementcount 0 &gt;&gt;C:\Users\stu\Documents\GitHub\eaglep3-reporting\EC\2016-09-14-refined-times.txt</v>
      </c>
      <c r="AI213" s="134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{"issue":{"subject":"","project_id":79,"tracker_id":40,"status_id":1,"priority_id":2,"assigned_to_id":23,"start_date":"1969-12-31","description":"","custom_fields":[{"id":1,"name":"Subdivision","value":"Other"},{"id":4,"name":"Milepost","value":"2.4207"},{"id":17,"name":"Train ID","value":"903-14"},{"id":16,"name":"Locomotive ID","value":"4025"},{"id":130,"name":"Impact","value":""},{"id":150,"name":"Time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513</v>
      </c>
      <c r="B214" s="7">
        <v>4026</v>
      </c>
      <c r="C214" s="24" t="s">
        <v>108</v>
      </c>
      <c r="D214" s="24" t="s">
        <v>726</v>
      </c>
      <c r="E214" s="15">
        <v>42627.643657407411</v>
      </c>
      <c r="F214" s="15">
        <v>42627.645162037035</v>
      </c>
      <c r="G214" s="7">
        <v>1</v>
      </c>
      <c r="H214" s="15" t="s">
        <v>718</v>
      </c>
      <c r="I214" s="15">
        <v>42627.651666666665</v>
      </c>
      <c r="J214" s="7">
        <v>0</v>
      </c>
      <c r="K214" s="121" t="str">
        <f t="shared" si="80"/>
        <v>4025/4026</v>
      </c>
      <c r="L214" s="24" t="str">
        <f>VLOOKUP(A214,'Trips&amp;Operators'!$C$1:$E$10000,3,FALSE)</f>
        <v>DELGADO</v>
      </c>
      <c r="M214" s="6">
        <f t="shared" si="81"/>
        <v>6.5046296294895001E-3</v>
      </c>
      <c r="N214" s="7">
        <f t="shared" si="71"/>
        <v>9.3666666664648801</v>
      </c>
      <c r="O214" s="7"/>
      <c r="P214" s="7"/>
      <c r="Q214" s="25"/>
      <c r="R214" s="25"/>
      <c r="S214" s="37">
        <f t="shared" si="72"/>
        <v>1</v>
      </c>
      <c r="T214" s="52" t="str">
        <f t="shared" si="82"/>
        <v>Southbound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14:26:52-0600',mode:absolute,to:'2016-09-14 16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14" s="54" t="str">
        <f t="shared" si="76"/>
        <v>Y</v>
      </c>
      <c r="X214" s="168">
        <f t="shared" si="79"/>
        <v>1</v>
      </c>
      <c r="Y214" s="69">
        <f t="shared" si="75"/>
        <v>2.4289999999999998</v>
      </c>
      <c r="Z214" s="69">
        <f t="shared" si="90"/>
        <v>6.59E-2</v>
      </c>
      <c r="AA214" s="69">
        <f t="shared" si="84"/>
        <v>2.3630999999999998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85"/>
        <v>0904-14</v>
      </c>
      <c r="AE214" s="99" t="str">
        <f t="shared" si="86"/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AF214" s="96" t="str">
        <f t="shared" si="87"/>
        <v>"C:\Program Files (x86)\AstroGrep\AstroGrep.exe" /spath="%USERPROFILE%\AppData\Local\Temp\OnboardLogs" /stypes="app*4026*20160914*" /stext=" 21:.+((SYSTEM_STATE.+slice.+state.+changed )|(ment ac)|(system.+state.+changed )|(\|lc)|(penalty)|(\[timeout)|(PRM\|1\|D)|(kpr)|(kdp))" /e /r /s</v>
      </c>
      <c r="AG214" s="1" t="str">
        <f t="shared" si="88"/>
        <v>Other</v>
      </c>
      <c r="AH214" s="100" t="str">
        <f t="shared" si="78"/>
        <v>"%USERPROFILE%\Documents\GitHub\eaglep3\Utilities\RefineRTDCRunTimes.py" --tripid 904-14 --locoid 4026 --swversion DE.1.0.7.0 --startMP 300:24290 --initTime 2016-09-14T15:26:52 --startdatetime 2016-09-14T15:29:02 --delay 1 --endMP 204:659 --enddatetime 2016-09-14T15:38:24 --enforcementcount 0 &gt;&gt;C:\Users\stu\Documents\GitHub\eaglep3-reporting\EC\2016-09-14-refined-times.txt</v>
      </c>
      <c r="AI214" s="134" t="str">
        <f t="shared" si="89"/>
        <v>echo {"issue":{"subject":"","project_id":79,"tracker_id":40,"status_id":1,"priority_id":2,"assigned_to_id":23,"start_date":"2016-09-14","description":"","custom_fields":[{"id":1,"name":"Subdivision","value":"Other"},{"id":4,"name":"Milepost","value":"0.0659"},{"id":17,"name":"Train ID","value":"904-14"},{"id":16,"name":"Locomotive ID","value":"4026"},{"id":130,"name":"Impact","value":""},{"id":150,"name":"Time of Event (Mountain Time)","value":"15:38:24"},{"id":151,"name":"Denver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560</v>
      </c>
      <c r="B215" s="7">
        <v>4026</v>
      </c>
      <c r="C215" s="24" t="s">
        <v>108</v>
      </c>
      <c r="D215" s="24" t="s">
        <v>324</v>
      </c>
      <c r="E215" s="15">
        <v>42627.797291666669</v>
      </c>
      <c r="F215" s="15">
        <v>25568.958333333332</v>
      </c>
      <c r="G215" s="7">
        <v>1</v>
      </c>
      <c r="H215" s="15" t="s">
        <v>727</v>
      </c>
      <c r="I215" s="15">
        <v>25568.958333333332</v>
      </c>
      <c r="J215" s="7">
        <v>0</v>
      </c>
      <c r="K215" s="121" t="str">
        <f t="shared" si="80"/>
        <v>4025/4026</v>
      </c>
      <c r="L215" s="24" t="str">
        <f>VLOOKUP(A215,'Trips&amp;Operators'!$C$1:$E$10000,3,FALSE)</f>
        <v>DELGADO</v>
      </c>
      <c r="M215" s="6">
        <f t="shared" si="81"/>
        <v>0</v>
      </c>
      <c r="N215" s="7">
        <f t="shared" si="71"/>
        <v>0</v>
      </c>
      <c r="O215" s="7"/>
      <c r="P215" s="7"/>
      <c r="Q215" s="25"/>
      <c r="R215" s="25"/>
      <c r="S215" s="37">
        <f t="shared" si="72"/>
        <v>0</v>
      </c>
      <c r="T215" s="52" t="str">
        <f t="shared" si="82"/>
        <v>Southbound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18:08:06-0600',mode:absolute,to:'1970-01-01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15" s="54" t="str">
        <f t="shared" si="76"/>
        <v>Y</v>
      </c>
      <c r="X215" s="168">
        <f t="shared" si="79"/>
        <v>2</v>
      </c>
      <c r="Y215" s="69">
        <f t="shared" si="75"/>
        <v>5.8624000000000001</v>
      </c>
      <c r="Z215" s="69">
        <f t="shared" si="90"/>
        <v>2.8769</v>
      </c>
      <c r="AA215" s="69">
        <f t="shared" si="84"/>
        <v>2.9855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85"/>
        <v>0906-14</v>
      </c>
      <c r="AE215" s="99" t="str">
        <f t="shared" si="86"/>
        <v>aws s3 cp s3://rtdc.mdm.uploadarchive/RTDC4026/1969-12-31/ "%USERPROFILE%\AppData\Local\Temp\OnboardLogs"\RTDC4026\1969-12-31 --recursive &amp; "%USERPROFILE%\Documents\GitHub\mrs-test-scripts\Headless Mode &amp; Sideloading\WalkAndUnGZ.bat" "%USERPROFILE%\AppData\Local\Temp\OnboardLogs"\RTDC4026\1969-12-31 &amp; aws s3 cp s3://rtdc.mdm.uploadarchive/RTDC4026/1970-01-01/ "%USERPROFILE%\AppData\Local\Temp\OnboardLogs"\RTDC4026\1970-01-01 --recursive &amp; "%USERPROFILE%\Documents\GitHub\mrs-test-scripts\Headless Mode &amp; Sideloading\WalkAndUnGZ.bat" "%USERPROFILE%\AppData\Local\Temp\OnboardLogs"\RTDC4026\1970-01-01</v>
      </c>
      <c r="AF215" s="96" t="str">
        <f t="shared" si="87"/>
        <v>"C:\Program Files (x86)\AstroGrep\AstroGrep.exe" /spath="%USERPROFILE%\AppData\Local\Temp\OnboardLogs" /stypes="app*4026*19700101*" /stext=" 05:.+((SYSTEM_STATE.+slice.+state.+changed )|(ment ac)|(system.+state.+changed )|(\|lc)|(penalty)|(\[timeout)|(PRM\|1\|D)|(kpr)|(kdp))" /e /r /s</v>
      </c>
      <c r="AG215" s="1" t="str">
        <f t="shared" si="88"/>
        <v>Other</v>
      </c>
      <c r="AH215" s="100" t="str">
        <f t="shared" si="78"/>
        <v>"%USERPROFILE%\Documents\GitHub\eaglep3\Utilities\RefineRTDCRunTimes.py" --tripid 906-14 --locoid 4026 --swversion DE.1.0.7.0 --startMP 300:58624 --initTime 2016-09-14T19:08:06 --startdatetime 1969-12-31T23:00:00 --delay 1 --endMP 300:28769 --enddatetime 1969-12-31T23:00:00 --enforcementcount 0 &gt;&gt;C:\Users\stu\Documents\GitHub\eaglep3-reporting\EC\2016-09-14-refined-times.txt</v>
      </c>
      <c r="AI215" s="134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{"issue":{"subject":"","project_id":79,"tracker_id":40,"status_id":1,"priority_id":2,"assigned_to_id":23,"start_date":"1969-12-31","description":"","custom_fields":[{"id":1,"name":"Subdivision","value":"Other"},{"id":4,"name":"Milepost","value":"2.8769"},{"id":17,"name":"Train ID","value":"906-14"},{"id":16,"name":"Locomotive ID","value":"4026"},{"id":130,"name":"Impact","value":""},{"id":150,"name":"Time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584</v>
      </c>
      <c r="B216" s="7">
        <v>4019</v>
      </c>
      <c r="C216" s="24" t="s">
        <v>108</v>
      </c>
      <c r="D216" s="24" t="s">
        <v>324</v>
      </c>
      <c r="E216" s="15">
        <v>42627.944687499999</v>
      </c>
      <c r="F216" s="15">
        <v>42627.946296296293</v>
      </c>
      <c r="G216" s="7">
        <v>1</v>
      </c>
      <c r="H216" s="15" t="s">
        <v>728</v>
      </c>
      <c r="I216" s="15">
        <v>42627.952488425923</v>
      </c>
      <c r="J216" s="7">
        <v>0</v>
      </c>
      <c r="K216" s="121" t="str">
        <f t="shared" si="80"/>
        <v>4019/4020</v>
      </c>
      <c r="L216" s="24" t="str">
        <f>VLOOKUP(A216,'Trips&amp;Operators'!$C$1:$E$10000,3,FALSE)</f>
        <v>DELGADO</v>
      </c>
      <c r="M216" s="6">
        <f t="shared" si="81"/>
        <v>6.1921296291984618E-3</v>
      </c>
      <c r="N216" s="7">
        <f t="shared" si="71"/>
        <v>8.916666666045785</v>
      </c>
      <c r="O216" s="7"/>
      <c r="P216" s="7"/>
      <c r="Q216" s="25"/>
      <c r="R216" s="25"/>
      <c r="S216" s="37">
        <f t="shared" si="72"/>
        <v>0</v>
      </c>
      <c r="T216" s="52" t="str">
        <f t="shared" si="82"/>
        <v>Southbound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21:40:21-0600',mode:absolute,to:'2016-09-14 23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6" s="54" t="str">
        <f t="shared" si="76"/>
        <v>Y</v>
      </c>
      <c r="X216" s="168">
        <f t="shared" si="79"/>
        <v>2</v>
      </c>
      <c r="Y216" s="69">
        <f t="shared" si="75"/>
        <v>5.8624000000000001</v>
      </c>
      <c r="Z216" s="69">
        <f t="shared" si="90"/>
        <v>2.8763000000000001</v>
      </c>
      <c r="AA216" s="69">
        <f t="shared" si="84"/>
        <v>2.9861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85"/>
        <v>0908-14</v>
      </c>
      <c r="AE216" s="99" t="str">
        <f t="shared" si="86"/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AF216" s="96" t="str">
        <f t="shared" si="87"/>
        <v>"C:\Program Files (x86)\AstroGrep\AstroGrep.exe" /spath="%USERPROFILE%\AppData\Local\Temp\OnboardLogs" /stypes="app*4019*20160915*" /stext=" 04:.+((SYSTEM_STATE.+slice.+state.+changed )|(ment ac)|(system.+state.+changed )|(\|lc)|(penalty)|(\[timeout)|(PRM\|1\|D)|(kpr)|(kdp))" /e /r /s</v>
      </c>
      <c r="AG216" s="1" t="str">
        <f t="shared" si="88"/>
        <v>Other</v>
      </c>
      <c r="AH216" s="100" t="str">
        <f t="shared" si="78"/>
        <v>"%USERPROFILE%\Documents\GitHub\eaglep3\Utilities\RefineRTDCRunTimes.py" --tripid 908-14 --locoid 4019 --swversion DE.1.0.7.0 --startMP 300:58624 --initTime 2016-09-14T22:40:21 --startdatetime 2016-09-14T22:42:40 --delay 1 --endMP 300:28763 --enddatetime 2016-09-14T22:51:35 --enforcementcount 0 &gt;&gt;C:\Users\stu\Documents\GitHub\eaglep3-reporting\EC\2016-09-14-refined-times.txt</v>
      </c>
      <c r="AI216" s="134" t="str">
        <f t="shared" si="89"/>
        <v>echo {"issue":{"subject":"","project_id":79,"tracker_id":40,"status_id":1,"priority_id":2,"assigned_to_id":23,"start_date":"2016-09-14","description":"","custom_fields":[{"id":1,"name":"Subdivision","value":"Other"},{"id":4,"name":"Milepost","value":"2.8763"},{"id":17,"name":"Train ID","value":"908-14"},{"id":16,"name":"Locomotive ID","value":"4019"},{"id":130,"name":"Impact","value":""},{"id":150,"name":"Time of Event (Mountain Time)","value":"22:51:35"},{"id":151,"name":"Denver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538</v>
      </c>
      <c r="B217" s="7">
        <v>4022</v>
      </c>
      <c r="C217" s="24" t="s">
        <v>108</v>
      </c>
      <c r="D217" s="24" t="s">
        <v>667</v>
      </c>
      <c r="E217" s="15">
        <v>42627.728750000002</v>
      </c>
      <c r="F217" s="15">
        <v>25568.958333333332</v>
      </c>
      <c r="G217" s="7">
        <v>1</v>
      </c>
      <c r="H217" s="15" t="s">
        <v>668</v>
      </c>
      <c r="I217" s="15">
        <v>25568.958333333332</v>
      </c>
      <c r="J217" s="7">
        <v>0</v>
      </c>
      <c r="K217" s="121" t="str">
        <f t="shared" si="80"/>
        <v>4021/4022</v>
      </c>
      <c r="L217" s="24" t="str">
        <f>VLOOKUP(A217,'Trips&amp;Operators'!$C$1:$E$10000,3,FALSE)</f>
        <v>BRUDER</v>
      </c>
      <c r="M217" s="6">
        <f t="shared" si="81"/>
        <v>0</v>
      </c>
      <c r="N217" s="7">
        <f t="shared" si="71"/>
        <v>0</v>
      </c>
      <c r="O217" s="7"/>
      <c r="P217" s="7"/>
      <c r="Q217" s="25"/>
      <c r="R217" s="25"/>
      <c r="S217" s="37">
        <f t="shared" si="72"/>
        <v>0</v>
      </c>
      <c r="T217" s="52" t="e">
        <f t="shared" si="82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16:29:24-0600',mode:absolute,to:'1970-01-01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17" s="54" t="str">
        <f t="shared" si="76"/>
        <v>Y</v>
      </c>
      <c r="X217" s="168" t="e">
        <f t="shared" si="79"/>
        <v>#VALUE!</v>
      </c>
      <c r="Y217" s="69">
        <f t="shared" si="75"/>
        <v>3.7499999999999999E-2</v>
      </c>
      <c r="Z217" s="69">
        <f t="shared" si="90"/>
        <v>2.4243999999999999</v>
      </c>
      <c r="AA217" s="69">
        <f t="shared" si="84"/>
        <v>2.3868999999999998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85"/>
        <v>61-14</v>
      </c>
      <c r="AE217" s="99" t="str">
        <f t="shared" si="86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17" s="96" t="str">
        <f t="shared" si="87"/>
        <v>"C:\Program Files (x86)\AstroGrep\AstroGrep.exe" /spath="%USERPROFILE%\AppData\Local\Temp\OnboardLogs" /stypes="app*4022*19700101*" /stext=" 05:.+((SYSTEM_STATE.+slice.+state.+changed )|(ment ac)|(system.+state.+changed )|(\|lc)|(penalty)|(\[timeout)|(PRM\|1\|D)|(kpr)|(kdp))" /e /r /s</v>
      </c>
      <c r="AG217" s="1" t="str">
        <f t="shared" si="88"/>
        <v>Other</v>
      </c>
      <c r="AH217" s="100" t="str">
        <f t="shared" si="78"/>
        <v>"%USERPROFILE%\Documents\GitHub\eaglep3\Utilities\RefineRTDCRunTimes.py" --tripid 61-14 --locoid 4022 --swversion DE.1.0.7.0 --startMP 204:375 --initTime 2016-09-14T17:29:24 --startdatetime 1969-12-31T23:00:00 --delay 1 --endMP 300:24244 --enddatetime 1969-12-31T23:00:00 --enforcementcount 0 &gt;&gt;C:\Users\stu\Documents\GitHub\eaglep3-reporting\EC\2016-09-14-refined-times.txt</v>
      </c>
      <c r="AI217" s="134" t="str">
        <f t="shared" si="89"/>
        <v>echo {"issue":{"subject":"","project_id":79,"tracker_id":40,"status_id":1,"priority_id":2,"assigned_to_id":23,"start_date":"1969-12-31","description":"","custom_fields":[{"id":1,"name":"Subdivision","value":"Other"},{"id":4,"name":"Milepost","value":"2.4244"},{"id":17,"name":"Train ID","value":"61-14"},{"id":16,"name":"Locomotive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553</v>
      </c>
      <c r="B218" s="7">
        <v>4038</v>
      </c>
      <c r="C218" s="24" t="s">
        <v>108</v>
      </c>
      <c r="D218" s="24" t="s">
        <v>669</v>
      </c>
      <c r="E218" s="15">
        <v>42627.774513888886</v>
      </c>
      <c r="F218" s="15">
        <v>42627.776284722226</v>
      </c>
      <c r="G218" s="7">
        <v>1</v>
      </c>
      <c r="H218" s="15" t="s">
        <v>670</v>
      </c>
      <c r="I218" s="15">
        <v>42627.776365740741</v>
      </c>
      <c r="J218" s="7">
        <v>0</v>
      </c>
      <c r="K218" s="121" t="str">
        <f t="shared" si="80"/>
        <v>4037/4038</v>
      </c>
      <c r="L218" s="24" t="str">
        <f>VLOOKUP(A218,'Trips&amp;Operators'!$C$1:$E$10000,3,FALSE)</f>
        <v>DE LA ROSA</v>
      </c>
      <c r="M218" s="6">
        <f t="shared" si="81"/>
        <v>8.1018515629693866E-5</v>
      </c>
      <c r="N218" s="7">
        <f t="shared" si="71"/>
        <v>0.11666666250675917</v>
      </c>
      <c r="O218" s="7"/>
      <c r="P218" s="7"/>
      <c r="Q218" s="25"/>
      <c r="R218" s="25"/>
      <c r="S218" s="37">
        <f t="shared" si="72"/>
        <v>0</v>
      </c>
      <c r="T218" s="52" t="e">
        <f t="shared" si="82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83"/>
        <v>https://search-rtdc-monitor-bjffxe2xuh6vdkpspy63sjmuny.us-east-1.es.amazonaws.com/_plugin/kibana/#/discover/Steve-Slow-Train-Analysis-(2080s-and-2083s)?_g=(refreshInterval:(display:Off,section:0,value:0),time:(from:'2016-09-14 17:35:18-0600',mode:absolute,to:'2016-09-14 19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18" s="54" t="str">
        <f t="shared" si="76"/>
        <v>Y</v>
      </c>
      <c r="X218" s="168" t="e">
        <f t="shared" si="79"/>
        <v>#VALUE!</v>
      </c>
      <c r="Y218" s="69">
        <f t="shared" si="75"/>
        <v>0.1479</v>
      </c>
      <c r="Z218" s="69">
        <f t="shared" si="90"/>
        <v>0.17580000000000001</v>
      </c>
      <c r="AA218" s="69">
        <f t="shared" si="84"/>
        <v>2.7900000000000008E-2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85"/>
        <v>67-14</v>
      </c>
      <c r="AE218" s="99" t="str">
        <f t="shared" si="86"/>
        <v>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 &amp; aws s3 cp s3://rtdc.mdm.uploadarchive/RTDC4038/2016-09-15/ "%USERPROFILE%\AppData\Local\Temp\OnboardLogs"\RTDC4038\2016-09-15 --recursive &amp; "%USERPROFILE%\Documents\GitHub\mrs-test-scripts\Headless Mode &amp; Sideloading\WalkAndUnGZ.bat" "%USERPROFILE%\AppData\Local\Temp\OnboardLogs"\RTDC4038\2016-09-15</v>
      </c>
      <c r="AF218" s="96" t="str">
        <f t="shared" si="87"/>
        <v>"C:\Program Files (x86)\AstroGrep\AstroGrep.exe" /spath="%USERPROFILE%\AppData\Local\Temp\OnboardLogs" /stypes="app*4038*20160915*" /stext=" 00:.+((SYSTEM_STATE.+slice.+state.+changed )|(ment ac)|(system.+state.+changed )|(\|lc)|(penalty)|(\[timeout)|(PRM\|1\|D)|(kpr)|(kdp))" /e /r /s</v>
      </c>
      <c r="AG218" s="1" t="str">
        <f t="shared" si="88"/>
        <v>Other</v>
      </c>
      <c r="AH218" s="100" t="str">
        <f t="shared" si="78"/>
        <v>"%USERPROFILE%\Documents\GitHub\eaglep3\Utilities\RefineRTDCRunTimes.py" --tripid 67-14 --locoid 4038 --swversion DE.1.0.7.0 --startMP 204:1479 --initTime 2016-09-14T18:35:18 --startdatetime 2016-09-14T18:37:51 --delay 1 --endMP 204:1758 --enddatetime 2016-09-14T18:37:58 --enforcementcount 0 &gt;&gt;C:\Users\stu\Documents\GitHub\eaglep3-reporting\EC\2016-09-14-refined-times.txt</v>
      </c>
      <c r="AI218" s="134" t="str">
        <f t="shared" si="89"/>
        <v>echo {"issue":{"subject":"","project_id":79,"tracker_id":40,"status_id":1,"priority_id":2,"assigned_to_id":23,"start_date":"2016-09-14","description":"","custom_fields":[{"id":1,"name":"Subdivision","value":"Other"},{"id":4,"name":"Milepost","value":"0.1758"},{"id":17,"name":"Train ID","value":"67-14"},{"id":16,"name":"Locomotive ID","value":"4038"},{"id":130,"name":"Impact","value":""},{"id":150,"name":"Time of Event (Mountain Time)","value":"18:37:58"},{"id":151,"name":"Denver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s="23" customFormat="1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H221" s="100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s="23" customFormat="1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H223" s="100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  <row r="265" spans="1:38" x14ac:dyDescent="0.25">
      <c r="A265" s="39"/>
      <c r="B265" s="7"/>
      <c r="C265" s="24"/>
      <c r="D265" s="24"/>
      <c r="E265" s="15"/>
      <c r="F265" s="15"/>
      <c r="G265" s="7"/>
      <c r="H265" s="15"/>
      <c r="I265" s="15"/>
      <c r="J265" s="7"/>
      <c r="K265" s="121"/>
      <c r="L265" s="24"/>
      <c r="M265" s="6"/>
      <c r="N265" s="7"/>
      <c r="O265" s="7"/>
      <c r="P265" s="7"/>
      <c r="Q265" s="25"/>
      <c r="R265" s="25"/>
      <c r="S265" s="37"/>
      <c r="T265" s="52"/>
      <c r="U265" s="163"/>
      <c r="V265" s="106"/>
      <c r="W265" s="54"/>
      <c r="X265" s="168"/>
      <c r="Y265" s="69"/>
      <c r="Z265" s="69"/>
      <c r="AA265" s="69"/>
      <c r="AB265" s="66"/>
      <c r="AC265" s="62"/>
      <c r="AD265" s="63"/>
      <c r="AE265" s="99"/>
      <c r="AF265" s="96"/>
      <c r="AG265" s="1"/>
      <c r="AI265" s="134"/>
      <c r="AJ265" s="55"/>
      <c r="AK265" s="55"/>
      <c r="AL265" s="55"/>
    </row>
  </sheetData>
  <autoFilter ref="A12:AG26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65">
    <cfRule type="expression" dxfId="6" priority="262">
      <formula>$O13&gt;0</formula>
    </cfRule>
  </conditionalFormatting>
  <conditionalFormatting sqref="A13:S265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A219:S265 S13:S218 A13:Q218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AK13:AK265</xm:sqref>
        </x14:dataValidation>
        <x14:dataValidation type="list" allowBlank="1" showInputMessage="1" showErrorMessage="1">
          <x14:formula1>
            <xm:f>'Redmine List Values'!$C$2:$C$20</xm:f>
          </x14:formula1>
          <xm:sqref>AL13:AL265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6"/>
  <sheetViews>
    <sheetView tabSelected="1" topLeftCell="A44" workbookViewId="0">
      <selection activeCell="H72" sqref="H7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3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66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- 2016-09-14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185</v>
      </c>
      <c r="J6" s="136" t="s">
        <v>30</v>
      </c>
      <c r="K6" s="137" t="s">
        <v>29</v>
      </c>
      <c r="L6" s="149" t="s">
        <v>28</v>
      </c>
      <c r="M6" s="137" t="s">
        <v>186</v>
      </c>
      <c r="N6" s="138" t="s">
        <v>47</v>
      </c>
      <c r="O6" s="173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165</v>
      </c>
      <c r="Z6" s="145" t="s">
        <v>166</v>
      </c>
      <c r="AA6" s="145" t="s">
        <v>139</v>
      </c>
      <c r="AB6" s="145" t="s">
        <v>167</v>
      </c>
    </row>
    <row r="7" spans="1:28" s="1" customFormat="1" x14ac:dyDescent="0.25">
      <c r="A7" s="38">
        <v>42627.766111111108</v>
      </c>
      <c r="B7" s="33" t="s">
        <v>107</v>
      </c>
      <c r="C7" s="33" t="s">
        <v>547</v>
      </c>
      <c r="D7" s="33" t="s">
        <v>307</v>
      </c>
      <c r="E7" s="33" t="s">
        <v>173</v>
      </c>
      <c r="F7" s="49">
        <v>0</v>
      </c>
      <c r="G7" s="49">
        <v>270</v>
      </c>
      <c r="H7" s="49">
        <v>33190</v>
      </c>
      <c r="I7" s="49">
        <v>33623</v>
      </c>
      <c r="J7" s="33" t="s">
        <v>172</v>
      </c>
      <c r="K7" s="49">
        <v>33137</v>
      </c>
      <c r="L7" s="150" t="s">
        <v>52</v>
      </c>
      <c r="M7" s="153">
        <f>CONVERT((I7-K7)/10000,"mi","ft")*IF(L7="Increasing Mileposts (1)",-1,1)</f>
        <v>-256.608</v>
      </c>
      <c r="N7" s="92" t="str">
        <f>VLOOKUP(C7,'Trips&amp;Operators'!$C$1:$E$99999,3,FALSE)</f>
        <v>LEVIN</v>
      </c>
      <c r="O7" s="174" t="s">
        <v>86</v>
      </c>
      <c r="P7" s="10" t="s">
        <v>303</v>
      </c>
      <c r="Q7" s="33"/>
      <c r="R7" s="108" t="str">
        <f>VLOOKUP(C7,'Train Runs'!$A$13:$AE$10028,31,0)</f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S7" s="111" t="str">
        <f>VLOOKUP(C7,'Train Runs'!$A$13:$AE$10028,22,0)</f>
        <v>https://search-rtdc-monitor-bjffxe2xuh6vdkpspy63sjmuny.us-east-1.es.amazonaws.com/_plugin/kibana/#/discover/Steve-Slow-Train-Analysis-(2080s-and-2083s)?_g=(refreshInterval:(display:Off,section:0,value:0),time:(from:'2016-09-14 17:07:35-0600',mode:absolute,to:'2016-09-14 19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7" s="113" t="str">
        <f t="shared" ref="T7:T38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/stypes="*4014*201609150*" /stext=" 00:.+((SYSTEM_STATE.+slice.+state.+changed )|(ment ac)|(system.+state.+changed )|(\|lc)|(penalty)|(\[timeout)|(PRM\|1\|D)|(kpr)|(kdp))" /e /r /s</v>
      </c>
      <c r="U7" s="9" t="str">
        <f t="shared" ref="U7:U38" si="1">MID(B7,13,4)</f>
        <v>4014</v>
      </c>
      <c r="V7" s="38">
        <f t="shared" ref="V7:V38" si="2">A7+6/24</f>
        <v>42628.016111111108</v>
      </c>
      <c r="W7" s="52" t="str">
        <f t="shared" ref="W7:W38" si="3">IF(VALUE(LEFT(IF(LEN(C7)=6,"0"&amp;C7,C7),2))&lt;=2,"EC",IF(OR(VALUE(LEFT(IF(LEN(C7)=6,"0"&amp;C7,C7),2))=8,VALUE(LEFT(IF(LEN(C7)=6,"0"&amp;C7,C7),2))=18),"NW","Other"))</f>
        <v>EC</v>
      </c>
      <c r="X7" s="52" t="str">
        <f t="shared" ref="X7:X38" si="4">IF(AND(E7="TRACK WARRANT AUTHORITY",G7&lt;10),"OMIT","KEEP")</f>
        <v>KEEP</v>
      </c>
      <c r="Y7" s="134" t="str">
        <f t="shared" ref="Y7:Y38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arrival","project_id":79,"tracker_id":40,"status_id":1,"priority_id":2,"assigned_to_id":23,"start_date":"2016-09-14","description":"","custom_fields":[{"id":1,"name":"Subdivision","value":"EC"},{"id":4,"name":"Milepost","value":"3.3137"},{"id":17,"name":"Train ID","value":"217-14"},{"id":16,"name":"Locomotive ID","value":"4014"},{"id":130,"name":"Impact","value":""},{"id":150,"name":"Time of Event (Mountain Time)","value":"18:23:12"},{"id":151,"name":"Denver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42627.92423611111</v>
      </c>
      <c r="B8" s="33" t="s">
        <v>107</v>
      </c>
      <c r="C8" s="33" t="s">
        <v>580</v>
      </c>
      <c r="D8" s="33" t="s">
        <v>307</v>
      </c>
      <c r="E8" s="33" t="s">
        <v>173</v>
      </c>
      <c r="F8" s="49">
        <v>0</v>
      </c>
      <c r="G8" s="49">
        <v>216</v>
      </c>
      <c r="H8" s="49">
        <v>42855</v>
      </c>
      <c r="I8" s="49">
        <v>43184</v>
      </c>
      <c r="J8" s="33" t="s">
        <v>172</v>
      </c>
      <c r="K8" s="49">
        <v>42779</v>
      </c>
      <c r="L8" s="150" t="s">
        <v>52</v>
      </c>
      <c r="M8" s="153">
        <f t="shared" ref="M8:M71" si="6">CONVERT((I8-K8)/10000,"mi","ft")*IF(L8="Increasing Mileposts (1)",-1,1)</f>
        <v>-213.84</v>
      </c>
      <c r="N8" s="92" t="str">
        <f>VLOOKUP(C8,'Trips&amp;Operators'!$C$1:$E$99999,3,FALSE)</f>
        <v>LEVIN</v>
      </c>
      <c r="O8" s="174" t="s">
        <v>86</v>
      </c>
      <c r="P8" s="10" t="s">
        <v>303</v>
      </c>
      <c r="Q8" s="33"/>
      <c r="R8" s="108" t="str">
        <f>VLOOKUP(C8,'Train Runs'!$A$13:$AE$10028,31,0)</f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S8" s="111" t="str">
        <f>VLOOKUP(C8,'Train Runs'!$A$13:$AE$10028,22,0)</f>
        <v>https://search-rtdc-monitor-bjffxe2xuh6vdkpspy63sjmuny.us-east-1.es.amazonaws.com/_plugin/kibana/#/discover/Steve-Slow-Train-Analysis-(2080s-and-2083s)?_g=(refreshInterval:(display:Off,section:0,value:0),time:(from:'2016-09-14 20:55:14-0600',mode:absolute,to:'2016-09-14 23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8" s="113" t="str">
        <f t="shared" si="0"/>
        <v>"C:\Program Files (x86)\AstroGrep\AstroGrep.exe" /spath="%USERPROFILE%\AppData\Local\Temp\OnboardLogs" /stypes="*4014*201609150*" /stext=" 04:.+((SYSTEM_STATE.+slice.+state.+changed )|(ment ac)|(system.+state.+changed )|(\|lc)|(penalty)|(\[timeout)|(PRM\|1\|D)|(kpr)|(kdp))" /e /r /s</v>
      </c>
      <c r="U8" s="9" t="str">
        <f t="shared" si="1"/>
        <v>4014</v>
      </c>
      <c r="V8" s="38">
        <f t="shared" si="2"/>
        <v>42628.17423611111</v>
      </c>
      <c r="W8" s="52" t="str">
        <f t="shared" si="3"/>
        <v>EC</v>
      </c>
      <c r="X8" s="52" t="str">
        <f t="shared" si="4"/>
        <v>KEEP</v>
      </c>
      <c r="Y8" s="134" t="str">
        <f t="shared" si="5"/>
        <v>echo {"issue":{"subject":"Early arrival","project_id":79,"tracker_id":40,"status_id":1,"priority_id":2,"assigned_to_id":23,"start_date":"2016-09-14","description":"","custom_fields":[{"id":1,"name":"Subdivision","value":"EC"},{"id":4,"name":"Milepost","value":"4.2779"},{"id":17,"name":"Train ID","value":"233-14"},{"id":16,"name":"Locomotive ID","value":"4014"},{"id":130,"name":"Impact","value":""},{"id":150,"name":"Time of Event (Mountain Time)","value":"22:10:54"},{"id":151,"name":"Denver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</row>
    <row r="9" spans="1:28" s="1" customFormat="1" x14ac:dyDescent="0.25">
      <c r="A9" s="38">
        <v>42627.986770833333</v>
      </c>
      <c r="B9" s="33" t="s">
        <v>301</v>
      </c>
      <c r="C9" s="33" t="s">
        <v>588</v>
      </c>
      <c r="D9" s="33" t="s">
        <v>307</v>
      </c>
      <c r="E9" s="33" t="s">
        <v>173</v>
      </c>
      <c r="F9" s="49">
        <v>0</v>
      </c>
      <c r="G9" s="49">
        <v>225</v>
      </c>
      <c r="H9" s="49">
        <v>42880</v>
      </c>
      <c r="I9" s="49">
        <v>43061</v>
      </c>
      <c r="J9" s="33" t="s">
        <v>172</v>
      </c>
      <c r="K9" s="49">
        <v>42779</v>
      </c>
      <c r="L9" s="150" t="s">
        <v>52</v>
      </c>
      <c r="M9" s="153">
        <f t="shared" si="6"/>
        <v>-148.89599999999999</v>
      </c>
      <c r="N9" s="92" t="str">
        <f>VLOOKUP(C9,'Trips&amp;Operators'!$C$1:$E$99999,3,FALSE)</f>
        <v>SMITH</v>
      </c>
      <c r="O9" s="174" t="s">
        <v>86</v>
      </c>
      <c r="P9" s="10" t="s">
        <v>303</v>
      </c>
      <c r="Q9" s="33"/>
      <c r="R9" s="108" t="str">
        <f>VLOOKUP(C9,'Train Runs'!$A$13:$AE$10028,31,0)</f>
        <v>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 &amp; aws s3 cp s3://rtdc.mdm.uploadarchive/RTDC4027/2016-09-15/ "%USERPROFILE%\AppData\Local\Temp\OnboardLogs"\RTDC4027\2016-09-15 --recursive &amp; "%USERPROFILE%\Documents\GitHub\mrs-test-scripts\Headless Mode &amp; Sideloading\WalkAndUnGZ.bat" "%USERPROFILE%\AppData\Local\Temp\OnboardLogs"\RTDC4027\2016-09-15</v>
      </c>
      <c r="S9" s="111" t="str">
        <f>VLOOKUP(C9,'Train Runs'!$A$13:$AE$10028,22,0)</f>
        <v>https://search-rtdc-monitor-bjffxe2xuh6vdkpspy63sjmuny.us-east-1.es.amazonaws.com/_plugin/kibana/#/discover/Steve-Slow-Train-Analysis-(2080s-and-2083s)?_g=(refreshInterval:(display:Off,section:0,value:0),time:(from:'2016-09-14 22:26:44-0600',mode:absolute,to:'2016-09-15 01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9" s="113" t="str">
        <f t="shared" si="0"/>
        <v>"C:\Program Files (x86)\AstroGrep\AstroGrep.exe" /spath="%USERPROFILE%\AppData\Local\Temp\OnboardLogs" /stypes="*4027*201609150*" /stext=" 05:.+((SYSTEM_STATE.+slice.+state.+changed )|(ment ac)|(system.+state.+changed )|(\|lc)|(penalty)|(\[timeout)|(PRM\|1\|D)|(kpr)|(kdp))" /e /r /s</v>
      </c>
      <c r="U9" s="9" t="str">
        <f t="shared" si="1"/>
        <v>4027</v>
      </c>
      <c r="V9" s="38">
        <f t="shared" si="2"/>
        <v>42628.236770833333</v>
      </c>
      <c r="W9" s="52" t="str">
        <f t="shared" si="3"/>
        <v>EC</v>
      </c>
      <c r="X9" s="52" t="str">
        <f t="shared" si="4"/>
        <v>KEEP</v>
      </c>
      <c r="Y9" s="13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arrival","project_id":79,"tracker_id":40,"status_id":1,"priority_id":2,"assigned_to_id":23,"start_date":"2016-09-14","description":"","custom_fields":[{"id":1,"name":"Subdivision","value":"EC"},{"id":4,"name":"Milepost","value":"4.2779"},{"id":17,"name":"Train ID","value":"239-14"},{"id":16,"name":"Locomotive ID","value":"4027"},{"id":130,"name":"Impact","value":""},{"id":150,"name":"Time of Event (Mountain Time)","value":"23:40:57"},{"id":151,"name":"Denver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</row>
    <row r="10" spans="1:28" s="1" customFormat="1" x14ac:dyDescent="0.25">
      <c r="A10" s="38">
        <v>42627.467256944445</v>
      </c>
      <c r="B10" s="33" t="s">
        <v>382</v>
      </c>
      <c r="C10" s="33" t="s">
        <v>464</v>
      </c>
      <c r="D10" s="33" t="s">
        <v>49</v>
      </c>
      <c r="E10" s="33" t="s">
        <v>173</v>
      </c>
      <c r="F10" s="49">
        <v>0</v>
      </c>
      <c r="G10" s="49">
        <v>54</v>
      </c>
      <c r="H10" s="49">
        <v>52983</v>
      </c>
      <c r="I10" s="49">
        <v>53046</v>
      </c>
      <c r="J10" s="33" t="s">
        <v>172</v>
      </c>
      <c r="K10" s="49">
        <v>53155</v>
      </c>
      <c r="L10" s="150" t="s">
        <v>52</v>
      </c>
      <c r="M10" s="153">
        <f t="shared" si="6"/>
        <v>57.552</v>
      </c>
      <c r="N10" s="92" t="str">
        <f>VLOOKUP(C10,'Trips&amp;Operators'!$C$1:$E$99999,3,FALSE)</f>
        <v>BROWN</v>
      </c>
      <c r="O10" s="174" t="s">
        <v>86</v>
      </c>
      <c r="P10" s="10" t="s">
        <v>739</v>
      </c>
      <c r="Q10" s="33"/>
      <c r="R10" s="108" t="str">
        <f>VLOOKUP(C10,'Train Runs'!$A$13:$AE$10028,31,0)</f>
        <v>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 &amp; aws s3 cp s3://rtdc.mdm.uploadarchive/RTDC4003/2016-09-15/ "%USERPROFILE%\AppData\Local\Temp\OnboardLogs"\RTDC4003\2016-09-15 --recursive &amp; "%USERPROFILE%\Documents\GitHub\mrs-test-scripts\Headless Mode &amp; Sideloading\WalkAndUnGZ.bat" "%USERPROFILE%\AppData\Local\Temp\OnboardLogs"\RTDC4003\2016-09-15</v>
      </c>
      <c r="S10" s="111" t="str">
        <f>VLOOKUP(C10,'Train Runs'!$A$13:$AE$10028,22,0)</f>
        <v>https://search-rtdc-monitor-bjffxe2xuh6vdkpspy63sjmuny.us-east-1.es.amazonaws.com/_plugin/kibana/#/discover/Steve-Slow-Train-Analysis-(2080s-and-2083s)?_g=(refreshInterval:(display:Off,section:0,value:0),time:(from:'2016-09-14 09:55:27-0600',mode:absolute,to:'2016-09-14 12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0" s="113" t="str">
        <f t="shared" si="0"/>
        <v>"C:\Program Files (x86)\AstroGrep\AstroGrep.exe" /spath="%USERPROFILE%\AppData\Local\Temp\OnboardLogs" /stypes="*4003*201609141*" /stext=" 17:.+((SYSTEM_STATE.+slice.+state.+changed )|(ment ac)|(system.+state.+changed )|(\|lc)|(penalty)|(\[timeout)|(PRM\|1\|D)|(kpr)|(kdp))" /e /r /s</v>
      </c>
      <c r="U10" s="9" t="str">
        <f t="shared" si="1"/>
        <v>4003</v>
      </c>
      <c r="V10" s="38">
        <f t="shared" si="2"/>
        <v>42627.717256944445</v>
      </c>
      <c r="W10" s="52" t="str">
        <f t="shared" si="3"/>
        <v>EC</v>
      </c>
      <c r="X10" s="52" t="str">
        <f t="shared" si="4"/>
        <v>KEEP</v>
      </c>
      <c r="Y10" s="134" t="str">
        <f t="shared" si="5"/>
        <v>echo {"issue":{"subject":"Form C","project_id":79,"tracker_id":40,"status_id":1,"priority_id":2,"assigned_to_id":23,"start_date":"2016-09-14","description":"","custom_fields":[{"id":1,"name":"Subdivision","value":"EC"},{"id":4,"name":"Milepost","value":"5.3155"},{"id":17,"name":"Train ID","value":"159-14"},{"id":16,"name":"Locomotive ID","value":"4003"},{"id":130,"name":"Impact","value":""},{"id":150,"name":"Time of Event (Mountain Time)","value":"11:12:51"},{"id":151,"name":"Denver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</row>
    <row r="11" spans="1:28" s="1" customFormat="1" x14ac:dyDescent="0.25">
      <c r="A11" s="38">
        <v>42627.386388888888</v>
      </c>
      <c r="B11" s="33" t="s">
        <v>276</v>
      </c>
      <c r="C11" s="33" t="s">
        <v>439</v>
      </c>
      <c r="D11" s="33" t="s">
        <v>49</v>
      </c>
      <c r="E11" s="33" t="s">
        <v>173</v>
      </c>
      <c r="F11" s="49">
        <v>0</v>
      </c>
      <c r="G11" s="49">
        <v>144</v>
      </c>
      <c r="H11" s="49">
        <v>54123</v>
      </c>
      <c r="I11" s="49">
        <v>53938</v>
      </c>
      <c r="J11" s="33" t="s">
        <v>172</v>
      </c>
      <c r="K11" s="49">
        <v>53277</v>
      </c>
      <c r="L11" s="150" t="s">
        <v>53</v>
      </c>
      <c r="M11" s="153">
        <f t="shared" si="6"/>
        <v>349.00800000000004</v>
      </c>
      <c r="N11" s="92" t="str">
        <f>VLOOKUP(C11,'Trips&amp;Operators'!$C$1:$E$99999,3,FALSE)</f>
        <v>STRICKLAND</v>
      </c>
      <c r="O11" s="174" t="s">
        <v>86</v>
      </c>
      <c r="P11" s="10" t="s">
        <v>739</v>
      </c>
      <c r="Q11" s="33"/>
      <c r="R11" s="108" t="str">
        <f>VLOOKUP(C11,'Train Runs'!$A$13:$AE$10028,31,0)</f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S11" s="111" t="str">
        <f>VLOOKUP(C11,'Train Runs'!$A$13:$AE$10028,22,0)</f>
        <v>https://search-rtdc-monitor-bjffxe2xuh6vdkpspy63sjmuny.us-east-1.es.amazonaws.com/_plugin/kibana/#/discover/Steve-Slow-Train-Analysis-(2080s-and-2083s)?_g=(refreshInterval:(display:Off,section:0,value:0),time:(from:'2016-09-14 07:37:26-0600',mode:absolute,to:'2016-09-14 10:30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1" s="113" t="str">
        <f t="shared" si="0"/>
        <v>"C:\Program Files (x86)\AstroGrep\AstroGrep.exe" /spath="%USERPROFILE%\AppData\Local\Temp\OnboardLogs" /stypes="*4013*201609141*" /stext=" 15:.+((SYSTEM_STATE.+slice.+state.+changed )|(ment ac)|(system.+state.+changed )|(\|lc)|(penalty)|(\[timeout)|(PRM\|1\|D)|(kpr)|(kdp))" /e /r /s</v>
      </c>
      <c r="U11" s="9" t="str">
        <f t="shared" si="1"/>
        <v>4013</v>
      </c>
      <c r="V11" s="38">
        <f t="shared" si="2"/>
        <v>42627.636388888888</v>
      </c>
      <c r="W11" s="52" t="str">
        <f t="shared" si="3"/>
        <v>EC</v>
      </c>
      <c r="X11" s="52" t="str">
        <f t="shared" si="4"/>
        <v>KEEP</v>
      </c>
      <c r="Y11" s="134" t="str">
        <f t="shared" si="5"/>
        <v>echo {"issue":{"subject":"Form C","project_id":79,"tracker_id":40,"status_id":1,"priority_id":2,"assigned_to_id":23,"start_date":"2016-09-14","description":"","custom_fields":[{"id":1,"name":"Subdivision","value":"EC"},{"id":4,"name":"Milepost","value":"5.3277"},{"id":17,"name":"Train ID","value":"134-14"},{"id":16,"name":"Locomotive ID","value":"4013"},{"id":130,"name":"Impact","value":""},{"id":150,"name":"Time of Event (Mountain Time)","value":"09:16:24"},{"id":151,"name":"Denver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</row>
    <row r="12" spans="1:28" s="1" customFormat="1" x14ac:dyDescent="0.25">
      <c r="A12" s="38">
        <v>42627.318842592591</v>
      </c>
      <c r="B12" s="33" t="s">
        <v>342</v>
      </c>
      <c r="C12" s="33" t="s">
        <v>420</v>
      </c>
      <c r="D12" s="33" t="s">
        <v>49</v>
      </c>
      <c r="E12" s="33" t="s">
        <v>173</v>
      </c>
      <c r="F12" s="49">
        <v>0</v>
      </c>
      <c r="G12" s="49">
        <v>140</v>
      </c>
      <c r="H12" s="49">
        <v>59451</v>
      </c>
      <c r="I12" s="49">
        <v>59244</v>
      </c>
      <c r="J12" s="33" t="s">
        <v>172</v>
      </c>
      <c r="K12" s="49">
        <v>58904</v>
      </c>
      <c r="L12" s="150" t="s">
        <v>53</v>
      </c>
      <c r="M12" s="153">
        <f t="shared" si="6"/>
        <v>179.52</v>
      </c>
      <c r="N12" s="92" t="str">
        <f>VLOOKUP(C12,'Trips&amp;Operators'!$C$1:$E$99999,3,FALSE)</f>
        <v>SPECTOR</v>
      </c>
      <c r="O12" s="174" t="s">
        <v>86</v>
      </c>
      <c r="P12" s="10" t="s">
        <v>739</v>
      </c>
      <c r="Q12" s="33"/>
      <c r="R12" s="108" t="str">
        <f>VLOOKUP(C12,'Train Runs'!$A$13:$AE$10028,31,0)</f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S12" s="111" t="str">
        <f>VLOOKUP(C12,'Train Runs'!$A$13:$AE$10028,22,0)</f>
        <v>https://search-rtdc-monitor-bjffxe2xuh6vdkpspy63sjmuny.us-east-1.es.amazonaws.com/_plugin/kibana/#/discover/Steve-Slow-Train-Analysis-(2080s-and-2083s)?_g=(refreshInterval:(display:Off,section:0,value:0),time:(from:'2016-09-14 06:00:22-0600',mode:absolute,to:'2016-09-14 08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2" s="113" t="str">
        <f t="shared" si="0"/>
        <v>"C:\Program Files (x86)\AstroGrep\AstroGrep.exe" /spath="%USERPROFILE%\AppData\Local\Temp\OnboardLogs" /stypes="*4054*201609141*" /stext=" 13:.+((SYSTEM_STATE.+slice.+state.+changed )|(ment ac)|(system.+state.+changed )|(\|lc)|(penalty)|(\[timeout)|(PRM\|1\|D)|(kpr)|(kdp))" /e /r /s</v>
      </c>
      <c r="U12" s="9" t="str">
        <f t="shared" si="1"/>
        <v>4054</v>
      </c>
      <c r="V12" s="38">
        <f t="shared" si="2"/>
        <v>42627.568842592591</v>
      </c>
      <c r="W12" s="52" t="str">
        <f t="shared" si="3"/>
        <v>EC</v>
      </c>
      <c r="X12" s="52" t="str">
        <f t="shared" si="4"/>
        <v>KEEP</v>
      </c>
      <c r="Y12" s="134" t="str">
        <f t="shared" si="5"/>
        <v>echo {"issue":{"subject":"Form C","project_id":79,"tracker_id":40,"status_id":1,"priority_id":2,"assigned_to_id":23,"start_date":"2016-09-14","description":"","custom_fields":[{"id":1,"name":"Subdivision","value":"EC"},{"id":4,"name":"Milepost","value":"5.8904"},{"id":17,"name":"Train ID","value":"122-14"},{"id":16,"name":"Locomotive ID","value":"4054"},{"id":130,"name":"Impact","value":""},{"id":150,"name":"Time of Event (Mountain Time)","value":"07:39:08"},{"id":151,"name":"Denver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</row>
    <row r="13" spans="1:28" s="1" customFormat="1" x14ac:dyDescent="0.25">
      <c r="A13" s="38">
        <v>42627.34002314815</v>
      </c>
      <c r="B13" s="33" t="s">
        <v>405</v>
      </c>
      <c r="C13" s="33" t="s">
        <v>427</v>
      </c>
      <c r="D13" s="33" t="s">
        <v>49</v>
      </c>
      <c r="E13" s="33" t="s">
        <v>173</v>
      </c>
      <c r="F13" s="49">
        <v>0</v>
      </c>
      <c r="G13" s="49">
        <v>103</v>
      </c>
      <c r="H13" s="49">
        <v>59282</v>
      </c>
      <c r="I13" s="49">
        <v>59168</v>
      </c>
      <c r="J13" s="33" t="s">
        <v>172</v>
      </c>
      <c r="K13" s="49">
        <v>58904</v>
      </c>
      <c r="L13" s="150" t="s">
        <v>53</v>
      </c>
      <c r="M13" s="153">
        <f t="shared" si="6"/>
        <v>139.392</v>
      </c>
      <c r="N13" s="92" t="str">
        <f>VLOOKUP(C13,'Trips&amp;Operators'!$C$1:$E$99999,3,FALSE)</f>
        <v>ROCHA</v>
      </c>
      <c r="O13" s="174" t="s">
        <v>86</v>
      </c>
      <c r="P13" s="10" t="s">
        <v>739</v>
      </c>
      <c r="Q13" s="33"/>
      <c r="R13" s="108" t="str">
        <f>VLOOKUP(C13,'Train Runs'!$A$13:$AE$10028,31,0)</f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S13" s="111" t="str">
        <f>VLOOKUP(C13,'Train Runs'!$A$13:$AE$10028,22,0)</f>
        <v>https://search-rtdc-monitor-bjffxe2xuh6vdkpspy63sjmuny.us-east-1.es.amazonaws.com/_plugin/kibana/#/discover/Steve-Slow-Train-Analysis-(2080s-and-2083s)?_g=(refreshInterval:(display:Off,section:0,value:0),time:(from:'2016-09-14 06:39:21-0600',mode:absolute,to:'2016-09-14 09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3" s="113" t="str">
        <f t="shared" si="0"/>
        <v>"C:\Program Files (x86)\AstroGrep\AstroGrep.exe" /spath="%USERPROFILE%\AppData\Local\Temp\OnboardLogs" /stypes="*4043*201609141*" /stext=" 14:.+((SYSTEM_STATE.+slice.+state.+changed )|(ment ac)|(system.+state.+changed )|(\|lc)|(penalty)|(\[timeout)|(PRM\|1\|D)|(kpr)|(kdp))" /e /r /s</v>
      </c>
      <c r="U13" s="9" t="str">
        <f t="shared" si="1"/>
        <v>4043</v>
      </c>
      <c r="V13" s="38">
        <f t="shared" si="2"/>
        <v>42627.59002314815</v>
      </c>
      <c r="W13" s="52" t="str">
        <f t="shared" si="3"/>
        <v>EC</v>
      </c>
      <c r="X13" s="52" t="str">
        <f t="shared" si="4"/>
        <v>KEEP</v>
      </c>
      <c r="Y13" s="134" t="str">
        <f t="shared" si="5"/>
        <v>echo {"issue":{"subject":"Form C","project_id":79,"tracker_id":40,"status_id":1,"priority_id":2,"assigned_to_id":23,"start_date":"2016-09-14","description":"","custom_fields":[{"id":1,"name":"Subdivision","value":"EC"},{"id":4,"name":"Milepost","value":"5.8904"},{"id":17,"name":"Train ID","value":"126-14"},{"id":16,"name":"Locomotive ID","value":"4043"},{"id":130,"name":"Impact","value":""},{"id":150,"name":"Time of Event (Mountain Time)","value":"08:09:38"},{"id":151,"name":"Denver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</row>
    <row r="14" spans="1:28" s="1" customFormat="1" x14ac:dyDescent="0.25">
      <c r="A14" s="38">
        <v>42627.474456018521</v>
      </c>
      <c r="B14" s="33" t="s">
        <v>249</v>
      </c>
      <c r="C14" s="33" t="s">
        <v>463</v>
      </c>
      <c r="D14" s="33" t="s">
        <v>49</v>
      </c>
      <c r="E14" s="33" t="s">
        <v>173</v>
      </c>
      <c r="F14" s="49">
        <v>0</v>
      </c>
      <c r="G14" s="49">
        <v>75</v>
      </c>
      <c r="H14" s="49">
        <v>59150</v>
      </c>
      <c r="I14" s="49">
        <v>59044</v>
      </c>
      <c r="J14" s="33" t="s">
        <v>172</v>
      </c>
      <c r="K14" s="49">
        <v>58904</v>
      </c>
      <c r="L14" s="150" t="s">
        <v>53</v>
      </c>
      <c r="M14" s="153">
        <f t="shared" si="6"/>
        <v>73.92</v>
      </c>
      <c r="N14" s="92" t="str">
        <f>VLOOKUP(C14,'Trips&amp;Operators'!$C$1:$E$99999,3,FALSE)</f>
        <v>KILLION</v>
      </c>
      <c r="O14" s="174" t="s">
        <v>86</v>
      </c>
      <c r="P14" s="10" t="s">
        <v>739</v>
      </c>
      <c r="Q14" s="33"/>
      <c r="R14" s="108" t="str">
        <f>VLOOKUP(C14,'Train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14" s="111" t="str">
        <f>VLOOKUP(C14,'Train Runs'!$A$13:$AE$10028,22,0)</f>
        <v>https://search-rtdc-monitor-bjffxe2xuh6vdkpspy63sjmuny.us-east-1.es.amazonaws.com/_plugin/kibana/#/discover/Steve-Slow-Train-Analysis-(2080s-and-2083s)?_g=(refreshInterval:(display:Off,section:0,value:0),time:(from:'2016-09-14 09:52:06-0600',mode:absolute,to:'2016-09-14 12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4" s="113" t="str">
        <f t="shared" si="0"/>
        <v>"C:\Program Files (x86)\AstroGrep\AstroGrep.exe" /spath="%USERPROFILE%\AppData\Local\Temp\OnboardLogs" /stypes="*4039*201609141*" /stext=" 17:.+((SYSTEM_STATE.+slice.+state.+changed )|(ment ac)|(system.+state.+changed )|(\|lc)|(penalty)|(\[timeout)|(PRM\|1\|D)|(kpr)|(kdp))" /e /r /s</v>
      </c>
      <c r="U14" s="9" t="str">
        <f t="shared" si="1"/>
        <v>4039</v>
      </c>
      <c r="V14" s="38">
        <f t="shared" si="2"/>
        <v>42627.724456018521</v>
      </c>
      <c r="W14" s="52" t="str">
        <f t="shared" si="3"/>
        <v>EC</v>
      </c>
      <c r="X14" s="52" t="str">
        <f t="shared" si="4"/>
        <v>KEEP</v>
      </c>
      <c r="Y14" s="134" t="str">
        <f t="shared" si="5"/>
        <v>echo {"issue":{"subject":"Form C","project_id":79,"tracker_id":40,"status_id":1,"priority_id":2,"assigned_to_id":23,"start_date":"2016-09-14","description":"","custom_fields":[{"id":1,"name":"Subdivision","value":"EC"},{"id":4,"name":"Milepost","value":"5.8904"},{"id":17,"name":"Train ID","value":"152-14"},{"id":16,"name":"Locomotive ID","value":"4039"},{"id":130,"name":"Impact","value":""},{"id":150,"name":"Time of Event (Mountain Time)","value":"11:23:13"},{"id":151,"name":"Denver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</row>
    <row r="15" spans="1:28" s="1" customFormat="1" x14ac:dyDescent="0.25">
      <c r="A15" s="38">
        <v>42627.557245370372</v>
      </c>
      <c r="B15" s="33" t="s">
        <v>405</v>
      </c>
      <c r="C15" s="33" t="s">
        <v>484</v>
      </c>
      <c r="D15" s="33" t="s">
        <v>49</v>
      </c>
      <c r="E15" s="33" t="s">
        <v>173</v>
      </c>
      <c r="F15" s="49">
        <v>110</v>
      </c>
      <c r="G15" s="49">
        <v>177</v>
      </c>
      <c r="H15" s="49">
        <v>63731</v>
      </c>
      <c r="I15" s="49">
        <v>63526</v>
      </c>
      <c r="J15" s="33" t="s">
        <v>172</v>
      </c>
      <c r="K15" s="49">
        <v>63309</v>
      </c>
      <c r="L15" s="150" t="s">
        <v>53</v>
      </c>
      <c r="M15" s="153">
        <f t="shared" si="6"/>
        <v>114.57599999999999</v>
      </c>
      <c r="N15" s="92" t="str">
        <f>VLOOKUP(C15,'Trips&amp;Operators'!$C$1:$E$99999,3,FALSE)</f>
        <v>HILLS</v>
      </c>
      <c r="O15" s="174" t="s">
        <v>86</v>
      </c>
      <c r="P15" s="10" t="s">
        <v>303</v>
      </c>
      <c r="Q15" s="33"/>
      <c r="R15" s="108" t="str">
        <f>VLOOKUP(C15,'Train Runs'!$A$13:$AE$10028,31,0)</f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S15" s="111" t="str">
        <f>VLOOKUP(C15,'Train Runs'!$A$13:$AE$10028,22,0)</f>
        <v>https://search-rtdc-monitor-bjffxe2xuh6vdkpspy63sjmuny.us-east-1.es.amazonaws.com/_plugin/kibana/#/discover/Steve-Slow-Train-Analysis-(2080s-and-2083s)?_g=(refreshInterval:(display:Off,section:0,value:0),time:(from:'2016-09-14 11:39:31-0600',mode:absolute,to:'2016-09-14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5" s="113" t="str">
        <f t="shared" si="0"/>
        <v>"C:\Program Files (x86)\AstroGrep\AstroGrep.exe" /spath="%USERPROFILE%\AppData\Local\Temp\OnboardLogs" /stypes="*4043*201609141*" /stext=" 19:.+((SYSTEM_STATE.+slice.+state.+changed )|(ment ac)|(system.+state.+changed )|(\|lc)|(penalty)|(\[timeout)|(PRM\|1\|D)|(kpr)|(kdp))" /e /r /s</v>
      </c>
      <c r="U15" s="9" t="str">
        <f t="shared" si="1"/>
        <v>4043</v>
      </c>
      <c r="V15" s="38">
        <f t="shared" si="2"/>
        <v>42627.807245370372</v>
      </c>
      <c r="W15" s="52" t="str">
        <f t="shared" si="3"/>
        <v>EC</v>
      </c>
      <c r="X15" s="52" t="str">
        <f t="shared" si="4"/>
        <v>KEEP</v>
      </c>
      <c r="Y15" s="134" t="str">
        <f t="shared" si="5"/>
        <v>echo {"issue":{"subject":"Early arrival","project_id":79,"tracker_id":40,"status_id":1,"priority_id":2,"assigned_to_id":23,"start_date":"2016-09-14","description":"","custom_fields":[{"id":1,"name":"Subdivision","value":"EC"},{"id":4,"name":"Milepost","value":"6.3309"},{"id":17,"name":"Train ID","value":"168-14"},{"id":16,"name":"Locomotive ID","value":"4043"},{"id":130,"name":"Impact","value":""},{"id":150,"name":"Time of Event (Mountain Time)","value":"13:22:26"},{"id":151,"name":"Denver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</row>
    <row r="16" spans="1:28" s="1" customFormat="1" x14ac:dyDescent="0.25">
      <c r="A16" s="38">
        <v>42627.701574074075</v>
      </c>
      <c r="B16" s="33" t="s">
        <v>405</v>
      </c>
      <c r="C16" s="33" t="s">
        <v>523</v>
      </c>
      <c r="D16" s="33" t="s">
        <v>49</v>
      </c>
      <c r="E16" s="33" t="s">
        <v>173</v>
      </c>
      <c r="F16" s="49">
        <v>120</v>
      </c>
      <c r="G16" s="49">
        <v>174</v>
      </c>
      <c r="H16" s="49">
        <v>63776</v>
      </c>
      <c r="I16" s="49">
        <v>63643</v>
      </c>
      <c r="J16" s="33" t="s">
        <v>172</v>
      </c>
      <c r="K16" s="49">
        <v>63309</v>
      </c>
      <c r="L16" s="150" t="s">
        <v>53</v>
      </c>
      <c r="M16" s="153">
        <f t="shared" si="6"/>
        <v>176.352</v>
      </c>
      <c r="N16" s="92" t="str">
        <f>VLOOKUP(C16,'Trips&amp;Operators'!$C$1:$E$99999,3,FALSE)</f>
        <v>HILLS</v>
      </c>
      <c r="O16" s="174" t="s">
        <v>86</v>
      </c>
      <c r="P16" s="10" t="s">
        <v>303</v>
      </c>
      <c r="Q16" s="33"/>
      <c r="R16" s="108" t="str">
        <f>VLOOKUP(C16,'Train Runs'!$A$13:$AE$10028,31,0)</f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S16" s="111" t="str">
        <f>VLOOKUP(C16,'Train Runs'!$A$13:$AE$10028,22,0)</f>
        <v>https://search-rtdc-monitor-bjffxe2xuh6vdkpspy63sjmuny.us-east-1.es.amazonaws.com/_plugin/kibana/#/discover/Steve-Slow-Train-Analysis-(2080s-and-2083s)?_g=(refreshInterval:(display:Off,section:0,value:0),time:(from:'2016-09-14 15:18:01-0600',mode:absolute,to:'2016-09-14 18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6" s="113" t="str">
        <f t="shared" si="0"/>
        <v>"C:\Program Files (x86)\AstroGrep\AstroGrep.exe" /spath="%USERPROFILE%\AppData\Local\Temp\OnboardLogs" /stypes="*4043*201609142*" /stext=" 22:.+((SYSTEM_STATE.+slice.+state.+changed )|(ment ac)|(system.+state.+changed )|(\|lc)|(penalty)|(\[timeout)|(PRM\|1\|D)|(kpr)|(kdp))" /e /r /s</v>
      </c>
      <c r="U16" s="9" t="str">
        <f t="shared" si="1"/>
        <v>4043</v>
      </c>
      <c r="V16" s="38">
        <f t="shared" si="2"/>
        <v>42627.951574074075</v>
      </c>
      <c r="W16" s="52" t="str">
        <f t="shared" si="3"/>
        <v>EC</v>
      </c>
      <c r="X16" s="52" t="str">
        <f t="shared" si="4"/>
        <v>KEEP</v>
      </c>
      <c r="Y16" s="134" t="str">
        <f t="shared" si="5"/>
        <v>echo {"issue":{"subject":"Early arrival","project_id":79,"tracker_id":40,"status_id":1,"priority_id":2,"assigned_to_id":23,"start_date":"2016-09-14","description":"","custom_fields":[{"id":1,"name":"Subdivision","value":"EC"},{"id":4,"name":"Milepost","value":"6.3309"},{"id":17,"name":"Train ID","value":"196-14"},{"id":16,"name":"Locomotive ID","value":"4043"},{"id":130,"name":"Impact","value":""},{"id":150,"name":"Time of Event (Mountain Time)","value":"16:50:16"},{"id":151,"name":"Denver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</row>
    <row r="17" spans="1:28" s="1" customFormat="1" x14ac:dyDescent="0.25">
      <c r="A17" s="38">
        <v>42627.495752314811</v>
      </c>
      <c r="B17" s="33" t="s">
        <v>182</v>
      </c>
      <c r="C17" s="33" t="s">
        <v>469</v>
      </c>
      <c r="D17" s="33" t="s">
        <v>49</v>
      </c>
      <c r="E17" s="33" t="s">
        <v>173</v>
      </c>
      <c r="F17" s="49">
        <v>140</v>
      </c>
      <c r="G17" s="49">
        <v>191</v>
      </c>
      <c r="H17" s="49">
        <v>63697</v>
      </c>
      <c r="I17" s="49">
        <v>63494</v>
      </c>
      <c r="J17" s="33" t="s">
        <v>172</v>
      </c>
      <c r="K17" s="49">
        <v>63309</v>
      </c>
      <c r="L17" s="150" t="s">
        <v>53</v>
      </c>
      <c r="M17" s="153">
        <f t="shared" si="6"/>
        <v>97.68</v>
      </c>
      <c r="N17" s="92" t="str">
        <f>VLOOKUP(C17,'Trips&amp;Operators'!$C$1:$E$99999,3,FALSE)</f>
        <v>STARKS</v>
      </c>
      <c r="O17" s="174" t="s">
        <v>86</v>
      </c>
      <c r="P17" s="10" t="s">
        <v>303</v>
      </c>
      <c r="Q17" s="33"/>
      <c r="R17" s="108" t="str">
        <f>VLOOKUP(C17,'Train Runs'!$A$13:$AE$10028,31,0)</f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S17" s="111" t="str">
        <f>VLOOKUP(C17,'Train Runs'!$A$13:$AE$10028,22,0)</f>
        <v>https://search-rtdc-monitor-bjffxe2xuh6vdkpspy63sjmuny.us-east-1.es.amazonaws.com/_plugin/kibana/#/discover/Steve-Slow-Train-Analysis-(2080s-and-2083s)?_g=(refreshInterval:(display:Off,section:0,value:0),time:(from:'2016-09-14 10:27:41-0600',mode:absolute,to:'2016-09-14 13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7" s="113" t="str">
        <f t="shared" si="0"/>
        <v>"C:\Program Files (x86)\AstroGrep\AstroGrep.exe" /spath="%USERPROFILE%\AppData\Local\Temp\OnboardLogs" /stypes="*4041*201609141*" /stext=" 17:.+((SYSTEM_STATE.+slice.+state.+changed )|(ment ac)|(system.+state.+changed )|(\|lc)|(penalty)|(\[timeout)|(PRM\|1\|D)|(kpr)|(kdp))" /e /r /s</v>
      </c>
      <c r="U17" s="9" t="str">
        <f t="shared" si="1"/>
        <v>4041</v>
      </c>
      <c r="V17" s="38">
        <f t="shared" si="2"/>
        <v>42627.745752314811</v>
      </c>
      <c r="W17" s="52" t="str">
        <f t="shared" si="3"/>
        <v>EC</v>
      </c>
      <c r="X17" s="52" t="str">
        <f t="shared" si="4"/>
        <v>KEEP</v>
      </c>
      <c r="Y17" s="134" t="str">
        <f t="shared" si="5"/>
        <v>echo {"issue":{"subject":"Early arrival","project_id":79,"tracker_id":40,"status_id":1,"priority_id":2,"assigned_to_id":23,"start_date":"2016-09-14","description":"","custom_fields":[{"id":1,"name":"Subdivision","value":"EC"},{"id":4,"name":"Milepost","value":"6.3309"},{"id":17,"name":"Train ID","value":"156-14"},{"id":16,"name":"Locomotive ID","value":"4041"},{"id":130,"name":"Impact","value":""},{"id":150,"name":"Time of Event (Mountain Time)","value":"11:53:53"},{"id":151,"name":"Denver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</row>
    <row r="18" spans="1:28" s="1" customFormat="1" x14ac:dyDescent="0.25">
      <c r="A18" s="38">
        <v>42627.451261574075</v>
      </c>
      <c r="B18" s="33" t="s">
        <v>276</v>
      </c>
      <c r="C18" s="33" t="s">
        <v>458</v>
      </c>
      <c r="D18" s="33" t="s">
        <v>307</v>
      </c>
      <c r="E18" s="33" t="s">
        <v>173</v>
      </c>
      <c r="F18" s="49">
        <v>0</v>
      </c>
      <c r="G18" s="49">
        <v>295</v>
      </c>
      <c r="H18" s="49">
        <v>109012</v>
      </c>
      <c r="I18" s="49">
        <v>108566</v>
      </c>
      <c r="J18" s="33" t="s">
        <v>172</v>
      </c>
      <c r="K18" s="49">
        <v>109135</v>
      </c>
      <c r="L18" s="150" t="s">
        <v>53</v>
      </c>
      <c r="M18" s="153">
        <f t="shared" si="6"/>
        <v>-300.43200000000002</v>
      </c>
      <c r="N18" s="92" t="str">
        <f>VLOOKUP(C18,'Trips&amp;Operators'!$C$1:$E$99999,3,FALSE)</f>
        <v>STRICKLAND</v>
      </c>
      <c r="O18" s="174" t="s">
        <v>86</v>
      </c>
      <c r="P18" s="10" t="s">
        <v>303</v>
      </c>
      <c r="Q18" s="33"/>
      <c r="R18" s="108" t="str">
        <f>VLOOKUP(C18,'Train Runs'!$A$13:$AE$10028,31,0)</f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S18" s="111" t="str">
        <f>VLOOKUP(C18,'Train Runs'!$A$13:$AE$10028,22,0)</f>
        <v>https://search-rtdc-monitor-bjffxe2xuh6vdkpspy63sjmuny.us-east-1.es.amazonaws.com/_plugin/kibana/#/discover/Steve-Slow-Train-Analysis-(2080s-and-2083s)?_g=(refreshInterval:(display:Off,section:0,value:0),time:(from:'2016-09-14 09:23:44-0600',mode:absolute,to:'2016-09-14 12:14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8" s="113" t="str">
        <f t="shared" si="0"/>
        <v>"C:\Program Files (x86)\AstroGrep\AstroGrep.exe" /spath="%USERPROFILE%\AppData\Local\Temp\OnboardLogs" /stypes="*4013*201609141*" /stext=" 16:.+((SYSTEM_STATE.+slice.+state.+changed )|(ment ac)|(system.+state.+changed )|(\|lc)|(penalty)|(\[timeout)|(PRM\|1\|D)|(kpr)|(kdp))" /e /r /s</v>
      </c>
      <c r="U18" s="9" t="str">
        <f t="shared" si="1"/>
        <v>4013</v>
      </c>
      <c r="V18" s="38">
        <f t="shared" si="2"/>
        <v>42627.701261574075</v>
      </c>
      <c r="W18" s="52" t="str">
        <f t="shared" si="3"/>
        <v>EC</v>
      </c>
      <c r="X18" s="52" t="str">
        <f t="shared" si="4"/>
        <v>KEEP</v>
      </c>
      <c r="Y18" s="134" t="str">
        <f t="shared" si="5"/>
        <v>echo {"issue":{"subject":"Early arrival","project_id":79,"tracker_id":40,"status_id":1,"priority_id":2,"assigned_to_id":23,"start_date":"2016-09-14","description":"","custom_fields":[{"id":1,"name":"Subdivision","value":"EC"},{"id":4,"name":"Milepost","value":"10.9135"},{"id":17,"name":"Train ID","value":"148-14"},{"id":16,"name":"Locomotive ID","value":"4013"},{"id":130,"name":"Impact","value":""},{"id":150,"name":"Time of Event (Mountain Time)","value":"10:49:49"},{"id":151,"name":"Denver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</row>
    <row r="19" spans="1:28" s="1" customFormat="1" x14ac:dyDescent="0.25">
      <c r="A19" s="38">
        <v>42627.522060185183</v>
      </c>
      <c r="B19" s="33" t="s">
        <v>391</v>
      </c>
      <c r="C19" s="33" t="s">
        <v>473</v>
      </c>
      <c r="D19" s="33" t="s">
        <v>49</v>
      </c>
      <c r="E19" s="33" t="s">
        <v>56</v>
      </c>
      <c r="F19" s="49">
        <v>300</v>
      </c>
      <c r="G19" s="49">
        <v>411</v>
      </c>
      <c r="H19" s="49">
        <v>23237</v>
      </c>
      <c r="I19" s="49">
        <v>22069</v>
      </c>
      <c r="J19" s="33" t="s">
        <v>57</v>
      </c>
      <c r="K19" s="49">
        <v>21848</v>
      </c>
      <c r="L19" s="150" t="s">
        <v>53</v>
      </c>
      <c r="M19" s="153">
        <f t="shared" si="6"/>
        <v>116.688</v>
      </c>
      <c r="N19" s="92" t="str">
        <f>VLOOKUP(C19,'Trips&amp;Operators'!$C$1:$E$99999,3,FALSE)</f>
        <v>BONDS</v>
      </c>
      <c r="O19" s="174" t="s">
        <v>86</v>
      </c>
      <c r="P19" s="10"/>
      <c r="Q19" s="33"/>
      <c r="R19" s="108" t="str">
        <f>VLOOKUP(C19,'Train Runs'!$A$13:$AE$10028,31,0)</f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S19" s="111" t="str">
        <f>VLOOKUP(C19,'Train Runs'!$A$13:$AE$10028,22,0)</f>
        <v>https://search-rtdc-monitor-bjffxe2xuh6vdkpspy63sjmuny.us-east-1.es.amazonaws.com/_plugin/kibana/#/discover/Steve-Slow-Train-Analysis-(2080s-and-2083s)?_g=(refreshInterval:(display:Off,section:0,value:0),time:(from:'2016-09-14 10:48:26-0600',mode:absolute,to:'2016-09-14 13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9" s="113" t="str">
        <f t="shared" si="0"/>
        <v>"C:\Program Files (x86)\AstroGrep\AstroGrep.exe" /spath="%USERPROFILE%\AppData\Local\Temp\OnboardLogs" /stypes="*4004*201609141*" /stext=" 18:.+((SYSTEM_STATE.+slice.+state.+changed )|(ment ac)|(system.+state.+changed )|(\|lc)|(penalty)|(\[timeout)|(PRM\|1\|D)|(kpr)|(kdp))" /e /r /s</v>
      </c>
      <c r="U19" s="9" t="str">
        <f t="shared" si="1"/>
        <v>4004</v>
      </c>
      <c r="V19" s="38">
        <f t="shared" si="2"/>
        <v>42627.772060185183</v>
      </c>
      <c r="W19" s="52" t="str">
        <f t="shared" si="3"/>
        <v>EC</v>
      </c>
      <c r="X19" s="52" t="str">
        <f t="shared" si="4"/>
        <v>KEEP</v>
      </c>
      <c r="Y19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{"issue":{"subject":"","project_id":79,"tracker_id":40,"status_id":1,"priority_id":2,"assigned_to_id":23,"start_date":"2016-09-14","description":"","custom_fields":[{"id":1,"name":"Subdivision","value":"EC"},{"id":4,"name":"Milepost","value":"2.1848"},{"id":17,"name":"Train ID","value":"160-14"},{"id":16,"name":"Locomotive ID","value":"4004"},{"id":130,"name":"Impact","value":""},{"id":150,"name":"Time of Event (Mountain Time)","value":"12:31:46"},{"id":151,"name":"Denver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</row>
    <row r="20" spans="1:28" s="1" customFormat="1" x14ac:dyDescent="0.25">
      <c r="A20" s="38">
        <v>42627.417650462965</v>
      </c>
      <c r="B20" s="33" t="s">
        <v>130</v>
      </c>
      <c r="C20" s="33" t="s">
        <v>447</v>
      </c>
      <c r="D20" s="33" t="s">
        <v>49</v>
      </c>
      <c r="E20" s="33" t="s">
        <v>56</v>
      </c>
      <c r="F20" s="49">
        <v>400</v>
      </c>
      <c r="G20" s="49">
        <v>553</v>
      </c>
      <c r="H20" s="49">
        <v>115170</v>
      </c>
      <c r="I20" s="49">
        <v>116970</v>
      </c>
      <c r="J20" s="33" t="s">
        <v>57</v>
      </c>
      <c r="K20" s="49">
        <v>116838</v>
      </c>
      <c r="L20" s="150" t="s">
        <v>52</v>
      </c>
      <c r="M20" s="153">
        <f t="shared" si="6"/>
        <v>-69.695999999999998</v>
      </c>
      <c r="N20" s="92" t="str">
        <f>VLOOKUP(C20,'Trips&amp;Operators'!$C$1:$E$99999,3,FALSE)</f>
        <v>ACKERMAN</v>
      </c>
      <c r="O20" s="174" t="s">
        <v>86</v>
      </c>
      <c r="P20" s="10"/>
      <c r="Q20" s="33"/>
      <c r="R20" s="108" t="str">
        <f>VLOOKUP(C20,'Train Runs'!$A$13:$AE$10028,31,0)</f>
        <v>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 &amp; aws s3 cp s3://rtdc.mdm.uploadarchive/RTDC4038/2016-09-15/ "%USERPROFILE%\AppData\Local\Temp\OnboardLogs"\RTDC4038\2016-09-15 --recursive &amp; "%USERPROFILE%\Documents\GitHub\mrs-test-scripts\Headless Mode &amp; Sideloading\WalkAndUnGZ.bat" "%USERPROFILE%\AppData\Local\Temp\OnboardLogs"\RTDC4038\2016-09-15</v>
      </c>
      <c r="S20" s="111" t="str">
        <f>VLOOKUP(C20,'Train Runs'!$A$13:$AE$10028,22,0)</f>
        <v>https://search-rtdc-monitor-bjffxe2xuh6vdkpspy63sjmuny.us-east-1.es.amazonaws.com/_plugin/kibana/#/discover/Steve-Slow-Train-Analysis-(2080s-and-2083s)?_g=(refreshInterval:(display:Off,section:0,value:0),time:(from:'2016-09-14 08:25:27-0600',mode:absolute,to:'2016-09-14 11:16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20" s="113" t="str">
        <f t="shared" si="0"/>
        <v>"C:\Program Files (x86)\AstroGrep\AstroGrep.exe" /spath="%USERPROFILE%\AppData\Local\Temp\OnboardLogs" /stypes="*4038*201609141*" /stext=" 16:.+((SYSTEM_STATE.+slice.+state.+changed )|(ment ac)|(system.+state.+changed )|(\|lc)|(penalty)|(\[timeout)|(PRM\|1\|D)|(kpr)|(kdp))" /e /r /s</v>
      </c>
      <c r="U20" s="9" t="str">
        <f t="shared" si="1"/>
        <v>4038</v>
      </c>
      <c r="V20" s="38">
        <f t="shared" si="2"/>
        <v>42627.667650462965</v>
      </c>
      <c r="W20" s="52" t="str">
        <f t="shared" si="3"/>
        <v>EC</v>
      </c>
      <c r="X20" s="52" t="str">
        <f t="shared" si="4"/>
        <v>KEEP</v>
      </c>
      <c r="Y20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{"issue":{"subject":"","project_id":79,"tracker_id":40,"status_id":1,"priority_id":2,"assigned_to_id":23,"start_date":"2016-09-14","description":"","custom_fields":[{"id":1,"name":"Subdivision","value":"EC"},{"id":4,"name":"Milepost","value":"11.6838"},{"id":17,"name":"Train ID","value":"145-14"},{"id":16,"name":"Locomotive ID","value":"4038"},{"id":130,"name":"Impact","value":""},{"id":150,"name":"Time of Event (Mountain Time)","value":"10:01:25"},{"id":151,"name":"Denver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</row>
    <row r="21" spans="1:28" x14ac:dyDescent="0.25">
      <c r="A21" s="38">
        <v>42627.375451388885</v>
      </c>
      <c r="B21" s="33" t="s">
        <v>276</v>
      </c>
      <c r="C21" s="33" t="s">
        <v>439</v>
      </c>
      <c r="D21" s="33" t="s">
        <v>49</v>
      </c>
      <c r="E21" s="33" t="s">
        <v>56</v>
      </c>
      <c r="F21" s="49">
        <v>400</v>
      </c>
      <c r="G21" s="49">
        <v>499</v>
      </c>
      <c r="H21" s="49">
        <v>121251</v>
      </c>
      <c r="I21" s="49">
        <v>119577</v>
      </c>
      <c r="J21" s="33" t="s">
        <v>57</v>
      </c>
      <c r="K21" s="49">
        <v>119716</v>
      </c>
      <c r="L21" s="150" t="s">
        <v>53</v>
      </c>
      <c r="M21" s="153">
        <f t="shared" si="6"/>
        <v>-73.391999999999996</v>
      </c>
      <c r="N21" s="92" t="str">
        <f>VLOOKUP(C21,'Trips&amp;Operators'!$C$1:$E$99999,3,FALSE)</f>
        <v>STRICKLAND</v>
      </c>
      <c r="O21" s="174" t="s">
        <v>86</v>
      </c>
      <c r="P21" s="10"/>
      <c r="Q21" s="33"/>
      <c r="R21" s="108" t="str">
        <f>VLOOKUP(C21,'Train Runs'!$A$13:$AE$10028,31,0)</f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S21" s="111" t="str">
        <f>VLOOKUP(C21,'Train Runs'!$A$13:$AE$10028,22,0)</f>
        <v>https://search-rtdc-monitor-bjffxe2xuh6vdkpspy63sjmuny.us-east-1.es.amazonaws.com/_plugin/kibana/#/discover/Steve-Slow-Train-Analysis-(2080s-and-2083s)?_g=(refreshInterval:(display:Off,section:0,value:0),time:(from:'2016-09-14 07:37:26-0600',mode:absolute,to:'2016-09-14 10:30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1" s="113" t="str">
        <f t="shared" si="0"/>
        <v>"C:\Program Files (x86)\AstroGrep\AstroGrep.exe" /spath="%USERPROFILE%\AppData\Local\Temp\OnboardLogs" /stypes="*4013*201609141*" /stext=" 15:.+((SYSTEM_STATE.+slice.+state.+changed )|(ment ac)|(system.+state.+changed )|(\|lc)|(penalty)|(\[timeout)|(PRM\|1\|D)|(kpr)|(kdp))" /e /r /s</v>
      </c>
      <c r="U21" s="9" t="str">
        <f t="shared" si="1"/>
        <v>4013</v>
      </c>
      <c r="V21" s="38">
        <f t="shared" si="2"/>
        <v>42627.625451388885</v>
      </c>
      <c r="W21" s="52" t="str">
        <f t="shared" si="3"/>
        <v>EC</v>
      </c>
      <c r="X21" s="52" t="str">
        <f t="shared" si="4"/>
        <v>KEEP</v>
      </c>
      <c r="Y21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{"issue":{"subject":"","project_id":79,"tracker_id":40,"status_id":1,"priority_id":2,"assigned_to_id":23,"start_date":"2016-09-14","description":"","custom_fields":[{"id":1,"name":"Subdivision","value":"EC"},{"id":4,"name":"Milepost","value":"11.9716"},{"id":17,"name":"Train ID","value":"134-14"},{"id":16,"name":"Locomotive ID","value":"4013"},{"id":130,"name":"Impact","value":""},{"id":150,"name":"Time of Event (Mountain Time)","value":"09:00:39"},{"id":151,"name":"Denver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</row>
    <row r="22" spans="1:28" x14ac:dyDescent="0.25">
      <c r="A22" s="38">
        <v>42627.392442129632</v>
      </c>
      <c r="B22" s="33" t="s">
        <v>184</v>
      </c>
      <c r="C22" s="33" t="s">
        <v>440</v>
      </c>
      <c r="D22" s="33" t="s">
        <v>49</v>
      </c>
      <c r="E22" s="33" t="s">
        <v>56</v>
      </c>
      <c r="F22" s="49">
        <v>600</v>
      </c>
      <c r="G22" s="49">
        <v>738</v>
      </c>
      <c r="H22" s="49">
        <v>181055</v>
      </c>
      <c r="I22" s="49">
        <v>183901</v>
      </c>
      <c r="J22" s="33" t="s">
        <v>57</v>
      </c>
      <c r="K22" s="49">
        <v>183829</v>
      </c>
      <c r="L22" s="150" t="s">
        <v>52</v>
      </c>
      <c r="M22" s="153">
        <f t="shared" si="6"/>
        <v>-38.015999999999998</v>
      </c>
      <c r="N22" s="92" t="str">
        <f>VLOOKUP(C22,'Trips&amp;Operators'!$C$1:$E$99999,3,FALSE)</f>
        <v>MAELZER</v>
      </c>
      <c r="O22" s="174" t="s">
        <v>86</v>
      </c>
      <c r="P22" s="10"/>
      <c r="Q22" s="33"/>
      <c r="R22" s="108" t="str">
        <f>VLOOKUP(C22,'Train Runs'!$A$13:$AE$10028,31,0)</f>
        <v>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 &amp; 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</v>
      </c>
      <c r="S22" s="111" t="str">
        <f>VLOOKUP(C22,'Train Runs'!$A$13:$AE$10028,22,0)</f>
        <v>https://search-rtdc-monitor-bjffxe2xuh6vdkpspy63sjmuny.us-east-1.es.amazonaws.com/_plugin/kibana/#/discover/Steve-Slow-Train-Analysis-(2080s-and-2083s)?_g=(refreshInterval:(display:Off,section:0,value:0),time:(from:'2016-09-14 07:32:06-0600',mode:absolute,to:'2016-09-14 10:32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2" s="113" t="str">
        <f t="shared" si="0"/>
        <v>"C:\Program Files (x86)\AstroGrep\AstroGrep.exe" /spath="%USERPROFILE%\AppData\Local\Temp\OnboardLogs" /stypes="*4042*201609141*" /stext=" 15:.+((SYSTEM_STATE.+slice.+state.+changed )|(ment ac)|(system.+state.+changed )|(\|lc)|(penalty)|(\[timeout)|(PRM\|1\|D)|(kpr)|(kdp))" /e /r /s</v>
      </c>
      <c r="U22" s="9" t="str">
        <f t="shared" si="1"/>
        <v>4042</v>
      </c>
      <c r="V22" s="38">
        <f t="shared" si="2"/>
        <v>42627.642442129632</v>
      </c>
      <c r="W22" s="52" t="str">
        <f t="shared" si="3"/>
        <v>EC</v>
      </c>
      <c r="X22" s="52" t="str">
        <f t="shared" si="4"/>
        <v>KEEP</v>
      </c>
      <c r="Y22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{"issue":{"subject":"","project_id":79,"tracker_id":40,"status_id":1,"priority_id":2,"assigned_to_id":23,"start_date":"2016-09-14","description":"","custom_fields":[{"id":1,"name":"Subdivision","value":"EC"},{"id":4,"name":"Milepost","value":"18.3829"},{"id":17,"name":"Train ID","value":"141-14"},{"id":16,"name":"Locomotive ID","value":"4042"},{"id":130,"name":"Impact","value":""},{"id":150,"name":"Time of Event (Mountain Time)","value":"09:25:07"},{"id":151,"name":"Denver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</row>
    <row r="23" spans="1:28" x14ac:dyDescent="0.25">
      <c r="A23" s="38">
        <v>42627.317511574074</v>
      </c>
      <c r="B23" s="33" t="s">
        <v>249</v>
      </c>
      <c r="C23" s="33" t="s">
        <v>424</v>
      </c>
      <c r="D23" s="33" t="s">
        <v>106</v>
      </c>
      <c r="E23" s="33" t="s">
        <v>56</v>
      </c>
      <c r="F23" s="49">
        <v>700</v>
      </c>
      <c r="G23" s="49">
        <v>750</v>
      </c>
      <c r="H23" s="49">
        <v>170692</v>
      </c>
      <c r="I23" s="49">
        <v>167747</v>
      </c>
      <c r="J23" s="33" t="s">
        <v>57</v>
      </c>
      <c r="K23" s="49">
        <v>183829</v>
      </c>
      <c r="L23" s="150" t="s">
        <v>53</v>
      </c>
      <c r="M23" s="153">
        <f t="shared" si="6"/>
        <v>-8491.2960000000003</v>
      </c>
      <c r="N23" s="92" t="str">
        <f>VLOOKUP(C23,'Trips&amp;Operators'!$C$1:$E$99999,3,FALSE)</f>
        <v>KILLION</v>
      </c>
      <c r="O23" s="174" t="s">
        <v>86</v>
      </c>
      <c r="P23" s="10"/>
      <c r="Q23" s="33"/>
      <c r="R23" s="108" t="str">
        <f>VLOOKUP(C23,'Train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23" s="111" t="str">
        <f>VLOOKUP(C23,'Train Runs'!$A$13:$AE$10028,22,0)</f>
        <v>https://search-rtdc-monitor-bjffxe2xuh6vdkpspy63sjmuny.us-east-1.es.amazonaws.com/_plugin/kibana/#/discover/Steve-Slow-Train-Analysis-(2080s-and-2083s)?_g=(refreshInterval:(display:Off,section:0,value:0),time:(from:'2016-09-14 06:20:19-0600',mode:absolute,to:'2016-09-14 09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3" s="113" t="str">
        <f t="shared" si="0"/>
        <v>"C:\Program Files (x86)\AstroGrep\AstroGrep.exe" /spath="%USERPROFILE%\AppData\Local\Temp\OnboardLogs" /stypes="*4039*201609141*" /stext=" 13:.+((SYSTEM_STATE.+slice.+state.+changed )|(ment ac)|(system.+state.+changed )|(\|lc)|(penalty)|(\[timeout)|(PRM\|1\|D)|(kpr)|(kdp))" /e /r /s</v>
      </c>
      <c r="U23" s="9" t="str">
        <f t="shared" si="1"/>
        <v>4039</v>
      </c>
      <c r="V23" s="38">
        <f t="shared" si="2"/>
        <v>42627.567511574074</v>
      </c>
      <c r="W23" s="52" t="str">
        <f t="shared" si="3"/>
        <v>EC</v>
      </c>
      <c r="X23" s="52" t="str">
        <f t="shared" si="4"/>
        <v>KEEP</v>
      </c>
      <c r="Y23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{"issue":{"subject":"","project_id":79,"tracker_id":40,"status_id":1,"priority_id":2,"assigned_to_id":23,"start_date":"2016-09-14","description":"","custom_fields":[{"id":1,"name":"Subdivision","value":"EC"},{"id":4,"name":"Milepost","value":"18.3829"},{"id":17,"name":"Train ID","value":"124-14"},{"id":16,"name":"Locomotive ID","value":"4039"},{"id":130,"name":"Impact","value":""},{"id":150,"name":"Time of Event (Mountain Time)","value":"07:37:13"},{"id":151,"name":"Denver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</row>
    <row r="24" spans="1:28" ht="15" customHeight="1" x14ac:dyDescent="0.25">
      <c r="A24" s="38">
        <v>42627.437199074076</v>
      </c>
      <c r="B24" s="33" t="s">
        <v>248</v>
      </c>
      <c r="C24" s="33" t="s">
        <v>457</v>
      </c>
      <c r="D24" s="33" t="s">
        <v>106</v>
      </c>
      <c r="E24" s="33" t="s">
        <v>56</v>
      </c>
      <c r="F24" s="49">
        <v>700</v>
      </c>
      <c r="G24" s="49">
        <v>752</v>
      </c>
      <c r="H24" s="49">
        <v>180190</v>
      </c>
      <c r="I24" s="49">
        <v>176720</v>
      </c>
      <c r="J24" s="33" t="s">
        <v>57</v>
      </c>
      <c r="K24" s="49">
        <v>183829</v>
      </c>
      <c r="L24" s="150" t="s">
        <v>53</v>
      </c>
      <c r="M24" s="153">
        <f t="shared" si="6"/>
        <v>-3753.5520000000001</v>
      </c>
      <c r="N24" s="92" t="str">
        <f>VLOOKUP(C24,'Trips&amp;Operators'!$C$1:$E$99999,3,FALSE)</f>
        <v>ACKERMAN</v>
      </c>
      <c r="O24" s="174" t="s">
        <v>86</v>
      </c>
      <c r="P24" s="10"/>
      <c r="Q24" s="33"/>
      <c r="R24" s="108" t="str">
        <f>VLOOKUP(C24,'Train Runs'!$A$13:$AE$10028,31,0)</f>
        <v>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 &amp; aws s3 cp s3://rtdc.mdm.uploadarchive/RTDC4037/2016-09-15/ "%USERPROFILE%\AppData\Local\Temp\OnboardLogs"\RTDC4037\2016-09-15 --recursive &amp; "%USERPROFILE%\Documents\GitHub\mrs-test-scripts\Headless Mode &amp; Sideloading\WalkAndUnGZ.bat" "%USERPROFILE%\AppData\Local\Temp\OnboardLogs"\RTDC4037\2016-09-15</v>
      </c>
      <c r="S24" s="111" t="str">
        <f>VLOOKUP(C24,'Train Runs'!$A$13:$AE$10028,22,0)</f>
        <v>https://search-rtdc-monitor-bjffxe2xuh6vdkpspy63sjmuny.us-east-1.es.amazonaws.com/_plugin/kibana/#/discover/Steve-Slow-Train-Analysis-(2080s-and-2083s)?_g=(refreshInterval:(display:Off,section:0,value:0),time:(from:'2016-09-14 09:19:39-0600',mode:absolute,to:'2016-09-14 12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4" s="113" t="str">
        <f t="shared" si="0"/>
        <v>"C:\Program Files (x86)\AstroGrep\AstroGrep.exe" /spath="%USERPROFILE%\AppData\Local\Temp\OnboardLogs" /stypes="*4037*201609141*" /stext=" 16:.+((SYSTEM_STATE.+slice.+state.+changed )|(ment ac)|(system.+state.+changed )|(\|lc)|(penalty)|(\[timeout)|(PRM\|1\|D)|(kpr)|(kdp))" /e /r /s</v>
      </c>
      <c r="U24" s="9" t="str">
        <f t="shared" si="1"/>
        <v>4037</v>
      </c>
      <c r="V24" s="38">
        <f t="shared" si="2"/>
        <v>42627.687199074076</v>
      </c>
      <c r="W24" s="52" t="str">
        <f t="shared" si="3"/>
        <v>EC</v>
      </c>
      <c r="X24" s="52" t="str">
        <f t="shared" si="4"/>
        <v>KEEP</v>
      </c>
      <c r="Y24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{"issue":{"subject":"","project_id":79,"tracker_id":40,"status_id":1,"priority_id":2,"assigned_to_id":23,"start_date":"2016-09-14","description":"","custom_fields":[{"id":1,"name":"Subdivision","value":"EC"},{"id":4,"name":"Milepost","value":"18.3829"},{"id":17,"name":"Train ID","value":"146-14"},{"id":16,"name":"Locomotive ID","value":"4037"},{"id":130,"name":"Impact","value":""},{"id":150,"name":"Time of Event (Mountain Time)","value":"10:29:34"},{"id":151,"name":"Denver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</row>
    <row r="25" spans="1:28" x14ac:dyDescent="0.25">
      <c r="A25" s="38">
        <v>42627.753472222219</v>
      </c>
      <c r="B25" s="33" t="s">
        <v>249</v>
      </c>
      <c r="C25" s="33" t="s">
        <v>543</v>
      </c>
      <c r="D25" s="33" t="s">
        <v>106</v>
      </c>
      <c r="E25" s="33" t="s">
        <v>56</v>
      </c>
      <c r="F25" s="49">
        <v>700</v>
      </c>
      <c r="G25" s="49">
        <v>753</v>
      </c>
      <c r="H25" s="49">
        <v>179681</v>
      </c>
      <c r="I25" s="49">
        <v>175807</v>
      </c>
      <c r="J25" s="33" t="s">
        <v>57</v>
      </c>
      <c r="K25" s="49">
        <v>183829</v>
      </c>
      <c r="L25" s="150" t="s">
        <v>53</v>
      </c>
      <c r="M25" s="153">
        <f t="shared" si="6"/>
        <v>-4235.616</v>
      </c>
      <c r="N25" s="92" t="str">
        <f>VLOOKUP(C25,'Trips&amp;Operators'!$C$1:$E$99999,3,FALSE)</f>
        <v>STAMBAUGH</v>
      </c>
      <c r="O25" s="174" t="s">
        <v>86</v>
      </c>
      <c r="P25" s="10"/>
      <c r="Q25" s="33"/>
      <c r="R25" s="108" t="str">
        <f>VLOOKUP(C25,'Train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25" s="111" t="str">
        <f>VLOOKUP(C25,'Train Runs'!$A$13:$AE$10028,22,0)</f>
        <v>https://search-rtdc-monitor-bjffxe2xuh6vdkpspy63sjmuny.us-east-1.es.amazonaws.com/_plugin/kibana/#/discover/Steve-Slow-Train-Analysis-(2080s-and-2083s)?_g=(refreshInterval:(display:Off,section:0,value:0),time:(from:'2016-09-14 16:51:08-0600',mode:absolute,to:'2016-09-14 19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5" s="113" t="str">
        <f t="shared" si="0"/>
        <v>"C:\Program Files (x86)\AstroGrep\AstroGrep.exe" /spath="%USERPROFILE%\AppData\Local\Temp\OnboardLogs" /stypes="*4039*201609150*" /stext=" 00:.+((SYSTEM_STATE.+slice.+state.+changed )|(ment ac)|(system.+state.+changed )|(\|lc)|(penalty)|(\[timeout)|(PRM\|1\|D)|(kpr)|(kdp))" /e /r /s</v>
      </c>
      <c r="U25" s="9" t="str">
        <f t="shared" si="1"/>
        <v>4039</v>
      </c>
      <c r="V25" s="38">
        <f t="shared" si="2"/>
        <v>42628.003472222219</v>
      </c>
      <c r="W25" s="52" t="str">
        <f t="shared" si="3"/>
        <v>EC</v>
      </c>
      <c r="X25" s="52" t="str">
        <f t="shared" si="4"/>
        <v>KEEP</v>
      </c>
      <c r="Y25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{"issue":{"subject":"","project_id":79,"tracker_id":40,"status_id":1,"priority_id":2,"assigned_to_id":23,"start_date":"2016-09-14","description":"","custom_fields":[{"id":1,"name":"Subdivision","value":"EC"},{"id":4,"name":"Milepost","value":"18.3829"},{"id":17,"name":"Train ID","value":"208-14"},{"id":16,"name":"Locomotive ID","value":"4039"},{"id":130,"name":"Impact","value":""},{"id":150,"name":"Time of Event (Mountain Time)","value":"18:05:00"},{"id":151,"name":"Denver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</row>
    <row r="26" spans="1:28" x14ac:dyDescent="0.25">
      <c r="A26" s="38">
        <v>42627.427048611113</v>
      </c>
      <c r="B26" s="33" t="s">
        <v>107</v>
      </c>
      <c r="C26" s="33" t="s">
        <v>449</v>
      </c>
      <c r="D26" s="33" t="s">
        <v>49</v>
      </c>
      <c r="E26" s="33" t="s">
        <v>56</v>
      </c>
      <c r="F26" s="49">
        <v>450</v>
      </c>
      <c r="G26" s="49">
        <v>593</v>
      </c>
      <c r="H26" s="49">
        <v>188186</v>
      </c>
      <c r="I26" s="49">
        <v>190750</v>
      </c>
      <c r="J26" s="33" t="s">
        <v>57</v>
      </c>
      <c r="K26" s="49">
        <v>190834</v>
      </c>
      <c r="L26" s="150" t="s">
        <v>52</v>
      </c>
      <c r="M26" s="153">
        <f t="shared" si="6"/>
        <v>44.351999999999997</v>
      </c>
      <c r="N26" s="92" t="str">
        <f>VLOOKUP(C26,'Trips&amp;Operators'!$C$1:$E$99999,3,FALSE)</f>
        <v>STRICKLAND</v>
      </c>
      <c r="O26" s="174" t="s">
        <v>86</v>
      </c>
      <c r="P26" s="10"/>
      <c r="Q26" s="33"/>
      <c r="R26" s="108" t="str">
        <f>VLOOKUP(C26,'Train Runs'!$A$13:$AE$10028,31,0)</f>
        <v>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 &amp; aws s3 cp s3://rtdc.mdm.uploadarchive/RTDC4014/2016-09-15/ "%USERPROFILE%\AppData\Local\Temp\OnboardLogs"\RTDC4014\2016-09-15 --recursive &amp; "%USERPROFILE%\Documents\GitHub\mrs-test-scripts\Headless Mode &amp; Sideloading\WalkAndUnGZ.bat" "%USERPROFILE%\AppData\Local\Temp\OnboardLogs"\RTDC4014\2016-09-15</v>
      </c>
      <c r="S26" s="111" t="str">
        <f>VLOOKUP(C26,'Train Runs'!$A$13:$AE$10028,22,0)</f>
        <v>https://search-rtdc-monitor-bjffxe2xuh6vdkpspy63sjmuny.us-east-1.es.amazonaws.com/_plugin/kibana/#/discover/Steve-Slow-Train-Analysis-(2080s-and-2083s)?_g=(refreshInterval:(display:Off,section:0,value:0),time:(from:'2016-09-14 08:32:37-0600',mode:absolute,to:'2016-09-14 11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6" s="113" t="str">
        <f t="shared" si="0"/>
        <v>"C:\Program Files (x86)\AstroGrep\AstroGrep.exe" /spath="%USERPROFILE%\AppData\Local\Temp\OnboardLogs" /stypes="*4014*201609141*" /stext=" 16:.+((SYSTEM_STATE.+slice.+state.+changed )|(ment ac)|(system.+state.+changed )|(\|lc)|(penalty)|(\[timeout)|(PRM\|1\|D)|(kpr)|(kdp))" /e /r /s</v>
      </c>
      <c r="U26" s="9" t="str">
        <f t="shared" si="1"/>
        <v>4014</v>
      </c>
      <c r="V26" s="38">
        <f t="shared" si="2"/>
        <v>42627.677048611113</v>
      </c>
      <c r="W26" s="52" t="str">
        <f t="shared" si="3"/>
        <v>EC</v>
      </c>
      <c r="X26" s="52" t="str">
        <f t="shared" si="4"/>
        <v>KEEP</v>
      </c>
      <c r="Y26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{"issue":{"subject":"","project_id":79,"tracker_id":40,"status_id":1,"priority_id":2,"assigned_to_id":23,"start_date":"2016-09-14","description":"","custom_fields":[{"id":1,"name":"Subdivision","value":"EC"},{"id":4,"name":"Milepost","value":"19.0834"},{"id":17,"name":"Train ID","value":"147-14"},{"id":16,"name":"Locomotive ID","value":"4014"},{"id":130,"name":"Impact","value":""},{"id":150,"name":"Time of Event (Mountain Time)","value":"10:14:57"},{"id":151,"name":"Denver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</row>
    <row r="27" spans="1:28" x14ac:dyDescent="0.25">
      <c r="A27" s="38">
        <v>42627.524212962962</v>
      </c>
      <c r="B27" s="33" t="s">
        <v>342</v>
      </c>
      <c r="C27" s="33" t="s">
        <v>479</v>
      </c>
      <c r="D27" s="33" t="s">
        <v>106</v>
      </c>
      <c r="E27" s="33" t="s">
        <v>56</v>
      </c>
      <c r="F27" s="49">
        <v>600</v>
      </c>
      <c r="G27" s="49">
        <v>651</v>
      </c>
      <c r="H27" s="49">
        <v>184050</v>
      </c>
      <c r="I27" s="49">
        <v>180539</v>
      </c>
      <c r="J27" s="33" t="s">
        <v>57</v>
      </c>
      <c r="K27" s="49">
        <v>190834</v>
      </c>
      <c r="L27" s="150" t="s">
        <v>53</v>
      </c>
      <c r="M27" s="153">
        <f t="shared" si="6"/>
        <v>-5435.76</v>
      </c>
      <c r="N27" s="92" t="str">
        <f>VLOOKUP(C27,'Trips&amp;Operators'!$C$1:$E$99999,3,FALSE)</f>
        <v>BERLING</v>
      </c>
      <c r="O27" s="174" t="s">
        <v>86</v>
      </c>
      <c r="P27" s="10"/>
      <c r="Q27" s="33"/>
      <c r="R27" s="108" t="str">
        <f>VLOOKUP(C27,'Train Runs'!$A$13:$AE$10028,31,0)</f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S27" s="111" t="str">
        <f>VLOOKUP(C27,'Train Runs'!$A$13:$AE$10028,22,0)</f>
        <v>https://search-rtdc-monitor-bjffxe2xuh6vdkpspy63sjmuny.us-east-1.es.amazonaws.com/_plugin/kibana/#/discover/Steve-Slow-Train-Analysis-(2080s-and-2083s)?_g=(refreshInterval:(display:Off,section:0,value:0),time:(from:'2016-09-14 11:19:33-0600',mode:absolute,to:'2016-09-14 14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27" s="113" t="str">
        <f t="shared" si="0"/>
        <v>"C:\Program Files (x86)\AstroGrep\AstroGrep.exe" /spath="%USERPROFILE%\AppData\Local\Temp\OnboardLogs" /stypes="*4054*201609141*" /stext=" 18:.+((SYSTEM_STATE.+slice.+state.+changed )|(ment ac)|(system.+state.+changed )|(\|lc)|(penalty)|(\[timeout)|(PRM\|1\|D)|(kpr)|(kdp))" /e /r /s</v>
      </c>
      <c r="U27" s="9" t="str">
        <f t="shared" si="1"/>
        <v>4054</v>
      </c>
      <c r="V27" s="38">
        <f t="shared" si="2"/>
        <v>42627.774212962962</v>
      </c>
      <c r="W27" s="52" t="str">
        <f t="shared" si="3"/>
        <v>EC</v>
      </c>
      <c r="X27" s="52" t="str">
        <f t="shared" si="4"/>
        <v>KEEP</v>
      </c>
      <c r="Y27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{"issue":{"subject":"","project_id":79,"tracker_id":40,"status_id":1,"priority_id":2,"assigned_to_id":23,"start_date":"2016-09-14","description":"","custom_fields":[{"id":1,"name":"Subdivision","value":"EC"},{"id":4,"name":"Milepost","value":"19.0834"},{"id":17,"name":"Train ID","value":"164-14"},{"id":16,"name":"Locomotive ID","value":"4054"},{"id":130,"name":"Impact","value":""},{"id":150,"name":"Time of Event (Mountain Time)","value":"12:34:52"},{"id":151,"name":"Denver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</row>
    <row r="28" spans="1:28" x14ac:dyDescent="0.25">
      <c r="A28" s="38">
        <v>42627.60497685185</v>
      </c>
      <c r="B28" s="33" t="s">
        <v>249</v>
      </c>
      <c r="C28" s="33" t="s">
        <v>500</v>
      </c>
      <c r="D28" s="33" t="s">
        <v>49</v>
      </c>
      <c r="E28" s="33" t="s">
        <v>56</v>
      </c>
      <c r="F28" s="49">
        <v>750</v>
      </c>
      <c r="G28" s="49">
        <v>833</v>
      </c>
      <c r="H28" s="49">
        <v>203441</v>
      </c>
      <c r="I28" s="49">
        <v>199093</v>
      </c>
      <c r="J28" s="33" t="s">
        <v>57</v>
      </c>
      <c r="K28" s="49">
        <v>200464</v>
      </c>
      <c r="L28" s="150" t="s">
        <v>53</v>
      </c>
      <c r="M28" s="153">
        <f t="shared" si="6"/>
        <v>-723.88800000000003</v>
      </c>
      <c r="N28" s="92" t="str">
        <f>VLOOKUP(C28,'Trips&amp;Operators'!$C$1:$E$99999,3,FALSE)</f>
        <v>STAMBAUGH</v>
      </c>
      <c r="O28" s="174" t="s">
        <v>86</v>
      </c>
      <c r="P28" s="10"/>
      <c r="Q28" s="33"/>
      <c r="R28" s="108" t="str">
        <f>VLOOKUP(C28,'Train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28" s="111" t="str">
        <f>VLOOKUP(C28,'Train Runs'!$A$13:$AE$10028,22,0)</f>
        <v>https://search-rtdc-monitor-bjffxe2xuh6vdkpspy63sjmuny.us-east-1.es.amazonaws.com/_plugin/kibana/#/discover/Steve-Slow-Train-Analysis-(2080s-and-2083s)?_g=(refreshInterval:(display:Off,section:0,value:0),time:(from:'2016-09-14 13:22:29-0600',mode:absolute,to:'2016-09-14 16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8" s="113" t="str">
        <f t="shared" si="0"/>
        <v>"C:\Program Files (x86)\AstroGrep\AstroGrep.exe" /spath="%USERPROFILE%\AppData\Local\Temp\OnboardLogs" /stypes="*4039*201609142*" /stext=" 20:.+((SYSTEM_STATE.+slice.+state.+changed )|(ment ac)|(system.+state.+changed )|(\|lc)|(penalty)|(\[timeout)|(PRM\|1\|D)|(kpr)|(kdp))" /e /r /s</v>
      </c>
      <c r="U28" s="9" t="str">
        <f t="shared" si="1"/>
        <v>4039</v>
      </c>
      <c r="V28" s="38">
        <f t="shared" si="2"/>
        <v>42627.85497685185</v>
      </c>
      <c r="W28" s="52" t="str">
        <f t="shared" si="3"/>
        <v>EC</v>
      </c>
      <c r="X28" s="52" t="str">
        <f t="shared" si="4"/>
        <v>KEEP</v>
      </c>
      <c r="Y28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{"issue":{"subject":"","project_id":79,"tracker_id":40,"status_id":1,"priority_id":2,"assigned_to_id":23,"start_date":"2016-09-14","description":"","custom_fields":[{"id":1,"name":"Subdivision","value":"EC"},{"id":4,"name":"Milepost","value":"20.0464"},{"id":17,"name":"Train ID","value":"180-14"},{"id":16,"name":"Locomotive ID","value":"4039"},{"id":130,"name":"Impact","value":""},{"id":150,"name":"Time of Event (Mountain Time)","value":"14:31:10"},{"id":151,"name":"Denver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</row>
    <row r="29" spans="1:28" x14ac:dyDescent="0.25">
      <c r="A29" s="38">
        <v>42627.50509259259</v>
      </c>
      <c r="B29" s="33" t="s">
        <v>343</v>
      </c>
      <c r="C29" s="33" t="s">
        <v>468</v>
      </c>
      <c r="D29" s="33" t="s">
        <v>49</v>
      </c>
      <c r="E29" s="33" t="s">
        <v>56</v>
      </c>
      <c r="F29" s="49">
        <v>450</v>
      </c>
      <c r="G29" s="49">
        <v>524</v>
      </c>
      <c r="H29" s="49">
        <v>217793</v>
      </c>
      <c r="I29" s="49">
        <v>219716</v>
      </c>
      <c r="J29" s="33" t="s">
        <v>57</v>
      </c>
      <c r="K29" s="49">
        <v>218954</v>
      </c>
      <c r="L29" s="150" t="s">
        <v>52</v>
      </c>
      <c r="M29" s="153">
        <f t="shared" si="6"/>
        <v>-402.33600000000001</v>
      </c>
      <c r="N29" s="92" t="str">
        <f>VLOOKUP(C29,'Trips&amp;Operators'!$C$1:$E$99999,3,FALSE)</f>
        <v>BERLING</v>
      </c>
      <c r="O29" s="174" t="s">
        <v>86</v>
      </c>
      <c r="P29" s="10"/>
      <c r="Q29" s="33"/>
      <c r="R29" s="108" t="str">
        <f>VLOOKUP(C29,'Train Runs'!$A$13:$AE$10028,31,0)</f>
        <v>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 &amp; 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</v>
      </c>
      <c r="S29" s="111" t="str">
        <f>VLOOKUP(C29,'Train Runs'!$A$13:$AE$10028,22,0)</f>
        <v>https://search-rtdc-monitor-bjffxe2xuh6vdkpspy63sjmuny.us-east-1.es.amazonaws.com/_plugin/kibana/#/discover/Steve-Slow-Train-Analysis-(2080s-and-2083s)?_g=(refreshInterval:(display:Off,section:0,value:0),time:(from:'2016-09-14 10:24:30-0600',mode:absolute,to:'2016-09-14 13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29" s="113" t="str">
        <f t="shared" si="0"/>
        <v>"C:\Program Files (x86)\AstroGrep\AstroGrep.exe" /spath="%USERPROFILE%\AppData\Local\Temp\OnboardLogs" /stypes="*4053*201609141*" /stext=" 18:.+((SYSTEM_STATE.+slice.+state.+changed )|(ment ac)|(system.+state.+changed )|(\|lc)|(penalty)|(\[timeout)|(PRM\|1\|D)|(kpr)|(kdp))" /e /r /s</v>
      </c>
      <c r="U29" s="9" t="str">
        <f t="shared" si="1"/>
        <v>4053</v>
      </c>
      <c r="V29" s="38">
        <f t="shared" si="2"/>
        <v>42627.75509259259</v>
      </c>
      <c r="W29" s="52" t="str">
        <f t="shared" si="3"/>
        <v>EC</v>
      </c>
      <c r="X29" s="52" t="str">
        <f t="shared" si="4"/>
        <v>KEEP</v>
      </c>
      <c r="Y29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{"issue":{"subject":"","project_id":79,"tracker_id":40,"status_id":1,"priority_id":2,"assigned_to_id":23,"start_date":"2016-09-14","description":"","custom_fields":[{"id":1,"name":"Subdivision","value":"EC"},{"id":4,"name":"Milepost","value":"21.8954"},{"id":17,"name":"Train ID","value":"163-14"},{"id":16,"name":"Locomotive ID","value":"4053"},{"id":130,"name":"Impact","value":""},{"id":150,"name":"Time of Event (Mountain Time)","value":"12:07:20"},{"id":151,"name":"Denver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</row>
    <row r="30" spans="1:28" x14ac:dyDescent="0.25">
      <c r="A30" s="38">
        <v>42627.731076388889</v>
      </c>
      <c r="B30" s="33" t="s">
        <v>267</v>
      </c>
      <c r="C30" s="33" t="s">
        <v>531</v>
      </c>
      <c r="D30" s="33" t="s">
        <v>49</v>
      </c>
      <c r="E30" s="33" t="s">
        <v>56</v>
      </c>
      <c r="F30" s="49">
        <v>550</v>
      </c>
      <c r="G30" s="49">
        <v>782</v>
      </c>
      <c r="H30" s="49">
        <v>219121</v>
      </c>
      <c r="I30" s="49">
        <v>222511</v>
      </c>
      <c r="J30" s="33" t="s">
        <v>57</v>
      </c>
      <c r="K30" s="49">
        <v>222090</v>
      </c>
      <c r="L30" s="150" t="s">
        <v>52</v>
      </c>
      <c r="M30" s="153">
        <f t="shared" si="6"/>
        <v>-222.28800000000001</v>
      </c>
      <c r="N30" s="92" t="str">
        <f>VLOOKUP(C30,'Trips&amp;Operators'!$C$1:$E$99999,3,FALSE)</f>
        <v>STAMBAUGH</v>
      </c>
      <c r="O30" s="174" t="s">
        <v>86</v>
      </c>
      <c r="P30" s="10"/>
      <c r="Q30" s="33"/>
      <c r="R30" s="108" t="str">
        <f>VLOOKUP(C30,'Train Runs'!$A$13:$AE$10028,31,0)</f>
        <v>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 &amp; 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</v>
      </c>
      <c r="S30" s="111" t="str">
        <f>VLOOKUP(C30,'Train Runs'!$A$13:$AE$10028,22,0)</f>
        <v>https://search-rtdc-monitor-bjffxe2xuh6vdkpspy63sjmuny.us-east-1.es.amazonaws.com/_plugin/kibana/#/discover/Steve-Slow-Train-Analysis-(2080s-and-2083s)?_g=(refreshInterval:(display:Off,section:0,value:0),time:(from:'2016-09-14 15:56:36-0600',mode:absolute,to:'2016-09-14 18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30" s="113" t="str">
        <f t="shared" si="0"/>
        <v>"C:\Program Files (x86)\AstroGrep\AstroGrep.exe" /spath="%USERPROFILE%\AppData\Local\Temp\OnboardLogs" /stypes="*4040*201609142*" /stext=" 23:.+((SYSTEM_STATE.+slice.+state.+changed )|(ment ac)|(system.+state.+changed )|(\|lc)|(penalty)|(\[timeout)|(PRM\|1\|D)|(kpr)|(kdp))" /e /r /s</v>
      </c>
      <c r="U30" s="9" t="str">
        <f t="shared" si="1"/>
        <v>4040</v>
      </c>
      <c r="V30" s="38">
        <f t="shared" si="2"/>
        <v>42627.981076388889</v>
      </c>
      <c r="W30" s="52" t="str">
        <f t="shared" si="3"/>
        <v>EC</v>
      </c>
      <c r="X30" s="52" t="str">
        <f t="shared" si="4"/>
        <v>KEEP</v>
      </c>
      <c r="Y30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{"issue":{"subject":"","project_id":79,"tracker_id":40,"status_id":1,"priority_id":2,"assigned_to_id":23,"start_date":"2016-09-14","description":"","custom_fields":[{"id":1,"name":"Subdivision","value":"EC"},{"id":4,"name":"Milepost","value":"22.209"},{"id":17,"name":"Train ID","value":"207-14"},{"id":16,"name":"Locomotive ID","value":"4040"},{"id":130,"name":"Impact","value":""},{"id":150,"name":"Time of Event (Mountain Time)","value":"17:32:45"},{"id":151,"name":"Denver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</row>
    <row r="31" spans="1:28" ht="15" customHeight="1" x14ac:dyDescent="0.25">
      <c r="A31" s="38">
        <v>42627.394918981481</v>
      </c>
      <c r="B31" s="33" t="s">
        <v>405</v>
      </c>
      <c r="C31" s="33" t="s">
        <v>446</v>
      </c>
      <c r="D31" s="33" t="s">
        <v>106</v>
      </c>
      <c r="E31" s="33" t="s">
        <v>56</v>
      </c>
      <c r="F31" s="49">
        <v>350</v>
      </c>
      <c r="G31" s="49">
        <v>400</v>
      </c>
      <c r="H31" s="49">
        <v>225541</v>
      </c>
      <c r="I31" s="49">
        <v>224219</v>
      </c>
      <c r="J31" s="33" t="s">
        <v>57</v>
      </c>
      <c r="K31" s="49">
        <v>232107</v>
      </c>
      <c r="L31" s="150" t="s">
        <v>53</v>
      </c>
      <c r="M31" s="153">
        <f t="shared" si="6"/>
        <v>-4164.8639999999996</v>
      </c>
      <c r="N31" s="92" t="str">
        <f>VLOOKUP(C31,'Trips&amp;Operators'!$C$1:$E$99999,3,FALSE)</f>
        <v>ROCHA</v>
      </c>
      <c r="O31" s="174" t="s">
        <v>86</v>
      </c>
      <c r="P31" s="10"/>
      <c r="Q31" s="33"/>
      <c r="R31" s="108" t="str">
        <f>VLOOKUP(C31,'Train Runs'!$A$13:$AE$10028,31,0)</f>
        <v>aws s3 cp s3://rtdc.mdm.uploadarchive/RTDC4043/2016-09-14/ "%USERPROFILE%\AppData\Local\Temp\OnboardLogs"\RTDC4043\2016-09-14 --recursive &amp; "%USERPROFILE%\Documents\GitHub\mrs-test-scripts\Headless Mode &amp; Sideloading\WalkAndUnGZ.bat" "%USERPROFILE%\AppData\Local\Temp\OnboardLogs"\RTDC4043\2016-09-14 &amp; 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</v>
      </c>
      <c r="S31" s="111" t="str">
        <f>VLOOKUP(C31,'Train Runs'!$A$13:$AE$10028,22,0)</f>
        <v>https://search-rtdc-monitor-bjffxe2xuh6vdkpspy63sjmuny.us-east-1.es.amazonaws.com/_plugin/kibana/#/discover/Steve-Slow-Train-Analysis-(2080s-and-2083s)?_g=(refreshInterval:(display:Off,section:0,value:0),time:(from:'2016-09-14 08:23:16-0600',mode:absolute,to:'2016-09-14 11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31" s="113" t="str">
        <f t="shared" si="0"/>
        <v>"C:\Program Files (x86)\AstroGrep\AstroGrep.exe" /spath="%USERPROFILE%\AppData\Local\Temp\OnboardLogs" /stypes="*4043*201609141*" /stext=" 15:.+((SYSTEM_STATE.+slice.+state.+changed )|(ment ac)|(system.+state.+changed )|(\|lc)|(penalty)|(\[timeout)|(PRM\|1\|D)|(kpr)|(kdp))" /e /r /s</v>
      </c>
      <c r="U31" s="9" t="str">
        <f t="shared" si="1"/>
        <v>4043</v>
      </c>
      <c r="V31" s="38">
        <f t="shared" si="2"/>
        <v>42627.644918981481</v>
      </c>
      <c r="W31" s="52" t="str">
        <f t="shared" si="3"/>
        <v>EC</v>
      </c>
      <c r="X31" s="52" t="str">
        <f t="shared" si="4"/>
        <v>KEEP</v>
      </c>
      <c r="Y31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{"issue":{"subject":"","project_id":79,"tracker_id":40,"status_id":1,"priority_id":2,"assigned_to_id":23,"start_date":"2016-09-14","description":"","custom_fields":[{"id":1,"name":"Subdivision","value":"EC"},{"id":4,"name":"Milepost","value":"23.2107"},{"id":17,"name":"Train ID","value":"140-14"},{"id":16,"name":"Locomotive ID","value":"4043"},{"id":130,"name":"Impact","value":""},{"id":150,"name":"Time of Event (Mountain Time)","value":"09:28:41"},{"id":151,"name":"Denver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</row>
    <row r="32" spans="1:28" x14ac:dyDescent="0.25">
      <c r="A32" s="38">
        <v>42627.436921296299</v>
      </c>
      <c r="B32" s="33" t="s">
        <v>276</v>
      </c>
      <c r="C32" s="33" t="s">
        <v>458</v>
      </c>
      <c r="D32" s="33" t="s">
        <v>106</v>
      </c>
      <c r="E32" s="33" t="s">
        <v>56</v>
      </c>
      <c r="F32" s="49">
        <v>350</v>
      </c>
      <c r="G32" s="49">
        <v>407</v>
      </c>
      <c r="H32" s="49">
        <v>224629</v>
      </c>
      <c r="I32" s="49">
        <v>223025</v>
      </c>
      <c r="J32" s="33" t="s">
        <v>57</v>
      </c>
      <c r="K32" s="49">
        <v>232107</v>
      </c>
      <c r="L32" s="150" t="s">
        <v>53</v>
      </c>
      <c r="M32" s="153">
        <f t="shared" si="6"/>
        <v>-4795.2960000000003</v>
      </c>
      <c r="N32" s="92" t="str">
        <f>VLOOKUP(C32,'Trips&amp;Operators'!$C$1:$E$99999,3,FALSE)</f>
        <v>STRICKLAND</v>
      </c>
      <c r="O32" s="174" t="s">
        <v>86</v>
      </c>
      <c r="P32" s="10"/>
      <c r="Q32" s="33"/>
      <c r="R32" s="108" t="str">
        <f>VLOOKUP(C32,'Train Runs'!$A$13:$AE$10028,31,0)</f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S32" s="111" t="str">
        <f>VLOOKUP(C32,'Train Runs'!$A$13:$AE$10028,22,0)</f>
        <v>https://search-rtdc-monitor-bjffxe2xuh6vdkpspy63sjmuny.us-east-1.es.amazonaws.com/_plugin/kibana/#/discover/Steve-Slow-Train-Analysis-(2080s-and-2083s)?_g=(refreshInterval:(display:Off,section:0,value:0),time:(from:'2016-09-14 09:23:44-0600',mode:absolute,to:'2016-09-14 12:14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2" s="113" t="str">
        <f t="shared" si="0"/>
        <v>"C:\Program Files (x86)\AstroGrep\AstroGrep.exe" /spath="%USERPROFILE%\AppData\Local\Temp\OnboardLogs" /stypes="*4013*201609141*" /stext=" 16:.+((SYSTEM_STATE.+slice.+state.+changed )|(ment ac)|(system.+state.+changed )|(\|lc)|(penalty)|(\[timeout)|(PRM\|1\|D)|(kpr)|(kdp))" /e /r /s</v>
      </c>
      <c r="U32" s="9" t="str">
        <f t="shared" si="1"/>
        <v>4013</v>
      </c>
      <c r="V32" s="38">
        <f t="shared" si="2"/>
        <v>42627.686921296299</v>
      </c>
      <c r="W32" s="52" t="str">
        <f t="shared" si="3"/>
        <v>EC</v>
      </c>
      <c r="X32" s="52" t="str">
        <f t="shared" si="4"/>
        <v>KEEP</v>
      </c>
      <c r="Y32" s="134" t="str">
        <f t="shared" si="5"/>
        <v>echo {"issue":{"subject":"","project_id":79,"tracker_id":40,"status_id":1,"priority_id":2,"assigned_to_id":23,"start_date":"2016-09-14","description":"","custom_fields":[{"id":1,"name":"Subdivision","value":"EC"},{"id":4,"name":"Milepost","value":"23.2107"},{"id":17,"name":"Train ID","value":"148-14"},{"id":16,"name":"Locomotive ID","value":"4013"},{"id":130,"name":"Impact","value":""},{"id":150,"name":"Time of Event (Mountain Time)","value":"10:29:10"},{"id":151,"name":"Denver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</row>
    <row r="33" spans="1:28" ht="15" customHeight="1" x14ac:dyDescent="0.25">
      <c r="A33" s="38">
        <v>42627.383356481485</v>
      </c>
      <c r="B33" s="33" t="s">
        <v>184</v>
      </c>
      <c r="C33" s="33" t="s">
        <v>440</v>
      </c>
      <c r="D33" s="33" t="s">
        <v>49</v>
      </c>
      <c r="E33" s="33" t="s">
        <v>54</v>
      </c>
      <c r="F33" s="49">
        <v>0</v>
      </c>
      <c r="G33" s="49">
        <v>386</v>
      </c>
      <c r="H33" s="49">
        <v>106126</v>
      </c>
      <c r="I33" s="49">
        <v>107034</v>
      </c>
      <c r="J33" s="33" t="s">
        <v>55</v>
      </c>
      <c r="K33" s="49">
        <v>107939</v>
      </c>
      <c r="L33" s="150" t="s">
        <v>52</v>
      </c>
      <c r="M33" s="153">
        <f t="shared" si="6"/>
        <v>477.84</v>
      </c>
      <c r="N33" s="92" t="str">
        <f>VLOOKUP(C33,'Trips&amp;Operators'!$C$1:$E$99999,3,FALSE)</f>
        <v>MAELZER</v>
      </c>
      <c r="O33" s="174" t="s">
        <v>86</v>
      </c>
      <c r="P33" s="10" t="s">
        <v>738</v>
      </c>
      <c r="Q33" s="33"/>
      <c r="R33" s="108" t="str">
        <f>VLOOKUP(C33,'Train Runs'!$A$13:$AE$10028,31,0)</f>
        <v>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 &amp; 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</v>
      </c>
      <c r="S33" s="111" t="str">
        <f>VLOOKUP(C33,'Train Runs'!$A$13:$AE$10028,22,0)</f>
        <v>https://search-rtdc-monitor-bjffxe2xuh6vdkpspy63sjmuny.us-east-1.es.amazonaws.com/_plugin/kibana/#/discover/Steve-Slow-Train-Analysis-(2080s-and-2083s)?_g=(refreshInterval:(display:Off,section:0,value:0),time:(from:'2016-09-14 07:32:06-0600',mode:absolute,to:'2016-09-14 10:32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33" s="113" t="str">
        <f t="shared" si="0"/>
        <v>"C:\Program Files (x86)\AstroGrep\AstroGrep.exe" /spath="%USERPROFILE%\AppData\Local\Temp\OnboardLogs" /stypes="*4042*201609141*" /stext=" 15:.+((SYSTEM_STATE.+slice.+state.+changed )|(ment ac)|(system.+state.+changed )|(\|lc)|(penalty)|(\[timeout)|(PRM\|1\|D)|(kpr)|(kdp))" /e /r /s</v>
      </c>
      <c r="U33" s="9" t="str">
        <f t="shared" si="1"/>
        <v>4042</v>
      </c>
      <c r="V33" s="38">
        <f t="shared" si="2"/>
        <v>42627.633356481485</v>
      </c>
      <c r="W33" s="52" t="str">
        <f t="shared" si="3"/>
        <v>EC</v>
      </c>
      <c r="X33" s="52" t="str">
        <f t="shared" si="4"/>
        <v>KEEP</v>
      </c>
      <c r="Y33" s="134" t="str">
        <f t="shared" si="5"/>
        <v>echo {"issue":{"subject":"Chambers 2N STOP, cleared shortly","project_id":79,"tracker_id":40,"status_id":1,"priority_id":2,"assigned_to_id":23,"start_date":"2016-09-14","description":"","custom_fields":[{"id":1,"name":"Subdivision","value":"EC"},{"id":4,"name":"Milepost","value":"10.7939"},{"id":17,"name":"Train ID","value":"141-14"},{"id":16,"name":"Locomotive ID","value":"4042"},{"id":130,"name":"Impact","value":""},{"id":150,"name":"Time of Event (Mountain Time)","value":"09:12:02"},{"id":151,"name":"Denver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</row>
    <row r="34" spans="1:28" x14ac:dyDescent="0.25">
      <c r="A34" s="38">
        <v>42627.538449074076</v>
      </c>
      <c r="B34" s="33" t="s">
        <v>249</v>
      </c>
      <c r="C34" s="33" t="s">
        <v>482</v>
      </c>
      <c r="D34" s="33" t="s">
        <v>49</v>
      </c>
      <c r="E34" s="33" t="s">
        <v>54</v>
      </c>
      <c r="F34" s="49">
        <v>0</v>
      </c>
      <c r="G34" s="49">
        <v>518</v>
      </c>
      <c r="H34" s="49">
        <v>130034</v>
      </c>
      <c r="I34" s="49">
        <v>128403</v>
      </c>
      <c r="J34" s="33" t="s">
        <v>55</v>
      </c>
      <c r="K34" s="49">
        <v>127587</v>
      </c>
      <c r="L34" s="150" t="s">
        <v>53</v>
      </c>
      <c r="M34" s="153">
        <f t="shared" si="6"/>
        <v>430.84800000000001</v>
      </c>
      <c r="N34" s="92" t="str">
        <f>VLOOKUP(C34,'Trips&amp;Operators'!$C$1:$E$99999,3,FALSE)</f>
        <v>STAMBAUGH</v>
      </c>
      <c r="O34" s="174" t="s">
        <v>86</v>
      </c>
      <c r="P34" s="10" t="s">
        <v>305</v>
      </c>
      <c r="Q34" s="33"/>
      <c r="R34" s="108" t="str">
        <f>VLOOKUP(C34,'Train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34" s="111" t="str">
        <f>VLOOKUP(C34,'Train Runs'!$A$13:$AE$10028,22,0)</f>
        <v>https://search-rtdc-monitor-bjffxe2xuh6vdkpspy63sjmuny.us-east-1.es.amazonaws.com/_plugin/kibana/#/discover/Steve-Slow-Train-Analysis-(2080s-and-2083s)?_g=(refreshInterval:(display:Off,section:0,value:0),time:(from:'2016-09-14 11:33:21-0600',mode:absolute,to:'2016-09-14 14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4" s="113" t="str">
        <f t="shared" si="0"/>
        <v>"C:\Program Files (x86)\AstroGrep\AstroGrep.exe" /spath="%USERPROFILE%\AppData\Local\Temp\OnboardLogs" /stypes="*4039*201609141*" /stext=" 18:.+((SYSTEM_STATE.+slice.+state.+changed )|(ment ac)|(system.+state.+changed )|(\|lc)|(penalty)|(\[timeout)|(PRM\|1\|D)|(kpr)|(kdp))" /e /r /s</v>
      </c>
      <c r="U34" s="9" t="str">
        <f t="shared" si="1"/>
        <v>4039</v>
      </c>
      <c r="V34" s="38">
        <f t="shared" si="2"/>
        <v>42627.788449074076</v>
      </c>
      <c r="W34" s="52" t="str">
        <f t="shared" si="3"/>
        <v>EC</v>
      </c>
      <c r="X34" s="52" t="str">
        <f t="shared" si="4"/>
        <v>KEEP</v>
      </c>
      <c r="Y34" s="134" t="str">
        <f t="shared" si="5"/>
        <v>echo {"issue":{"subject":"40th 4S STOP, cleared shortly","project_id":79,"tracker_id":40,"status_id":1,"priority_id":2,"assigned_to_id":23,"start_date":"2016-09-14","description":"","custom_fields":[{"id":1,"name":"Subdivision","value":"EC"},{"id":4,"name":"Milepost","value":"12.7587"},{"id":17,"name":"Train ID","value":"166-14"},{"id":16,"name":"Locomotive ID","value":"4039"},{"id":130,"name":"Impact","value":""},{"id":150,"name":"Time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</row>
    <row r="35" spans="1:28" x14ac:dyDescent="0.25">
      <c r="A35" s="38">
        <v>42627.668854166666</v>
      </c>
      <c r="B35" s="33" t="s">
        <v>385</v>
      </c>
      <c r="C35" s="33" t="s">
        <v>512</v>
      </c>
      <c r="D35" s="33" t="s">
        <v>49</v>
      </c>
      <c r="E35" s="33" t="s">
        <v>54</v>
      </c>
      <c r="F35" s="49">
        <v>0</v>
      </c>
      <c r="G35" s="49">
        <v>455</v>
      </c>
      <c r="H35" s="49">
        <v>152144</v>
      </c>
      <c r="I35" s="49">
        <v>153858</v>
      </c>
      <c r="J35" s="33" t="s">
        <v>55</v>
      </c>
      <c r="K35" s="49">
        <v>155600</v>
      </c>
      <c r="L35" s="150" t="s">
        <v>52</v>
      </c>
      <c r="M35" s="153">
        <f t="shared" si="6"/>
        <v>919.77599999999995</v>
      </c>
      <c r="N35" s="92" t="str">
        <f>VLOOKUP(C35,'Trips&amp;Operators'!$C$1:$E$99999,3,FALSE)</f>
        <v>HILLS</v>
      </c>
      <c r="O35" s="174" t="s">
        <v>86</v>
      </c>
      <c r="P35" s="10" t="s">
        <v>737</v>
      </c>
      <c r="Q35" s="33"/>
      <c r="R35" s="108" t="str">
        <f>VLOOKUP(C35,'Train Runs'!$A$13:$AE$10028,31,0)</f>
        <v>aws s3 cp s3://rtdc.mdm.uploadarchive/RTDC4044/2016-09-14/ "%USERPROFILE%\AppData\Local\Temp\OnboardLogs"\RTDC4044\2016-09-14 --recursive &amp; "%USERPROFILE%\Documents\GitHub\mrs-test-scripts\Headless Mode &amp; Sideloading\WalkAndUnGZ.bat" "%USERPROFILE%\AppData\Local\Temp\OnboardLogs"\RTDC4044\2016-09-14 &amp; 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</v>
      </c>
      <c r="S35" s="111" t="str">
        <f>VLOOKUP(C35,'Train Runs'!$A$13:$AE$10028,22,0)</f>
        <v>https://search-rtdc-monitor-bjffxe2xuh6vdkpspy63sjmuny.us-east-1.es.amazonaws.com/_plugin/kibana/#/discover/Steve-Slow-Train-Analysis-(2080s-and-2083s)?_g=(refreshInterval:(display:Off,section:0,value:0),time:(from:'2016-09-14 14:33:02-0600',mode:absolute,to:'2016-09-14 17:15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35" s="113" t="str">
        <f t="shared" si="0"/>
        <v>"C:\Program Files (x86)\AstroGrep\AstroGrep.exe" /spath="%USERPROFILE%\AppData\Local\Temp\OnboardLogs" /stypes="*4044*201609142*" /stext=" 22:.+((SYSTEM_STATE.+slice.+state.+changed )|(ment ac)|(system.+state.+changed )|(\|lc)|(penalty)|(\[timeout)|(PRM\|1\|D)|(kpr)|(kdp))" /e /r /s</v>
      </c>
      <c r="U35" s="9" t="str">
        <f t="shared" si="1"/>
        <v>4044</v>
      </c>
      <c r="V35" s="38">
        <f t="shared" si="2"/>
        <v>42627.918854166666</v>
      </c>
      <c r="W35" s="52" t="str">
        <f t="shared" si="3"/>
        <v>EC</v>
      </c>
      <c r="X35" s="52" t="str">
        <f t="shared" si="4"/>
        <v>KEEP</v>
      </c>
      <c r="Y35" s="134" t="str">
        <f t="shared" si="5"/>
        <v>echo {"issue":{"subject":"61st 2N STOP, cleared shortly","project_id":79,"tracker_id":40,"status_id":1,"priority_id":2,"assigned_to_id":23,"start_date":"2016-09-14","description":"","custom_fields":[{"id":1,"name":"Subdivision","value":"EC"},{"id":4,"name":"Milepost","value":"15.56"},{"id":17,"name":"Train ID","value":"195-14"},{"id":16,"name":"Locomotive ID","value":"4044"},{"id":130,"name":"Impact","value":""},{"id":150,"name":"Time of Event (Mountain Time)","value":"16:03:09"},{"id":151,"name":"Denver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</row>
    <row r="36" spans="1:28" x14ac:dyDescent="0.25">
      <c r="A36" s="38">
        <v>42627.532534722224</v>
      </c>
      <c r="B36" s="33" t="s">
        <v>249</v>
      </c>
      <c r="C36" s="33" t="s">
        <v>482</v>
      </c>
      <c r="D36" s="33" t="s">
        <v>49</v>
      </c>
      <c r="E36" s="33" t="s">
        <v>54</v>
      </c>
      <c r="F36" s="49">
        <v>0</v>
      </c>
      <c r="G36" s="49">
        <v>577</v>
      </c>
      <c r="H36" s="49">
        <v>195070</v>
      </c>
      <c r="I36" s="49">
        <v>193469</v>
      </c>
      <c r="J36" s="33" t="s">
        <v>55</v>
      </c>
      <c r="K36" s="49">
        <v>191723</v>
      </c>
      <c r="L36" s="150" t="s">
        <v>53</v>
      </c>
      <c r="M36" s="153">
        <f t="shared" si="6"/>
        <v>921.88800000000003</v>
      </c>
      <c r="N36" s="92" t="str">
        <f>VLOOKUP(C36,'Trips&amp;Operators'!$C$1:$E$99999,3,FALSE)</f>
        <v>STAMBAUGH</v>
      </c>
      <c r="O36" s="174" t="s">
        <v>86</v>
      </c>
      <c r="P36" s="10" t="s">
        <v>304</v>
      </c>
      <c r="Q36" s="33"/>
      <c r="R36" s="108" t="str">
        <f>VLOOKUP(C36,'Train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36" s="111" t="str">
        <f>VLOOKUP(C36,'Train Runs'!$A$13:$AE$10028,22,0)</f>
        <v>https://search-rtdc-monitor-bjffxe2xuh6vdkpspy63sjmuny.us-east-1.es.amazonaws.com/_plugin/kibana/#/discover/Steve-Slow-Train-Analysis-(2080s-and-2083s)?_g=(refreshInterval:(display:Off,section:0,value:0),time:(from:'2016-09-14 11:33:21-0600',mode:absolute,to:'2016-09-14 14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6" s="113" t="str">
        <f t="shared" si="0"/>
        <v>"C:\Program Files (x86)\AstroGrep\AstroGrep.exe" /spath="%USERPROFILE%\AppData\Local\Temp\OnboardLogs" /stypes="*4039*201609141*" /stext=" 18:.+((SYSTEM_STATE.+slice.+state.+changed )|(ment ac)|(system.+state.+changed )|(\|lc)|(penalty)|(\[timeout)|(PRM\|1\|D)|(kpr)|(kdp))" /e /r /s</v>
      </c>
      <c r="U36" s="9" t="str">
        <f t="shared" si="1"/>
        <v>4039</v>
      </c>
      <c r="V36" s="38">
        <f t="shared" si="2"/>
        <v>42627.782534722224</v>
      </c>
      <c r="W36" s="52" t="str">
        <f t="shared" si="3"/>
        <v>EC</v>
      </c>
      <c r="X36" s="52" t="str">
        <f t="shared" si="4"/>
        <v>KEEP</v>
      </c>
      <c r="Y36" s="134" t="str">
        <f t="shared" si="5"/>
        <v>echo {"issue":{"subject":"Pena 4S STOP, cleared shortly","project_id":79,"tracker_id":40,"status_id":1,"priority_id":2,"assigned_to_id":23,"start_date":"2016-09-14","description":"","custom_fields":[{"id":1,"name":"Subdivision","value":"EC"},{"id":4,"name":"Milepost","value":"19.1723"},{"id":17,"name":"Train ID","value":"166-14"},{"id":16,"name":"Locomotive ID","value":"4039"},{"id":130,"name":"Impact","value":""},{"id":150,"name":"Time of Event (Mountain Time)","value":"12:46:51"},{"id":151,"name":"Denver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</row>
    <row r="37" spans="1:28" ht="15" customHeight="1" x14ac:dyDescent="0.25">
      <c r="A37" s="38">
        <v>42627.62599537037</v>
      </c>
      <c r="B37" s="33" t="s">
        <v>182</v>
      </c>
      <c r="C37" s="33" t="s">
        <v>505</v>
      </c>
      <c r="D37" s="33" t="s">
        <v>49</v>
      </c>
      <c r="E37" s="33" t="s">
        <v>54</v>
      </c>
      <c r="F37" s="49">
        <v>0</v>
      </c>
      <c r="G37" s="49">
        <v>352</v>
      </c>
      <c r="H37" s="49">
        <v>193472</v>
      </c>
      <c r="I37" s="49">
        <v>192649</v>
      </c>
      <c r="J37" s="33" t="s">
        <v>55</v>
      </c>
      <c r="K37" s="49">
        <v>191723</v>
      </c>
      <c r="L37" s="150" t="s">
        <v>53</v>
      </c>
      <c r="M37" s="153">
        <f t="shared" si="6"/>
        <v>488.928</v>
      </c>
      <c r="N37" s="92" t="str">
        <f>VLOOKUP(C37,'Trips&amp;Operators'!$C$1:$E$99999,3,FALSE)</f>
        <v>BRUDER</v>
      </c>
      <c r="O37" s="174" t="s">
        <v>175</v>
      </c>
      <c r="P37" s="10" t="s">
        <v>181</v>
      </c>
      <c r="Q37" s="33"/>
      <c r="R37" s="108" t="str">
        <f>VLOOKUP(C37,'Train Runs'!$A$13:$AE$10028,31,0)</f>
        <v>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 &amp; 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</v>
      </c>
      <c r="S37" s="111" t="str">
        <f>VLOOKUP(C37,'Train Runs'!$A$13:$AE$10028,22,0)</f>
        <v>https://search-rtdc-monitor-bjffxe2xuh6vdkpspy63sjmuny.us-east-1.es.amazonaws.com/_plugin/kibana/#/discover/Steve-Slow-Train-Analysis-(2080s-and-2083s)?_g=(refreshInterval:(display:Off,section:0,value:0),time:(from:'2016-09-14 13:47:52-0600',mode:absolute,to:'2016-09-14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7" s="113" t="str">
        <f t="shared" si="0"/>
        <v>"C:\Program Files (x86)\AstroGrep\AstroGrep.exe" /spath="%USERPROFILE%\AppData\Local\Temp\OnboardLogs" /stypes="*4041*201609142*" /stext=" 21:.+((SYSTEM_STATE.+slice.+state.+changed )|(ment ac)|(system.+state.+changed )|(\|lc)|(penalty)|(\[timeout)|(PRM\|1\|D)|(kpr)|(kdp))" /e /r /s</v>
      </c>
      <c r="U37" s="9" t="str">
        <f t="shared" si="1"/>
        <v>4041</v>
      </c>
      <c r="V37" s="38">
        <f t="shared" si="2"/>
        <v>42627.87599537037</v>
      </c>
      <c r="W37" s="52" t="str">
        <f t="shared" si="3"/>
        <v>EC</v>
      </c>
      <c r="X37" s="52" t="str">
        <f t="shared" si="4"/>
        <v>KEEP</v>
      </c>
      <c r="Y37" s="134" t="str">
        <f t="shared" si="5"/>
        <v>echo {"issue":{"subject":"Wi-MAX outage","project_id":79,"tracker_id":40,"status_id":1,"priority_id":2,"assigned_to_id":23,"start_date":"2016-09-14","description":"","custom_fields":[{"id":1,"name":"Subdivision","value":"EC"},{"id":4,"name":"Milepost","value":"19.1723"},{"id":17,"name":"Train ID","value":"184-14"},{"id":16,"name":"Locomotive ID","value":"4041"},{"id":130,"name":"Impact","value":""},{"id":150,"name":"Time of Event (Mountain Time)","value":"15:01:26"},{"id":151,"name":"Denver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</row>
    <row r="38" spans="1:28" x14ac:dyDescent="0.25">
      <c r="A38" s="38">
        <v>42627.26290509259</v>
      </c>
      <c r="B38" s="33" t="s">
        <v>249</v>
      </c>
      <c r="C38" s="33" t="s">
        <v>403</v>
      </c>
      <c r="D38" s="33" t="s">
        <v>49</v>
      </c>
      <c r="E38" s="33" t="s">
        <v>729</v>
      </c>
      <c r="F38" s="49">
        <v>0</v>
      </c>
      <c r="G38" s="49">
        <v>156</v>
      </c>
      <c r="H38" s="49">
        <v>3916</v>
      </c>
      <c r="I38" s="49">
        <v>0</v>
      </c>
      <c r="J38" s="33" t="s">
        <v>730</v>
      </c>
      <c r="K38" s="49">
        <v>3902</v>
      </c>
      <c r="L38" s="150" t="s">
        <v>53</v>
      </c>
      <c r="M38" s="153">
        <f t="shared" si="6"/>
        <v>-2060.2559999999999</v>
      </c>
      <c r="N38" s="92" t="str">
        <f>VLOOKUP(C38,'Trips&amp;Operators'!$C$1:$E$99999,3,FALSE)</f>
        <v>KILLION</v>
      </c>
      <c r="O38" s="174" t="s">
        <v>175</v>
      </c>
      <c r="P38" s="10" t="s">
        <v>181</v>
      </c>
      <c r="Q38" s="33"/>
      <c r="R38" s="108" t="str">
        <f>VLOOKUP(C38,'Train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38" s="111" t="str">
        <f>VLOOKUP(C38,'Train Runs'!$A$13:$AE$10028,22,0)</f>
        <v>https://search-rtdc-monitor-bjffxe2xuh6vdkpspy63sjmuny.us-east-1.es.amazonaws.com/_plugin/kibana/#/discover/Steve-Slow-Train-Analysis-(2080s-and-2083s)?_g=(refreshInterval:(display:Off,section:0,value:0),time:(from:'2016-09-14 04:30:50-0600',mode:absolute,to:'2016-09-14 07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8" s="113" t="str">
        <f t="shared" si="0"/>
        <v>"C:\Program Files (x86)\AstroGrep\AstroGrep.exe" /spath="%USERPROFILE%\AppData\Local\Temp\OnboardLogs" /stypes="*4039*201609141*" /stext=" 12:.+((SYSTEM_STATE.+slice.+state.+changed )|(ment ac)|(system.+state.+changed )|(\|lc)|(penalty)|(\[timeout)|(PRM\|1\|D)|(kpr)|(kdp))" /e /r /s</v>
      </c>
      <c r="U38" s="9" t="str">
        <f t="shared" si="1"/>
        <v>4039</v>
      </c>
      <c r="V38" s="38">
        <f t="shared" si="2"/>
        <v>42627.51290509259</v>
      </c>
      <c r="W38" s="52" t="str">
        <f t="shared" si="3"/>
        <v>EC</v>
      </c>
      <c r="X38" s="52" t="str">
        <f t="shared" si="4"/>
        <v>KEEP</v>
      </c>
      <c r="Y38" s="134" t="str">
        <f t="shared" si="5"/>
        <v>echo {"issue":{"subject":"Wi-MAX outage","project_id":79,"tracker_id":40,"status_id":1,"priority_id":2,"assigned_to_id":23,"start_date":"2016-09-14","description":"","custom_fields":[{"id":1,"name":"Subdivision","value":"EC"},{"id":4,"name":"Milepost","value":"0.3902"},{"id":17,"name":"Train ID","value":"110-14"},{"id":16,"name":"Locomotive ID","value":"4039"},{"id":130,"name":"Impact","value":""},{"id":150,"name":"Time of Event (Mountain Time)","value":"06:18:35"},{"id":151,"name":"Denver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</row>
    <row r="39" spans="1:28" x14ac:dyDescent="0.25">
      <c r="A39" s="38">
        <v>42627.200960648152</v>
      </c>
      <c r="B39" s="33" t="s">
        <v>391</v>
      </c>
      <c r="C39" s="33" t="s">
        <v>392</v>
      </c>
      <c r="D39" s="33" t="s">
        <v>49</v>
      </c>
      <c r="E39" s="33" t="s">
        <v>50</v>
      </c>
      <c r="F39" s="49">
        <v>0</v>
      </c>
      <c r="G39" s="49">
        <v>24</v>
      </c>
      <c r="H39" s="49">
        <v>79</v>
      </c>
      <c r="I39" s="49">
        <v>48</v>
      </c>
      <c r="J39" s="33" t="s">
        <v>51</v>
      </c>
      <c r="K39" s="49">
        <v>1</v>
      </c>
      <c r="L39" s="150" t="s">
        <v>53</v>
      </c>
      <c r="M39" s="153">
        <f t="shared" si="6"/>
        <v>24.815999999999999</v>
      </c>
      <c r="N39" s="92" t="str">
        <f>VLOOKUP(C39,'Trips&amp;Operators'!$C$1:$E$99999,3,FALSE)</f>
        <v>MAELZER</v>
      </c>
      <c r="O39" s="174" t="s">
        <v>86</v>
      </c>
      <c r="P39" s="10"/>
      <c r="Q39" s="33"/>
      <c r="R39" s="108" t="str">
        <f>VLOOKUP(C39,'Train Runs'!$A$13:$AE$10028,31,0)</f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S39" s="111" t="str">
        <f>VLOOKUP(C39,'Train Runs'!$A$13:$AE$10028,22,0)</f>
        <v>https://search-rtdc-monitor-bjffxe2xuh6vdkpspy63sjmuny.us-east-1.es.amazonaws.com/_plugin/kibana/#/discover/Steve-Slow-Train-Analysis-(2080s-and-2083s)?_g=(refreshInterval:(display:Off,section:0,value:0),time:(from:'2016-09-14 03:06:38-0600',mode:absolute,to:'2016-09-14 05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9" s="113" t="str">
        <f t="shared" ref="T39:T70" si="7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/stypes="*4004*201609141*" /stext=" 10:.+((SYSTEM_STATE.+slice.+state.+changed )|(ment ac)|(system.+state.+changed )|(\|lc)|(penalty)|(\[timeout)|(PRM\|1\|D)|(kpr)|(kdp))" /e /r /s</v>
      </c>
      <c r="U39" s="9" t="str">
        <f t="shared" ref="U39:U75" si="8">MID(B39,13,4)</f>
        <v>4004</v>
      </c>
      <c r="V39" s="38">
        <f t="shared" ref="V39:V75" si="9">A39+6/24</f>
        <v>42627.450960648152</v>
      </c>
      <c r="W39" s="52" t="str">
        <f t="shared" ref="W39:W75" si="10">IF(VALUE(LEFT(IF(LEN(C39)=6,"0"&amp;C39,C39),2))&lt;=2,"EC",IF(OR(VALUE(LEFT(IF(LEN(C39)=6,"0"&amp;C39,C39),2))=8,VALUE(LEFT(IF(LEN(C39)=6,"0"&amp;C39,C39),2))=18),"NW","Other"))</f>
        <v>EC</v>
      </c>
      <c r="X39" s="52" t="str">
        <f t="shared" ref="X39:X75" si="11">IF(AND(E39="TRACK WARRANT AUTHORITY",G39&lt;10),"OMIT","KEEP")</f>
        <v>KEEP</v>
      </c>
      <c r="Y39" s="134" t="str">
        <f t="shared" ref="Y39:Y70" si="12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ID","value":"102-14"},{"id":16,"name":"Locomotive ID","value":"4004"},{"id":130,"name":"Impact","value":""},{"id":150,"name":"Time of Event (Mountain Time)","value":"04:49:23"},{"id":151,"name":"Denver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</row>
    <row r="40" spans="1:28" x14ac:dyDescent="0.25">
      <c r="A40" s="38">
        <v>42627.20144675926</v>
      </c>
      <c r="B40" s="33" t="s">
        <v>391</v>
      </c>
      <c r="C40" s="33" t="s">
        <v>392</v>
      </c>
      <c r="D40" s="33" t="s">
        <v>49</v>
      </c>
      <c r="E40" s="33" t="s">
        <v>50</v>
      </c>
      <c r="F40" s="49">
        <v>0</v>
      </c>
      <c r="G40" s="49">
        <v>12</v>
      </c>
      <c r="H40" s="49">
        <v>41</v>
      </c>
      <c r="I40" s="49">
        <v>12</v>
      </c>
      <c r="J40" s="33" t="s">
        <v>51</v>
      </c>
      <c r="K40" s="49">
        <v>1</v>
      </c>
      <c r="L40" s="150" t="s">
        <v>53</v>
      </c>
      <c r="M40" s="153">
        <f t="shared" si="6"/>
        <v>5.8079999999999998</v>
      </c>
      <c r="N40" s="92" t="str">
        <f>VLOOKUP(C40,'Trips&amp;Operators'!$C$1:$E$99999,3,FALSE)</f>
        <v>MAELZER</v>
      </c>
      <c r="O40" s="174" t="s">
        <v>86</v>
      </c>
      <c r="P40" s="10"/>
      <c r="Q40" s="33"/>
      <c r="R40" s="108" t="str">
        <f>VLOOKUP(C40,'Train Runs'!$A$13:$AE$10028,31,0)</f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S40" s="111" t="str">
        <f>VLOOKUP(C40,'Train Runs'!$A$13:$AE$10028,22,0)</f>
        <v>https://search-rtdc-monitor-bjffxe2xuh6vdkpspy63sjmuny.us-east-1.es.amazonaws.com/_plugin/kibana/#/discover/Steve-Slow-Train-Analysis-(2080s-and-2083s)?_g=(refreshInterval:(display:Off,section:0,value:0),time:(from:'2016-09-14 03:06:38-0600',mode:absolute,to:'2016-09-14 05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40" s="113" t="str">
        <f t="shared" si="7"/>
        <v>"C:\Program Files (x86)\AstroGrep\AstroGrep.exe" /spath="%USERPROFILE%\AppData\Local\Temp\OnboardLogs" /stypes="*4004*201609141*" /stext=" 10:.+((SYSTEM_STATE.+slice.+state.+changed )|(ment ac)|(system.+state.+changed )|(\|lc)|(penalty)|(\[timeout)|(PRM\|1\|D)|(kpr)|(kdp))" /e /r /s</v>
      </c>
      <c r="U40" s="9" t="str">
        <f t="shared" si="8"/>
        <v>4004</v>
      </c>
      <c r="V40" s="38">
        <f t="shared" si="9"/>
        <v>42627.45144675926</v>
      </c>
      <c r="W40" s="52" t="str">
        <f t="shared" si="10"/>
        <v>EC</v>
      </c>
      <c r="X40" s="52" t="str">
        <f t="shared" si="11"/>
        <v>KEEP</v>
      </c>
      <c r="Y40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ID","value":"102-14"},{"id":16,"name":"Locomotive ID","value":"4004"},{"id":130,"name":"Impact","value":""},{"id":150,"name":"Time of Event (Mountain Time)","value":"04:50:05"},{"id":151,"name":"Denver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</row>
    <row r="41" spans="1:28" x14ac:dyDescent="0.25">
      <c r="A41" s="38">
        <v>42627.223923611113</v>
      </c>
      <c r="B41" s="33" t="s">
        <v>248</v>
      </c>
      <c r="C41" s="33" t="s">
        <v>394</v>
      </c>
      <c r="D41" s="33" t="s">
        <v>49</v>
      </c>
      <c r="E41" s="33" t="s">
        <v>50</v>
      </c>
      <c r="F41" s="49">
        <v>0</v>
      </c>
      <c r="G41" s="49">
        <v>36</v>
      </c>
      <c r="H41" s="49">
        <v>139</v>
      </c>
      <c r="I41" s="49">
        <v>110</v>
      </c>
      <c r="J41" s="33" t="s">
        <v>51</v>
      </c>
      <c r="K41" s="49">
        <v>1</v>
      </c>
      <c r="L41" s="150" t="s">
        <v>53</v>
      </c>
      <c r="M41" s="153">
        <f t="shared" si="6"/>
        <v>57.552</v>
      </c>
      <c r="N41" s="92" t="str">
        <f>VLOOKUP(C41,'Trips&amp;Operators'!$C$1:$E$99999,3,FALSE)</f>
        <v>ARVIDSON</v>
      </c>
      <c r="O41" s="174" t="s">
        <v>86</v>
      </c>
      <c r="P41" s="10"/>
      <c r="Q41" s="33"/>
      <c r="R41" s="108" t="str">
        <f>VLOOKUP(C41,'Train Runs'!$A$13:$AE$10028,31,0)</f>
        <v>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 &amp; aws s3 cp s3://rtdc.mdm.uploadarchive/RTDC4037/2016-09-15/ "%USERPROFILE%\AppData\Local\Temp\OnboardLogs"\RTDC4037\2016-09-15 --recursive &amp; "%USERPROFILE%\Documents\GitHub\mrs-test-scripts\Headless Mode &amp; Sideloading\WalkAndUnGZ.bat" "%USERPROFILE%\AppData\Local\Temp\OnboardLogs"\RTDC4037\2016-09-15</v>
      </c>
      <c r="S41" s="111" t="str">
        <f>VLOOKUP(C41,'Train Runs'!$A$13:$AE$10028,22,0)</f>
        <v>https://search-rtdc-monitor-bjffxe2xuh6vdkpspy63sjmuny.us-east-1.es.amazonaws.com/_plugin/kibana/#/discover/Steve-Slow-Train-Analysis-(2080s-and-2083s)?_g=(refreshInterval:(display:Off,section:0,value:0),time:(from:'2016-09-14 03:31:08-0600',mode:absolute,to:'2016-09-14 06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41" s="113" t="str">
        <f t="shared" si="7"/>
        <v>"C:\Program Files (x86)\AstroGrep\AstroGrep.exe" /spath="%USERPROFILE%\AppData\Local\Temp\OnboardLogs" /stypes="*4037*201609141*" /stext=" 11:.+((SYSTEM_STATE.+slice.+state.+changed )|(ment ac)|(system.+state.+changed )|(\|lc)|(penalty)|(\[timeout)|(PRM\|1\|D)|(kpr)|(kdp))" /e /r /s</v>
      </c>
      <c r="U41" s="9" t="str">
        <f t="shared" si="8"/>
        <v>4037</v>
      </c>
      <c r="V41" s="38">
        <f t="shared" si="9"/>
        <v>42627.473923611113</v>
      </c>
      <c r="W41" s="52" t="str">
        <f t="shared" si="10"/>
        <v>EC</v>
      </c>
      <c r="X41" s="52" t="str">
        <f t="shared" si="11"/>
        <v>KEEP</v>
      </c>
      <c r="Y41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ID","value":"104-14"},{"id":16,"name":"Locomotive ID","value":"4037"},{"id":130,"name":"Impact","value":""},{"id":150,"name":"Time of Event (Mountain Time)","value":"05:22:27"},{"id":151,"name":"Denver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</row>
    <row r="42" spans="1:28" x14ac:dyDescent="0.25">
      <c r="A42" s="38">
        <v>42627.411898148152</v>
      </c>
      <c r="B42" s="33" t="s">
        <v>249</v>
      </c>
      <c r="C42" s="33" t="s">
        <v>444</v>
      </c>
      <c r="D42" s="33" t="s">
        <v>49</v>
      </c>
      <c r="E42" s="33" t="s">
        <v>50</v>
      </c>
      <c r="F42" s="49">
        <v>0</v>
      </c>
      <c r="G42" s="49">
        <v>104</v>
      </c>
      <c r="H42" s="49">
        <v>435</v>
      </c>
      <c r="I42" s="49">
        <v>313</v>
      </c>
      <c r="J42" s="33" t="s">
        <v>51</v>
      </c>
      <c r="K42" s="49">
        <v>1</v>
      </c>
      <c r="L42" s="150" t="s">
        <v>53</v>
      </c>
      <c r="M42" s="153">
        <f t="shared" si="6"/>
        <v>164.73599999999999</v>
      </c>
      <c r="N42" s="92" t="str">
        <f>VLOOKUP(C42,'Trips&amp;Operators'!$C$1:$E$99999,3,FALSE)</f>
        <v>KILLION</v>
      </c>
      <c r="O42" s="174" t="s">
        <v>86</v>
      </c>
      <c r="P42" s="10"/>
      <c r="Q42" s="33"/>
      <c r="R42" s="108" t="str">
        <f>VLOOKUP(C42,'Train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42" s="111" t="str">
        <f>VLOOKUP(C42,'Train Runs'!$A$13:$AE$10028,22,0)</f>
        <v>https://search-rtdc-monitor-bjffxe2xuh6vdkpspy63sjmuny.us-east-1.es.amazonaws.com/_plugin/kibana/#/discover/Steve-Slow-Train-Analysis-(2080s-and-2083s)?_g=(refreshInterval:(display:Off,section:0,value:0),time:(from:'2016-09-14 08:06:28-0600',mode:absolute,to:'2016-09-14 10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2" s="113" t="str">
        <f t="shared" si="7"/>
        <v>"C:\Program Files (x86)\AstroGrep\AstroGrep.exe" /spath="%USERPROFILE%\AppData\Local\Temp\OnboardLogs" /stypes="*4039*201609141*" /stext=" 15:.+((SYSTEM_STATE.+slice.+state.+changed )|(ment ac)|(system.+state.+changed )|(\|lc)|(penalty)|(\[timeout)|(PRM\|1\|D)|(kpr)|(kdp))" /e /r /s</v>
      </c>
      <c r="U42" s="9" t="str">
        <f t="shared" si="8"/>
        <v>4039</v>
      </c>
      <c r="V42" s="38">
        <f t="shared" si="9"/>
        <v>42627.661898148152</v>
      </c>
      <c r="W42" s="52" t="str">
        <f t="shared" si="10"/>
        <v>EC</v>
      </c>
      <c r="X42" s="52" t="str">
        <f t="shared" si="11"/>
        <v>KEEP</v>
      </c>
      <c r="Y42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ID","value":"138-14"},{"id":16,"name":"Locomotive ID","value":"4039"},{"id":130,"name":"Impact","value":""},{"id":150,"name":"Time of Event (Mountain Time)","value":"09:53:08"},{"id":151,"name":"Denver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</row>
    <row r="43" spans="1:28" x14ac:dyDescent="0.25">
      <c r="A43" s="38">
        <v>42627.412349537037</v>
      </c>
      <c r="B43" s="33" t="s">
        <v>249</v>
      </c>
      <c r="C43" s="33" t="s">
        <v>444</v>
      </c>
      <c r="D43" s="33" t="s">
        <v>49</v>
      </c>
      <c r="E43" s="33" t="s">
        <v>50</v>
      </c>
      <c r="F43" s="49">
        <v>0</v>
      </c>
      <c r="G43" s="49">
        <v>47</v>
      </c>
      <c r="H43" s="49">
        <v>161</v>
      </c>
      <c r="I43" s="49">
        <v>125</v>
      </c>
      <c r="J43" s="33" t="s">
        <v>51</v>
      </c>
      <c r="K43" s="49">
        <v>1</v>
      </c>
      <c r="L43" s="150" t="s">
        <v>53</v>
      </c>
      <c r="M43" s="153">
        <f t="shared" si="6"/>
        <v>65.471999999999994</v>
      </c>
      <c r="N43" s="92" t="str">
        <f>VLOOKUP(C43,'Trips&amp;Operators'!$C$1:$E$99999,3,FALSE)</f>
        <v>KILLION</v>
      </c>
      <c r="O43" s="174" t="s">
        <v>86</v>
      </c>
      <c r="P43" s="10"/>
      <c r="Q43" s="33"/>
      <c r="R43" s="108" t="str">
        <f>VLOOKUP(C43,'Train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43" s="111" t="str">
        <f>VLOOKUP(C43,'Train Runs'!$A$13:$AE$10028,22,0)</f>
        <v>https://search-rtdc-monitor-bjffxe2xuh6vdkpspy63sjmuny.us-east-1.es.amazonaws.com/_plugin/kibana/#/discover/Steve-Slow-Train-Analysis-(2080s-and-2083s)?_g=(refreshInterval:(display:Off,section:0,value:0),time:(from:'2016-09-14 08:06:28-0600',mode:absolute,to:'2016-09-14 10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3" s="113" t="str">
        <f t="shared" si="7"/>
        <v>"C:\Program Files (x86)\AstroGrep\AstroGrep.exe" /spath="%USERPROFILE%\AppData\Local\Temp\OnboardLogs" /stypes="*4039*201609141*" /stext=" 15:.+((SYSTEM_STATE.+slice.+state.+changed )|(ment ac)|(system.+state.+changed )|(\|lc)|(penalty)|(\[timeout)|(PRM\|1\|D)|(kpr)|(kdp))" /e /r /s</v>
      </c>
      <c r="U43" s="9" t="str">
        <f t="shared" si="8"/>
        <v>4039</v>
      </c>
      <c r="V43" s="38">
        <f t="shared" si="9"/>
        <v>42627.662349537037</v>
      </c>
      <c r="W43" s="52" t="str">
        <f t="shared" si="10"/>
        <v>EC</v>
      </c>
      <c r="X43" s="52" t="str">
        <f t="shared" si="11"/>
        <v>KEEP</v>
      </c>
      <c r="Y43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ID","value":"138-14"},{"id":16,"name":"Locomotive ID","value":"4039"},{"id":130,"name":"Impact","value":""},{"id":150,"name":"Time of Event (Mountain Time)","value":"09:53:47"},{"id":151,"name":"Denver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</row>
    <row r="44" spans="1:28" x14ac:dyDescent="0.25">
      <c r="A44" s="38">
        <v>42627.546805555554</v>
      </c>
      <c r="B44" s="33" t="s">
        <v>342</v>
      </c>
      <c r="C44" s="33" t="s">
        <v>479</v>
      </c>
      <c r="D44" s="33" t="s">
        <v>49</v>
      </c>
      <c r="E44" s="33" t="s">
        <v>50</v>
      </c>
      <c r="F44" s="49">
        <v>0</v>
      </c>
      <c r="G44" s="49">
        <v>104</v>
      </c>
      <c r="H44" s="49">
        <v>418</v>
      </c>
      <c r="I44" s="49">
        <v>278</v>
      </c>
      <c r="J44" s="33" t="s">
        <v>51</v>
      </c>
      <c r="K44" s="49">
        <v>1</v>
      </c>
      <c r="L44" s="150" t="s">
        <v>53</v>
      </c>
      <c r="M44" s="153">
        <f t="shared" si="6"/>
        <v>146.256</v>
      </c>
      <c r="N44" s="92" t="str">
        <f>VLOOKUP(C44,'Trips&amp;Operators'!$C$1:$E$99999,3,FALSE)</f>
        <v>BERLING</v>
      </c>
      <c r="O44" s="174" t="s">
        <v>86</v>
      </c>
      <c r="P44" s="10"/>
      <c r="Q44" s="33"/>
      <c r="R44" s="108" t="str">
        <f>VLOOKUP(C44,'Train Runs'!$A$13:$AE$10028,31,0)</f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S44" s="111" t="str">
        <f>VLOOKUP(C44,'Train Runs'!$A$13:$AE$10028,22,0)</f>
        <v>https://search-rtdc-monitor-bjffxe2xuh6vdkpspy63sjmuny.us-east-1.es.amazonaws.com/_plugin/kibana/#/discover/Steve-Slow-Train-Analysis-(2080s-and-2083s)?_g=(refreshInterval:(display:Off,section:0,value:0),time:(from:'2016-09-14 11:19:33-0600',mode:absolute,to:'2016-09-14 14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44" s="113" t="str">
        <f t="shared" si="7"/>
        <v>"C:\Program Files (x86)\AstroGrep\AstroGrep.exe" /spath="%USERPROFILE%\AppData\Local\Temp\OnboardLogs" /stypes="*4054*201609141*" /stext=" 19:.+((SYSTEM_STATE.+slice.+state.+changed )|(ment ac)|(system.+state.+changed )|(\|lc)|(penalty)|(\[timeout)|(PRM\|1\|D)|(kpr)|(kdp))" /e /r /s</v>
      </c>
      <c r="U44" s="9" t="str">
        <f t="shared" si="8"/>
        <v>4054</v>
      </c>
      <c r="V44" s="38">
        <f t="shared" si="9"/>
        <v>42627.796805555554</v>
      </c>
      <c r="W44" s="52" t="str">
        <f t="shared" si="10"/>
        <v>EC</v>
      </c>
      <c r="X44" s="52" t="str">
        <f t="shared" si="11"/>
        <v>KEEP</v>
      </c>
      <c r="Y44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ID","value":"164-14"},{"id":16,"name":"Locomotive ID","value":"4054"},{"id":130,"name":"Impact","value":""},{"id":150,"name":"Time of Event (Mountain Time)","value":"13:07:24"},{"id":151,"name":"Denver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</row>
    <row r="45" spans="1:28" x14ac:dyDescent="0.25">
      <c r="A45" s="38">
        <v>42627.555393518516</v>
      </c>
      <c r="B45" s="33" t="s">
        <v>249</v>
      </c>
      <c r="C45" s="33" t="s">
        <v>482</v>
      </c>
      <c r="D45" s="33" t="s">
        <v>49</v>
      </c>
      <c r="E45" s="33" t="s">
        <v>50</v>
      </c>
      <c r="F45" s="49">
        <v>0</v>
      </c>
      <c r="G45" s="49">
        <v>68</v>
      </c>
      <c r="H45" s="49">
        <v>196</v>
      </c>
      <c r="I45" s="49">
        <v>134</v>
      </c>
      <c r="J45" s="33" t="s">
        <v>51</v>
      </c>
      <c r="K45" s="49">
        <v>1</v>
      </c>
      <c r="L45" s="150" t="s">
        <v>53</v>
      </c>
      <c r="M45" s="153">
        <f t="shared" si="6"/>
        <v>70.224000000000004</v>
      </c>
      <c r="N45" s="92" t="str">
        <f>VLOOKUP(C45,'Trips&amp;Operators'!$C$1:$E$99999,3,FALSE)</f>
        <v>STAMBAUGH</v>
      </c>
      <c r="O45" s="174" t="s">
        <v>86</v>
      </c>
      <c r="P45" s="10"/>
      <c r="Q45" s="33"/>
      <c r="R45" s="108" t="str">
        <f>VLOOKUP(C45,'Train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45" s="111" t="str">
        <f>VLOOKUP(C45,'Train Runs'!$A$13:$AE$10028,22,0)</f>
        <v>https://search-rtdc-monitor-bjffxe2xuh6vdkpspy63sjmuny.us-east-1.es.amazonaws.com/_plugin/kibana/#/discover/Steve-Slow-Train-Analysis-(2080s-and-2083s)?_g=(refreshInterval:(display:Off,section:0,value:0),time:(from:'2016-09-14 11:33:21-0600',mode:absolute,to:'2016-09-14 14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5" s="113" t="str">
        <f t="shared" si="7"/>
        <v>"C:\Program Files (x86)\AstroGrep\AstroGrep.exe" /spath="%USERPROFILE%\AppData\Local\Temp\OnboardLogs" /stypes="*4039*201609141*" /stext=" 19:.+((SYSTEM_STATE.+slice.+state.+changed )|(ment ac)|(system.+state.+changed )|(\|lc)|(penalty)|(\[timeout)|(PRM\|1\|D)|(kpr)|(kdp))" /e /r /s</v>
      </c>
      <c r="U45" s="9" t="str">
        <f t="shared" si="8"/>
        <v>4039</v>
      </c>
      <c r="V45" s="38">
        <f t="shared" si="9"/>
        <v>42627.805393518516</v>
      </c>
      <c r="W45" s="52" t="str">
        <f t="shared" si="10"/>
        <v>EC</v>
      </c>
      <c r="X45" s="52" t="str">
        <f t="shared" si="11"/>
        <v>KEEP</v>
      </c>
      <c r="Y45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ID","value":"166-14"},{"id":16,"name":"Locomotive ID","value":"4039"},{"id":130,"name":"Impact","value":""},{"id":150,"name":"Time of Event (Mountain Time)","value":"13:19:46"},{"id":151,"name":"Denver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</row>
    <row r="46" spans="1:28" x14ac:dyDescent="0.25">
      <c r="A46" s="38">
        <v>42627.609155092592</v>
      </c>
      <c r="B46" s="33" t="s">
        <v>276</v>
      </c>
      <c r="C46" s="33" t="s">
        <v>494</v>
      </c>
      <c r="D46" s="33" t="s">
        <v>49</v>
      </c>
      <c r="E46" s="33" t="s">
        <v>50</v>
      </c>
      <c r="F46" s="49">
        <v>0</v>
      </c>
      <c r="G46" s="49">
        <v>46</v>
      </c>
      <c r="H46" s="49">
        <v>176</v>
      </c>
      <c r="I46" s="49">
        <v>121</v>
      </c>
      <c r="J46" s="33" t="s">
        <v>51</v>
      </c>
      <c r="K46" s="49">
        <v>1</v>
      </c>
      <c r="L46" s="150" t="s">
        <v>53</v>
      </c>
      <c r="M46" s="153">
        <f t="shared" si="6"/>
        <v>63.36</v>
      </c>
      <c r="N46" s="92" t="str">
        <f>VLOOKUP(C46,'Trips&amp;Operators'!$C$1:$E$99999,3,FALSE)</f>
        <v>BARTLETT</v>
      </c>
      <c r="O46" s="174" t="s">
        <v>86</v>
      </c>
      <c r="P46" s="10"/>
      <c r="Q46" s="33"/>
      <c r="R46" s="108" t="str">
        <f>VLOOKUP(C46,'Train Runs'!$A$13:$AE$10028,31,0)</f>
        <v>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 &amp; aws s3 cp s3://rtdc.mdm.uploadarchive/RTDC4013/2016-09-15/ "%USERPROFILE%\AppData\Local\Temp\OnboardLogs"\RTDC4013\2016-09-15 --recursive &amp; "%USERPROFILE%\Documents\GitHub\mrs-test-scripts\Headless Mode &amp; Sideloading\WalkAndUnGZ.bat" "%USERPROFILE%\AppData\Local\Temp\OnboardLogs"\RTDC4013\2016-09-15</v>
      </c>
      <c r="S46" s="111" t="str">
        <f>VLOOKUP(C46,'Train Runs'!$A$13:$AE$10028,22,0)</f>
        <v>https://search-rtdc-monitor-bjffxe2xuh6vdkpspy63sjmuny.us-east-1.es.amazonaws.com/_plugin/kibana/#/discover/Steve-Slow-Train-Analysis-(2080s-and-2083s)?_g=(refreshInterval:(display:Off,section:0,value:0),time:(from:'2016-09-14 12:40:21-0600',mode:absolute,to:'2016-09-14 15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6" s="113" t="str">
        <f t="shared" si="7"/>
        <v>"C:\Program Files (x86)\AstroGrep\AstroGrep.exe" /spath="%USERPROFILE%\AppData\Local\Temp\OnboardLogs" /stypes="*4013*201609142*" /stext=" 20:.+((SYSTEM_STATE.+slice.+state.+changed )|(ment ac)|(system.+state.+changed )|(\|lc)|(penalty)|(\[timeout)|(PRM\|1\|D)|(kpr)|(kdp))" /e /r /s</v>
      </c>
      <c r="U46" s="9" t="str">
        <f t="shared" si="8"/>
        <v>4013</v>
      </c>
      <c r="V46" s="38">
        <f t="shared" si="9"/>
        <v>42627.859155092592</v>
      </c>
      <c r="W46" s="52" t="str">
        <f t="shared" si="10"/>
        <v>EC</v>
      </c>
      <c r="X46" s="52" t="str">
        <f t="shared" si="11"/>
        <v>KEEP</v>
      </c>
      <c r="Y46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ID","value":"176-14"},{"id":16,"name":"Locomotive ID","value":"4013"},{"id":130,"name":"Impact","value":""},{"id":150,"name":"Time of Event (Mountain Time)","value":"14:37:11"},{"id":151,"name":"Denver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</row>
    <row r="47" spans="1:28" x14ac:dyDescent="0.25">
      <c r="A47" s="38">
        <v>42627.620057870372</v>
      </c>
      <c r="B47" s="33" t="s">
        <v>342</v>
      </c>
      <c r="C47" s="33" t="s">
        <v>496</v>
      </c>
      <c r="D47" s="33" t="s">
        <v>49</v>
      </c>
      <c r="E47" s="33" t="s">
        <v>50</v>
      </c>
      <c r="F47" s="49">
        <v>0</v>
      </c>
      <c r="G47" s="49">
        <v>57</v>
      </c>
      <c r="H47" s="49">
        <v>209</v>
      </c>
      <c r="I47" s="49">
        <v>149</v>
      </c>
      <c r="J47" s="33" t="s">
        <v>51</v>
      </c>
      <c r="K47" s="49">
        <v>1</v>
      </c>
      <c r="L47" s="150" t="s">
        <v>53</v>
      </c>
      <c r="M47" s="153">
        <f t="shared" si="6"/>
        <v>78.144000000000005</v>
      </c>
      <c r="N47" s="92" t="str">
        <f>VLOOKUP(C47,'Trips&amp;Operators'!$C$1:$E$99999,3,FALSE)</f>
        <v>BERLING</v>
      </c>
      <c r="O47" s="174" t="s">
        <v>86</v>
      </c>
      <c r="P47" s="10"/>
      <c r="Q47" s="33"/>
      <c r="R47" s="108" t="str">
        <f>VLOOKUP(C47,'Train Runs'!$A$13:$AE$10028,31,0)</f>
        <v>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 &amp; aws s3 cp s3://rtdc.mdm.uploadarchive/RTDC4054/2016-09-15/ "%USERPROFILE%\AppData\Local\Temp\OnboardLogs"\RTDC4054\2016-09-15 --recursive &amp; "%USERPROFILE%\Documents\GitHub\mrs-test-scripts\Headless Mode &amp; Sideloading\WalkAndUnGZ.bat" "%USERPROFILE%\AppData\Local\Temp\OnboardLogs"\RTDC4054\2016-09-15</v>
      </c>
      <c r="S47" s="111" t="str">
        <f>VLOOKUP(C47,'Train Runs'!$A$13:$AE$10028,22,0)</f>
        <v>https://search-rtdc-monitor-bjffxe2xuh6vdkpspy63sjmuny.us-east-1.es.amazonaws.com/_plugin/kibana/#/discover/Steve-Slow-Train-Analysis-(2080s-and-2083s)?_g=(refreshInterval:(display:Off,section:0,value:0),time:(from:'2016-09-14 13:05:03-0600',mode:absolute,to:'2016-09-14 15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47" s="113" t="str">
        <f t="shared" si="7"/>
        <v>"C:\Program Files (x86)\AstroGrep\AstroGrep.exe" /spath="%USERPROFILE%\AppData\Local\Temp\OnboardLogs" /stypes="*4054*201609142*" /stext=" 20:.+((SYSTEM_STATE.+slice.+state.+changed )|(ment ac)|(system.+state.+changed )|(\|lc)|(penalty)|(\[timeout)|(PRM\|1\|D)|(kpr)|(kdp))" /e /r /s</v>
      </c>
      <c r="U47" s="9" t="str">
        <f t="shared" si="8"/>
        <v>4054</v>
      </c>
      <c r="V47" s="38">
        <f t="shared" si="9"/>
        <v>42627.870057870372</v>
      </c>
      <c r="W47" s="52" t="str">
        <f t="shared" si="10"/>
        <v>EC</v>
      </c>
      <c r="X47" s="52" t="str">
        <f t="shared" si="11"/>
        <v>KEEP</v>
      </c>
      <c r="Y47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ID","value":"178-14"},{"id":16,"name":"Locomotive ID","value":"4054"},{"id":130,"name":"Impact","value":""},{"id":150,"name":"Time of Event (Mountain Time)","value":"14:52:53"},{"id":151,"name":"Denver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</row>
    <row r="48" spans="1:28" x14ac:dyDescent="0.25">
      <c r="A48" s="38">
        <v>42627.627766203703</v>
      </c>
      <c r="B48" s="33" t="s">
        <v>249</v>
      </c>
      <c r="C48" s="33" t="s">
        <v>500</v>
      </c>
      <c r="D48" s="33" t="s">
        <v>49</v>
      </c>
      <c r="E48" s="33" t="s">
        <v>50</v>
      </c>
      <c r="F48" s="49">
        <v>0</v>
      </c>
      <c r="G48" s="49">
        <v>32</v>
      </c>
      <c r="H48" s="49">
        <v>90</v>
      </c>
      <c r="I48" s="49">
        <v>72</v>
      </c>
      <c r="J48" s="33" t="s">
        <v>51</v>
      </c>
      <c r="K48" s="49">
        <v>1</v>
      </c>
      <c r="L48" s="150" t="s">
        <v>53</v>
      </c>
      <c r="M48" s="153">
        <f t="shared" si="6"/>
        <v>37.488</v>
      </c>
      <c r="N48" s="92" t="str">
        <f>VLOOKUP(C48,'Trips&amp;Operators'!$C$1:$E$99999,3,FALSE)</f>
        <v>STAMBAUGH</v>
      </c>
      <c r="O48" s="174" t="s">
        <v>86</v>
      </c>
      <c r="P48" s="10"/>
      <c r="Q48" s="33"/>
      <c r="R48" s="108" t="str">
        <f>VLOOKUP(C48,'Train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48" s="111" t="str">
        <f>VLOOKUP(C48,'Train Runs'!$A$13:$AE$10028,22,0)</f>
        <v>https://search-rtdc-monitor-bjffxe2xuh6vdkpspy63sjmuny.us-east-1.es.amazonaws.com/_plugin/kibana/#/discover/Steve-Slow-Train-Analysis-(2080s-and-2083s)?_g=(refreshInterval:(display:Off,section:0,value:0),time:(from:'2016-09-14 13:22:29-0600',mode:absolute,to:'2016-09-14 16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8" s="113" t="str">
        <f t="shared" si="7"/>
        <v>"C:\Program Files (x86)\AstroGrep\AstroGrep.exe" /spath="%USERPROFILE%\AppData\Local\Temp\OnboardLogs" /stypes="*4039*201609142*" /stext=" 21:.+((SYSTEM_STATE.+slice.+state.+changed )|(ment ac)|(system.+state.+changed )|(\|lc)|(penalty)|(\[timeout)|(PRM\|1\|D)|(kpr)|(kdp))" /e /r /s</v>
      </c>
      <c r="U48" s="9" t="str">
        <f t="shared" si="8"/>
        <v>4039</v>
      </c>
      <c r="V48" s="38">
        <f t="shared" si="9"/>
        <v>42627.877766203703</v>
      </c>
      <c r="W48" s="52" t="str">
        <f t="shared" si="10"/>
        <v>EC</v>
      </c>
      <c r="X48" s="52" t="str">
        <f t="shared" si="11"/>
        <v>KEEP</v>
      </c>
      <c r="Y48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ID","value":"180-14"},{"id":16,"name":"Locomotive ID","value":"4039"},{"id":130,"name":"Impact","value":""},{"id":150,"name":"Time of Event (Mountain Time)","value":"15:03:59"},{"id":151,"name":"Denver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</row>
    <row r="49" spans="1:28" x14ac:dyDescent="0.25">
      <c r="A49" s="38">
        <v>42627.670104166667</v>
      </c>
      <c r="B49" s="33" t="s">
        <v>391</v>
      </c>
      <c r="C49" s="33" t="s">
        <v>509</v>
      </c>
      <c r="D49" s="33" t="s">
        <v>49</v>
      </c>
      <c r="E49" s="33" t="s">
        <v>50</v>
      </c>
      <c r="F49" s="49">
        <v>0</v>
      </c>
      <c r="G49" s="49">
        <v>45</v>
      </c>
      <c r="H49" s="49">
        <v>149</v>
      </c>
      <c r="I49" s="49">
        <v>114</v>
      </c>
      <c r="J49" s="33" t="s">
        <v>51</v>
      </c>
      <c r="K49" s="49">
        <v>1</v>
      </c>
      <c r="L49" s="150" t="s">
        <v>53</v>
      </c>
      <c r="M49" s="153">
        <f t="shared" si="6"/>
        <v>59.664000000000001</v>
      </c>
      <c r="N49" s="92" t="str">
        <f>VLOOKUP(C49,'Trips&amp;Operators'!$C$1:$E$99999,3,FALSE)</f>
        <v>BONDS</v>
      </c>
      <c r="O49" s="174" t="s">
        <v>86</v>
      </c>
      <c r="P49" s="10"/>
      <c r="Q49" s="33"/>
      <c r="R49" s="108" t="str">
        <f>VLOOKUP(C49,'Train Runs'!$A$13:$AE$10028,31,0)</f>
        <v>aws s3 cp s3://rtdc.mdm.uploadarchive/RTDC4004/2016-09-14/ "%USERPROFILE%\AppData\Local\Temp\OnboardLogs"\RTDC4004\2016-09-14 --recursive &amp; "%USERPROFILE%\Documents\GitHub\mrs-test-scripts\Headless Mode &amp; Sideloading\WalkAndUnGZ.bat" "%USERPROFILE%\AppData\Local\Temp\OnboardLogs"\RTDC4004\2016-09-14 &amp; aws s3 cp s3://rtdc.mdm.uploadarchive/RTDC4004/2016-09-15/ "%USERPROFILE%\AppData\Local\Temp\OnboardLogs"\RTDC4004\2016-09-15 --recursive &amp; "%USERPROFILE%\Documents\GitHub\mrs-test-scripts\Headless Mode &amp; Sideloading\WalkAndUnGZ.bat" "%USERPROFILE%\AppData\Local\Temp\OnboardLogs"\RTDC4004\2016-09-15</v>
      </c>
      <c r="S49" s="111" t="str">
        <f>VLOOKUP(C49,'Train Runs'!$A$13:$AE$10028,22,0)</f>
        <v>https://search-rtdc-monitor-bjffxe2xuh6vdkpspy63sjmuny.us-east-1.es.amazonaws.com/_plugin/kibana/#/discover/Steve-Slow-Train-Analysis-(2080s-and-2083s)?_g=(refreshInterval:(display:Off,section:0,value:0),time:(from:'2016-09-14 14:13:55-0600',mode:absolute,to:'2016-09-14 17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49" s="113" t="str">
        <f t="shared" si="7"/>
        <v>"C:\Program Files (x86)\AstroGrep\AstroGrep.exe" /spath="%USERPROFILE%\AppData\Local\Temp\OnboardLogs" /stypes="*4004*201609142*" /stext=" 22:.+((SYSTEM_STATE.+slice.+state.+changed )|(ment ac)|(system.+state.+changed )|(\|lc)|(penalty)|(\[timeout)|(PRM\|1\|D)|(kpr)|(kdp))" /e /r /s</v>
      </c>
      <c r="U49" s="9" t="str">
        <f t="shared" si="8"/>
        <v>4004</v>
      </c>
      <c r="V49" s="38">
        <f t="shared" si="9"/>
        <v>42627.920104166667</v>
      </c>
      <c r="W49" s="52" t="str">
        <f t="shared" si="10"/>
        <v>EC</v>
      </c>
      <c r="X49" s="52" t="str">
        <f t="shared" si="11"/>
        <v>KEEP</v>
      </c>
      <c r="Y49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ID","value":"188-14"},{"id":16,"name":"Locomotive ID","value":"4004"},{"id":130,"name":"Impact","value":""},{"id":150,"name":"Time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</row>
    <row r="50" spans="1:28" x14ac:dyDescent="0.25">
      <c r="A50" s="38">
        <v>42627.774502314816</v>
      </c>
      <c r="B50" s="33" t="s">
        <v>249</v>
      </c>
      <c r="C50" s="33" t="s">
        <v>543</v>
      </c>
      <c r="D50" s="33" t="s">
        <v>49</v>
      </c>
      <c r="E50" s="33" t="s">
        <v>50</v>
      </c>
      <c r="F50" s="49">
        <v>0</v>
      </c>
      <c r="G50" s="49">
        <v>65</v>
      </c>
      <c r="H50" s="49">
        <v>227</v>
      </c>
      <c r="I50" s="49">
        <v>150</v>
      </c>
      <c r="J50" s="33" t="s">
        <v>51</v>
      </c>
      <c r="K50" s="49">
        <v>1</v>
      </c>
      <c r="L50" s="150" t="s">
        <v>53</v>
      </c>
      <c r="M50" s="153">
        <f t="shared" si="6"/>
        <v>78.671999999999997</v>
      </c>
      <c r="N50" s="92" t="str">
        <f>VLOOKUP(C50,'Trips&amp;Operators'!$C$1:$E$99999,3,FALSE)</f>
        <v>STAMBAUGH</v>
      </c>
      <c r="O50" s="174" t="s">
        <v>86</v>
      </c>
      <c r="P50" s="10"/>
      <c r="Q50" s="33"/>
      <c r="R50" s="108" t="str">
        <f>VLOOKUP(C50,'Train Runs'!$A$13:$AE$10028,31,0)</f>
        <v>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 &amp; 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</v>
      </c>
      <c r="S50" s="111" t="str">
        <f>VLOOKUP(C50,'Train Runs'!$A$13:$AE$10028,22,0)</f>
        <v>https://search-rtdc-monitor-bjffxe2xuh6vdkpspy63sjmuny.us-east-1.es.amazonaws.com/_plugin/kibana/#/discover/Steve-Slow-Train-Analysis-(2080s-and-2083s)?_g=(refreshInterval:(display:Off,section:0,value:0),time:(from:'2016-09-14 16:51:08-0600',mode:absolute,to:'2016-09-14 19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50" s="113" t="str">
        <f t="shared" si="7"/>
        <v>"C:\Program Files (x86)\AstroGrep\AstroGrep.exe" /spath="%USERPROFILE%\AppData\Local\Temp\OnboardLogs" /stypes="*4039*201609150*" /stext=" 00:.+((SYSTEM_STATE.+slice.+state.+changed )|(ment ac)|(system.+state.+changed )|(\|lc)|(penalty)|(\[timeout)|(PRM\|1\|D)|(kpr)|(kdp))" /e /r /s</v>
      </c>
      <c r="U50" s="9" t="str">
        <f t="shared" si="8"/>
        <v>4039</v>
      </c>
      <c r="V50" s="38">
        <f t="shared" si="9"/>
        <v>42628.024502314816</v>
      </c>
      <c r="W50" s="52" t="str">
        <f t="shared" si="10"/>
        <v>EC</v>
      </c>
      <c r="X50" s="52" t="str">
        <f t="shared" si="11"/>
        <v>KEEP</v>
      </c>
      <c r="Y50" s="134" t="str">
        <f t="shared" si="12"/>
        <v>echo {"issue":{"subject":"","project_id":79,"tracker_id":40,"status_id":1,"priority_id":2,"assigned_to_id":23,"start_date":"2016-09-14","description":"","custom_fields":[{"id":1,"name":"Subdivision","value":"EC"},{"id":4,"name":"Milepost","value":"0.0001"},{"id":17,"name":"Train ID","value":"208-14"},{"id":16,"name":"Locomotive ID","value":"4039"},{"id":130,"name":"Impact","value":""},{"id":150,"name":"Time of Event (Mountain Time)","value":"18:35:17"},{"id":151,"name":"Denver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</row>
    <row r="51" spans="1:28" x14ac:dyDescent="0.25">
      <c r="A51" s="38">
        <v>42627.410115740742</v>
      </c>
      <c r="B51" s="33" t="s">
        <v>168</v>
      </c>
      <c r="C51" s="33" t="s">
        <v>450</v>
      </c>
      <c r="D51" s="33" t="s">
        <v>49</v>
      </c>
      <c r="E51" s="33" t="s">
        <v>173</v>
      </c>
      <c r="F51" s="49">
        <v>320</v>
      </c>
      <c r="G51" s="49">
        <v>474</v>
      </c>
      <c r="H51" s="49">
        <v>17151</v>
      </c>
      <c r="I51" s="49">
        <v>15673</v>
      </c>
      <c r="J51" s="33" t="s">
        <v>172</v>
      </c>
      <c r="K51" s="49">
        <v>15777</v>
      </c>
      <c r="L51" s="150" t="s">
        <v>53</v>
      </c>
      <c r="M51" s="153">
        <f t="shared" si="6"/>
        <v>-54.911999999999999</v>
      </c>
      <c r="N51" s="92" t="str">
        <f>VLOOKUP(C51,'Trips&amp;Operators'!$C$1:$E$99999,3,FALSE)</f>
        <v>BRANDNER</v>
      </c>
      <c r="O51" s="174" t="s">
        <v>86</v>
      </c>
      <c r="P51" s="10" t="s">
        <v>303</v>
      </c>
      <c r="Q51" s="33"/>
      <c r="R51" s="108" t="str">
        <f>VLOOKUP(C51,'Train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51" s="111" t="str">
        <f>VLOOKUP(C51,'Train Runs'!$A$13:$AE$10028,22,0)</f>
        <v>https://search-rtdc-monitor-bjffxe2xuh6vdkpspy63sjmuny.us-east-1.es.amazonaws.com/_plugin/kibana/#/discover/Steve-Slow-Train-Analysis-(2080s-and-2083s)?_g=(refreshInterval:(display:Off,section:0,value:0),time:(from:'2016-09-14 08:37:39-0600',mode:absolute,to:'2016-09-14 10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1" s="113" t="str">
        <f t="shared" si="7"/>
        <v>"C:\Program Files (x86)\AstroGrep\AstroGrep.exe" /spath="%USERPROFILE%\AppData\Local\Temp\OnboardLogs" /stypes="*4019*201609141*" /stext=" 15:.+((SYSTEM_STATE.+slice.+state.+changed )|(ment ac)|(system.+state.+changed )|(\|lc)|(penalty)|(\[timeout)|(PRM\|1\|D)|(kpr)|(kdp))" /e /r /s</v>
      </c>
      <c r="U51" s="9" t="str">
        <f t="shared" si="8"/>
        <v>4019</v>
      </c>
      <c r="V51" s="38">
        <f t="shared" si="9"/>
        <v>42627.660115740742</v>
      </c>
      <c r="W51" s="52" t="str">
        <f t="shared" si="10"/>
        <v>NW</v>
      </c>
      <c r="X51" s="52" t="str">
        <f t="shared" si="11"/>
        <v>KEEP</v>
      </c>
      <c r="Y51" s="134" t="str">
        <f t="shared" si="12"/>
        <v>echo {"issue":{"subject":"Early arrival","project_id":79,"tracker_id":40,"status_id":1,"priority_id":2,"assigned_to_id":23,"start_date":"2016-09-14","description":"","custom_fields":[{"id":1,"name":"Subdivision","value":"NW"},{"id":4,"name":"Milepost","value":"1.5777"},{"id":17,"name":"Train ID","value":"814-14"},{"id":16,"name":"Locomotive ID","value":"4019"},{"id":130,"name":"Impact","value":""},{"id":150,"name":"Time of Event (Mountain Time)","value":"09:50:34"},{"id":151,"name":"Denver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</row>
    <row r="52" spans="1:28" x14ac:dyDescent="0.25">
      <c r="A52" s="38">
        <v>42627.408541666664</v>
      </c>
      <c r="B52" s="33" t="s">
        <v>168</v>
      </c>
      <c r="C52" s="33" t="s">
        <v>450</v>
      </c>
      <c r="D52" s="33" t="s">
        <v>49</v>
      </c>
      <c r="E52" s="33" t="s">
        <v>56</v>
      </c>
      <c r="F52" s="49">
        <v>300</v>
      </c>
      <c r="G52" s="49">
        <v>383</v>
      </c>
      <c r="H52" s="49">
        <v>24896</v>
      </c>
      <c r="I52" s="49">
        <v>23942</v>
      </c>
      <c r="J52" s="33" t="s">
        <v>57</v>
      </c>
      <c r="K52" s="49">
        <v>23561</v>
      </c>
      <c r="L52" s="150" t="s">
        <v>53</v>
      </c>
      <c r="M52" s="153">
        <f t="shared" si="6"/>
        <v>201.16800000000001</v>
      </c>
      <c r="N52" s="92" t="str">
        <f>VLOOKUP(C52,'Trips&amp;Operators'!$C$1:$E$99999,3,FALSE)</f>
        <v>BRANDNER</v>
      </c>
      <c r="O52" s="174" t="s">
        <v>86</v>
      </c>
      <c r="P52" s="10"/>
      <c r="Q52" s="33"/>
      <c r="R52" s="108" t="str">
        <f>VLOOKUP(C52,'Train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52" s="111" t="str">
        <f>VLOOKUP(C52,'Train Runs'!$A$13:$AE$10028,22,0)</f>
        <v>https://search-rtdc-monitor-bjffxe2xuh6vdkpspy63sjmuny.us-east-1.es.amazonaws.com/_plugin/kibana/#/discover/Steve-Slow-Train-Analysis-(2080s-and-2083s)?_g=(refreshInterval:(display:Off,section:0,value:0),time:(from:'2016-09-14 08:37:39-0600',mode:absolute,to:'2016-09-14 10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2" s="113" t="str">
        <f t="shared" si="7"/>
        <v>"C:\Program Files (x86)\AstroGrep\AstroGrep.exe" /spath="%USERPROFILE%\AppData\Local\Temp\OnboardLogs" /stypes="*4019*201609141*" /stext=" 15:.+((SYSTEM_STATE.+slice.+state.+changed )|(ment ac)|(system.+state.+changed )|(\|lc)|(penalty)|(\[timeout)|(PRM\|1\|D)|(kpr)|(kdp))" /e /r /s</v>
      </c>
      <c r="U52" s="9" t="str">
        <f t="shared" si="8"/>
        <v>4019</v>
      </c>
      <c r="V52" s="38">
        <f t="shared" si="9"/>
        <v>42627.658541666664</v>
      </c>
      <c r="W52" s="52" t="str">
        <f t="shared" si="10"/>
        <v>NW</v>
      </c>
      <c r="X52" s="52" t="str">
        <f t="shared" si="11"/>
        <v>KEEP</v>
      </c>
      <c r="Y52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{"issue":{"subject":"","project_id":79,"tracker_id":40,"status_id":1,"priority_id":2,"assigned_to_id":23,"start_date":"2016-09-14","description":"","custom_fields":[{"id":1,"name":"Subdivision","value":"NW"},{"id":4,"name":"Milepost","value":"2.3561"},{"id":17,"name":"Train ID","value":"814-14"},{"id":16,"name":"Locomotive ID","value":"4019"},{"id":130,"name":"Impact","value":""},{"id":150,"name":"Time of Event (Mountain Time)","value":"09:48:18"},{"id":151,"name":"Denver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</row>
    <row r="53" spans="1:28" x14ac:dyDescent="0.25">
      <c r="A53" s="38">
        <v>42627.481215277781</v>
      </c>
      <c r="B53" s="33" t="s">
        <v>169</v>
      </c>
      <c r="C53" s="33" t="s">
        <v>465</v>
      </c>
      <c r="D53" s="33" t="s">
        <v>49</v>
      </c>
      <c r="E53" s="33" t="s">
        <v>56</v>
      </c>
      <c r="F53" s="49">
        <v>150</v>
      </c>
      <c r="G53" s="49">
        <v>239</v>
      </c>
      <c r="H53" s="49">
        <v>56557</v>
      </c>
      <c r="I53" s="49">
        <v>56933</v>
      </c>
      <c r="J53" s="33" t="s">
        <v>57</v>
      </c>
      <c r="K53" s="49">
        <v>57008</v>
      </c>
      <c r="L53" s="150" t="s">
        <v>52</v>
      </c>
      <c r="M53" s="153">
        <f t="shared" si="6"/>
        <v>39.6</v>
      </c>
      <c r="N53" s="92" t="str">
        <f>VLOOKUP(C53,'Trips&amp;Operators'!$C$1:$E$99999,3,FALSE)</f>
        <v>BRANDNER</v>
      </c>
      <c r="O53" s="174" t="s">
        <v>86</v>
      </c>
      <c r="P53" s="10"/>
      <c r="Q53" s="33"/>
      <c r="R53" s="108" t="str">
        <f>VLOOKUP(C53,'Train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53" s="111" t="str">
        <f>VLOOKUP(C53,'Train Runs'!$A$13:$AE$10028,22,0)</f>
        <v>https://search-rtdc-monitor-bjffxe2xuh6vdkpspy63sjmuny.us-east-1.es.amazonaws.com/_plugin/kibana/#/discover/Steve-Slow-Train-Analysis-(2080s-and-2083s)?_g=(refreshInterval:(display:Off,section:0,value:0),time:(from:'2016-09-14 09:59:58-0600',mode:absolute,to:'2016-09-14 12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3" s="113" t="str">
        <f t="shared" si="7"/>
        <v>"C:\Program Files (x86)\AstroGrep\AstroGrep.exe" /spath="%USERPROFILE%\AppData\Local\Temp\OnboardLogs" /stypes="*4020*201609141*" /stext=" 17:.+((SYSTEM_STATE.+slice.+state.+changed )|(ment ac)|(system.+state.+changed )|(\|lc)|(penalty)|(\[timeout)|(PRM\|1\|D)|(kpr)|(kdp))" /e /r /s</v>
      </c>
      <c r="U53" s="9" t="str">
        <f t="shared" si="8"/>
        <v>4020</v>
      </c>
      <c r="V53" s="38">
        <f t="shared" si="9"/>
        <v>42627.731215277781</v>
      </c>
      <c r="W53" s="52" t="str">
        <f t="shared" si="10"/>
        <v>NW</v>
      </c>
      <c r="X53" s="52" t="str">
        <f t="shared" si="11"/>
        <v>KEEP</v>
      </c>
      <c r="Y53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{"issue":{"subject":"","project_id":79,"tracker_id":40,"status_id":1,"priority_id":2,"assigned_to_id":23,"start_date":"2016-09-14","description":"","custom_fields":[{"id":1,"name":"Subdivision","value":"NW"},{"id":4,"name":"Milepost","value":"5.7008"},{"id":17,"name":"Train ID","value":"817-14"},{"id":16,"name":"Locomotive ID","value":"4020"},{"id":130,"name":"Impact","value":""},{"id":150,"name":"Time of Event (Mountain Time)","value":"11:32:57"},{"id":151,"name":"Denver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</row>
    <row r="54" spans="1:28" x14ac:dyDescent="0.25">
      <c r="A54" s="38">
        <v>42627.700115740743</v>
      </c>
      <c r="B54" s="33" t="s">
        <v>168</v>
      </c>
      <c r="C54" s="33" t="s">
        <v>527</v>
      </c>
      <c r="D54" s="33" t="s">
        <v>49</v>
      </c>
      <c r="E54" s="33" t="s">
        <v>54</v>
      </c>
      <c r="F54" s="49">
        <v>0</v>
      </c>
      <c r="G54" s="49">
        <v>549</v>
      </c>
      <c r="H54" s="49">
        <v>27706</v>
      </c>
      <c r="I54" s="49">
        <v>25823</v>
      </c>
      <c r="J54" s="33" t="s">
        <v>55</v>
      </c>
      <c r="K54" s="49">
        <v>27253</v>
      </c>
      <c r="L54" s="150" t="s">
        <v>53</v>
      </c>
      <c r="M54" s="153">
        <f t="shared" si="6"/>
        <v>-755.04</v>
      </c>
      <c r="N54" s="92" t="str">
        <f>VLOOKUP(C54,'Trips&amp;Operators'!$C$1:$E$99999,3,FALSE)</f>
        <v>MOSES</v>
      </c>
      <c r="O54" s="174" t="s">
        <v>175</v>
      </c>
      <c r="P54" s="10" t="s">
        <v>745</v>
      </c>
      <c r="Q54" s="33"/>
      <c r="R54" s="108" t="str">
        <f>VLOOKUP(C54,'Train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54" s="111" t="str">
        <f>VLOOKUP(C54,'Train Runs'!$A$13:$AE$10028,22,0)</f>
        <v>https://search-rtdc-monitor-bjffxe2xuh6vdkpspy63sjmuny.us-east-1.es.amazonaws.com/_plugin/kibana/#/discover/Steve-Slow-Train-Analysis-(2080s-and-2083s)?_g=(refreshInterval:(display:Off,section:0,value:0),time:(from:'2016-09-14 15:38:43-0600',mode:absolute,to:'2016-09-14 17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4" s="113" t="str">
        <f t="shared" si="7"/>
        <v>"C:\Program Files (x86)\AstroGrep\AstroGrep.exe" /spath="%USERPROFILE%\AppData\Local\Temp\OnboardLogs" /stypes="*4019*201609142*" /stext=" 22:.+((SYSTEM_STATE.+slice.+state.+changed )|(ment ac)|(system.+state.+changed )|(\|lc)|(penalty)|(\[timeout)|(PRM\|1\|D)|(kpr)|(kdp))" /e /r /s</v>
      </c>
      <c r="U54" s="9" t="str">
        <f t="shared" si="8"/>
        <v>4019</v>
      </c>
      <c r="V54" s="38">
        <f t="shared" si="9"/>
        <v>42627.950115740743</v>
      </c>
      <c r="W54" s="52" t="str">
        <f t="shared" si="10"/>
        <v>NW</v>
      </c>
      <c r="X54" s="52" t="str">
        <f t="shared" si="11"/>
        <v>KEEP</v>
      </c>
      <c r="Y54" s="134" t="str">
        <f t="shared" si="12"/>
        <v>echo {"issue":{"subject":"CRMFP 2S dropped to RESTR for 2 sec","project_id":79,"tracker_id":40,"status_id":1,"priority_id":2,"assigned_to_id":23,"start_date":"2016-09-14","description":"At 16:47:42, CRMFP 2S dropped to RESTRICTING, then 2 seconds later upgraded to PROCEED CAB. Any oddity here?","custom_fields":[{"id":1,"name":"Subdivision","value":"NW"},{"id":4,"name":"Milepost","value":"2.7253"},{"id":17,"name":"Train ID","value":"830-14"},{"id":16,"name":"Locomotive ID","value":"4019"},{"id":130,"name":"Impact","value":"Enforcement"},{"id":150,"name":"Time of Event (Mountain Time)","value":"16:48:10"},{"id":151,"name":"Denver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54" s="55" t="s">
        <v>746</v>
      </c>
      <c r="AA54" s="55" t="s">
        <v>142</v>
      </c>
      <c r="AB54" s="23" t="s">
        <v>147</v>
      </c>
    </row>
    <row r="55" spans="1:28" x14ac:dyDescent="0.25">
      <c r="A55" s="38">
        <v>42627.683831018519</v>
      </c>
      <c r="B55" s="33" t="s">
        <v>169</v>
      </c>
      <c r="C55" s="33" t="s">
        <v>522</v>
      </c>
      <c r="D55" s="33" t="s">
        <v>49</v>
      </c>
      <c r="E55" s="33" t="s">
        <v>306</v>
      </c>
      <c r="F55" s="49">
        <v>100</v>
      </c>
      <c r="G55" s="49">
        <v>324</v>
      </c>
      <c r="H55" s="49">
        <v>9302</v>
      </c>
      <c r="I55" s="49">
        <v>10090</v>
      </c>
      <c r="J55" s="33" t="s">
        <v>172</v>
      </c>
      <c r="K55" s="49">
        <v>10701</v>
      </c>
      <c r="L55" s="150" t="s">
        <v>52</v>
      </c>
      <c r="M55" s="153">
        <f t="shared" si="6"/>
        <v>322.608</v>
      </c>
      <c r="N55" s="92" t="str">
        <f>VLOOKUP(C55,'Trips&amp;Operators'!$C$1:$E$99999,3,FALSE)</f>
        <v>MOSES</v>
      </c>
      <c r="O55" s="174" t="s">
        <v>86</v>
      </c>
      <c r="P55" s="10"/>
      <c r="Q55" s="33"/>
      <c r="R55" s="108" t="str">
        <f>VLOOKUP(C55,'Train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55" s="111" t="str">
        <f>VLOOKUP(C55,'Train Runs'!$A$13:$AE$10028,22,0)</f>
        <v>https://search-rtdc-monitor-bjffxe2xuh6vdkpspy63sjmuny.us-east-1.es.amazonaws.com/_plugin/kibana/#/discover/Steve-Slow-Train-Analysis-(2080s-and-2083s)?_g=(refreshInterval:(display:Off,section:0,value:0),time:(from:'2016-09-14 15:16:14-0600',mode:absolute,to:'2016-09-14 17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5" s="113" t="str">
        <f t="shared" si="7"/>
        <v>"C:\Program Files (x86)\AstroGrep\AstroGrep.exe" /spath="%USERPROFILE%\AppData\Local\Temp\OnboardLogs" /stypes="*4020*201609142*" /stext=" 22:.+((SYSTEM_STATE.+slice.+state.+changed )|(ment ac)|(system.+state.+changed )|(\|lc)|(penalty)|(\[timeout)|(PRM\|1\|D)|(kpr)|(kdp))" /e /r /s</v>
      </c>
      <c r="U55" s="9" t="str">
        <f t="shared" si="8"/>
        <v>4020</v>
      </c>
      <c r="V55" s="38">
        <f t="shared" si="9"/>
        <v>42627.933831018519</v>
      </c>
      <c r="W55" s="52" t="str">
        <f t="shared" si="10"/>
        <v>NW</v>
      </c>
      <c r="X55" s="52" t="str">
        <f t="shared" si="11"/>
        <v>KEEP</v>
      </c>
      <c r="Y55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{"issue":{"subject":"","project_id":79,"tracker_id":40,"status_id":1,"priority_id":2,"assigned_to_id":23,"start_date":"2016-09-14","description":"","custom_fields":[{"id":1,"name":"Subdivision","value":"NW"},{"id":4,"name":"Milepost","value":"1.0701"},{"id":17,"name":"Train ID","value":"829-14"},{"id":16,"name":"Locomotive ID","value":"4020"},{"id":130,"name":"Impact","value":""},{"id":150,"name":"Time of Event (Mountain Time)","value":"16:24:43"},{"id":151,"name":"Denver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</row>
    <row r="56" spans="1:28" x14ac:dyDescent="0.25">
      <c r="A56" s="38">
        <v>42627.347384259258</v>
      </c>
      <c r="B56" s="33" t="s">
        <v>177</v>
      </c>
      <c r="C56" s="33" t="s">
        <v>434</v>
      </c>
      <c r="D56" s="33" t="s">
        <v>49</v>
      </c>
      <c r="E56" s="33" t="s">
        <v>306</v>
      </c>
      <c r="F56" s="49">
        <v>100</v>
      </c>
      <c r="G56" s="49">
        <v>151</v>
      </c>
      <c r="H56" s="49">
        <v>11481</v>
      </c>
      <c r="I56" s="49">
        <v>11206</v>
      </c>
      <c r="J56" s="33" t="s">
        <v>172</v>
      </c>
      <c r="K56" s="49">
        <v>11000</v>
      </c>
      <c r="L56" s="150" t="s">
        <v>53</v>
      </c>
      <c r="M56" s="153">
        <f t="shared" si="6"/>
        <v>108.768</v>
      </c>
      <c r="N56" s="92" t="str">
        <f>VLOOKUP(C56,'Trips&amp;Operators'!$C$1:$E$99999,3,FALSE)</f>
        <v>STARKS</v>
      </c>
      <c r="O56" s="174" t="s">
        <v>86</v>
      </c>
      <c r="P56" s="10"/>
      <c r="Q56" s="33"/>
      <c r="R56" s="108" t="str">
        <f>VLOOKUP(C56,'Train Runs'!$A$13:$AE$10028,31,0)</f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S56" s="111" t="str">
        <f>VLOOKUP(C56,'Train Runs'!$A$13:$AE$10028,22,0)</f>
        <v>https://search-rtdc-monitor-bjffxe2xuh6vdkpspy63sjmuny.us-east-1.es.amazonaws.com/_plugin/kibana/#/discover/Steve-Slow-Train-Analysis-(2080s-and-2083s)?_g=(refreshInterval:(display:Off,section:0,value:0),time:(from:'2016-09-14 07:05:12-0600',mode:absolute,to:'2016-09-14 09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6" s="113" t="str">
        <f t="shared" si="7"/>
        <v>"C:\Program Files (x86)\AstroGrep\AstroGrep.exe" /spath="%USERPROFILE%\AppData\Local\Temp\OnboardLogs" /stypes="*4026*201609141*" /stext=" 14:.+((SYSTEM_STATE.+slice.+state.+changed )|(ment ac)|(system.+state.+changed )|(\|lc)|(penalty)|(\[timeout)|(PRM\|1\|D)|(kpr)|(kdp))" /e /r /s</v>
      </c>
      <c r="U56" s="9" t="str">
        <f t="shared" si="8"/>
        <v>4026</v>
      </c>
      <c r="V56" s="38">
        <f t="shared" si="9"/>
        <v>42627.597384259258</v>
      </c>
      <c r="W56" s="52" t="str">
        <f t="shared" si="10"/>
        <v>NW</v>
      </c>
      <c r="X56" s="52" t="str">
        <f t="shared" si="11"/>
        <v>KEEP</v>
      </c>
      <c r="Y56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{"issue":{"subject":"","project_id":79,"tracker_id":40,"status_id":1,"priority_id":2,"assigned_to_id":23,"start_date":"2016-09-14","description":"","custom_fields":[{"id":1,"name":"Subdivision","value":"NW"},{"id":4,"name":"Milepost","value":"1.1"},{"id":17,"name":"Train ID","value":"810-14"},{"id":16,"name":"Locomotive ID","value":"4026"},{"id":130,"name":"Impact","value":""},{"id":150,"name":"Time of Event (Mountain Time)","value":"08:20:14"},{"id":151,"name":"Denver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</row>
    <row r="57" spans="1:28" x14ac:dyDescent="0.25">
      <c r="A57" s="38">
        <v>42627.267581018517</v>
      </c>
      <c r="B57" s="33" t="s">
        <v>177</v>
      </c>
      <c r="C57" s="33" t="s">
        <v>409</v>
      </c>
      <c r="D57" s="33" t="s">
        <v>49</v>
      </c>
      <c r="E57" s="33" t="s">
        <v>50</v>
      </c>
      <c r="F57" s="49">
        <v>0</v>
      </c>
      <c r="G57" s="49">
        <v>60</v>
      </c>
      <c r="H57" s="49">
        <v>792</v>
      </c>
      <c r="I57" s="49">
        <v>729</v>
      </c>
      <c r="J57" s="33" t="s">
        <v>51</v>
      </c>
      <c r="K57" s="49">
        <v>575</v>
      </c>
      <c r="L57" s="150" t="s">
        <v>53</v>
      </c>
      <c r="M57" s="153">
        <f t="shared" si="6"/>
        <v>81.311999999999998</v>
      </c>
      <c r="N57" s="92" t="str">
        <f>VLOOKUP(C57,'Trips&amp;Operators'!$C$1:$E$99999,3,FALSE)</f>
        <v>STARKS</v>
      </c>
      <c r="O57" s="174" t="s">
        <v>86</v>
      </c>
      <c r="P57" s="10"/>
      <c r="Q57" s="33"/>
      <c r="R57" s="108" t="str">
        <f>VLOOKUP(C57,'Train Runs'!$A$13:$AE$10028,31,0)</f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S57" s="111" t="str">
        <f>VLOOKUP(C57,'Train Runs'!$A$13:$AE$10028,22,0)</f>
        <v>https://search-rtdc-monitor-bjffxe2xuh6vdkpspy63sjmuny.us-east-1.es.amazonaws.com/_plugin/kibana/#/discover/Steve-Slow-Train-Analysis-(2080s-and-2083s)?_g=(refreshInterval:(display:Off,section:0,value:0),time:(from:'2016-09-14 05:06:10-0600',mode:absolute,to:'2016-09-14 07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7" s="113" t="str">
        <f t="shared" si="7"/>
        <v>"C:\Program Files (x86)\AstroGrep\AstroGrep.exe" /spath="%USERPROFILE%\AppData\Local\Temp\OnboardLogs" /stypes="*4026*201609141*" /stext=" 12:.+((SYSTEM_STATE.+slice.+state.+changed )|(ment ac)|(system.+state.+changed )|(\|lc)|(penalty)|(\[timeout)|(PRM\|1\|D)|(kpr)|(kdp))" /e /r /s</v>
      </c>
      <c r="U57" s="9" t="str">
        <f t="shared" si="8"/>
        <v>4026</v>
      </c>
      <c r="V57" s="38">
        <f t="shared" si="9"/>
        <v>42627.517581018517</v>
      </c>
      <c r="W57" s="52" t="str">
        <f t="shared" si="10"/>
        <v>NW</v>
      </c>
      <c r="X57" s="52" t="str">
        <f t="shared" si="11"/>
        <v>KEEP</v>
      </c>
      <c r="Y57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ID","value":"802-14"},{"id":16,"name":"Locomotive ID","value":"4026"},{"id":130,"name":"Impact","value":""},{"id":150,"name":"Time of Event (Mountain Time)","value":"06:25:19"},{"id":151,"name":"Denver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</row>
    <row r="58" spans="1:28" x14ac:dyDescent="0.25">
      <c r="A58" s="38">
        <v>42627.308935185189</v>
      </c>
      <c r="B58" s="33" t="s">
        <v>177</v>
      </c>
      <c r="C58" s="33" t="s">
        <v>422</v>
      </c>
      <c r="D58" s="33" t="s">
        <v>49</v>
      </c>
      <c r="E58" s="33" t="s">
        <v>50</v>
      </c>
      <c r="F58" s="49">
        <v>0</v>
      </c>
      <c r="G58" s="49">
        <v>151</v>
      </c>
      <c r="H58" s="49">
        <v>1391</v>
      </c>
      <c r="I58" s="49">
        <v>1177</v>
      </c>
      <c r="J58" s="33" t="s">
        <v>51</v>
      </c>
      <c r="K58" s="49">
        <v>575</v>
      </c>
      <c r="L58" s="150" t="s">
        <v>53</v>
      </c>
      <c r="M58" s="153">
        <f t="shared" si="6"/>
        <v>317.85599999999999</v>
      </c>
      <c r="N58" s="92" t="str">
        <f>VLOOKUP(C58,'Trips&amp;Operators'!$C$1:$E$99999,3,FALSE)</f>
        <v>STARKS</v>
      </c>
      <c r="O58" s="174" t="s">
        <v>86</v>
      </c>
      <c r="P58" s="10"/>
      <c r="Q58" s="33"/>
      <c r="R58" s="108" t="str">
        <f>VLOOKUP(C58,'Train Runs'!$A$13:$AE$10028,31,0)</f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S58" s="111" t="str">
        <f>VLOOKUP(C58,'Train Runs'!$A$13:$AE$10028,22,0)</f>
        <v>https://search-rtdc-monitor-bjffxe2xuh6vdkpspy63sjmuny.us-east-1.es.amazonaws.com/_plugin/kibana/#/discover/Steve-Slow-Train-Analysis-(2080s-and-2083s)?_g=(refreshInterval:(display:Off,section:0,value:0),time:(from:'2016-09-14 06:07:22-0600',mode:absolute,to:'2016-09-14 08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8" s="113" t="str">
        <f t="shared" si="7"/>
        <v>"C:\Program Files (x86)\AstroGrep\AstroGrep.exe" /spath="%USERPROFILE%\AppData\Local\Temp\OnboardLogs" /stypes="*4026*201609141*" /stext=" 13:.+((SYSTEM_STATE.+slice.+state.+changed )|(ment ac)|(system.+state.+changed )|(\|lc)|(penalty)|(\[timeout)|(PRM\|1\|D)|(kpr)|(kdp))" /e /r /s</v>
      </c>
      <c r="U58" s="9" t="str">
        <f t="shared" si="8"/>
        <v>4026</v>
      </c>
      <c r="V58" s="38">
        <f t="shared" si="9"/>
        <v>42627.558935185189</v>
      </c>
      <c r="W58" s="52" t="str">
        <f t="shared" si="10"/>
        <v>NW</v>
      </c>
      <c r="X58" s="52" t="str">
        <f t="shared" si="11"/>
        <v>KEEP</v>
      </c>
      <c r="Y58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ID","value":"806-14"},{"id":16,"name":"Locomotive ID","value":"4026"},{"id":130,"name":"Impact","value":""},{"id":150,"name":"Time of Event (Mountain Time)","value":"07:24:52"},{"id":151,"name":"Denver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</row>
    <row r="59" spans="1:28" x14ac:dyDescent="0.25">
      <c r="A59" s="38">
        <v>42627.309374999997</v>
      </c>
      <c r="B59" s="33" t="s">
        <v>177</v>
      </c>
      <c r="C59" s="33" t="s">
        <v>422</v>
      </c>
      <c r="D59" s="33" t="s">
        <v>49</v>
      </c>
      <c r="E59" s="33" t="s">
        <v>50</v>
      </c>
      <c r="F59" s="49">
        <v>0</v>
      </c>
      <c r="G59" s="49">
        <v>92</v>
      </c>
      <c r="H59" s="49">
        <v>1042</v>
      </c>
      <c r="I59" s="49">
        <v>964</v>
      </c>
      <c r="J59" s="33" t="s">
        <v>51</v>
      </c>
      <c r="K59" s="49">
        <v>575</v>
      </c>
      <c r="L59" s="150" t="s">
        <v>53</v>
      </c>
      <c r="M59" s="153">
        <f t="shared" si="6"/>
        <v>205.392</v>
      </c>
      <c r="N59" s="92" t="str">
        <f>VLOOKUP(C59,'Trips&amp;Operators'!$C$1:$E$99999,3,FALSE)</f>
        <v>STARKS</v>
      </c>
      <c r="O59" s="174" t="s">
        <v>86</v>
      </c>
      <c r="P59" s="10"/>
      <c r="Q59" s="33"/>
      <c r="R59" s="108" t="str">
        <f>VLOOKUP(C59,'Train Runs'!$A$13:$AE$10028,31,0)</f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S59" s="111" t="str">
        <f>VLOOKUP(C59,'Train Runs'!$A$13:$AE$10028,22,0)</f>
        <v>https://search-rtdc-monitor-bjffxe2xuh6vdkpspy63sjmuny.us-east-1.es.amazonaws.com/_plugin/kibana/#/discover/Steve-Slow-Train-Analysis-(2080s-and-2083s)?_g=(refreshInterval:(display:Off,section:0,value:0),time:(from:'2016-09-14 06:07:22-0600',mode:absolute,to:'2016-09-14 08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9" s="113" t="str">
        <f t="shared" si="7"/>
        <v>"C:\Program Files (x86)\AstroGrep\AstroGrep.exe" /spath="%USERPROFILE%\AppData\Local\Temp\OnboardLogs" /stypes="*4026*201609141*" /stext=" 13:.+((SYSTEM_STATE.+slice.+state.+changed )|(ment ac)|(system.+state.+changed )|(\|lc)|(penalty)|(\[timeout)|(PRM\|1\|D)|(kpr)|(kdp))" /e /r /s</v>
      </c>
      <c r="U59" s="9" t="str">
        <f t="shared" si="8"/>
        <v>4026</v>
      </c>
      <c r="V59" s="38">
        <f t="shared" si="9"/>
        <v>42627.559374999997</v>
      </c>
      <c r="W59" s="52" t="str">
        <f t="shared" si="10"/>
        <v>NW</v>
      </c>
      <c r="X59" s="52" t="str">
        <f t="shared" si="11"/>
        <v>KEEP</v>
      </c>
      <c r="Y59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ID","value":"806-14"},{"id":16,"name":"Locomotive ID","value":"4026"},{"id":130,"name":"Impact","value":""},{"id":150,"name":"Time of Event (Mountain Time)","value":"07:25:30"},{"id":151,"name":"Denver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</row>
    <row r="60" spans="1:28" x14ac:dyDescent="0.25">
      <c r="A60" s="38">
        <v>42627.309733796297</v>
      </c>
      <c r="B60" s="33" t="s">
        <v>177</v>
      </c>
      <c r="C60" s="33" t="s">
        <v>422</v>
      </c>
      <c r="D60" s="33" t="s">
        <v>49</v>
      </c>
      <c r="E60" s="33" t="s">
        <v>50</v>
      </c>
      <c r="F60" s="49">
        <v>0</v>
      </c>
      <c r="G60" s="49">
        <v>45</v>
      </c>
      <c r="H60" s="49">
        <v>934</v>
      </c>
      <c r="I60" s="49">
        <v>867</v>
      </c>
      <c r="J60" s="33" t="s">
        <v>51</v>
      </c>
      <c r="K60" s="49">
        <v>575</v>
      </c>
      <c r="L60" s="150" t="s">
        <v>53</v>
      </c>
      <c r="M60" s="153">
        <f t="shared" si="6"/>
        <v>154.17599999999999</v>
      </c>
      <c r="N60" s="92" t="str">
        <f>VLOOKUP(C60,'Trips&amp;Operators'!$C$1:$E$99999,3,FALSE)</f>
        <v>STARKS</v>
      </c>
      <c r="O60" s="174" t="s">
        <v>86</v>
      </c>
      <c r="P60" s="10"/>
      <c r="Q60" s="33"/>
      <c r="R60" s="108" t="str">
        <f>VLOOKUP(C60,'Train Runs'!$A$13:$AE$10028,31,0)</f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S60" s="111" t="str">
        <f>VLOOKUP(C60,'Train Runs'!$A$13:$AE$10028,22,0)</f>
        <v>https://search-rtdc-monitor-bjffxe2xuh6vdkpspy63sjmuny.us-east-1.es.amazonaws.com/_plugin/kibana/#/discover/Steve-Slow-Train-Analysis-(2080s-and-2083s)?_g=(refreshInterval:(display:Off,section:0,value:0),time:(from:'2016-09-14 06:07:22-0600',mode:absolute,to:'2016-09-14 08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60" s="113" t="str">
        <f t="shared" si="7"/>
        <v>"C:\Program Files (x86)\AstroGrep\AstroGrep.exe" /spath="%USERPROFILE%\AppData\Local\Temp\OnboardLogs" /stypes="*4026*201609141*" /stext=" 13:.+((SYSTEM_STATE.+slice.+state.+changed )|(ment ac)|(system.+state.+changed )|(\|lc)|(penalty)|(\[timeout)|(PRM\|1\|D)|(kpr)|(kdp))" /e /r /s</v>
      </c>
      <c r="U60" s="9" t="str">
        <f t="shared" si="8"/>
        <v>4026</v>
      </c>
      <c r="V60" s="38">
        <f t="shared" si="9"/>
        <v>42627.559733796297</v>
      </c>
      <c r="W60" s="52" t="str">
        <f t="shared" si="10"/>
        <v>NW</v>
      </c>
      <c r="X60" s="52" t="str">
        <f t="shared" si="11"/>
        <v>KEEP</v>
      </c>
      <c r="Y60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ID","value":"806-14"},{"id":16,"name":"Locomotive ID","value":"4026"},{"id":130,"name":"Impact","value":""},{"id":150,"name":"Time of Event (Mountain Time)","value":"07:26:01"},{"id":151,"name":"Denver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</row>
    <row r="61" spans="1:28" x14ac:dyDescent="0.25">
      <c r="A61" s="38">
        <v>42627.330775462964</v>
      </c>
      <c r="B61" s="33" t="s">
        <v>168</v>
      </c>
      <c r="C61" s="33" t="s">
        <v>426</v>
      </c>
      <c r="D61" s="33" t="s">
        <v>49</v>
      </c>
      <c r="E61" s="33" t="s">
        <v>50</v>
      </c>
      <c r="F61" s="49">
        <v>0</v>
      </c>
      <c r="G61" s="49">
        <v>30</v>
      </c>
      <c r="H61" s="49">
        <v>666</v>
      </c>
      <c r="I61" s="49">
        <v>649</v>
      </c>
      <c r="J61" s="33" t="s">
        <v>51</v>
      </c>
      <c r="K61" s="49">
        <v>575</v>
      </c>
      <c r="L61" s="150" t="s">
        <v>53</v>
      </c>
      <c r="M61" s="153">
        <f t="shared" si="6"/>
        <v>39.072000000000003</v>
      </c>
      <c r="N61" s="92" t="str">
        <f>VLOOKUP(C61,'Trips&amp;Operators'!$C$1:$E$99999,3,FALSE)</f>
        <v>BRANDNER</v>
      </c>
      <c r="O61" s="174" t="s">
        <v>86</v>
      </c>
      <c r="P61" s="10"/>
      <c r="Q61" s="33"/>
      <c r="R61" s="108" t="str">
        <f>VLOOKUP(C61,'Train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61" s="111" t="str">
        <f>VLOOKUP(C61,'Train Runs'!$A$13:$AE$10028,22,0)</f>
        <v>https://search-rtdc-monitor-bjffxe2xuh6vdkpspy63sjmuny.us-east-1.es.amazonaws.com/_plugin/kibana/#/discover/Steve-Slow-Train-Analysis-(2080s-and-2083s)?_g=(refreshInterval:(display:Off,section:0,value:0),time:(from:'2016-09-14 06:38:13-0600',mode:absolute,to:'2016-09-14 08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61" s="113" t="str">
        <f t="shared" si="7"/>
        <v>"C:\Program Files (x86)\AstroGrep\AstroGrep.exe" /spath="%USERPROFILE%\AppData\Local\Temp\OnboardLogs" /stypes="*4019*201609141*" /stext=" 13:.+((SYSTEM_STATE.+slice.+state.+changed )|(ment ac)|(system.+state.+changed )|(\|lc)|(penalty)|(\[timeout)|(PRM\|1\|D)|(kpr)|(kdp))" /e /r /s</v>
      </c>
      <c r="U61" s="9" t="str">
        <f t="shared" si="8"/>
        <v>4019</v>
      </c>
      <c r="V61" s="38">
        <f t="shared" si="9"/>
        <v>42627.580775462964</v>
      </c>
      <c r="W61" s="52" t="str">
        <f t="shared" si="10"/>
        <v>NW</v>
      </c>
      <c r="X61" s="52" t="str">
        <f t="shared" si="11"/>
        <v>KEEP</v>
      </c>
      <c r="Y61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ID","value":"808-14"},{"id":16,"name":"Locomotive ID","value":"4019"},{"id":130,"name":"Impact","value":""},{"id":150,"name":"Time of Event (Mountain Time)","value":"07:56:19"},{"id":151,"name":"Denver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</row>
    <row r="62" spans="1:28" x14ac:dyDescent="0.25">
      <c r="A62" s="38">
        <v>42627.415405092594</v>
      </c>
      <c r="B62" s="33" t="s">
        <v>168</v>
      </c>
      <c r="C62" s="33" t="s">
        <v>450</v>
      </c>
      <c r="D62" s="33" t="s">
        <v>49</v>
      </c>
      <c r="E62" s="33" t="s">
        <v>50</v>
      </c>
      <c r="F62" s="49">
        <v>0</v>
      </c>
      <c r="G62" s="49">
        <v>35</v>
      </c>
      <c r="H62" s="49">
        <v>668</v>
      </c>
      <c r="I62" s="49">
        <v>647</v>
      </c>
      <c r="J62" s="33" t="s">
        <v>51</v>
      </c>
      <c r="K62" s="49">
        <v>575</v>
      </c>
      <c r="L62" s="150" t="s">
        <v>53</v>
      </c>
      <c r="M62" s="153">
        <f t="shared" si="6"/>
        <v>38.015999999999998</v>
      </c>
      <c r="N62" s="92" t="str">
        <f>VLOOKUP(C62,'Trips&amp;Operators'!$C$1:$E$99999,3,FALSE)</f>
        <v>BRANDNER</v>
      </c>
      <c r="O62" s="174" t="s">
        <v>86</v>
      </c>
      <c r="P62" s="10"/>
      <c r="Q62" s="33"/>
      <c r="R62" s="108" t="str">
        <f>VLOOKUP(C62,'Train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62" s="111" t="str">
        <f>VLOOKUP(C62,'Train Runs'!$A$13:$AE$10028,22,0)</f>
        <v>https://search-rtdc-monitor-bjffxe2xuh6vdkpspy63sjmuny.us-east-1.es.amazonaws.com/_plugin/kibana/#/discover/Steve-Slow-Train-Analysis-(2080s-and-2083s)?_g=(refreshInterval:(display:Off,section:0,value:0),time:(from:'2016-09-14 08:37:39-0600',mode:absolute,to:'2016-09-14 10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62" s="113" t="str">
        <f t="shared" si="7"/>
        <v>"C:\Program Files (x86)\AstroGrep\AstroGrep.exe" /spath="%USERPROFILE%\AppData\Local\Temp\OnboardLogs" /stypes="*4019*201609141*" /stext=" 15:.+((SYSTEM_STATE.+slice.+state.+changed )|(ment ac)|(system.+state.+changed )|(\|lc)|(penalty)|(\[timeout)|(PRM\|1\|D)|(kpr)|(kdp))" /e /r /s</v>
      </c>
      <c r="U62" s="9" t="str">
        <f t="shared" si="8"/>
        <v>4019</v>
      </c>
      <c r="V62" s="38">
        <f t="shared" si="9"/>
        <v>42627.665405092594</v>
      </c>
      <c r="W62" s="52" t="str">
        <f t="shared" si="10"/>
        <v>NW</v>
      </c>
      <c r="X62" s="52" t="str">
        <f t="shared" si="11"/>
        <v>KEEP</v>
      </c>
      <c r="Y62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ID","value":"814-14"},{"id":16,"name":"Locomotive ID","value":"4019"},{"id":130,"name":"Impact","value":""},{"id":150,"name":"Time of Event (Mountain Time)","value":"09:58:11"},{"id":151,"name":"Denver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</row>
    <row r="63" spans="1:28" x14ac:dyDescent="0.25">
      <c r="A63" s="38">
        <v>42627.501261574071</v>
      </c>
      <c r="B63" s="33" t="s">
        <v>168</v>
      </c>
      <c r="C63" s="33" t="s">
        <v>471</v>
      </c>
      <c r="D63" s="33" t="s">
        <v>49</v>
      </c>
      <c r="E63" s="33" t="s">
        <v>50</v>
      </c>
      <c r="F63" s="49">
        <v>0</v>
      </c>
      <c r="G63" s="49">
        <v>48</v>
      </c>
      <c r="H63" s="49">
        <v>734</v>
      </c>
      <c r="I63" s="49">
        <v>685</v>
      </c>
      <c r="J63" s="33" t="s">
        <v>51</v>
      </c>
      <c r="K63" s="49">
        <v>575</v>
      </c>
      <c r="L63" s="150" t="s">
        <v>53</v>
      </c>
      <c r="M63" s="153">
        <f t="shared" si="6"/>
        <v>58.08</v>
      </c>
      <c r="N63" s="92" t="str">
        <f>VLOOKUP(C63,'Trips&amp;Operators'!$C$1:$E$99999,3,FALSE)</f>
        <v>BRANDNER</v>
      </c>
      <c r="O63" s="174" t="s">
        <v>86</v>
      </c>
      <c r="P63" s="10"/>
      <c r="Q63" s="33"/>
      <c r="R63" s="108" t="str">
        <f>VLOOKUP(C63,'Train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63" s="111" t="str">
        <f>VLOOKUP(C63,'Train Runs'!$A$13:$AE$10028,22,0)</f>
        <v>https://search-rtdc-monitor-bjffxe2xuh6vdkpspy63sjmuny.us-east-1.es.amazonaws.com/_plugin/kibana/#/discover/Steve-Slow-Train-Analysis-(2080s-and-2083s)?_g=(refreshInterval:(display:Off,section:0,value:0),time:(from:'2016-09-14 10:52:14-0600',mode:absolute,to:'2016-09-14 12:48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63" s="113" t="str">
        <f t="shared" si="7"/>
        <v>"C:\Program Files (x86)\AstroGrep\AstroGrep.exe" /spath="%USERPROFILE%\AppData\Local\Temp\OnboardLogs" /stypes="*4019*201609141*" /stext=" 18:.+((SYSTEM_STATE.+slice.+state.+changed )|(ment ac)|(system.+state.+changed )|(\|lc)|(penalty)|(\[timeout)|(PRM\|1\|D)|(kpr)|(kdp))" /e /r /s</v>
      </c>
      <c r="U63" s="9" t="str">
        <f t="shared" si="8"/>
        <v>4019</v>
      </c>
      <c r="V63" s="38">
        <f t="shared" si="9"/>
        <v>42627.751261574071</v>
      </c>
      <c r="W63" s="52" t="str">
        <f t="shared" si="10"/>
        <v>NW</v>
      </c>
      <c r="X63" s="52" t="str">
        <f t="shared" si="11"/>
        <v>KEEP</v>
      </c>
      <c r="Y63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ID","value":"818-14"},{"id":16,"name":"Locomotive ID","value":"4019"},{"id":130,"name":"Impact","value":""},{"id":150,"name":"Time of Event (Mountain Time)","value":"12:01:49"},{"id":151,"name":"Denver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</row>
    <row r="64" spans="1:28" x14ac:dyDescent="0.25">
      <c r="A64" s="38">
        <v>42627.541909722226</v>
      </c>
      <c r="B64" s="33" t="s">
        <v>168</v>
      </c>
      <c r="C64" s="33" t="s">
        <v>483</v>
      </c>
      <c r="D64" s="33" t="s">
        <v>49</v>
      </c>
      <c r="E64" s="33" t="s">
        <v>50</v>
      </c>
      <c r="F64" s="49">
        <v>0</v>
      </c>
      <c r="G64" s="49">
        <v>61</v>
      </c>
      <c r="H64" s="49">
        <v>789</v>
      </c>
      <c r="I64" s="49">
        <v>743</v>
      </c>
      <c r="J64" s="33" t="s">
        <v>51</v>
      </c>
      <c r="K64" s="49">
        <v>575</v>
      </c>
      <c r="L64" s="150" t="s">
        <v>53</v>
      </c>
      <c r="M64" s="153">
        <f t="shared" si="6"/>
        <v>88.703999999999994</v>
      </c>
      <c r="N64" s="92" t="str">
        <f>VLOOKUP(C64,'Trips&amp;Operators'!$C$1:$E$99999,3,FALSE)</f>
        <v>BRANDNER</v>
      </c>
      <c r="O64" s="174" t="s">
        <v>86</v>
      </c>
      <c r="P64" s="10"/>
      <c r="Q64" s="33"/>
      <c r="R64" s="108" t="str">
        <f>VLOOKUP(C64,'Train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64" s="111" t="str">
        <f>VLOOKUP(C64,'Train Runs'!$A$13:$AE$10028,22,0)</f>
        <v>https://search-rtdc-monitor-bjffxe2xuh6vdkpspy63sjmuny.us-east-1.es.amazonaws.com/_plugin/kibana/#/discover/Steve-Slow-Train-Analysis-(2080s-and-2083s)?_g=(refreshInterval:(display:Off,section:0,value:0),time:(from:'2016-09-14 11:39:01-0600',mode:absolute,to:'2016-09-14 14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64" s="113" t="str">
        <f t="shared" si="7"/>
        <v>"C:\Program Files (x86)\AstroGrep\AstroGrep.exe" /spath="%USERPROFILE%\AppData\Local\Temp\OnboardLogs" /stypes="*4019*201609141*" /stext=" 19:.+((SYSTEM_STATE.+slice.+state.+changed )|(ment ac)|(system.+state.+changed )|(\|lc)|(penalty)|(\[timeout)|(PRM\|1\|D)|(kpr)|(kdp))" /e /r /s</v>
      </c>
      <c r="U64" s="9" t="str">
        <f t="shared" si="8"/>
        <v>4019</v>
      </c>
      <c r="V64" s="38">
        <f t="shared" si="9"/>
        <v>42627.791909722226</v>
      </c>
      <c r="W64" s="52" t="str">
        <f t="shared" si="10"/>
        <v>NW</v>
      </c>
      <c r="X64" s="52" t="str">
        <f t="shared" si="11"/>
        <v>KEEP</v>
      </c>
      <c r="Y64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ID","value":"820-14"},{"id":16,"name":"Locomotive ID","value":"4019"},{"id":130,"name":"Impact","value":""},{"id":150,"name":"Time of Event (Mountain Time)","value":"13:00:21"},{"id":151,"name":"Denver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</row>
    <row r="65" spans="1:28" x14ac:dyDescent="0.25">
      <c r="A65" s="38">
        <v>42627.768726851849</v>
      </c>
      <c r="B65" s="33" t="s">
        <v>177</v>
      </c>
      <c r="C65" s="33" t="s">
        <v>548</v>
      </c>
      <c r="D65" s="33" t="s">
        <v>49</v>
      </c>
      <c r="E65" s="33" t="s">
        <v>50</v>
      </c>
      <c r="F65" s="49">
        <v>0</v>
      </c>
      <c r="G65" s="49">
        <v>40</v>
      </c>
      <c r="H65" s="49">
        <v>722</v>
      </c>
      <c r="I65" s="49">
        <v>699</v>
      </c>
      <c r="J65" s="33" t="s">
        <v>51</v>
      </c>
      <c r="K65" s="49">
        <v>575</v>
      </c>
      <c r="L65" s="150" t="s">
        <v>53</v>
      </c>
      <c r="M65" s="153">
        <f t="shared" si="6"/>
        <v>65.471999999999994</v>
      </c>
      <c r="N65" s="92" t="str">
        <f>VLOOKUP(C65,'Trips&amp;Operators'!$C$1:$E$99999,3,FALSE)</f>
        <v>DELGADO</v>
      </c>
      <c r="O65" s="174" t="s">
        <v>86</v>
      </c>
      <c r="P65" s="10"/>
      <c r="Q65" s="33"/>
      <c r="R65" s="108" t="str">
        <f>VLOOKUP(C65,'Train Runs'!$A$13:$AE$10028,31,0)</f>
        <v>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 &amp; 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</v>
      </c>
      <c r="S65" s="111" t="str">
        <f>VLOOKUP(C65,'Train Runs'!$A$13:$AE$10028,22,0)</f>
        <v>https://search-rtdc-monitor-bjffxe2xuh6vdkpspy63sjmuny.us-east-1.es.amazonaws.com/_plugin/kibana/#/discover/Steve-Slow-Train-Analysis-(2080s-and-2083s)?_g=(refreshInterval:(display:Off,section:0,value:0),time:(from:'2016-09-14 17:09:23-0600',mode:absolute,to:'2016-09-14 19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65" s="113" t="str">
        <f t="shared" si="7"/>
        <v>"C:\Program Files (x86)\AstroGrep\AstroGrep.exe" /spath="%USERPROFILE%\AppData\Local\Temp\OnboardLogs" /stypes="*4026*201609150*" /stext=" 00:.+((SYSTEM_STATE.+slice.+state.+changed )|(ment ac)|(system.+state.+changed )|(\|lc)|(penalty)|(\[timeout)|(PRM\|1\|D)|(kpr)|(kdp))" /e /r /s</v>
      </c>
      <c r="U65" s="9" t="str">
        <f t="shared" si="8"/>
        <v>4026</v>
      </c>
      <c r="V65" s="38">
        <f t="shared" si="9"/>
        <v>42628.018726851849</v>
      </c>
      <c r="W65" s="52" t="str">
        <f t="shared" si="10"/>
        <v>NW</v>
      </c>
      <c r="X65" s="52" t="str">
        <f t="shared" si="11"/>
        <v>KEEP</v>
      </c>
      <c r="Y65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ID","value":"836-14"},{"id":16,"name":"Locomotive ID","value":"4026"},{"id":130,"name":"Impact","value":""},{"id":150,"name":"Time of Event (Mountain Time)","value":"18:26:58"},{"id":151,"name":"Denver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5"/>
      <c r="AA65" s="55"/>
      <c r="AB65" s="23"/>
    </row>
    <row r="66" spans="1:28" x14ac:dyDescent="0.25">
      <c r="A66" s="38">
        <v>42627.789861111109</v>
      </c>
      <c r="B66" s="33" t="s">
        <v>168</v>
      </c>
      <c r="C66" s="33" t="s">
        <v>554</v>
      </c>
      <c r="D66" s="33" t="s">
        <v>49</v>
      </c>
      <c r="E66" s="33" t="s">
        <v>50</v>
      </c>
      <c r="F66" s="49">
        <v>0</v>
      </c>
      <c r="G66" s="49">
        <v>24</v>
      </c>
      <c r="H66" s="49">
        <v>645</v>
      </c>
      <c r="I66" s="49">
        <v>631</v>
      </c>
      <c r="J66" s="33" t="s">
        <v>51</v>
      </c>
      <c r="K66" s="49">
        <v>575</v>
      </c>
      <c r="L66" s="150" t="s">
        <v>53</v>
      </c>
      <c r="M66" s="153">
        <f t="shared" si="6"/>
        <v>29.568000000000001</v>
      </c>
      <c r="N66" s="92" t="str">
        <f>VLOOKUP(C66,'Trips&amp;Operators'!$C$1:$E$99999,3,FALSE)</f>
        <v>MOSES</v>
      </c>
      <c r="O66" s="174" t="s">
        <v>86</v>
      </c>
      <c r="P66" s="10"/>
      <c r="Q66" s="33"/>
      <c r="R66" s="108" t="str">
        <f>VLOOKUP(C66,'Train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66" s="111" t="str">
        <f>VLOOKUP(C66,'Train Runs'!$A$13:$AE$10028,22,0)</f>
        <v>https://search-rtdc-monitor-bjffxe2xuh6vdkpspy63sjmuny.us-east-1.es.amazonaws.com/_plugin/kibana/#/discover/Steve-Slow-Train-Analysis-(2080s-and-2083s)?_g=(refreshInterval:(display:Off,section:0,value:0),time:(from:'2016-09-14 17:37:18-0600',mode:absolute,to:'2016-09-14 19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66" s="113" t="str">
        <f t="shared" si="7"/>
        <v>"C:\Program Files (x86)\AstroGrep\AstroGrep.exe" /spath="%USERPROFILE%\AppData\Local\Temp\OnboardLogs" /stypes="*4019*201609150*" /stext=" 00:.+((SYSTEM_STATE.+slice.+state.+changed )|(ment ac)|(system.+state.+changed )|(\|lc)|(penalty)|(\[timeout)|(PRM\|1\|D)|(kpr)|(kdp))" /e /r /s</v>
      </c>
      <c r="U66" s="9" t="str">
        <f t="shared" si="8"/>
        <v>4019</v>
      </c>
      <c r="V66" s="38">
        <f t="shared" si="9"/>
        <v>42628.039861111109</v>
      </c>
      <c r="W66" s="52" t="str">
        <f t="shared" si="10"/>
        <v>NW</v>
      </c>
      <c r="X66" s="52" t="str">
        <f t="shared" si="11"/>
        <v>KEEP</v>
      </c>
      <c r="Y66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ID","value":"838-14"},{"id":16,"name":"Locomotive ID","value":"4019"},{"id":130,"name":"Impact","value":""},{"id":150,"name":"Time of Event (Mountain Time)","value":"18:57:24"},{"id":151,"name":"Denver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5"/>
      <c r="AA66" s="55"/>
      <c r="AB66" s="23"/>
    </row>
    <row r="67" spans="1:28" x14ac:dyDescent="0.25">
      <c r="A67" s="38">
        <v>42627.834965277776</v>
      </c>
      <c r="B67" s="33" t="s">
        <v>168</v>
      </c>
      <c r="C67" s="33" t="s">
        <v>565</v>
      </c>
      <c r="D67" s="33" t="s">
        <v>49</v>
      </c>
      <c r="E67" s="33" t="s">
        <v>50</v>
      </c>
      <c r="F67" s="49">
        <v>0</v>
      </c>
      <c r="G67" s="49">
        <v>20</v>
      </c>
      <c r="H67" s="49">
        <v>645</v>
      </c>
      <c r="I67" s="49">
        <v>633</v>
      </c>
      <c r="J67" s="33" t="s">
        <v>51</v>
      </c>
      <c r="K67" s="49">
        <v>575</v>
      </c>
      <c r="L67" s="150" t="s">
        <v>53</v>
      </c>
      <c r="M67" s="153">
        <f t="shared" si="6"/>
        <v>30.623999999999999</v>
      </c>
      <c r="N67" s="92" t="str">
        <f>VLOOKUP(C67,'Trips&amp;Operators'!$C$1:$E$99999,3,FALSE)</f>
        <v>MOSES</v>
      </c>
      <c r="O67" s="174" t="s">
        <v>86</v>
      </c>
      <c r="P67" s="10"/>
      <c r="Q67" s="33"/>
      <c r="R67" s="108" t="str">
        <f>VLOOKUP(C67,'Train Runs'!$A$13:$AE$10028,31,0)</f>
        <v>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 &amp; aws s3 cp s3://rtdc.mdm.uploadarchive/RTDC4019/2016-09-15/ "%USERPROFILE%\AppData\Local\Temp\OnboardLogs"\RTDC4019\2016-09-15 --recursive &amp; "%USERPROFILE%\Documents\GitHub\mrs-test-scripts\Headless Mode &amp; Sideloading\WalkAndUnGZ.bat" "%USERPROFILE%\AppData\Local\Temp\OnboardLogs"\RTDC4019\2016-09-15</v>
      </c>
      <c r="S67" s="111" t="str">
        <f>VLOOKUP(C67,'Train Runs'!$A$13:$AE$10028,22,0)</f>
        <v>https://search-rtdc-monitor-bjffxe2xuh6vdkpspy63sjmuny.us-east-1.es.amazonaws.com/_plugin/kibana/#/discover/Steve-Slow-Train-Analysis-(2080s-and-2083s)?_g=(refreshInterval:(display:Off,section:0,value:0),time:(from:'2016-09-14 18:42:43-0600',mode:absolute,to:'2016-09-14 21:02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67" s="113" t="str">
        <f t="shared" si="7"/>
        <v>"C:\Program Files (x86)\AstroGrep\AstroGrep.exe" /spath="%USERPROFILE%\AppData\Local\Temp\OnboardLogs" /stypes="*4019*201609150*" /stext=" 02:.+((SYSTEM_STATE.+slice.+state.+changed )|(ment ac)|(system.+state.+changed )|(\|lc)|(penalty)|(\[timeout)|(PRM\|1\|D)|(kpr)|(kdp))" /e /r /s</v>
      </c>
      <c r="U67" s="9" t="str">
        <f t="shared" si="8"/>
        <v>4019</v>
      </c>
      <c r="V67" s="38">
        <f t="shared" si="9"/>
        <v>42628.084965277776</v>
      </c>
      <c r="W67" s="52" t="str">
        <f t="shared" si="10"/>
        <v>NW</v>
      </c>
      <c r="X67" s="52" t="str">
        <f t="shared" si="11"/>
        <v>KEEP</v>
      </c>
      <c r="Y67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{"issue":{"subject":"","project_id":79,"tracker_id":40,"status_id":1,"priority_id":2,"assigned_to_id":23,"start_date":"2016-09-14","description":"","custom_fields":[{"id":1,"name":"Subdivision","value":"NW"},{"id":4,"name":"Milepost","value":"0.0575"},{"id":17,"name":"Train ID","value":"840-14"},{"id":16,"name":"Locomotive ID","value":"4019"},{"id":130,"name":"Impact","value":""},{"id":150,"name":"Time of Event (Mountain Time)","value":"20:02:21"},{"id":151,"name":"Denver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5"/>
      <c r="AA67" s="55"/>
      <c r="AB67" s="23"/>
    </row>
    <row r="68" spans="1:28" x14ac:dyDescent="0.25">
      <c r="A68" s="38">
        <v>42627.274050925924</v>
      </c>
      <c r="B68" s="33" t="s">
        <v>169</v>
      </c>
      <c r="C68" s="33" t="s">
        <v>410</v>
      </c>
      <c r="D68" s="33" t="s">
        <v>49</v>
      </c>
      <c r="E68" s="33" t="s">
        <v>50</v>
      </c>
      <c r="F68" s="49">
        <v>0</v>
      </c>
      <c r="G68" s="49">
        <v>11</v>
      </c>
      <c r="H68" s="49">
        <v>59027</v>
      </c>
      <c r="I68" s="49">
        <v>59029</v>
      </c>
      <c r="J68" s="33" t="s">
        <v>51</v>
      </c>
      <c r="K68" s="49">
        <v>59048</v>
      </c>
      <c r="L68" s="150" t="s">
        <v>52</v>
      </c>
      <c r="M68" s="153">
        <f t="shared" si="6"/>
        <v>10.032</v>
      </c>
      <c r="N68" s="92" t="str">
        <f>VLOOKUP(C68,'Trips&amp;Operators'!$C$1:$E$99999,3,FALSE)</f>
        <v>BRANDNER</v>
      </c>
      <c r="O68" s="174" t="s">
        <v>86</v>
      </c>
      <c r="P68" s="10"/>
      <c r="Q68" s="33"/>
      <c r="R68" s="108" t="str">
        <f>VLOOKUP(C68,'Train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68" s="111" t="str">
        <f>VLOOKUP(C68,'Train Runs'!$A$13:$AE$10028,22,0)</f>
        <v>https://search-rtdc-monitor-bjffxe2xuh6vdkpspy63sjmuny.us-east-1.es.amazonaws.com/_plugin/kibana/#/discover/Steve-Slow-Train-Analysis-(2080s-and-2083s)?_g=(refreshInterval:(display:Off,section:0,value:0),time:(from:'2016-09-14 05:08:28-0600',mode:absolute,to:'2016-09-14 07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68" s="113" t="str">
        <f t="shared" si="7"/>
        <v>"C:\Program Files (x86)\AstroGrep\AstroGrep.exe" /spath="%USERPROFILE%\AppData\Local\Temp\OnboardLogs" /stypes="*4020*201609141*" /stext=" 12:.+((SYSTEM_STATE.+slice.+state.+changed )|(ment ac)|(system.+state.+changed )|(\|lc)|(penalty)|(\[timeout)|(PRM\|1\|D)|(kpr)|(kdp))" /e /r /s</v>
      </c>
      <c r="U68" s="9" t="str">
        <f t="shared" si="8"/>
        <v>4020</v>
      </c>
      <c r="V68" s="38">
        <f t="shared" si="9"/>
        <v>42627.524050925924</v>
      </c>
      <c r="W68" s="52" t="str">
        <f t="shared" si="10"/>
        <v>NW</v>
      </c>
      <c r="X68" s="52" t="str">
        <f t="shared" si="11"/>
        <v>KEEP</v>
      </c>
      <c r="Y68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{"issue":{"subject":"","project_id":79,"tracker_id":40,"status_id":1,"priority_id":2,"assigned_to_id":23,"start_date":"2016-09-14","description":"","custom_fields":[{"id":1,"name":"Subdivision","value":"NW"},{"id":4,"name":"Milepost","value":"5.9048"},{"id":17,"name":"Train ID","value":"803-14"},{"id":16,"name":"Locomotive ID","value":"4020"},{"id":130,"name":"Impact","value":""},{"id":150,"name":"Time of Event (Mountain Time)","value":"06:34:38"},{"id":151,"name":"Denver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55"/>
      <c r="AA68" s="55"/>
      <c r="AB68" s="23"/>
    </row>
    <row r="69" spans="1:28" x14ac:dyDescent="0.25">
      <c r="A69" s="38">
        <v>42627.358287037037</v>
      </c>
      <c r="B69" s="33" t="s">
        <v>169</v>
      </c>
      <c r="C69" s="33" t="s">
        <v>432</v>
      </c>
      <c r="D69" s="33" t="s">
        <v>49</v>
      </c>
      <c r="E69" s="33" t="s">
        <v>50</v>
      </c>
      <c r="F69" s="49">
        <v>0</v>
      </c>
      <c r="G69" s="49">
        <v>12</v>
      </c>
      <c r="H69" s="49">
        <v>59005</v>
      </c>
      <c r="I69" s="49">
        <v>59008</v>
      </c>
      <c r="J69" s="33" t="s">
        <v>51</v>
      </c>
      <c r="K69" s="49">
        <v>59048</v>
      </c>
      <c r="L69" s="150" t="s">
        <v>52</v>
      </c>
      <c r="M69" s="153">
        <f t="shared" si="6"/>
        <v>21.12</v>
      </c>
      <c r="N69" s="92" t="str">
        <f>VLOOKUP(C69,'Trips&amp;Operators'!$C$1:$E$99999,3,FALSE)</f>
        <v>BRANDNER</v>
      </c>
      <c r="O69" s="174" t="s">
        <v>86</v>
      </c>
      <c r="P69" s="10"/>
      <c r="Q69" s="33"/>
      <c r="R69" s="108" t="str">
        <f>VLOOKUP(C69,'Train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69" s="111" t="str">
        <f>VLOOKUP(C69,'Train Runs'!$A$13:$AE$10028,22,0)</f>
        <v>https://search-rtdc-monitor-bjffxe2xuh6vdkpspy63sjmuny.us-east-1.es.amazonaws.com/_plugin/kibana/#/discover/Steve-Slow-Train-Analysis-(2080s-and-2083s)?_g=(refreshInterval:(display:Off,section:0,value:0),time:(from:'2016-09-14 07:04:14-0600',mode:absolute,to:'2016-09-14 09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69" s="113" t="str">
        <f t="shared" si="7"/>
        <v>"C:\Program Files (x86)\AstroGrep\AstroGrep.exe" /spath="%USERPROFILE%\AppData\Local\Temp\OnboardLogs" /stypes="*4020*201609141*" /stext=" 14:.+((SYSTEM_STATE.+slice.+state.+changed )|(ment ac)|(system.+state.+changed )|(\|lc)|(penalty)|(\[timeout)|(PRM\|1\|D)|(kpr)|(kdp))" /e /r /s</v>
      </c>
      <c r="U69" s="9" t="str">
        <f t="shared" si="8"/>
        <v>4020</v>
      </c>
      <c r="V69" s="38">
        <f t="shared" si="9"/>
        <v>42627.608287037037</v>
      </c>
      <c r="W69" s="52" t="str">
        <f t="shared" si="10"/>
        <v>NW</v>
      </c>
      <c r="X69" s="52" t="str">
        <f t="shared" si="11"/>
        <v>KEEP</v>
      </c>
      <c r="Y69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{"issue":{"subject":"","project_id":79,"tracker_id":40,"status_id":1,"priority_id":2,"assigned_to_id":23,"start_date":"2016-09-14","description":"","custom_fields":[{"id":1,"name":"Subdivision","value":"NW"},{"id":4,"name":"Milepost","value":"5.9048"},{"id":17,"name":"Train ID","value":"811-14"},{"id":16,"name":"Locomotive ID","value":"4020"},{"id":130,"name":"Impact","value":""},{"id":150,"name":"Time of Event (Mountain Time)","value":"08:35:56"},{"id":151,"name":"Denver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55"/>
      <c r="AA69" s="55"/>
      <c r="AB69" s="23"/>
    </row>
    <row r="70" spans="1:28" x14ac:dyDescent="0.25">
      <c r="A70" s="38">
        <v>42627.440428240741</v>
      </c>
      <c r="B70" s="33" t="s">
        <v>169</v>
      </c>
      <c r="C70" s="33" t="s">
        <v>455</v>
      </c>
      <c r="D70" s="33" t="s">
        <v>49</v>
      </c>
      <c r="E70" s="33" t="s">
        <v>50</v>
      </c>
      <c r="F70" s="49">
        <v>0</v>
      </c>
      <c r="G70" s="49">
        <v>41</v>
      </c>
      <c r="H70" s="49">
        <v>58941</v>
      </c>
      <c r="I70" s="49">
        <v>58978</v>
      </c>
      <c r="J70" s="33" t="s">
        <v>51</v>
      </c>
      <c r="K70" s="49">
        <v>59048</v>
      </c>
      <c r="L70" s="150" t="s">
        <v>52</v>
      </c>
      <c r="M70" s="153">
        <f t="shared" si="6"/>
        <v>36.96</v>
      </c>
      <c r="N70" s="92" t="str">
        <f>VLOOKUP(C70,'Trips&amp;Operators'!$C$1:$E$99999,3,FALSE)</f>
        <v>BRANDNER</v>
      </c>
      <c r="O70" s="174" t="s">
        <v>86</v>
      </c>
      <c r="P70" s="10"/>
      <c r="Q70" s="33"/>
      <c r="R70" s="108" t="str">
        <f>VLOOKUP(C70,'Train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70" s="111" t="str">
        <f>VLOOKUP(C70,'Train Runs'!$A$13:$AE$10028,22,0)</f>
        <v>https://search-rtdc-monitor-bjffxe2xuh6vdkpspy63sjmuny.us-east-1.es.amazonaws.com/_plugin/kibana/#/discover/Steve-Slow-Train-Analysis-(2080s-and-2083s)?_g=(refreshInterval:(display:Off,section:0,value:0),time:(from:'2016-09-14 09:05:14-0600',mode:absolute,to:'2016-09-14 11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70" s="113" t="str">
        <f t="shared" si="7"/>
        <v>"C:\Program Files (x86)\AstroGrep\AstroGrep.exe" /spath="%USERPROFILE%\AppData\Local\Temp\OnboardLogs" /stypes="*4020*201609141*" /stext=" 16:.+((SYSTEM_STATE.+slice.+state.+changed )|(ment ac)|(system.+state.+changed )|(\|lc)|(penalty)|(\[timeout)|(PRM\|1\|D)|(kpr)|(kdp))" /e /r /s</v>
      </c>
      <c r="U70" s="9" t="str">
        <f t="shared" si="8"/>
        <v>4020</v>
      </c>
      <c r="V70" s="38">
        <f t="shared" si="9"/>
        <v>42627.690428240741</v>
      </c>
      <c r="W70" s="52" t="str">
        <f t="shared" si="10"/>
        <v>NW</v>
      </c>
      <c r="X70" s="52" t="str">
        <f t="shared" si="11"/>
        <v>KEEP</v>
      </c>
      <c r="Y70" s="134" t="str">
        <f t="shared" si="12"/>
        <v>echo {"issue":{"subject":"","project_id":79,"tracker_id":40,"status_id":1,"priority_id":2,"assigned_to_id":23,"start_date":"2016-09-14","description":"","custom_fields":[{"id":1,"name":"Subdivision","value":"NW"},{"id":4,"name":"Milepost","value":"5.9048"},{"id":17,"name":"Train ID","value":"815-14"},{"id":16,"name":"Locomotive ID","value":"4020"},{"id":130,"name":"Impact","value":""},{"id":150,"name":"Time of Event (Mountain Time)","value":"10:34:13"},{"id":151,"name":"Denver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55"/>
      <c r="AA70" s="55"/>
      <c r="AB70" s="23"/>
    </row>
    <row r="71" spans="1:28" x14ac:dyDescent="0.25">
      <c r="A71" s="38">
        <v>42627.485092592593</v>
      </c>
      <c r="B71" s="33" t="s">
        <v>169</v>
      </c>
      <c r="C71" s="33" t="s">
        <v>465</v>
      </c>
      <c r="D71" s="33" t="s">
        <v>49</v>
      </c>
      <c r="E71" s="33" t="s">
        <v>50</v>
      </c>
      <c r="F71" s="49">
        <v>0</v>
      </c>
      <c r="G71" s="49">
        <v>38</v>
      </c>
      <c r="H71" s="49">
        <v>58958</v>
      </c>
      <c r="I71" s="49">
        <v>58993</v>
      </c>
      <c r="J71" s="33" t="s">
        <v>51</v>
      </c>
      <c r="K71" s="49">
        <v>59048</v>
      </c>
      <c r="L71" s="150" t="s">
        <v>52</v>
      </c>
      <c r="M71" s="153">
        <f t="shared" si="6"/>
        <v>29.04</v>
      </c>
      <c r="N71" s="92" t="str">
        <f>VLOOKUP(C71,'Trips&amp;Operators'!$C$1:$E$99999,3,FALSE)</f>
        <v>BRANDNER</v>
      </c>
      <c r="O71" s="174" t="s">
        <v>86</v>
      </c>
      <c r="P71" s="10"/>
      <c r="Q71" s="33"/>
      <c r="R71" s="108" t="str">
        <f>VLOOKUP(C71,'Train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71" s="111" t="str">
        <f>VLOOKUP(C71,'Train Runs'!$A$13:$AE$10028,22,0)</f>
        <v>https://search-rtdc-monitor-bjffxe2xuh6vdkpspy63sjmuny.us-east-1.es.amazonaws.com/_plugin/kibana/#/discover/Steve-Slow-Train-Analysis-(2080s-and-2083s)?_g=(refreshInterval:(display:Off,section:0,value:0),time:(from:'2016-09-14 09:59:58-0600',mode:absolute,to:'2016-09-14 12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71" s="113" t="str">
        <f t="shared" ref="T71:T75" si="13">astrogrep_path&amp;" /spath="&amp;search_path&amp;" /stypes=""*"&amp;U71&amp;"*"&amp;TEXT(A71-utc_offset/24,"YYYYMMDD")&amp;LEFT(TEXT(A71-utc_offset/24,"HH"),1)&amp;"*""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/stypes="*4020*201609141*" /stext=" 17:.+((SYSTEM_STATE.+slice.+state.+changed )|(ment ac)|(system.+state.+changed )|(\|lc)|(penalty)|(\[timeout)|(PRM\|1\|D)|(kpr)|(kdp))" /e /r /s</v>
      </c>
      <c r="U71" s="9" t="str">
        <f t="shared" si="8"/>
        <v>4020</v>
      </c>
      <c r="V71" s="38">
        <f t="shared" si="9"/>
        <v>42627.735092592593</v>
      </c>
      <c r="W71" s="52" t="str">
        <f t="shared" si="10"/>
        <v>NW</v>
      </c>
      <c r="X71" s="52" t="str">
        <f t="shared" si="11"/>
        <v>KEEP</v>
      </c>
      <c r="Y71" s="134" t="str">
        <f t="shared" ref="Y71:Y75" si="14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{"issue":{"subject":"","project_id":79,"tracker_id":40,"status_id":1,"priority_id":2,"assigned_to_id":23,"start_date":"2016-09-14","description":"","custom_fields":[{"id":1,"name":"Subdivision","value":"NW"},{"id":4,"name":"Milepost","value":"5.9048"},{"id":17,"name":"Train ID","value":"817-14"},{"id":16,"name":"Locomotive ID","value":"4020"},{"id":130,"name":"Impact","value":""},{"id":150,"name":"Time of Event (Mountain Time)","value":"11:38:32"},{"id":151,"name":"Denver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55"/>
      <c r="AA71" s="55"/>
      <c r="AB71" s="23"/>
    </row>
    <row r="72" spans="1:28" x14ac:dyDescent="0.25">
      <c r="A72" s="38">
        <v>42627.608888888892</v>
      </c>
      <c r="B72" s="33" t="s">
        <v>169</v>
      </c>
      <c r="C72" s="33" t="s">
        <v>498</v>
      </c>
      <c r="D72" s="33" t="s">
        <v>49</v>
      </c>
      <c r="E72" s="33" t="s">
        <v>50</v>
      </c>
      <c r="F72" s="49">
        <v>0</v>
      </c>
      <c r="G72" s="49">
        <v>51</v>
      </c>
      <c r="H72" s="49">
        <v>58935</v>
      </c>
      <c r="I72" s="49">
        <v>58988</v>
      </c>
      <c r="J72" s="33" t="s">
        <v>51</v>
      </c>
      <c r="K72" s="49">
        <v>59048</v>
      </c>
      <c r="L72" s="150" t="s">
        <v>52</v>
      </c>
      <c r="M72" s="153">
        <f t="shared" ref="M72:M75" si="15">CONVERT((I72-K72)/10000,"mi","ft")*IF(L72="Increasing Mileposts (1)",-1,1)</f>
        <v>31.68</v>
      </c>
      <c r="N72" s="92" t="str">
        <f>VLOOKUP(C72,'Trips&amp;Operators'!$C$1:$E$99999,3,FALSE)</f>
        <v>MOSES</v>
      </c>
      <c r="O72" s="174" t="s">
        <v>86</v>
      </c>
      <c r="P72" s="10"/>
      <c r="Q72" s="33"/>
      <c r="R72" s="108" t="str">
        <f>VLOOKUP(C72,'Train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72" s="111" t="str">
        <f>VLOOKUP(C72,'Train Runs'!$A$13:$AE$10028,22,0)</f>
        <v>https://search-rtdc-monitor-bjffxe2xuh6vdkpspy63sjmuny.us-east-1.es.amazonaws.com/_plugin/kibana/#/discover/Steve-Slow-Train-Analysis-(2080s-and-2083s)?_g=(refreshInterval:(display:Off,section:0,value:0),time:(from:'2016-09-14 13:09:18-0600',mode:absolute,to:'2016-09-14 15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72" s="113" t="str">
        <f t="shared" si="13"/>
        <v>"C:\Program Files (x86)\AstroGrep\AstroGrep.exe" /spath="%USERPROFILE%\AppData\Local\Temp\OnboardLogs" /stypes="*4020*201609142*" /stext=" 20:.+((SYSTEM_STATE.+slice.+state.+changed )|(ment ac)|(system.+state.+changed )|(\|lc)|(penalty)|(\[timeout)|(PRM\|1\|D)|(kpr)|(kdp))" /e /r /s</v>
      </c>
      <c r="U72" s="9" t="str">
        <f t="shared" si="8"/>
        <v>4020</v>
      </c>
      <c r="V72" s="38">
        <f t="shared" si="9"/>
        <v>42627.858888888892</v>
      </c>
      <c r="W72" s="52" t="str">
        <f t="shared" si="10"/>
        <v>NW</v>
      </c>
      <c r="X72" s="52" t="str">
        <f t="shared" si="11"/>
        <v>KEEP</v>
      </c>
      <c r="Y72" s="134" t="str">
        <f t="shared" si="14"/>
        <v>echo {"issue":{"subject":"","project_id":79,"tracker_id":40,"status_id":1,"priority_id":2,"assigned_to_id":23,"start_date":"2016-09-14","description":"","custom_fields":[{"id":1,"name":"Subdivision","value":"NW"},{"id":4,"name":"Milepost","value":"5.9048"},{"id":17,"name":"Train ID","value":"823-14"},{"id":16,"name":"Locomotive ID","value":"4020"},{"id":130,"name":"Impact","value":""},{"id":150,"name":"Time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55"/>
      <c r="AA72" s="55"/>
      <c r="AB72" s="23"/>
    </row>
    <row r="73" spans="1:28" x14ac:dyDescent="0.25">
      <c r="A73" s="38">
        <v>42627.649560185186</v>
      </c>
      <c r="B73" s="33" t="s">
        <v>169</v>
      </c>
      <c r="C73" s="33" t="s">
        <v>510</v>
      </c>
      <c r="D73" s="33" t="s">
        <v>49</v>
      </c>
      <c r="E73" s="33" t="s">
        <v>50</v>
      </c>
      <c r="F73" s="49">
        <v>0</v>
      </c>
      <c r="G73" s="49">
        <v>100</v>
      </c>
      <c r="H73" s="49">
        <v>58724</v>
      </c>
      <c r="I73" s="49">
        <v>58815</v>
      </c>
      <c r="J73" s="33" t="s">
        <v>51</v>
      </c>
      <c r="K73" s="49">
        <v>59048</v>
      </c>
      <c r="L73" s="150" t="s">
        <v>52</v>
      </c>
      <c r="M73" s="153">
        <f t="shared" si="15"/>
        <v>123.024</v>
      </c>
      <c r="N73" s="92" t="str">
        <f>VLOOKUP(C73,'Trips&amp;Operators'!$C$1:$E$99999,3,FALSE)</f>
        <v>MOSES</v>
      </c>
      <c r="O73" s="174" t="s">
        <v>86</v>
      </c>
      <c r="P73" s="10"/>
      <c r="Q73" s="33"/>
      <c r="R73" s="108" t="str">
        <f>VLOOKUP(C73,'Train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73" s="111" t="str">
        <f>VLOOKUP(C73,'Train Runs'!$A$13:$AE$10028,22,0)</f>
        <v>https://search-rtdc-monitor-bjffxe2xuh6vdkpspy63sjmuny.us-east-1.es.amazonaws.com/_plugin/kibana/#/discover/Steve-Slow-Train-Analysis-(2080s-and-2083s)?_g=(refreshInterval:(display:Off,section:0,value:0),time:(from:'2016-09-14 14:16:41-0600',mode:absolute,to:'2016-09-14 16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73" s="113" t="str">
        <f t="shared" si="13"/>
        <v>"C:\Program Files (x86)\AstroGrep\AstroGrep.exe" /spath="%USERPROFILE%\AppData\Local\Temp\OnboardLogs" /stypes="*4020*201609142*" /stext=" 21:.+((SYSTEM_STATE.+slice.+state.+changed )|(ment ac)|(system.+state.+changed )|(\|lc)|(penalty)|(\[timeout)|(PRM\|1\|D)|(kpr)|(kdp))" /e /r /s</v>
      </c>
      <c r="U73" s="9" t="str">
        <f t="shared" si="8"/>
        <v>4020</v>
      </c>
      <c r="V73" s="38">
        <f t="shared" si="9"/>
        <v>42627.899560185186</v>
      </c>
      <c r="W73" s="52" t="str">
        <f t="shared" si="10"/>
        <v>NW</v>
      </c>
      <c r="X73" s="52" t="str">
        <f t="shared" si="11"/>
        <v>KEEP</v>
      </c>
      <c r="Y73" s="134" t="str">
        <f t="shared" si="14"/>
        <v>echo {"issue":{"subject":"","project_id":79,"tracker_id":40,"status_id":1,"priority_id":2,"assigned_to_id":23,"start_date":"2016-09-14","description":"","custom_fields":[{"id":1,"name":"Subdivision","value":"NW"},{"id":4,"name":"Milepost","value":"5.9048"},{"id":17,"name":"Train ID","value":"825-14"},{"id":16,"name":"Locomotive ID","value":"4020"},{"id":130,"name":"Impact","value":""},{"id":150,"name":"Time of Event (Mountain Time)","value":"15:35:22"},{"id":151,"name":"Denver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55"/>
      <c r="AA73" s="55"/>
      <c r="AB73" s="23"/>
    </row>
    <row r="74" spans="1:28" x14ac:dyDescent="0.25">
      <c r="A74" s="38">
        <v>42627.77447916667</v>
      </c>
      <c r="B74" s="33" t="s">
        <v>169</v>
      </c>
      <c r="C74" s="33" t="s">
        <v>549</v>
      </c>
      <c r="D74" s="33" t="s">
        <v>49</v>
      </c>
      <c r="E74" s="33" t="s">
        <v>50</v>
      </c>
      <c r="F74" s="49">
        <v>0</v>
      </c>
      <c r="G74" s="49">
        <v>48</v>
      </c>
      <c r="H74" s="49">
        <v>58928</v>
      </c>
      <c r="I74" s="49">
        <v>58980</v>
      </c>
      <c r="J74" s="33" t="s">
        <v>51</v>
      </c>
      <c r="K74" s="49">
        <v>59048</v>
      </c>
      <c r="L74" s="150" t="s">
        <v>52</v>
      </c>
      <c r="M74" s="153">
        <f t="shared" si="15"/>
        <v>35.904000000000003</v>
      </c>
      <c r="N74" s="92" t="str">
        <f>VLOOKUP(C74,'Trips&amp;Operators'!$C$1:$E$99999,3,FALSE)</f>
        <v>MOSES</v>
      </c>
      <c r="O74" s="174" t="s">
        <v>86</v>
      </c>
      <c r="P74" s="10"/>
      <c r="Q74" s="33"/>
      <c r="R74" s="108" t="str">
        <f>VLOOKUP(C74,'Train Runs'!$A$13:$AE$10028,31,0)</f>
        <v>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 &amp; aws s3 cp s3://rtdc.mdm.uploadarchive/RTDC4020/2016-09-15/ "%USERPROFILE%\AppData\Local\Temp\OnboardLogs"\RTDC4020\2016-09-15 --recursive &amp; "%USERPROFILE%\Documents\GitHub\mrs-test-scripts\Headless Mode &amp; Sideloading\WalkAndUnGZ.bat" "%USERPROFILE%\AppData\Local\Temp\OnboardLogs"\RTDC4020\2016-09-15</v>
      </c>
      <c r="S74" s="111" t="str">
        <f>VLOOKUP(C74,'Train Runs'!$A$13:$AE$10028,22,0)</f>
        <v>https://search-rtdc-monitor-bjffxe2xuh6vdkpspy63sjmuny.us-east-1.es.amazonaws.com/_plugin/kibana/#/discover/Steve-Slow-Train-Analysis-(2080s-and-2083s)?_g=(refreshInterval:(display:Off,section:0,value:0),time:(from:'2016-09-14 17:16:32-0600',mode:absolute,to:'2016-09-14 19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74" s="113" t="str">
        <f t="shared" si="13"/>
        <v>"C:\Program Files (x86)\AstroGrep\AstroGrep.exe" /spath="%USERPROFILE%\AppData\Local\Temp\OnboardLogs" /stypes="*4020*201609150*" /stext=" 00:.+((SYSTEM_STATE.+slice.+state.+changed )|(ment ac)|(system.+state.+changed )|(\|lc)|(penalty)|(\[timeout)|(PRM\|1\|D)|(kpr)|(kdp))" /e /r /s</v>
      </c>
      <c r="U74" s="9" t="str">
        <f t="shared" si="8"/>
        <v>4020</v>
      </c>
      <c r="V74" s="38">
        <f t="shared" si="9"/>
        <v>42628.02447916667</v>
      </c>
      <c r="W74" s="52" t="str">
        <f t="shared" si="10"/>
        <v>NW</v>
      </c>
      <c r="X74" s="52" t="str">
        <f t="shared" si="11"/>
        <v>KEEP</v>
      </c>
      <c r="Y74" s="134" t="str">
        <f t="shared" si="14"/>
        <v>echo {"issue":{"subject":"","project_id":79,"tracker_id":40,"status_id":1,"priority_id":2,"assigned_to_id":23,"start_date":"2016-09-14","description":"","custom_fields":[{"id":1,"name":"Subdivision","value":"NW"},{"id":4,"name":"Milepost","value":"5.9048"},{"id":17,"name":"Train ID","value":"837-14"},{"id":16,"name":"Locomotive ID","value":"4020"},{"id":130,"name":"Impact","value":""},{"id":150,"name":"Time of Event (Mountain Time)","value":"18:35:15"},{"id":151,"name":"Denver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55"/>
      <c r="AA74" s="55"/>
      <c r="AB74" s="23"/>
    </row>
    <row r="75" spans="1:28" x14ac:dyDescent="0.25">
      <c r="A75" s="38">
        <v>42627.776365740741</v>
      </c>
      <c r="B75" s="33" t="s">
        <v>130</v>
      </c>
      <c r="C75" s="33" t="s">
        <v>553</v>
      </c>
      <c r="D75" s="33" t="s">
        <v>106</v>
      </c>
      <c r="E75" s="33" t="s">
        <v>54</v>
      </c>
      <c r="F75" s="49">
        <v>0</v>
      </c>
      <c r="G75" s="49">
        <v>26</v>
      </c>
      <c r="H75" s="49">
        <v>1773</v>
      </c>
      <c r="I75" s="49">
        <v>1786</v>
      </c>
      <c r="J75" s="33" t="s">
        <v>55</v>
      </c>
      <c r="K75" s="49">
        <v>1692</v>
      </c>
      <c r="L75" s="150" t="s">
        <v>52</v>
      </c>
      <c r="M75" s="153">
        <f t="shared" si="15"/>
        <v>-49.631999999999998</v>
      </c>
      <c r="N75" s="92" t="str">
        <f>VLOOKUP(C75,'Trips&amp;Operators'!$C$1:$E$99999,3,FALSE)</f>
        <v>DE LA ROSA</v>
      </c>
      <c r="O75" s="174" t="s">
        <v>86</v>
      </c>
      <c r="P75" s="10"/>
      <c r="Q75" s="33"/>
      <c r="R75" s="108" t="str">
        <f>VLOOKUP(C75,'Train Runs'!$A$13:$AE$10028,31,0)</f>
        <v>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 &amp; aws s3 cp s3://rtdc.mdm.uploadarchive/RTDC4038/2016-09-15/ "%USERPROFILE%\AppData\Local\Temp\OnboardLogs"\RTDC4038\2016-09-15 --recursive &amp; "%USERPROFILE%\Documents\GitHub\mrs-test-scripts\Headless Mode &amp; Sideloading\WalkAndUnGZ.bat" "%USERPROFILE%\AppData\Local\Temp\OnboardLogs"\RTDC4038\2016-09-15</v>
      </c>
      <c r="S75" s="111" t="str">
        <f>VLOOKUP(C75,'Train Runs'!$A$13:$AE$10028,22,0)</f>
        <v>https://search-rtdc-monitor-bjffxe2xuh6vdkpspy63sjmuny.us-east-1.es.amazonaws.com/_plugin/kibana/#/discover/Steve-Slow-Train-Analysis-(2080s-and-2083s)?_g=(refreshInterval:(display:Off,section:0,value:0),time:(from:'2016-09-14 17:35:18-0600',mode:absolute,to:'2016-09-14 19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75" s="113" t="str">
        <f t="shared" si="13"/>
        <v>"C:\Program Files (x86)\AstroGrep\AstroGrep.exe" /spath="%USERPROFILE%\AppData\Local\Temp\OnboardLogs" /stypes="*4038*201609150*" /stext=" 00:.+((SYSTEM_STATE.+slice.+state.+changed )|(ment ac)|(system.+state.+changed )|(\|lc)|(penalty)|(\[timeout)|(PRM\|1\|D)|(kpr)|(kdp))" /e /r /s</v>
      </c>
      <c r="U75" s="9" t="str">
        <f t="shared" si="8"/>
        <v>4038</v>
      </c>
      <c r="V75" s="38">
        <f t="shared" si="9"/>
        <v>42628.026365740741</v>
      </c>
      <c r="W75" s="52" t="str">
        <f t="shared" si="10"/>
        <v>Other</v>
      </c>
      <c r="X75" s="52" t="str">
        <f t="shared" si="11"/>
        <v>KEEP</v>
      </c>
      <c r="Y75" s="134" t="str">
        <f t="shared" si="14"/>
        <v>echo {"issue":{"subject":"","project_id":79,"tracker_id":40,"status_id":1,"priority_id":2,"assigned_to_id":23,"start_date":"2016-09-14","description":"","custom_fields":[{"id":1,"name":"Subdivision","value":"Other"},{"id":4,"name":"Milepost","value":"0.1692"},{"id":17,"name":"Train ID","value":"67-14"},{"id":16,"name":"Locomotive ID","value":"4038"},{"id":130,"name":"Impact","value":""},{"id":150,"name":"Time of Event (Mountain Time)","value":"18:37:58"},{"id":151,"name":"Denver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B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2016-09-14</v>
      </c>
      <c r="C1" s="176"/>
      <c r="D1" s="176"/>
      <c r="E1" s="176"/>
      <c r="F1" s="176"/>
    </row>
    <row r="2" spans="1:11" s="26" customFormat="1" ht="45" x14ac:dyDescent="0.25">
      <c r="A2" s="170" t="s">
        <v>174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B3" s="2" t="str">
        <f>A3&amp;"-"&amp;IF(DAY(Variables!$A$2)&lt;10,0,"")&amp;DAY(Variables!$A$2)</f>
        <v>-14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-14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-14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-14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-14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-14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-14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-14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297</v>
      </c>
      <c r="B1" s="23" t="s">
        <v>298</v>
      </c>
      <c r="C1" s="23" t="s">
        <v>0</v>
      </c>
      <c r="D1" s="23" t="s">
        <v>299</v>
      </c>
      <c r="E1" s="23" t="s">
        <v>300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42627.035393518519</v>
      </c>
      <c r="B2" s="23" t="s">
        <v>247</v>
      </c>
      <c r="C2" s="23" t="s">
        <v>345</v>
      </c>
      <c r="D2" s="23">
        <v>2230000</v>
      </c>
      <c r="E2" s="23" t="s">
        <v>340</v>
      </c>
      <c r="F2" s="23" t="str">
        <f t="shared" ref="F2:F65" si="0">B2</f>
        <v>rtdc.l.rtdc.4015:itc</v>
      </c>
      <c r="G2" s="8">
        <f t="shared" ref="G2:G65" si="1">A2</f>
        <v>42627.035393518519</v>
      </c>
    </row>
    <row r="3" spans="1:7" x14ac:dyDescent="0.25">
      <c r="A3" s="8">
        <v>42627.047974537039</v>
      </c>
      <c r="B3" s="23" t="s">
        <v>132</v>
      </c>
      <c r="C3" s="23" t="s">
        <v>364</v>
      </c>
      <c r="D3" s="23">
        <v>2220000</v>
      </c>
      <c r="E3" s="23" t="s">
        <v>383</v>
      </c>
      <c r="F3" s="23" t="str">
        <f t="shared" si="0"/>
        <v>rtdc.l.rtdc.4009:itc</v>
      </c>
      <c r="G3" s="8">
        <f t="shared" si="1"/>
        <v>42627.047974537039</v>
      </c>
    </row>
    <row r="4" spans="1:7" x14ac:dyDescent="0.25">
      <c r="A4" s="8">
        <v>42627.06040509259</v>
      </c>
      <c r="B4" s="23" t="s">
        <v>344</v>
      </c>
      <c r="C4" s="23" t="s">
        <v>363</v>
      </c>
      <c r="D4" s="23">
        <v>1800000</v>
      </c>
      <c r="E4" s="23" t="s">
        <v>275</v>
      </c>
      <c r="F4" s="23" t="str">
        <f t="shared" si="0"/>
        <v>rtdc.l.rtdc.4017:itc</v>
      </c>
      <c r="G4" s="8">
        <f t="shared" si="1"/>
        <v>42627.06040509259</v>
      </c>
    </row>
    <row r="5" spans="1:7" x14ac:dyDescent="0.25">
      <c r="A5" s="8">
        <v>42627.068888888891</v>
      </c>
      <c r="B5" s="23" t="s">
        <v>245</v>
      </c>
      <c r="C5" s="23" t="s">
        <v>365</v>
      </c>
      <c r="D5" s="23">
        <v>2230000</v>
      </c>
      <c r="E5" s="23" t="s">
        <v>340</v>
      </c>
      <c r="F5" s="23" t="str">
        <f t="shared" si="0"/>
        <v>rtdc.l.rtdc.4016:itc</v>
      </c>
      <c r="G5" s="8">
        <f t="shared" si="1"/>
        <v>42627.068888888891</v>
      </c>
    </row>
    <row r="6" spans="1:7" x14ac:dyDescent="0.25">
      <c r="A6" s="8">
        <v>42627.094513888886</v>
      </c>
      <c r="B6" s="23" t="s">
        <v>246</v>
      </c>
      <c r="C6" s="23" t="s">
        <v>366</v>
      </c>
      <c r="D6" s="23">
        <v>1800000</v>
      </c>
      <c r="E6" s="23" t="s">
        <v>275</v>
      </c>
      <c r="F6" s="23" t="str">
        <f t="shared" si="0"/>
        <v>rtdc.l.rtdc.4018:itc</v>
      </c>
      <c r="G6" s="8">
        <f t="shared" si="1"/>
        <v>42627.094513888886</v>
      </c>
    </row>
    <row r="7" spans="1:7" x14ac:dyDescent="0.25">
      <c r="A7" s="8">
        <v>42627.136701388888</v>
      </c>
      <c r="B7" s="23" t="s">
        <v>385</v>
      </c>
      <c r="C7" s="23" t="s">
        <v>386</v>
      </c>
      <c r="D7" s="23">
        <v>2010000</v>
      </c>
      <c r="E7" s="23" t="s">
        <v>387</v>
      </c>
      <c r="F7" s="23" t="str">
        <f t="shared" si="0"/>
        <v>rtdc.l.rtdc.4044:itc</v>
      </c>
      <c r="G7" s="8">
        <f t="shared" si="1"/>
        <v>42627.136701388888</v>
      </c>
    </row>
    <row r="8" spans="1:7" x14ac:dyDescent="0.25">
      <c r="A8" s="8">
        <v>42627.137777777774</v>
      </c>
      <c r="B8" s="23" t="s">
        <v>385</v>
      </c>
      <c r="C8" s="23" t="s">
        <v>386</v>
      </c>
      <c r="D8" s="23">
        <v>2010000</v>
      </c>
      <c r="E8" s="23" t="s">
        <v>387</v>
      </c>
      <c r="F8" s="23" t="str">
        <f t="shared" si="0"/>
        <v>rtdc.l.rtdc.4044:itc</v>
      </c>
      <c r="G8" s="8">
        <f t="shared" si="1"/>
        <v>42627.137777777774</v>
      </c>
    </row>
    <row r="9" spans="1:7" ht="15.75" thickBot="1" x14ac:dyDescent="0.3">
      <c r="A9" s="27">
        <v>42627.153877314813</v>
      </c>
      <c r="B9" s="23" t="s">
        <v>301</v>
      </c>
      <c r="C9" s="23" t="s">
        <v>388</v>
      </c>
      <c r="D9" s="23">
        <v>2260000</v>
      </c>
      <c r="E9" s="23" t="s">
        <v>134</v>
      </c>
      <c r="F9" s="23" t="str">
        <f t="shared" si="0"/>
        <v>rtdc.l.rtdc.4027:itc</v>
      </c>
      <c r="G9" s="8">
        <f t="shared" si="1"/>
        <v>42627.153877314813</v>
      </c>
    </row>
    <row r="10" spans="1:7" x14ac:dyDescent="0.25">
      <c r="A10" s="8">
        <v>42627.170682870368</v>
      </c>
      <c r="B10" s="23" t="s">
        <v>107</v>
      </c>
      <c r="C10" s="23" t="s">
        <v>389</v>
      </c>
      <c r="D10" s="23">
        <v>1760000</v>
      </c>
      <c r="E10" s="23" t="s">
        <v>390</v>
      </c>
      <c r="F10" s="23" t="str">
        <f t="shared" si="0"/>
        <v>rtdc.l.rtdc.4014:itc</v>
      </c>
      <c r="G10" s="8">
        <f t="shared" si="1"/>
        <v>42627.170682870368</v>
      </c>
    </row>
    <row r="11" spans="1:7" x14ac:dyDescent="0.25">
      <c r="A11" s="8">
        <v>42627.171712962961</v>
      </c>
      <c r="B11" s="23" t="s">
        <v>391</v>
      </c>
      <c r="C11" s="23" t="s">
        <v>392</v>
      </c>
      <c r="D11" s="23">
        <v>2010000</v>
      </c>
      <c r="E11" s="23" t="s">
        <v>387</v>
      </c>
      <c r="F11" s="23" t="str">
        <f t="shared" si="0"/>
        <v>rtdc.l.rtdc.4004:itc</v>
      </c>
      <c r="G11" s="8">
        <f t="shared" si="1"/>
        <v>42627.171712962961</v>
      </c>
    </row>
    <row r="12" spans="1:7" x14ac:dyDescent="0.25">
      <c r="A12" s="8">
        <v>42627.183645833335</v>
      </c>
      <c r="B12" s="23" t="s">
        <v>343</v>
      </c>
      <c r="C12" s="23" t="s">
        <v>393</v>
      </c>
      <c r="D12" s="23">
        <v>1090000</v>
      </c>
      <c r="E12" s="23" t="s">
        <v>335</v>
      </c>
      <c r="F12" s="23" t="str">
        <f t="shared" si="0"/>
        <v>rtdc.l.rtdc.4053:itc</v>
      </c>
      <c r="G12" s="8">
        <f t="shared" si="1"/>
        <v>42627.183645833335</v>
      </c>
    </row>
    <row r="13" spans="1:7" x14ac:dyDescent="0.25">
      <c r="A13" s="8">
        <v>42627.188900462963</v>
      </c>
      <c r="B13" s="23" t="s">
        <v>248</v>
      </c>
      <c r="C13" s="23" t="s">
        <v>394</v>
      </c>
      <c r="D13" s="23">
        <v>2260000</v>
      </c>
      <c r="E13" s="23" t="s">
        <v>134</v>
      </c>
      <c r="F13" s="23" t="str">
        <f t="shared" si="0"/>
        <v>rtdc.l.rtdc.4037:itc</v>
      </c>
      <c r="G13" s="8">
        <f t="shared" si="1"/>
        <v>42627.188900462963</v>
      </c>
    </row>
    <row r="14" spans="1:7" x14ac:dyDescent="0.25">
      <c r="A14" s="8">
        <v>42627.192303240743</v>
      </c>
      <c r="B14" s="23" t="s">
        <v>267</v>
      </c>
      <c r="C14" s="23" t="s">
        <v>395</v>
      </c>
      <c r="D14" s="23">
        <v>2030000</v>
      </c>
      <c r="E14" s="23" t="s">
        <v>280</v>
      </c>
      <c r="F14" s="23" t="str">
        <f t="shared" si="0"/>
        <v>rtdc.l.rtdc.4040:itc</v>
      </c>
      <c r="G14" s="8">
        <f t="shared" si="1"/>
        <v>42627.192303240743</v>
      </c>
    </row>
    <row r="15" spans="1:7" x14ac:dyDescent="0.25">
      <c r="A15" s="8">
        <v>42627.205324074072</v>
      </c>
      <c r="B15" s="23" t="s">
        <v>385</v>
      </c>
      <c r="C15" s="23" t="s">
        <v>396</v>
      </c>
      <c r="D15" s="23">
        <v>900000</v>
      </c>
      <c r="E15" s="23" t="s">
        <v>336</v>
      </c>
      <c r="F15" s="23" t="str">
        <f t="shared" si="0"/>
        <v>rtdc.l.rtdc.4044:itc</v>
      </c>
      <c r="G15" s="8">
        <f t="shared" si="1"/>
        <v>42627.205324074072</v>
      </c>
    </row>
    <row r="16" spans="1:7" x14ac:dyDescent="0.25">
      <c r="A16" s="8">
        <v>42627.213784722226</v>
      </c>
      <c r="B16" s="23" t="s">
        <v>182</v>
      </c>
      <c r="C16" s="23" t="s">
        <v>397</v>
      </c>
      <c r="D16" s="23">
        <v>1760000</v>
      </c>
      <c r="E16" s="23" t="s">
        <v>390</v>
      </c>
      <c r="F16" s="23" t="str">
        <f t="shared" si="0"/>
        <v>rtdc.l.rtdc.4041:itc</v>
      </c>
      <c r="G16" s="8">
        <f t="shared" si="1"/>
        <v>42627.213784722226</v>
      </c>
    </row>
    <row r="17" spans="1:7" x14ac:dyDescent="0.25">
      <c r="A17" s="8">
        <v>42627.215694444443</v>
      </c>
      <c r="B17" s="23" t="s">
        <v>177</v>
      </c>
      <c r="C17" s="23" t="s">
        <v>398</v>
      </c>
      <c r="D17" s="23">
        <v>1110000</v>
      </c>
      <c r="E17" s="23" t="s">
        <v>302</v>
      </c>
      <c r="F17" s="23" t="str">
        <f t="shared" si="0"/>
        <v>rtdc.l.rtdc.4026:itc</v>
      </c>
      <c r="G17" s="8">
        <f t="shared" si="1"/>
        <v>42627.215694444443</v>
      </c>
    </row>
    <row r="18" spans="1:7" x14ac:dyDescent="0.25">
      <c r="A18" s="8">
        <v>42627.21597222222</v>
      </c>
      <c r="B18" s="23" t="s">
        <v>382</v>
      </c>
      <c r="C18" s="23" t="s">
        <v>399</v>
      </c>
      <c r="D18" s="23">
        <v>2010000</v>
      </c>
      <c r="E18" s="23" t="s">
        <v>387</v>
      </c>
      <c r="F18" s="23" t="str">
        <f t="shared" si="0"/>
        <v>rtdc.l.rtdc.4003:itc</v>
      </c>
      <c r="G18" s="8">
        <f t="shared" si="1"/>
        <v>42627.21597222222</v>
      </c>
    </row>
    <row r="19" spans="1:7" x14ac:dyDescent="0.25">
      <c r="A19" s="8">
        <v>42627.216851851852</v>
      </c>
      <c r="B19" s="23" t="s">
        <v>382</v>
      </c>
      <c r="C19" s="23" t="s">
        <v>399</v>
      </c>
      <c r="D19" s="23">
        <v>2010000</v>
      </c>
      <c r="E19" s="23" t="s">
        <v>387</v>
      </c>
      <c r="F19" s="23" t="str">
        <f t="shared" si="0"/>
        <v>rtdc.l.rtdc.4003:itc</v>
      </c>
      <c r="G19" s="8">
        <f t="shared" si="1"/>
        <v>42627.216851851852</v>
      </c>
    </row>
    <row r="20" spans="1:7" x14ac:dyDescent="0.25">
      <c r="A20" s="8">
        <v>42627.216851851852</v>
      </c>
      <c r="B20" s="23" t="s">
        <v>177</v>
      </c>
      <c r="C20" s="23" t="s">
        <v>400</v>
      </c>
      <c r="D20" s="23">
        <v>1110000</v>
      </c>
      <c r="E20" s="23" t="s">
        <v>302</v>
      </c>
      <c r="F20" s="23" t="str">
        <f t="shared" si="0"/>
        <v>rtdc.l.rtdc.4026:itc</v>
      </c>
      <c r="G20" s="8">
        <f t="shared" si="1"/>
        <v>42627.216851851852</v>
      </c>
    </row>
    <row r="21" spans="1:7" x14ac:dyDescent="0.25">
      <c r="A21" s="8">
        <v>42627.217615740738</v>
      </c>
      <c r="B21" s="23" t="s">
        <v>177</v>
      </c>
      <c r="C21" s="23" t="s">
        <v>400</v>
      </c>
      <c r="D21" s="23">
        <v>1110000</v>
      </c>
      <c r="E21" s="23" t="s">
        <v>302</v>
      </c>
      <c r="F21" s="23" t="str">
        <f t="shared" si="0"/>
        <v>rtdc.l.rtdc.4026:itc</v>
      </c>
      <c r="G21" s="8">
        <f t="shared" si="1"/>
        <v>42627.217615740738</v>
      </c>
    </row>
    <row r="22" spans="1:7" x14ac:dyDescent="0.25">
      <c r="A22" s="29">
        <v>42627.218275462961</v>
      </c>
      <c r="B22" s="23" t="s">
        <v>177</v>
      </c>
      <c r="C22" s="23" t="s">
        <v>400</v>
      </c>
      <c r="D22" s="23">
        <v>1110000</v>
      </c>
      <c r="E22" s="23" t="s">
        <v>302</v>
      </c>
      <c r="F22" s="23" t="str">
        <f t="shared" si="0"/>
        <v>rtdc.l.rtdc.4026:itc</v>
      </c>
      <c r="G22" s="8">
        <f t="shared" si="1"/>
        <v>42627.218275462961</v>
      </c>
    </row>
    <row r="23" spans="1:7" x14ac:dyDescent="0.25">
      <c r="A23" s="8">
        <v>42627.219814814816</v>
      </c>
      <c r="B23" s="23" t="s">
        <v>177</v>
      </c>
      <c r="C23" s="23" t="s">
        <v>400</v>
      </c>
      <c r="D23" s="23">
        <v>1110000</v>
      </c>
      <c r="E23" s="23" t="s">
        <v>302</v>
      </c>
      <c r="F23" s="23" t="str">
        <f t="shared" si="0"/>
        <v>rtdc.l.rtdc.4026:itc</v>
      </c>
      <c r="G23" s="8">
        <f t="shared" si="1"/>
        <v>42627.219814814816</v>
      </c>
    </row>
    <row r="24" spans="1:7" x14ac:dyDescent="0.25">
      <c r="A24" s="8">
        <v>42627.222326388888</v>
      </c>
      <c r="B24" s="23" t="s">
        <v>342</v>
      </c>
      <c r="C24" s="23" t="s">
        <v>401</v>
      </c>
      <c r="D24" s="23">
        <v>1090000</v>
      </c>
      <c r="E24" s="23" t="s">
        <v>335</v>
      </c>
      <c r="F24" s="23" t="str">
        <f t="shared" si="0"/>
        <v>rtdc.l.rtdc.4054:itc</v>
      </c>
      <c r="G24" s="8">
        <f t="shared" si="1"/>
        <v>42627.222326388888</v>
      </c>
    </row>
    <row r="25" spans="1:7" x14ac:dyDescent="0.25">
      <c r="A25" s="8">
        <v>42627.223483796297</v>
      </c>
      <c r="B25" s="23" t="s">
        <v>342</v>
      </c>
      <c r="C25" s="23" t="s">
        <v>401</v>
      </c>
      <c r="D25" s="23">
        <v>1090000</v>
      </c>
      <c r="E25" s="23" t="s">
        <v>335</v>
      </c>
      <c r="F25" s="23" t="str">
        <f t="shared" si="0"/>
        <v>rtdc.l.rtdc.4054:itc</v>
      </c>
      <c r="G25" s="8">
        <f t="shared" si="1"/>
        <v>42627.223483796297</v>
      </c>
    </row>
    <row r="26" spans="1:7" x14ac:dyDescent="0.25">
      <c r="A26" s="8">
        <v>42627.227777777778</v>
      </c>
      <c r="B26" s="23" t="s">
        <v>301</v>
      </c>
      <c r="C26" s="23" t="s">
        <v>402</v>
      </c>
      <c r="D26" s="23">
        <v>2380000</v>
      </c>
      <c r="E26" s="23" t="s">
        <v>334</v>
      </c>
      <c r="F26" s="23" t="str">
        <f t="shared" si="0"/>
        <v>rtdc.l.rtdc.4027:itc</v>
      </c>
      <c r="G26" s="8">
        <f t="shared" si="1"/>
        <v>42627.227777777778</v>
      </c>
    </row>
    <row r="27" spans="1:7" x14ac:dyDescent="0.25">
      <c r="A27" s="8">
        <v>42627.230393518519</v>
      </c>
      <c r="B27" s="23" t="s">
        <v>249</v>
      </c>
      <c r="C27" s="23" t="s">
        <v>403</v>
      </c>
      <c r="D27" s="23">
        <v>2030000</v>
      </c>
      <c r="E27" s="23" t="s">
        <v>280</v>
      </c>
      <c r="F27" s="23" t="str">
        <f t="shared" si="0"/>
        <v>rtdc.l.rtdc.4039:itc</v>
      </c>
      <c r="G27" s="8">
        <f t="shared" si="1"/>
        <v>42627.230393518519</v>
      </c>
    </row>
    <row r="28" spans="1:7" x14ac:dyDescent="0.25">
      <c r="A28" s="8">
        <v>42627.234224537038</v>
      </c>
      <c r="B28" s="23" t="s">
        <v>130</v>
      </c>
      <c r="C28" s="23" t="s">
        <v>404</v>
      </c>
      <c r="D28" s="23">
        <v>2260000</v>
      </c>
      <c r="E28" s="23" t="s">
        <v>134</v>
      </c>
      <c r="F28" s="23" t="str">
        <f t="shared" si="0"/>
        <v>rtdc.l.rtdc.4038:itc</v>
      </c>
      <c r="G28" s="8">
        <f t="shared" si="1"/>
        <v>42627.234224537038</v>
      </c>
    </row>
    <row r="29" spans="1:7" x14ac:dyDescent="0.25">
      <c r="A29" s="8">
        <v>42627.241898148146</v>
      </c>
      <c r="B29" s="23" t="s">
        <v>176</v>
      </c>
      <c r="C29" s="23" t="s">
        <v>398</v>
      </c>
      <c r="D29" s="23">
        <v>1110000</v>
      </c>
      <c r="E29" s="23" t="s">
        <v>302</v>
      </c>
      <c r="F29" s="23" t="str">
        <f t="shared" si="0"/>
        <v>rtdc.l.rtdc.4025:itc</v>
      </c>
      <c r="G29" s="8">
        <f t="shared" si="1"/>
        <v>42627.241898148146</v>
      </c>
    </row>
    <row r="30" spans="1:7" x14ac:dyDescent="0.25">
      <c r="A30" s="8">
        <v>42627.246157407404</v>
      </c>
      <c r="B30" s="23" t="s">
        <v>405</v>
      </c>
      <c r="C30" s="23" t="s">
        <v>406</v>
      </c>
      <c r="D30" s="23">
        <v>900000</v>
      </c>
      <c r="E30" s="23" t="s">
        <v>336</v>
      </c>
      <c r="F30" s="23" t="str">
        <f t="shared" si="0"/>
        <v>rtdc.l.rtdc.4043:itc</v>
      </c>
      <c r="G30" s="8">
        <f t="shared" si="1"/>
        <v>42627.246157407404</v>
      </c>
    </row>
    <row r="31" spans="1:7" x14ac:dyDescent="0.25">
      <c r="A31" s="8">
        <v>42627.248888888891</v>
      </c>
      <c r="B31" s="23" t="s">
        <v>107</v>
      </c>
      <c r="C31" s="23" t="s">
        <v>407</v>
      </c>
      <c r="D31" s="23">
        <v>1760000</v>
      </c>
      <c r="E31" s="23" t="s">
        <v>390</v>
      </c>
      <c r="F31" s="23" t="str">
        <f t="shared" si="0"/>
        <v>rtdc.l.rtdc.4014:itc</v>
      </c>
      <c r="G31" s="8">
        <f t="shared" si="1"/>
        <v>42627.248888888891</v>
      </c>
    </row>
    <row r="32" spans="1:7" x14ac:dyDescent="0.25">
      <c r="A32" s="8">
        <v>42627.254826388889</v>
      </c>
      <c r="B32" s="23" t="s">
        <v>391</v>
      </c>
      <c r="C32" s="23" t="s">
        <v>408</v>
      </c>
      <c r="D32" s="23">
        <v>2010000</v>
      </c>
      <c r="E32" s="23" t="s">
        <v>387</v>
      </c>
      <c r="F32" s="23" t="str">
        <f t="shared" si="0"/>
        <v>rtdc.l.rtdc.4004:itc</v>
      </c>
      <c r="G32" s="8">
        <f t="shared" si="1"/>
        <v>42627.254826388889</v>
      </c>
    </row>
    <row r="33" spans="1:7" x14ac:dyDescent="0.25">
      <c r="A33" s="8">
        <v>42627.254861111112</v>
      </c>
      <c r="B33" s="23" t="s">
        <v>177</v>
      </c>
      <c r="C33" s="23" t="s">
        <v>409</v>
      </c>
      <c r="D33" s="23">
        <v>1110000</v>
      </c>
      <c r="E33" s="23" t="s">
        <v>302</v>
      </c>
      <c r="F33" s="23" t="str">
        <f t="shared" si="0"/>
        <v>rtdc.l.rtdc.4026:itc</v>
      </c>
      <c r="G33" s="8">
        <f t="shared" si="1"/>
        <v>42627.254861111112</v>
      </c>
    </row>
    <row r="34" spans="1:7" x14ac:dyDescent="0.25">
      <c r="A34" s="8">
        <v>42627.257395833331</v>
      </c>
      <c r="B34" s="23" t="s">
        <v>169</v>
      </c>
      <c r="C34" s="23" t="s">
        <v>410</v>
      </c>
      <c r="D34" s="23">
        <v>2360000</v>
      </c>
      <c r="E34" s="23" t="s">
        <v>380</v>
      </c>
      <c r="F34" s="23" t="str">
        <f t="shared" si="0"/>
        <v>rtdc.l.rtdc.4020:itc</v>
      </c>
      <c r="G34" s="8">
        <f t="shared" si="1"/>
        <v>42627.257395833331</v>
      </c>
    </row>
    <row r="35" spans="1:7" x14ac:dyDescent="0.25">
      <c r="A35" s="8">
        <v>42627.257708333331</v>
      </c>
      <c r="B35" s="23" t="s">
        <v>343</v>
      </c>
      <c r="C35" s="23" t="s">
        <v>411</v>
      </c>
      <c r="D35" s="23">
        <v>1090000</v>
      </c>
      <c r="E35" s="23" t="s">
        <v>335</v>
      </c>
      <c r="F35" s="23" t="str">
        <f t="shared" si="0"/>
        <v>rtdc.l.rtdc.4053:itc</v>
      </c>
      <c r="G35" s="8">
        <f t="shared" si="1"/>
        <v>42627.257708333331</v>
      </c>
    </row>
    <row r="36" spans="1:7" x14ac:dyDescent="0.25">
      <c r="A36" s="8">
        <v>42627.26190972222</v>
      </c>
      <c r="B36" s="23" t="s">
        <v>270</v>
      </c>
      <c r="C36" s="23" t="s">
        <v>412</v>
      </c>
      <c r="D36" s="23">
        <v>2380000</v>
      </c>
      <c r="E36" s="23" t="s">
        <v>334</v>
      </c>
      <c r="F36" s="23" t="str">
        <f t="shared" si="0"/>
        <v>rtdc.l.rtdc.4028:itc</v>
      </c>
      <c r="G36" s="8">
        <f t="shared" si="1"/>
        <v>42627.26190972222</v>
      </c>
    </row>
    <row r="37" spans="1:7" x14ac:dyDescent="0.25">
      <c r="A37" s="8">
        <v>42627.266481481478</v>
      </c>
      <c r="B37" s="23" t="s">
        <v>267</v>
      </c>
      <c r="C37" s="23" t="s">
        <v>413</v>
      </c>
      <c r="D37" s="23">
        <v>2030000</v>
      </c>
      <c r="E37" s="23" t="s">
        <v>280</v>
      </c>
      <c r="F37" s="23" t="str">
        <f t="shared" si="0"/>
        <v>rtdc.l.rtdc.4040:itc</v>
      </c>
      <c r="G37" s="8">
        <f t="shared" si="1"/>
        <v>42627.266481481478</v>
      </c>
    </row>
    <row r="38" spans="1:7" x14ac:dyDescent="0.25">
      <c r="A38" s="8">
        <v>42627.273946759262</v>
      </c>
      <c r="B38" s="23" t="s">
        <v>248</v>
      </c>
      <c r="C38" s="23" t="s">
        <v>414</v>
      </c>
      <c r="D38" s="23">
        <v>2260000</v>
      </c>
      <c r="E38" s="23" t="s">
        <v>134</v>
      </c>
      <c r="F38" s="23" t="str">
        <f t="shared" si="0"/>
        <v>rtdc.l.rtdc.4037:itc</v>
      </c>
      <c r="G38" s="8">
        <f t="shared" si="1"/>
        <v>42627.273946759262</v>
      </c>
    </row>
    <row r="39" spans="1:7" x14ac:dyDescent="0.25">
      <c r="A39" s="8">
        <v>42627.276909722219</v>
      </c>
      <c r="B39" s="23" t="s">
        <v>168</v>
      </c>
      <c r="C39" s="23" t="s">
        <v>415</v>
      </c>
      <c r="D39" s="23">
        <v>2360000</v>
      </c>
      <c r="E39" s="23" t="s">
        <v>380</v>
      </c>
      <c r="F39" s="23" t="str">
        <f t="shared" si="0"/>
        <v>rtdc.l.rtdc.4019:itc</v>
      </c>
      <c r="G39" s="8">
        <f t="shared" si="1"/>
        <v>42627.276909722219</v>
      </c>
    </row>
    <row r="40" spans="1:7" x14ac:dyDescent="0.25">
      <c r="A40" s="8">
        <v>42627.277685185189</v>
      </c>
      <c r="B40" s="28" t="s">
        <v>385</v>
      </c>
      <c r="C40" s="23" t="s">
        <v>416</v>
      </c>
      <c r="D40" s="23">
        <v>900000</v>
      </c>
      <c r="E40" s="23" t="s">
        <v>336</v>
      </c>
      <c r="F40" s="23" t="str">
        <f t="shared" si="0"/>
        <v>rtdc.l.rtdc.4044:itc</v>
      </c>
      <c r="G40" s="8">
        <f t="shared" si="1"/>
        <v>42627.277685185189</v>
      </c>
    </row>
    <row r="41" spans="1:7" x14ac:dyDescent="0.25">
      <c r="A41" s="8">
        <v>42627.284317129626</v>
      </c>
      <c r="B41" s="23" t="s">
        <v>176</v>
      </c>
      <c r="C41" s="23" t="s">
        <v>417</v>
      </c>
      <c r="D41" s="23">
        <v>1110000</v>
      </c>
      <c r="E41" s="23" t="s">
        <v>302</v>
      </c>
      <c r="F41" s="23" t="str">
        <f t="shared" si="0"/>
        <v>rtdc.l.rtdc.4025:itc</v>
      </c>
      <c r="G41" s="8">
        <f t="shared" si="1"/>
        <v>42627.284317129626</v>
      </c>
    </row>
    <row r="42" spans="1:7" x14ac:dyDescent="0.25">
      <c r="A42" s="8">
        <v>42627.285173611112</v>
      </c>
      <c r="B42" s="23" t="s">
        <v>276</v>
      </c>
      <c r="C42" s="23" t="s">
        <v>418</v>
      </c>
      <c r="D42" s="23">
        <v>1760000</v>
      </c>
      <c r="E42" s="23" t="s">
        <v>390</v>
      </c>
      <c r="F42" s="23" t="str">
        <f t="shared" si="0"/>
        <v>rtdc.l.rtdc.4013:itc</v>
      </c>
      <c r="G42" s="8">
        <f t="shared" si="1"/>
        <v>42627.285173611112</v>
      </c>
    </row>
    <row r="43" spans="1:7" x14ac:dyDescent="0.25">
      <c r="A43" s="8">
        <v>42627.285682870373</v>
      </c>
      <c r="B43" s="23" t="s">
        <v>176</v>
      </c>
      <c r="C43" s="23" t="s">
        <v>417</v>
      </c>
      <c r="D43" s="23">
        <v>1110000</v>
      </c>
      <c r="E43" s="23" t="s">
        <v>302</v>
      </c>
      <c r="F43" s="23" t="str">
        <f t="shared" si="0"/>
        <v>rtdc.l.rtdc.4025:itc</v>
      </c>
      <c r="G43" s="8">
        <f t="shared" si="1"/>
        <v>42627.285682870373</v>
      </c>
    </row>
    <row r="44" spans="1:7" x14ac:dyDescent="0.25">
      <c r="A44" s="8">
        <v>42627.288414351853</v>
      </c>
      <c r="B44" s="23" t="s">
        <v>382</v>
      </c>
      <c r="C44" s="23" t="s">
        <v>419</v>
      </c>
      <c r="D44" s="23">
        <v>2010000</v>
      </c>
      <c r="E44" s="23" t="s">
        <v>387</v>
      </c>
      <c r="F44" s="23" t="str">
        <f t="shared" si="0"/>
        <v>rtdc.l.rtdc.4003:itc</v>
      </c>
      <c r="G44" s="8">
        <f t="shared" si="1"/>
        <v>42627.288414351853</v>
      </c>
    </row>
    <row r="45" spans="1:7" x14ac:dyDescent="0.25">
      <c r="A45" s="8">
        <v>42627.292314814818</v>
      </c>
      <c r="B45" s="23" t="s">
        <v>342</v>
      </c>
      <c r="C45" s="23" t="s">
        <v>420</v>
      </c>
      <c r="D45" s="23">
        <v>1090000</v>
      </c>
      <c r="E45" s="23" t="s">
        <v>335</v>
      </c>
      <c r="F45" s="23" t="str">
        <f t="shared" si="0"/>
        <v>rtdc.l.rtdc.4054:itc</v>
      </c>
      <c r="G45" s="8">
        <f t="shared" si="1"/>
        <v>42627.292314814818</v>
      </c>
    </row>
    <row r="46" spans="1:7" x14ac:dyDescent="0.25">
      <c r="A46" s="8">
        <v>42627.293761574074</v>
      </c>
      <c r="B46" s="23" t="s">
        <v>169</v>
      </c>
      <c r="C46" s="23" t="s">
        <v>421</v>
      </c>
      <c r="D46" s="23">
        <v>2360000</v>
      </c>
      <c r="E46" s="23" t="s">
        <v>380</v>
      </c>
      <c r="F46" s="23" t="str">
        <f t="shared" si="0"/>
        <v>rtdc.l.rtdc.4020:itc</v>
      </c>
      <c r="G46" s="8">
        <f t="shared" si="1"/>
        <v>42627.293761574074</v>
      </c>
    </row>
    <row r="47" spans="1:7" x14ac:dyDescent="0.25">
      <c r="A47" s="8">
        <v>42627.296377314815</v>
      </c>
      <c r="B47" s="23" t="s">
        <v>177</v>
      </c>
      <c r="C47" s="23" t="s">
        <v>417</v>
      </c>
      <c r="D47" s="23">
        <v>1110000</v>
      </c>
      <c r="E47" s="23" t="s">
        <v>302</v>
      </c>
      <c r="F47" s="23" t="str">
        <f t="shared" si="0"/>
        <v>rtdc.l.rtdc.4026:itc</v>
      </c>
      <c r="G47" s="8">
        <f t="shared" si="1"/>
        <v>42627.296377314815</v>
      </c>
    </row>
    <row r="48" spans="1:7" x14ac:dyDescent="0.25">
      <c r="A48" s="8">
        <v>42627.297164351854</v>
      </c>
      <c r="B48" s="23" t="s">
        <v>177</v>
      </c>
      <c r="C48" s="23" t="s">
        <v>422</v>
      </c>
      <c r="D48" s="23">
        <v>1110000</v>
      </c>
      <c r="E48" s="23" t="s">
        <v>302</v>
      </c>
      <c r="F48" s="23" t="str">
        <f t="shared" si="0"/>
        <v>rtdc.l.rtdc.4026:itc</v>
      </c>
      <c r="G48" s="8">
        <f t="shared" si="1"/>
        <v>42627.297164351854</v>
      </c>
    </row>
    <row r="49" spans="1:7" x14ac:dyDescent="0.25">
      <c r="A49" s="8">
        <v>42627.299456018518</v>
      </c>
      <c r="B49" s="23" t="s">
        <v>301</v>
      </c>
      <c r="C49" s="23" t="s">
        <v>423</v>
      </c>
      <c r="D49" s="23">
        <v>2380000</v>
      </c>
      <c r="E49" s="23" t="s">
        <v>334</v>
      </c>
      <c r="F49" s="23" t="str">
        <f t="shared" si="0"/>
        <v>rtdc.l.rtdc.4027:itc</v>
      </c>
      <c r="G49" s="8">
        <f t="shared" si="1"/>
        <v>42627.299456018518</v>
      </c>
    </row>
    <row r="50" spans="1:7" x14ac:dyDescent="0.25">
      <c r="A50" s="8">
        <v>42627.306180555555</v>
      </c>
      <c r="B50" s="23" t="s">
        <v>249</v>
      </c>
      <c r="C50" s="23" t="s">
        <v>424</v>
      </c>
      <c r="D50" s="23">
        <v>2030000</v>
      </c>
      <c r="E50" s="23" t="s">
        <v>280</v>
      </c>
      <c r="F50" s="23" t="str">
        <f t="shared" si="0"/>
        <v>rtdc.l.rtdc.4039:itc</v>
      </c>
      <c r="G50" s="8">
        <f t="shared" si="1"/>
        <v>42627.306180555555</v>
      </c>
    </row>
    <row r="51" spans="1:7" x14ac:dyDescent="0.25">
      <c r="A51" s="8">
        <v>42627.31417824074</v>
      </c>
      <c r="B51" s="23" t="s">
        <v>130</v>
      </c>
      <c r="C51" s="23" t="s">
        <v>425</v>
      </c>
      <c r="D51" s="23">
        <v>2260000</v>
      </c>
      <c r="E51" s="23" t="s">
        <v>134</v>
      </c>
      <c r="F51" s="23" t="str">
        <f t="shared" si="0"/>
        <v>rtdc.l.rtdc.4038:itc</v>
      </c>
      <c r="G51" s="8">
        <f t="shared" si="1"/>
        <v>42627.31417824074</v>
      </c>
    </row>
    <row r="52" spans="1:7" x14ac:dyDescent="0.25">
      <c r="A52" s="8">
        <v>42627.318715277775</v>
      </c>
      <c r="B52" s="23" t="s">
        <v>168</v>
      </c>
      <c r="C52" s="23" t="s">
        <v>426</v>
      </c>
      <c r="D52" s="23">
        <v>2360000</v>
      </c>
      <c r="E52" s="23" t="s">
        <v>380</v>
      </c>
      <c r="F52" s="23" t="str">
        <f t="shared" si="0"/>
        <v>rtdc.l.rtdc.4019:itc</v>
      </c>
      <c r="G52" s="8">
        <f t="shared" si="1"/>
        <v>42627.318715277775</v>
      </c>
    </row>
    <row r="53" spans="1:7" x14ac:dyDescent="0.25">
      <c r="A53" s="8">
        <v>42627.319467592592</v>
      </c>
      <c r="B53" s="23" t="s">
        <v>405</v>
      </c>
      <c r="C53" s="23" t="s">
        <v>427</v>
      </c>
      <c r="D53" s="23">
        <v>900000</v>
      </c>
      <c r="E53" s="23" t="s">
        <v>336</v>
      </c>
      <c r="F53" s="23" t="str">
        <f t="shared" si="0"/>
        <v>rtdc.l.rtdc.4043:itc</v>
      </c>
      <c r="G53" s="8">
        <f t="shared" si="1"/>
        <v>42627.319467592592</v>
      </c>
    </row>
    <row r="54" spans="1:7" x14ac:dyDescent="0.25">
      <c r="A54" s="8">
        <v>42627.322175925925</v>
      </c>
      <c r="B54" s="23" t="s">
        <v>107</v>
      </c>
      <c r="C54" s="23" t="s">
        <v>428</v>
      </c>
      <c r="D54" s="23">
        <v>1760000</v>
      </c>
      <c r="E54" s="23" t="s">
        <v>390</v>
      </c>
      <c r="F54" s="23" t="str">
        <f t="shared" si="0"/>
        <v>rtdc.l.rtdc.4014:itc</v>
      </c>
      <c r="G54" s="8">
        <f t="shared" si="1"/>
        <v>42627.322175925925</v>
      </c>
    </row>
    <row r="55" spans="1:7" x14ac:dyDescent="0.25">
      <c r="A55" s="8">
        <v>42627.325312499997</v>
      </c>
      <c r="B55" s="23" t="s">
        <v>176</v>
      </c>
      <c r="C55" s="23" t="s">
        <v>429</v>
      </c>
      <c r="D55" s="23">
        <v>1110000</v>
      </c>
      <c r="E55" s="23" t="s">
        <v>302</v>
      </c>
      <c r="F55" s="23" t="str">
        <f t="shared" si="0"/>
        <v>rtdc.l.rtdc.4025:itc</v>
      </c>
      <c r="G55" s="8">
        <f t="shared" si="1"/>
        <v>42627.325312499997</v>
      </c>
    </row>
    <row r="56" spans="1:7" x14ac:dyDescent="0.25">
      <c r="A56" s="8">
        <v>42627.328518518516</v>
      </c>
      <c r="B56" s="23" t="s">
        <v>391</v>
      </c>
      <c r="C56" s="23" t="s">
        <v>430</v>
      </c>
      <c r="D56" s="23">
        <v>2010000</v>
      </c>
      <c r="E56" s="23" t="s">
        <v>387</v>
      </c>
      <c r="F56" s="23" t="str">
        <f t="shared" si="0"/>
        <v>rtdc.l.rtdc.4004:itc</v>
      </c>
      <c r="G56" s="8">
        <f t="shared" si="1"/>
        <v>42627.328518518516</v>
      </c>
    </row>
    <row r="57" spans="1:7" x14ac:dyDescent="0.25">
      <c r="A57" s="8">
        <v>42627.331446759257</v>
      </c>
      <c r="B57" s="23" t="s">
        <v>343</v>
      </c>
      <c r="C57" s="23" t="s">
        <v>431</v>
      </c>
      <c r="D57" s="23">
        <v>1090000</v>
      </c>
      <c r="E57" s="23" t="s">
        <v>335</v>
      </c>
      <c r="F57" s="23" t="str">
        <f t="shared" si="0"/>
        <v>rtdc.l.rtdc.4053:itc</v>
      </c>
      <c r="G57" s="8">
        <f t="shared" si="1"/>
        <v>42627.331446759257</v>
      </c>
    </row>
    <row r="58" spans="1:7" x14ac:dyDescent="0.25">
      <c r="A58" s="8">
        <v>42627.337210648147</v>
      </c>
      <c r="B58" s="23" t="s">
        <v>169</v>
      </c>
      <c r="C58" s="23" t="s">
        <v>432</v>
      </c>
      <c r="D58" s="23">
        <v>2360000</v>
      </c>
      <c r="E58" s="23" t="s">
        <v>380</v>
      </c>
      <c r="F58" s="23" t="str">
        <f t="shared" si="0"/>
        <v>rtdc.l.rtdc.4020:itc</v>
      </c>
      <c r="G58" s="8">
        <f t="shared" si="1"/>
        <v>42627.337210648147</v>
      </c>
    </row>
    <row r="59" spans="1:7" x14ac:dyDescent="0.25">
      <c r="A59" s="8">
        <v>42627.337280092594</v>
      </c>
      <c r="B59" s="23" t="s">
        <v>270</v>
      </c>
      <c r="C59" s="23" t="s">
        <v>433</v>
      </c>
      <c r="D59" s="23">
        <v>2380000</v>
      </c>
      <c r="E59" s="23" t="s">
        <v>334</v>
      </c>
      <c r="F59" s="23" t="str">
        <f t="shared" si="0"/>
        <v>rtdc.l.rtdc.4028:itc</v>
      </c>
      <c r="G59" s="8">
        <f t="shared" si="1"/>
        <v>42627.337280092594</v>
      </c>
    </row>
    <row r="60" spans="1:7" x14ac:dyDescent="0.25">
      <c r="A60" s="8">
        <v>42627.337407407409</v>
      </c>
      <c r="B60" s="23" t="s">
        <v>177</v>
      </c>
      <c r="C60" s="23" t="s">
        <v>434</v>
      </c>
      <c r="D60" s="23">
        <v>1110000</v>
      </c>
      <c r="E60" s="23" t="s">
        <v>302</v>
      </c>
      <c r="F60" s="23" t="str">
        <f t="shared" si="0"/>
        <v>rtdc.l.rtdc.4026:itc</v>
      </c>
      <c r="G60" s="8">
        <f t="shared" si="1"/>
        <v>42627.337407407409</v>
      </c>
    </row>
    <row r="61" spans="1:7" x14ac:dyDescent="0.25">
      <c r="A61" s="8">
        <v>42627.342256944445</v>
      </c>
      <c r="B61" s="23" t="s">
        <v>267</v>
      </c>
      <c r="C61" s="23" t="s">
        <v>435</v>
      </c>
      <c r="D61" s="23">
        <v>2030000</v>
      </c>
      <c r="E61" s="23" t="s">
        <v>280</v>
      </c>
      <c r="F61" s="23" t="str">
        <f t="shared" si="0"/>
        <v>rtdc.l.rtdc.4040:itc</v>
      </c>
      <c r="G61" s="8">
        <f t="shared" si="1"/>
        <v>42627.342256944445</v>
      </c>
    </row>
    <row r="62" spans="1:7" x14ac:dyDescent="0.25">
      <c r="A62" s="8">
        <v>42627.350335648145</v>
      </c>
      <c r="B62" s="23" t="s">
        <v>248</v>
      </c>
      <c r="C62" s="23" t="s">
        <v>436</v>
      </c>
      <c r="D62" s="23">
        <v>2260000</v>
      </c>
      <c r="E62" s="23" t="s">
        <v>134</v>
      </c>
      <c r="F62" s="23" t="str">
        <f t="shared" si="0"/>
        <v>rtdc.l.rtdc.4037:itc</v>
      </c>
      <c r="G62" s="8">
        <f t="shared" si="1"/>
        <v>42627.350335648145</v>
      </c>
    </row>
    <row r="63" spans="1:7" x14ac:dyDescent="0.25">
      <c r="A63" s="8">
        <v>42627.353101851855</v>
      </c>
      <c r="B63" s="23" t="s">
        <v>385</v>
      </c>
      <c r="C63" s="23" t="s">
        <v>437</v>
      </c>
      <c r="D63" s="23">
        <v>900000</v>
      </c>
      <c r="E63" s="23" t="s">
        <v>336</v>
      </c>
      <c r="F63" s="23" t="str">
        <f t="shared" si="0"/>
        <v>rtdc.l.rtdc.4044:itc</v>
      </c>
      <c r="G63" s="8">
        <f t="shared" si="1"/>
        <v>42627.353101851855</v>
      </c>
    </row>
    <row r="64" spans="1:7" x14ac:dyDescent="0.25">
      <c r="A64" s="29">
        <v>42627.354953703703</v>
      </c>
      <c r="B64" s="23" t="s">
        <v>176</v>
      </c>
      <c r="C64" s="23" t="s">
        <v>438</v>
      </c>
      <c r="D64" s="23">
        <v>1110000</v>
      </c>
      <c r="E64" s="23" t="s">
        <v>302</v>
      </c>
      <c r="F64" s="23" t="str">
        <f t="shared" si="0"/>
        <v>rtdc.l.rtdc.4025:itc</v>
      </c>
      <c r="G64" s="8">
        <f t="shared" si="1"/>
        <v>42627.354953703703</v>
      </c>
    </row>
    <row r="65" spans="1:7" x14ac:dyDescent="0.25">
      <c r="A65" s="8">
        <v>42627.359918981485</v>
      </c>
      <c r="B65" s="23" t="s">
        <v>276</v>
      </c>
      <c r="C65" s="23" t="s">
        <v>439</v>
      </c>
      <c r="D65" s="23">
        <v>1760000</v>
      </c>
      <c r="E65" s="23" t="s">
        <v>390</v>
      </c>
      <c r="F65" s="23" t="str">
        <f t="shared" si="0"/>
        <v>rtdc.l.rtdc.4013:itc</v>
      </c>
      <c r="G65" s="8">
        <f t="shared" si="1"/>
        <v>42627.359918981485</v>
      </c>
    </row>
    <row r="66" spans="1:7" x14ac:dyDescent="0.25">
      <c r="A66" s="8">
        <v>42627.360219907408</v>
      </c>
      <c r="B66" s="23" t="s">
        <v>184</v>
      </c>
      <c r="C66" s="23" t="s">
        <v>440</v>
      </c>
      <c r="D66" s="23">
        <v>2010000</v>
      </c>
      <c r="E66" s="23" t="s">
        <v>387</v>
      </c>
      <c r="F66" s="23" t="str">
        <f t="shared" ref="F66:F129" si="2">B66</f>
        <v>rtdc.l.rtdc.4042:itc</v>
      </c>
      <c r="G66" s="8">
        <f t="shared" ref="G66:G129" si="3">A66</f>
        <v>42627.360219907408</v>
      </c>
    </row>
    <row r="67" spans="1:7" x14ac:dyDescent="0.25">
      <c r="A67" s="8">
        <v>42627.360381944447</v>
      </c>
      <c r="B67" s="23" t="s">
        <v>168</v>
      </c>
      <c r="C67" s="23" t="s">
        <v>441</v>
      </c>
      <c r="D67" s="23">
        <v>2360000</v>
      </c>
      <c r="E67" s="23" t="s">
        <v>380</v>
      </c>
      <c r="F67" s="23" t="str">
        <f t="shared" si="2"/>
        <v>rtdc.l.rtdc.4019:itc</v>
      </c>
      <c r="G67" s="8">
        <f t="shared" si="3"/>
        <v>42627.360381944447</v>
      </c>
    </row>
    <row r="68" spans="1:7" x14ac:dyDescent="0.25">
      <c r="A68" s="8">
        <v>42627.365682870368</v>
      </c>
      <c r="B68" s="23" t="s">
        <v>270</v>
      </c>
      <c r="C68" s="23" t="s">
        <v>433</v>
      </c>
      <c r="D68" s="23">
        <v>2380000</v>
      </c>
      <c r="E68" s="23" t="s">
        <v>334</v>
      </c>
      <c r="F68" s="23" t="str">
        <f t="shared" si="2"/>
        <v>rtdc.l.rtdc.4028:itc</v>
      </c>
      <c r="G68" s="8">
        <f t="shared" si="3"/>
        <v>42627.365682870368</v>
      </c>
    </row>
    <row r="69" spans="1:7" x14ac:dyDescent="0.25">
      <c r="A69" s="8">
        <v>42627.368020833332</v>
      </c>
      <c r="B69" s="23" t="s">
        <v>342</v>
      </c>
      <c r="C69" s="23" t="s">
        <v>442</v>
      </c>
      <c r="D69" s="23">
        <v>1090000</v>
      </c>
      <c r="E69" s="23" t="s">
        <v>335</v>
      </c>
      <c r="F69" s="23" t="str">
        <f t="shared" si="2"/>
        <v>rtdc.l.rtdc.4054:itc</v>
      </c>
      <c r="G69" s="8">
        <f t="shared" si="3"/>
        <v>42627.368020833332</v>
      </c>
    </row>
    <row r="70" spans="1:7" x14ac:dyDescent="0.25">
      <c r="A70" s="8">
        <v>42627.377268518518</v>
      </c>
      <c r="B70" s="23" t="s">
        <v>301</v>
      </c>
      <c r="C70" s="23" t="s">
        <v>443</v>
      </c>
      <c r="D70" s="23">
        <v>2380000</v>
      </c>
      <c r="E70" s="23" t="s">
        <v>334</v>
      </c>
      <c r="F70" s="23" t="str">
        <f t="shared" si="2"/>
        <v>rtdc.l.rtdc.4027:itc</v>
      </c>
      <c r="G70" s="8">
        <f t="shared" si="3"/>
        <v>42627.377268518518</v>
      </c>
    </row>
    <row r="71" spans="1:7" x14ac:dyDescent="0.25">
      <c r="A71" s="8">
        <v>42627.379930555559</v>
      </c>
      <c r="B71" s="23" t="s">
        <v>249</v>
      </c>
      <c r="C71" s="23" t="s">
        <v>444</v>
      </c>
      <c r="D71" s="23">
        <v>2030000</v>
      </c>
      <c r="E71" s="23" t="s">
        <v>280</v>
      </c>
      <c r="F71" s="23" t="str">
        <f t="shared" si="2"/>
        <v>rtdc.l.rtdc.4039:itc</v>
      </c>
      <c r="G71" s="8">
        <f t="shared" si="3"/>
        <v>42627.379930555559</v>
      </c>
    </row>
    <row r="72" spans="1:7" x14ac:dyDescent="0.25">
      <c r="A72" s="8">
        <v>42627.380289351851</v>
      </c>
      <c r="B72" s="23" t="s">
        <v>169</v>
      </c>
      <c r="C72" s="23" t="s">
        <v>445</v>
      </c>
      <c r="D72" s="23">
        <v>2360000</v>
      </c>
      <c r="E72" s="23" t="s">
        <v>380</v>
      </c>
      <c r="F72" s="23" t="str">
        <f t="shared" si="2"/>
        <v>rtdc.l.rtdc.4020:itc</v>
      </c>
      <c r="G72" s="8">
        <f t="shared" si="3"/>
        <v>42627.380289351851</v>
      </c>
    </row>
    <row r="73" spans="1:7" x14ac:dyDescent="0.25">
      <c r="A73" s="8">
        <v>42627.39167824074</v>
      </c>
      <c r="B73" s="23" t="s">
        <v>405</v>
      </c>
      <c r="C73" s="23" t="s">
        <v>446</v>
      </c>
      <c r="D73" s="23">
        <v>900000</v>
      </c>
      <c r="E73" s="23" t="s">
        <v>336</v>
      </c>
      <c r="F73" s="23" t="str">
        <f t="shared" si="2"/>
        <v>rtdc.l.rtdc.4043:itc</v>
      </c>
      <c r="G73" s="8">
        <f t="shared" si="3"/>
        <v>42627.39167824074</v>
      </c>
    </row>
    <row r="74" spans="1:7" x14ac:dyDescent="0.25">
      <c r="A74" s="8">
        <v>42627.393252314818</v>
      </c>
      <c r="B74" s="23" t="s">
        <v>130</v>
      </c>
      <c r="C74" s="23" t="s">
        <v>447</v>
      </c>
      <c r="D74" s="23">
        <v>1260000</v>
      </c>
      <c r="E74" s="23" t="s">
        <v>448</v>
      </c>
      <c r="F74" s="23" t="str">
        <f t="shared" si="2"/>
        <v>rtdc.l.rtdc.4038:itc</v>
      </c>
      <c r="G74" s="8">
        <f t="shared" si="3"/>
        <v>42627.393252314818</v>
      </c>
    </row>
    <row r="75" spans="1:7" x14ac:dyDescent="0.25">
      <c r="A75" s="8">
        <v>42627.398206018515</v>
      </c>
      <c r="B75" s="23" t="s">
        <v>107</v>
      </c>
      <c r="C75" s="23" t="s">
        <v>449</v>
      </c>
      <c r="D75" s="23">
        <v>1760000</v>
      </c>
      <c r="E75" s="23" t="s">
        <v>390</v>
      </c>
      <c r="F75" s="23" t="str">
        <f t="shared" si="2"/>
        <v>rtdc.l.rtdc.4014:itc</v>
      </c>
      <c r="G75" s="8">
        <f t="shared" si="3"/>
        <v>42627.398206018515</v>
      </c>
    </row>
    <row r="76" spans="1:7" x14ac:dyDescent="0.25">
      <c r="A76" s="8">
        <v>42627.401655092595</v>
      </c>
      <c r="B76" s="23" t="s">
        <v>168</v>
      </c>
      <c r="C76" s="23" t="s">
        <v>450</v>
      </c>
      <c r="D76" s="23">
        <v>2360000</v>
      </c>
      <c r="E76" s="23" t="s">
        <v>380</v>
      </c>
      <c r="F76" s="23" t="str">
        <f t="shared" si="2"/>
        <v>rtdc.l.rtdc.4019:itc</v>
      </c>
      <c r="G76" s="8">
        <f t="shared" si="3"/>
        <v>42627.401655092595</v>
      </c>
    </row>
    <row r="77" spans="1:7" x14ac:dyDescent="0.25">
      <c r="A77" s="8">
        <v>42627.401932870373</v>
      </c>
      <c r="B77" s="23" t="s">
        <v>182</v>
      </c>
      <c r="C77" s="23" t="s">
        <v>451</v>
      </c>
      <c r="D77" s="23">
        <v>2010000</v>
      </c>
      <c r="E77" s="23" t="s">
        <v>387</v>
      </c>
      <c r="F77" s="23" t="str">
        <f t="shared" si="2"/>
        <v>rtdc.l.rtdc.4041:itc</v>
      </c>
      <c r="G77" s="8">
        <f t="shared" si="3"/>
        <v>42627.401932870373</v>
      </c>
    </row>
    <row r="78" spans="1:7" x14ac:dyDescent="0.25">
      <c r="A78" s="8">
        <v>42627.40662037037</v>
      </c>
      <c r="B78" s="23" t="s">
        <v>343</v>
      </c>
      <c r="C78" s="23" t="s">
        <v>452</v>
      </c>
      <c r="D78" s="23">
        <v>1090000</v>
      </c>
      <c r="E78" s="23" t="s">
        <v>335</v>
      </c>
      <c r="F78" s="23" t="str">
        <f t="shared" si="2"/>
        <v>rtdc.l.rtdc.4053:itc</v>
      </c>
      <c r="G78" s="8">
        <f t="shared" si="3"/>
        <v>42627.40662037037</v>
      </c>
    </row>
    <row r="79" spans="1:7" x14ac:dyDescent="0.25">
      <c r="A79" s="8">
        <v>42627.413506944446</v>
      </c>
      <c r="B79" s="23" t="s">
        <v>270</v>
      </c>
      <c r="C79" s="23" t="s">
        <v>453</v>
      </c>
      <c r="D79" s="23">
        <v>2380000</v>
      </c>
      <c r="E79" s="23" t="s">
        <v>334</v>
      </c>
      <c r="F79" s="23" t="str">
        <f t="shared" si="2"/>
        <v>rtdc.l.rtdc.4028:itc</v>
      </c>
      <c r="G79" s="8">
        <f t="shared" si="3"/>
        <v>42627.413506944446</v>
      </c>
    </row>
    <row r="80" spans="1:7" x14ac:dyDescent="0.25">
      <c r="A80" s="8">
        <v>42627.414375</v>
      </c>
      <c r="B80" s="23" t="s">
        <v>267</v>
      </c>
      <c r="C80" s="23" t="s">
        <v>454</v>
      </c>
      <c r="D80" s="23">
        <v>2030000</v>
      </c>
      <c r="E80" s="23" t="s">
        <v>280</v>
      </c>
      <c r="F80" s="23" t="str">
        <f t="shared" si="2"/>
        <v>rtdc.l.rtdc.4040:itc</v>
      </c>
      <c r="G80" s="8">
        <f t="shared" si="3"/>
        <v>42627.414375</v>
      </c>
    </row>
    <row r="81" spans="1:7" x14ac:dyDescent="0.25">
      <c r="A81" s="8">
        <v>42627.420891203707</v>
      </c>
      <c r="B81" s="23" t="s">
        <v>169</v>
      </c>
      <c r="C81" s="23" t="s">
        <v>455</v>
      </c>
      <c r="D81" s="23">
        <v>2360000</v>
      </c>
      <c r="E81" s="23" t="s">
        <v>380</v>
      </c>
      <c r="F81" s="23" t="str">
        <f t="shared" si="2"/>
        <v>rtdc.l.rtdc.4020:itc</v>
      </c>
      <c r="G81" s="8">
        <f t="shared" si="3"/>
        <v>42627.420891203707</v>
      </c>
    </row>
    <row r="82" spans="1:7" x14ac:dyDescent="0.25">
      <c r="A82" s="8">
        <v>42627.425868055558</v>
      </c>
      <c r="B82" s="23" t="s">
        <v>385</v>
      </c>
      <c r="C82" s="23" t="s">
        <v>456</v>
      </c>
      <c r="D82" s="23">
        <v>900000</v>
      </c>
      <c r="E82" s="23" t="s">
        <v>336</v>
      </c>
      <c r="F82" s="23" t="str">
        <f t="shared" si="2"/>
        <v>rtdc.l.rtdc.4044:itc</v>
      </c>
      <c r="G82" s="8">
        <f t="shared" si="3"/>
        <v>42627.425868055558</v>
      </c>
    </row>
    <row r="83" spans="1:7" x14ac:dyDescent="0.25">
      <c r="A83" s="8">
        <v>42627.430856481478</v>
      </c>
      <c r="B83" s="23" t="s">
        <v>248</v>
      </c>
      <c r="C83" s="23" t="s">
        <v>457</v>
      </c>
      <c r="D83" s="23">
        <v>1260000</v>
      </c>
      <c r="E83" s="23" t="s">
        <v>448</v>
      </c>
      <c r="F83" s="23" t="str">
        <f t="shared" si="2"/>
        <v>rtdc.l.rtdc.4037:itc</v>
      </c>
      <c r="G83" s="8">
        <f t="shared" si="3"/>
        <v>42627.430856481478</v>
      </c>
    </row>
    <row r="84" spans="1:7" x14ac:dyDescent="0.25">
      <c r="A84" s="8">
        <v>42627.433657407404</v>
      </c>
      <c r="B84" s="23" t="s">
        <v>276</v>
      </c>
      <c r="C84" s="23" t="s">
        <v>458</v>
      </c>
      <c r="D84" s="23">
        <v>1760000</v>
      </c>
      <c r="E84" s="23" t="s">
        <v>390</v>
      </c>
      <c r="F84" s="23" t="str">
        <f t="shared" si="2"/>
        <v>rtdc.l.rtdc.4013:itc</v>
      </c>
      <c r="G84" s="8">
        <f t="shared" si="3"/>
        <v>42627.433657407404</v>
      </c>
    </row>
    <row r="85" spans="1:7" x14ac:dyDescent="0.25">
      <c r="A85" s="8">
        <v>42627.434513888889</v>
      </c>
      <c r="B85" s="23" t="s">
        <v>184</v>
      </c>
      <c r="C85" s="23" t="s">
        <v>459</v>
      </c>
      <c r="D85" s="23">
        <v>1110000</v>
      </c>
      <c r="E85" s="23" t="s">
        <v>302</v>
      </c>
      <c r="F85" s="23" t="str">
        <f t="shared" si="2"/>
        <v>rtdc.l.rtdc.4042:itc</v>
      </c>
      <c r="G85" s="8">
        <f t="shared" si="3"/>
        <v>42627.434513888889</v>
      </c>
    </row>
    <row r="86" spans="1:7" x14ac:dyDescent="0.25">
      <c r="A86" s="8">
        <v>42627.442870370367</v>
      </c>
      <c r="B86" s="23" t="s">
        <v>168</v>
      </c>
      <c r="C86" s="23" t="s">
        <v>460</v>
      </c>
      <c r="D86" s="23">
        <v>2360000</v>
      </c>
      <c r="E86" s="23" t="s">
        <v>380</v>
      </c>
      <c r="F86" s="23" t="str">
        <f t="shared" si="2"/>
        <v>rtdc.l.rtdc.4019:itc</v>
      </c>
      <c r="G86" s="8">
        <f t="shared" si="3"/>
        <v>42627.442870370367</v>
      </c>
    </row>
    <row r="87" spans="1:7" x14ac:dyDescent="0.25">
      <c r="A87" s="8">
        <v>42627.444293981483</v>
      </c>
      <c r="B87" s="23" t="s">
        <v>342</v>
      </c>
      <c r="C87" s="23" t="s">
        <v>461</v>
      </c>
      <c r="D87" s="23">
        <v>1090000</v>
      </c>
      <c r="E87" s="23" t="s">
        <v>335</v>
      </c>
      <c r="F87" s="23" t="str">
        <f t="shared" si="2"/>
        <v>rtdc.l.rtdc.4054:itc</v>
      </c>
      <c r="G87" s="8">
        <f t="shared" si="3"/>
        <v>42627.444293981483</v>
      </c>
    </row>
    <row r="88" spans="1:7" x14ac:dyDescent="0.25">
      <c r="A88" s="8">
        <v>42627.448414351849</v>
      </c>
      <c r="B88" s="23" t="s">
        <v>301</v>
      </c>
      <c r="C88" s="23" t="s">
        <v>462</v>
      </c>
      <c r="D88" s="23">
        <v>2280000</v>
      </c>
      <c r="E88" s="23" t="s">
        <v>339</v>
      </c>
      <c r="F88" s="23" t="str">
        <f t="shared" si="2"/>
        <v>rtdc.l.rtdc.4027:itc</v>
      </c>
      <c r="G88" s="8">
        <f t="shared" si="3"/>
        <v>42627.448414351849</v>
      </c>
    </row>
    <row r="89" spans="1:7" x14ac:dyDescent="0.25">
      <c r="A89" s="8">
        <v>42627.453564814816</v>
      </c>
      <c r="B89" s="23" t="s">
        <v>249</v>
      </c>
      <c r="C89" s="23" t="s">
        <v>463</v>
      </c>
      <c r="D89" s="23">
        <v>2030000</v>
      </c>
      <c r="E89" s="23" t="s">
        <v>280</v>
      </c>
      <c r="F89" s="23" t="str">
        <f t="shared" si="2"/>
        <v>rtdc.l.rtdc.4039:itc</v>
      </c>
      <c r="G89" s="8">
        <f t="shared" si="3"/>
        <v>42627.453564814816</v>
      </c>
    </row>
    <row r="90" spans="1:7" x14ac:dyDescent="0.25">
      <c r="A90" s="8">
        <v>42627.45585648148</v>
      </c>
      <c r="B90" s="23" t="s">
        <v>382</v>
      </c>
      <c r="C90" s="23" t="s">
        <v>464</v>
      </c>
      <c r="D90" s="23">
        <v>2270000</v>
      </c>
      <c r="E90" s="23" t="s">
        <v>337</v>
      </c>
      <c r="F90" s="23" t="str">
        <f t="shared" si="2"/>
        <v>rtdc.l.rtdc.4003:itc</v>
      </c>
      <c r="G90" s="8">
        <f t="shared" si="3"/>
        <v>42627.45585648148</v>
      </c>
    </row>
    <row r="91" spans="1:7" x14ac:dyDescent="0.25">
      <c r="A91" s="8">
        <v>42627.461087962962</v>
      </c>
      <c r="B91" s="23" t="s">
        <v>169</v>
      </c>
      <c r="C91" s="23" t="s">
        <v>465</v>
      </c>
      <c r="D91" s="23">
        <v>2360000</v>
      </c>
      <c r="E91" s="23" t="s">
        <v>380</v>
      </c>
      <c r="F91" s="23" t="str">
        <f t="shared" si="2"/>
        <v>rtdc.l.rtdc.4020:itc</v>
      </c>
      <c r="G91" s="8">
        <f t="shared" si="3"/>
        <v>42627.461087962962</v>
      </c>
    </row>
    <row r="92" spans="1:7" x14ac:dyDescent="0.25">
      <c r="A92" s="8">
        <v>42627.465150462966</v>
      </c>
      <c r="B92" s="23" t="s">
        <v>405</v>
      </c>
      <c r="C92" s="23" t="s">
        <v>466</v>
      </c>
      <c r="D92" s="23">
        <v>900000</v>
      </c>
      <c r="E92" s="23" t="s">
        <v>336</v>
      </c>
      <c r="F92" s="23" t="str">
        <f t="shared" si="2"/>
        <v>rtdc.l.rtdc.4043:itc</v>
      </c>
      <c r="G92" s="8">
        <f t="shared" si="3"/>
        <v>42627.465150462966</v>
      </c>
    </row>
    <row r="93" spans="1:7" x14ac:dyDescent="0.25">
      <c r="A93" s="8">
        <v>42627.469687500001</v>
      </c>
      <c r="B93" s="23" t="s">
        <v>107</v>
      </c>
      <c r="C93" s="23" t="s">
        <v>467</v>
      </c>
      <c r="D93" s="23">
        <v>1280000</v>
      </c>
      <c r="E93" s="23" t="s">
        <v>281</v>
      </c>
      <c r="F93" s="23" t="str">
        <f t="shared" si="2"/>
        <v>rtdc.l.rtdc.4014:itc</v>
      </c>
      <c r="G93" s="8">
        <f t="shared" si="3"/>
        <v>42627.469687500001</v>
      </c>
    </row>
    <row r="94" spans="1:7" x14ac:dyDescent="0.25">
      <c r="A94" s="8">
        <v>42627.476041666669</v>
      </c>
      <c r="B94" s="23" t="s">
        <v>343</v>
      </c>
      <c r="C94" s="23" t="s">
        <v>468</v>
      </c>
      <c r="D94" s="23">
        <v>2350000</v>
      </c>
      <c r="E94" s="23" t="s">
        <v>338</v>
      </c>
      <c r="F94" s="23" t="str">
        <f t="shared" si="2"/>
        <v>rtdc.l.rtdc.4053:itc</v>
      </c>
      <c r="G94" s="8">
        <f t="shared" si="3"/>
        <v>42627.476041666669</v>
      </c>
    </row>
    <row r="95" spans="1:7" x14ac:dyDescent="0.25">
      <c r="A95" s="8">
        <v>42627.478090277778</v>
      </c>
      <c r="B95" s="23" t="s">
        <v>182</v>
      </c>
      <c r="C95" s="23" t="s">
        <v>469</v>
      </c>
      <c r="D95" s="23">
        <v>1110000</v>
      </c>
      <c r="E95" s="23" t="s">
        <v>302</v>
      </c>
      <c r="F95" s="23" t="str">
        <f t="shared" si="2"/>
        <v>rtdc.l.rtdc.4041:itc</v>
      </c>
      <c r="G95" s="8">
        <f t="shared" si="3"/>
        <v>42627.478090277778</v>
      </c>
    </row>
    <row r="96" spans="1:7" x14ac:dyDescent="0.25">
      <c r="A96" s="8">
        <v>42627.484166666669</v>
      </c>
      <c r="B96" s="23" t="s">
        <v>270</v>
      </c>
      <c r="C96" s="23" t="s">
        <v>470</v>
      </c>
      <c r="D96" s="23">
        <v>2280000</v>
      </c>
      <c r="E96" s="23" t="s">
        <v>339</v>
      </c>
      <c r="F96" s="23" t="str">
        <f t="shared" si="2"/>
        <v>rtdc.l.rtdc.4028:itc</v>
      </c>
      <c r="G96" s="8">
        <f t="shared" si="3"/>
        <v>42627.484166666669</v>
      </c>
    </row>
    <row r="97" spans="1:7" x14ac:dyDescent="0.25">
      <c r="A97" s="8">
        <v>42627.487013888887</v>
      </c>
      <c r="B97" s="23" t="s">
        <v>168</v>
      </c>
      <c r="C97" s="23" t="s">
        <v>471</v>
      </c>
      <c r="D97" s="23">
        <v>2360000</v>
      </c>
      <c r="E97" s="23" t="s">
        <v>380</v>
      </c>
      <c r="F97" s="23" t="str">
        <f t="shared" si="2"/>
        <v>rtdc.l.rtdc.4019:itc</v>
      </c>
      <c r="G97" s="8">
        <f t="shared" si="3"/>
        <v>42627.487013888887</v>
      </c>
    </row>
    <row r="98" spans="1:7" x14ac:dyDescent="0.25">
      <c r="A98" s="8">
        <v>42627.487604166665</v>
      </c>
      <c r="B98" s="23" t="s">
        <v>267</v>
      </c>
      <c r="C98" s="23" t="s">
        <v>472</v>
      </c>
      <c r="D98" s="23">
        <v>2000000</v>
      </c>
      <c r="E98" s="23" t="s">
        <v>125</v>
      </c>
      <c r="F98" s="23" t="str">
        <f t="shared" si="2"/>
        <v>rtdc.l.rtdc.4040:itc</v>
      </c>
      <c r="G98" s="8">
        <f t="shared" si="3"/>
        <v>42627.487604166665</v>
      </c>
    </row>
    <row r="99" spans="1:7" x14ac:dyDescent="0.25">
      <c r="A99" s="8">
        <v>42627.492581018516</v>
      </c>
      <c r="B99" s="23" t="s">
        <v>391</v>
      </c>
      <c r="C99" s="23" t="s">
        <v>473</v>
      </c>
      <c r="D99" s="23">
        <v>940000</v>
      </c>
      <c r="E99" s="23" t="s">
        <v>474</v>
      </c>
      <c r="F99" s="23" t="str">
        <f t="shared" si="2"/>
        <v>rtdc.l.rtdc.4004:itc</v>
      </c>
      <c r="G99" s="8">
        <f t="shared" si="3"/>
        <v>42627.492581018516</v>
      </c>
    </row>
    <row r="100" spans="1:7" x14ac:dyDescent="0.25">
      <c r="A100" s="8">
        <v>42627.494780092595</v>
      </c>
      <c r="B100" s="23" t="s">
        <v>168</v>
      </c>
      <c r="C100" s="23" t="s">
        <v>471</v>
      </c>
      <c r="D100" s="23">
        <v>2360000</v>
      </c>
      <c r="E100" s="23" t="s">
        <v>380</v>
      </c>
      <c r="F100" s="23" t="str">
        <f t="shared" si="2"/>
        <v>rtdc.l.rtdc.4019:itc</v>
      </c>
      <c r="G100" s="8">
        <f t="shared" si="3"/>
        <v>42627.494780092595</v>
      </c>
    </row>
    <row r="101" spans="1:7" x14ac:dyDescent="0.25">
      <c r="A101" s="8">
        <v>42627.497812499998</v>
      </c>
      <c r="B101" s="23" t="s">
        <v>385</v>
      </c>
      <c r="C101" s="23" t="s">
        <v>475</v>
      </c>
      <c r="D101" s="23">
        <v>2220000</v>
      </c>
      <c r="E101" s="23" t="s">
        <v>383</v>
      </c>
      <c r="F101" s="23" t="str">
        <f t="shared" si="2"/>
        <v>rtdc.l.rtdc.4044:itc</v>
      </c>
      <c r="G101" s="8">
        <f t="shared" si="3"/>
        <v>42627.497812499998</v>
      </c>
    </row>
    <row r="102" spans="1:7" x14ac:dyDescent="0.25">
      <c r="A102" s="8">
        <v>42627.499305555553</v>
      </c>
      <c r="B102" s="23" t="s">
        <v>276</v>
      </c>
      <c r="C102" s="23" t="s">
        <v>476</v>
      </c>
      <c r="D102" s="23">
        <v>1280000</v>
      </c>
      <c r="E102" s="23" t="s">
        <v>281</v>
      </c>
      <c r="F102" s="23" t="str">
        <f t="shared" si="2"/>
        <v>rtdc.l.rtdc.4013:itc</v>
      </c>
      <c r="G102" s="8">
        <f t="shared" si="3"/>
        <v>42627.499305555553</v>
      </c>
    </row>
    <row r="103" spans="1:7" x14ac:dyDescent="0.25">
      <c r="A103" s="8">
        <v>42627.504050925927</v>
      </c>
      <c r="B103" s="23" t="s">
        <v>169</v>
      </c>
      <c r="C103" s="23" t="s">
        <v>477</v>
      </c>
      <c r="D103" s="23">
        <v>2360000</v>
      </c>
      <c r="E103" s="23" t="s">
        <v>380</v>
      </c>
      <c r="F103" s="23" t="str">
        <f t="shared" si="2"/>
        <v>rtdc.l.rtdc.4020:itc</v>
      </c>
      <c r="G103" s="8">
        <f t="shared" si="3"/>
        <v>42627.504050925927</v>
      </c>
    </row>
    <row r="104" spans="1:7" x14ac:dyDescent="0.25">
      <c r="A104" s="8">
        <v>42627.508969907409</v>
      </c>
      <c r="B104" s="23" t="s">
        <v>184</v>
      </c>
      <c r="C104" s="23" t="s">
        <v>478</v>
      </c>
      <c r="D104" s="23">
        <v>1770000</v>
      </c>
      <c r="E104" s="23" t="s">
        <v>282</v>
      </c>
      <c r="F104" s="23" t="str">
        <f t="shared" si="2"/>
        <v>rtdc.l.rtdc.4042:itc</v>
      </c>
      <c r="G104" s="8">
        <f t="shared" si="3"/>
        <v>42627.508969907409</v>
      </c>
    </row>
    <row r="105" spans="1:7" x14ac:dyDescent="0.25">
      <c r="A105" s="8">
        <v>42627.514513888891</v>
      </c>
      <c r="B105" s="23" t="s">
        <v>342</v>
      </c>
      <c r="C105" s="23" t="s">
        <v>479</v>
      </c>
      <c r="D105" s="23">
        <v>2350000</v>
      </c>
      <c r="E105" s="23" t="s">
        <v>338</v>
      </c>
      <c r="F105" s="23" t="str">
        <f t="shared" si="2"/>
        <v>rtdc.l.rtdc.4054:itc</v>
      </c>
      <c r="G105" s="8">
        <f t="shared" si="3"/>
        <v>42627.514513888891</v>
      </c>
    </row>
    <row r="106" spans="1:7" x14ac:dyDescent="0.25">
      <c r="A106" s="8">
        <v>42627.51934027778</v>
      </c>
      <c r="B106" s="23" t="s">
        <v>301</v>
      </c>
      <c r="C106" s="23" t="s">
        <v>480</v>
      </c>
      <c r="D106" s="23">
        <v>2150000</v>
      </c>
      <c r="E106" s="23" t="s">
        <v>481</v>
      </c>
      <c r="F106" s="23" t="str">
        <f t="shared" si="2"/>
        <v>rtdc.l.rtdc.4027:itc</v>
      </c>
      <c r="G106" s="8">
        <f t="shared" si="3"/>
        <v>42627.51934027778</v>
      </c>
    </row>
    <row r="107" spans="1:7" x14ac:dyDescent="0.25">
      <c r="A107" s="8">
        <v>42627.523946759262</v>
      </c>
      <c r="B107" s="23" t="s">
        <v>249</v>
      </c>
      <c r="C107" s="23" t="s">
        <v>482</v>
      </c>
      <c r="D107" s="23">
        <v>2000000</v>
      </c>
      <c r="E107" s="23" t="s">
        <v>125</v>
      </c>
      <c r="F107" s="23" t="str">
        <f t="shared" si="2"/>
        <v>rtdc.l.rtdc.4039:itc</v>
      </c>
      <c r="G107" s="8">
        <f t="shared" si="3"/>
        <v>42627.523946759262</v>
      </c>
    </row>
    <row r="108" spans="1:7" x14ac:dyDescent="0.25">
      <c r="A108" s="8">
        <v>42627.527546296296</v>
      </c>
      <c r="B108" s="23" t="s">
        <v>168</v>
      </c>
      <c r="C108" s="23" t="s">
        <v>483</v>
      </c>
      <c r="D108" s="23">
        <v>2360000</v>
      </c>
      <c r="E108" s="23" t="s">
        <v>380</v>
      </c>
      <c r="F108" s="23" t="str">
        <f t="shared" si="2"/>
        <v>rtdc.l.rtdc.4019:itc</v>
      </c>
      <c r="G108" s="8">
        <f t="shared" si="3"/>
        <v>42627.527546296296</v>
      </c>
    </row>
    <row r="109" spans="1:7" x14ac:dyDescent="0.25">
      <c r="A109" s="8">
        <v>42627.527997685182</v>
      </c>
      <c r="B109" s="23" t="s">
        <v>405</v>
      </c>
      <c r="C109" s="23" t="s">
        <v>484</v>
      </c>
      <c r="D109" s="23">
        <v>2220000</v>
      </c>
      <c r="E109" s="23" t="s">
        <v>383</v>
      </c>
      <c r="F109" s="23" t="str">
        <f t="shared" si="2"/>
        <v>rtdc.l.rtdc.4043:itc</v>
      </c>
      <c r="G109" s="8">
        <f t="shared" si="3"/>
        <v>42627.527997685182</v>
      </c>
    </row>
    <row r="110" spans="1:7" x14ac:dyDescent="0.25">
      <c r="A110" s="8">
        <v>42627.530312499999</v>
      </c>
      <c r="B110" s="23" t="s">
        <v>382</v>
      </c>
      <c r="C110" s="23" t="s">
        <v>485</v>
      </c>
      <c r="D110" s="23">
        <v>940000</v>
      </c>
      <c r="E110" s="23" t="s">
        <v>474</v>
      </c>
      <c r="F110" s="23" t="str">
        <f t="shared" si="2"/>
        <v>rtdc.l.rtdc.4003:itc</v>
      </c>
      <c r="G110" s="8">
        <f t="shared" si="3"/>
        <v>42627.530312499999</v>
      </c>
    </row>
    <row r="111" spans="1:7" x14ac:dyDescent="0.25">
      <c r="A111" s="8">
        <v>42627.536979166667</v>
      </c>
      <c r="B111" s="23" t="s">
        <v>107</v>
      </c>
      <c r="C111" s="23" t="s">
        <v>486</v>
      </c>
      <c r="D111" s="23">
        <v>1280000</v>
      </c>
      <c r="E111" s="23" t="s">
        <v>281</v>
      </c>
      <c r="F111" s="23" t="str">
        <f t="shared" si="2"/>
        <v>rtdc.l.rtdc.4014:itc</v>
      </c>
      <c r="G111" s="8">
        <f t="shared" si="3"/>
        <v>42627.536979166667</v>
      </c>
    </row>
    <row r="112" spans="1:7" x14ac:dyDescent="0.25">
      <c r="A112" s="8">
        <v>42627.543888888889</v>
      </c>
      <c r="B112" s="23" t="s">
        <v>182</v>
      </c>
      <c r="C112" s="23" t="s">
        <v>487</v>
      </c>
      <c r="D112" s="23">
        <v>1770000</v>
      </c>
      <c r="E112" s="23" t="s">
        <v>282</v>
      </c>
      <c r="F112" s="23" t="str">
        <f t="shared" si="2"/>
        <v>rtdc.l.rtdc.4041:itc</v>
      </c>
      <c r="G112" s="8">
        <f t="shared" si="3"/>
        <v>42627.543888888889</v>
      </c>
    </row>
    <row r="113" spans="1:7" x14ac:dyDescent="0.25">
      <c r="A113" s="8">
        <v>42627.550011574072</v>
      </c>
      <c r="B113" s="23" t="s">
        <v>343</v>
      </c>
      <c r="C113" s="23" t="s">
        <v>488</v>
      </c>
      <c r="D113" s="23">
        <v>2350000</v>
      </c>
      <c r="E113" s="23" t="s">
        <v>338</v>
      </c>
      <c r="F113" s="23" t="str">
        <f t="shared" si="2"/>
        <v>rtdc.l.rtdc.4053:itc</v>
      </c>
      <c r="G113" s="8">
        <f t="shared" si="3"/>
        <v>42627.550011574072</v>
      </c>
    </row>
    <row r="114" spans="1:7" x14ac:dyDescent="0.25">
      <c r="A114" s="8">
        <v>42627.550127314818</v>
      </c>
      <c r="B114" s="23" t="s">
        <v>270</v>
      </c>
      <c r="C114" s="23" t="s">
        <v>489</v>
      </c>
      <c r="D114" s="23">
        <v>2150000</v>
      </c>
      <c r="E114" s="23" t="s">
        <v>481</v>
      </c>
      <c r="F114" s="23" t="str">
        <f t="shared" si="2"/>
        <v>rtdc.l.rtdc.4028:itc</v>
      </c>
      <c r="G114" s="8">
        <f t="shared" si="3"/>
        <v>42627.550127314818</v>
      </c>
    </row>
    <row r="115" spans="1:7" x14ac:dyDescent="0.25">
      <c r="A115" s="8">
        <v>42627.550335648149</v>
      </c>
      <c r="B115" s="23" t="s">
        <v>169</v>
      </c>
      <c r="C115" s="23" t="s">
        <v>490</v>
      </c>
      <c r="D115" s="23">
        <v>2280000</v>
      </c>
      <c r="E115" s="23" t="s">
        <v>339</v>
      </c>
      <c r="F115" s="23" t="str">
        <f t="shared" si="2"/>
        <v>rtdc.l.rtdc.4020:itc</v>
      </c>
      <c r="G115" s="8">
        <f t="shared" si="3"/>
        <v>42627.550335648149</v>
      </c>
    </row>
    <row r="116" spans="1:7" x14ac:dyDescent="0.25">
      <c r="A116" s="8">
        <v>42627.557349537034</v>
      </c>
      <c r="B116" s="23" t="s">
        <v>267</v>
      </c>
      <c r="C116" s="23" t="s">
        <v>491</v>
      </c>
      <c r="D116" s="23">
        <v>2000000</v>
      </c>
      <c r="E116" s="23" t="s">
        <v>125</v>
      </c>
      <c r="F116" s="23" t="str">
        <f t="shared" si="2"/>
        <v>rtdc.l.rtdc.4040:itc</v>
      </c>
      <c r="G116" s="8">
        <f t="shared" si="3"/>
        <v>42627.557349537034</v>
      </c>
    </row>
    <row r="117" spans="1:7" x14ac:dyDescent="0.25">
      <c r="A117" s="8">
        <v>42627.559259259258</v>
      </c>
      <c r="B117" s="23" t="s">
        <v>391</v>
      </c>
      <c r="C117" s="23" t="s">
        <v>492</v>
      </c>
      <c r="D117" s="23">
        <v>940000</v>
      </c>
      <c r="E117" s="23" t="s">
        <v>474</v>
      </c>
      <c r="F117" s="23" t="str">
        <f t="shared" si="2"/>
        <v>rtdc.l.rtdc.4004:itc</v>
      </c>
      <c r="G117" s="8">
        <f t="shared" si="3"/>
        <v>42627.559259259258</v>
      </c>
    </row>
    <row r="118" spans="1:7" x14ac:dyDescent="0.25">
      <c r="A118" s="8">
        <v>42627.569166666668</v>
      </c>
      <c r="B118" s="23" t="s">
        <v>168</v>
      </c>
      <c r="C118" s="23" t="s">
        <v>493</v>
      </c>
      <c r="D118" s="23">
        <v>2280000</v>
      </c>
      <c r="E118" s="23" t="s">
        <v>339</v>
      </c>
      <c r="F118" s="23" t="str">
        <f t="shared" si="2"/>
        <v>rtdc.l.rtdc.4019:itc</v>
      </c>
      <c r="G118" s="8">
        <f t="shared" si="3"/>
        <v>42627.569166666668</v>
      </c>
    </row>
    <row r="119" spans="1:7" x14ac:dyDescent="0.25">
      <c r="A119" s="8">
        <v>42627.570127314815</v>
      </c>
      <c r="B119" s="23" t="s">
        <v>276</v>
      </c>
      <c r="C119" s="23" t="s">
        <v>494</v>
      </c>
      <c r="D119" s="23">
        <v>1280000</v>
      </c>
      <c r="E119" s="23" t="s">
        <v>281</v>
      </c>
      <c r="F119" s="23" t="str">
        <f t="shared" si="2"/>
        <v>rtdc.l.rtdc.4013:itc</v>
      </c>
      <c r="G119" s="8">
        <f t="shared" si="3"/>
        <v>42627.570127314815</v>
      </c>
    </row>
    <row r="120" spans="1:7" x14ac:dyDescent="0.25">
      <c r="A120" s="8">
        <v>42627.579675925925</v>
      </c>
      <c r="B120" s="23" t="s">
        <v>184</v>
      </c>
      <c r="C120" s="23" t="s">
        <v>495</v>
      </c>
      <c r="D120" s="23">
        <v>1770000</v>
      </c>
      <c r="E120" s="23" t="s">
        <v>282</v>
      </c>
      <c r="F120" s="23" t="str">
        <f t="shared" si="2"/>
        <v>rtdc.l.rtdc.4042:itc</v>
      </c>
      <c r="G120" s="8">
        <f t="shared" si="3"/>
        <v>42627.579675925925</v>
      </c>
    </row>
    <row r="121" spans="1:7" x14ac:dyDescent="0.25">
      <c r="A121" s="8">
        <v>42627.587175925924</v>
      </c>
      <c r="B121" s="23" t="s">
        <v>342</v>
      </c>
      <c r="C121" s="23" t="s">
        <v>496</v>
      </c>
      <c r="D121" s="23">
        <v>2350000</v>
      </c>
      <c r="E121" s="23" t="s">
        <v>338</v>
      </c>
      <c r="F121" s="23" t="str">
        <f t="shared" si="2"/>
        <v>rtdc.l.rtdc.4054:itc</v>
      </c>
      <c r="G121" s="8">
        <f t="shared" si="3"/>
        <v>42627.587175925924</v>
      </c>
    </row>
    <row r="122" spans="1:7" x14ac:dyDescent="0.25">
      <c r="A122" s="8">
        <v>42627.588946759257</v>
      </c>
      <c r="B122" s="28" t="s">
        <v>301</v>
      </c>
      <c r="C122" s="23" t="s">
        <v>497</v>
      </c>
      <c r="D122" s="23">
        <v>2150000</v>
      </c>
      <c r="E122" s="23" t="s">
        <v>481</v>
      </c>
      <c r="F122" s="23" t="str">
        <f t="shared" si="2"/>
        <v>rtdc.l.rtdc.4027:itc</v>
      </c>
      <c r="G122" s="8">
        <f t="shared" si="3"/>
        <v>42627.588946759257</v>
      </c>
    </row>
    <row r="123" spans="1:7" x14ac:dyDescent="0.25">
      <c r="A123" s="8">
        <v>42627.59033564815</v>
      </c>
      <c r="B123" s="23" t="s">
        <v>169</v>
      </c>
      <c r="C123" s="23" t="s">
        <v>498</v>
      </c>
      <c r="D123" s="23">
        <v>2040000</v>
      </c>
      <c r="E123" s="23" t="s">
        <v>499</v>
      </c>
      <c r="F123" s="23" t="str">
        <f t="shared" si="2"/>
        <v>rtdc.l.rtdc.4020:itc</v>
      </c>
      <c r="G123" s="8">
        <f t="shared" si="3"/>
        <v>42627.59033564815</v>
      </c>
    </row>
    <row r="124" spans="1:7" x14ac:dyDescent="0.25">
      <c r="A124" s="8">
        <v>42627.599374999998</v>
      </c>
      <c r="B124" s="23" t="s">
        <v>249</v>
      </c>
      <c r="C124" s="23" t="s">
        <v>500</v>
      </c>
      <c r="D124" s="23">
        <v>2000000</v>
      </c>
      <c r="E124" s="23" t="s">
        <v>125</v>
      </c>
      <c r="F124" s="23" t="str">
        <f t="shared" si="2"/>
        <v>rtdc.l.rtdc.4039:itc</v>
      </c>
      <c r="G124" s="8">
        <f t="shared" si="3"/>
        <v>42627.599374999998</v>
      </c>
    </row>
    <row r="125" spans="1:7" x14ac:dyDescent="0.25">
      <c r="A125" s="8">
        <v>42627.600601851853</v>
      </c>
      <c r="B125" s="23" t="s">
        <v>382</v>
      </c>
      <c r="C125" s="23" t="s">
        <v>501</v>
      </c>
      <c r="D125" s="23">
        <v>940000</v>
      </c>
      <c r="E125" s="23" t="s">
        <v>474</v>
      </c>
      <c r="F125" s="23" t="str">
        <f t="shared" si="2"/>
        <v>rtdc.l.rtdc.4003:itc</v>
      </c>
      <c r="G125" s="8">
        <f t="shared" si="3"/>
        <v>42627.600601851853</v>
      </c>
    </row>
    <row r="126" spans="1:7" x14ac:dyDescent="0.25">
      <c r="A126" s="8">
        <v>42627.604375000003</v>
      </c>
      <c r="B126" s="23" t="s">
        <v>405</v>
      </c>
      <c r="C126" s="23" t="s">
        <v>502</v>
      </c>
      <c r="D126" s="23">
        <v>2220000</v>
      </c>
      <c r="E126" s="23" t="s">
        <v>383</v>
      </c>
      <c r="F126" s="23" t="str">
        <f t="shared" si="2"/>
        <v>rtdc.l.rtdc.4043:itc</v>
      </c>
      <c r="G126" s="8">
        <f t="shared" si="3"/>
        <v>42627.604375000003</v>
      </c>
    </row>
    <row r="127" spans="1:7" x14ac:dyDescent="0.25">
      <c r="A127" s="8">
        <v>42627.610567129632</v>
      </c>
      <c r="B127" s="23" t="s">
        <v>168</v>
      </c>
      <c r="C127" s="23" t="s">
        <v>503</v>
      </c>
      <c r="D127" s="23">
        <v>2040000</v>
      </c>
      <c r="E127" s="23" t="s">
        <v>499</v>
      </c>
      <c r="F127" s="23" t="str">
        <f t="shared" si="2"/>
        <v>rtdc.l.rtdc.4019:itc</v>
      </c>
      <c r="G127" s="8">
        <f t="shared" si="3"/>
        <v>42627.610567129632</v>
      </c>
    </row>
    <row r="128" spans="1:7" x14ac:dyDescent="0.25">
      <c r="A128" s="8">
        <v>42627.612615740742</v>
      </c>
      <c r="B128" s="23" t="s">
        <v>107</v>
      </c>
      <c r="C128" s="23" t="s">
        <v>504</v>
      </c>
      <c r="D128" s="23">
        <v>1280000</v>
      </c>
      <c r="E128" s="23" t="s">
        <v>281</v>
      </c>
      <c r="F128" s="23" t="str">
        <f t="shared" si="2"/>
        <v>rtdc.l.rtdc.4014:itc</v>
      </c>
      <c r="G128" s="8">
        <f t="shared" si="3"/>
        <v>42627.612615740742</v>
      </c>
    </row>
    <row r="129" spans="1:7" x14ac:dyDescent="0.25">
      <c r="A129" s="8">
        <v>42627.6169212963</v>
      </c>
      <c r="B129" s="23" t="s">
        <v>182</v>
      </c>
      <c r="C129" s="23" t="s">
        <v>505</v>
      </c>
      <c r="D129" s="23">
        <v>1770000</v>
      </c>
      <c r="E129" s="23" t="s">
        <v>282</v>
      </c>
      <c r="F129" s="23" t="str">
        <f t="shared" si="2"/>
        <v>rtdc.l.rtdc.4041:itc</v>
      </c>
      <c r="G129" s="8">
        <f t="shared" si="3"/>
        <v>42627.6169212963</v>
      </c>
    </row>
    <row r="130" spans="1:7" x14ac:dyDescent="0.25">
      <c r="A130" s="8">
        <v>42627.622442129628</v>
      </c>
      <c r="B130" s="23" t="s">
        <v>270</v>
      </c>
      <c r="C130" s="23" t="s">
        <v>506</v>
      </c>
      <c r="D130" s="23">
        <v>2150000</v>
      </c>
      <c r="E130" s="23" t="s">
        <v>481</v>
      </c>
      <c r="F130" s="23" t="str">
        <f t="shared" ref="F130:F193" si="4">B130</f>
        <v>rtdc.l.rtdc.4028:itc</v>
      </c>
      <c r="G130" s="8">
        <f t="shared" ref="G130:G193" si="5">A130</f>
        <v>42627.622442129628</v>
      </c>
    </row>
    <row r="131" spans="1:7" x14ac:dyDescent="0.25">
      <c r="A131" s="8">
        <v>42627.622465277775</v>
      </c>
      <c r="B131" s="23" t="s">
        <v>343</v>
      </c>
      <c r="C131" s="23" t="s">
        <v>507</v>
      </c>
      <c r="D131" s="23">
        <v>2350000</v>
      </c>
      <c r="E131" s="23" t="s">
        <v>338</v>
      </c>
      <c r="F131" s="23" t="str">
        <f t="shared" si="4"/>
        <v>rtdc.l.rtdc.4053:itc</v>
      </c>
      <c r="G131" s="8">
        <f t="shared" si="5"/>
        <v>42627.622465277775</v>
      </c>
    </row>
    <row r="132" spans="1:7" x14ac:dyDescent="0.25">
      <c r="A132" s="8">
        <v>42627.633703703701</v>
      </c>
      <c r="B132" s="23" t="s">
        <v>267</v>
      </c>
      <c r="C132" s="23" t="s">
        <v>508</v>
      </c>
      <c r="D132" s="23">
        <v>2000000</v>
      </c>
      <c r="E132" s="23" t="s">
        <v>125</v>
      </c>
      <c r="F132" s="23" t="str">
        <f t="shared" si="4"/>
        <v>rtdc.l.rtdc.4040:itc</v>
      </c>
      <c r="G132" s="8">
        <f t="shared" si="5"/>
        <v>42627.633703703701</v>
      </c>
    </row>
    <row r="133" spans="1:7" x14ac:dyDescent="0.25">
      <c r="A133" s="8">
        <v>42627.635069444441</v>
      </c>
      <c r="B133" s="23" t="s">
        <v>391</v>
      </c>
      <c r="C133" s="23" t="s">
        <v>509</v>
      </c>
      <c r="D133" s="23">
        <v>940000</v>
      </c>
      <c r="E133" s="23" t="s">
        <v>474</v>
      </c>
      <c r="F133" s="23" t="str">
        <f t="shared" si="4"/>
        <v>rtdc.l.rtdc.4004:itc</v>
      </c>
      <c r="G133" s="8">
        <f t="shared" si="5"/>
        <v>42627.635069444441</v>
      </c>
    </row>
    <row r="134" spans="1:7" x14ac:dyDescent="0.25">
      <c r="A134" s="8">
        <v>42627.636932870373</v>
      </c>
      <c r="B134" s="23" t="s">
        <v>169</v>
      </c>
      <c r="C134" s="23" t="s">
        <v>510</v>
      </c>
      <c r="D134" s="23">
        <v>2040000</v>
      </c>
      <c r="E134" s="23" t="s">
        <v>499</v>
      </c>
      <c r="F134" s="23" t="str">
        <f t="shared" si="4"/>
        <v>rtdc.l.rtdc.4020:itc</v>
      </c>
      <c r="G134" s="8">
        <f t="shared" si="5"/>
        <v>42627.636932870373</v>
      </c>
    </row>
    <row r="135" spans="1:7" x14ac:dyDescent="0.25">
      <c r="A135" s="8">
        <v>42627.64203703704</v>
      </c>
      <c r="B135" s="23" t="s">
        <v>276</v>
      </c>
      <c r="C135" s="23" t="s">
        <v>511</v>
      </c>
      <c r="D135" s="23">
        <v>1280000</v>
      </c>
      <c r="E135" s="23" t="s">
        <v>281</v>
      </c>
      <c r="F135" s="23" t="str">
        <f t="shared" si="4"/>
        <v>rtdc.l.rtdc.4013:itc</v>
      </c>
      <c r="G135" s="8">
        <f t="shared" si="5"/>
        <v>42627.64203703704</v>
      </c>
    </row>
    <row r="136" spans="1:7" x14ac:dyDescent="0.25">
      <c r="A136" s="8">
        <v>42627.642141203702</v>
      </c>
      <c r="B136" s="23" t="s">
        <v>385</v>
      </c>
      <c r="C136" s="23" t="s">
        <v>512</v>
      </c>
      <c r="D136" s="23">
        <v>2220000</v>
      </c>
      <c r="E136" s="23" t="s">
        <v>383</v>
      </c>
      <c r="F136" s="23" t="str">
        <f t="shared" si="4"/>
        <v>rtdc.l.rtdc.4044:itc</v>
      </c>
      <c r="G136" s="8">
        <f t="shared" si="5"/>
        <v>42627.642141203702</v>
      </c>
    </row>
    <row r="137" spans="1:7" x14ac:dyDescent="0.25">
      <c r="A137" s="8">
        <v>42627.643263888887</v>
      </c>
      <c r="B137" s="23" t="s">
        <v>385</v>
      </c>
      <c r="C137" s="23" t="s">
        <v>512</v>
      </c>
      <c r="D137" s="23">
        <v>2220000</v>
      </c>
      <c r="E137" s="23" t="s">
        <v>383</v>
      </c>
      <c r="F137" s="23" t="str">
        <f t="shared" si="4"/>
        <v>rtdc.l.rtdc.4044:itc</v>
      </c>
      <c r="G137" s="8">
        <f t="shared" si="5"/>
        <v>42627.643263888887</v>
      </c>
    </row>
    <row r="138" spans="1:7" x14ac:dyDescent="0.25">
      <c r="A138" s="8">
        <v>42627.644305555557</v>
      </c>
      <c r="B138" s="23" t="s">
        <v>177</v>
      </c>
      <c r="C138" s="23" t="s">
        <v>513</v>
      </c>
      <c r="D138" s="23">
        <v>2370000</v>
      </c>
      <c r="E138" s="23" t="s">
        <v>268</v>
      </c>
      <c r="F138" s="23" t="str">
        <f t="shared" si="4"/>
        <v>rtdc.l.rtdc.4026:itc</v>
      </c>
      <c r="G138" s="8">
        <f t="shared" si="5"/>
        <v>42627.644305555557</v>
      </c>
    </row>
    <row r="139" spans="1:7" x14ac:dyDescent="0.25">
      <c r="A139" s="8">
        <v>42627.644641203704</v>
      </c>
      <c r="B139" s="23" t="s">
        <v>385</v>
      </c>
      <c r="C139" s="23" t="s">
        <v>512</v>
      </c>
      <c r="D139" s="23">
        <v>2220000</v>
      </c>
      <c r="E139" s="23" t="s">
        <v>383</v>
      </c>
      <c r="F139" s="23" t="str">
        <f t="shared" si="4"/>
        <v>rtdc.l.rtdc.4044:itc</v>
      </c>
      <c r="G139" s="8">
        <f t="shared" si="5"/>
        <v>42627.644641203704</v>
      </c>
    </row>
    <row r="140" spans="1:7" x14ac:dyDescent="0.25">
      <c r="A140" s="8">
        <v>42627.648587962962</v>
      </c>
      <c r="B140" s="23" t="s">
        <v>385</v>
      </c>
      <c r="C140" s="23" t="s">
        <v>512</v>
      </c>
      <c r="D140" s="23">
        <v>2220000</v>
      </c>
      <c r="E140" s="23" t="s">
        <v>383</v>
      </c>
      <c r="F140" s="23" t="str">
        <f t="shared" si="4"/>
        <v>rtdc.l.rtdc.4044:itc</v>
      </c>
      <c r="G140" s="8">
        <f t="shared" si="5"/>
        <v>42627.648587962962</v>
      </c>
    </row>
    <row r="141" spans="1:7" x14ac:dyDescent="0.25">
      <c r="A141" s="8">
        <v>42627.652002314811</v>
      </c>
      <c r="B141" s="23" t="s">
        <v>168</v>
      </c>
      <c r="C141" s="23" t="s">
        <v>514</v>
      </c>
      <c r="D141" s="23">
        <v>2040000</v>
      </c>
      <c r="E141" s="23" t="s">
        <v>499</v>
      </c>
      <c r="F141" s="23" t="str">
        <f t="shared" si="4"/>
        <v>rtdc.l.rtdc.4019:itc</v>
      </c>
      <c r="G141" s="8">
        <f t="shared" si="5"/>
        <v>42627.652002314811</v>
      </c>
    </row>
    <row r="142" spans="1:7" x14ac:dyDescent="0.25">
      <c r="A142" s="8">
        <v>42627.652685185189</v>
      </c>
      <c r="B142" s="23" t="s">
        <v>184</v>
      </c>
      <c r="C142" s="23" t="s">
        <v>515</v>
      </c>
      <c r="D142" s="23">
        <v>1770000</v>
      </c>
      <c r="E142" s="23" t="s">
        <v>282</v>
      </c>
      <c r="F142" s="23" t="str">
        <f t="shared" si="4"/>
        <v>rtdc.l.rtdc.4042:itc</v>
      </c>
      <c r="G142" s="8">
        <f t="shared" si="5"/>
        <v>42627.652685185189</v>
      </c>
    </row>
    <row r="143" spans="1:7" x14ac:dyDescent="0.25">
      <c r="A143" s="8">
        <v>42627.654479166667</v>
      </c>
      <c r="B143" s="23" t="s">
        <v>176</v>
      </c>
      <c r="C143" s="23" t="s">
        <v>516</v>
      </c>
      <c r="D143" s="23">
        <v>2370000</v>
      </c>
      <c r="E143" s="23" t="s">
        <v>268</v>
      </c>
      <c r="F143" s="23" t="str">
        <f t="shared" si="4"/>
        <v>rtdc.l.rtdc.4025:itc</v>
      </c>
      <c r="G143" s="8">
        <f t="shared" si="5"/>
        <v>42627.654479166667</v>
      </c>
    </row>
    <row r="144" spans="1:7" x14ac:dyDescent="0.25">
      <c r="A144" s="8">
        <v>42627.658333333333</v>
      </c>
      <c r="B144" s="23" t="s">
        <v>176</v>
      </c>
      <c r="C144" s="23" t="s">
        <v>516</v>
      </c>
      <c r="D144" s="23">
        <v>2370000</v>
      </c>
      <c r="E144" s="23" t="s">
        <v>268</v>
      </c>
      <c r="F144" s="23" t="str">
        <f t="shared" si="4"/>
        <v>rtdc.l.rtdc.4025:itc</v>
      </c>
      <c r="G144" s="8">
        <f t="shared" si="5"/>
        <v>42627.658333333333</v>
      </c>
    </row>
    <row r="145" spans="1:7" x14ac:dyDescent="0.25">
      <c r="A145" s="8">
        <v>42627.658726851849</v>
      </c>
      <c r="B145" s="23" t="s">
        <v>342</v>
      </c>
      <c r="C145" s="23" t="s">
        <v>517</v>
      </c>
      <c r="D145" s="23">
        <v>2350000</v>
      </c>
      <c r="E145" s="23" t="s">
        <v>338</v>
      </c>
      <c r="F145" s="23" t="str">
        <f t="shared" si="4"/>
        <v>rtdc.l.rtdc.4054:itc</v>
      </c>
      <c r="G145" s="8">
        <f t="shared" si="5"/>
        <v>42627.658726851849</v>
      </c>
    </row>
    <row r="146" spans="1:7" x14ac:dyDescent="0.25">
      <c r="A146" s="8">
        <v>42627.662708333337</v>
      </c>
      <c r="B146" s="23" t="s">
        <v>301</v>
      </c>
      <c r="C146" s="23" t="s">
        <v>518</v>
      </c>
      <c r="D146" s="23">
        <v>2150000</v>
      </c>
      <c r="E146" s="23" t="s">
        <v>481</v>
      </c>
      <c r="F146" s="23" t="str">
        <f t="shared" si="4"/>
        <v>rtdc.l.rtdc.4027:itc</v>
      </c>
      <c r="G146" s="8">
        <f t="shared" si="5"/>
        <v>42627.662708333337</v>
      </c>
    </row>
    <row r="147" spans="1:7" x14ac:dyDescent="0.25">
      <c r="A147" s="8">
        <v>42627.671099537038</v>
      </c>
      <c r="B147" s="23" t="s">
        <v>249</v>
      </c>
      <c r="C147" s="23" t="s">
        <v>519</v>
      </c>
      <c r="D147" s="23">
        <v>2000000</v>
      </c>
      <c r="E147" s="23" t="s">
        <v>125</v>
      </c>
      <c r="F147" s="23" t="str">
        <f t="shared" si="4"/>
        <v>rtdc.l.rtdc.4039:itc</v>
      </c>
      <c r="G147" s="8">
        <f t="shared" si="5"/>
        <v>42627.671099537038</v>
      </c>
    </row>
    <row r="148" spans="1:7" x14ac:dyDescent="0.25">
      <c r="A148" s="8">
        <v>42627.672511574077</v>
      </c>
      <c r="B148" s="23" t="s">
        <v>382</v>
      </c>
      <c r="C148" s="23" t="s">
        <v>520</v>
      </c>
      <c r="D148" s="23">
        <v>940000</v>
      </c>
      <c r="E148" s="23" t="s">
        <v>474</v>
      </c>
      <c r="F148" s="23" t="str">
        <f t="shared" si="4"/>
        <v>rtdc.l.rtdc.4003:itc</v>
      </c>
      <c r="G148" s="8">
        <f t="shared" si="5"/>
        <v>42627.672511574077</v>
      </c>
    </row>
    <row r="149" spans="1:7" x14ac:dyDescent="0.25">
      <c r="A149" s="8">
        <v>42627.672847222224</v>
      </c>
      <c r="B149" s="23" t="s">
        <v>177</v>
      </c>
      <c r="C149" s="23" t="s">
        <v>521</v>
      </c>
      <c r="D149" s="23">
        <v>2370000</v>
      </c>
      <c r="E149" s="23" t="s">
        <v>268</v>
      </c>
      <c r="F149" s="23" t="str">
        <f t="shared" si="4"/>
        <v>rtdc.l.rtdc.4026:itc</v>
      </c>
      <c r="G149" s="8">
        <f t="shared" si="5"/>
        <v>42627.672847222224</v>
      </c>
    </row>
    <row r="150" spans="1:7" x14ac:dyDescent="0.25">
      <c r="A150" s="8">
        <v>42627.678344907406</v>
      </c>
      <c r="B150" s="23" t="s">
        <v>169</v>
      </c>
      <c r="C150" s="23" t="s">
        <v>522</v>
      </c>
      <c r="D150" s="23">
        <v>2040000</v>
      </c>
      <c r="E150" s="23" t="s">
        <v>499</v>
      </c>
      <c r="F150" s="23" t="str">
        <f t="shared" si="4"/>
        <v>rtdc.l.rtdc.4020:itc</v>
      </c>
      <c r="G150" s="8">
        <f t="shared" si="5"/>
        <v>42627.678344907406</v>
      </c>
    </row>
    <row r="151" spans="1:7" x14ac:dyDescent="0.25">
      <c r="A151" s="8">
        <v>42627.679525462961</v>
      </c>
      <c r="B151" s="23" t="s">
        <v>405</v>
      </c>
      <c r="C151" s="23" t="s">
        <v>523</v>
      </c>
      <c r="D151" s="23">
        <v>2220000</v>
      </c>
      <c r="E151" s="23" t="s">
        <v>383</v>
      </c>
      <c r="F151" s="23" t="str">
        <f t="shared" si="4"/>
        <v>rtdc.l.rtdc.4043:itc</v>
      </c>
      <c r="G151" s="8">
        <f t="shared" si="5"/>
        <v>42627.679525462961</v>
      </c>
    </row>
    <row r="152" spans="1:7" x14ac:dyDescent="0.25">
      <c r="A152" s="8">
        <v>42627.685474537036</v>
      </c>
      <c r="B152" s="23" t="s">
        <v>107</v>
      </c>
      <c r="C152" s="23" t="s">
        <v>524</v>
      </c>
      <c r="D152" s="23">
        <v>1280000</v>
      </c>
      <c r="E152" s="23" t="s">
        <v>281</v>
      </c>
      <c r="F152" s="23" t="str">
        <f t="shared" si="4"/>
        <v>rtdc.l.rtdc.4014:itc</v>
      </c>
      <c r="G152" s="8">
        <f t="shared" si="5"/>
        <v>42627.685474537036</v>
      </c>
    </row>
    <row r="153" spans="1:7" x14ac:dyDescent="0.25">
      <c r="A153" s="8">
        <v>42627.689895833333</v>
      </c>
      <c r="B153" s="23" t="s">
        <v>182</v>
      </c>
      <c r="C153" s="23" t="s">
        <v>525</v>
      </c>
      <c r="D153" s="23">
        <v>1770000</v>
      </c>
      <c r="E153" s="23" t="s">
        <v>282</v>
      </c>
      <c r="F153" s="23" t="str">
        <f t="shared" si="4"/>
        <v>rtdc.l.rtdc.4041:itc</v>
      </c>
      <c r="G153" s="8">
        <f t="shared" si="5"/>
        <v>42627.689895833333</v>
      </c>
    </row>
    <row r="154" spans="1:7" x14ac:dyDescent="0.25">
      <c r="A154" s="8">
        <v>42627.692893518521</v>
      </c>
      <c r="B154" s="23" t="s">
        <v>343</v>
      </c>
      <c r="C154" s="23" t="s">
        <v>526</v>
      </c>
      <c r="D154" s="23">
        <v>2350000</v>
      </c>
      <c r="E154" s="23" t="s">
        <v>338</v>
      </c>
      <c r="F154" s="23" t="str">
        <f t="shared" si="4"/>
        <v>rtdc.l.rtdc.4053:itc</v>
      </c>
      <c r="G154" s="8">
        <f t="shared" si="5"/>
        <v>42627.692893518521</v>
      </c>
    </row>
    <row r="155" spans="1:7" x14ac:dyDescent="0.25">
      <c r="A155" s="8">
        <v>42627.694305555553</v>
      </c>
      <c r="B155" s="23" t="s">
        <v>168</v>
      </c>
      <c r="C155" s="23" t="s">
        <v>527</v>
      </c>
      <c r="D155" s="23">
        <v>2040000</v>
      </c>
      <c r="E155" s="23" t="s">
        <v>499</v>
      </c>
      <c r="F155" s="23" t="str">
        <f t="shared" si="4"/>
        <v>rtdc.l.rtdc.4019:itc</v>
      </c>
      <c r="G155" s="8">
        <f t="shared" si="5"/>
        <v>42627.694305555553</v>
      </c>
    </row>
    <row r="156" spans="1:7" x14ac:dyDescent="0.25">
      <c r="A156" s="8">
        <v>42627.699513888889</v>
      </c>
      <c r="B156" s="23" t="s">
        <v>176</v>
      </c>
      <c r="C156" s="23" t="s">
        <v>528</v>
      </c>
      <c r="D156" s="23">
        <v>2370000</v>
      </c>
      <c r="E156" s="23" t="s">
        <v>268</v>
      </c>
      <c r="F156" s="23" t="str">
        <f t="shared" si="4"/>
        <v>rtdc.l.rtdc.4025:itc</v>
      </c>
      <c r="G156" s="8">
        <f t="shared" si="5"/>
        <v>42627.699513888889</v>
      </c>
    </row>
    <row r="157" spans="1:7" x14ac:dyDescent="0.25">
      <c r="A157" s="8">
        <v>42627.70212962963</v>
      </c>
      <c r="B157" s="23" t="s">
        <v>270</v>
      </c>
      <c r="C157" s="23" t="s">
        <v>529</v>
      </c>
      <c r="D157" s="23">
        <v>2150000</v>
      </c>
      <c r="E157" s="23" t="s">
        <v>481</v>
      </c>
      <c r="F157" s="23" t="str">
        <f t="shared" si="4"/>
        <v>rtdc.l.rtdc.4028:itc</v>
      </c>
      <c r="G157" s="8">
        <f t="shared" si="5"/>
        <v>42627.70212962963</v>
      </c>
    </row>
    <row r="158" spans="1:7" x14ac:dyDescent="0.25">
      <c r="A158" s="8">
        <v>42627.704270833332</v>
      </c>
      <c r="B158" s="23" t="s">
        <v>391</v>
      </c>
      <c r="C158" s="23" t="s">
        <v>530</v>
      </c>
      <c r="D158" s="23">
        <v>940000</v>
      </c>
      <c r="E158" s="23" t="s">
        <v>474</v>
      </c>
      <c r="F158" s="23" t="str">
        <f t="shared" si="4"/>
        <v>rtdc.l.rtdc.4004:itc</v>
      </c>
      <c r="G158" s="8">
        <f t="shared" si="5"/>
        <v>42627.704270833332</v>
      </c>
    </row>
    <row r="159" spans="1:7" x14ac:dyDescent="0.25">
      <c r="A159" s="8">
        <v>42627.70648148148</v>
      </c>
      <c r="B159" s="23" t="s">
        <v>267</v>
      </c>
      <c r="C159" s="23" t="s">
        <v>531</v>
      </c>
      <c r="D159" s="23">
        <v>2000000</v>
      </c>
      <c r="E159" s="23" t="s">
        <v>125</v>
      </c>
      <c r="F159" s="23" t="str">
        <f t="shared" si="4"/>
        <v>rtdc.l.rtdc.4040:itc</v>
      </c>
      <c r="G159" s="8">
        <f t="shared" si="5"/>
        <v>42627.70648148148</v>
      </c>
    </row>
    <row r="160" spans="1:7" x14ac:dyDescent="0.25">
      <c r="A160" s="8">
        <v>42627.714594907404</v>
      </c>
      <c r="B160" s="23" t="s">
        <v>177</v>
      </c>
      <c r="C160" s="23" t="s">
        <v>532</v>
      </c>
      <c r="D160" s="23">
        <v>2370000</v>
      </c>
      <c r="E160" s="23" t="s">
        <v>268</v>
      </c>
      <c r="F160" s="23" t="str">
        <f t="shared" si="4"/>
        <v>rtdc.l.rtdc.4026:itc</v>
      </c>
      <c r="G160" s="8">
        <f t="shared" si="5"/>
        <v>42627.714594907404</v>
      </c>
    </row>
    <row r="161" spans="1:7" x14ac:dyDescent="0.25">
      <c r="A161" s="8">
        <v>42627.715983796297</v>
      </c>
      <c r="B161" s="23" t="s">
        <v>385</v>
      </c>
      <c r="C161" s="23" t="s">
        <v>533</v>
      </c>
      <c r="D161" s="23">
        <v>1480000</v>
      </c>
      <c r="E161" s="23" t="s">
        <v>534</v>
      </c>
      <c r="F161" s="23" t="str">
        <f t="shared" si="4"/>
        <v>rtdc.l.rtdc.4044:itc</v>
      </c>
      <c r="G161" s="8">
        <f t="shared" si="5"/>
        <v>42627.715983796297</v>
      </c>
    </row>
    <row r="162" spans="1:7" x14ac:dyDescent="0.25">
      <c r="A162" s="8">
        <v>42627.716805555552</v>
      </c>
      <c r="B162" s="23" t="s">
        <v>276</v>
      </c>
      <c r="C162" s="23" t="s">
        <v>535</v>
      </c>
      <c r="D162" s="23">
        <v>1280000</v>
      </c>
      <c r="E162" s="23" t="s">
        <v>281</v>
      </c>
      <c r="F162" s="23" t="str">
        <f t="shared" si="4"/>
        <v>rtdc.l.rtdc.4013:itc</v>
      </c>
      <c r="G162" s="8">
        <f t="shared" si="5"/>
        <v>42627.716805555552</v>
      </c>
    </row>
    <row r="163" spans="1:7" x14ac:dyDescent="0.25">
      <c r="A163" s="8">
        <v>42627.719780092593</v>
      </c>
      <c r="B163" s="23" t="s">
        <v>169</v>
      </c>
      <c r="C163" s="23" t="s">
        <v>536</v>
      </c>
      <c r="D163" s="23">
        <v>2040000</v>
      </c>
      <c r="E163" s="23" t="s">
        <v>499</v>
      </c>
      <c r="F163" s="23" t="str">
        <f t="shared" si="4"/>
        <v>rtdc.l.rtdc.4020:itc</v>
      </c>
      <c r="G163" s="8">
        <f t="shared" si="5"/>
        <v>42627.719780092593</v>
      </c>
    </row>
    <row r="164" spans="1:7" x14ac:dyDescent="0.25">
      <c r="A164" s="8">
        <v>42627.725266203706</v>
      </c>
      <c r="B164" s="23" t="s">
        <v>184</v>
      </c>
      <c r="C164" s="23" t="s">
        <v>537</v>
      </c>
      <c r="D164" s="23">
        <v>2220000</v>
      </c>
      <c r="E164" s="23" t="s">
        <v>383</v>
      </c>
      <c r="F164" s="23" t="str">
        <f t="shared" si="4"/>
        <v>rtdc.l.rtdc.4042:itc</v>
      </c>
      <c r="G164" s="8">
        <f t="shared" si="5"/>
        <v>42627.725266203706</v>
      </c>
    </row>
    <row r="165" spans="1:7" x14ac:dyDescent="0.25">
      <c r="A165" s="8">
        <v>42627.729259259257</v>
      </c>
      <c r="B165" s="23" t="s">
        <v>384</v>
      </c>
      <c r="C165" s="23" t="s">
        <v>538</v>
      </c>
      <c r="D165" s="23">
        <v>1770000</v>
      </c>
      <c r="E165" s="23" t="s">
        <v>282</v>
      </c>
      <c r="F165" s="23" t="str">
        <f t="shared" si="4"/>
        <v>rtdc.l.rtdc.4022:itc</v>
      </c>
      <c r="G165" s="8">
        <f t="shared" si="5"/>
        <v>42627.729259259257</v>
      </c>
    </row>
    <row r="166" spans="1:7" x14ac:dyDescent="0.25">
      <c r="A166" s="8">
        <v>42627.732951388891</v>
      </c>
      <c r="B166" s="23" t="s">
        <v>342</v>
      </c>
      <c r="C166" s="23" t="s">
        <v>539</v>
      </c>
      <c r="D166" s="23">
        <v>2350000</v>
      </c>
      <c r="E166" s="23" t="s">
        <v>338</v>
      </c>
      <c r="F166" s="23" t="str">
        <f t="shared" si="4"/>
        <v>rtdc.l.rtdc.4054:itc</v>
      </c>
      <c r="G166" s="8">
        <f t="shared" si="5"/>
        <v>42627.732951388891</v>
      </c>
    </row>
    <row r="167" spans="1:7" x14ac:dyDescent="0.25">
      <c r="A167" s="8">
        <v>42627.735266203701</v>
      </c>
      <c r="B167" s="23" t="s">
        <v>168</v>
      </c>
      <c r="C167" s="23" t="s">
        <v>540</v>
      </c>
      <c r="D167" s="23">
        <v>2040000</v>
      </c>
      <c r="E167" s="23" t="s">
        <v>499</v>
      </c>
      <c r="F167" s="23" t="str">
        <f t="shared" si="4"/>
        <v>rtdc.l.rtdc.4019:itc</v>
      </c>
      <c r="G167" s="8">
        <f t="shared" si="5"/>
        <v>42627.735266203701</v>
      </c>
    </row>
    <row r="168" spans="1:7" x14ac:dyDescent="0.25">
      <c r="A168" s="8">
        <v>42627.737187500003</v>
      </c>
      <c r="B168" s="23" t="s">
        <v>301</v>
      </c>
      <c r="C168" s="23" t="s">
        <v>541</v>
      </c>
      <c r="D168" s="23">
        <v>2230000</v>
      </c>
      <c r="E168" s="23" t="s">
        <v>340</v>
      </c>
      <c r="F168" s="23" t="str">
        <f t="shared" si="4"/>
        <v>rtdc.l.rtdc.4027:itc</v>
      </c>
      <c r="G168" s="8">
        <f t="shared" si="5"/>
        <v>42627.737187500003</v>
      </c>
    </row>
    <row r="169" spans="1:7" x14ac:dyDescent="0.25">
      <c r="A169" s="8">
        <v>42627.741909722223</v>
      </c>
      <c r="B169" s="23" t="s">
        <v>176</v>
      </c>
      <c r="C169" s="23" t="s">
        <v>542</v>
      </c>
      <c r="D169" s="23">
        <v>2370000</v>
      </c>
      <c r="E169" s="23" t="s">
        <v>268</v>
      </c>
      <c r="F169" s="23" t="str">
        <f t="shared" si="4"/>
        <v>rtdc.l.rtdc.4025:itc</v>
      </c>
      <c r="G169" s="8">
        <f t="shared" si="5"/>
        <v>42627.741909722223</v>
      </c>
    </row>
    <row r="170" spans="1:7" x14ac:dyDescent="0.25">
      <c r="A170" s="8">
        <v>42627.744525462964</v>
      </c>
      <c r="B170" s="23" t="s">
        <v>249</v>
      </c>
      <c r="C170" s="23" t="s">
        <v>543</v>
      </c>
      <c r="D170" s="23">
        <v>2000000</v>
      </c>
      <c r="E170" s="23" t="s">
        <v>125</v>
      </c>
      <c r="F170" s="23" t="str">
        <f t="shared" si="4"/>
        <v>rtdc.l.rtdc.4039:itc</v>
      </c>
      <c r="G170" s="8">
        <f t="shared" si="5"/>
        <v>42627.744525462964</v>
      </c>
    </row>
    <row r="171" spans="1:7" x14ac:dyDescent="0.25">
      <c r="A171" s="8">
        <v>42627.746631944443</v>
      </c>
      <c r="B171" s="23" t="s">
        <v>382</v>
      </c>
      <c r="C171" s="23" t="s">
        <v>544</v>
      </c>
      <c r="D171" s="23">
        <v>2150000</v>
      </c>
      <c r="E171" s="23" t="s">
        <v>481</v>
      </c>
      <c r="F171" s="23" t="str">
        <f t="shared" si="4"/>
        <v>rtdc.l.rtdc.4003:itc</v>
      </c>
      <c r="G171" s="8">
        <f t="shared" si="5"/>
        <v>42627.746631944443</v>
      </c>
    </row>
    <row r="172" spans="1:7" x14ac:dyDescent="0.25">
      <c r="A172" s="8">
        <v>42627.751585648148</v>
      </c>
      <c r="B172" s="23" t="s">
        <v>183</v>
      </c>
      <c r="C172" s="23" t="s">
        <v>545</v>
      </c>
      <c r="D172" s="23">
        <v>1200000</v>
      </c>
      <c r="E172" s="23" t="s">
        <v>188</v>
      </c>
      <c r="F172" s="23" t="str">
        <f t="shared" si="4"/>
        <v>rtdc.l.rtdc.4010:itc</v>
      </c>
      <c r="G172" s="8">
        <f t="shared" si="5"/>
        <v>42627.751585648148</v>
      </c>
    </row>
    <row r="173" spans="1:7" x14ac:dyDescent="0.25">
      <c r="A173" s="8">
        <v>42627.754189814812</v>
      </c>
      <c r="B173" s="23" t="s">
        <v>183</v>
      </c>
      <c r="C173" s="23" t="s">
        <v>545</v>
      </c>
      <c r="D173" s="23">
        <v>1200000</v>
      </c>
      <c r="E173" s="23" t="s">
        <v>188</v>
      </c>
      <c r="F173" s="23" t="str">
        <f t="shared" si="4"/>
        <v>rtdc.l.rtdc.4010:itc</v>
      </c>
      <c r="G173" s="8">
        <f t="shared" si="5"/>
        <v>42627.754189814812</v>
      </c>
    </row>
    <row r="174" spans="1:7" x14ac:dyDescent="0.25">
      <c r="A174" s="8">
        <v>42627.754907407405</v>
      </c>
      <c r="B174" s="23" t="s">
        <v>405</v>
      </c>
      <c r="C174" s="23" t="s">
        <v>546</v>
      </c>
      <c r="D174" s="23">
        <v>1480000</v>
      </c>
      <c r="E174" s="23" t="s">
        <v>534</v>
      </c>
      <c r="F174" s="23" t="str">
        <f t="shared" si="4"/>
        <v>rtdc.l.rtdc.4043:itc</v>
      </c>
      <c r="G174" s="8">
        <f t="shared" si="5"/>
        <v>42627.754907407405</v>
      </c>
    </row>
    <row r="175" spans="1:7" x14ac:dyDescent="0.25">
      <c r="A175" s="8">
        <v>42627.756423611114</v>
      </c>
      <c r="B175" s="23" t="s">
        <v>107</v>
      </c>
      <c r="C175" s="23" t="s">
        <v>547</v>
      </c>
      <c r="D175" s="23">
        <v>1300000</v>
      </c>
      <c r="E175" s="23" t="s">
        <v>124</v>
      </c>
      <c r="F175" s="23" t="str">
        <f t="shared" si="4"/>
        <v>rtdc.l.rtdc.4014:itc</v>
      </c>
      <c r="G175" s="8">
        <f t="shared" si="5"/>
        <v>42627.756423611114</v>
      </c>
    </row>
    <row r="176" spans="1:7" x14ac:dyDescent="0.25">
      <c r="A176" s="8">
        <v>42627.757094907407</v>
      </c>
      <c r="B176" s="23" t="s">
        <v>177</v>
      </c>
      <c r="C176" s="23" t="s">
        <v>548</v>
      </c>
      <c r="D176" s="23">
        <v>2370000</v>
      </c>
      <c r="E176" s="23" t="s">
        <v>268</v>
      </c>
      <c r="F176" s="23" t="str">
        <f t="shared" si="4"/>
        <v>rtdc.l.rtdc.4026:itc</v>
      </c>
      <c r="G176" s="8">
        <f t="shared" si="5"/>
        <v>42627.757094907407</v>
      </c>
    </row>
    <row r="177" spans="1:7" x14ac:dyDescent="0.25">
      <c r="A177" s="8">
        <v>42627.761979166666</v>
      </c>
      <c r="B177" s="23" t="s">
        <v>169</v>
      </c>
      <c r="C177" s="23" t="s">
        <v>549</v>
      </c>
      <c r="D177" s="23">
        <v>2040000</v>
      </c>
      <c r="E177" s="23" t="s">
        <v>499</v>
      </c>
      <c r="F177" s="23" t="str">
        <f t="shared" si="4"/>
        <v>rtdc.l.rtdc.4020:itc</v>
      </c>
      <c r="G177" s="8">
        <f t="shared" si="5"/>
        <v>42627.761979166666</v>
      </c>
    </row>
    <row r="178" spans="1:7" x14ac:dyDescent="0.25">
      <c r="A178" s="8">
        <v>42627.762523148151</v>
      </c>
      <c r="B178" s="23" t="s">
        <v>182</v>
      </c>
      <c r="C178" s="23" t="s">
        <v>550</v>
      </c>
      <c r="D178" s="23">
        <v>2220000</v>
      </c>
      <c r="E178" s="23" t="s">
        <v>383</v>
      </c>
      <c r="F178" s="23" t="str">
        <f t="shared" si="4"/>
        <v>rtdc.l.rtdc.4041:itc</v>
      </c>
      <c r="G178" s="8">
        <f t="shared" si="5"/>
        <v>42627.762523148151</v>
      </c>
    </row>
    <row r="179" spans="1:7" x14ac:dyDescent="0.25">
      <c r="A179" s="8">
        <v>42627.768009259256</v>
      </c>
      <c r="B179" s="23" t="s">
        <v>343</v>
      </c>
      <c r="C179" s="23" t="s">
        <v>551</v>
      </c>
      <c r="D179" s="23">
        <v>1290000</v>
      </c>
      <c r="E179" s="23" t="s">
        <v>178</v>
      </c>
      <c r="F179" s="23" t="str">
        <f t="shared" si="4"/>
        <v>rtdc.l.rtdc.4053:itc</v>
      </c>
      <c r="G179" s="8">
        <f t="shared" si="5"/>
        <v>42627.768009259256</v>
      </c>
    </row>
    <row r="180" spans="1:7" x14ac:dyDescent="0.25">
      <c r="A180" s="8">
        <v>42627.770486111112</v>
      </c>
      <c r="B180" s="23" t="s">
        <v>270</v>
      </c>
      <c r="C180" s="23" t="s">
        <v>552</v>
      </c>
      <c r="D180" s="23">
        <v>2230000</v>
      </c>
      <c r="E180" s="23" t="s">
        <v>340</v>
      </c>
      <c r="F180" s="23" t="str">
        <f t="shared" si="4"/>
        <v>rtdc.l.rtdc.4028:itc</v>
      </c>
      <c r="G180" s="8">
        <f t="shared" si="5"/>
        <v>42627.770486111112</v>
      </c>
    </row>
    <row r="181" spans="1:7" x14ac:dyDescent="0.25">
      <c r="A181" s="8">
        <v>42627.775046296294</v>
      </c>
      <c r="B181" s="23" t="s">
        <v>130</v>
      </c>
      <c r="C181" s="23" t="s">
        <v>553</v>
      </c>
      <c r="D181" s="23">
        <v>1780000</v>
      </c>
      <c r="E181" s="23" t="s">
        <v>381</v>
      </c>
      <c r="F181" s="23" t="str">
        <f t="shared" si="4"/>
        <v>rtdc.l.rtdc.4038:itc</v>
      </c>
      <c r="G181" s="8">
        <f t="shared" si="5"/>
        <v>42627.775046296294</v>
      </c>
    </row>
    <row r="182" spans="1:7" x14ac:dyDescent="0.25">
      <c r="A182" s="8">
        <v>42627.776377314818</v>
      </c>
      <c r="B182" s="23" t="s">
        <v>168</v>
      </c>
      <c r="C182" s="23" t="s">
        <v>554</v>
      </c>
      <c r="D182" s="23">
        <v>2040000</v>
      </c>
      <c r="E182" s="23" t="s">
        <v>499</v>
      </c>
      <c r="F182" s="23" t="str">
        <f t="shared" si="4"/>
        <v>rtdc.l.rtdc.4019:itc</v>
      </c>
      <c r="G182" s="8">
        <f t="shared" si="5"/>
        <v>42627.776377314818</v>
      </c>
    </row>
    <row r="183" spans="1:7" x14ac:dyDescent="0.25">
      <c r="A183" s="8">
        <v>42627.776550925926</v>
      </c>
      <c r="B183" s="23" t="s">
        <v>267</v>
      </c>
      <c r="C183" s="23" t="s">
        <v>555</v>
      </c>
      <c r="D183" s="23">
        <v>2000000</v>
      </c>
      <c r="E183" s="23" t="s">
        <v>125</v>
      </c>
      <c r="F183" s="23" t="str">
        <f t="shared" si="4"/>
        <v>rtdc.l.rtdc.4040:itc</v>
      </c>
      <c r="G183" s="8">
        <f t="shared" si="5"/>
        <v>42627.776550925926</v>
      </c>
    </row>
    <row r="184" spans="1:7" x14ac:dyDescent="0.25">
      <c r="A184" s="8">
        <v>42627.779039351852</v>
      </c>
      <c r="B184" s="23" t="s">
        <v>343</v>
      </c>
      <c r="C184" s="23" t="s">
        <v>551</v>
      </c>
      <c r="D184" s="23">
        <v>1290000</v>
      </c>
      <c r="E184" s="23" t="s">
        <v>178</v>
      </c>
      <c r="F184" s="23" t="str">
        <f t="shared" si="4"/>
        <v>rtdc.l.rtdc.4053:itc</v>
      </c>
      <c r="G184" s="8">
        <f t="shared" si="5"/>
        <v>42627.779039351852</v>
      </c>
    </row>
    <row r="185" spans="1:7" x14ac:dyDescent="0.25">
      <c r="A185" s="8">
        <v>42627.780243055553</v>
      </c>
      <c r="B185" s="23" t="s">
        <v>391</v>
      </c>
      <c r="C185" s="23" t="s">
        <v>556</v>
      </c>
      <c r="D185" s="23">
        <v>2150000</v>
      </c>
      <c r="E185" s="23" t="s">
        <v>481</v>
      </c>
      <c r="F185" s="23" t="str">
        <f t="shared" si="4"/>
        <v>rtdc.l.rtdc.4004:itc</v>
      </c>
      <c r="G185" s="8">
        <f t="shared" si="5"/>
        <v>42627.780243055553</v>
      </c>
    </row>
    <row r="186" spans="1:7" x14ac:dyDescent="0.25">
      <c r="A186" s="8">
        <v>42627.783437500002</v>
      </c>
      <c r="B186" s="23" t="s">
        <v>176</v>
      </c>
      <c r="C186" s="23" t="s">
        <v>557</v>
      </c>
      <c r="D186" s="23">
        <v>2370000</v>
      </c>
      <c r="E186" s="23" t="s">
        <v>268</v>
      </c>
      <c r="F186" s="23" t="str">
        <f t="shared" si="4"/>
        <v>rtdc.l.rtdc.4025:itc</v>
      </c>
      <c r="G186" s="8">
        <f t="shared" si="5"/>
        <v>42627.783437500002</v>
      </c>
    </row>
    <row r="187" spans="1:7" x14ac:dyDescent="0.25">
      <c r="A187" s="8">
        <v>42627.787280092591</v>
      </c>
      <c r="B187" s="23" t="s">
        <v>385</v>
      </c>
      <c r="C187" s="23" t="s">
        <v>558</v>
      </c>
      <c r="D187" s="23">
        <v>1480000</v>
      </c>
      <c r="E187" s="23" t="s">
        <v>534</v>
      </c>
      <c r="F187" s="23" t="str">
        <f t="shared" si="4"/>
        <v>rtdc.l.rtdc.4044:itc</v>
      </c>
      <c r="G187" s="8">
        <f t="shared" si="5"/>
        <v>42627.787280092591</v>
      </c>
    </row>
    <row r="188" spans="1:7" x14ac:dyDescent="0.25">
      <c r="A188" s="8">
        <v>42627.794085648151</v>
      </c>
      <c r="B188" s="23" t="s">
        <v>276</v>
      </c>
      <c r="C188" s="23" t="s">
        <v>559</v>
      </c>
      <c r="D188" s="23">
        <v>1300000</v>
      </c>
      <c r="E188" s="23" t="s">
        <v>124</v>
      </c>
      <c r="F188" s="23" t="str">
        <f t="shared" si="4"/>
        <v>rtdc.l.rtdc.4013:itc</v>
      </c>
      <c r="G188" s="8">
        <f t="shared" si="5"/>
        <v>42627.794085648151</v>
      </c>
    </row>
    <row r="189" spans="1:7" x14ac:dyDescent="0.25">
      <c r="A189" s="8">
        <v>42627.797754629632</v>
      </c>
      <c r="B189" s="23" t="s">
        <v>177</v>
      </c>
      <c r="C189" s="23" t="s">
        <v>560</v>
      </c>
      <c r="D189" s="23">
        <v>2370000</v>
      </c>
      <c r="E189" s="23" t="s">
        <v>268</v>
      </c>
      <c r="F189" s="23" t="str">
        <f t="shared" si="4"/>
        <v>rtdc.l.rtdc.4026:itc</v>
      </c>
      <c r="G189" s="8">
        <f t="shared" si="5"/>
        <v>42627.797754629632</v>
      </c>
    </row>
    <row r="190" spans="1:7" x14ac:dyDescent="0.25">
      <c r="A190" s="8">
        <v>42627.799074074072</v>
      </c>
      <c r="B190" s="23" t="s">
        <v>184</v>
      </c>
      <c r="C190" s="23" t="s">
        <v>561</v>
      </c>
      <c r="D190" s="23">
        <v>2220000</v>
      </c>
      <c r="E190" s="23" t="s">
        <v>383</v>
      </c>
      <c r="F190" s="23" t="str">
        <f t="shared" si="4"/>
        <v>rtdc.l.rtdc.4042:itc</v>
      </c>
      <c r="G190" s="8">
        <f t="shared" si="5"/>
        <v>42627.799074074072</v>
      </c>
    </row>
    <row r="191" spans="1:7" x14ac:dyDescent="0.25">
      <c r="A191" s="8">
        <v>42627.803483796299</v>
      </c>
      <c r="B191" s="23" t="s">
        <v>169</v>
      </c>
      <c r="C191" s="23" t="s">
        <v>562</v>
      </c>
      <c r="D191" s="23">
        <v>2040000</v>
      </c>
      <c r="E191" s="23" t="s">
        <v>499</v>
      </c>
      <c r="F191" s="23" t="str">
        <f t="shared" si="4"/>
        <v>rtdc.l.rtdc.4020:itc</v>
      </c>
      <c r="G191" s="8">
        <f t="shared" si="5"/>
        <v>42627.803483796299</v>
      </c>
    </row>
    <row r="192" spans="1:7" x14ac:dyDescent="0.25">
      <c r="A192" s="8">
        <v>42627.807164351849</v>
      </c>
      <c r="B192" s="23" t="s">
        <v>342</v>
      </c>
      <c r="C192" s="23" t="s">
        <v>563</v>
      </c>
      <c r="D192" s="23">
        <v>1290000</v>
      </c>
      <c r="E192" s="23" t="s">
        <v>178</v>
      </c>
      <c r="F192" s="23" t="str">
        <f t="shared" si="4"/>
        <v>rtdc.l.rtdc.4054:itc</v>
      </c>
      <c r="G192" s="8">
        <f t="shared" si="5"/>
        <v>42627.807164351849</v>
      </c>
    </row>
    <row r="193" spans="1:7" x14ac:dyDescent="0.25">
      <c r="A193" s="8">
        <v>42627.810196759259</v>
      </c>
      <c r="B193" s="23" t="s">
        <v>301</v>
      </c>
      <c r="C193" s="23" t="s">
        <v>564</v>
      </c>
      <c r="D193" s="23">
        <v>2230000</v>
      </c>
      <c r="E193" s="23" t="s">
        <v>340</v>
      </c>
      <c r="F193" s="23" t="str">
        <f t="shared" si="4"/>
        <v>rtdc.l.rtdc.4027:itc</v>
      </c>
      <c r="G193" s="8">
        <f t="shared" si="5"/>
        <v>42627.810196759259</v>
      </c>
    </row>
    <row r="194" spans="1:7" x14ac:dyDescent="0.25">
      <c r="A194" s="8">
        <v>42627.820729166669</v>
      </c>
      <c r="B194" s="23" t="s">
        <v>168</v>
      </c>
      <c r="C194" s="23" t="s">
        <v>565</v>
      </c>
      <c r="D194" s="23">
        <v>2040000</v>
      </c>
      <c r="E194" s="23" t="s">
        <v>499</v>
      </c>
      <c r="F194" s="23" t="str">
        <f t="shared" ref="F194:F235" si="6">B194</f>
        <v>rtdc.l.rtdc.4019:itc</v>
      </c>
      <c r="G194" s="8">
        <f t="shared" ref="G194:G235" si="7">A194</f>
        <v>42627.820729166669</v>
      </c>
    </row>
    <row r="195" spans="1:7" x14ac:dyDescent="0.25">
      <c r="A195" s="8">
        <v>42627.820925925924</v>
      </c>
      <c r="B195" s="23" t="s">
        <v>382</v>
      </c>
      <c r="C195" s="23" t="s">
        <v>566</v>
      </c>
      <c r="D195" s="23">
        <v>2150000</v>
      </c>
      <c r="E195" s="23" t="s">
        <v>481</v>
      </c>
      <c r="F195" s="23" t="str">
        <f t="shared" si="6"/>
        <v>rtdc.l.rtdc.4003:itc</v>
      </c>
      <c r="G195" s="8">
        <f t="shared" si="7"/>
        <v>42627.820925925924</v>
      </c>
    </row>
    <row r="196" spans="1:7" x14ac:dyDescent="0.25">
      <c r="A196" s="8">
        <v>42627.82172453704</v>
      </c>
      <c r="B196" s="23" t="s">
        <v>168</v>
      </c>
      <c r="C196" s="23" t="s">
        <v>565</v>
      </c>
      <c r="D196" s="23">
        <v>2040000</v>
      </c>
      <c r="E196" s="23" t="s">
        <v>499</v>
      </c>
      <c r="F196" s="23" t="str">
        <f t="shared" si="6"/>
        <v>rtdc.l.rtdc.4019:itc</v>
      </c>
      <c r="G196" s="8">
        <f t="shared" si="7"/>
        <v>42627.82172453704</v>
      </c>
    </row>
    <row r="197" spans="1:7" x14ac:dyDescent="0.25">
      <c r="A197" s="8">
        <v>42627.824988425928</v>
      </c>
      <c r="B197" s="23" t="s">
        <v>405</v>
      </c>
      <c r="C197" s="23" t="s">
        <v>567</v>
      </c>
      <c r="D197" s="23">
        <v>1480000</v>
      </c>
      <c r="E197" s="23" t="s">
        <v>534</v>
      </c>
      <c r="F197" s="23" t="str">
        <f t="shared" si="6"/>
        <v>rtdc.l.rtdc.4043:itc</v>
      </c>
      <c r="G197" s="8">
        <f t="shared" si="7"/>
        <v>42627.824988425928</v>
      </c>
    </row>
    <row r="198" spans="1:7" x14ac:dyDescent="0.25">
      <c r="A198" s="8">
        <v>42627.827430555553</v>
      </c>
      <c r="B198" s="23" t="s">
        <v>107</v>
      </c>
      <c r="C198" s="23" t="s">
        <v>568</v>
      </c>
      <c r="D198" s="23">
        <v>1300000</v>
      </c>
      <c r="E198" s="23" t="s">
        <v>124</v>
      </c>
      <c r="F198" s="23" t="str">
        <f t="shared" si="6"/>
        <v>rtdc.l.rtdc.4014:itc</v>
      </c>
      <c r="G198" s="8">
        <f t="shared" si="7"/>
        <v>42627.827430555553</v>
      </c>
    </row>
    <row r="199" spans="1:7" x14ac:dyDescent="0.25">
      <c r="A199" s="8">
        <v>42627.845057870371</v>
      </c>
      <c r="B199" s="23" t="s">
        <v>169</v>
      </c>
      <c r="C199" s="23" t="s">
        <v>569</v>
      </c>
      <c r="D199" s="23">
        <v>2040000</v>
      </c>
      <c r="E199" s="23" t="s">
        <v>499</v>
      </c>
      <c r="F199" s="23" t="str">
        <f t="shared" si="6"/>
        <v>rtdc.l.rtdc.4020:itc</v>
      </c>
      <c r="G199" s="8">
        <f t="shared" si="7"/>
        <v>42627.845057870371</v>
      </c>
    </row>
    <row r="200" spans="1:7" x14ac:dyDescent="0.25">
      <c r="A200" s="8">
        <v>42627.846724537034</v>
      </c>
      <c r="B200" s="23" t="s">
        <v>270</v>
      </c>
      <c r="C200" s="23" t="s">
        <v>570</v>
      </c>
      <c r="D200" s="23">
        <v>2230000</v>
      </c>
      <c r="E200" s="23" t="s">
        <v>340</v>
      </c>
      <c r="F200" s="23" t="str">
        <f t="shared" si="6"/>
        <v>rtdc.l.rtdc.4028:itc</v>
      </c>
      <c r="G200" s="8">
        <f t="shared" si="7"/>
        <v>42627.846724537034</v>
      </c>
    </row>
    <row r="201" spans="1:7" x14ac:dyDescent="0.25">
      <c r="A201" s="8">
        <v>42627.852442129632</v>
      </c>
      <c r="B201" s="23" t="s">
        <v>343</v>
      </c>
      <c r="C201" s="23" t="s">
        <v>571</v>
      </c>
      <c r="D201" s="23">
        <v>1290000</v>
      </c>
      <c r="E201" s="23" t="s">
        <v>178</v>
      </c>
      <c r="F201" s="23" t="str">
        <f t="shared" si="6"/>
        <v>rtdc.l.rtdc.4053:itc</v>
      </c>
      <c r="G201" s="8">
        <f t="shared" si="7"/>
        <v>42627.852442129632</v>
      </c>
    </row>
    <row r="202" spans="1:7" x14ac:dyDescent="0.25">
      <c r="A202" s="29">
        <v>42627.859849537039</v>
      </c>
      <c r="B202" s="23" t="s">
        <v>168</v>
      </c>
      <c r="C202" s="23" t="s">
        <v>572</v>
      </c>
      <c r="D202" s="23">
        <v>2040000</v>
      </c>
      <c r="E202" s="23" t="s">
        <v>499</v>
      </c>
      <c r="F202" s="23" t="str">
        <f t="shared" si="6"/>
        <v>rtdc.l.rtdc.4019:itc</v>
      </c>
      <c r="G202" s="8">
        <f t="shared" si="7"/>
        <v>42627.859849537039</v>
      </c>
    </row>
    <row r="203" spans="1:7" x14ac:dyDescent="0.25">
      <c r="A203" s="8">
        <v>42627.866006944445</v>
      </c>
      <c r="B203" s="23" t="s">
        <v>385</v>
      </c>
      <c r="C203" s="23" t="s">
        <v>573</v>
      </c>
      <c r="D203" s="23">
        <v>1480000</v>
      </c>
      <c r="E203" s="23" t="s">
        <v>534</v>
      </c>
      <c r="F203" s="23" t="str">
        <f t="shared" si="6"/>
        <v>rtdc.l.rtdc.4044:itc</v>
      </c>
      <c r="G203" s="8">
        <f t="shared" si="7"/>
        <v>42627.866006944445</v>
      </c>
    </row>
    <row r="204" spans="1:7" x14ac:dyDescent="0.25">
      <c r="A204" s="8">
        <v>42627.869293981479</v>
      </c>
      <c r="B204" s="23" t="s">
        <v>276</v>
      </c>
      <c r="C204" s="23" t="s">
        <v>574</v>
      </c>
      <c r="D204" s="23">
        <v>1300000</v>
      </c>
      <c r="E204" s="23" t="s">
        <v>124</v>
      </c>
      <c r="F204" s="23" t="str">
        <f t="shared" si="6"/>
        <v>rtdc.l.rtdc.4013:itc</v>
      </c>
      <c r="G204" s="8">
        <f t="shared" si="7"/>
        <v>42627.869293981479</v>
      </c>
    </row>
    <row r="205" spans="1:7" x14ac:dyDescent="0.25">
      <c r="A205" s="8">
        <v>42627.885023148148</v>
      </c>
      <c r="B205" s="23" t="s">
        <v>169</v>
      </c>
      <c r="C205" s="23" t="s">
        <v>575</v>
      </c>
      <c r="D205" s="23">
        <v>2370000</v>
      </c>
      <c r="E205" s="23" t="s">
        <v>268</v>
      </c>
      <c r="F205" s="23" t="str">
        <f t="shared" si="6"/>
        <v>rtdc.l.rtdc.4020:itc</v>
      </c>
      <c r="G205" s="8">
        <f t="shared" si="7"/>
        <v>42627.885023148148</v>
      </c>
    </row>
    <row r="206" spans="1:7" x14ac:dyDescent="0.25">
      <c r="A206" s="8">
        <v>42627.888819444444</v>
      </c>
      <c r="B206" s="23" t="s">
        <v>342</v>
      </c>
      <c r="C206" s="23" t="s">
        <v>576</v>
      </c>
      <c r="D206" s="23">
        <v>1290000</v>
      </c>
      <c r="E206" s="23" t="s">
        <v>178</v>
      </c>
      <c r="F206" s="23" t="str">
        <f t="shared" si="6"/>
        <v>rtdc.l.rtdc.4054:itc</v>
      </c>
      <c r="G206" s="8">
        <f t="shared" si="7"/>
        <v>42627.888819444444</v>
      </c>
    </row>
    <row r="207" spans="1:7" x14ac:dyDescent="0.25">
      <c r="A207" s="8">
        <v>42627.893634259257</v>
      </c>
      <c r="B207" s="23" t="s">
        <v>301</v>
      </c>
      <c r="C207" s="23" t="s">
        <v>577</v>
      </c>
      <c r="D207" s="23">
        <v>2230000</v>
      </c>
      <c r="E207" s="23" t="s">
        <v>340</v>
      </c>
      <c r="F207" s="23" t="str">
        <f t="shared" si="6"/>
        <v>rtdc.l.rtdc.4027:itc</v>
      </c>
      <c r="G207" s="8">
        <f t="shared" si="7"/>
        <v>42627.893634259257</v>
      </c>
    </row>
    <row r="208" spans="1:7" x14ac:dyDescent="0.25">
      <c r="A208" s="8">
        <v>42627.902986111112</v>
      </c>
      <c r="B208" s="23" t="s">
        <v>168</v>
      </c>
      <c r="C208" s="23" t="s">
        <v>578</v>
      </c>
      <c r="D208" s="23">
        <v>2370000</v>
      </c>
      <c r="E208" s="23" t="s">
        <v>268</v>
      </c>
      <c r="F208" s="23" t="str">
        <f t="shared" si="6"/>
        <v>rtdc.l.rtdc.4019:itc</v>
      </c>
      <c r="G208" s="8">
        <f t="shared" si="7"/>
        <v>42627.902986111112</v>
      </c>
    </row>
    <row r="209" spans="1:7" x14ac:dyDescent="0.25">
      <c r="A209" s="8">
        <v>42627.908692129633</v>
      </c>
      <c r="B209" s="23" t="s">
        <v>405</v>
      </c>
      <c r="C209" s="23" t="s">
        <v>579</v>
      </c>
      <c r="D209" s="23">
        <v>1480000</v>
      </c>
      <c r="E209" s="23" t="s">
        <v>534</v>
      </c>
      <c r="F209" s="23" t="str">
        <f t="shared" si="6"/>
        <v>rtdc.l.rtdc.4043:itc</v>
      </c>
      <c r="G209" s="8">
        <f t="shared" si="7"/>
        <v>42627.908692129633</v>
      </c>
    </row>
    <row r="210" spans="1:7" x14ac:dyDescent="0.25">
      <c r="A210" s="8">
        <v>42627.913703703707</v>
      </c>
      <c r="B210" s="23" t="s">
        <v>107</v>
      </c>
      <c r="C210" s="23" t="s">
        <v>580</v>
      </c>
      <c r="D210" s="23">
        <v>1300000</v>
      </c>
      <c r="E210" s="23" t="s">
        <v>124</v>
      </c>
      <c r="F210" s="23" t="str">
        <f t="shared" si="6"/>
        <v>rtdc.l.rtdc.4014:itc</v>
      </c>
      <c r="G210" s="8">
        <f t="shared" si="7"/>
        <v>42627.913703703707</v>
      </c>
    </row>
    <row r="211" spans="1:7" x14ac:dyDescent="0.25">
      <c r="A211" s="8">
        <v>42627.926585648151</v>
      </c>
      <c r="B211" s="23" t="s">
        <v>169</v>
      </c>
      <c r="C211" s="23" t="s">
        <v>581</v>
      </c>
      <c r="D211" s="23">
        <v>2370000</v>
      </c>
      <c r="E211" s="23" t="s">
        <v>268</v>
      </c>
      <c r="F211" s="23" t="str">
        <f t="shared" si="6"/>
        <v>rtdc.l.rtdc.4020:itc</v>
      </c>
      <c r="G211" s="8">
        <f t="shared" si="7"/>
        <v>42627.926585648151</v>
      </c>
    </row>
    <row r="212" spans="1:7" x14ac:dyDescent="0.25">
      <c r="A212" s="8">
        <v>42627.932372685187</v>
      </c>
      <c r="B212" s="23" t="s">
        <v>270</v>
      </c>
      <c r="C212" s="23" t="s">
        <v>582</v>
      </c>
      <c r="D212" s="23">
        <v>2230000</v>
      </c>
      <c r="E212" s="23" t="s">
        <v>340</v>
      </c>
      <c r="F212" s="23" t="str">
        <f t="shared" si="6"/>
        <v>rtdc.l.rtdc.4028:itc</v>
      </c>
      <c r="G212" s="8">
        <f t="shared" si="7"/>
        <v>42627.932372685187</v>
      </c>
    </row>
    <row r="213" spans="1:7" x14ac:dyDescent="0.25">
      <c r="A213" s="8">
        <v>42627.935752314814</v>
      </c>
      <c r="B213" s="23" t="s">
        <v>343</v>
      </c>
      <c r="C213" s="23" t="s">
        <v>583</v>
      </c>
      <c r="D213" s="23">
        <v>1290000</v>
      </c>
      <c r="E213" s="23" t="s">
        <v>178</v>
      </c>
      <c r="F213" s="23" t="str">
        <f t="shared" si="6"/>
        <v>rtdc.l.rtdc.4053:itc</v>
      </c>
      <c r="G213" s="8">
        <f t="shared" si="7"/>
        <v>42627.935752314814</v>
      </c>
    </row>
    <row r="214" spans="1:7" x14ac:dyDescent="0.25">
      <c r="A214" s="8">
        <v>42627.945208333331</v>
      </c>
      <c r="B214" s="23" t="s">
        <v>168</v>
      </c>
      <c r="C214" s="23" t="s">
        <v>584</v>
      </c>
      <c r="D214" s="23">
        <v>2370000</v>
      </c>
      <c r="E214" s="23" t="s">
        <v>268</v>
      </c>
      <c r="F214" s="23" t="str">
        <f t="shared" si="6"/>
        <v>rtdc.l.rtdc.4019:itc</v>
      </c>
      <c r="G214" s="8">
        <f t="shared" si="7"/>
        <v>42627.945208333331</v>
      </c>
    </row>
    <row r="215" spans="1:7" x14ac:dyDescent="0.25">
      <c r="A215" s="8">
        <v>42627.950173611112</v>
      </c>
      <c r="B215" s="23" t="s">
        <v>276</v>
      </c>
      <c r="C215" s="23" t="s">
        <v>585</v>
      </c>
      <c r="D215" s="23">
        <v>1300000</v>
      </c>
      <c r="E215" s="23" t="s">
        <v>124</v>
      </c>
      <c r="F215" s="23" t="str">
        <f t="shared" si="6"/>
        <v>rtdc.l.rtdc.4013:itc</v>
      </c>
      <c r="G215" s="8">
        <f t="shared" si="7"/>
        <v>42627.950173611112</v>
      </c>
    </row>
    <row r="216" spans="1:7" x14ac:dyDescent="0.25">
      <c r="A216" s="8">
        <v>42627.951099537036</v>
      </c>
      <c r="B216" s="23" t="s">
        <v>385</v>
      </c>
      <c r="C216" s="23" t="s">
        <v>586</v>
      </c>
      <c r="D216" s="23">
        <v>1480000</v>
      </c>
      <c r="E216" s="23" t="s">
        <v>534</v>
      </c>
      <c r="F216" s="23" t="str">
        <f t="shared" si="6"/>
        <v>rtdc.l.rtdc.4044:itc</v>
      </c>
      <c r="G216" s="8">
        <f t="shared" si="7"/>
        <v>42627.951099537036</v>
      </c>
    </row>
    <row r="217" spans="1:7" x14ac:dyDescent="0.25">
      <c r="A217" s="8">
        <v>42627.973043981481</v>
      </c>
      <c r="B217" s="23" t="s">
        <v>342</v>
      </c>
      <c r="C217" s="23" t="s">
        <v>587</v>
      </c>
      <c r="D217" s="23">
        <v>1290000</v>
      </c>
      <c r="E217" s="23" t="s">
        <v>178</v>
      </c>
      <c r="F217" s="23" t="str">
        <f t="shared" si="6"/>
        <v>rtdc.l.rtdc.4054:itc</v>
      </c>
      <c r="G217" s="8">
        <f t="shared" si="7"/>
        <v>42627.973043981481</v>
      </c>
    </row>
    <row r="218" spans="1:7" x14ac:dyDescent="0.25">
      <c r="A218" s="8">
        <v>42627.97729166667</v>
      </c>
      <c r="B218" s="23" t="s">
        <v>301</v>
      </c>
      <c r="C218" s="23" t="s">
        <v>588</v>
      </c>
      <c r="D218" s="23">
        <v>2230000</v>
      </c>
      <c r="E218" s="23" t="s">
        <v>340</v>
      </c>
      <c r="F218" s="23" t="str">
        <f t="shared" si="6"/>
        <v>rtdc.l.rtdc.4027:itc</v>
      </c>
      <c r="G218" s="8">
        <f t="shared" si="7"/>
        <v>42627.97729166667</v>
      </c>
    </row>
    <row r="219" spans="1:7" x14ac:dyDescent="0.25">
      <c r="A219" s="8">
        <v>42627.991666666669</v>
      </c>
      <c r="B219" s="23" t="s">
        <v>405</v>
      </c>
      <c r="C219" s="23" t="s">
        <v>589</v>
      </c>
      <c r="D219" s="23">
        <v>1480000</v>
      </c>
      <c r="E219" s="23" t="s">
        <v>534</v>
      </c>
      <c r="F219" s="23" t="str">
        <f t="shared" si="6"/>
        <v>rtdc.l.rtdc.4043:itc</v>
      </c>
      <c r="G219" s="8">
        <f t="shared" si="7"/>
        <v>42627.991666666669</v>
      </c>
    </row>
    <row r="220" spans="1:7" x14ac:dyDescent="0.25">
      <c r="A220" s="8">
        <v>42627.995243055557</v>
      </c>
      <c r="B220" s="23" t="s">
        <v>107</v>
      </c>
      <c r="C220" s="23" t="s">
        <v>590</v>
      </c>
      <c r="D220" s="23">
        <v>1300000</v>
      </c>
      <c r="E220" s="23" t="s">
        <v>124</v>
      </c>
      <c r="F220" s="23" t="str">
        <f t="shared" si="6"/>
        <v>rtdc.l.rtdc.4014:itc</v>
      </c>
      <c r="G220" s="8">
        <f t="shared" si="7"/>
        <v>42627.995243055557</v>
      </c>
    </row>
    <row r="221" spans="1:7" x14ac:dyDescent="0.25">
      <c r="A221" s="8">
        <v>42628.015474537038</v>
      </c>
      <c r="B221" s="23" t="s">
        <v>270</v>
      </c>
      <c r="C221" s="23" t="s">
        <v>591</v>
      </c>
      <c r="D221" s="23">
        <v>2230000</v>
      </c>
      <c r="E221" s="23" t="s">
        <v>340</v>
      </c>
      <c r="F221" s="23" t="str">
        <f t="shared" si="6"/>
        <v>rtdc.l.rtdc.4028:itc</v>
      </c>
      <c r="G221" s="8">
        <f t="shared" si="7"/>
        <v>42628.015474537038</v>
      </c>
    </row>
    <row r="222" spans="1:7" x14ac:dyDescent="0.25">
      <c r="A222" s="8">
        <v>42628.017858796295</v>
      </c>
      <c r="B222" s="23" t="s">
        <v>343</v>
      </c>
      <c r="C222" s="23" t="s">
        <v>592</v>
      </c>
      <c r="D222" s="23">
        <v>1290000</v>
      </c>
      <c r="E222" s="23" t="s">
        <v>178</v>
      </c>
      <c r="F222" s="23" t="str">
        <f t="shared" si="6"/>
        <v>rtdc.l.rtdc.4053:itc</v>
      </c>
      <c r="G222" s="8">
        <f t="shared" si="7"/>
        <v>42628.017858796295</v>
      </c>
    </row>
    <row r="223" spans="1:7" x14ac:dyDescent="0.25">
      <c r="A223" s="8">
        <v>42628.028287037036</v>
      </c>
      <c r="B223" s="23" t="s">
        <v>385</v>
      </c>
      <c r="C223" s="23" t="s">
        <v>593</v>
      </c>
      <c r="D223" s="23">
        <v>1480000</v>
      </c>
      <c r="E223" s="23" t="s">
        <v>534</v>
      </c>
      <c r="F223" s="23" t="str">
        <f t="shared" si="6"/>
        <v>rtdc.l.rtdc.4044:itc</v>
      </c>
      <c r="G223" s="8">
        <f t="shared" si="7"/>
        <v>42628.028287037036</v>
      </c>
    </row>
    <row r="224" spans="1:7" x14ac:dyDescent="0.25">
      <c r="A224" s="8">
        <v>42628.032106481478</v>
      </c>
      <c r="B224" t="s">
        <v>276</v>
      </c>
      <c r="C224" t="s">
        <v>594</v>
      </c>
      <c r="D224">
        <v>1300000</v>
      </c>
      <c r="E224" t="s">
        <v>124</v>
      </c>
      <c r="F224" s="23" t="str">
        <f t="shared" si="6"/>
        <v>rtdc.l.rtdc.4013:itc</v>
      </c>
      <c r="G224" s="8">
        <f t="shared" si="7"/>
        <v>42628.032106481478</v>
      </c>
    </row>
    <row r="225" spans="1:7" x14ac:dyDescent="0.25">
      <c r="A225" s="8">
        <v>42628.034803240742</v>
      </c>
      <c r="B225" t="s">
        <v>385</v>
      </c>
      <c r="C225" t="s">
        <v>593</v>
      </c>
      <c r="D225">
        <v>1480000</v>
      </c>
      <c r="E225" t="s">
        <v>534</v>
      </c>
      <c r="F225" s="23" t="str">
        <f t="shared" si="6"/>
        <v>rtdc.l.rtdc.4044:itc</v>
      </c>
      <c r="G225" s="8">
        <f t="shared" si="7"/>
        <v>42628.034803240742</v>
      </c>
    </row>
    <row r="226" spans="1:7" x14ac:dyDescent="0.25">
      <c r="A226" s="8">
        <v>42628.045439814814</v>
      </c>
      <c r="B226" t="s">
        <v>301</v>
      </c>
      <c r="C226" t="s">
        <v>595</v>
      </c>
      <c r="D226">
        <v>2230000</v>
      </c>
      <c r="E226" t="s">
        <v>340</v>
      </c>
      <c r="F226" s="23" t="str">
        <f t="shared" si="6"/>
        <v>rtdc.l.rtdc.4027:itc</v>
      </c>
      <c r="G226" s="8">
        <f t="shared" si="7"/>
        <v>42628.045439814814</v>
      </c>
    </row>
    <row r="227" spans="1:7" x14ac:dyDescent="0.25">
      <c r="A227" s="8">
        <v>42628.046099537038</v>
      </c>
      <c r="B227" t="s">
        <v>301</v>
      </c>
      <c r="C227" t="s">
        <v>595</v>
      </c>
      <c r="D227">
        <v>2230000</v>
      </c>
      <c r="E227" t="s">
        <v>340</v>
      </c>
      <c r="F227" s="23" t="str">
        <f t="shared" si="6"/>
        <v>rtdc.l.rtdc.4027:itc</v>
      </c>
      <c r="G227" s="8">
        <f t="shared" si="7"/>
        <v>42628.046099537038</v>
      </c>
    </row>
    <row r="228" spans="1:7" x14ac:dyDescent="0.25">
      <c r="A228" s="8">
        <v>42628.0544212963</v>
      </c>
      <c r="B228" t="s">
        <v>342</v>
      </c>
      <c r="C228" t="s">
        <v>596</v>
      </c>
      <c r="D228">
        <v>1290000</v>
      </c>
      <c r="E228" t="s">
        <v>178</v>
      </c>
      <c r="F228" s="23" t="str">
        <f t="shared" si="6"/>
        <v>rtdc.l.rtdc.4054:itc</v>
      </c>
      <c r="G228" s="8">
        <f t="shared" si="7"/>
        <v>42628.0544212963</v>
      </c>
    </row>
    <row r="229" spans="1:7" x14ac:dyDescent="0.25">
      <c r="A229" s="8">
        <v>42628.068414351852</v>
      </c>
      <c r="B229" t="s">
        <v>107</v>
      </c>
      <c r="C229" t="s">
        <v>597</v>
      </c>
      <c r="D229">
        <v>1300000</v>
      </c>
      <c r="E229" t="s">
        <v>124</v>
      </c>
      <c r="F229" s="23" t="str">
        <f t="shared" si="6"/>
        <v>rtdc.l.rtdc.4014:itc</v>
      </c>
      <c r="G229" s="8">
        <f t="shared" si="7"/>
        <v>42628.068414351852</v>
      </c>
    </row>
    <row r="230" spans="1:7" x14ac:dyDescent="0.25">
      <c r="A230" s="8">
        <v>42628.08803240741</v>
      </c>
      <c r="B230" t="s">
        <v>343</v>
      </c>
      <c r="C230" t="s">
        <v>598</v>
      </c>
      <c r="D230">
        <v>1290000</v>
      </c>
      <c r="E230" t="s">
        <v>178</v>
      </c>
      <c r="F230" s="23" t="str">
        <f t="shared" si="6"/>
        <v>rtdc.l.rtdc.4053:itc</v>
      </c>
      <c r="G230" s="8">
        <f t="shared" si="7"/>
        <v>42628.08803240741</v>
      </c>
    </row>
    <row r="231" spans="1:7" x14ac:dyDescent="0.25">
      <c r="F231" s="23">
        <f t="shared" si="6"/>
        <v>0</v>
      </c>
      <c r="G231" s="8">
        <f t="shared" si="7"/>
        <v>0</v>
      </c>
    </row>
    <row r="232" spans="1:7" x14ac:dyDescent="0.25">
      <c r="A232" s="8">
        <v>42627.094513888886</v>
      </c>
      <c r="B232" t="s">
        <v>246</v>
      </c>
      <c r="C232" t="s">
        <v>366</v>
      </c>
      <c r="D232">
        <v>1800000</v>
      </c>
      <c r="E232" t="s">
        <v>275</v>
      </c>
      <c r="F232" s="23" t="str">
        <f t="shared" si="6"/>
        <v>rtdc.l.rtdc.4018:itc</v>
      </c>
      <c r="G232" s="8">
        <f t="shared" si="7"/>
        <v>42627.094513888886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A234" s="8">
        <v>42622.049895833334</v>
      </c>
      <c r="B234" t="s">
        <v>245</v>
      </c>
      <c r="C234" t="s">
        <v>263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261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264</v>
      </c>
      <c r="D236">
        <v>2110000</v>
      </c>
      <c r="E236" t="s">
        <v>269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264</v>
      </c>
      <c r="D237">
        <v>2110000</v>
      </c>
      <c r="E237" t="s">
        <v>269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265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168</v>
      </c>
      <c r="C240" t="s">
        <v>189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190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182</v>
      </c>
      <c r="C242" t="s">
        <v>191</v>
      </c>
      <c r="D242">
        <v>1200000</v>
      </c>
      <c r="E242" t="s">
        <v>188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176</v>
      </c>
      <c r="C243" t="s">
        <v>192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169</v>
      </c>
      <c r="C244" t="s">
        <v>193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183</v>
      </c>
      <c r="C245" t="s">
        <v>194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177</v>
      </c>
      <c r="C246" t="s">
        <v>195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184</v>
      </c>
      <c r="C247" t="s">
        <v>196</v>
      </c>
      <c r="D247">
        <v>1290000</v>
      </c>
      <c r="E247" t="s">
        <v>178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197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197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168</v>
      </c>
      <c r="C250" t="s">
        <v>198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197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179</v>
      </c>
      <c r="C252" t="s">
        <v>199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176</v>
      </c>
      <c r="C253" t="s">
        <v>195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182</v>
      </c>
      <c r="C254" t="s">
        <v>200</v>
      </c>
      <c r="D254">
        <v>1290000</v>
      </c>
      <c r="E254" t="s">
        <v>178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180</v>
      </c>
      <c r="C255" t="s">
        <v>201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179</v>
      </c>
      <c r="C256" t="s">
        <v>199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187</v>
      </c>
      <c r="C257" t="s">
        <v>202</v>
      </c>
      <c r="D257">
        <v>1290000</v>
      </c>
      <c r="E257" t="s">
        <v>178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180</v>
      </c>
      <c r="C258" t="s">
        <v>201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H36" sqref="H36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211</v>
      </c>
      <c r="B1" s="155" t="s">
        <v>214</v>
      </c>
      <c r="C1" s="155" t="s">
        <v>207</v>
      </c>
      <c r="D1" s="155" t="s">
        <v>266</v>
      </c>
      <c r="E1" s="155" t="s">
        <v>208</v>
      </c>
      <c r="F1" s="155" t="s">
        <v>206</v>
      </c>
      <c r="G1" s="155" t="s">
        <v>204</v>
      </c>
      <c r="H1" s="155" t="s">
        <v>217</v>
      </c>
      <c r="I1" s="155" t="s">
        <v>218</v>
      </c>
      <c r="J1" s="155" t="s">
        <v>293</v>
      </c>
      <c r="K1" s="155" t="s">
        <v>212</v>
      </c>
      <c r="L1" s="155" t="s">
        <v>210</v>
      </c>
      <c r="M1" s="155" t="s">
        <v>205</v>
      </c>
      <c r="N1" s="155" t="s">
        <v>215</v>
      </c>
      <c r="O1" s="155" t="s">
        <v>209</v>
      </c>
      <c r="P1" s="155" t="s">
        <v>216</v>
      </c>
      <c r="Q1" s="155" t="s">
        <v>213</v>
      </c>
    </row>
    <row r="2" spans="1:17" x14ac:dyDescent="0.25">
      <c r="A2" s="154">
        <v>53.2</v>
      </c>
      <c r="B2" s="154">
        <v>0.39</v>
      </c>
      <c r="C2" s="154">
        <v>47.41</v>
      </c>
      <c r="D2" s="169">
        <v>42627</v>
      </c>
      <c r="E2" s="154">
        <v>0.81</v>
      </c>
      <c r="F2" s="154" t="s">
        <v>295</v>
      </c>
      <c r="G2" s="154">
        <v>283.16000000000003</v>
      </c>
      <c r="H2" s="154">
        <v>0</v>
      </c>
      <c r="I2" s="154">
        <v>0</v>
      </c>
      <c r="K2" s="154">
        <v>1021.32</v>
      </c>
      <c r="L2" s="154" t="s">
        <v>203</v>
      </c>
      <c r="M2" s="154">
        <v>53.2</v>
      </c>
      <c r="N2" s="154">
        <v>1473832800</v>
      </c>
      <c r="O2" s="154">
        <v>6.25</v>
      </c>
      <c r="P2" s="154">
        <v>315</v>
      </c>
      <c r="Q2" s="154">
        <v>0.55000000000000004</v>
      </c>
    </row>
    <row r="3" spans="1:17" x14ac:dyDescent="0.25">
      <c r="A3" s="154">
        <v>52.04</v>
      </c>
      <c r="B3" s="154">
        <v>0.34</v>
      </c>
      <c r="C3" s="154">
        <v>46.65</v>
      </c>
      <c r="D3" s="169">
        <v>42627.041666666664</v>
      </c>
      <c r="E3" s="154">
        <v>0.82</v>
      </c>
      <c r="F3" s="154" t="s">
        <v>295</v>
      </c>
      <c r="G3" s="154">
        <v>282.26</v>
      </c>
      <c r="H3" s="154">
        <v>0</v>
      </c>
      <c r="I3" s="154">
        <v>0</v>
      </c>
      <c r="K3" s="154">
        <v>1021.2</v>
      </c>
      <c r="L3" s="154" t="s">
        <v>203</v>
      </c>
      <c r="M3" s="154">
        <v>52.04</v>
      </c>
      <c r="N3" s="154">
        <v>1473836400</v>
      </c>
      <c r="O3" s="154">
        <v>6.66</v>
      </c>
      <c r="P3" s="154">
        <v>123</v>
      </c>
      <c r="Q3" s="154">
        <v>0.66</v>
      </c>
    </row>
    <row r="4" spans="1:17" x14ac:dyDescent="0.25">
      <c r="A4" s="154">
        <v>51.45</v>
      </c>
      <c r="B4" s="154">
        <v>0.27</v>
      </c>
      <c r="C4" s="154">
        <v>46.39</v>
      </c>
      <c r="D4" s="169">
        <v>42627.083333333336</v>
      </c>
      <c r="E4" s="154">
        <v>0.83</v>
      </c>
      <c r="F4" s="154" t="s">
        <v>295</v>
      </c>
      <c r="G4" s="154">
        <v>281.36</v>
      </c>
      <c r="H4" s="154">
        <v>0</v>
      </c>
      <c r="I4" s="154">
        <v>0</v>
      </c>
      <c r="K4" s="154">
        <v>1021.08</v>
      </c>
      <c r="L4" s="154" t="s">
        <v>203</v>
      </c>
      <c r="M4" s="154">
        <v>51.45</v>
      </c>
      <c r="N4" s="154">
        <v>1473840000</v>
      </c>
      <c r="O4" s="154">
        <v>6.51</v>
      </c>
      <c r="P4" s="154">
        <v>133</v>
      </c>
      <c r="Q4" s="154">
        <v>0.69</v>
      </c>
    </row>
    <row r="5" spans="1:17" x14ac:dyDescent="0.25">
      <c r="A5" s="154">
        <v>50.64</v>
      </c>
      <c r="B5" s="154">
        <v>0.27</v>
      </c>
      <c r="C5" s="154">
        <v>45.88</v>
      </c>
      <c r="D5" s="169">
        <v>42627.125</v>
      </c>
      <c r="E5" s="154">
        <v>0.84</v>
      </c>
      <c r="F5" s="154" t="s">
        <v>295</v>
      </c>
      <c r="G5" s="154">
        <v>280.45999999999998</v>
      </c>
      <c r="H5" s="154">
        <v>0</v>
      </c>
      <c r="I5" s="154">
        <v>0</v>
      </c>
      <c r="K5" s="154">
        <v>1020.95</v>
      </c>
      <c r="L5" s="154" t="s">
        <v>203</v>
      </c>
      <c r="M5" s="154">
        <v>50.64</v>
      </c>
      <c r="N5" s="154">
        <v>1473843600</v>
      </c>
      <c r="O5" s="154">
        <v>6.57</v>
      </c>
      <c r="P5" s="154">
        <v>147</v>
      </c>
      <c r="Q5" s="154">
        <v>1.1100000000000001</v>
      </c>
    </row>
    <row r="6" spans="1:17" x14ac:dyDescent="0.25">
      <c r="A6" s="154">
        <v>50.12</v>
      </c>
      <c r="B6" s="154">
        <v>0.34</v>
      </c>
      <c r="C6" s="154">
        <v>45.2</v>
      </c>
      <c r="D6" s="169">
        <v>42627.166666666664</v>
      </c>
      <c r="E6" s="154">
        <v>0.83</v>
      </c>
      <c r="F6" s="154" t="s">
        <v>295</v>
      </c>
      <c r="G6" s="154">
        <v>279.95</v>
      </c>
      <c r="H6" s="154">
        <v>0</v>
      </c>
      <c r="I6" s="154">
        <v>0</v>
      </c>
      <c r="K6" s="154">
        <v>1020.29</v>
      </c>
      <c r="L6" s="154" t="s">
        <v>203</v>
      </c>
      <c r="M6" s="154">
        <v>50.12</v>
      </c>
      <c r="N6" s="154">
        <v>1473847200</v>
      </c>
      <c r="O6" s="154">
        <v>6.87</v>
      </c>
      <c r="P6" s="154">
        <v>191</v>
      </c>
      <c r="Q6" s="154">
        <v>1.34</v>
      </c>
    </row>
    <row r="7" spans="1:17" x14ac:dyDescent="0.25">
      <c r="A7" s="154">
        <v>49.26</v>
      </c>
      <c r="B7" s="154">
        <v>0.41</v>
      </c>
      <c r="C7" s="154">
        <v>44.53</v>
      </c>
      <c r="D7" s="169">
        <v>42627.208333333336</v>
      </c>
      <c r="E7" s="154">
        <v>0.84</v>
      </c>
      <c r="F7" s="154" t="s">
        <v>295</v>
      </c>
      <c r="G7" s="154">
        <v>279.63</v>
      </c>
      <c r="H7" s="154">
        <v>2.2000000000000001E-3</v>
      </c>
      <c r="I7" s="154">
        <v>0.05</v>
      </c>
      <c r="J7" s="154" t="s">
        <v>294</v>
      </c>
      <c r="K7" s="154">
        <v>1019.27</v>
      </c>
      <c r="L7" s="154" t="s">
        <v>203</v>
      </c>
      <c r="M7" s="154">
        <v>49.26</v>
      </c>
      <c r="N7" s="154">
        <v>1473850800</v>
      </c>
      <c r="O7" s="154">
        <v>7.33</v>
      </c>
      <c r="P7" s="154">
        <v>184</v>
      </c>
      <c r="Q7" s="154">
        <v>1.49</v>
      </c>
    </row>
    <row r="8" spans="1:17" x14ac:dyDescent="0.25">
      <c r="A8" s="154">
        <v>49.53</v>
      </c>
      <c r="B8" s="154">
        <v>0.53</v>
      </c>
      <c r="C8" s="154">
        <v>44.31</v>
      </c>
      <c r="D8" s="169">
        <v>42627.25</v>
      </c>
      <c r="E8" s="154">
        <v>0.82</v>
      </c>
      <c r="F8" s="154" t="s">
        <v>295</v>
      </c>
      <c r="G8" s="154">
        <v>279.47000000000003</v>
      </c>
      <c r="H8" s="154">
        <v>0</v>
      </c>
      <c r="I8" s="154">
        <v>0</v>
      </c>
      <c r="K8" s="154">
        <v>1018.58</v>
      </c>
      <c r="L8" s="154" t="s">
        <v>203</v>
      </c>
      <c r="M8" s="154">
        <v>49.53</v>
      </c>
      <c r="N8" s="154">
        <v>1473854400</v>
      </c>
      <c r="O8" s="154">
        <v>7.28</v>
      </c>
      <c r="P8" s="154">
        <v>246</v>
      </c>
      <c r="Q8" s="154">
        <v>0.94</v>
      </c>
    </row>
    <row r="9" spans="1:17" x14ac:dyDescent="0.25">
      <c r="A9" s="154">
        <v>49.97</v>
      </c>
      <c r="B9" s="154">
        <v>0.55000000000000004</v>
      </c>
      <c r="C9" s="154">
        <v>44.25</v>
      </c>
      <c r="D9" s="169">
        <v>42627.291666666664</v>
      </c>
      <c r="E9" s="154">
        <v>0.81</v>
      </c>
      <c r="F9" s="154" t="s">
        <v>219</v>
      </c>
      <c r="G9" s="154">
        <v>279.33999999999997</v>
      </c>
      <c r="H9" s="154">
        <v>0</v>
      </c>
      <c r="I9" s="154">
        <v>0</v>
      </c>
      <c r="K9" s="154">
        <v>1018.3</v>
      </c>
      <c r="L9" s="154" t="s">
        <v>203</v>
      </c>
      <c r="M9" s="154">
        <v>49.97</v>
      </c>
      <c r="N9" s="154">
        <v>1473858000</v>
      </c>
      <c r="O9" s="154">
        <v>6.5</v>
      </c>
      <c r="P9" s="154">
        <v>217</v>
      </c>
      <c r="Q9" s="154">
        <v>0.85</v>
      </c>
    </row>
    <row r="10" spans="1:17" x14ac:dyDescent="0.25">
      <c r="A10" s="154">
        <v>53.25</v>
      </c>
      <c r="B10" s="154">
        <v>0.49</v>
      </c>
      <c r="C10" s="154">
        <v>46.3</v>
      </c>
      <c r="D10" s="169">
        <v>42627.333333333336</v>
      </c>
      <c r="E10" s="154">
        <v>0.77</v>
      </c>
      <c r="F10" s="154" t="s">
        <v>219</v>
      </c>
      <c r="G10" s="154">
        <v>279.36</v>
      </c>
      <c r="H10" s="154">
        <v>0</v>
      </c>
      <c r="I10" s="154">
        <v>0</v>
      </c>
      <c r="K10" s="154">
        <v>1018.12</v>
      </c>
      <c r="L10" s="154" t="s">
        <v>203</v>
      </c>
      <c r="M10" s="154">
        <v>53.25</v>
      </c>
      <c r="N10" s="154">
        <v>1473861600</v>
      </c>
      <c r="O10" s="154">
        <v>6.3</v>
      </c>
      <c r="P10" s="154">
        <v>246</v>
      </c>
      <c r="Q10" s="154">
        <v>0.3</v>
      </c>
    </row>
    <row r="11" spans="1:17" x14ac:dyDescent="0.25">
      <c r="A11" s="154">
        <v>57.35</v>
      </c>
      <c r="B11" s="154">
        <v>0.47</v>
      </c>
      <c r="C11" s="154">
        <v>47.75</v>
      </c>
      <c r="D11" s="169">
        <v>42627.375</v>
      </c>
      <c r="E11" s="154">
        <v>0.7</v>
      </c>
      <c r="F11" s="154" t="s">
        <v>219</v>
      </c>
      <c r="G11" s="154">
        <v>279.86</v>
      </c>
      <c r="H11" s="154">
        <v>0</v>
      </c>
      <c r="I11" s="154">
        <v>0</v>
      </c>
      <c r="K11" s="154">
        <v>1017.7</v>
      </c>
      <c r="L11" s="154" t="s">
        <v>203</v>
      </c>
      <c r="M11" s="154">
        <v>57.35</v>
      </c>
      <c r="N11" s="154">
        <v>1473865200</v>
      </c>
      <c r="O11" s="154">
        <v>6.44</v>
      </c>
      <c r="P11" s="154">
        <v>48</v>
      </c>
      <c r="Q11" s="154">
        <v>0.63</v>
      </c>
    </row>
    <row r="12" spans="1:17" x14ac:dyDescent="0.25">
      <c r="A12" s="154">
        <v>60.6</v>
      </c>
      <c r="B12" s="154">
        <v>0.47</v>
      </c>
      <c r="C12" s="154">
        <v>48.85</v>
      </c>
      <c r="D12" s="169">
        <v>42627.416666666664</v>
      </c>
      <c r="E12" s="154">
        <v>0.65</v>
      </c>
      <c r="F12" s="154" t="s">
        <v>219</v>
      </c>
      <c r="G12" s="154">
        <v>281.23</v>
      </c>
      <c r="H12" s="154">
        <v>0</v>
      </c>
      <c r="I12" s="154">
        <v>0</v>
      </c>
      <c r="K12" s="154">
        <v>1016.74</v>
      </c>
      <c r="L12" s="154" t="s">
        <v>203</v>
      </c>
      <c r="M12" s="154">
        <v>60.6</v>
      </c>
      <c r="N12" s="154">
        <v>1473868800</v>
      </c>
      <c r="O12" s="154">
        <v>4.7</v>
      </c>
      <c r="P12" s="154">
        <v>26</v>
      </c>
      <c r="Q12" s="154">
        <v>0.97</v>
      </c>
    </row>
    <row r="13" spans="1:17" x14ac:dyDescent="0.25">
      <c r="A13" s="154">
        <v>64.77</v>
      </c>
      <c r="B13" s="154">
        <v>0.42</v>
      </c>
      <c r="C13" s="154">
        <v>49.16</v>
      </c>
      <c r="D13" s="169">
        <v>42627.458333333336</v>
      </c>
      <c r="E13" s="154">
        <v>0.56999999999999995</v>
      </c>
      <c r="F13" s="154" t="s">
        <v>219</v>
      </c>
      <c r="G13" s="154">
        <v>283.08</v>
      </c>
      <c r="H13" s="154">
        <v>0</v>
      </c>
      <c r="I13" s="154">
        <v>0</v>
      </c>
      <c r="K13" s="154">
        <v>1015.63</v>
      </c>
      <c r="L13" s="154" t="s">
        <v>203</v>
      </c>
      <c r="M13" s="154">
        <v>64.77</v>
      </c>
      <c r="N13" s="154">
        <v>1473872400</v>
      </c>
      <c r="O13" s="154">
        <v>4.8099999999999996</v>
      </c>
      <c r="P13" s="154">
        <v>52</v>
      </c>
      <c r="Q13" s="154">
        <v>0.92</v>
      </c>
    </row>
    <row r="14" spans="1:17" x14ac:dyDescent="0.25">
      <c r="A14" s="154">
        <v>68.81</v>
      </c>
      <c r="B14" s="154">
        <v>0.37</v>
      </c>
      <c r="C14" s="154">
        <v>48.33</v>
      </c>
      <c r="D14" s="169">
        <v>42627.5</v>
      </c>
      <c r="E14" s="154">
        <v>0.48</v>
      </c>
      <c r="F14" s="154" t="s">
        <v>219</v>
      </c>
      <c r="G14" s="154">
        <v>284.56</v>
      </c>
      <c r="H14" s="154">
        <v>0</v>
      </c>
      <c r="I14" s="154">
        <v>0</v>
      </c>
      <c r="K14" s="154">
        <v>1014.52</v>
      </c>
      <c r="L14" s="154" t="s">
        <v>203</v>
      </c>
      <c r="M14" s="154">
        <v>68.81</v>
      </c>
      <c r="N14" s="154">
        <v>1473876000</v>
      </c>
      <c r="O14" s="154">
        <v>5.84</v>
      </c>
      <c r="P14" s="154">
        <v>61</v>
      </c>
      <c r="Q14" s="154">
        <v>1.18</v>
      </c>
    </row>
    <row r="15" spans="1:17" x14ac:dyDescent="0.25">
      <c r="A15" s="154">
        <v>73.319999999999993</v>
      </c>
      <c r="B15" s="154">
        <v>0.36</v>
      </c>
      <c r="C15" s="154">
        <v>47.98</v>
      </c>
      <c r="D15" s="169">
        <v>42627.541666666664</v>
      </c>
      <c r="E15" s="154">
        <v>0.41</v>
      </c>
      <c r="F15" s="154" t="s">
        <v>219</v>
      </c>
      <c r="G15" s="154">
        <v>285.27</v>
      </c>
      <c r="H15" s="154">
        <v>0</v>
      </c>
      <c r="I15" s="154">
        <v>0</v>
      </c>
      <c r="K15" s="154">
        <v>1013.34</v>
      </c>
      <c r="L15" s="154" t="s">
        <v>203</v>
      </c>
      <c r="M15" s="154">
        <v>73.319999999999993</v>
      </c>
      <c r="N15" s="154">
        <v>1473879600</v>
      </c>
      <c r="O15" s="154">
        <v>6.79</v>
      </c>
      <c r="P15" s="154">
        <v>46</v>
      </c>
      <c r="Q15" s="154">
        <v>1.67</v>
      </c>
    </row>
    <row r="16" spans="1:17" x14ac:dyDescent="0.25">
      <c r="A16" s="154">
        <v>76.040000000000006</v>
      </c>
      <c r="B16" s="154">
        <v>0.35</v>
      </c>
      <c r="C16" s="154">
        <v>47.51</v>
      </c>
      <c r="D16" s="169">
        <v>42627.583333333336</v>
      </c>
      <c r="E16" s="154">
        <v>0.37</v>
      </c>
      <c r="F16" s="154" t="s">
        <v>219</v>
      </c>
      <c r="G16" s="154">
        <v>285.61</v>
      </c>
      <c r="H16" s="154">
        <v>1.2999999999999999E-3</v>
      </c>
      <c r="I16" s="154">
        <v>0.02</v>
      </c>
      <c r="J16" s="154" t="s">
        <v>294</v>
      </c>
      <c r="K16" s="154">
        <v>1012.14</v>
      </c>
      <c r="L16" s="154" t="s">
        <v>203</v>
      </c>
      <c r="M16" s="154">
        <v>76.040000000000006</v>
      </c>
      <c r="N16" s="154">
        <v>1473883200</v>
      </c>
      <c r="O16" s="154">
        <v>7.07</v>
      </c>
      <c r="P16" s="154">
        <v>30</v>
      </c>
      <c r="Q16" s="154">
        <v>1.54</v>
      </c>
    </row>
    <row r="17" spans="1:17" x14ac:dyDescent="0.25">
      <c r="A17" s="154">
        <v>76.02</v>
      </c>
      <c r="B17" s="154">
        <v>0.36</v>
      </c>
      <c r="C17" s="154">
        <v>46.48</v>
      </c>
      <c r="D17" s="169">
        <v>42627.625</v>
      </c>
      <c r="E17" s="154">
        <v>0.35</v>
      </c>
      <c r="F17" s="154" t="s">
        <v>294</v>
      </c>
      <c r="G17" s="154">
        <v>285.91000000000003</v>
      </c>
      <c r="H17" s="154">
        <v>1.38E-2</v>
      </c>
      <c r="I17" s="154">
        <v>0.46</v>
      </c>
      <c r="J17" s="154" t="s">
        <v>294</v>
      </c>
      <c r="K17" s="154">
        <v>1011.26</v>
      </c>
      <c r="L17" s="154" t="s">
        <v>333</v>
      </c>
      <c r="M17" s="154">
        <v>76.02</v>
      </c>
      <c r="N17" s="154">
        <v>1473886800</v>
      </c>
      <c r="O17" s="154">
        <v>7.18</v>
      </c>
      <c r="P17" s="154">
        <v>334</v>
      </c>
      <c r="Q17" s="154">
        <v>1.34</v>
      </c>
    </row>
    <row r="18" spans="1:17" x14ac:dyDescent="0.25">
      <c r="A18" s="154">
        <v>74.739999999999995</v>
      </c>
      <c r="B18" s="154">
        <v>0.46</v>
      </c>
      <c r="C18" s="154">
        <v>47.94</v>
      </c>
      <c r="D18" s="169">
        <v>42627.666666666664</v>
      </c>
      <c r="E18" s="154">
        <v>0.39</v>
      </c>
      <c r="F18" s="154" t="s">
        <v>294</v>
      </c>
      <c r="G18" s="154">
        <v>286.20999999999998</v>
      </c>
      <c r="H18" s="154">
        <v>1.4E-2</v>
      </c>
      <c r="I18" s="154">
        <v>0.46</v>
      </c>
      <c r="J18" s="154" t="s">
        <v>294</v>
      </c>
      <c r="K18" s="154">
        <v>1010.79</v>
      </c>
      <c r="L18" s="154" t="s">
        <v>333</v>
      </c>
      <c r="M18" s="154">
        <v>74.739999999999995</v>
      </c>
      <c r="N18" s="154">
        <v>1473890400</v>
      </c>
      <c r="O18" s="154">
        <v>7.18</v>
      </c>
      <c r="P18" s="154">
        <v>308</v>
      </c>
      <c r="Q18" s="154">
        <v>1.64</v>
      </c>
    </row>
    <row r="19" spans="1:17" x14ac:dyDescent="0.25">
      <c r="A19" s="154">
        <v>71.17</v>
      </c>
      <c r="B19" s="154">
        <v>0.57999999999999996</v>
      </c>
      <c r="C19" s="154">
        <v>47.38</v>
      </c>
      <c r="D19" s="169">
        <v>42627.708333333336</v>
      </c>
      <c r="E19" s="154">
        <v>0.43</v>
      </c>
      <c r="F19" s="154" t="s">
        <v>294</v>
      </c>
      <c r="G19" s="154">
        <v>286.47000000000003</v>
      </c>
      <c r="H19" s="154">
        <v>1.72E-2</v>
      </c>
      <c r="I19" s="154">
        <v>0.48</v>
      </c>
      <c r="J19" s="154" t="s">
        <v>294</v>
      </c>
      <c r="K19" s="154">
        <v>1010.64</v>
      </c>
      <c r="L19" s="154" t="s">
        <v>333</v>
      </c>
      <c r="M19" s="154">
        <v>71.17</v>
      </c>
      <c r="N19" s="154">
        <v>1473894000</v>
      </c>
      <c r="O19" s="154">
        <v>7.05</v>
      </c>
      <c r="P19" s="154">
        <v>273</v>
      </c>
      <c r="Q19" s="154">
        <v>1.5</v>
      </c>
    </row>
    <row r="20" spans="1:17" x14ac:dyDescent="0.25">
      <c r="A20" s="154">
        <v>69.87</v>
      </c>
      <c r="B20" s="154">
        <v>0.72</v>
      </c>
      <c r="C20" s="154">
        <v>48.64</v>
      </c>
      <c r="D20" s="169">
        <v>42627.75</v>
      </c>
      <c r="E20" s="154">
        <v>0.47</v>
      </c>
      <c r="F20" s="154" t="s">
        <v>294</v>
      </c>
      <c r="G20" s="154">
        <v>286.85000000000002</v>
      </c>
      <c r="H20" s="154">
        <v>1.4800000000000001E-2</v>
      </c>
      <c r="I20" s="154">
        <v>0.46</v>
      </c>
      <c r="J20" s="154" t="s">
        <v>294</v>
      </c>
      <c r="K20" s="154">
        <v>1010.75</v>
      </c>
      <c r="L20" s="154" t="s">
        <v>333</v>
      </c>
      <c r="M20" s="154">
        <v>69.87</v>
      </c>
      <c r="N20" s="154">
        <v>1473897600</v>
      </c>
      <c r="O20" s="154">
        <v>7.23</v>
      </c>
      <c r="P20" s="154">
        <v>284</v>
      </c>
      <c r="Q20" s="154">
        <v>2.48</v>
      </c>
    </row>
    <row r="21" spans="1:17" x14ac:dyDescent="0.25">
      <c r="A21" s="154">
        <v>66.25</v>
      </c>
      <c r="B21" s="154">
        <v>0.57999999999999996</v>
      </c>
      <c r="C21" s="154">
        <v>47.64</v>
      </c>
      <c r="D21" s="169">
        <v>42627.791666666664</v>
      </c>
      <c r="E21" s="154">
        <v>0.51</v>
      </c>
      <c r="F21" s="154" t="s">
        <v>294</v>
      </c>
      <c r="G21" s="154">
        <v>287.39999999999998</v>
      </c>
      <c r="H21" s="154">
        <v>0.01</v>
      </c>
      <c r="I21" s="154">
        <v>0.42</v>
      </c>
      <c r="J21" s="154" t="s">
        <v>294</v>
      </c>
      <c r="K21" s="154">
        <v>1011.26</v>
      </c>
      <c r="L21" s="154" t="s">
        <v>333</v>
      </c>
      <c r="M21" s="154">
        <v>66.25</v>
      </c>
      <c r="N21" s="154">
        <v>1473901200</v>
      </c>
      <c r="O21" s="154">
        <v>7.69</v>
      </c>
      <c r="P21" s="154">
        <v>305</v>
      </c>
      <c r="Q21" s="154">
        <v>2.9</v>
      </c>
    </row>
    <row r="22" spans="1:17" x14ac:dyDescent="0.25">
      <c r="A22" s="154">
        <v>62.63</v>
      </c>
      <c r="B22" s="154">
        <v>0.4</v>
      </c>
      <c r="C22" s="154">
        <v>47.32</v>
      </c>
      <c r="D22" s="169">
        <v>42627.833333333336</v>
      </c>
      <c r="E22" s="154">
        <v>0.56999999999999995</v>
      </c>
      <c r="F22" s="154" t="s">
        <v>294</v>
      </c>
      <c r="G22" s="154">
        <v>288.08</v>
      </c>
      <c r="H22" s="154">
        <v>8.3000000000000001E-3</v>
      </c>
      <c r="I22" s="154">
        <v>0.36</v>
      </c>
      <c r="J22" s="154" t="s">
        <v>294</v>
      </c>
      <c r="K22" s="154">
        <v>1012.02</v>
      </c>
      <c r="L22" s="154" t="s">
        <v>296</v>
      </c>
      <c r="M22" s="154">
        <v>62.63</v>
      </c>
      <c r="N22" s="154">
        <v>1473904800</v>
      </c>
      <c r="O22" s="154">
        <v>8.36</v>
      </c>
      <c r="P22" s="154">
        <v>267</v>
      </c>
      <c r="Q22" s="154">
        <v>1</v>
      </c>
    </row>
    <row r="23" spans="1:17" x14ac:dyDescent="0.25">
      <c r="A23" s="154">
        <v>60.58</v>
      </c>
      <c r="B23" s="154">
        <v>0.27</v>
      </c>
      <c r="C23" s="154">
        <v>46.95</v>
      </c>
      <c r="D23" s="169">
        <v>42627.875</v>
      </c>
      <c r="E23" s="154">
        <v>0.61</v>
      </c>
      <c r="F23" s="154" t="s">
        <v>294</v>
      </c>
      <c r="G23" s="154">
        <v>288.97000000000003</v>
      </c>
      <c r="H23" s="154">
        <v>4.6100000000000002E-2</v>
      </c>
      <c r="I23" s="154">
        <v>0.59</v>
      </c>
      <c r="J23" s="154" t="s">
        <v>294</v>
      </c>
      <c r="K23" s="154">
        <v>1012.82</v>
      </c>
      <c r="L23" s="154" t="s">
        <v>333</v>
      </c>
      <c r="M23" s="154">
        <v>60.58</v>
      </c>
      <c r="N23" s="154">
        <v>1473908400</v>
      </c>
      <c r="O23" s="154">
        <v>9.06</v>
      </c>
      <c r="P23" s="154">
        <v>203</v>
      </c>
      <c r="Q23" s="154">
        <v>1.31</v>
      </c>
    </row>
    <row r="24" spans="1:17" x14ac:dyDescent="0.25">
      <c r="A24" s="154">
        <v>58.17</v>
      </c>
      <c r="B24" s="154">
        <v>0.28999999999999998</v>
      </c>
      <c r="C24" s="154">
        <v>45.85</v>
      </c>
      <c r="D24" s="169">
        <v>42627.916666666664</v>
      </c>
      <c r="E24" s="154">
        <v>0.64</v>
      </c>
      <c r="F24" s="154" t="s">
        <v>294</v>
      </c>
      <c r="G24" s="154">
        <v>290.31</v>
      </c>
      <c r="H24" s="154">
        <v>5.1999999999999998E-3</v>
      </c>
      <c r="I24" s="154">
        <v>0.19</v>
      </c>
      <c r="J24" s="154" t="s">
        <v>294</v>
      </c>
      <c r="K24" s="154">
        <v>1013.68</v>
      </c>
      <c r="L24" s="154" t="s">
        <v>296</v>
      </c>
      <c r="M24" s="154">
        <v>58.17</v>
      </c>
      <c r="N24" s="154">
        <v>1473912000</v>
      </c>
      <c r="O24" s="154">
        <v>9.18</v>
      </c>
      <c r="P24" s="154">
        <v>280</v>
      </c>
      <c r="Q24" s="154">
        <v>1.1100000000000001</v>
      </c>
    </row>
    <row r="25" spans="1:17" x14ac:dyDescent="0.25">
      <c r="A25" s="154">
        <v>57.18</v>
      </c>
      <c r="B25" s="154">
        <v>0.26</v>
      </c>
      <c r="C25" s="154">
        <v>46.18</v>
      </c>
      <c r="D25" s="169">
        <v>42627.958333333336</v>
      </c>
      <c r="E25" s="154">
        <v>0.67</v>
      </c>
      <c r="F25" s="154" t="s">
        <v>294</v>
      </c>
      <c r="G25" s="154">
        <v>291.86</v>
      </c>
      <c r="H25" s="154">
        <v>5.5999999999999999E-3</v>
      </c>
      <c r="I25" s="154">
        <v>0.21</v>
      </c>
      <c r="J25" s="154" t="s">
        <v>294</v>
      </c>
      <c r="K25" s="154">
        <v>1014.7</v>
      </c>
      <c r="L25" s="154" t="s">
        <v>296</v>
      </c>
      <c r="M25" s="154">
        <v>57.18</v>
      </c>
      <c r="N25" s="154">
        <v>1473915600</v>
      </c>
      <c r="O25" s="154">
        <v>9.16</v>
      </c>
      <c r="P25" s="154">
        <v>315</v>
      </c>
      <c r="Q25" s="154">
        <v>1.29</v>
      </c>
    </row>
    <row r="26" spans="1:17" x14ac:dyDescent="0.25">
      <c r="A26" s="154">
        <v>56.14</v>
      </c>
      <c r="B26" s="154">
        <v>0.19</v>
      </c>
      <c r="C26" s="154">
        <v>46.01</v>
      </c>
      <c r="D26" s="169">
        <v>42628</v>
      </c>
      <c r="E26" s="154">
        <v>0.69</v>
      </c>
      <c r="F26" s="154" t="s">
        <v>731</v>
      </c>
      <c r="G26" s="154">
        <v>293.02</v>
      </c>
      <c r="H26" s="154">
        <v>8.0000000000000004E-4</v>
      </c>
      <c r="I26" s="154">
        <v>0.01</v>
      </c>
      <c r="J26" s="154" t="s">
        <v>294</v>
      </c>
      <c r="K26" s="154">
        <v>1015.51</v>
      </c>
      <c r="L26" s="154" t="s">
        <v>732</v>
      </c>
      <c r="M26" s="154">
        <v>56.14</v>
      </c>
      <c r="N26" s="154">
        <v>1473919200</v>
      </c>
      <c r="O26" s="154">
        <v>9.16</v>
      </c>
      <c r="P26" s="154">
        <v>328</v>
      </c>
      <c r="Q26" s="154">
        <v>2.91</v>
      </c>
    </row>
    <row r="27" spans="1:17" x14ac:dyDescent="0.25">
      <c r="A27" s="154">
        <v>55.35</v>
      </c>
      <c r="B27" s="154">
        <v>0.32</v>
      </c>
      <c r="C27" s="154">
        <v>46.43</v>
      </c>
      <c r="D27" s="169">
        <v>42628.041666666664</v>
      </c>
      <c r="E27" s="154">
        <v>0.72</v>
      </c>
      <c r="F27" s="154" t="s">
        <v>295</v>
      </c>
      <c r="G27" s="154">
        <v>293.17</v>
      </c>
      <c r="H27" s="154">
        <v>0</v>
      </c>
      <c r="I27" s="154">
        <v>0</v>
      </c>
      <c r="K27" s="154">
        <v>1015.44</v>
      </c>
      <c r="L27" s="154" t="s">
        <v>203</v>
      </c>
      <c r="M27" s="154">
        <v>55.35</v>
      </c>
      <c r="N27" s="154">
        <v>1473922800</v>
      </c>
      <c r="O27" s="154">
        <v>7.53</v>
      </c>
      <c r="P27" s="154">
        <v>243</v>
      </c>
      <c r="Q27" s="154">
        <v>1.4</v>
      </c>
    </row>
    <row r="28" spans="1:17" x14ac:dyDescent="0.25">
      <c r="A28" s="154">
        <v>53.49</v>
      </c>
      <c r="B28" s="154">
        <v>0.28000000000000003</v>
      </c>
      <c r="C28" s="154">
        <v>46.54</v>
      </c>
      <c r="D28" s="169">
        <v>42628.083333333336</v>
      </c>
      <c r="E28" s="154">
        <v>0.77</v>
      </c>
      <c r="F28" s="154" t="s">
        <v>295</v>
      </c>
      <c r="G28" s="154">
        <v>293.33</v>
      </c>
      <c r="H28" s="154">
        <v>0</v>
      </c>
      <c r="I28" s="154">
        <v>0</v>
      </c>
      <c r="K28" s="154">
        <v>1015.37</v>
      </c>
      <c r="L28" s="154" t="s">
        <v>203</v>
      </c>
      <c r="M28" s="154">
        <v>53.49</v>
      </c>
      <c r="N28" s="154">
        <v>1473926400</v>
      </c>
      <c r="O28" s="154">
        <v>7.02</v>
      </c>
      <c r="P28" s="154">
        <v>234</v>
      </c>
      <c r="Q28" s="154">
        <v>1.78</v>
      </c>
    </row>
    <row r="29" spans="1:17" x14ac:dyDescent="0.25">
      <c r="A29" s="154">
        <v>51.94</v>
      </c>
      <c r="B29" s="154">
        <v>0.16</v>
      </c>
      <c r="C29" s="154">
        <v>45.6</v>
      </c>
      <c r="D29" s="169">
        <v>42628.125</v>
      </c>
      <c r="E29" s="154">
        <v>0.79</v>
      </c>
      <c r="F29" s="154" t="s">
        <v>731</v>
      </c>
      <c r="G29" s="154">
        <v>293.48</v>
      </c>
      <c r="H29" s="154">
        <v>0</v>
      </c>
      <c r="I29" s="154">
        <v>0</v>
      </c>
      <c r="K29" s="154">
        <v>1015.32</v>
      </c>
      <c r="L29" s="154" t="s">
        <v>732</v>
      </c>
      <c r="M29" s="154">
        <v>51.94</v>
      </c>
      <c r="N29" s="154">
        <v>1473930000</v>
      </c>
      <c r="O29" s="154">
        <v>6.6</v>
      </c>
      <c r="P29" s="154">
        <v>215</v>
      </c>
      <c r="Q29" s="154">
        <v>2.19</v>
      </c>
    </row>
    <row r="31" spans="1:17" x14ac:dyDescent="0.25">
      <c r="A31" s="154" t="s">
        <v>733</v>
      </c>
    </row>
    <row r="33" spans="1:1" x14ac:dyDescent="0.25">
      <c r="A33" s="154" t="s">
        <v>220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C12" sqref="C1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42627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170</v>
      </c>
      <c r="M25" s="70" t="b">
        <v>1</v>
      </c>
    </row>
    <row r="26" spans="10:13" x14ac:dyDescent="0.25">
      <c r="J26" t="s">
        <v>171</v>
      </c>
      <c r="M26" s="70" t="str">
        <f>"C:\Users\stu\Documents\GitHub\eaglep3-reporting\EC\"&amp;TEXT(A2,"yyyy-mm-dd")&amp;"-refined-times.txt"</f>
        <v>C:\Users\stu\Documents\GitHub\eaglep3-reporting\EC\2016-09-14-refined-times.txt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139</v>
      </c>
      <c r="B1" s="127" t="s">
        <v>140</v>
      </c>
      <c r="C1" s="128" t="s">
        <v>141</v>
      </c>
      <c r="H1" t="s">
        <v>135</v>
      </c>
      <c r="I1" s="129" t="s">
        <v>137</v>
      </c>
      <c r="J1"/>
    </row>
    <row r="2" spans="1:11" x14ac:dyDescent="0.25">
      <c r="A2" s="128" t="s">
        <v>142</v>
      </c>
      <c r="B2" s="128" t="s">
        <v>143</v>
      </c>
      <c r="C2" s="128" t="s">
        <v>144</v>
      </c>
      <c r="H2" t="s">
        <v>136</v>
      </c>
      <c r="I2" s="114" t="s">
        <v>138</v>
      </c>
      <c r="J2"/>
    </row>
    <row r="3" spans="1:11" x14ac:dyDescent="0.25">
      <c r="A3" s="128" t="s">
        <v>145</v>
      </c>
      <c r="B3" s="128" t="s">
        <v>146</v>
      </c>
      <c r="C3" s="128" t="s">
        <v>147</v>
      </c>
      <c r="H3" t="s">
        <v>161</v>
      </c>
      <c r="I3" s="114">
        <v>1</v>
      </c>
      <c r="J3"/>
      <c r="K3" s="70"/>
    </row>
    <row r="4" spans="1:11" x14ac:dyDescent="0.25">
      <c r="A4" s="128" t="s">
        <v>148</v>
      </c>
      <c r="C4" s="128" t="s">
        <v>149</v>
      </c>
      <c r="H4" t="s">
        <v>162</v>
      </c>
      <c r="I4" s="114">
        <v>2</v>
      </c>
      <c r="J4"/>
      <c r="K4" s="70"/>
    </row>
    <row r="5" spans="1:11" x14ac:dyDescent="0.25">
      <c r="A5" s="128" t="s">
        <v>150</v>
      </c>
      <c r="C5" s="128" t="s">
        <v>151</v>
      </c>
      <c r="H5" t="s">
        <v>163</v>
      </c>
      <c r="I5" s="114">
        <v>23</v>
      </c>
      <c r="J5"/>
      <c r="K5" s="70"/>
    </row>
    <row r="6" spans="1:11" x14ac:dyDescent="0.25">
      <c r="A6" s="128" t="s">
        <v>152</v>
      </c>
      <c r="C6" s="128" t="s">
        <v>153</v>
      </c>
      <c r="H6" s="131" t="s">
        <v>164</v>
      </c>
      <c r="I6" s="132" t="s">
        <v>143</v>
      </c>
    </row>
    <row r="7" spans="1:11" x14ac:dyDescent="0.25">
      <c r="A7" s="128" t="s">
        <v>154</v>
      </c>
      <c r="C7" s="128" t="s">
        <v>155</v>
      </c>
    </row>
    <row r="8" spans="1:11" x14ac:dyDescent="0.25">
      <c r="C8" s="128" t="s">
        <v>156</v>
      </c>
    </row>
    <row r="9" spans="1:11" x14ac:dyDescent="0.25">
      <c r="C9" s="131" t="s">
        <v>741</v>
      </c>
    </row>
    <row r="10" spans="1:11" x14ac:dyDescent="0.25">
      <c r="C10" s="128" t="s">
        <v>157</v>
      </c>
    </row>
    <row r="11" spans="1:11" x14ac:dyDescent="0.25">
      <c r="C11" s="128" t="s">
        <v>158</v>
      </c>
    </row>
    <row r="12" spans="1:11" x14ac:dyDescent="0.25">
      <c r="C12" s="128" t="s">
        <v>159</v>
      </c>
    </row>
    <row r="13" spans="1:11" x14ac:dyDescent="0.25">
      <c r="C13" s="128" t="s">
        <v>160</v>
      </c>
    </row>
    <row r="14" spans="1:11" x14ac:dyDescent="0.25">
      <c r="C14" s="131" t="s">
        <v>742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2016-09-15T17:26:48Z</dcterms:modified>
</cp:coreProperties>
</file>