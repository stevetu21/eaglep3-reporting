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00000000-0000-0000-0000-000000000000}"/>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 name="Slice Disagreement Check" sheetId="9" r:id="rId8"/>
  </sheets>
  <externalReferences>
    <externalReference r:id="rId9"/>
    <externalReference r:id="rId10"/>
  </externalReferences>
  <definedNames>
    <definedName name="_xlnm._FilterDatabase" localSheetId="1" hidden="1">Enforcements!$A$6:$AC$43</definedName>
    <definedName name="_xlnm._FilterDatabase" localSheetId="2" hidden="1">'Missing Trips'!$B$2:$I$2</definedName>
    <definedName name="_xlnm._FilterDatabase" localSheetId="0" hidden="1">'Train Runs'!$A$12:$AG$236</definedName>
    <definedName name="_xlnm._FilterDatabase" localSheetId="3" hidden="1">'Trips&amp;Operators'!$A$1:$E$211</definedName>
    <definedName name="astrogrep_path">Variables!$M$18</definedName>
    <definedName name="Denver_Train_Runs_04122016" localSheetId="0">'Train Runs'!$A$12:$J$75</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2" i="1" l="1"/>
  <c r="L72" i="1"/>
  <c r="M72" i="1"/>
  <c r="N72" i="1" s="1"/>
  <c r="V72" i="1"/>
  <c r="AA72" i="1"/>
  <c r="AB72" i="1"/>
  <c r="AC72" i="1"/>
  <c r="AD72" i="1"/>
  <c r="T72" i="1" s="1"/>
  <c r="AE72" i="1"/>
  <c r="AF72" i="1"/>
  <c r="AH72" i="1"/>
  <c r="K17" i="1"/>
  <c r="L17" i="1"/>
  <c r="M17" i="1"/>
  <c r="V17" i="1"/>
  <c r="Y17" i="1"/>
  <c r="Z17" i="1"/>
  <c r="AA17" i="1"/>
  <c r="AB17" i="1"/>
  <c r="AC17" i="1"/>
  <c r="AD17" i="1"/>
  <c r="AG17" i="1" s="1"/>
  <c r="AE17" i="1"/>
  <c r="AF17" i="1"/>
  <c r="AH17" i="1"/>
  <c r="X154" i="1"/>
  <c r="X155" i="1"/>
  <c r="X156" i="1"/>
  <c r="X157" i="1"/>
  <c r="X158" i="1"/>
  <c r="X159" i="1"/>
  <c r="K157" i="1"/>
  <c r="M157" i="1"/>
  <c r="V157" i="1"/>
  <c r="Y157" i="1"/>
  <c r="Z157" i="1"/>
  <c r="AA157" i="1" s="1"/>
  <c r="AB157" i="1"/>
  <c r="AC157" i="1"/>
  <c r="AD157" i="1"/>
  <c r="T157" i="1" s="1"/>
  <c r="AE157" i="1"/>
  <c r="AF157" i="1"/>
  <c r="AH157" i="1"/>
  <c r="K158" i="1"/>
  <c r="M158" i="1"/>
  <c r="V158" i="1"/>
  <c r="Y158" i="1"/>
  <c r="Z158" i="1"/>
  <c r="AB158" i="1"/>
  <c r="AC158" i="1"/>
  <c r="AD158" i="1"/>
  <c r="T158" i="1" s="1"/>
  <c r="AE158" i="1"/>
  <c r="AF158" i="1"/>
  <c r="AH158" i="1"/>
  <c r="K159" i="1"/>
  <c r="M159" i="1"/>
  <c r="V159" i="1"/>
  <c r="Y159" i="1"/>
  <c r="AA159" i="1" s="1"/>
  <c r="Z159" i="1"/>
  <c r="AB159" i="1"/>
  <c r="AC159" i="1"/>
  <c r="AD159" i="1"/>
  <c r="AG159" i="1" s="1"/>
  <c r="AE159" i="1"/>
  <c r="AF159" i="1"/>
  <c r="AH159" i="1"/>
  <c r="K153" i="1"/>
  <c r="M153" i="1"/>
  <c r="V153" i="1"/>
  <c r="Y153" i="1"/>
  <c r="Z153" i="1"/>
  <c r="AA153" i="1" s="1"/>
  <c r="AB153" i="1"/>
  <c r="AC153" i="1"/>
  <c r="AD153" i="1"/>
  <c r="AG153" i="1" s="1"/>
  <c r="AE153" i="1"/>
  <c r="AF153" i="1"/>
  <c r="AH153" i="1"/>
  <c r="K154" i="1"/>
  <c r="M154" i="1"/>
  <c r="V154" i="1"/>
  <c r="Y154" i="1"/>
  <c r="Z154" i="1"/>
  <c r="AA154" i="1" s="1"/>
  <c r="AB154" i="1"/>
  <c r="AC154" i="1"/>
  <c r="AD154" i="1"/>
  <c r="T154" i="1" s="1"/>
  <c r="AE154" i="1"/>
  <c r="AF154" i="1"/>
  <c r="AG154" i="1"/>
  <c r="AH154" i="1"/>
  <c r="K155" i="1"/>
  <c r="M155" i="1"/>
  <c r="V155" i="1"/>
  <c r="Y155" i="1"/>
  <c r="Z155" i="1"/>
  <c r="AA155" i="1" s="1"/>
  <c r="AB155" i="1"/>
  <c r="AC155" i="1"/>
  <c r="AD155" i="1"/>
  <c r="AG155" i="1" s="1"/>
  <c r="AE155" i="1"/>
  <c r="AF155" i="1"/>
  <c r="AH155" i="1"/>
  <c r="K156" i="1"/>
  <c r="M156" i="1"/>
  <c r="V156" i="1"/>
  <c r="Y156" i="1"/>
  <c r="Z156" i="1"/>
  <c r="AA156" i="1"/>
  <c r="AB156" i="1"/>
  <c r="AC156" i="1"/>
  <c r="AD156" i="1"/>
  <c r="T156" i="1" s="1"/>
  <c r="AE156" i="1"/>
  <c r="AF156" i="1"/>
  <c r="AH156" i="1"/>
  <c r="K151" i="1"/>
  <c r="L151" i="1"/>
  <c r="M151" i="1"/>
  <c r="V151" i="1"/>
  <c r="Y151" i="1"/>
  <c r="Z151" i="1"/>
  <c r="AA151" i="1"/>
  <c r="AB151" i="1"/>
  <c r="AC151" i="1"/>
  <c r="AD151" i="1"/>
  <c r="T151" i="1" s="1"/>
  <c r="AE151" i="1"/>
  <c r="AF151" i="1"/>
  <c r="AH151" i="1"/>
  <c r="X72" i="1" l="1"/>
  <c r="AG72" i="1"/>
  <c r="W72" i="1" s="1"/>
  <c r="T17" i="1"/>
  <c r="U17" i="1" s="1"/>
  <c r="AI17" i="1"/>
  <c r="W17" i="1"/>
  <c r="AA158" i="1"/>
  <c r="W159" i="1"/>
  <c r="T159" i="1"/>
  <c r="AG158" i="1"/>
  <c r="W158" i="1" s="1"/>
  <c r="U159" i="1"/>
  <c r="S159" i="1" s="1"/>
  <c r="AI159" i="1"/>
  <c r="U158" i="1"/>
  <c r="S158" i="1" s="1"/>
  <c r="AG157" i="1"/>
  <c r="AI158" i="1"/>
  <c r="AI155" i="1"/>
  <c r="W155" i="1"/>
  <c r="T155" i="1"/>
  <c r="U155" i="1" s="1"/>
  <c r="S155" i="1" s="1"/>
  <c r="U154" i="1"/>
  <c r="S154" i="1" s="1"/>
  <c r="W154" i="1"/>
  <c r="W153" i="1"/>
  <c r="AI153" i="1"/>
  <c r="AI154" i="1"/>
  <c r="T153" i="1"/>
  <c r="U153" i="1" s="1"/>
  <c r="S153" i="1" s="1"/>
  <c r="AG156" i="1"/>
  <c r="AG151" i="1"/>
  <c r="AI151" i="1" s="1"/>
  <c r="K14" i="1"/>
  <c r="L14" i="1"/>
  <c r="M14" i="1"/>
  <c r="N14" i="1"/>
  <c r="V14" i="1"/>
  <c r="Y14" i="1"/>
  <c r="Z14" i="1"/>
  <c r="AB14" i="1"/>
  <c r="AC14" i="1"/>
  <c r="AD14" i="1"/>
  <c r="AE14" i="1"/>
  <c r="AF14" i="1"/>
  <c r="AH14" i="1"/>
  <c r="K15" i="1"/>
  <c r="L15" i="1"/>
  <c r="M15" i="1"/>
  <c r="P15" i="1" s="1"/>
  <c r="V15" i="1"/>
  <c r="Y15" i="1"/>
  <c r="Z15" i="1"/>
  <c r="AB15" i="1"/>
  <c r="AC15" i="1"/>
  <c r="AD15" i="1"/>
  <c r="T15" i="1" s="1"/>
  <c r="AE15" i="1"/>
  <c r="AF15" i="1"/>
  <c r="AH15" i="1"/>
  <c r="K16" i="1"/>
  <c r="L16" i="1"/>
  <c r="M16" i="1"/>
  <c r="V16" i="1"/>
  <c r="Y16" i="1"/>
  <c r="Z16" i="1"/>
  <c r="AB16" i="1"/>
  <c r="AC16" i="1"/>
  <c r="AD16" i="1"/>
  <c r="AE16" i="1"/>
  <c r="AF16" i="1"/>
  <c r="AH16" i="1"/>
  <c r="K18" i="1"/>
  <c r="L18" i="1"/>
  <c r="M18" i="1"/>
  <c r="N18" i="1" s="1"/>
  <c r="V18" i="1"/>
  <c r="Y18" i="1"/>
  <c r="Z18" i="1"/>
  <c r="AA18" i="1" s="1"/>
  <c r="AB18" i="1"/>
  <c r="AC18" i="1"/>
  <c r="AD18" i="1"/>
  <c r="AE18" i="1"/>
  <c r="AF18" i="1"/>
  <c r="AH18" i="1"/>
  <c r="K19" i="1"/>
  <c r="L19" i="1"/>
  <c r="M19" i="1"/>
  <c r="N19" i="1" s="1"/>
  <c r="V19" i="1"/>
  <c r="Y19" i="1"/>
  <c r="Z19" i="1"/>
  <c r="AB19" i="1"/>
  <c r="AC19" i="1"/>
  <c r="AD19" i="1"/>
  <c r="X19" i="1" s="1"/>
  <c r="AE19" i="1"/>
  <c r="AF19" i="1"/>
  <c r="AH19" i="1"/>
  <c r="K20" i="1"/>
  <c r="L20" i="1"/>
  <c r="M20" i="1"/>
  <c r="N20" i="1" s="1"/>
  <c r="V20" i="1"/>
  <c r="Y20" i="1"/>
  <c r="Z20" i="1"/>
  <c r="AB20" i="1"/>
  <c r="AC20" i="1"/>
  <c r="AD20" i="1"/>
  <c r="AE20" i="1"/>
  <c r="AF20" i="1"/>
  <c r="AH20" i="1"/>
  <c r="K21" i="1"/>
  <c r="L21" i="1"/>
  <c r="M21" i="1"/>
  <c r="N21" i="1" s="1"/>
  <c r="V21" i="1"/>
  <c r="Y21" i="1"/>
  <c r="Z21" i="1"/>
  <c r="AB21" i="1"/>
  <c r="AC21" i="1"/>
  <c r="AD21" i="1"/>
  <c r="X21" i="1" s="1"/>
  <c r="AE21" i="1"/>
  <c r="AF21" i="1"/>
  <c r="AH21" i="1"/>
  <c r="K22" i="1"/>
  <c r="L22" i="1"/>
  <c r="M22" i="1"/>
  <c r="N22" i="1" s="1"/>
  <c r="V22" i="1"/>
  <c r="Y22" i="1"/>
  <c r="Z22" i="1"/>
  <c r="AB22" i="1"/>
  <c r="AC22" i="1"/>
  <c r="AD22" i="1"/>
  <c r="AE22" i="1"/>
  <c r="AF22" i="1"/>
  <c r="AH22" i="1"/>
  <c r="K23" i="1"/>
  <c r="L23" i="1"/>
  <c r="M23" i="1"/>
  <c r="N23" i="1" s="1"/>
  <c r="V23" i="1"/>
  <c r="Y23" i="1"/>
  <c r="Z23" i="1"/>
  <c r="AB23" i="1"/>
  <c r="AC23" i="1"/>
  <c r="AD23" i="1"/>
  <c r="AE23" i="1"/>
  <c r="AF23" i="1"/>
  <c r="AH23" i="1"/>
  <c r="K24" i="1"/>
  <c r="L24" i="1"/>
  <c r="M24" i="1"/>
  <c r="N24" i="1" s="1"/>
  <c r="V24" i="1"/>
  <c r="Y24" i="1"/>
  <c r="Z24" i="1"/>
  <c r="AB24" i="1"/>
  <c r="AC24" i="1"/>
  <c r="AD24" i="1"/>
  <c r="AE24" i="1"/>
  <c r="AF24" i="1"/>
  <c r="AH24" i="1"/>
  <c r="K25" i="1"/>
  <c r="L25" i="1"/>
  <c r="M25" i="1"/>
  <c r="N25" i="1" s="1"/>
  <c r="V25" i="1"/>
  <c r="Y25" i="1"/>
  <c r="Z25" i="1"/>
  <c r="AB25" i="1"/>
  <c r="AC25" i="1"/>
  <c r="AD25" i="1"/>
  <c r="T25" i="1" s="1"/>
  <c r="AE25" i="1"/>
  <c r="AF25" i="1"/>
  <c r="AH25" i="1"/>
  <c r="K26" i="1"/>
  <c r="L26" i="1"/>
  <c r="M26" i="1"/>
  <c r="N26" i="1" s="1"/>
  <c r="V26" i="1"/>
  <c r="Y26" i="1"/>
  <c r="Z26" i="1"/>
  <c r="AB26" i="1"/>
  <c r="AC26" i="1"/>
  <c r="AD26" i="1"/>
  <c r="AG26" i="1" s="1"/>
  <c r="AE26" i="1"/>
  <c r="AF26" i="1"/>
  <c r="AH26" i="1"/>
  <c r="K27" i="1"/>
  <c r="L27" i="1"/>
  <c r="M27" i="1"/>
  <c r="N27" i="1" s="1"/>
  <c r="V27" i="1"/>
  <c r="Y27" i="1"/>
  <c r="Z27" i="1"/>
  <c r="AB27" i="1"/>
  <c r="AC27" i="1"/>
  <c r="AD27" i="1"/>
  <c r="AE27" i="1"/>
  <c r="AF27" i="1"/>
  <c r="AH27" i="1"/>
  <c r="K28" i="1"/>
  <c r="L28" i="1"/>
  <c r="M28" i="1"/>
  <c r="N28" i="1" s="1"/>
  <c r="V28" i="1"/>
  <c r="Y28" i="1"/>
  <c r="Z28" i="1"/>
  <c r="AB28" i="1"/>
  <c r="AC28" i="1"/>
  <c r="AD28" i="1"/>
  <c r="T28" i="1" s="1"/>
  <c r="AE28" i="1"/>
  <c r="AF28" i="1"/>
  <c r="AH28" i="1"/>
  <c r="K29" i="1"/>
  <c r="L29" i="1"/>
  <c r="M29" i="1"/>
  <c r="N29" i="1" s="1"/>
  <c r="V29" i="1"/>
  <c r="Y29" i="1"/>
  <c r="Z29" i="1"/>
  <c r="AB29" i="1"/>
  <c r="AC29" i="1"/>
  <c r="AD29" i="1"/>
  <c r="T29" i="1" s="1"/>
  <c r="AE29" i="1"/>
  <c r="R20" i="3" s="1"/>
  <c r="AF29" i="1"/>
  <c r="AH29" i="1"/>
  <c r="K30" i="1"/>
  <c r="L30" i="1"/>
  <c r="M30" i="1"/>
  <c r="N30" i="1" s="1"/>
  <c r="V30" i="1"/>
  <c r="Y30" i="1"/>
  <c r="Z30" i="1"/>
  <c r="AB30" i="1"/>
  <c r="AC30" i="1"/>
  <c r="AD30" i="1"/>
  <c r="T30" i="1" s="1"/>
  <c r="AE30" i="1"/>
  <c r="AF30" i="1"/>
  <c r="AH30" i="1"/>
  <c r="K31" i="1"/>
  <c r="L31" i="1"/>
  <c r="M31" i="1"/>
  <c r="N31" i="1" s="1"/>
  <c r="V31" i="1"/>
  <c r="Y31" i="1"/>
  <c r="Z31" i="1"/>
  <c r="AB31" i="1"/>
  <c r="AC31" i="1"/>
  <c r="AD31" i="1"/>
  <c r="AE31" i="1"/>
  <c r="R22" i="3" s="1"/>
  <c r="AF31" i="1"/>
  <c r="AH31" i="1"/>
  <c r="K32" i="1"/>
  <c r="L32" i="1"/>
  <c r="M32" i="1"/>
  <c r="N32" i="1" s="1"/>
  <c r="V32" i="1"/>
  <c r="Y32" i="1"/>
  <c r="Z32" i="1"/>
  <c r="AB32" i="1"/>
  <c r="AC32" i="1"/>
  <c r="AD32" i="1"/>
  <c r="T32" i="1" s="1"/>
  <c r="AE32" i="1"/>
  <c r="AF32" i="1"/>
  <c r="AH32" i="1"/>
  <c r="K33" i="1"/>
  <c r="L33" i="1"/>
  <c r="M33" i="1"/>
  <c r="N33" i="1" s="1"/>
  <c r="V33" i="1"/>
  <c r="Y33" i="1"/>
  <c r="Z33" i="1"/>
  <c r="AB33" i="1"/>
  <c r="AC33" i="1"/>
  <c r="AD33" i="1"/>
  <c r="AE33" i="1"/>
  <c r="AF33" i="1"/>
  <c r="AH33" i="1"/>
  <c r="K34" i="1"/>
  <c r="L34" i="1"/>
  <c r="M34" i="1"/>
  <c r="N34" i="1" s="1"/>
  <c r="V34" i="1"/>
  <c r="Y34" i="1"/>
  <c r="Z34" i="1"/>
  <c r="AB34" i="1"/>
  <c r="AC34" i="1"/>
  <c r="AD34" i="1"/>
  <c r="T34" i="1" s="1"/>
  <c r="AE34" i="1"/>
  <c r="AF34" i="1"/>
  <c r="AH34" i="1"/>
  <c r="K35" i="1"/>
  <c r="L35" i="1"/>
  <c r="M35" i="1"/>
  <c r="N35" i="1" s="1"/>
  <c r="V35" i="1"/>
  <c r="Y35" i="1"/>
  <c r="Z35" i="1"/>
  <c r="AB35" i="1"/>
  <c r="AC35" i="1"/>
  <c r="AD35" i="1"/>
  <c r="AE35" i="1"/>
  <c r="AF35" i="1"/>
  <c r="AH35" i="1"/>
  <c r="K36" i="1"/>
  <c r="L36" i="1"/>
  <c r="M36" i="1"/>
  <c r="N36" i="1" s="1"/>
  <c r="V36" i="1"/>
  <c r="Y36" i="1"/>
  <c r="Z36" i="1"/>
  <c r="AB36" i="1"/>
  <c r="AC36" i="1"/>
  <c r="AD36" i="1"/>
  <c r="AE36" i="1"/>
  <c r="AF36" i="1"/>
  <c r="AH36" i="1"/>
  <c r="K37" i="1"/>
  <c r="L37" i="1"/>
  <c r="M37" i="1"/>
  <c r="N37" i="1" s="1"/>
  <c r="V37" i="1"/>
  <c r="Y37" i="1"/>
  <c r="Z37" i="1"/>
  <c r="AB37" i="1"/>
  <c r="AC37" i="1"/>
  <c r="AD37" i="1"/>
  <c r="AG37" i="1" s="1"/>
  <c r="AE37" i="1"/>
  <c r="AF37" i="1"/>
  <c r="AH37" i="1"/>
  <c r="K38" i="1"/>
  <c r="L38" i="1"/>
  <c r="M38" i="1"/>
  <c r="N38" i="1" s="1"/>
  <c r="V38" i="1"/>
  <c r="Y38" i="1"/>
  <c r="Z38" i="1"/>
  <c r="AB38" i="1"/>
  <c r="AC38" i="1"/>
  <c r="AD38" i="1"/>
  <c r="T38" i="1" s="1"/>
  <c r="AE38" i="1"/>
  <c r="AF38" i="1"/>
  <c r="AH38" i="1"/>
  <c r="K39" i="1"/>
  <c r="L39" i="1"/>
  <c r="M39" i="1"/>
  <c r="N39" i="1" s="1"/>
  <c r="V39" i="1"/>
  <c r="Y39" i="1"/>
  <c r="Z39" i="1"/>
  <c r="AB39" i="1"/>
  <c r="AC39" i="1"/>
  <c r="AD39" i="1"/>
  <c r="AE39" i="1"/>
  <c r="AF39" i="1"/>
  <c r="AH39" i="1"/>
  <c r="K40" i="1"/>
  <c r="L40" i="1"/>
  <c r="M40" i="1"/>
  <c r="N40" i="1" s="1"/>
  <c r="V40" i="1"/>
  <c r="Y40" i="1"/>
  <c r="Z40" i="1"/>
  <c r="AB40" i="1"/>
  <c r="AC40" i="1"/>
  <c r="AD40" i="1"/>
  <c r="AE40" i="1"/>
  <c r="AF40" i="1"/>
  <c r="AH40" i="1"/>
  <c r="K41" i="1"/>
  <c r="L41" i="1"/>
  <c r="M41" i="1"/>
  <c r="N41" i="1" s="1"/>
  <c r="V41" i="1"/>
  <c r="Y41" i="1"/>
  <c r="Z41" i="1"/>
  <c r="AB41" i="1"/>
  <c r="AC41" i="1"/>
  <c r="AD41" i="1"/>
  <c r="T41" i="1" s="1"/>
  <c r="AE41" i="1"/>
  <c r="AF41" i="1"/>
  <c r="AH41" i="1"/>
  <c r="K42" i="1"/>
  <c r="L42" i="1"/>
  <c r="M42" i="1"/>
  <c r="N42" i="1" s="1"/>
  <c r="V42" i="1"/>
  <c r="S27" i="3" s="1"/>
  <c r="Y42" i="1"/>
  <c r="Z42" i="1"/>
  <c r="AB42" i="1"/>
  <c r="AC42" i="1"/>
  <c r="AD42" i="1"/>
  <c r="AE42" i="1"/>
  <c r="R27" i="3" s="1"/>
  <c r="AF42" i="1"/>
  <c r="AH42" i="1"/>
  <c r="K43" i="1"/>
  <c r="L43" i="1"/>
  <c r="M43" i="1"/>
  <c r="N43" i="1" s="1"/>
  <c r="V43" i="1"/>
  <c r="Y43" i="1"/>
  <c r="Z43" i="1"/>
  <c r="AB43" i="1"/>
  <c r="AC43" i="1"/>
  <c r="AD43" i="1"/>
  <c r="AE43" i="1"/>
  <c r="AF43" i="1"/>
  <c r="AH43" i="1"/>
  <c r="K44" i="1"/>
  <c r="L44" i="1"/>
  <c r="M44" i="1"/>
  <c r="N44" i="1" s="1"/>
  <c r="V44" i="1"/>
  <c r="S14" i="3" s="1"/>
  <c r="Y44" i="1"/>
  <c r="Z44" i="1"/>
  <c r="AB44" i="1"/>
  <c r="AC44" i="1"/>
  <c r="AD44" i="1"/>
  <c r="AE44" i="1"/>
  <c r="R14" i="3" s="1"/>
  <c r="AF44" i="1"/>
  <c r="AH44" i="1"/>
  <c r="K45" i="1"/>
  <c r="L45" i="1"/>
  <c r="M45" i="1"/>
  <c r="N45" i="1" s="1"/>
  <c r="V45" i="1"/>
  <c r="Y45" i="1"/>
  <c r="Z45" i="1"/>
  <c r="AB45" i="1"/>
  <c r="AC45" i="1"/>
  <c r="AD45" i="1"/>
  <c r="AE45" i="1"/>
  <c r="AF45" i="1"/>
  <c r="AH45" i="1"/>
  <c r="K46" i="1"/>
  <c r="L46" i="1"/>
  <c r="M46" i="1"/>
  <c r="N46" i="1" s="1"/>
  <c r="V46" i="1"/>
  <c r="Y46" i="1"/>
  <c r="Z46" i="1"/>
  <c r="AB46" i="1"/>
  <c r="AC46" i="1"/>
  <c r="AD46" i="1"/>
  <c r="T46" i="1" s="1"/>
  <c r="AE46" i="1"/>
  <c r="AF46" i="1"/>
  <c r="AH46" i="1"/>
  <c r="K47" i="1"/>
  <c r="L47" i="1"/>
  <c r="M47" i="1"/>
  <c r="N47" i="1" s="1"/>
  <c r="V47" i="1"/>
  <c r="Y47" i="1"/>
  <c r="Z47" i="1"/>
  <c r="AB47" i="1"/>
  <c r="AC47" i="1"/>
  <c r="AD47" i="1"/>
  <c r="AE47" i="1"/>
  <c r="AF47" i="1"/>
  <c r="AH47" i="1"/>
  <c r="K48" i="1"/>
  <c r="L48" i="1"/>
  <c r="M48" i="1"/>
  <c r="N48" i="1" s="1"/>
  <c r="V48" i="1"/>
  <c r="Y48" i="1"/>
  <c r="Z48" i="1"/>
  <c r="AB48" i="1"/>
  <c r="AC48" i="1"/>
  <c r="AD48" i="1"/>
  <c r="AE48" i="1"/>
  <c r="AF48" i="1"/>
  <c r="AH48" i="1"/>
  <c r="K49" i="1"/>
  <c r="L49" i="1"/>
  <c r="M49" i="1"/>
  <c r="N49" i="1" s="1"/>
  <c r="V49" i="1"/>
  <c r="Y49" i="1"/>
  <c r="Z49" i="1"/>
  <c r="AB49" i="1"/>
  <c r="AC49" i="1"/>
  <c r="AD49" i="1"/>
  <c r="T49" i="1" s="1"/>
  <c r="AE49" i="1"/>
  <c r="AF49" i="1"/>
  <c r="AH49" i="1"/>
  <c r="K50" i="1"/>
  <c r="L50" i="1"/>
  <c r="M50" i="1"/>
  <c r="N50" i="1" s="1"/>
  <c r="V50" i="1"/>
  <c r="S12" i="3" s="1"/>
  <c r="Y50" i="1"/>
  <c r="Z50" i="1"/>
  <c r="AB50" i="1"/>
  <c r="AC50" i="1"/>
  <c r="AD50" i="1"/>
  <c r="AE50" i="1"/>
  <c r="R12" i="3" s="1"/>
  <c r="AF50" i="1"/>
  <c r="AH50" i="1"/>
  <c r="K51" i="1"/>
  <c r="L51" i="1"/>
  <c r="M51" i="1"/>
  <c r="N51" i="1" s="1"/>
  <c r="V51" i="1"/>
  <c r="Y51" i="1"/>
  <c r="Z51" i="1"/>
  <c r="AB51" i="1"/>
  <c r="AC51" i="1"/>
  <c r="AD51" i="1"/>
  <c r="AE51" i="1"/>
  <c r="AF51" i="1"/>
  <c r="AH51" i="1"/>
  <c r="K52" i="1"/>
  <c r="L52" i="1"/>
  <c r="M52" i="1"/>
  <c r="N52" i="1" s="1"/>
  <c r="V52" i="1"/>
  <c r="Y52" i="1"/>
  <c r="Z52" i="1"/>
  <c r="AB52" i="1"/>
  <c r="AC52" i="1"/>
  <c r="AD52" i="1"/>
  <c r="AG52" i="1" s="1"/>
  <c r="AE52" i="1"/>
  <c r="AF52" i="1"/>
  <c r="AH52" i="1"/>
  <c r="K53" i="1"/>
  <c r="L53" i="1"/>
  <c r="M53" i="1"/>
  <c r="N53" i="1" s="1"/>
  <c r="V53" i="1"/>
  <c r="S21" i="3" s="1"/>
  <c r="Y53" i="1"/>
  <c r="Z53" i="1"/>
  <c r="AB53" i="1"/>
  <c r="AC53" i="1"/>
  <c r="AD53" i="1"/>
  <c r="T53" i="1" s="1"/>
  <c r="AE53" i="1"/>
  <c r="AF53" i="1"/>
  <c r="AH53" i="1"/>
  <c r="K54" i="1"/>
  <c r="L54" i="1"/>
  <c r="M54" i="1"/>
  <c r="N54" i="1" s="1"/>
  <c r="V54" i="1"/>
  <c r="Y54" i="1"/>
  <c r="Z54" i="1"/>
  <c r="AB54" i="1"/>
  <c r="AC54" i="1"/>
  <c r="AD54" i="1"/>
  <c r="T54" i="1" s="1"/>
  <c r="AE54" i="1"/>
  <c r="AF54" i="1"/>
  <c r="AG54" i="1"/>
  <c r="AH54" i="1"/>
  <c r="K55" i="1"/>
  <c r="L55" i="1"/>
  <c r="M55" i="1"/>
  <c r="N55" i="1" s="1"/>
  <c r="V55" i="1"/>
  <c r="Y55" i="1"/>
  <c r="Z55" i="1"/>
  <c r="AB55" i="1"/>
  <c r="AC55" i="1"/>
  <c r="AD55" i="1"/>
  <c r="AE55" i="1"/>
  <c r="AF55" i="1"/>
  <c r="AH55" i="1"/>
  <c r="K56" i="1"/>
  <c r="L56" i="1"/>
  <c r="M56" i="1"/>
  <c r="N56" i="1" s="1"/>
  <c r="V56" i="1"/>
  <c r="Y56" i="1"/>
  <c r="Z56" i="1"/>
  <c r="AB56" i="1"/>
  <c r="AC56" i="1"/>
  <c r="AD56" i="1"/>
  <c r="AE56" i="1"/>
  <c r="AF56" i="1"/>
  <c r="AH56" i="1"/>
  <c r="K57" i="1"/>
  <c r="L57" i="1"/>
  <c r="M57" i="1"/>
  <c r="N57" i="1" s="1"/>
  <c r="V57" i="1"/>
  <c r="Y57" i="1"/>
  <c r="Z57" i="1"/>
  <c r="AB57" i="1"/>
  <c r="AC57" i="1"/>
  <c r="AD57" i="1"/>
  <c r="T57" i="1" s="1"/>
  <c r="AE57" i="1"/>
  <c r="AF57" i="1"/>
  <c r="AH57" i="1"/>
  <c r="K58" i="1"/>
  <c r="L58" i="1"/>
  <c r="M58" i="1"/>
  <c r="N58" i="1" s="1"/>
  <c r="V58" i="1"/>
  <c r="Y58" i="1"/>
  <c r="Z58" i="1"/>
  <c r="AB58" i="1"/>
  <c r="AC58" i="1"/>
  <c r="AD58" i="1"/>
  <c r="AE58" i="1"/>
  <c r="AF58" i="1"/>
  <c r="AH58" i="1"/>
  <c r="K59" i="1"/>
  <c r="L59" i="1"/>
  <c r="M59" i="1"/>
  <c r="N59" i="1" s="1"/>
  <c r="V59" i="1"/>
  <c r="S25" i="3" s="1"/>
  <c r="Y59" i="1"/>
  <c r="Z59" i="1"/>
  <c r="AB59" i="1"/>
  <c r="AC59" i="1"/>
  <c r="AD59" i="1"/>
  <c r="AE59" i="1"/>
  <c r="R25" i="3" s="1"/>
  <c r="AF59" i="1"/>
  <c r="AH59" i="1"/>
  <c r="K60" i="1"/>
  <c r="L60" i="1"/>
  <c r="M60" i="1"/>
  <c r="N60" i="1" s="1"/>
  <c r="V60" i="1"/>
  <c r="Y60" i="1"/>
  <c r="Z60" i="1"/>
  <c r="AB60" i="1"/>
  <c r="AC60" i="1"/>
  <c r="AD60" i="1"/>
  <c r="AE60" i="1"/>
  <c r="AF60" i="1"/>
  <c r="AH60" i="1"/>
  <c r="K61" i="1"/>
  <c r="L61" i="1"/>
  <c r="M61" i="1"/>
  <c r="N61" i="1" s="1"/>
  <c r="V61" i="1"/>
  <c r="Y61" i="1"/>
  <c r="Z61" i="1"/>
  <c r="AB61" i="1"/>
  <c r="AC61" i="1"/>
  <c r="AD61" i="1"/>
  <c r="T61" i="1" s="1"/>
  <c r="AE61" i="1"/>
  <c r="AF61" i="1"/>
  <c r="AH61" i="1"/>
  <c r="K62" i="1"/>
  <c r="L62" i="1"/>
  <c r="M62" i="1"/>
  <c r="N62" i="1" s="1"/>
  <c r="V62" i="1"/>
  <c r="Y62" i="1"/>
  <c r="Z62" i="1"/>
  <c r="AB62" i="1"/>
  <c r="AC62" i="1"/>
  <c r="AD62" i="1"/>
  <c r="T62" i="1" s="1"/>
  <c r="AE62" i="1"/>
  <c r="AF62" i="1"/>
  <c r="AH62" i="1"/>
  <c r="K63" i="1"/>
  <c r="L63" i="1"/>
  <c r="M63" i="1"/>
  <c r="N63" i="1" s="1"/>
  <c r="V63" i="1"/>
  <c r="Y63" i="1"/>
  <c r="Z63" i="1"/>
  <c r="AB63" i="1"/>
  <c r="AC63" i="1"/>
  <c r="AD63" i="1"/>
  <c r="AE63" i="1"/>
  <c r="AF63" i="1"/>
  <c r="AH63" i="1"/>
  <c r="K64" i="1"/>
  <c r="L64" i="1"/>
  <c r="M64" i="1"/>
  <c r="N64" i="1" s="1"/>
  <c r="V64" i="1"/>
  <c r="Y64" i="1"/>
  <c r="Z64" i="1"/>
  <c r="AB64" i="1"/>
  <c r="AC64" i="1"/>
  <c r="AD64" i="1"/>
  <c r="AG64" i="1" s="1"/>
  <c r="AE64" i="1"/>
  <c r="AF64" i="1"/>
  <c r="AH64" i="1"/>
  <c r="K65" i="1"/>
  <c r="L65" i="1"/>
  <c r="M65" i="1"/>
  <c r="N65" i="1" s="1"/>
  <c r="V65" i="1"/>
  <c r="Y65" i="1"/>
  <c r="Z65" i="1"/>
  <c r="AB65" i="1"/>
  <c r="AC65" i="1"/>
  <c r="AD65" i="1"/>
  <c r="T65" i="1" s="1"/>
  <c r="AE65" i="1"/>
  <c r="AF65" i="1"/>
  <c r="AH65" i="1"/>
  <c r="K66" i="1"/>
  <c r="L66" i="1"/>
  <c r="M66" i="1"/>
  <c r="N66" i="1" s="1"/>
  <c r="V66" i="1"/>
  <c r="Y66" i="1"/>
  <c r="Z66" i="1"/>
  <c r="AB66" i="1"/>
  <c r="AC66" i="1"/>
  <c r="AD66" i="1"/>
  <c r="T66" i="1" s="1"/>
  <c r="AE66" i="1"/>
  <c r="AF66" i="1"/>
  <c r="AH66" i="1"/>
  <c r="K67" i="1"/>
  <c r="L67" i="1"/>
  <c r="M67" i="1"/>
  <c r="N67" i="1" s="1"/>
  <c r="V67" i="1"/>
  <c r="Y67" i="1"/>
  <c r="Z67" i="1"/>
  <c r="AB67" i="1"/>
  <c r="AC67" i="1"/>
  <c r="AD67" i="1"/>
  <c r="AE67" i="1"/>
  <c r="AF67" i="1"/>
  <c r="AH67" i="1"/>
  <c r="K68" i="1"/>
  <c r="L68" i="1"/>
  <c r="M68" i="1"/>
  <c r="N68" i="1" s="1"/>
  <c r="V68" i="1"/>
  <c r="Y68" i="1"/>
  <c r="Z68" i="1"/>
  <c r="AB68" i="1"/>
  <c r="AC68" i="1"/>
  <c r="AD68" i="1"/>
  <c r="AG68" i="1" s="1"/>
  <c r="AE68" i="1"/>
  <c r="AF68" i="1"/>
  <c r="AH68" i="1"/>
  <c r="K69" i="1"/>
  <c r="L69" i="1"/>
  <c r="M69" i="1"/>
  <c r="N69" i="1" s="1"/>
  <c r="V69" i="1"/>
  <c r="Y69" i="1"/>
  <c r="Z69" i="1"/>
  <c r="AB69" i="1"/>
  <c r="AC69" i="1"/>
  <c r="AD69" i="1"/>
  <c r="T69" i="1" s="1"/>
  <c r="AE69" i="1"/>
  <c r="R15" i="3" s="1"/>
  <c r="AF69" i="1"/>
  <c r="AH69" i="1"/>
  <c r="K70" i="1"/>
  <c r="L70" i="1"/>
  <c r="M70" i="1"/>
  <c r="N70" i="1" s="1"/>
  <c r="V70" i="1"/>
  <c r="Y70" i="1"/>
  <c r="Z70" i="1"/>
  <c r="AB70" i="1"/>
  <c r="AC70" i="1"/>
  <c r="AD70" i="1"/>
  <c r="AG70" i="1" s="1"/>
  <c r="AE70" i="1"/>
  <c r="AF70" i="1"/>
  <c r="AH70" i="1"/>
  <c r="K71" i="1"/>
  <c r="L71" i="1"/>
  <c r="M71" i="1"/>
  <c r="N71" i="1" s="1"/>
  <c r="V71" i="1"/>
  <c r="Y71" i="1"/>
  <c r="Z71" i="1"/>
  <c r="AB71" i="1"/>
  <c r="AC71" i="1"/>
  <c r="AD71" i="1"/>
  <c r="AG71" i="1" s="1"/>
  <c r="AE71" i="1"/>
  <c r="AF71" i="1"/>
  <c r="AH71" i="1"/>
  <c r="K73" i="1"/>
  <c r="L73" i="1"/>
  <c r="M73" i="1"/>
  <c r="N73" i="1" s="1"/>
  <c r="V73" i="1"/>
  <c r="Y73" i="1"/>
  <c r="Z73" i="1"/>
  <c r="AB73" i="1"/>
  <c r="AC73" i="1"/>
  <c r="AD73" i="1"/>
  <c r="AE73" i="1"/>
  <c r="AF73" i="1"/>
  <c r="AH73" i="1"/>
  <c r="K74" i="1"/>
  <c r="L74" i="1"/>
  <c r="M74" i="1"/>
  <c r="N74" i="1" s="1"/>
  <c r="V74" i="1"/>
  <c r="Y74" i="1"/>
  <c r="Z74" i="1"/>
  <c r="AB74" i="1"/>
  <c r="AC74" i="1"/>
  <c r="AD74" i="1"/>
  <c r="AE74" i="1"/>
  <c r="AF74" i="1"/>
  <c r="AH74" i="1"/>
  <c r="K75" i="1"/>
  <c r="L75" i="1"/>
  <c r="M75" i="1"/>
  <c r="N75" i="1" s="1"/>
  <c r="V75" i="1"/>
  <c r="Y75" i="1"/>
  <c r="Z75" i="1"/>
  <c r="AB75" i="1"/>
  <c r="AC75" i="1"/>
  <c r="AD75" i="1"/>
  <c r="AG75" i="1" s="1"/>
  <c r="AE75" i="1"/>
  <c r="AF75" i="1"/>
  <c r="AH75" i="1"/>
  <c r="K76" i="1"/>
  <c r="L76" i="1"/>
  <c r="M76" i="1"/>
  <c r="N76" i="1" s="1"/>
  <c r="V76" i="1"/>
  <c r="Y76" i="1"/>
  <c r="Z76" i="1"/>
  <c r="AB76" i="1"/>
  <c r="AC76" i="1"/>
  <c r="AD76" i="1"/>
  <c r="AE76" i="1"/>
  <c r="AF76" i="1"/>
  <c r="AH76" i="1"/>
  <c r="K77" i="1"/>
  <c r="L77" i="1"/>
  <c r="M77" i="1"/>
  <c r="N77" i="1" s="1"/>
  <c r="V77" i="1"/>
  <c r="Y77" i="1"/>
  <c r="Z77" i="1"/>
  <c r="AB77" i="1"/>
  <c r="AC77" i="1"/>
  <c r="AD77" i="1"/>
  <c r="AG77" i="1" s="1"/>
  <c r="AE77" i="1"/>
  <c r="AF77" i="1"/>
  <c r="AH77" i="1"/>
  <c r="K78" i="1"/>
  <c r="L78" i="1"/>
  <c r="M78" i="1"/>
  <c r="N78" i="1" s="1"/>
  <c r="V78" i="1"/>
  <c r="Y78" i="1"/>
  <c r="Z78" i="1"/>
  <c r="AB78" i="1"/>
  <c r="AC78" i="1"/>
  <c r="AD78" i="1"/>
  <c r="T78" i="1" s="1"/>
  <c r="AE78" i="1"/>
  <c r="AF78" i="1"/>
  <c r="AH78" i="1"/>
  <c r="K79" i="1"/>
  <c r="L79" i="1"/>
  <c r="M79" i="1"/>
  <c r="N79" i="1" s="1"/>
  <c r="V79" i="1"/>
  <c r="Y79" i="1"/>
  <c r="Z79" i="1"/>
  <c r="AB79" i="1"/>
  <c r="AC79" i="1"/>
  <c r="AD79" i="1"/>
  <c r="AG79" i="1" s="1"/>
  <c r="AE79" i="1"/>
  <c r="AF79" i="1"/>
  <c r="AH79" i="1"/>
  <c r="K80" i="1"/>
  <c r="L80" i="1"/>
  <c r="M80" i="1"/>
  <c r="N80" i="1" s="1"/>
  <c r="V80" i="1"/>
  <c r="Y80" i="1"/>
  <c r="Z80" i="1"/>
  <c r="AB80" i="1"/>
  <c r="AC80" i="1"/>
  <c r="AD80" i="1"/>
  <c r="AE80" i="1"/>
  <c r="AF80" i="1"/>
  <c r="AH80" i="1"/>
  <c r="K81" i="1"/>
  <c r="L81" i="1"/>
  <c r="M81" i="1"/>
  <c r="N81" i="1" s="1"/>
  <c r="V81" i="1"/>
  <c r="Y81" i="1"/>
  <c r="Z81" i="1"/>
  <c r="AB81" i="1"/>
  <c r="AC81" i="1"/>
  <c r="AD81" i="1"/>
  <c r="AG81" i="1" s="1"/>
  <c r="AE81" i="1"/>
  <c r="AF81" i="1"/>
  <c r="AH81" i="1"/>
  <c r="K82" i="1"/>
  <c r="L82" i="1"/>
  <c r="M82" i="1"/>
  <c r="N82" i="1" s="1"/>
  <c r="V82" i="1"/>
  <c r="Y82" i="1"/>
  <c r="Z82" i="1"/>
  <c r="AB82" i="1"/>
  <c r="AC82" i="1"/>
  <c r="AD82" i="1"/>
  <c r="T82" i="1" s="1"/>
  <c r="AE82" i="1"/>
  <c r="AF82" i="1"/>
  <c r="AH82" i="1"/>
  <c r="K83" i="1"/>
  <c r="L83" i="1"/>
  <c r="M83" i="1"/>
  <c r="N83" i="1" s="1"/>
  <c r="V83" i="1"/>
  <c r="Y83" i="1"/>
  <c r="Z83" i="1"/>
  <c r="AB83" i="1"/>
  <c r="AC83" i="1"/>
  <c r="AD83" i="1"/>
  <c r="AE83" i="1"/>
  <c r="AF83" i="1"/>
  <c r="AH83" i="1"/>
  <c r="K84" i="1"/>
  <c r="L84" i="1"/>
  <c r="M84" i="1"/>
  <c r="N84" i="1" s="1"/>
  <c r="V84" i="1"/>
  <c r="Y84" i="1"/>
  <c r="Z84" i="1"/>
  <c r="AB84" i="1"/>
  <c r="AC84" i="1"/>
  <c r="AD84" i="1"/>
  <c r="AG84" i="1" s="1"/>
  <c r="AE84" i="1"/>
  <c r="AF84" i="1"/>
  <c r="AH84" i="1"/>
  <c r="K85" i="1"/>
  <c r="L85" i="1"/>
  <c r="M85" i="1"/>
  <c r="N85" i="1" s="1"/>
  <c r="V85" i="1"/>
  <c r="S8" i="3" s="1"/>
  <c r="Y85" i="1"/>
  <c r="Z85" i="1"/>
  <c r="AB85" i="1"/>
  <c r="AC85" i="1"/>
  <c r="AD85" i="1"/>
  <c r="AG85" i="1" s="1"/>
  <c r="AE85" i="1"/>
  <c r="R9" i="3" s="1"/>
  <c r="AF85" i="1"/>
  <c r="AH85" i="1"/>
  <c r="K86" i="1"/>
  <c r="L86" i="1"/>
  <c r="M86" i="1"/>
  <c r="N86" i="1" s="1"/>
  <c r="V86" i="1"/>
  <c r="Y86" i="1"/>
  <c r="Z86" i="1"/>
  <c r="AB86" i="1"/>
  <c r="AC86" i="1"/>
  <c r="AD86" i="1"/>
  <c r="AE86" i="1"/>
  <c r="AF86" i="1"/>
  <c r="AH86" i="1"/>
  <c r="K87" i="1"/>
  <c r="L87" i="1"/>
  <c r="M87" i="1"/>
  <c r="N87" i="1" s="1"/>
  <c r="V87" i="1"/>
  <c r="Y87" i="1"/>
  <c r="Z87" i="1"/>
  <c r="AB87" i="1"/>
  <c r="AC87" i="1"/>
  <c r="AD87" i="1"/>
  <c r="T87" i="1" s="1"/>
  <c r="AE87" i="1"/>
  <c r="AF87" i="1"/>
  <c r="AH87" i="1"/>
  <c r="K88" i="1"/>
  <c r="L88" i="1"/>
  <c r="M88" i="1"/>
  <c r="N88" i="1" s="1"/>
  <c r="V88" i="1"/>
  <c r="Y88" i="1"/>
  <c r="Z88" i="1"/>
  <c r="AB88" i="1"/>
  <c r="AC88" i="1"/>
  <c r="AD88" i="1"/>
  <c r="AG88" i="1" s="1"/>
  <c r="AI88" i="1" s="1"/>
  <c r="AE88" i="1"/>
  <c r="AF88" i="1"/>
  <c r="AH88" i="1"/>
  <c r="K89" i="1"/>
  <c r="L89" i="1"/>
  <c r="M89" i="1"/>
  <c r="N89" i="1" s="1"/>
  <c r="V89" i="1"/>
  <c r="Y89" i="1"/>
  <c r="Z89" i="1"/>
  <c r="AB89" i="1"/>
  <c r="AC89" i="1"/>
  <c r="AD89" i="1"/>
  <c r="AE89" i="1"/>
  <c r="AF89" i="1"/>
  <c r="AH89" i="1"/>
  <c r="K90" i="1"/>
  <c r="L90" i="1"/>
  <c r="M90" i="1"/>
  <c r="P90" i="1" s="1"/>
  <c r="V90" i="1"/>
  <c r="S17" i="3" s="1"/>
  <c r="Y90" i="1"/>
  <c r="Z90" i="1"/>
  <c r="AB90" i="1"/>
  <c r="AC90" i="1"/>
  <c r="AD90" i="1"/>
  <c r="AE90" i="1"/>
  <c r="AF90" i="1"/>
  <c r="AH90" i="1"/>
  <c r="K91" i="1"/>
  <c r="L91" i="1"/>
  <c r="M91" i="1"/>
  <c r="N91" i="1" s="1"/>
  <c r="V91" i="1"/>
  <c r="Y91" i="1"/>
  <c r="Z91" i="1"/>
  <c r="AB91" i="1"/>
  <c r="AC91" i="1"/>
  <c r="AD91" i="1"/>
  <c r="AG91" i="1" s="1"/>
  <c r="AE91" i="1"/>
  <c r="AF91" i="1"/>
  <c r="AH91" i="1"/>
  <c r="K92" i="1"/>
  <c r="L92" i="1"/>
  <c r="M92" i="1"/>
  <c r="N92" i="1" s="1"/>
  <c r="V92" i="1"/>
  <c r="Y92" i="1"/>
  <c r="Z92" i="1"/>
  <c r="AB92" i="1"/>
  <c r="AC92" i="1"/>
  <c r="AD92" i="1"/>
  <c r="AE92" i="1"/>
  <c r="AF92" i="1"/>
  <c r="AH92" i="1"/>
  <c r="K93" i="1"/>
  <c r="L93" i="1"/>
  <c r="M93" i="1"/>
  <c r="N93" i="1" s="1"/>
  <c r="V93" i="1"/>
  <c r="Y93" i="1"/>
  <c r="Z93" i="1"/>
  <c r="AB93" i="1"/>
  <c r="AC93" i="1"/>
  <c r="AD93" i="1"/>
  <c r="AE93" i="1"/>
  <c r="AF93" i="1"/>
  <c r="AH93" i="1"/>
  <c r="K94" i="1"/>
  <c r="L94" i="1"/>
  <c r="M94" i="1"/>
  <c r="N94" i="1" s="1"/>
  <c r="T94" i="1"/>
  <c r="V94" i="1"/>
  <c r="Y94" i="1"/>
  <c r="Z94" i="1"/>
  <c r="AB94" i="1"/>
  <c r="AC94" i="1"/>
  <c r="AD94" i="1"/>
  <c r="AG94" i="1" s="1"/>
  <c r="AE94" i="1"/>
  <c r="AF94" i="1"/>
  <c r="AH94" i="1"/>
  <c r="K95" i="1"/>
  <c r="L95" i="1"/>
  <c r="M95" i="1"/>
  <c r="V95" i="1"/>
  <c r="Y95" i="1"/>
  <c r="Z95" i="1"/>
  <c r="AB95" i="1"/>
  <c r="AC95" i="1"/>
  <c r="AD95" i="1"/>
  <c r="T95" i="1" s="1"/>
  <c r="AE95" i="1"/>
  <c r="AF95" i="1"/>
  <c r="AH95" i="1"/>
  <c r="K96" i="1"/>
  <c r="L96" i="1"/>
  <c r="M96" i="1"/>
  <c r="V96" i="1"/>
  <c r="Y96" i="1"/>
  <c r="Z96" i="1"/>
  <c r="AB96" i="1"/>
  <c r="AC96" i="1"/>
  <c r="AD96" i="1"/>
  <c r="AE96" i="1"/>
  <c r="AF96" i="1"/>
  <c r="AH96" i="1"/>
  <c r="K97" i="1"/>
  <c r="L97" i="1"/>
  <c r="M97" i="1"/>
  <c r="N97" i="1" s="1"/>
  <c r="V97" i="1"/>
  <c r="Y97" i="1"/>
  <c r="Z97" i="1"/>
  <c r="AB97" i="1"/>
  <c r="AC97" i="1"/>
  <c r="AD97" i="1"/>
  <c r="AE97" i="1"/>
  <c r="AF97" i="1"/>
  <c r="AH97" i="1"/>
  <c r="K98" i="1"/>
  <c r="L98" i="1"/>
  <c r="M98" i="1"/>
  <c r="N98" i="1" s="1"/>
  <c r="V98" i="1"/>
  <c r="S16" i="3" s="1"/>
  <c r="Y98" i="1"/>
  <c r="Z98" i="1"/>
  <c r="AB98" i="1"/>
  <c r="AC98" i="1"/>
  <c r="AD98" i="1"/>
  <c r="T98" i="1" s="1"/>
  <c r="AE98" i="1"/>
  <c r="R16" i="3" s="1"/>
  <c r="AF98" i="1"/>
  <c r="AH98" i="1"/>
  <c r="K99" i="1"/>
  <c r="L99" i="1"/>
  <c r="M99" i="1"/>
  <c r="N99" i="1" s="1"/>
  <c r="V99" i="1"/>
  <c r="Y99" i="1"/>
  <c r="AA99" i="1" s="1"/>
  <c r="Z99" i="1"/>
  <c r="AB99" i="1"/>
  <c r="AC99" i="1"/>
  <c r="AD99" i="1"/>
  <c r="T99" i="1" s="1"/>
  <c r="AE99" i="1"/>
  <c r="AF99" i="1"/>
  <c r="AH99" i="1"/>
  <c r="K100" i="1"/>
  <c r="L100" i="1"/>
  <c r="M100" i="1"/>
  <c r="N100" i="1" s="1"/>
  <c r="V100" i="1"/>
  <c r="Y100" i="1"/>
  <c r="Z100" i="1"/>
  <c r="AB100" i="1"/>
  <c r="AC100" i="1"/>
  <c r="AD100" i="1"/>
  <c r="AE100" i="1"/>
  <c r="AF100" i="1"/>
  <c r="AH100" i="1"/>
  <c r="K101" i="1"/>
  <c r="L101" i="1"/>
  <c r="M101" i="1"/>
  <c r="N101" i="1" s="1"/>
  <c r="V101" i="1"/>
  <c r="Y101" i="1"/>
  <c r="Z101" i="1"/>
  <c r="AB101" i="1"/>
  <c r="AC101" i="1"/>
  <c r="AD101" i="1"/>
  <c r="T101" i="1" s="1"/>
  <c r="AE101" i="1"/>
  <c r="AF101" i="1"/>
  <c r="AH101" i="1"/>
  <c r="K102" i="1"/>
  <c r="L102" i="1"/>
  <c r="M102" i="1"/>
  <c r="N102" i="1" s="1"/>
  <c r="V102" i="1"/>
  <c r="Y102" i="1"/>
  <c r="Z102" i="1"/>
  <c r="AB102" i="1"/>
  <c r="AC102" i="1"/>
  <c r="AD102" i="1"/>
  <c r="AE102" i="1"/>
  <c r="AF102" i="1"/>
  <c r="AH102" i="1"/>
  <c r="K103" i="1"/>
  <c r="L103" i="1"/>
  <c r="M103" i="1"/>
  <c r="N103" i="1" s="1"/>
  <c r="V103" i="1"/>
  <c r="Y103" i="1"/>
  <c r="Z103" i="1"/>
  <c r="AB103" i="1"/>
  <c r="AC103" i="1"/>
  <c r="AD103" i="1"/>
  <c r="T103" i="1" s="1"/>
  <c r="AE103" i="1"/>
  <c r="AF103" i="1"/>
  <c r="AH103" i="1"/>
  <c r="K104" i="1"/>
  <c r="L104" i="1"/>
  <c r="M104" i="1"/>
  <c r="N104" i="1" s="1"/>
  <c r="V104" i="1"/>
  <c r="Y104" i="1"/>
  <c r="Z104" i="1"/>
  <c r="AB104" i="1"/>
  <c r="AC104" i="1"/>
  <c r="AD104" i="1"/>
  <c r="AE104" i="1"/>
  <c r="AF104" i="1"/>
  <c r="AH104" i="1"/>
  <c r="K105" i="1"/>
  <c r="L105" i="1"/>
  <c r="M105" i="1"/>
  <c r="N105" i="1" s="1"/>
  <c r="V105" i="1"/>
  <c r="Y105" i="1"/>
  <c r="Z105" i="1"/>
  <c r="AB105" i="1"/>
  <c r="AC105" i="1"/>
  <c r="AD105" i="1"/>
  <c r="AE105" i="1"/>
  <c r="AF105" i="1"/>
  <c r="AH105" i="1"/>
  <c r="K106" i="1"/>
  <c r="L106" i="1"/>
  <c r="M106" i="1"/>
  <c r="N106" i="1" s="1"/>
  <c r="V106" i="1"/>
  <c r="Y106" i="1"/>
  <c r="Z106" i="1"/>
  <c r="AB106" i="1"/>
  <c r="AC106" i="1"/>
  <c r="AD106" i="1"/>
  <c r="AE106" i="1"/>
  <c r="AF106" i="1"/>
  <c r="AH106" i="1"/>
  <c r="K107" i="1"/>
  <c r="L107" i="1"/>
  <c r="M107" i="1"/>
  <c r="N107" i="1" s="1"/>
  <c r="V107" i="1"/>
  <c r="Y107" i="1"/>
  <c r="Z107" i="1"/>
  <c r="AB107" i="1"/>
  <c r="AC107" i="1"/>
  <c r="AD107" i="1"/>
  <c r="AE107" i="1"/>
  <c r="AF107" i="1"/>
  <c r="AH107" i="1"/>
  <c r="K108" i="1"/>
  <c r="L108" i="1"/>
  <c r="M108" i="1"/>
  <c r="N108" i="1" s="1"/>
  <c r="V108" i="1"/>
  <c r="Y108" i="1"/>
  <c r="Z108" i="1"/>
  <c r="AB108" i="1"/>
  <c r="AC108" i="1"/>
  <c r="AD108" i="1"/>
  <c r="AE108" i="1"/>
  <c r="AF108" i="1"/>
  <c r="AH108" i="1"/>
  <c r="K109" i="1"/>
  <c r="L109" i="1"/>
  <c r="M109" i="1"/>
  <c r="N109" i="1" s="1"/>
  <c r="V109" i="1"/>
  <c r="Y109" i="1"/>
  <c r="Z109" i="1"/>
  <c r="AB109" i="1"/>
  <c r="AC109" i="1"/>
  <c r="AD109" i="1"/>
  <c r="T109" i="1" s="1"/>
  <c r="AE109" i="1"/>
  <c r="AF109" i="1"/>
  <c r="AH109" i="1"/>
  <c r="K110" i="1"/>
  <c r="L110" i="1"/>
  <c r="M110" i="1"/>
  <c r="N110" i="1" s="1"/>
  <c r="V110" i="1"/>
  <c r="Y110" i="1"/>
  <c r="Z110" i="1"/>
  <c r="AB110" i="1"/>
  <c r="AC110" i="1"/>
  <c r="AD110" i="1"/>
  <c r="AE110" i="1"/>
  <c r="AF110" i="1"/>
  <c r="AH110" i="1"/>
  <c r="K111" i="1"/>
  <c r="L111" i="1"/>
  <c r="M111" i="1"/>
  <c r="V111" i="1"/>
  <c r="Y111" i="1"/>
  <c r="Z111" i="1"/>
  <c r="AA111" i="1" s="1"/>
  <c r="AB111" i="1"/>
  <c r="AC111" i="1"/>
  <c r="AD111" i="1"/>
  <c r="T111" i="1" s="1"/>
  <c r="AE111" i="1"/>
  <c r="AF111" i="1"/>
  <c r="AH111" i="1"/>
  <c r="K112" i="1"/>
  <c r="L112" i="1"/>
  <c r="M112" i="1"/>
  <c r="V112" i="1"/>
  <c r="Y112" i="1"/>
  <c r="Z112" i="1"/>
  <c r="AB112" i="1"/>
  <c r="AC112" i="1"/>
  <c r="AD112" i="1"/>
  <c r="AE112" i="1"/>
  <c r="AF112" i="1"/>
  <c r="AH112" i="1"/>
  <c r="K113" i="1"/>
  <c r="L113" i="1"/>
  <c r="M113" i="1"/>
  <c r="N113" i="1" s="1"/>
  <c r="V113" i="1"/>
  <c r="Y113" i="1"/>
  <c r="Z113" i="1"/>
  <c r="AB113" i="1"/>
  <c r="AC113" i="1"/>
  <c r="AD113" i="1"/>
  <c r="T113" i="1" s="1"/>
  <c r="AE113" i="1"/>
  <c r="AF113" i="1"/>
  <c r="AH113" i="1"/>
  <c r="K114" i="1"/>
  <c r="L114" i="1"/>
  <c r="M114" i="1"/>
  <c r="N114" i="1" s="1"/>
  <c r="V114" i="1"/>
  <c r="S7" i="3" s="1"/>
  <c r="Y114" i="1"/>
  <c r="Z114" i="1"/>
  <c r="AB114" i="1"/>
  <c r="AC114" i="1"/>
  <c r="AD114" i="1"/>
  <c r="AE114" i="1"/>
  <c r="R7" i="3" s="1"/>
  <c r="AF114" i="1"/>
  <c r="AH114" i="1"/>
  <c r="K115" i="1"/>
  <c r="L115" i="1"/>
  <c r="M115" i="1"/>
  <c r="N115" i="1" s="1"/>
  <c r="V115" i="1"/>
  <c r="S18" i="3" s="1"/>
  <c r="Y115" i="1"/>
  <c r="Z115" i="1"/>
  <c r="AB115" i="1"/>
  <c r="AC115" i="1"/>
  <c r="AD115" i="1"/>
  <c r="AE115" i="1"/>
  <c r="AF115" i="1"/>
  <c r="AH115" i="1"/>
  <c r="K116" i="1"/>
  <c r="L116" i="1"/>
  <c r="M116" i="1"/>
  <c r="N116" i="1" s="1"/>
  <c r="V116" i="1"/>
  <c r="Y116" i="1"/>
  <c r="Z116" i="1"/>
  <c r="AB116" i="1"/>
  <c r="AC116" i="1"/>
  <c r="AD116" i="1"/>
  <c r="AE116" i="1"/>
  <c r="AF116" i="1"/>
  <c r="AH116" i="1"/>
  <c r="K117" i="1"/>
  <c r="L117" i="1"/>
  <c r="M117" i="1"/>
  <c r="N117" i="1" s="1"/>
  <c r="V117" i="1"/>
  <c r="Y117" i="1"/>
  <c r="Z117" i="1"/>
  <c r="AB117" i="1"/>
  <c r="AC117" i="1"/>
  <c r="AD117" i="1"/>
  <c r="T117" i="1" s="1"/>
  <c r="AE117" i="1"/>
  <c r="AF117" i="1"/>
  <c r="AH117" i="1"/>
  <c r="K118" i="1"/>
  <c r="L118" i="1"/>
  <c r="M118" i="1"/>
  <c r="N118" i="1" s="1"/>
  <c r="V118" i="1"/>
  <c r="Y118" i="1"/>
  <c r="Z118" i="1"/>
  <c r="AB118" i="1"/>
  <c r="AC118" i="1"/>
  <c r="AD118" i="1"/>
  <c r="AE118" i="1"/>
  <c r="AF118" i="1"/>
  <c r="AH118" i="1"/>
  <c r="K119" i="1"/>
  <c r="L119" i="1"/>
  <c r="M119" i="1"/>
  <c r="N119" i="1" s="1"/>
  <c r="V119" i="1"/>
  <c r="Y119" i="1"/>
  <c r="Z119" i="1"/>
  <c r="AB119" i="1"/>
  <c r="AC119" i="1"/>
  <c r="AD119" i="1"/>
  <c r="AE119" i="1"/>
  <c r="AF119" i="1"/>
  <c r="AH119" i="1"/>
  <c r="K120" i="1"/>
  <c r="L120" i="1"/>
  <c r="M120" i="1"/>
  <c r="N120" i="1" s="1"/>
  <c r="V120" i="1"/>
  <c r="Y120" i="1"/>
  <c r="Z120" i="1"/>
  <c r="AB120" i="1"/>
  <c r="AC120" i="1"/>
  <c r="AD120" i="1"/>
  <c r="AE120" i="1"/>
  <c r="AF120" i="1"/>
  <c r="AH120" i="1"/>
  <c r="K121" i="1"/>
  <c r="L121" i="1"/>
  <c r="M121" i="1"/>
  <c r="N121" i="1" s="1"/>
  <c r="V121" i="1"/>
  <c r="Y121" i="1"/>
  <c r="Z121" i="1"/>
  <c r="AB121" i="1"/>
  <c r="AC121" i="1"/>
  <c r="AD121" i="1"/>
  <c r="T121" i="1" s="1"/>
  <c r="AE121" i="1"/>
  <c r="AF121" i="1"/>
  <c r="AG121" i="1"/>
  <c r="AH121" i="1"/>
  <c r="K122" i="1"/>
  <c r="L122" i="1"/>
  <c r="M122" i="1"/>
  <c r="N122" i="1" s="1"/>
  <c r="V122" i="1"/>
  <c r="Y122" i="1"/>
  <c r="Z122" i="1"/>
  <c r="AB122" i="1"/>
  <c r="AC122" i="1"/>
  <c r="AD122" i="1"/>
  <c r="AE122" i="1"/>
  <c r="AF122" i="1"/>
  <c r="AH122" i="1"/>
  <c r="K123" i="1"/>
  <c r="L123" i="1"/>
  <c r="M123" i="1"/>
  <c r="N123" i="1" s="1"/>
  <c r="V123" i="1"/>
  <c r="Y123" i="1"/>
  <c r="Z123" i="1"/>
  <c r="AB123" i="1"/>
  <c r="AC123" i="1"/>
  <c r="AD123" i="1"/>
  <c r="AE123" i="1"/>
  <c r="AF123" i="1"/>
  <c r="AH123" i="1"/>
  <c r="K124" i="1"/>
  <c r="L124" i="1"/>
  <c r="M124" i="1"/>
  <c r="N124" i="1" s="1"/>
  <c r="V124" i="1"/>
  <c r="Y124" i="1"/>
  <c r="Z124" i="1"/>
  <c r="AB124" i="1"/>
  <c r="AC124" i="1"/>
  <c r="AD124" i="1"/>
  <c r="AE124" i="1"/>
  <c r="AF124" i="1"/>
  <c r="AH124" i="1"/>
  <c r="K125" i="1"/>
  <c r="L125" i="1"/>
  <c r="M125" i="1"/>
  <c r="N125" i="1" s="1"/>
  <c r="V125" i="1"/>
  <c r="Y125" i="1"/>
  <c r="Z125" i="1"/>
  <c r="AB125" i="1"/>
  <c r="AC125" i="1"/>
  <c r="AD125" i="1"/>
  <c r="AE125" i="1"/>
  <c r="AF125" i="1"/>
  <c r="AH125" i="1"/>
  <c r="K126" i="1"/>
  <c r="L126" i="1"/>
  <c r="M126" i="1"/>
  <c r="N126" i="1" s="1"/>
  <c r="V126" i="1"/>
  <c r="Y126" i="1"/>
  <c r="Z126" i="1"/>
  <c r="AB126" i="1"/>
  <c r="AC126" i="1"/>
  <c r="AD126" i="1"/>
  <c r="T126" i="1" s="1"/>
  <c r="AE126" i="1"/>
  <c r="AF126" i="1"/>
  <c r="AH126" i="1"/>
  <c r="K127" i="1"/>
  <c r="L127" i="1"/>
  <c r="M127" i="1"/>
  <c r="N127" i="1" s="1"/>
  <c r="V127" i="1"/>
  <c r="Y127" i="1"/>
  <c r="Z127" i="1"/>
  <c r="AB127" i="1"/>
  <c r="AC127" i="1"/>
  <c r="AD127" i="1"/>
  <c r="AE127" i="1"/>
  <c r="AF127" i="1"/>
  <c r="AH127" i="1"/>
  <c r="K128" i="1"/>
  <c r="L128" i="1"/>
  <c r="M128" i="1"/>
  <c r="N128" i="1" s="1"/>
  <c r="V128" i="1"/>
  <c r="Y128" i="1"/>
  <c r="Z128" i="1"/>
  <c r="AB128" i="1"/>
  <c r="AC128" i="1"/>
  <c r="AD128" i="1"/>
  <c r="AE128" i="1"/>
  <c r="AF128" i="1"/>
  <c r="AH128" i="1"/>
  <c r="K129" i="1"/>
  <c r="L129" i="1"/>
  <c r="M129" i="1"/>
  <c r="N129" i="1" s="1"/>
  <c r="V129" i="1"/>
  <c r="Y129" i="1"/>
  <c r="Z129" i="1"/>
  <c r="AB129" i="1"/>
  <c r="AC129" i="1"/>
  <c r="AD129" i="1"/>
  <c r="AE129" i="1"/>
  <c r="AF129" i="1"/>
  <c r="AH129" i="1"/>
  <c r="K130" i="1"/>
  <c r="L130" i="1"/>
  <c r="M130" i="1"/>
  <c r="N130" i="1" s="1"/>
  <c r="V130" i="1"/>
  <c r="Y130" i="1"/>
  <c r="Z130" i="1"/>
  <c r="AB130" i="1"/>
  <c r="AC130" i="1"/>
  <c r="AD130" i="1"/>
  <c r="T130" i="1" s="1"/>
  <c r="AE130" i="1"/>
  <c r="AF130" i="1"/>
  <c r="AH130" i="1"/>
  <c r="K131" i="1"/>
  <c r="L131" i="1"/>
  <c r="M131" i="1"/>
  <c r="N131" i="1" s="1"/>
  <c r="V131" i="1"/>
  <c r="Y131" i="1"/>
  <c r="Z131" i="1"/>
  <c r="AB131" i="1"/>
  <c r="AC131" i="1"/>
  <c r="AD131" i="1"/>
  <c r="AE131" i="1"/>
  <c r="AF131" i="1"/>
  <c r="AH131" i="1"/>
  <c r="K132" i="1"/>
  <c r="L132" i="1"/>
  <c r="M132" i="1"/>
  <c r="N132" i="1" s="1"/>
  <c r="V132" i="1"/>
  <c r="Y132" i="1"/>
  <c r="Z132" i="1"/>
  <c r="AB132" i="1"/>
  <c r="AC132" i="1"/>
  <c r="AD132" i="1"/>
  <c r="AE132" i="1"/>
  <c r="AF132" i="1"/>
  <c r="AH132" i="1"/>
  <c r="K133" i="1"/>
  <c r="L133" i="1"/>
  <c r="M133" i="1"/>
  <c r="N133" i="1" s="1"/>
  <c r="V133" i="1"/>
  <c r="Y133" i="1"/>
  <c r="Z133" i="1"/>
  <c r="AB133" i="1"/>
  <c r="AC133" i="1"/>
  <c r="AD133" i="1"/>
  <c r="AE133" i="1"/>
  <c r="AF133" i="1"/>
  <c r="AH133" i="1"/>
  <c r="K134" i="1"/>
  <c r="L134" i="1"/>
  <c r="M134" i="1"/>
  <c r="N134" i="1" s="1"/>
  <c r="V134" i="1"/>
  <c r="Y134" i="1"/>
  <c r="Z134" i="1"/>
  <c r="AB134" i="1"/>
  <c r="AC134" i="1"/>
  <c r="AD134" i="1"/>
  <c r="AE134" i="1"/>
  <c r="AF134" i="1"/>
  <c r="AH134" i="1"/>
  <c r="K135" i="1"/>
  <c r="L135" i="1"/>
  <c r="M135" i="1"/>
  <c r="N135" i="1" s="1"/>
  <c r="V135" i="1"/>
  <c r="Y135" i="1"/>
  <c r="Z135" i="1"/>
  <c r="AB135" i="1"/>
  <c r="AC135" i="1"/>
  <c r="AD135" i="1"/>
  <c r="AE135" i="1"/>
  <c r="AF135" i="1"/>
  <c r="AH135" i="1"/>
  <c r="K136" i="1"/>
  <c r="L136" i="1"/>
  <c r="M136" i="1"/>
  <c r="N136" i="1" s="1"/>
  <c r="V136" i="1"/>
  <c r="Y136" i="1"/>
  <c r="Z136" i="1"/>
  <c r="AB136" i="1"/>
  <c r="AC136" i="1"/>
  <c r="AD136" i="1"/>
  <c r="T136" i="1" s="1"/>
  <c r="AE136" i="1"/>
  <c r="AF136" i="1"/>
  <c r="AH136" i="1"/>
  <c r="K137" i="1"/>
  <c r="L137" i="1"/>
  <c r="M137" i="1"/>
  <c r="N137" i="1" s="1"/>
  <c r="V137" i="1"/>
  <c r="S11" i="3" s="1"/>
  <c r="Y137" i="1"/>
  <c r="Z137" i="1"/>
  <c r="AB137" i="1"/>
  <c r="AC137" i="1"/>
  <c r="AD137" i="1"/>
  <c r="AG137" i="1" s="1"/>
  <c r="AE137" i="1"/>
  <c r="R11" i="3" s="1"/>
  <c r="AF137" i="1"/>
  <c r="AH137" i="1"/>
  <c r="K138" i="1"/>
  <c r="L138" i="1"/>
  <c r="M138" i="1"/>
  <c r="N138" i="1" s="1"/>
  <c r="V138" i="1"/>
  <c r="Y138" i="1"/>
  <c r="Z138" i="1"/>
  <c r="AB138" i="1"/>
  <c r="AC138" i="1"/>
  <c r="AD138" i="1"/>
  <c r="AE138" i="1"/>
  <c r="AF138" i="1"/>
  <c r="AH138" i="1"/>
  <c r="K139" i="1"/>
  <c r="L139" i="1"/>
  <c r="M139" i="1"/>
  <c r="N139" i="1" s="1"/>
  <c r="V139" i="1"/>
  <c r="Y139" i="1"/>
  <c r="Z139" i="1"/>
  <c r="AB139" i="1"/>
  <c r="AC139" i="1"/>
  <c r="AD139" i="1"/>
  <c r="AE139" i="1"/>
  <c r="AF139" i="1"/>
  <c r="AH139" i="1"/>
  <c r="K140" i="1"/>
  <c r="L140" i="1"/>
  <c r="M140" i="1"/>
  <c r="N140" i="1" s="1"/>
  <c r="V140" i="1"/>
  <c r="Y140" i="1"/>
  <c r="Z140" i="1"/>
  <c r="AB140" i="1"/>
  <c r="AC140" i="1"/>
  <c r="AD140" i="1"/>
  <c r="T140" i="1" s="1"/>
  <c r="AE140" i="1"/>
  <c r="AF140" i="1"/>
  <c r="AH140" i="1"/>
  <c r="K141" i="1"/>
  <c r="L141" i="1"/>
  <c r="M141" i="1"/>
  <c r="N141" i="1" s="1"/>
  <c r="V141" i="1"/>
  <c r="Y141" i="1"/>
  <c r="Z141" i="1"/>
  <c r="AB141" i="1"/>
  <c r="AC141" i="1"/>
  <c r="AD141" i="1"/>
  <c r="AE141" i="1"/>
  <c r="AF141" i="1"/>
  <c r="AH141" i="1"/>
  <c r="K142" i="1"/>
  <c r="L142" i="1"/>
  <c r="M142" i="1"/>
  <c r="N142" i="1" s="1"/>
  <c r="V142" i="1"/>
  <c r="Y142" i="1"/>
  <c r="Z142" i="1"/>
  <c r="AB142" i="1"/>
  <c r="AC142" i="1"/>
  <c r="AD142" i="1"/>
  <c r="AE142" i="1"/>
  <c r="AF142" i="1"/>
  <c r="AH142" i="1"/>
  <c r="K143" i="1"/>
  <c r="L143" i="1"/>
  <c r="M143" i="1"/>
  <c r="N143" i="1" s="1"/>
  <c r="V143" i="1"/>
  <c r="Y143" i="1"/>
  <c r="Z143" i="1"/>
  <c r="AB143" i="1"/>
  <c r="AC143" i="1"/>
  <c r="AD143" i="1"/>
  <c r="AE143" i="1"/>
  <c r="AF143" i="1"/>
  <c r="AH143" i="1"/>
  <c r="K144" i="1"/>
  <c r="L144" i="1"/>
  <c r="M144" i="1"/>
  <c r="N144" i="1" s="1"/>
  <c r="V144" i="1"/>
  <c r="Y144" i="1"/>
  <c r="Z144" i="1"/>
  <c r="AB144" i="1"/>
  <c r="AC144" i="1"/>
  <c r="AD144" i="1"/>
  <c r="T144" i="1" s="1"/>
  <c r="AE144" i="1"/>
  <c r="AF144" i="1"/>
  <c r="AH144" i="1"/>
  <c r="K145" i="1"/>
  <c r="L145" i="1"/>
  <c r="M145" i="1"/>
  <c r="N145" i="1" s="1"/>
  <c r="V145" i="1"/>
  <c r="Y145" i="1"/>
  <c r="Z145" i="1"/>
  <c r="AB145" i="1"/>
  <c r="AC145" i="1"/>
  <c r="AD145" i="1"/>
  <c r="AG145" i="1" s="1"/>
  <c r="AE145" i="1"/>
  <c r="AF145" i="1"/>
  <c r="AH145" i="1"/>
  <c r="K146" i="1"/>
  <c r="L146" i="1"/>
  <c r="M146" i="1"/>
  <c r="N146" i="1" s="1"/>
  <c r="V146" i="1"/>
  <c r="Y146" i="1"/>
  <c r="Z146" i="1"/>
  <c r="AB146" i="1"/>
  <c r="AC146" i="1"/>
  <c r="AD146" i="1"/>
  <c r="AE146" i="1"/>
  <c r="AF146" i="1"/>
  <c r="AH146" i="1"/>
  <c r="K147" i="1"/>
  <c r="L147" i="1"/>
  <c r="M147" i="1"/>
  <c r="N147" i="1" s="1"/>
  <c r="V147" i="1"/>
  <c r="Y147" i="1"/>
  <c r="Z147" i="1"/>
  <c r="AA147" i="1" s="1"/>
  <c r="AB147" i="1"/>
  <c r="AC147" i="1"/>
  <c r="AD147" i="1"/>
  <c r="AE147" i="1"/>
  <c r="AF147" i="1"/>
  <c r="AH147" i="1"/>
  <c r="K148" i="1"/>
  <c r="L148" i="1"/>
  <c r="M148" i="1"/>
  <c r="N148" i="1" s="1"/>
  <c r="V148" i="1"/>
  <c r="Y148" i="1"/>
  <c r="Z148" i="1"/>
  <c r="AB148" i="1"/>
  <c r="AC148" i="1"/>
  <c r="AD148" i="1"/>
  <c r="AE148" i="1"/>
  <c r="AF148" i="1"/>
  <c r="AH148" i="1"/>
  <c r="K149" i="1"/>
  <c r="L149" i="1"/>
  <c r="M149" i="1"/>
  <c r="N149" i="1" s="1"/>
  <c r="V149" i="1"/>
  <c r="Y149" i="1"/>
  <c r="Z149" i="1"/>
  <c r="AB149" i="1"/>
  <c r="AC149" i="1"/>
  <c r="AD149" i="1"/>
  <c r="AG149" i="1" s="1"/>
  <c r="AE149" i="1"/>
  <c r="AF149" i="1"/>
  <c r="AH149" i="1"/>
  <c r="K150" i="1"/>
  <c r="L150" i="1"/>
  <c r="M150" i="1"/>
  <c r="N150" i="1" s="1"/>
  <c r="V150" i="1"/>
  <c r="Y150" i="1"/>
  <c r="Z150" i="1"/>
  <c r="AB150" i="1"/>
  <c r="AC150" i="1"/>
  <c r="AD150" i="1"/>
  <c r="T150" i="1" s="1"/>
  <c r="AE150" i="1"/>
  <c r="AF150" i="1"/>
  <c r="AH150" i="1"/>
  <c r="K152" i="1"/>
  <c r="L152" i="1"/>
  <c r="M152" i="1"/>
  <c r="N152" i="1" s="1"/>
  <c r="V152" i="1"/>
  <c r="Y152" i="1"/>
  <c r="Z152" i="1"/>
  <c r="AB152" i="1"/>
  <c r="AC152" i="1"/>
  <c r="AD152" i="1"/>
  <c r="AE152" i="1"/>
  <c r="AF152" i="1"/>
  <c r="AH152" i="1"/>
  <c r="K207" i="1"/>
  <c r="L207" i="1"/>
  <c r="M207" i="1"/>
  <c r="N207" i="1" s="1"/>
  <c r="V207" i="1"/>
  <c r="Y207" i="1"/>
  <c r="Z207" i="1"/>
  <c r="AB207" i="1"/>
  <c r="AC207" i="1"/>
  <c r="AD207" i="1"/>
  <c r="T207" i="1" s="1"/>
  <c r="AE207" i="1"/>
  <c r="AF207" i="1"/>
  <c r="AH160" i="1"/>
  <c r="K208" i="1"/>
  <c r="L208" i="1"/>
  <c r="M208" i="1"/>
  <c r="N208" i="1" s="1"/>
  <c r="V208" i="1"/>
  <c r="Y208" i="1"/>
  <c r="Z208" i="1"/>
  <c r="AB208" i="1"/>
  <c r="AC208" i="1"/>
  <c r="AD208" i="1"/>
  <c r="AE208" i="1"/>
  <c r="AF208" i="1"/>
  <c r="AH161" i="1"/>
  <c r="K209" i="1"/>
  <c r="L209" i="1"/>
  <c r="M209" i="1"/>
  <c r="N209" i="1" s="1"/>
  <c r="V209" i="1"/>
  <c r="Y209" i="1"/>
  <c r="Z209" i="1"/>
  <c r="AB209" i="1"/>
  <c r="AC209" i="1"/>
  <c r="AD209" i="1"/>
  <c r="AE209" i="1"/>
  <c r="AF209" i="1"/>
  <c r="AH162" i="1"/>
  <c r="K210" i="1"/>
  <c r="L210" i="1"/>
  <c r="M210" i="1"/>
  <c r="N210" i="1" s="1"/>
  <c r="V210" i="1"/>
  <c r="Y210" i="1"/>
  <c r="Z210" i="1"/>
  <c r="AB210" i="1"/>
  <c r="AC210" i="1"/>
  <c r="AD210" i="1"/>
  <c r="AE210" i="1"/>
  <c r="AF210" i="1"/>
  <c r="AH163" i="1"/>
  <c r="K211" i="1"/>
  <c r="L211" i="1"/>
  <c r="M211" i="1"/>
  <c r="N211" i="1" s="1"/>
  <c r="V211" i="1"/>
  <c r="Y211" i="1"/>
  <c r="Z211" i="1"/>
  <c r="AB211" i="1"/>
  <c r="AC211" i="1"/>
  <c r="AD211" i="1"/>
  <c r="AG211" i="1" s="1"/>
  <c r="AE211" i="1"/>
  <c r="AF211" i="1"/>
  <c r="AH164" i="1"/>
  <c r="K212" i="1"/>
  <c r="L212" i="1"/>
  <c r="M212" i="1"/>
  <c r="N212" i="1" s="1"/>
  <c r="V212" i="1"/>
  <c r="Y212" i="1"/>
  <c r="Z212" i="1"/>
  <c r="AA212" i="1" s="1"/>
  <c r="AB212" i="1"/>
  <c r="AC212" i="1"/>
  <c r="AD212" i="1"/>
  <c r="T212" i="1" s="1"/>
  <c r="AE212" i="1"/>
  <c r="AF212" i="1"/>
  <c r="AH165" i="1"/>
  <c r="K213" i="1"/>
  <c r="L213" i="1"/>
  <c r="M213" i="1"/>
  <c r="N213" i="1" s="1"/>
  <c r="V213" i="1"/>
  <c r="Y213" i="1"/>
  <c r="Z213" i="1"/>
  <c r="AA213" i="1" s="1"/>
  <c r="AB213" i="1"/>
  <c r="AC213" i="1"/>
  <c r="AD213" i="1"/>
  <c r="AE213" i="1"/>
  <c r="AF213" i="1"/>
  <c r="AH166" i="1"/>
  <c r="K214" i="1"/>
  <c r="L214" i="1"/>
  <c r="M214" i="1"/>
  <c r="N214" i="1" s="1"/>
  <c r="V214" i="1"/>
  <c r="Y214" i="1"/>
  <c r="Z214" i="1"/>
  <c r="AB214" i="1"/>
  <c r="AC214" i="1"/>
  <c r="AD214" i="1"/>
  <c r="AE214" i="1"/>
  <c r="AF214" i="1"/>
  <c r="AH167" i="1"/>
  <c r="K215" i="1"/>
  <c r="L215" i="1"/>
  <c r="M215" i="1"/>
  <c r="N215" i="1" s="1"/>
  <c r="V215" i="1"/>
  <c r="Y215" i="1"/>
  <c r="Z215" i="1"/>
  <c r="AB215" i="1"/>
  <c r="AC215" i="1"/>
  <c r="AD215" i="1"/>
  <c r="T215" i="1" s="1"/>
  <c r="AE215" i="1"/>
  <c r="AF215" i="1"/>
  <c r="AH168" i="1"/>
  <c r="K226" i="1"/>
  <c r="L226" i="1"/>
  <c r="M226" i="1"/>
  <c r="N226" i="1"/>
  <c r="V226" i="1"/>
  <c r="Y226" i="1"/>
  <c r="Z226" i="1"/>
  <c r="AB226" i="1"/>
  <c r="AC226" i="1"/>
  <c r="AD226" i="1"/>
  <c r="T226" i="1" s="1"/>
  <c r="AE226" i="1"/>
  <c r="AF226" i="1"/>
  <c r="AH169" i="1"/>
  <c r="K227" i="1"/>
  <c r="L227" i="1"/>
  <c r="M227" i="1"/>
  <c r="N227" i="1" s="1"/>
  <c r="V227" i="1"/>
  <c r="Y227" i="1"/>
  <c r="Z227" i="1"/>
  <c r="AB227" i="1"/>
  <c r="AC227" i="1"/>
  <c r="AD227" i="1"/>
  <c r="AE227" i="1"/>
  <c r="AF227" i="1"/>
  <c r="AH170" i="1"/>
  <c r="K228" i="1"/>
  <c r="L228" i="1"/>
  <c r="M228" i="1"/>
  <c r="N228" i="1" s="1"/>
  <c r="V228" i="1"/>
  <c r="Y228" i="1"/>
  <c r="Z228" i="1"/>
  <c r="AB228" i="1"/>
  <c r="AC228" i="1"/>
  <c r="AD228" i="1"/>
  <c r="AE228" i="1"/>
  <c r="AF228" i="1"/>
  <c r="AH171" i="1"/>
  <c r="K229" i="1"/>
  <c r="L229" i="1"/>
  <c r="M229" i="1"/>
  <c r="N229" i="1" s="1"/>
  <c r="V229" i="1"/>
  <c r="Y229" i="1"/>
  <c r="Z229" i="1"/>
  <c r="AB229" i="1"/>
  <c r="AC229" i="1"/>
  <c r="AD229" i="1"/>
  <c r="AG229" i="1" s="1"/>
  <c r="AE229" i="1"/>
  <c r="AF229" i="1"/>
  <c r="AH172" i="1"/>
  <c r="K230" i="1"/>
  <c r="L230" i="1"/>
  <c r="M230" i="1"/>
  <c r="N230" i="1" s="1"/>
  <c r="V230" i="1"/>
  <c r="S39" i="3" s="1"/>
  <c r="Y230" i="1"/>
  <c r="Z230" i="1"/>
  <c r="AB230" i="1"/>
  <c r="AC230" i="1"/>
  <c r="AD230" i="1"/>
  <c r="T230" i="1" s="1"/>
  <c r="AE230" i="1"/>
  <c r="R39" i="3" s="1"/>
  <c r="AF230" i="1"/>
  <c r="AH173" i="1"/>
  <c r="K160" i="1"/>
  <c r="L160" i="1"/>
  <c r="M160" i="1"/>
  <c r="N160" i="1" s="1"/>
  <c r="V160" i="1"/>
  <c r="Y160" i="1"/>
  <c r="Z160" i="1"/>
  <c r="AB160" i="1"/>
  <c r="AC160" i="1"/>
  <c r="AD160" i="1"/>
  <c r="X160" i="1" s="1"/>
  <c r="AE160" i="1"/>
  <c r="AF160" i="1"/>
  <c r="AH174" i="1"/>
  <c r="K161" i="1"/>
  <c r="L161" i="1"/>
  <c r="M161" i="1"/>
  <c r="N161" i="1" s="1"/>
  <c r="V161" i="1"/>
  <c r="Y161" i="1"/>
  <c r="Z161" i="1"/>
  <c r="AB161" i="1"/>
  <c r="AC161" i="1"/>
  <c r="AD161" i="1"/>
  <c r="AE161" i="1"/>
  <c r="AF161" i="1"/>
  <c r="AH175" i="1"/>
  <c r="K162" i="1"/>
  <c r="L162" i="1"/>
  <c r="M162" i="1"/>
  <c r="N162" i="1" s="1"/>
  <c r="V162" i="1"/>
  <c r="Y162" i="1"/>
  <c r="AA162" i="1" s="1"/>
  <c r="Z162" i="1"/>
  <c r="AB162" i="1"/>
  <c r="AC162" i="1"/>
  <c r="AD162" i="1"/>
  <c r="AG162" i="1" s="1"/>
  <c r="AE162" i="1"/>
  <c r="AF162" i="1"/>
  <c r="AH176" i="1"/>
  <c r="K163" i="1"/>
  <c r="L163" i="1"/>
  <c r="M163" i="1"/>
  <c r="N163" i="1" s="1"/>
  <c r="V163" i="1"/>
  <c r="Y163" i="1"/>
  <c r="Z163" i="1"/>
  <c r="AB163" i="1"/>
  <c r="AC163" i="1"/>
  <c r="AD163" i="1"/>
  <c r="T163" i="1" s="1"/>
  <c r="AE163" i="1"/>
  <c r="AF163" i="1"/>
  <c r="K164" i="1"/>
  <c r="L164" i="1"/>
  <c r="M164" i="1"/>
  <c r="N164" i="1"/>
  <c r="V164" i="1"/>
  <c r="Y164" i="1"/>
  <c r="Z164" i="1"/>
  <c r="AB164" i="1"/>
  <c r="AC164" i="1"/>
  <c r="AD164" i="1"/>
  <c r="AE164" i="1"/>
  <c r="AF164" i="1"/>
  <c r="AH177" i="1"/>
  <c r="K165" i="1"/>
  <c r="L165" i="1"/>
  <c r="M165" i="1"/>
  <c r="N165" i="1" s="1"/>
  <c r="V165" i="1"/>
  <c r="Y165" i="1"/>
  <c r="Z165" i="1"/>
  <c r="AB165" i="1"/>
  <c r="AC165" i="1"/>
  <c r="AD165" i="1"/>
  <c r="AE165" i="1"/>
  <c r="AF165" i="1"/>
  <c r="AH178" i="1"/>
  <c r="K166" i="1"/>
  <c r="L166" i="1"/>
  <c r="M166" i="1"/>
  <c r="N166" i="1" s="1"/>
  <c r="V166" i="1"/>
  <c r="Y166" i="1"/>
  <c r="Z166" i="1"/>
  <c r="AB166" i="1"/>
  <c r="AC166" i="1"/>
  <c r="AD166" i="1"/>
  <c r="T166" i="1" s="1"/>
  <c r="AE166" i="1"/>
  <c r="AF166" i="1"/>
  <c r="AH179" i="1"/>
  <c r="K167" i="1"/>
  <c r="L167" i="1"/>
  <c r="M167" i="1"/>
  <c r="N167" i="1" s="1"/>
  <c r="V167" i="1"/>
  <c r="S35" i="3" s="1"/>
  <c r="Y167" i="1"/>
  <c r="Z167" i="1"/>
  <c r="AB167" i="1"/>
  <c r="AC167" i="1"/>
  <c r="AD167" i="1"/>
  <c r="T167" i="1" s="1"/>
  <c r="AE167" i="1"/>
  <c r="R35" i="3" s="1"/>
  <c r="AF167" i="1"/>
  <c r="AH180" i="1"/>
  <c r="K168" i="1"/>
  <c r="L168" i="1"/>
  <c r="M168" i="1"/>
  <c r="N168" i="1" s="1"/>
  <c r="V168" i="1"/>
  <c r="Y168" i="1"/>
  <c r="Z168" i="1"/>
  <c r="AB168" i="1"/>
  <c r="AC168" i="1"/>
  <c r="AD168" i="1"/>
  <c r="AE168" i="1"/>
  <c r="AF168" i="1"/>
  <c r="AH181" i="1"/>
  <c r="K169" i="1"/>
  <c r="L169" i="1"/>
  <c r="M169" i="1"/>
  <c r="N169" i="1" s="1"/>
  <c r="V169" i="1"/>
  <c r="Y169" i="1"/>
  <c r="Z169" i="1"/>
  <c r="AB169" i="1"/>
  <c r="AC169" i="1"/>
  <c r="AD169" i="1"/>
  <c r="AE169" i="1"/>
  <c r="AF169" i="1"/>
  <c r="AH182" i="1"/>
  <c r="K170" i="1"/>
  <c r="L170" i="1"/>
  <c r="M170" i="1"/>
  <c r="N170" i="1" s="1"/>
  <c r="V170" i="1"/>
  <c r="Y170" i="1"/>
  <c r="Z170" i="1"/>
  <c r="AB170" i="1"/>
  <c r="AC170" i="1"/>
  <c r="AD170" i="1"/>
  <c r="AG170" i="1" s="1"/>
  <c r="AE170" i="1"/>
  <c r="AF170" i="1"/>
  <c r="AH183" i="1"/>
  <c r="K171" i="1"/>
  <c r="L171" i="1"/>
  <c r="M171" i="1"/>
  <c r="N171" i="1" s="1"/>
  <c r="V171" i="1"/>
  <c r="S28" i="3" s="1"/>
  <c r="Y171" i="1"/>
  <c r="Z171" i="1"/>
  <c r="AB171" i="1"/>
  <c r="AC171" i="1"/>
  <c r="AD171" i="1"/>
  <c r="T171" i="1" s="1"/>
  <c r="AE171" i="1"/>
  <c r="R28" i="3" s="1"/>
  <c r="AF171" i="1"/>
  <c r="AH184" i="1"/>
  <c r="K172" i="1"/>
  <c r="L172" i="1"/>
  <c r="M172" i="1"/>
  <c r="N172" i="1" s="1"/>
  <c r="V172" i="1"/>
  <c r="Y172" i="1"/>
  <c r="Z172" i="1"/>
  <c r="AB172" i="1"/>
  <c r="AC172" i="1"/>
  <c r="AD172" i="1"/>
  <c r="AE172" i="1"/>
  <c r="AF172" i="1"/>
  <c r="K173" i="1"/>
  <c r="L173" i="1"/>
  <c r="M173" i="1"/>
  <c r="N173" i="1" s="1"/>
  <c r="V173" i="1"/>
  <c r="Y173" i="1"/>
  <c r="Z173" i="1"/>
  <c r="AB173" i="1"/>
  <c r="AC173" i="1"/>
  <c r="AD173" i="1"/>
  <c r="T173" i="1" s="1"/>
  <c r="AE173" i="1"/>
  <c r="AF173" i="1"/>
  <c r="AH185" i="1"/>
  <c r="K174" i="1"/>
  <c r="L174" i="1"/>
  <c r="M174" i="1"/>
  <c r="N174" i="1" s="1"/>
  <c r="V174" i="1"/>
  <c r="Y174" i="1"/>
  <c r="Z174" i="1"/>
  <c r="AB174" i="1"/>
  <c r="AC174" i="1"/>
  <c r="AD174" i="1"/>
  <c r="AE174" i="1"/>
  <c r="AF174" i="1"/>
  <c r="AH186" i="1"/>
  <c r="K175" i="1"/>
  <c r="L175" i="1"/>
  <c r="M175" i="1"/>
  <c r="N175" i="1" s="1"/>
  <c r="V175" i="1"/>
  <c r="Y175" i="1"/>
  <c r="Z175" i="1"/>
  <c r="AB175" i="1"/>
  <c r="AC175" i="1"/>
  <c r="AD175" i="1"/>
  <c r="T175" i="1" s="1"/>
  <c r="AE175" i="1"/>
  <c r="AF175" i="1"/>
  <c r="AH187" i="1"/>
  <c r="K176" i="1"/>
  <c r="L176" i="1"/>
  <c r="M176" i="1"/>
  <c r="N176" i="1" s="1"/>
  <c r="V176" i="1"/>
  <c r="Y176" i="1"/>
  <c r="Z176" i="1"/>
  <c r="AB176" i="1"/>
  <c r="AC176" i="1"/>
  <c r="AD176" i="1"/>
  <c r="AE176" i="1"/>
  <c r="AF176" i="1"/>
  <c r="AH188" i="1"/>
  <c r="AH189" i="1"/>
  <c r="K177" i="1"/>
  <c r="L177" i="1"/>
  <c r="M177" i="1"/>
  <c r="N177" i="1" s="1"/>
  <c r="V177" i="1"/>
  <c r="Y177" i="1"/>
  <c r="Z177" i="1"/>
  <c r="AB177" i="1"/>
  <c r="AC177" i="1"/>
  <c r="AD177" i="1"/>
  <c r="X177" i="1" s="1"/>
  <c r="AE177" i="1"/>
  <c r="AF177" i="1"/>
  <c r="AH190" i="1"/>
  <c r="K178" i="1"/>
  <c r="L178" i="1"/>
  <c r="M178" i="1"/>
  <c r="N178" i="1" s="1"/>
  <c r="V178" i="1"/>
  <c r="Y178" i="1"/>
  <c r="AA178" i="1" s="1"/>
  <c r="Z178" i="1"/>
  <c r="AB178" i="1"/>
  <c r="AC178" i="1"/>
  <c r="AD178" i="1"/>
  <c r="AE178" i="1"/>
  <c r="AF178" i="1"/>
  <c r="AH191" i="1"/>
  <c r="K179" i="1"/>
  <c r="L179" i="1"/>
  <c r="M179" i="1"/>
  <c r="N179" i="1" s="1"/>
  <c r="V179" i="1"/>
  <c r="S29" i="3" s="1"/>
  <c r="Y179" i="1"/>
  <c r="Z179" i="1"/>
  <c r="AB179" i="1"/>
  <c r="AC179" i="1"/>
  <c r="AD179" i="1"/>
  <c r="X179" i="1" s="1"/>
  <c r="AE179" i="1"/>
  <c r="AF179" i="1"/>
  <c r="AH192" i="1"/>
  <c r="K231" i="1"/>
  <c r="L231" i="1"/>
  <c r="M231" i="1"/>
  <c r="N231" i="1" s="1"/>
  <c r="V231" i="1"/>
  <c r="Y231" i="1"/>
  <c r="AA231" i="1" s="1"/>
  <c r="Z231" i="1"/>
  <c r="AB231" i="1"/>
  <c r="AC231" i="1"/>
  <c r="AD231" i="1"/>
  <c r="AE231" i="1"/>
  <c r="AF231" i="1"/>
  <c r="AH193" i="1"/>
  <c r="K232" i="1"/>
  <c r="L232" i="1"/>
  <c r="M232" i="1"/>
  <c r="N232" i="1" s="1"/>
  <c r="V232" i="1"/>
  <c r="Y232" i="1"/>
  <c r="Z232" i="1"/>
  <c r="AB232" i="1"/>
  <c r="AC232" i="1"/>
  <c r="AD232" i="1"/>
  <c r="AG232" i="1" s="1"/>
  <c r="AE232" i="1"/>
  <c r="AF232" i="1"/>
  <c r="AH194" i="1"/>
  <c r="K233" i="1"/>
  <c r="L233" i="1"/>
  <c r="M233" i="1"/>
  <c r="N233" i="1"/>
  <c r="V233" i="1"/>
  <c r="Y233" i="1"/>
  <c r="Z233" i="1"/>
  <c r="AA233" i="1"/>
  <c r="AB233" i="1"/>
  <c r="AC233" i="1"/>
  <c r="AD233" i="1"/>
  <c r="T233" i="1" s="1"/>
  <c r="AE233" i="1"/>
  <c r="AF233" i="1"/>
  <c r="AH195" i="1"/>
  <c r="K234" i="1"/>
  <c r="L234" i="1"/>
  <c r="M234" i="1"/>
  <c r="N234" i="1" s="1"/>
  <c r="V234" i="1"/>
  <c r="Y234" i="1"/>
  <c r="Z234" i="1"/>
  <c r="AB234" i="1"/>
  <c r="AC234" i="1"/>
  <c r="AD234" i="1"/>
  <c r="AE234" i="1"/>
  <c r="AF234" i="1"/>
  <c r="AH196" i="1"/>
  <c r="K235" i="1"/>
  <c r="L235" i="1"/>
  <c r="M235" i="1"/>
  <c r="N235" i="1" s="1"/>
  <c r="V235" i="1"/>
  <c r="Y235" i="1"/>
  <c r="Z235" i="1"/>
  <c r="AB235" i="1"/>
  <c r="AC235" i="1"/>
  <c r="AD235" i="1"/>
  <c r="T235" i="1" s="1"/>
  <c r="AE235" i="1"/>
  <c r="AF235" i="1"/>
  <c r="AH197" i="1"/>
  <c r="K236" i="1"/>
  <c r="L236" i="1"/>
  <c r="M236" i="1"/>
  <c r="N236" i="1" s="1"/>
  <c r="V236" i="1"/>
  <c r="Y236" i="1"/>
  <c r="Z236" i="1"/>
  <c r="AB236" i="1"/>
  <c r="AC236" i="1"/>
  <c r="AD236" i="1"/>
  <c r="AG236" i="1" s="1"/>
  <c r="AE236" i="1"/>
  <c r="AF236" i="1"/>
  <c r="AH198" i="1"/>
  <c r="K180" i="1"/>
  <c r="L180" i="1"/>
  <c r="M180" i="1"/>
  <c r="N180" i="1" s="1"/>
  <c r="V180" i="1"/>
  <c r="Y180" i="1"/>
  <c r="Z180" i="1"/>
  <c r="AB180" i="1"/>
  <c r="AC180" i="1"/>
  <c r="AD180" i="1"/>
  <c r="AE180" i="1"/>
  <c r="AF180" i="1"/>
  <c r="AH199" i="1"/>
  <c r="K181" i="1"/>
  <c r="L181" i="1"/>
  <c r="M181" i="1"/>
  <c r="N181" i="1" s="1"/>
  <c r="V181" i="1"/>
  <c r="S30" i="3" s="1"/>
  <c r="Y181" i="1"/>
  <c r="Z181" i="1"/>
  <c r="AB181" i="1"/>
  <c r="AC181" i="1"/>
  <c r="AD181" i="1"/>
  <c r="AG181" i="1" s="1"/>
  <c r="AE181" i="1"/>
  <c r="R30" i="3" s="1"/>
  <c r="AF181" i="1"/>
  <c r="AH200" i="1"/>
  <c r="K182" i="1"/>
  <c r="L182" i="1"/>
  <c r="M182" i="1"/>
  <c r="N182" i="1" s="1"/>
  <c r="V182" i="1"/>
  <c r="Y182" i="1"/>
  <c r="Z182" i="1"/>
  <c r="AB182" i="1"/>
  <c r="AC182" i="1"/>
  <c r="AD182" i="1"/>
  <c r="AE182" i="1"/>
  <c r="AF182" i="1"/>
  <c r="AH201" i="1"/>
  <c r="K183" i="1"/>
  <c r="L183" i="1"/>
  <c r="M183" i="1"/>
  <c r="N183" i="1" s="1"/>
  <c r="V183" i="1"/>
  <c r="Y183" i="1"/>
  <c r="Z183" i="1"/>
  <c r="AB183" i="1"/>
  <c r="AC183" i="1"/>
  <c r="AD183" i="1"/>
  <c r="AG183" i="1" s="1"/>
  <c r="AE183" i="1"/>
  <c r="AF183" i="1"/>
  <c r="AH202" i="1"/>
  <c r="K184" i="1"/>
  <c r="L184" i="1"/>
  <c r="M184" i="1"/>
  <c r="V184" i="1"/>
  <c r="Y184" i="1"/>
  <c r="AB184" i="1"/>
  <c r="AC184" i="1"/>
  <c r="AD184" i="1"/>
  <c r="X184" i="1" s="1"/>
  <c r="AE184" i="1"/>
  <c r="AF184" i="1"/>
  <c r="AH203" i="1"/>
  <c r="AH204" i="1"/>
  <c r="K185" i="1"/>
  <c r="L185" i="1"/>
  <c r="M185" i="1"/>
  <c r="N185" i="1" s="1"/>
  <c r="V185" i="1"/>
  <c r="Y185" i="1"/>
  <c r="Z185" i="1"/>
  <c r="AB185" i="1"/>
  <c r="AC185" i="1"/>
  <c r="AD185" i="1"/>
  <c r="AE185" i="1"/>
  <c r="AF185" i="1"/>
  <c r="AH205" i="1"/>
  <c r="K186" i="1"/>
  <c r="L186" i="1"/>
  <c r="M186" i="1"/>
  <c r="N186" i="1" s="1"/>
  <c r="V186" i="1"/>
  <c r="Y186" i="1"/>
  <c r="Z186" i="1"/>
  <c r="AB186" i="1"/>
  <c r="AC186" i="1"/>
  <c r="AD186" i="1"/>
  <c r="AE186" i="1"/>
  <c r="AF186" i="1"/>
  <c r="AH206" i="1"/>
  <c r="K187" i="1"/>
  <c r="L187" i="1"/>
  <c r="M187" i="1"/>
  <c r="N187" i="1" s="1"/>
  <c r="V187" i="1"/>
  <c r="Y187" i="1"/>
  <c r="Z187" i="1"/>
  <c r="AB187" i="1"/>
  <c r="AC187" i="1"/>
  <c r="AD187" i="1"/>
  <c r="X187" i="1" s="1"/>
  <c r="AE187" i="1"/>
  <c r="AF187" i="1"/>
  <c r="AH207" i="1"/>
  <c r="K188" i="1"/>
  <c r="L188" i="1"/>
  <c r="M188" i="1"/>
  <c r="N188" i="1" s="1"/>
  <c r="V188" i="1"/>
  <c r="S32" i="3" s="1"/>
  <c r="Y188" i="1"/>
  <c r="Z188" i="1"/>
  <c r="AB188" i="1"/>
  <c r="AC188" i="1"/>
  <c r="AD188" i="1"/>
  <c r="X188" i="1" s="1"/>
  <c r="AE188" i="1"/>
  <c r="R31" i="3" s="1"/>
  <c r="AF188" i="1"/>
  <c r="AH208" i="1"/>
  <c r="K189" i="1"/>
  <c r="L189" i="1"/>
  <c r="M189" i="1"/>
  <c r="N189" i="1" s="1"/>
  <c r="V189" i="1"/>
  <c r="Y189" i="1"/>
  <c r="Z189" i="1"/>
  <c r="AB189" i="1"/>
  <c r="AC189" i="1"/>
  <c r="AD189" i="1"/>
  <c r="AG189" i="1" s="1"/>
  <c r="AE189" i="1"/>
  <c r="AF189" i="1"/>
  <c r="AH209" i="1"/>
  <c r="K190" i="1"/>
  <c r="L190" i="1"/>
  <c r="M190" i="1"/>
  <c r="N190" i="1" s="1"/>
  <c r="V190" i="1"/>
  <c r="Y190" i="1"/>
  <c r="Z190" i="1"/>
  <c r="AB190" i="1"/>
  <c r="AC190" i="1"/>
  <c r="AD190" i="1"/>
  <c r="AG190" i="1" s="1"/>
  <c r="AE190" i="1"/>
  <c r="AF190" i="1"/>
  <c r="AH210" i="1"/>
  <c r="K191" i="1"/>
  <c r="L191" i="1"/>
  <c r="M191" i="1"/>
  <c r="N191" i="1" s="1"/>
  <c r="V191" i="1"/>
  <c r="S36" i="3" s="1"/>
  <c r="Y191" i="1"/>
  <c r="Z191" i="1"/>
  <c r="AB191" i="1"/>
  <c r="AC191" i="1"/>
  <c r="AD191" i="1"/>
  <c r="AG191" i="1" s="1"/>
  <c r="AE191" i="1"/>
  <c r="R36" i="3" s="1"/>
  <c r="AF191" i="1"/>
  <c r="AH211" i="1"/>
  <c r="K192" i="1"/>
  <c r="L192" i="1"/>
  <c r="M192" i="1"/>
  <c r="N192" i="1" s="1"/>
  <c r="V192" i="1"/>
  <c r="Y192" i="1"/>
  <c r="Z192" i="1"/>
  <c r="AA192" i="1" s="1"/>
  <c r="AB192" i="1"/>
  <c r="AC192" i="1"/>
  <c r="AD192" i="1"/>
  <c r="AE192" i="1"/>
  <c r="AF192" i="1"/>
  <c r="AH212" i="1"/>
  <c r="K193" i="1"/>
  <c r="L193" i="1"/>
  <c r="M193" i="1"/>
  <c r="N193" i="1" s="1"/>
  <c r="V193" i="1"/>
  <c r="Y193" i="1"/>
  <c r="Z193" i="1"/>
  <c r="AA193" i="1" s="1"/>
  <c r="AB193" i="1"/>
  <c r="AC193" i="1"/>
  <c r="AD193" i="1"/>
  <c r="T193" i="1" s="1"/>
  <c r="AE193" i="1"/>
  <c r="AF193" i="1"/>
  <c r="AH213" i="1"/>
  <c r="K194" i="1"/>
  <c r="L194" i="1"/>
  <c r="M194" i="1"/>
  <c r="N194" i="1" s="1"/>
  <c r="V194" i="1"/>
  <c r="S33" i="3" s="1"/>
  <c r="Y194" i="1"/>
  <c r="Z194" i="1"/>
  <c r="AB194" i="1"/>
  <c r="AC194" i="1"/>
  <c r="AD194" i="1"/>
  <c r="AG194" i="1" s="1"/>
  <c r="AE194" i="1"/>
  <c r="R33" i="3" s="1"/>
  <c r="AF194" i="1"/>
  <c r="AH214" i="1"/>
  <c r="K195" i="1"/>
  <c r="L195" i="1"/>
  <c r="M195" i="1"/>
  <c r="N195" i="1" s="1"/>
  <c r="V195" i="1"/>
  <c r="S37" i="3" s="1"/>
  <c r="Y195" i="1"/>
  <c r="Z195" i="1"/>
  <c r="AB195" i="1"/>
  <c r="AC195" i="1"/>
  <c r="AD195" i="1"/>
  <c r="AE195" i="1"/>
  <c r="R37" i="3" s="1"/>
  <c r="AF195" i="1"/>
  <c r="AH215" i="1"/>
  <c r="K196" i="1"/>
  <c r="L196" i="1"/>
  <c r="M196" i="1"/>
  <c r="N196" i="1" s="1"/>
  <c r="V196" i="1"/>
  <c r="Y196" i="1"/>
  <c r="Z196" i="1"/>
  <c r="AB196" i="1"/>
  <c r="AC196" i="1"/>
  <c r="AD196" i="1"/>
  <c r="X196" i="1" s="1"/>
  <c r="AE196" i="1"/>
  <c r="AF196" i="1"/>
  <c r="AH216" i="1"/>
  <c r="K197" i="1"/>
  <c r="L197" i="1"/>
  <c r="M197" i="1"/>
  <c r="N197" i="1" s="1"/>
  <c r="V197" i="1"/>
  <c r="Y197" i="1"/>
  <c r="Z197" i="1"/>
  <c r="AB197" i="1"/>
  <c r="AC197" i="1"/>
  <c r="AD197" i="1"/>
  <c r="X197" i="1" s="1"/>
  <c r="AE197" i="1"/>
  <c r="AF197" i="1"/>
  <c r="AH217" i="1"/>
  <c r="K198" i="1"/>
  <c r="L198" i="1"/>
  <c r="M198" i="1"/>
  <c r="N198" i="1" s="1"/>
  <c r="V198" i="1"/>
  <c r="Y198" i="1"/>
  <c r="Z198" i="1"/>
  <c r="AB198" i="1"/>
  <c r="AC198" i="1"/>
  <c r="AD198" i="1"/>
  <c r="AG198" i="1" s="1"/>
  <c r="AE198" i="1"/>
  <c r="AF198" i="1"/>
  <c r="AH218" i="1"/>
  <c r="K199" i="1"/>
  <c r="L199" i="1"/>
  <c r="M199" i="1"/>
  <c r="N199" i="1" s="1"/>
  <c r="V199" i="1"/>
  <c r="Y199" i="1"/>
  <c r="Z199" i="1"/>
  <c r="AB199" i="1"/>
  <c r="AC199" i="1"/>
  <c r="AD199" i="1"/>
  <c r="AE199" i="1"/>
  <c r="AF199" i="1"/>
  <c r="AH219" i="1"/>
  <c r="K200" i="1"/>
  <c r="L200" i="1"/>
  <c r="M200" i="1"/>
  <c r="N200" i="1" s="1"/>
  <c r="V200" i="1"/>
  <c r="Y200" i="1"/>
  <c r="Z200" i="1"/>
  <c r="AB200" i="1"/>
  <c r="AC200" i="1"/>
  <c r="AD200" i="1"/>
  <c r="T200" i="1" s="1"/>
  <c r="AE200" i="1"/>
  <c r="AF200" i="1"/>
  <c r="AH220" i="1"/>
  <c r="K201" i="1"/>
  <c r="L201" i="1"/>
  <c r="M201" i="1"/>
  <c r="N201" i="1" s="1"/>
  <c r="V201" i="1"/>
  <c r="Y201" i="1"/>
  <c r="Z201" i="1"/>
  <c r="AB201" i="1"/>
  <c r="AC201" i="1"/>
  <c r="AD201" i="1"/>
  <c r="T201" i="1" s="1"/>
  <c r="AE201" i="1"/>
  <c r="AF201" i="1"/>
  <c r="AH221" i="1"/>
  <c r="K202" i="1"/>
  <c r="L202" i="1"/>
  <c r="M202" i="1"/>
  <c r="N202" i="1" s="1"/>
  <c r="V202" i="1"/>
  <c r="Y202" i="1"/>
  <c r="Z202" i="1"/>
  <c r="AB202" i="1"/>
  <c r="AC202" i="1"/>
  <c r="AD202" i="1"/>
  <c r="AG202" i="1" s="1"/>
  <c r="AE202" i="1"/>
  <c r="AF202" i="1"/>
  <c r="AH222" i="1"/>
  <c r="K203" i="1"/>
  <c r="L203" i="1"/>
  <c r="M203" i="1"/>
  <c r="N203" i="1" s="1"/>
  <c r="V203" i="1"/>
  <c r="Y203" i="1"/>
  <c r="Z203" i="1"/>
  <c r="AB203" i="1"/>
  <c r="AC203" i="1"/>
  <c r="AD203" i="1"/>
  <c r="AE203" i="1"/>
  <c r="AF203" i="1"/>
  <c r="AH223" i="1"/>
  <c r="K204" i="1"/>
  <c r="L204" i="1"/>
  <c r="M204" i="1"/>
  <c r="N204" i="1" s="1"/>
  <c r="V204" i="1"/>
  <c r="S34" i="3" s="1"/>
  <c r="Y204" i="1"/>
  <c r="Z204" i="1"/>
  <c r="AB204" i="1"/>
  <c r="AC204" i="1"/>
  <c r="AD204" i="1"/>
  <c r="AE204" i="1"/>
  <c r="R34" i="3" s="1"/>
  <c r="AF204" i="1"/>
  <c r="AH224" i="1"/>
  <c r="K205" i="1"/>
  <c r="L205" i="1"/>
  <c r="M205" i="1"/>
  <c r="N205" i="1" s="1"/>
  <c r="V205" i="1"/>
  <c r="Y205" i="1"/>
  <c r="Z205" i="1"/>
  <c r="AB205" i="1"/>
  <c r="AC205" i="1"/>
  <c r="AD205" i="1"/>
  <c r="T205" i="1" s="1"/>
  <c r="AE205" i="1"/>
  <c r="AF205" i="1"/>
  <c r="AH225" i="1"/>
  <c r="K206" i="1"/>
  <c r="L206" i="1"/>
  <c r="M206" i="1"/>
  <c r="N206" i="1" s="1"/>
  <c r="V206" i="1"/>
  <c r="Y206" i="1"/>
  <c r="Z206" i="1"/>
  <c r="AB206" i="1"/>
  <c r="AC206" i="1"/>
  <c r="AD206" i="1"/>
  <c r="AG206" i="1" s="1"/>
  <c r="AE206" i="1"/>
  <c r="AF206" i="1"/>
  <c r="AH226" i="1"/>
  <c r="K237" i="1"/>
  <c r="L237" i="1"/>
  <c r="M237" i="1"/>
  <c r="N237" i="1" s="1"/>
  <c r="V237" i="1"/>
  <c r="Y237" i="1"/>
  <c r="Z237" i="1"/>
  <c r="AB237" i="1"/>
  <c r="AC237" i="1"/>
  <c r="AD237" i="1"/>
  <c r="AG237" i="1" s="1"/>
  <c r="AE237" i="1"/>
  <c r="AF237" i="1"/>
  <c r="AH227" i="1"/>
  <c r="K238" i="1"/>
  <c r="L238" i="1"/>
  <c r="M238" i="1"/>
  <c r="N238" i="1" s="1"/>
  <c r="V238" i="1"/>
  <c r="Y238" i="1"/>
  <c r="Z238" i="1"/>
  <c r="AB238" i="1"/>
  <c r="AC238" i="1"/>
  <c r="AD238" i="1"/>
  <c r="AE238" i="1"/>
  <c r="AF238" i="1"/>
  <c r="AH228" i="1"/>
  <c r="K216" i="1"/>
  <c r="L216" i="1"/>
  <c r="M216" i="1"/>
  <c r="N216" i="1" s="1"/>
  <c r="V216" i="1"/>
  <c r="Y216" i="1"/>
  <c r="Z216" i="1"/>
  <c r="AB216" i="1"/>
  <c r="AC216" i="1"/>
  <c r="AD216" i="1"/>
  <c r="AG216" i="1" s="1"/>
  <c r="AE216" i="1"/>
  <c r="AF216" i="1"/>
  <c r="AH229" i="1"/>
  <c r="K217" i="1"/>
  <c r="L217" i="1"/>
  <c r="M217" i="1"/>
  <c r="N217" i="1" s="1"/>
  <c r="V217" i="1"/>
  <c r="S38" i="3" s="1"/>
  <c r="Y217" i="1"/>
  <c r="Z217" i="1"/>
  <c r="AB217" i="1"/>
  <c r="AC217" i="1"/>
  <c r="AD217" i="1"/>
  <c r="T217" i="1" s="1"/>
  <c r="AE217" i="1"/>
  <c r="R40" i="3" s="1"/>
  <c r="AF217" i="1"/>
  <c r="AH230" i="1"/>
  <c r="K218" i="1"/>
  <c r="L218" i="1"/>
  <c r="M218" i="1"/>
  <c r="N218" i="1" s="1"/>
  <c r="V218" i="1"/>
  <c r="Y218" i="1"/>
  <c r="Z218" i="1"/>
  <c r="AB218" i="1"/>
  <c r="AC218" i="1"/>
  <c r="AD218" i="1"/>
  <c r="T218" i="1" s="1"/>
  <c r="AE218" i="1"/>
  <c r="AF218" i="1"/>
  <c r="AH231" i="1"/>
  <c r="K219" i="1"/>
  <c r="L219" i="1"/>
  <c r="M219" i="1"/>
  <c r="N219" i="1" s="1"/>
  <c r="V219" i="1"/>
  <c r="Y219" i="1"/>
  <c r="Z219" i="1"/>
  <c r="AB219" i="1"/>
  <c r="AC219" i="1"/>
  <c r="AD219" i="1"/>
  <c r="AG219" i="1" s="1"/>
  <c r="AE219" i="1"/>
  <c r="AF219" i="1"/>
  <c r="AH232" i="1"/>
  <c r="K220" i="1"/>
  <c r="L220" i="1"/>
  <c r="M220" i="1"/>
  <c r="N220" i="1" s="1"/>
  <c r="V220" i="1"/>
  <c r="Y220" i="1"/>
  <c r="Z220" i="1"/>
  <c r="AB220" i="1"/>
  <c r="AC220" i="1"/>
  <c r="AD220" i="1"/>
  <c r="AG220" i="1" s="1"/>
  <c r="AE220" i="1"/>
  <c r="AF220" i="1"/>
  <c r="AH233" i="1"/>
  <c r="K221" i="1"/>
  <c r="L221" i="1"/>
  <c r="M221" i="1"/>
  <c r="N221" i="1" s="1"/>
  <c r="V221" i="1"/>
  <c r="Y221" i="1"/>
  <c r="Z221" i="1"/>
  <c r="AB221" i="1"/>
  <c r="AC221" i="1"/>
  <c r="AD221" i="1"/>
  <c r="T221" i="1" s="1"/>
  <c r="AE221" i="1"/>
  <c r="AF221" i="1"/>
  <c r="AH234" i="1"/>
  <c r="K222" i="1"/>
  <c r="L222" i="1"/>
  <c r="M222" i="1"/>
  <c r="N222" i="1" s="1"/>
  <c r="V222" i="1"/>
  <c r="Y222" i="1"/>
  <c r="Z222" i="1"/>
  <c r="AB222" i="1"/>
  <c r="AC222" i="1"/>
  <c r="AD222" i="1"/>
  <c r="T222" i="1" s="1"/>
  <c r="AE222" i="1"/>
  <c r="AF222" i="1"/>
  <c r="AH235" i="1"/>
  <c r="K223" i="1"/>
  <c r="L223" i="1"/>
  <c r="M223" i="1"/>
  <c r="N223" i="1" s="1"/>
  <c r="V223" i="1"/>
  <c r="Y223" i="1"/>
  <c r="Z223" i="1"/>
  <c r="AB223" i="1"/>
  <c r="AC223" i="1"/>
  <c r="AD223" i="1"/>
  <c r="T223" i="1" s="1"/>
  <c r="AE223" i="1"/>
  <c r="AF223" i="1"/>
  <c r="AH236" i="1"/>
  <c r="K224" i="1"/>
  <c r="L224" i="1"/>
  <c r="M224" i="1"/>
  <c r="N224" i="1" s="1"/>
  <c r="V224" i="1"/>
  <c r="Y224" i="1"/>
  <c r="Z224" i="1"/>
  <c r="AB224" i="1"/>
  <c r="AC224" i="1"/>
  <c r="AD224" i="1"/>
  <c r="AG224" i="1" s="1"/>
  <c r="AE224" i="1"/>
  <c r="AF224" i="1"/>
  <c r="AH237" i="1"/>
  <c r="K225" i="1"/>
  <c r="L225" i="1"/>
  <c r="M225" i="1"/>
  <c r="N225" i="1" s="1"/>
  <c r="V225" i="1"/>
  <c r="Y225" i="1"/>
  <c r="Z225" i="1"/>
  <c r="AB225" i="1"/>
  <c r="AC225" i="1"/>
  <c r="AD225" i="1"/>
  <c r="T225" i="1" s="1"/>
  <c r="AE225" i="1"/>
  <c r="AF225" i="1"/>
  <c r="AH238" i="1"/>
  <c r="M19" i="3"/>
  <c r="R19" i="3"/>
  <c r="S19" i="3"/>
  <c r="U19" i="3"/>
  <c r="T19" i="3" s="1"/>
  <c r="V19" i="3"/>
  <c r="W19" i="3"/>
  <c r="X19" i="3"/>
  <c r="M20" i="3"/>
  <c r="S20" i="3"/>
  <c r="U20" i="3"/>
  <c r="T20" i="3" s="1"/>
  <c r="V20" i="3"/>
  <c r="W20" i="3"/>
  <c r="X20" i="3"/>
  <c r="AC20" i="3"/>
  <c r="M22" i="3"/>
  <c r="S22" i="3"/>
  <c r="U22" i="3"/>
  <c r="T22" i="3" s="1"/>
  <c r="V22" i="3"/>
  <c r="W22" i="3"/>
  <c r="X22" i="3"/>
  <c r="AC22" i="3"/>
  <c r="M35" i="3"/>
  <c r="U35" i="3"/>
  <c r="T35" i="3" s="1"/>
  <c r="V35" i="3"/>
  <c r="W35" i="3"/>
  <c r="X35" i="3"/>
  <c r="M27" i="3"/>
  <c r="U27" i="3"/>
  <c r="T27" i="3" s="1"/>
  <c r="V27" i="3"/>
  <c r="W27" i="3"/>
  <c r="X27" i="3"/>
  <c r="M14" i="3"/>
  <c r="U14" i="3"/>
  <c r="T14" i="3" s="1"/>
  <c r="V14" i="3"/>
  <c r="W14" i="3"/>
  <c r="X14" i="3"/>
  <c r="M13" i="3"/>
  <c r="R13" i="3"/>
  <c r="S13" i="3"/>
  <c r="U13" i="3"/>
  <c r="T13" i="3" s="1"/>
  <c r="V13" i="3"/>
  <c r="W13" i="3"/>
  <c r="X13" i="3"/>
  <c r="AC13" i="3"/>
  <c r="M12" i="3"/>
  <c r="U12" i="3"/>
  <c r="T12" i="3" s="1"/>
  <c r="V12" i="3"/>
  <c r="W12" i="3"/>
  <c r="X12" i="3"/>
  <c r="M23" i="3"/>
  <c r="R23" i="3"/>
  <c r="S23" i="3"/>
  <c r="U23" i="3"/>
  <c r="T23" i="3" s="1"/>
  <c r="V23" i="3"/>
  <c r="W23" i="3"/>
  <c r="X23" i="3"/>
  <c r="AC23" i="3"/>
  <c r="M24" i="3"/>
  <c r="R24" i="3"/>
  <c r="S24" i="3"/>
  <c r="U24" i="3"/>
  <c r="T24" i="3" s="1"/>
  <c r="V24" i="3"/>
  <c r="W24" i="3"/>
  <c r="X24" i="3"/>
  <c r="AC24" i="3"/>
  <c r="M28" i="3"/>
  <c r="U28" i="3"/>
  <c r="T28" i="3" s="1"/>
  <c r="V28" i="3"/>
  <c r="W28" i="3"/>
  <c r="X28" i="3"/>
  <c r="AC28" i="3"/>
  <c r="M21" i="3"/>
  <c r="R21" i="3"/>
  <c r="U21" i="3"/>
  <c r="T21" i="3" s="1"/>
  <c r="V21" i="3"/>
  <c r="W21" i="3"/>
  <c r="X21" i="3"/>
  <c r="M25" i="3"/>
  <c r="U25" i="3"/>
  <c r="T25" i="3" s="1"/>
  <c r="V25" i="3"/>
  <c r="W25" i="3"/>
  <c r="X25" i="3"/>
  <c r="AC25" i="3"/>
  <c r="M15" i="3"/>
  <c r="S15" i="3"/>
  <c r="U15" i="3"/>
  <c r="T15" i="3" s="1"/>
  <c r="V15" i="3"/>
  <c r="W15" i="3"/>
  <c r="X15" i="3"/>
  <c r="AC15" i="3"/>
  <c r="M29" i="3"/>
  <c r="R29" i="3"/>
  <c r="U29" i="3"/>
  <c r="T29" i="3" s="1"/>
  <c r="V29" i="3"/>
  <c r="W29" i="3"/>
  <c r="X29" i="3"/>
  <c r="M30" i="3"/>
  <c r="U30" i="3"/>
  <c r="T30" i="3" s="1"/>
  <c r="V30" i="3"/>
  <c r="W30" i="3"/>
  <c r="X30" i="3"/>
  <c r="AC30" i="3"/>
  <c r="M17" i="3"/>
  <c r="R17" i="3"/>
  <c r="U17" i="3"/>
  <c r="T17" i="3" s="1"/>
  <c r="V17" i="3"/>
  <c r="W17" i="3"/>
  <c r="X17" i="3"/>
  <c r="M9" i="3"/>
  <c r="S9" i="3"/>
  <c r="U9" i="3"/>
  <c r="T9" i="3" s="1"/>
  <c r="V9" i="3"/>
  <c r="W9" i="3"/>
  <c r="X9" i="3"/>
  <c r="M8" i="3"/>
  <c r="U8" i="3"/>
  <c r="T8" i="3" s="1"/>
  <c r="V8" i="3"/>
  <c r="W8" i="3"/>
  <c r="X8" i="3"/>
  <c r="M26" i="3"/>
  <c r="U26" i="3"/>
  <c r="T26" i="3" s="1"/>
  <c r="V26" i="3"/>
  <c r="W26" i="3"/>
  <c r="X26" i="3"/>
  <c r="M16" i="3"/>
  <c r="U16" i="3"/>
  <c r="T16" i="3" s="1"/>
  <c r="V16" i="3"/>
  <c r="W16" i="3"/>
  <c r="X16" i="3"/>
  <c r="AC16" i="3"/>
  <c r="M38" i="3"/>
  <c r="U38" i="3"/>
  <c r="T38" i="3" s="1"/>
  <c r="V38" i="3"/>
  <c r="W38" i="3"/>
  <c r="X38" i="3"/>
  <c r="AC38" i="3"/>
  <c r="M40" i="3"/>
  <c r="U40" i="3"/>
  <c r="T40" i="3" s="1"/>
  <c r="V40" i="3"/>
  <c r="W40" i="3"/>
  <c r="X40" i="3"/>
  <c r="AC40" i="3"/>
  <c r="M7" i="3"/>
  <c r="U7" i="3"/>
  <c r="T7" i="3" s="1"/>
  <c r="V7" i="3"/>
  <c r="W7" i="3"/>
  <c r="X7" i="3"/>
  <c r="M31" i="3"/>
  <c r="U31" i="3"/>
  <c r="T31" i="3" s="1"/>
  <c r="V31" i="3"/>
  <c r="W31" i="3"/>
  <c r="X31" i="3"/>
  <c r="AC31" i="3"/>
  <c r="M32" i="3"/>
  <c r="U32" i="3"/>
  <c r="T32" i="3" s="1"/>
  <c r="V32" i="3"/>
  <c r="W32" i="3"/>
  <c r="X32" i="3"/>
  <c r="M18" i="3"/>
  <c r="R18" i="3"/>
  <c r="U18" i="3"/>
  <c r="T18" i="3" s="1"/>
  <c r="V18" i="3"/>
  <c r="W18" i="3"/>
  <c r="X18" i="3"/>
  <c r="AC18" i="3"/>
  <c r="M36" i="3"/>
  <c r="U36" i="3"/>
  <c r="T36" i="3" s="1"/>
  <c r="V36" i="3"/>
  <c r="W36" i="3"/>
  <c r="X36" i="3"/>
  <c r="M39" i="3"/>
  <c r="U39" i="3"/>
  <c r="T39" i="3" s="1"/>
  <c r="V39" i="3"/>
  <c r="W39" i="3"/>
  <c r="X39" i="3"/>
  <c r="M33" i="3"/>
  <c r="U33" i="3"/>
  <c r="T33" i="3" s="1"/>
  <c r="V33" i="3"/>
  <c r="W33" i="3"/>
  <c r="X33" i="3"/>
  <c r="AC33" i="3"/>
  <c r="M37" i="3"/>
  <c r="U37" i="3"/>
  <c r="T37" i="3" s="1"/>
  <c r="V37" i="3"/>
  <c r="W37" i="3"/>
  <c r="X37" i="3"/>
  <c r="AC37" i="3"/>
  <c r="M11" i="3"/>
  <c r="U11" i="3"/>
  <c r="T11" i="3" s="1"/>
  <c r="V11" i="3"/>
  <c r="W11" i="3"/>
  <c r="X11" i="3"/>
  <c r="AC11" i="3"/>
  <c r="M34" i="3"/>
  <c r="U34" i="3"/>
  <c r="T34" i="3" s="1"/>
  <c r="V34" i="3"/>
  <c r="W34" i="3"/>
  <c r="X34" i="3"/>
  <c r="AC34" i="3"/>
  <c r="M28" i="5"/>
  <c r="AG186" i="1" l="1"/>
  <c r="X186" i="1"/>
  <c r="AG185" i="1"/>
  <c r="X185" i="1"/>
  <c r="AA146" i="1"/>
  <c r="T74" i="1"/>
  <c r="X74" i="1"/>
  <c r="AG73" i="1"/>
  <c r="AI73" i="1" s="1"/>
  <c r="X73" i="1"/>
  <c r="AI26" i="1"/>
  <c r="AA26" i="1"/>
  <c r="T22" i="1"/>
  <c r="X22" i="1"/>
  <c r="T20" i="1"/>
  <c r="X20" i="1"/>
  <c r="T18" i="1"/>
  <c r="X18" i="1"/>
  <c r="U151" i="1"/>
  <c r="S151" i="1" s="1"/>
  <c r="AA225" i="1"/>
  <c r="AA224" i="1"/>
  <c r="W224" i="1" s="1"/>
  <c r="T189" i="1"/>
  <c r="AA168" i="1"/>
  <c r="AA166" i="1"/>
  <c r="AA229" i="1"/>
  <c r="W229" i="1" s="1"/>
  <c r="T149" i="1"/>
  <c r="AI91" i="1"/>
  <c r="AA37" i="1"/>
  <c r="AA29" i="1"/>
  <c r="X16" i="1"/>
  <c r="X17" i="1"/>
  <c r="W151" i="1"/>
  <c r="AG161" i="1"/>
  <c r="AI161" i="1" s="1"/>
  <c r="X161" i="1"/>
  <c r="AC35" i="3"/>
  <c r="X153" i="1"/>
  <c r="X152" i="1"/>
  <c r="X81" i="1"/>
  <c r="AG41" i="1"/>
  <c r="U41" i="1" s="1"/>
  <c r="S41" i="1" s="1"/>
  <c r="X151" i="1"/>
  <c r="AC32" i="3"/>
  <c r="AI72" i="1"/>
  <c r="U72" i="1"/>
  <c r="S72" i="1" s="1"/>
  <c r="AD28" i="3"/>
  <c r="AC19" i="3"/>
  <c r="AC27" i="3"/>
  <c r="AC9" i="3"/>
  <c r="AC12" i="3"/>
  <c r="AI157" i="1"/>
  <c r="U157" i="1"/>
  <c r="S157" i="1" s="1"/>
  <c r="W157" i="1"/>
  <c r="AC8" i="3"/>
  <c r="S26" i="3"/>
  <c r="AD20" i="3"/>
  <c r="U156" i="1"/>
  <c r="S156" i="1" s="1"/>
  <c r="AI156" i="1"/>
  <c r="AC14" i="3"/>
  <c r="R32" i="3"/>
  <c r="AD27" i="3"/>
  <c r="W156" i="1"/>
  <c r="AC29" i="3"/>
  <c r="Y7" i="3"/>
  <c r="AC17" i="3"/>
  <c r="AD40" i="3"/>
  <c r="R38" i="3"/>
  <c r="Y28" i="3"/>
  <c r="AC7" i="3"/>
  <c r="Y32" i="3"/>
  <c r="AD24" i="3"/>
  <c r="AG223" i="1"/>
  <c r="AA205" i="1"/>
  <c r="X183" i="1"/>
  <c r="X180" i="1"/>
  <c r="X176" i="1"/>
  <c r="AA171" i="1"/>
  <c r="AA125" i="1"/>
  <c r="AA124" i="1"/>
  <c r="AA123" i="1"/>
  <c r="T71" i="1"/>
  <c r="U71" i="1" s="1"/>
  <c r="S71" i="1" s="1"/>
  <c r="X68" i="1"/>
  <c r="AA58" i="1"/>
  <c r="AA57" i="1"/>
  <c r="AA56" i="1"/>
  <c r="T37" i="1"/>
  <c r="AA30" i="1"/>
  <c r="X29" i="1"/>
  <c r="T178" i="1"/>
  <c r="X178" i="1"/>
  <c r="Y26" i="3"/>
  <c r="Y23" i="3"/>
  <c r="T137" i="1"/>
  <c r="T84" i="1"/>
  <c r="AC26" i="3"/>
  <c r="AC39" i="3"/>
  <c r="AD19" i="3"/>
  <c r="AC21" i="3"/>
  <c r="AA221" i="1"/>
  <c r="AA218" i="1"/>
  <c r="AA217" i="1"/>
  <c r="AA216" i="1"/>
  <c r="W216" i="1" s="1"/>
  <c r="AA238" i="1"/>
  <c r="AA187" i="1"/>
  <c r="AA184" i="1"/>
  <c r="X162" i="1"/>
  <c r="AG150" i="1"/>
  <c r="AI150" i="1" s="1"/>
  <c r="AA142" i="1"/>
  <c r="AA141" i="1"/>
  <c r="AA139" i="1"/>
  <c r="AA138" i="1"/>
  <c r="AA137" i="1"/>
  <c r="W137" i="1" s="1"/>
  <c r="P111" i="1"/>
  <c r="AG101" i="1"/>
  <c r="AA85" i="1"/>
  <c r="AG62" i="1"/>
  <c r="AI62" i="1" s="1"/>
  <c r="AI52" i="1"/>
  <c r="AA43" i="1"/>
  <c r="AA42" i="1"/>
  <c r="AG38" i="1"/>
  <c r="AI38" i="1" s="1"/>
  <c r="X38" i="1"/>
  <c r="W26" i="1"/>
  <c r="Y29" i="3"/>
  <c r="Y19" i="3"/>
  <c r="AA194" i="1"/>
  <c r="AA236" i="1"/>
  <c r="W236" i="1" s="1"/>
  <c r="AG173" i="1"/>
  <c r="AG126" i="1"/>
  <c r="AI126" i="1" s="1"/>
  <c r="X126" i="1"/>
  <c r="AG117" i="1"/>
  <c r="AI117" i="1" s="1"/>
  <c r="AG98" i="1"/>
  <c r="AG87" i="1"/>
  <c r="AI87" i="1" s="1"/>
  <c r="X87" i="1"/>
  <c r="AG66" i="1"/>
  <c r="X64" i="1"/>
  <c r="AG30" i="1"/>
  <c r="U30" i="1" s="1"/>
  <c r="S30" i="1" s="1"/>
  <c r="X30" i="1"/>
  <c r="AG22" i="1"/>
  <c r="U22" i="1" s="1"/>
  <c r="S22" i="1" s="1"/>
  <c r="W37" i="1"/>
  <c r="AD38" i="3"/>
  <c r="AD30" i="3"/>
  <c r="Y22" i="3"/>
  <c r="AA220" i="1"/>
  <c r="W220" i="1" s="1"/>
  <c r="S31" i="3"/>
  <c r="Y38" i="3"/>
  <c r="AD22" i="3"/>
  <c r="T197" i="1"/>
  <c r="AA175" i="1"/>
  <c r="AA164" i="1"/>
  <c r="AA227" i="1"/>
  <c r="AA211" i="1"/>
  <c r="W211" i="1" s="1"/>
  <c r="AA150" i="1"/>
  <c r="AA149" i="1"/>
  <c r="W149" i="1" s="1"/>
  <c r="AA144" i="1"/>
  <c r="AG113" i="1"/>
  <c r="U113" i="1" s="1"/>
  <c r="S113" i="1" s="1"/>
  <c r="P95" i="1"/>
  <c r="AA88" i="1"/>
  <c r="W88" i="1" s="1"/>
  <c r="X55" i="1"/>
  <c r="AG46" i="1"/>
  <c r="U46" i="1" s="1"/>
  <c r="S46" i="1" s="1"/>
  <c r="AC36" i="3"/>
  <c r="R26" i="3"/>
  <c r="R8" i="3"/>
  <c r="X201" i="1"/>
  <c r="AA198" i="1"/>
  <c r="W198" i="1" s="1"/>
  <c r="T185" i="1"/>
  <c r="AA181" i="1"/>
  <c r="AA177" i="1"/>
  <c r="W162" i="1"/>
  <c r="T161" i="1"/>
  <c r="X137" i="1"/>
  <c r="AA126" i="1"/>
  <c r="U121" i="1"/>
  <c r="S121" i="1" s="1"/>
  <c r="AA117" i="1"/>
  <c r="AA116" i="1"/>
  <c r="AA115" i="1"/>
  <c r="X88" i="1"/>
  <c r="AA87" i="1"/>
  <c r="AA78" i="1"/>
  <c r="AA75" i="1"/>
  <c r="W75" i="1" s="1"/>
  <c r="AA74" i="1"/>
  <c r="AA73" i="1"/>
  <c r="X67" i="1"/>
  <c r="AA66" i="1"/>
  <c r="AA65" i="1"/>
  <c r="AA64" i="1"/>
  <c r="AA20" i="1"/>
  <c r="AA19" i="1"/>
  <c r="AG111" i="1"/>
  <c r="AI111" i="1" s="1"/>
  <c r="AD13" i="3"/>
  <c r="AD9" i="3"/>
  <c r="Y11" i="3"/>
  <c r="Y33" i="3"/>
  <c r="Y36" i="3"/>
  <c r="AD34" i="3"/>
  <c r="AD32" i="3"/>
  <c r="Y9" i="3"/>
  <c r="Y25" i="3"/>
  <c r="AD17" i="3"/>
  <c r="Y13" i="3"/>
  <c r="Y27" i="3"/>
  <c r="AD36" i="3"/>
  <c r="AD26" i="3"/>
  <c r="Y17" i="3"/>
  <c r="AD18" i="3"/>
  <c r="AD15" i="3"/>
  <c r="AD11" i="3"/>
  <c r="AA203" i="1"/>
  <c r="AA202" i="1"/>
  <c r="W202" i="1" s="1"/>
  <c r="X194" i="1"/>
  <c r="AA179" i="1"/>
  <c r="AG174" i="1"/>
  <c r="X174" i="1"/>
  <c r="AA174" i="1"/>
  <c r="AA230" i="1"/>
  <c r="AG214" i="1"/>
  <c r="AI214" i="1" s="1"/>
  <c r="T214" i="1"/>
  <c r="AA208" i="1"/>
  <c r="AG207" i="1"/>
  <c r="U207" i="1" s="1"/>
  <c r="S207" i="1" s="1"/>
  <c r="T146" i="1"/>
  <c r="AG146" i="1"/>
  <c r="AI146" i="1" s="1"/>
  <c r="T125" i="1"/>
  <c r="AG125" i="1"/>
  <c r="AG123" i="1"/>
  <c r="T123" i="1"/>
  <c r="AA104" i="1"/>
  <c r="AA103" i="1"/>
  <c r="X98" i="1"/>
  <c r="T58" i="1"/>
  <c r="AG58" i="1"/>
  <c r="AG56" i="1"/>
  <c r="AI56" i="1" s="1"/>
  <c r="X56" i="1"/>
  <c r="T45" i="1"/>
  <c r="AG45" i="1"/>
  <c r="X205" i="1"/>
  <c r="AG165" i="1"/>
  <c r="U165" i="1" s="1"/>
  <c r="S165" i="1" s="1"/>
  <c r="T165" i="1"/>
  <c r="T209" i="1"/>
  <c r="AG209" i="1"/>
  <c r="AI209" i="1" s="1"/>
  <c r="AG208" i="1"/>
  <c r="X208" i="1"/>
  <c r="T105" i="1"/>
  <c r="AG105" i="1"/>
  <c r="AI105" i="1" s="1"/>
  <c r="T80" i="1"/>
  <c r="AG80" i="1"/>
  <c r="AA49" i="1"/>
  <c r="T40" i="1"/>
  <c r="U40" i="1" s="1"/>
  <c r="S40" i="1" s="1"/>
  <c r="X41" i="1"/>
  <c r="AG40" i="1"/>
  <c r="AA38" i="1"/>
  <c r="X236" i="1"/>
  <c r="AG148" i="1"/>
  <c r="U148" i="1" s="1"/>
  <c r="S148" i="1" s="1"/>
  <c r="T148" i="1"/>
  <c r="T142" i="1"/>
  <c r="AG142" i="1"/>
  <c r="AI142" i="1" s="1"/>
  <c r="AG141" i="1"/>
  <c r="W141" i="1" s="1"/>
  <c r="T141" i="1"/>
  <c r="AG130" i="1"/>
  <c r="AI130" i="1" s="1"/>
  <c r="AA128" i="1"/>
  <c r="T119" i="1"/>
  <c r="U119" i="1" s="1"/>
  <c r="S119" i="1" s="1"/>
  <c r="AG119" i="1"/>
  <c r="AA119" i="1"/>
  <c r="W119" i="1" s="1"/>
  <c r="AG109" i="1"/>
  <c r="AI109" i="1" s="1"/>
  <c r="AA77" i="1"/>
  <c r="W77" i="1" s="1"/>
  <c r="X49" i="1"/>
  <c r="AG49" i="1"/>
  <c r="U49" i="1" s="1"/>
  <c r="S49" i="1" s="1"/>
  <c r="T16" i="1"/>
  <c r="AG16" i="1"/>
  <c r="U16" i="1" s="1"/>
  <c r="AG205" i="1"/>
  <c r="U205" i="1" s="1"/>
  <c r="S205" i="1" s="1"/>
  <c r="AI198" i="1"/>
  <c r="AA219" i="1"/>
  <c r="W194" i="1"/>
  <c r="U189" i="1"/>
  <c r="S189" i="1" s="1"/>
  <c r="T182" i="1"/>
  <c r="X182" i="1"/>
  <c r="AG182" i="1"/>
  <c r="AI182" i="1" s="1"/>
  <c r="AA182" i="1"/>
  <c r="T208" i="1"/>
  <c r="AG144" i="1"/>
  <c r="AI144" i="1" s="1"/>
  <c r="T134" i="1"/>
  <c r="AG134" i="1"/>
  <c r="AI134" i="1" s="1"/>
  <c r="AA134" i="1"/>
  <c r="W125" i="1"/>
  <c r="AA91" i="1"/>
  <c r="W91" i="1" s="1"/>
  <c r="AI85" i="1"/>
  <c r="T48" i="1"/>
  <c r="AG48" i="1"/>
  <c r="AI48" i="1" s="1"/>
  <c r="T21" i="1"/>
  <c r="AG21" i="1"/>
  <c r="U21" i="1" s="1"/>
  <c r="S21" i="1" s="1"/>
  <c r="AA189" i="1"/>
  <c r="W189" i="1" s="1"/>
  <c r="AA235" i="1"/>
  <c r="W235" i="1" s="1"/>
  <c r="AA169" i="1"/>
  <c r="AA167" i="1"/>
  <c r="AA95" i="1"/>
  <c r="AA94" i="1"/>
  <c r="W94" i="1" s="1"/>
  <c r="AA86" i="1"/>
  <c r="AA84" i="1"/>
  <c r="W84" i="1" s="1"/>
  <c r="AA83" i="1"/>
  <c r="AA82" i="1"/>
  <c r="AA81" i="1"/>
  <c r="W81" i="1" s="1"/>
  <c r="AA76" i="1"/>
  <c r="AA54" i="1"/>
  <c r="W54" i="1" s="1"/>
  <c r="AA53" i="1"/>
  <c r="AA46" i="1"/>
  <c r="AA35" i="1"/>
  <c r="AA34" i="1"/>
  <c r="AG32" i="1"/>
  <c r="U32" i="1" s="1"/>
  <c r="S32" i="1" s="1"/>
  <c r="AG29" i="1"/>
  <c r="AA27" i="1"/>
  <c r="W27" i="1" s="1"/>
  <c r="X26" i="1"/>
  <c r="AA25" i="1"/>
  <c r="AA22" i="1"/>
  <c r="AG18" i="1"/>
  <c r="AI18" i="1" s="1"/>
  <c r="AI206" i="1"/>
  <c r="AA206" i="1"/>
  <c r="W206" i="1" s="1"/>
  <c r="X224" i="1"/>
  <c r="AG201" i="1"/>
  <c r="U201" i="1" s="1"/>
  <c r="S201" i="1" s="1"/>
  <c r="AG197" i="1"/>
  <c r="AA196" i="1"/>
  <c r="AA195" i="1"/>
  <c r="AG193" i="1"/>
  <c r="U193" i="1" s="1"/>
  <c r="S193" i="1" s="1"/>
  <c r="AA191" i="1"/>
  <c r="AA190" i="1"/>
  <c r="W190" i="1" s="1"/>
  <c r="X189" i="1"/>
  <c r="AA183" i="1"/>
  <c r="W183" i="1" s="1"/>
  <c r="AG235" i="1"/>
  <c r="AA173" i="1"/>
  <c r="W173" i="1" s="1"/>
  <c r="AA228" i="1"/>
  <c r="AA226" i="1"/>
  <c r="AA215" i="1"/>
  <c r="X145" i="1"/>
  <c r="AG136" i="1"/>
  <c r="U136" i="1" s="1"/>
  <c r="S136" i="1" s="1"/>
  <c r="AA132" i="1"/>
  <c r="AA109" i="1"/>
  <c r="AA108" i="1"/>
  <c r="AA107" i="1"/>
  <c r="AA98" i="1"/>
  <c r="W98" i="1" s="1"/>
  <c r="AA92" i="1"/>
  <c r="AA70" i="1"/>
  <c r="W70" i="1" s="1"/>
  <c r="AA69" i="1"/>
  <c r="AA68" i="1"/>
  <c r="W68" i="1" s="1"/>
  <c r="X63" i="1"/>
  <c r="AA62" i="1"/>
  <c r="AA61" i="1"/>
  <c r="AA60" i="1"/>
  <c r="AA51" i="1"/>
  <c r="AA50" i="1"/>
  <c r="AA45" i="1"/>
  <c r="W45" i="1" s="1"/>
  <c r="AA21" i="1"/>
  <c r="AA16" i="1"/>
  <c r="W219" i="1"/>
  <c r="T219" i="1"/>
  <c r="X216" i="1"/>
  <c r="W191" i="1"/>
  <c r="AG177" i="1"/>
  <c r="U177" i="1" s="1"/>
  <c r="S177" i="1" s="1"/>
  <c r="X210" i="1"/>
  <c r="X211" i="1"/>
  <c r="AG129" i="1"/>
  <c r="AI129" i="1" s="1"/>
  <c r="T129" i="1"/>
  <c r="U129" i="1" s="1"/>
  <c r="S129" i="1" s="1"/>
  <c r="X129" i="1"/>
  <c r="T107" i="1"/>
  <c r="AG107" i="1"/>
  <c r="X106" i="1"/>
  <c r="AG106" i="1"/>
  <c r="T106" i="1"/>
  <c r="T93" i="1"/>
  <c r="AG93" i="1"/>
  <c r="AI93" i="1" s="1"/>
  <c r="X94" i="1"/>
  <c r="T224" i="1"/>
  <c r="U224" i="1" s="1"/>
  <c r="S224" i="1" s="1"/>
  <c r="AA223" i="1"/>
  <c r="AA222" i="1"/>
  <c r="T220" i="1"/>
  <c r="X238" i="1"/>
  <c r="AA201" i="1"/>
  <c r="AG200" i="1"/>
  <c r="W200" i="1" s="1"/>
  <c r="X200" i="1"/>
  <c r="AA199" i="1"/>
  <c r="X198" i="1"/>
  <c r="AA180" i="1"/>
  <c r="AA232" i="1"/>
  <c r="T169" i="1"/>
  <c r="U169" i="1" s="1"/>
  <c r="S169" i="1" s="1"/>
  <c r="AG169" i="1"/>
  <c r="AA163" i="1"/>
  <c r="T128" i="1"/>
  <c r="AG128" i="1"/>
  <c r="AI128" i="1" s="1"/>
  <c r="T44" i="1"/>
  <c r="X45" i="1"/>
  <c r="AG44" i="1"/>
  <c r="T42" i="1"/>
  <c r="AG42" i="1"/>
  <c r="T216" i="1"/>
  <c r="U216" i="1" s="1"/>
  <c r="S216" i="1" s="1"/>
  <c r="T177" i="1"/>
  <c r="AG166" i="1"/>
  <c r="U166" i="1" s="1"/>
  <c r="S166" i="1" s="1"/>
  <c r="X166" i="1"/>
  <c r="T228" i="1"/>
  <c r="AG228" i="1"/>
  <c r="W150" i="1"/>
  <c r="AG133" i="1"/>
  <c r="T133" i="1"/>
  <c r="U133" i="1" s="1"/>
  <c r="S133" i="1" s="1"/>
  <c r="X133" i="1"/>
  <c r="AI119" i="1"/>
  <c r="X220" i="1"/>
  <c r="AA237" i="1"/>
  <c r="W237" i="1" s="1"/>
  <c r="AI202" i="1"/>
  <c r="AA200" i="1"/>
  <c r="T198" i="1"/>
  <c r="T231" i="1"/>
  <c r="AG231" i="1"/>
  <c r="W231" i="1" s="1"/>
  <c r="AA170" i="1"/>
  <c r="W170" i="1" s="1"/>
  <c r="AG215" i="1"/>
  <c r="W215" i="1" s="1"/>
  <c r="X215" i="1"/>
  <c r="T138" i="1"/>
  <c r="AG138" i="1"/>
  <c r="T132" i="1"/>
  <c r="U132" i="1" s="1"/>
  <c r="S132" i="1" s="1"/>
  <c r="AG132" i="1"/>
  <c r="AA130" i="1"/>
  <c r="X193" i="1"/>
  <c r="X232" i="1"/>
  <c r="X170" i="1"/>
  <c r="AA165" i="1"/>
  <c r="T162" i="1"/>
  <c r="X229" i="1"/>
  <c r="AA214" i="1"/>
  <c r="T211" i="1"/>
  <c r="U211" i="1" s="1"/>
  <c r="S211" i="1" s="1"/>
  <c r="AA148" i="1"/>
  <c r="AA140" i="1"/>
  <c r="W140" i="1" s="1"/>
  <c r="T118" i="1"/>
  <c r="X118" i="1"/>
  <c r="AG118" i="1"/>
  <c r="X119" i="1"/>
  <c r="T102" i="1"/>
  <c r="X102" i="1"/>
  <c r="AG102" i="1"/>
  <c r="X60" i="1"/>
  <c r="AG60" i="1"/>
  <c r="AA197" i="1"/>
  <c r="W197" i="1" s="1"/>
  <c r="X192" i="1"/>
  <c r="AA185" i="1"/>
  <c r="W185" i="1" s="1"/>
  <c r="T183" i="1"/>
  <c r="U183" i="1" s="1"/>
  <c r="S183" i="1" s="1"/>
  <c r="T236" i="1"/>
  <c r="U236" i="1" s="1"/>
  <c r="S236" i="1" s="1"/>
  <c r="AA176" i="1"/>
  <c r="T174" i="1"/>
  <c r="AA161" i="1"/>
  <c r="AA209" i="1"/>
  <c r="AA207" i="1"/>
  <c r="X149" i="1"/>
  <c r="AA145" i="1"/>
  <c r="W145" i="1" s="1"/>
  <c r="T145" i="1"/>
  <c r="U145" i="1" s="1"/>
  <c r="S145" i="1" s="1"/>
  <c r="X141" i="1"/>
  <c r="AG140" i="1"/>
  <c r="AI140" i="1" s="1"/>
  <c r="AA136" i="1"/>
  <c r="AA135" i="1"/>
  <c r="X123" i="1"/>
  <c r="T115" i="1"/>
  <c r="AG115" i="1"/>
  <c r="T114" i="1"/>
  <c r="X114" i="1"/>
  <c r="AG114" i="1"/>
  <c r="AI114" i="1" s="1"/>
  <c r="AG90" i="1"/>
  <c r="X91" i="1"/>
  <c r="T59" i="1"/>
  <c r="X59" i="1"/>
  <c r="AG59" i="1"/>
  <c r="T50" i="1"/>
  <c r="AG50" i="1"/>
  <c r="T36" i="1"/>
  <c r="X37" i="1"/>
  <c r="AG36" i="1"/>
  <c r="X34" i="1"/>
  <c r="AG34" i="1"/>
  <c r="W34" i="1" s="1"/>
  <c r="X25" i="1"/>
  <c r="AI22" i="1"/>
  <c r="AA186" i="1"/>
  <c r="W186" i="1" s="1"/>
  <c r="AA234" i="1"/>
  <c r="T232" i="1"/>
  <c r="U232" i="1" s="1"/>
  <c r="S232" i="1" s="1"/>
  <c r="AA172" i="1"/>
  <c r="T170" i="1"/>
  <c r="AA160" i="1"/>
  <c r="T229" i="1"/>
  <c r="U229" i="1" s="1"/>
  <c r="S229" i="1" s="1"/>
  <c r="AA210" i="1"/>
  <c r="AA152" i="1"/>
  <c r="AA143" i="1"/>
  <c r="AA133" i="1"/>
  <c r="AA131" i="1"/>
  <c r="AA129" i="1"/>
  <c r="AA127" i="1"/>
  <c r="T122" i="1"/>
  <c r="X122" i="1"/>
  <c r="AG122" i="1"/>
  <c r="AI122" i="1" s="1"/>
  <c r="X110" i="1"/>
  <c r="AG110" i="1"/>
  <c r="T110" i="1"/>
  <c r="U101" i="1"/>
  <c r="S101" i="1" s="1"/>
  <c r="T97" i="1"/>
  <c r="AG97" i="1"/>
  <c r="AI97" i="1" s="1"/>
  <c r="U94" i="1"/>
  <c r="T76" i="1"/>
  <c r="AG76" i="1"/>
  <c r="X77" i="1"/>
  <c r="T60" i="1"/>
  <c r="W42" i="1"/>
  <c r="T33" i="1"/>
  <c r="X33" i="1"/>
  <c r="AG33" i="1"/>
  <c r="AI33" i="1" s="1"/>
  <c r="AI30" i="1"/>
  <c r="T24" i="1"/>
  <c r="AG24" i="1"/>
  <c r="AA110" i="1"/>
  <c r="AA106" i="1"/>
  <c r="W106" i="1" s="1"/>
  <c r="AA96" i="1"/>
  <c r="AA89" i="1"/>
  <c r="T88" i="1"/>
  <c r="U88" i="1" s="1"/>
  <c r="S88" i="1" s="1"/>
  <c r="T85" i="1"/>
  <c r="U85" i="1" s="1"/>
  <c r="S85" i="1" s="1"/>
  <c r="AA71" i="1"/>
  <c r="W71" i="1" s="1"/>
  <c r="AA67" i="1"/>
  <c r="T67" i="1"/>
  <c r="AA63" i="1"/>
  <c r="T63" i="1"/>
  <c r="AA55" i="1"/>
  <c r="T55" i="1"/>
  <c r="AA39" i="1"/>
  <c r="T26" i="1"/>
  <c r="U26" i="1" s="1"/>
  <c r="S26" i="1" s="1"/>
  <c r="AA14" i="1"/>
  <c r="T81" i="1"/>
  <c r="T73" i="1"/>
  <c r="U73" i="1" s="1"/>
  <c r="S73" i="1" s="1"/>
  <c r="T68" i="1"/>
  <c r="U68" i="1" s="1"/>
  <c r="S68" i="1" s="1"/>
  <c r="U66" i="1"/>
  <c r="S66" i="1" s="1"/>
  <c r="T64" i="1"/>
  <c r="W58" i="1"/>
  <c r="T56" i="1"/>
  <c r="U54" i="1"/>
  <c r="S54" i="1" s="1"/>
  <c r="AA47" i="1"/>
  <c r="U45" i="1"/>
  <c r="S45" i="1" s="1"/>
  <c r="AA41" i="1"/>
  <c r="U37" i="1"/>
  <c r="S37" i="1" s="1"/>
  <c r="AG25" i="1"/>
  <c r="AG15" i="1"/>
  <c r="U15" i="1" s="1"/>
  <c r="S15" i="1" s="1"/>
  <c r="AA122" i="1"/>
  <c r="AA120" i="1"/>
  <c r="AA118" i="1"/>
  <c r="W118" i="1" s="1"/>
  <c r="AA114" i="1"/>
  <c r="W114" i="1" s="1"/>
  <c r="AA112" i="1"/>
  <c r="AA102" i="1"/>
  <c r="W102" i="1" s="1"/>
  <c r="AA100" i="1"/>
  <c r="AA93" i="1"/>
  <c r="W93" i="1" s="1"/>
  <c r="T91" i="1"/>
  <c r="U91" i="1" s="1"/>
  <c r="S91" i="1" s="1"/>
  <c r="AA90" i="1"/>
  <c r="X85" i="1"/>
  <c r="AA80" i="1"/>
  <c r="W80" i="1" s="1"/>
  <c r="AA79" i="1"/>
  <c r="W79" i="1" s="1"/>
  <c r="T77" i="1"/>
  <c r="AG67" i="1"/>
  <c r="AG63" i="1"/>
  <c r="U63" i="1" s="1"/>
  <c r="S63" i="1" s="1"/>
  <c r="AA59" i="1"/>
  <c r="W59" i="1" s="1"/>
  <c r="AG55" i="1"/>
  <c r="AI55" i="1" s="1"/>
  <c r="AA52" i="1"/>
  <c r="W52" i="1" s="1"/>
  <c r="AA44" i="1"/>
  <c r="W44" i="1" s="1"/>
  <c r="AA36" i="1"/>
  <c r="AA33" i="1"/>
  <c r="AA31" i="1"/>
  <c r="AG28" i="1"/>
  <c r="U28" i="1" s="1"/>
  <c r="S28" i="1" s="1"/>
  <c r="AA23" i="1"/>
  <c r="AG20" i="1"/>
  <c r="U20" i="1" s="1"/>
  <c r="S20" i="1" s="1"/>
  <c r="AI237" i="1"/>
  <c r="U220" i="1"/>
  <c r="S220" i="1" s="1"/>
  <c r="AI229" i="1"/>
  <c r="U219" i="1"/>
  <c r="S219" i="1" s="1"/>
  <c r="T204" i="1"/>
  <c r="T176" i="1"/>
  <c r="AG176" i="1"/>
  <c r="AI176" i="1" s="1"/>
  <c r="AI185" i="1"/>
  <c r="AI79" i="1"/>
  <c r="X223" i="1"/>
  <c r="AG222" i="1"/>
  <c r="AI222" i="1" s="1"/>
  <c r="T227" i="1"/>
  <c r="X227" i="1"/>
  <c r="AG227" i="1"/>
  <c r="AI227" i="1" s="1"/>
  <c r="X228" i="1"/>
  <c r="T139" i="1"/>
  <c r="X139" i="1"/>
  <c r="AG139" i="1"/>
  <c r="U223" i="1"/>
  <c r="S223" i="1" s="1"/>
  <c r="T160" i="1"/>
  <c r="AG160" i="1"/>
  <c r="AI160" i="1" s="1"/>
  <c r="AG218" i="1"/>
  <c r="AI218" i="1" s="1"/>
  <c r="T238" i="1"/>
  <c r="T202" i="1"/>
  <c r="U202" i="1" s="1"/>
  <c r="S202" i="1" s="1"/>
  <c r="AG188" i="1"/>
  <c r="AG225" i="1"/>
  <c r="AI225" i="1" s="1"/>
  <c r="AI236" i="1"/>
  <c r="AI232" i="1"/>
  <c r="AI220" i="1"/>
  <c r="T195" i="1"/>
  <c r="X195" i="1"/>
  <c r="T188" i="1"/>
  <c r="AI194" i="1"/>
  <c r="AI148" i="1"/>
  <c r="X219" i="1"/>
  <c r="AG204" i="1"/>
  <c r="X204" i="1"/>
  <c r="T199" i="1"/>
  <c r="X199" i="1"/>
  <c r="AG195" i="1"/>
  <c r="T192" i="1"/>
  <c r="T186" i="1"/>
  <c r="U186" i="1" s="1"/>
  <c r="S186" i="1" s="1"/>
  <c r="AI197" i="1"/>
  <c r="AI190" i="1"/>
  <c r="U173" i="1"/>
  <c r="S173" i="1" s="1"/>
  <c r="T172" i="1"/>
  <c r="X172" i="1"/>
  <c r="AG172" i="1"/>
  <c r="X173" i="1"/>
  <c r="U162" i="1"/>
  <c r="S162" i="1" s="1"/>
  <c r="X222" i="1"/>
  <c r="AG221" i="1"/>
  <c r="W221" i="1" s="1"/>
  <c r="X218" i="1"/>
  <c r="AG217" i="1"/>
  <c r="W217" i="1" s="1"/>
  <c r="AG238" i="1"/>
  <c r="T206" i="1"/>
  <c r="U206" i="1" s="1"/>
  <c r="S206" i="1" s="1"/>
  <c r="T203" i="1"/>
  <c r="X203" i="1"/>
  <c r="X202" i="1"/>
  <c r="AG199" i="1"/>
  <c r="T196" i="1"/>
  <c r="AG192" i="1"/>
  <c r="AI211" i="1"/>
  <c r="T190" i="1"/>
  <c r="U190" i="1" s="1"/>
  <c r="S190" i="1" s="1"/>
  <c r="T187" i="1"/>
  <c r="W181" i="1"/>
  <c r="T180" i="1"/>
  <c r="AG180" i="1"/>
  <c r="U235" i="1"/>
  <c r="S235" i="1" s="1"/>
  <c r="T234" i="1"/>
  <c r="X234" i="1"/>
  <c r="AG234" i="1"/>
  <c r="X235" i="1"/>
  <c r="AI186" i="1"/>
  <c r="T168" i="1"/>
  <c r="X168" i="1"/>
  <c r="AG168" i="1"/>
  <c r="W168" i="1" s="1"/>
  <c r="X169" i="1"/>
  <c r="AI172" i="1"/>
  <c r="T213" i="1"/>
  <c r="X213" i="1"/>
  <c r="AG213" i="1"/>
  <c r="AI213" i="1" s="1"/>
  <c r="X214" i="1"/>
  <c r="S40" i="3"/>
  <c r="X225" i="1"/>
  <c r="X221" i="1"/>
  <c r="X217" i="1"/>
  <c r="T237" i="1"/>
  <c r="U237" i="1" s="1"/>
  <c r="S237" i="1" s="1"/>
  <c r="X237" i="1"/>
  <c r="X206" i="1"/>
  <c r="AA204" i="1"/>
  <c r="AG203" i="1"/>
  <c r="U198" i="1"/>
  <c r="S198" i="1" s="1"/>
  <c r="AG196" i="1"/>
  <c r="T194" i="1"/>
  <c r="U194" i="1" s="1"/>
  <c r="S194" i="1" s="1"/>
  <c r="T191" i="1"/>
  <c r="U191" i="1" s="1"/>
  <c r="S191" i="1" s="1"/>
  <c r="X191" i="1"/>
  <c r="X190" i="1"/>
  <c r="AA188" i="1"/>
  <c r="W188" i="1" s="1"/>
  <c r="AG187" i="1"/>
  <c r="AI205" i="1"/>
  <c r="U185" i="1"/>
  <c r="S185" i="1" s="1"/>
  <c r="T184" i="1"/>
  <c r="AG184" i="1"/>
  <c r="T181" i="1"/>
  <c r="U181" i="1" s="1"/>
  <c r="S181" i="1" s="1"/>
  <c r="X181" i="1"/>
  <c r="W232" i="1"/>
  <c r="T179" i="1"/>
  <c r="AG179" i="1"/>
  <c r="AI179" i="1" s="1"/>
  <c r="X231" i="1"/>
  <c r="AI189" i="1"/>
  <c r="W176" i="1"/>
  <c r="U170" i="1"/>
  <c r="S170" i="1" s="1"/>
  <c r="AI183" i="1"/>
  <c r="W166" i="1"/>
  <c r="T164" i="1"/>
  <c r="X164" i="1"/>
  <c r="AG164" i="1"/>
  <c r="AI164" i="1" s="1"/>
  <c r="X165" i="1"/>
  <c r="W228" i="1"/>
  <c r="AI162" i="1"/>
  <c r="U144" i="1"/>
  <c r="S144" i="1" s="1"/>
  <c r="T210" i="1"/>
  <c r="T152" i="1"/>
  <c r="AG152" i="1"/>
  <c r="X207" i="1"/>
  <c r="U150" i="1"/>
  <c r="S150" i="1" s="1"/>
  <c r="T147" i="1"/>
  <c r="X147" i="1"/>
  <c r="AG147" i="1"/>
  <c r="X148" i="1"/>
  <c r="T143" i="1"/>
  <c r="X143" i="1"/>
  <c r="AG143" i="1"/>
  <c r="X144" i="1"/>
  <c r="AI133" i="1"/>
  <c r="T127" i="1"/>
  <c r="X127" i="1"/>
  <c r="AG127" i="1"/>
  <c r="AG233" i="1"/>
  <c r="AI233" i="1" s="1"/>
  <c r="AG178" i="1"/>
  <c r="W178" i="1" s="1"/>
  <c r="AG175" i="1"/>
  <c r="AI175" i="1" s="1"/>
  <c r="AG171" i="1"/>
  <c r="AI171" i="1" s="1"/>
  <c r="AG167" i="1"/>
  <c r="AI167" i="1" s="1"/>
  <c r="AG163" i="1"/>
  <c r="AG230" i="1"/>
  <c r="AG226" i="1"/>
  <c r="AI226" i="1" s="1"/>
  <c r="AG212" i="1"/>
  <c r="AG210" i="1"/>
  <c r="AI210" i="1" s="1"/>
  <c r="U137" i="1"/>
  <c r="S137" i="1" s="1"/>
  <c r="AI137" i="1"/>
  <c r="AI132" i="1"/>
  <c r="T131" i="1"/>
  <c r="X131" i="1"/>
  <c r="AG131" i="1"/>
  <c r="T116" i="1"/>
  <c r="X116" i="1"/>
  <c r="AG116" i="1"/>
  <c r="X233" i="1"/>
  <c r="X175" i="1"/>
  <c r="X171" i="1"/>
  <c r="X167" i="1"/>
  <c r="X163" i="1"/>
  <c r="X230" i="1"/>
  <c r="X226" i="1"/>
  <c r="X212" i="1"/>
  <c r="U149" i="1"/>
  <c r="S149" i="1" s="1"/>
  <c r="AI149" i="1"/>
  <c r="W148" i="1"/>
  <c r="AI145" i="1"/>
  <c r="W144" i="1"/>
  <c r="AI141" i="1"/>
  <c r="T135" i="1"/>
  <c r="X135" i="1"/>
  <c r="AG135" i="1"/>
  <c r="W129" i="1"/>
  <c r="U117" i="1"/>
  <c r="S117" i="1" s="1"/>
  <c r="X140" i="1"/>
  <c r="X136" i="1"/>
  <c r="X132" i="1"/>
  <c r="X128" i="1"/>
  <c r="AA121" i="1"/>
  <c r="W121" i="1" s="1"/>
  <c r="AA113" i="1"/>
  <c r="T104" i="1"/>
  <c r="X104" i="1"/>
  <c r="AG104" i="1"/>
  <c r="AA101" i="1"/>
  <c r="W101" i="1" s="1"/>
  <c r="T96" i="1"/>
  <c r="X96" i="1"/>
  <c r="AG96" i="1"/>
  <c r="AI125" i="1"/>
  <c r="T124" i="1"/>
  <c r="X124" i="1"/>
  <c r="AG124" i="1"/>
  <c r="W117" i="1"/>
  <c r="T108" i="1"/>
  <c r="X108" i="1"/>
  <c r="AG108" i="1"/>
  <c r="U106" i="1"/>
  <c r="S106" i="1" s="1"/>
  <c r="U98" i="1"/>
  <c r="S98" i="1" s="1"/>
  <c r="AG89" i="1"/>
  <c r="W89" i="1" s="1"/>
  <c r="X89" i="1"/>
  <c r="T89" i="1"/>
  <c r="X209" i="1"/>
  <c r="X150" i="1"/>
  <c r="X146" i="1"/>
  <c r="X142" i="1"/>
  <c r="X138" i="1"/>
  <c r="X134" i="1"/>
  <c r="X130" i="1"/>
  <c r="U125" i="1"/>
  <c r="S125" i="1" s="1"/>
  <c r="AI121" i="1"/>
  <c r="T120" i="1"/>
  <c r="X120" i="1"/>
  <c r="AG120" i="1"/>
  <c r="W116" i="1"/>
  <c r="T112" i="1"/>
  <c r="X112" i="1"/>
  <c r="AG112" i="1"/>
  <c r="U109" i="1"/>
  <c r="S109" i="1" s="1"/>
  <c r="AA105" i="1"/>
  <c r="AI101" i="1"/>
  <c r="T100" i="1"/>
  <c r="X100" i="1"/>
  <c r="AG100" i="1"/>
  <c r="W100" i="1" s="1"/>
  <c r="AA97" i="1"/>
  <c r="W97" i="1" s="1"/>
  <c r="T92" i="1"/>
  <c r="X92" i="1"/>
  <c r="AG92" i="1"/>
  <c r="W92" i="1" s="1"/>
  <c r="X125" i="1"/>
  <c r="X121" i="1"/>
  <c r="AI118" i="1"/>
  <c r="X117" i="1"/>
  <c r="X113" i="1"/>
  <c r="X109" i="1"/>
  <c r="AI106" i="1"/>
  <c r="X105" i="1"/>
  <c r="AI102" i="1"/>
  <c r="X101" i="1"/>
  <c r="AI98" i="1"/>
  <c r="X97" i="1"/>
  <c r="AI94" i="1"/>
  <c r="S94" i="1"/>
  <c r="X93" i="1"/>
  <c r="AI90" i="1"/>
  <c r="AI75" i="1"/>
  <c r="W64" i="1"/>
  <c r="AG103" i="1"/>
  <c r="AG99" i="1"/>
  <c r="AG95" i="1"/>
  <c r="T90" i="1"/>
  <c r="X90" i="1"/>
  <c r="AI84" i="1"/>
  <c r="AI81" i="1"/>
  <c r="U81" i="1"/>
  <c r="S81" i="1" s="1"/>
  <c r="AI68" i="1"/>
  <c r="AI64" i="1"/>
  <c r="U64" i="1"/>
  <c r="S64" i="1" s="1"/>
  <c r="X115" i="1"/>
  <c r="X111" i="1"/>
  <c r="X107" i="1"/>
  <c r="X103" i="1"/>
  <c r="X99" i="1"/>
  <c r="X95" i="1"/>
  <c r="T86" i="1"/>
  <c r="X86" i="1"/>
  <c r="AG86" i="1"/>
  <c r="W85" i="1"/>
  <c r="U84" i="1"/>
  <c r="S84" i="1" s="1"/>
  <c r="AG83" i="1"/>
  <c r="W83" i="1" s="1"/>
  <c r="X84" i="1"/>
  <c r="T83" i="1"/>
  <c r="X83" i="1"/>
  <c r="AI77" i="1"/>
  <c r="U77" i="1"/>
  <c r="S77" i="1" s="1"/>
  <c r="AI70" i="1"/>
  <c r="AG82" i="1"/>
  <c r="AI80" i="1"/>
  <c r="X79" i="1"/>
  <c r="T79" i="1"/>
  <c r="U79" i="1" s="1"/>
  <c r="S79" i="1" s="1"/>
  <c r="AG78" i="1"/>
  <c r="AI76" i="1"/>
  <c r="X75" i="1"/>
  <c r="T75" i="1"/>
  <c r="U75" i="1" s="1"/>
  <c r="S75" i="1" s="1"/>
  <c r="AG74" i="1"/>
  <c r="W74" i="1" s="1"/>
  <c r="AI71" i="1"/>
  <c r="X70" i="1"/>
  <c r="T70" i="1"/>
  <c r="U70" i="1" s="1"/>
  <c r="S70" i="1" s="1"/>
  <c r="AG69" i="1"/>
  <c r="AI67" i="1"/>
  <c r="X66" i="1"/>
  <c r="AG65" i="1"/>
  <c r="AI63" i="1"/>
  <c r="X62" i="1"/>
  <c r="AG61" i="1"/>
  <c r="X58" i="1"/>
  <c r="AG57" i="1"/>
  <c r="X54" i="1"/>
  <c r="AG53" i="1"/>
  <c r="T52" i="1"/>
  <c r="U52" i="1" s="1"/>
  <c r="S52" i="1" s="1"/>
  <c r="X52" i="1"/>
  <c r="AA48" i="1"/>
  <c r="W48" i="1" s="1"/>
  <c r="AI40" i="1"/>
  <c r="T39" i="1"/>
  <c r="X39" i="1"/>
  <c r="AG39" i="1"/>
  <c r="AA32" i="1"/>
  <c r="AI24" i="1"/>
  <c r="T23" i="1"/>
  <c r="X23" i="1"/>
  <c r="AG23" i="1"/>
  <c r="AA15" i="1"/>
  <c r="X82" i="1"/>
  <c r="X78" i="1"/>
  <c r="X69" i="1"/>
  <c r="AI66" i="1"/>
  <c r="X65" i="1"/>
  <c r="X61" i="1"/>
  <c r="AI58" i="1"/>
  <c r="X57" i="1"/>
  <c r="AI54" i="1"/>
  <c r="X53" i="1"/>
  <c r="AI44" i="1"/>
  <c r="T43" i="1"/>
  <c r="X43" i="1"/>
  <c r="AG43" i="1"/>
  <c r="AI36" i="1"/>
  <c r="T35" i="1"/>
  <c r="X35" i="1"/>
  <c r="AG35" i="1"/>
  <c r="AA28" i="1"/>
  <c r="U25" i="1"/>
  <c r="S25" i="1" s="1"/>
  <c r="AI20" i="1"/>
  <c r="T19" i="1"/>
  <c r="AG19" i="1"/>
  <c r="T47" i="1"/>
  <c r="X47" i="1"/>
  <c r="AG47" i="1"/>
  <c r="AA40" i="1"/>
  <c r="W40" i="1" s="1"/>
  <c r="AI32" i="1"/>
  <c r="T31" i="1"/>
  <c r="X31" i="1"/>
  <c r="AG31" i="1"/>
  <c r="AA24" i="1"/>
  <c r="W24" i="1" s="1"/>
  <c r="T14" i="1"/>
  <c r="AG14" i="1"/>
  <c r="X80" i="1"/>
  <c r="X76" i="1"/>
  <c r="X71" i="1"/>
  <c r="T51" i="1"/>
  <c r="X51" i="1"/>
  <c r="AG51" i="1"/>
  <c r="W39" i="1"/>
  <c r="T27" i="1"/>
  <c r="X27" i="1"/>
  <c r="AG27" i="1"/>
  <c r="X48" i="1"/>
  <c r="AI45" i="1"/>
  <c r="X44" i="1"/>
  <c r="X40" i="1"/>
  <c r="AI37" i="1"/>
  <c r="X36" i="1"/>
  <c r="X32" i="1"/>
  <c r="AI29" i="1"/>
  <c r="X28" i="1"/>
  <c r="AI25" i="1"/>
  <c r="X24" i="1"/>
  <c r="X15" i="1"/>
  <c r="X50" i="1"/>
  <c r="X46" i="1"/>
  <c r="X42" i="1"/>
  <c r="AD39" i="3"/>
  <c r="AD37" i="3"/>
  <c r="AD35" i="3"/>
  <c r="AD33" i="3"/>
  <c r="AD31" i="3"/>
  <c r="AD29" i="3"/>
  <c r="AD25" i="3"/>
  <c r="AD23" i="3"/>
  <c r="AD21" i="3"/>
  <c r="AD16" i="3"/>
  <c r="AD14" i="3"/>
  <c r="AD12" i="3"/>
  <c r="AD8" i="3"/>
  <c r="Y34" i="3"/>
  <c r="Y37" i="3"/>
  <c r="Y39" i="3"/>
  <c r="Y18" i="3"/>
  <c r="Y31" i="3"/>
  <c r="Y40" i="3"/>
  <c r="Y16" i="3"/>
  <c r="Y8" i="3"/>
  <c r="Y30" i="3"/>
  <c r="Y15" i="3"/>
  <c r="Y21" i="3"/>
  <c r="Y24" i="3"/>
  <c r="Y12" i="3"/>
  <c r="Y14" i="3"/>
  <c r="Y35" i="3"/>
  <c r="Y20" i="3"/>
  <c r="S10" i="3"/>
  <c r="R10" i="3"/>
  <c r="M10" i="3"/>
  <c r="U10" i="3"/>
  <c r="V10" i="3"/>
  <c r="W10" i="3"/>
  <c r="X10" i="3"/>
  <c r="W165" i="1" l="1"/>
  <c r="U208" i="1"/>
  <c r="S208" i="1" s="1"/>
  <c r="AI16" i="1"/>
  <c r="W14" i="1"/>
  <c r="U141" i="1"/>
  <c r="S141" i="1" s="1"/>
  <c r="AI168" i="1"/>
  <c r="U231" i="1"/>
  <c r="S231" i="1" s="1"/>
  <c r="U182" i="1"/>
  <c r="S182" i="1" s="1"/>
  <c r="W41" i="1"/>
  <c r="W30" i="1"/>
  <c r="W161" i="1"/>
  <c r="W22" i="1"/>
  <c r="W29" i="1"/>
  <c r="W182" i="1"/>
  <c r="W73" i="1"/>
  <c r="U161" i="1"/>
  <c r="S161" i="1" s="1"/>
  <c r="W56" i="1"/>
  <c r="AI41" i="1"/>
  <c r="AI15" i="1"/>
  <c r="W32" i="1"/>
  <c r="W65" i="1"/>
  <c r="W103" i="1"/>
  <c r="U128" i="1"/>
  <c r="S128" i="1" s="1"/>
  <c r="W196" i="1"/>
  <c r="AI200" i="1"/>
  <c r="W139" i="1"/>
  <c r="W25" i="1"/>
  <c r="W207" i="1"/>
  <c r="W223" i="1"/>
  <c r="W16" i="1"/>
  <c r="W146" i="1"/>
  <c r="U123" i="1"/>
  <c r="S123" i="1" s="1"/>
  <c r="U146" i="1"/>
  <c r="S146" i="1" s="1"/>
  <c r="W66" i="1"/>
  <c r="W126" i="1"/>
  <c r="U197" i="1"/>
  <c r="S197" i="1" s="1"/>
  <c r="AI28" i="1"/>
  <c r="W28" i="1"/>
  <c r="W15" i="1"/>
  <c r="W61" i="1"/>
  <c r="W234" i="1"/>
  <c r="U200" i="1"/>
  <c r="S200" i="1" s="1"/>
  <c r="AI201" i="1"/>
  <c r="U18" i="1"/>
  <c r="S18" i="1" s="1"/>
  <c r="W21" i="1"/>
  <c r="U38" i="1"/>
  <c r="S38" i="1" s="1"/>
  <c r="U62" i="1"/>
  <c r="S62" i="1" s="1"/>
  <c r="W109" i="1"/>
  <c r="W201" i="1"/>
  <c r="W62" i="1"/>
  <c r="W107" i="1"/>
  <c r="W46" i="1"/>
  <c r="W123" i="1"/>
  <c r="U134" i="1"/>
  <c r="S134" i="1" s="1"/>
  <c r="U142" i="1"/>
  <c r="S142" i="1" s="1"/>
  <c r="W38" i="1"/>
  <c r="W49" i="1"/>
  <c r="U105" i="1"/>
  <c r="S105" i="1" s="1"/>
  <c r="AI21" i="1"/>
  <c r="W35" i="1"/>
  <c r="U140" i="1"/>
  <c r="S140" i="1" s="1"/>
  <c r="W209" i="1"/>
  <c r="W128" i="1"/>
  <c r="U174" i="1"/>
  <c r="S174" i="1" s="1"/>
  <c r="W105" i="1"/>
  <c r="U209" i="1"/>
  <c r="S209" i="1" s="1"/>
  <c r="AI193" i="1"/>
  <c r="W23" i="1"/>
  <c r="W36" i="1"/>
  <c r="W122" i="1"/>
  <c r="U56" i="1"/>
  <c r="S56" i="1" s="1"/>
  <c r="W76" i="1"/>
  <c r="U110" i="1"/>
  <c r="S110" i="1" s="1"/>
  <c r="W133" i="1"/>
  <c r="U59" i="1"/>
  <c r="S59" i="1" s="1"/>
  <c r="W115" i="1"/>
  <c r="W132" i="1"/>
  <c r="AI49" i="1"/>
  <c r="W19" i="1"/>
  <c r="U29" i="1"/>
  <c r="S29" i="1" s="1"/>
  <c r="AI59" i="1"/>
  <c r="W86" i="1"/>
  <c r="W87" i="1"/>
  <c r="AI113" i="1"/>
  <c r="U87" i="1"/>
  <c r="S87" i="1" s="1"/>
  <c r="AI136" i="1"/>
  <c r="U130" i="1"/>
  <c r="S130" i="1" s="1"/>
  <c r="AI221" i="1"/>
  <c r="U214" i="1"/>
  <c r="S214" i="1" s="1"/>
  <c r="W199" i="1"/>
  <c r="W112" i="1"/>
  <c r="W136" i="1"/>
  <c r="W142" i="1"/>
  <c r="AI110" i="1"/>
  <c r="U126" i="1"/>
  <c r="S126" i="1" s="1"/>
  <c r="AI123" i="1"/>
  <c r="W130" i="1"/>
  <c r="U90" i="1"/>
  <c r="S90" i="1" s="1"/>
  <c r="W113" i="1"/>
  <c r="U215" i="1"/>
  <c r="S215" i="1" s="1"/>
  <c r="W90" i="1"/>
  <c r="AI46" i="1"/>
  <c r="W214" i="1"/>
  <c r="W169" i="1"/>
  <c r="W177" i="1"/>
  <c r="U48" i="1"/>
  <c r="S48" i="1" s="1"/>
  <c r="U111" i="1"/>
  <c r="W111" i="1"/>
  <c r="W96" i="1"/>
  <c r="U67" i="1"/>
  <c r="S67" i="1" s="1"/>
  <c r="W18" i="1"/>
  <c r="U55" i="1"/>
  <c r="S55" i="1" s="1"/>
  <c r="U33" i="1"/>
  <c r="S33" i="1" s="1"/>
  <c r="U80" i="1"/>
  <c r="S80" i="1" s="1"/>
  <c r="U58" i="1"/>
  <c r="S58" i="1" s="1"/>
  <c r="W208" i="1"/>
  <c r="W174" i="1"/>
  <c r="U102" i="1"/>
  <c r="S102" i="1" s="1"/>
  <c r="U118" i="1"/>
  <c r="S118" i="1" s="1"/>
  <c r="W193" i="1"/>
  <c r="U93" i="1"/>
  <c r="S93" i="1" s="1"/>
  <c r="W134" i="1"/>
  <c r="W205" i="1"/>
  <c r="W210" i="1"/>
  <c r="W164" i="1"/>
  <c r="W20" i="1"/>
  <c r="U122" i="1"/>
  <c r="S122" i="1" s="1"/>
  <c r="U50" i="1"/>
  <c r="S50" i="1" s="1"/>
  <c r="AI50" i="1"/>
  <c r="U114" i="1"/>
  <c r="S114" i="1" s="1"/>
  <c r="U60" i="1"/>
  <c r="S60" i="1" s="1"/>
  <c r="AI60" i="1"/>
  <c r="U138" i="1"/>
  <c r="S138" i="1" s="1"/>
  <c r="AI138" i="1"/>
  <c r="W138" i="1"/>
  <c r="AI178" i="1"/>
  <c r="W218" i="1"/>
  <c r="W33" i="1"/>
  <c r="W55" i="1"/>
  <c r="W67" i="1"/>
  <c r="W110" i="1"/>
  <c r="U76" i="1"/>
  <c r="S76" i="1" s="1"/>
  <c r="U97" i="1"/>
  <c r="S97" i="1" s="1"/>
  <c r="U36" i="1"/>
  <c r="S36" i="1" s="1"/>
  <c r="U44" i="1"/>
  <c r="S44" i="1" s="1"/>
  <c r="AI217" i="1"/>
  <c r="W225" i="1"/>
  <c r="W222" i="1"/>
  <c r="W63" i="1"/>
  <c r="U24" i="1"/>
  <c r="S24" i="1" s="1"/>
  <c r="U34" i="1"/>
  <c r="S34" i="1" s="1"/>
  <c r="AI34" i="1"/>
  <c r="U115" i="1"/>
  <c r="S115" i="1" s="1"/>
  <c r="AI115" i="1"/>
  <c r="W50" i="1"/>
  <c r="W60" i="1"/>
  <c r="U228" i="1"/>
  <c r="S228" i="1" s="1"/>
  <c r="U42" i="1"/>
  <c r="S42" i="1" s="1"/>
  <c r="AI42" i="1"/>
  <c r="U107" i="1"/>
  <c r="S107" i="1" s="1"/>
  <c r="AI107" i="1"/>
  <c r="U95" i="1"/>
  <c r="AI95" i="1"/>
  <c r="W95" i="1"/>
  <c r="AI108" i="1"/>
  <c r="U108" i="1"/>
  <c r="S108" i="1" s="1"/>
  <c r="AI124" i="1"/>
  <c r="U124" i="1"/>
  <c r="S124" i="1" s="1"/>
  <c r="U167" i="1"/>
  <c r="S167" i="1" s="1"/>
  <c r="W167" i="1"/>
  <c r="AI180" i="1"/>
  <c r="AI192" i="1"/>
  <c r="U179" i="1"/>
  <c r="S179" i="1" s="1"/>
  <c r="AI78" i="1"/>
  <c r="U78" i="1"/>
  <c r="S78" i="1" s="1"/>
  <c r="U99" i="1"/>
  <c r="S99" i="1" s="1"/>
  <c r="AI99" i="1"/>
  <c r="AI92" i="1"/>
  <c r="U92" i="1"/>
  <c r="S92" i="1" s="1"/>
  <c r="AI120" i="1"/>
  <c r="U120" i="1"/>
  <c r="S120" i="1" s="1"/>
  <c r="AI104" i="1"/>
  <c r="U104" i="1"/>
  <c r="S104" i="1" s="1"/>
  <c r="W124" i="1"/>
  <c r="AI131" i="1"/>
  <c r="U131" i="1"/>
  <c r="S131" i="1" s="1"/>
  <c r="U226" i="1"/>
  <c r="S226" i="1" s="1"/>
  <c r="AI169" i="1"/>
  <c r="W226" i="1"/>
  <c r="U171" i="1"/>
  <c r="S171" i="1" s="1"/>
  <c r="AI184" i="1"/>
  <c r="W171" i="1"/>
  <c r="AI143" i="1"/>
  <c r="U143" i="1"/>
  <c r="S143" i="1" s="1"/>
  <c r="AI181" i="1"/>
  <c r="U168" i="1"/>
  <c r="S168" i="1" s="1"/>
  <c r="AI228" i="1"/>
  <c r="U238" i="1"/>
  <c r="S238" i="1" s="1"/>
  <c r="AI170" i="1"/>
  <c r="U227" i="1"/>
  <c r="S227" i="1" s="1"/>
  <c r="AI235" i="1"/>
  <c r="U222" i="1"/>
  <c r="S222" i="1" s="1"/>
  <c r="W238" i="1"/>
  <c r="W179" i="1"/>
  <c r="AI212" i="1"/>
  <c r="U192" i="1"/>
  <c r="S192" i="1" s="1"/>
  <c r="U51" i="1"/>
  <c r="S51" i="1" s="1"/>
  <c r="AI51" i="1"/>
  <c r="W51" i="1"/>
  <c r="AI43" i="1"/>
  <c r="U43" i="1"/>
  <c r="S43" i="1" s="1"/>
  <c r="AI31" i="1"/>
  <c r="U31" i="1"/>
  <c r="S31" i="1" s="1"/>
  <c r="W31" i="1"/>
  <c r="U86" i="1"/>
  <c r="S86" i="1" s="1"/>
  <c r="AI86" i="1"/>
  <c r="W108" i="1"/>
  <c r="W99" i="1"/>
  <c r="AI135" i="1"/>
  <c r="U135" i="1"/>
  <c r="S135" i="1" s="1"/>
  <c r="W135" i="1"/>
  <c r="U230" i="1"/>
  <c r="S230" i="1" s="1"/>
  <c r="AI173" i="1"/>
  <c r="W230" i="1"/>
  <c r="U175" i="1"/>
  <c r="S175" i="1" s="1"/>
  <c r="AI187" i="1"/>
  <c r="W175" i="1"/>
  <c r="AI127" i="1"/>
  <c r="U127" i="1"/>
  <c r="S127" i="1" s="1"/>
  <c r="AI147" i="1"/>
  <c r="U147" i="1"/>
  <c r="S147" i="1" s="1"/>
  <c r="U184" i="1"/>
  <c r="S184" i="1" s="1"/>
  <c r="AI203" i="1"/>
  <c r="W184" i="1"/>
  <c r="U203" i="1"/>
  <c r="S203" i="1" s="1"/>
  <c r="AI223" i="1"/>
  <c r="W203" i="1"/>
  <c r="AI166" i="1"/>
  <c r="U213" i="1"/>
  <c r="S213" i="1" s="1"/>
  <c r="U217" i="1"/>
  <c r="S217" i="1" s="1"/>
  <c r="AI230" i="1"/>
  <c r="W213" i="1"/>
  <c r="U172" i="1"/>
  <c r="S172" i="1" s="1"/>
  <c r="U225" i="1"/>
  <c r="S225" i="1" s="1"/>
  <c r="AI238" i="1"/>
  <c r="AI174" i="1"/>
  <c r="U160" i="1"/>
  <c r="S160" i="1" s="1"/>
  <c r="W172" i="1"/>
  <c r="AI188" i="1"/>
  <c r="U176" i="1"/>
  <c r="S176" i="1" s="1"/>
  <c r="W192" i="1"/>
  <c r="AI47" i="1"/>
  <c r="U47" i="1"/>
  <c r="S47" i="1" s="1"/>
  <c r="AI74" i="1"/>
  <c r="U74" i="1"/>
  <c r="S74" i="1" s="1"/>
  <c r="AI116" i="1"/>
  <c r="U116" i="1"/>
  <c r="S116" i="1" s="1"/>
  <c r="U212" i="1"/>
  <c r="S212" i="1" s="1"/>
  <c r="W212" i="1"/>
  <c r="AI165" i="1"/>
  <c r="U233" i="1"/>
  <c r="S233" i="1" s="1"/>
  <c r="W233" i="1"/>
  <c r="AI195" i="1"/>
  <c r="U187" i="1"/>
  <c r="S187" i="1" s="1"/>
  <c r="W187" i="1"/>
  <c r="AI207" i="1"/>
  <c r="AI196" i="1"/>
  <c r="U234" i="1"/>
  <c r="S234" i="1" s="1"/>
  <c r="U180" i="1"/>
  <c r="S180" i="1" s="1"/>
  <c r="AI199" i="1"/>
  <c r="W180" i="1"/>
  <c r="U199" i="1"/>
  <c r="S199" i="1" s="1"/>
  <c r="AI219" i="1"/>
  <c r="U221" i="1"/>
  <c r="S221" i="1" s="1"/>
  <c r="AI234" i="1"/>
  <c r="AI224" i="1"/>
  <c r="U204" i="1"/>
  <c r="S204" i="1" s="1"/>
  <c r="W47" i="1"/>
  <c r="AI23" i="1"/>
  <c r="U23" i="1"/>
  <c r="S23" i="1" s="1"/>
  <c r="AI39" i="1"/>
  <c r="U39" i="1"/>
  <c r="S39" i="1" s="1"/>
  <c r="AI82" i="1"/>
  <c r="U82" i="1"/>
  <c r="S82" i="1" s="1"/>
  <c r="U103" i="1"/>
  <c r="S103" i="1" s="1"/>
  <c r="AI103" i="1"/>
  <c r="AI27" i="1"/>
  <c r="U27" i="1"/>
  <c r="S27" i="1" s="1"/>
  <c r="AI14" i="1"/>
  <c r="U14" i="1"/>
  <c r="S14" i="1" s="1"/>
  <c r="AI19" i="1"/>
  <c r="U19" i="1"/>
  <c r="S19" i="1" s="1"/>
  <c r="AI35" i="1"/>
  <c r="U35" i="1"/>
  <c r="S35" i="1" s="1"/>
  <c r="W43" i="1"/>
  <c r="AI53" i="1"/>
  <c r="U53" i="1"/>
  <c r="S53" i="1" s="1"/>
  <c r="AI57" i="1"/>
  <c r="U57" i="1"/>
  <c r="S57" i="1" s="1"/>
  <c r="AI61" i="1"/>
  <c r="U61" i="1"/>
  <c r="S61" i="1" s="1"/>
  <c r="AI65" i="1"/>
  <c r="U65" i="1"/>
  <c r="S65" i="1" s="1"/>
  <c r="AI69" i="1"/>
  <c r="U69" i="1"/>
  <c r="S69" i="1" s="1"/>
  <c r="W69" i="1"/>
  <c r="W82" i="1"/>
  <c r="U83" i="1"/>
  <c r="S83" i="1" s="1"/>
  <c r="AI83" i="1"/>
  <c r="W57" i="1"/>
  <c r="AI100" i="1"/>
  <c r="U100" i="1"/>
  <c r="S100" i="1" s="1"/>
  <c r="AI112" i="1"/>
  <c r="U112" i="1"/>
  <c r="U89" i="1"/>
  <c r="S89" i="1" s="1"/>
  <c r="AI89" i="1"/>
  <c r="W120" i="1"/>
  <c r="AI96" i="1"/>
  <c r="U96" i="1"/>
  <c r="W104" i="1"/>
  <c r="AI163" i="1"/>
  <c r="U210" i="1"/>
  <c r="S210" i="1" s="1"/>
  <c r="U163" i="1"/>
  <c r="S163" i="1" s="1"/>
  <c r="U178" i="1"/>
  <c r="S178" i="1" s="1"/>
  <c r="AI191" i="1"/>
  <c r="W131" i="1"/>
  <c r="AI152" i="1"/>
  <c r="U152" i="1"/>
  <c r="S152" i="1" s="1"/>
  <c r="W127" i="1"/>
  <c r="W147" i="1"/>
  <c r="W160" i="1"/>
  <c r="AI177" i="1"/>
  <c r="U164" i="1"/>
  <c r="S164" i="1" s="1"/>
  <c r="AI216" i="1"/>
  <c r="U196" i="1"/>
  <c r="S196" i="1" s="1"/>
  <c r="W204" i="1"/>
  <c r="W143" i="1"/>
  <c r="AI215" i="1"/>
  <c r="U195" i="1"/>
  <c r="S195" i="1" s="1"/>
  <c r="W53" i="1"/>
  <c r="W152" i="1"/>
  <c r="W227" i="1"/>
  <c r="AI204" i="1"/>
  <c r="AI208" i="1"/>
  <c r="U188" i="1"/>
  <c r="S188" i="1" s="1"/>
  <c r="AI231" i="1"/>
  <c r="U218" i="1"/>
  <c r="S218" i="1" s="1"/>
  <c r="AI139" i="1"/>
  <c r="U139" i="1"/>
  <c r="S139" i="1" s="1"/>
  <c r="W78" i="1"/>
  <c r="W195" i="1"/>
  <c r="W163" i="1"/>
  <c r="T10" i="3"/>
  <c r="AD10" i="3"/>
  <c r="AC10" i="3"/>
  <c r="Y10" i="3"/>
  <c r="S111" i="1" l="1"/>
  <c r="S95" i="1"/>
  <c r="AD7" i="3"/>
  <c r="B6" i="6" l="1"/>
  <c r="F6" i="6" s="1"/>
  <c r="K6" i="6"/>
  <c r="B7" i="6"/>
  <c r="F7" i="6" s="1"/>
  <c r="K7" i="6"/>
  <c r="B8" i="6"/>
  <c r="G8" i="6" s="1"/>
  <c r="K8" i="6"/>
  <c r="B9" i="6"/>
  <c r="F9" i="6" s="1"/>
  <c r="K9" i="6"/>
  <c r="B10" i="6"/>
  <c r="F10" i="6" s="1"/>
  <c r="K10" i="6"/>
  <c r="B11" i="6"/>
  <c r="F11" i="6" s="1"/>
  <c r="K11" i="6"/>
  <c r="B12" i="6"/>
  <c r="G12" i="6" s="1"/>
  <c r="K12" i="6"/>
  <c r="B13" i="6"/>
  <c r="K13" i="6"/>
  <c r="B14" i="6"/>
  <c r="F14" i="6" s="1"/>
  <c r="K14" i="6"/>
  <c r="B15" i="6"/>
  <c r="F15" i="6" s="1"/>
  <c r="K15" i="6"/>
  <c r="B16" i="6"/>
  <c r="G16" i="6" s="1"/>
  <c r="K16" i="6"/>
  <c r="B17" i="6"/>
  <c r="F17" i="6" s="1"/>
  <c r="K17" i="6"/>
  <c r="B18" i="6"/>
  <c r="F18" i="6" s="1"/>
  <c r="K18" i="6"/>
  <c r="I9" i="6" l="1"/>
  <c r="F12" i="6"/>
  <c r="G6" i="6"/>
  <c r="F13" i="6"/>
  <c r="I13" i="6"/>
  <c r="G10" i="6"/>
  <c r="F16" i="6"/>
  <c r="I17" i="6"/>
  <c r="G14" i="6"/>
  <c r="G18" i="6"/>
  <c r="F8" i="6"/>
  <c r="H17" i="6"/>
  <c r="H13" i="6"/>
  <c r="H9" i="6"/>
  <c r="I18" i="6"/>
  <c r="G17" i="6"/>
  <c r="J16" i="6"/>
  <c r="I14" i="6"/>
  <c r="G13" i="6"/>
  <c r="J12" i="6"/>
  <c r="I10" i="6"/>
  <c r="G9" i="6"/>
  <c r="J8" i="6"/>
  <c r="I6" i="6"/>
  <c r="H18" i="6"/>
  <c r="J17" i="6"/>
  <c r="I16" i="6"/>
  <c r="I15" i="6"/>
  <c r="H14" i="6"/>
  <c r="J13" i="6"/>
  <c r="I12" i="6"/>
  <c r="I11" i="6"/>
  <c r="H10" i="6"/>
  <c r="J9" i="6"/>
  <c r="I8" i="6"/>
  <c r="I7" i="6"/>
  <c r="H6" i="6"/>
  <c r="H15" i="6"/>
  <c r="H11" i="6"/>
  <c r="H7" i="6"/>
  <c r="J18" i="6"/>
  <c r="H16" i="6"/>
  <c r="G15" i="6"/>
  <c r="J14" i="6"/>
  <c r="H12" i="6"/>
  <c r="G11" i="6"/>
  <c r="J10" i="6"/>
  <c r="H8" i="6"/>
  <c r="G7" i="6"/>
  <c r="J6" i="6"/>
  <c r="J15" i="6"/>
  <c r="J11" i="6"/>
  <c r="J7" i="6"/>
  <c r="B86" i="9" l="1"/>
  <c r="B87" i="9"/>
  <c r="B88" i="9"/>
  <c r="B89" i="9"/>
  <c r="C90" i="9" s="1"/>
  <c r="B90" i="9"/>
  <c r="B91" i="9"/>
  <c r="C91" i="9"/>
  <c r="B92" i="9"/>
  <c r="B93" i="9"/>
  <c r="B94" i="9"/>
  <c r="B95" i="9"/>
  <c r="B96" i="9"/>
  <c r="B97" i="9"/>
  <c r="C97" i="9" s="1"/>
  <c r="B98" i="9"/>
  <c r="B99" i="9"/>
  <c r="B100" i="9"/>
  <c r="B101" i="9"/>
  <c r="B102" i="9"/>
  <c r="B103" i="9"/>
  <c r="B104" i="9"/>
  <c r="B105" i="9"/>
  <c r="B106" i="9"/>
  <c r="B107" i="9"/>
  <c r="C107" i="9" s="1"/>
  <c r="B108" i="9"/>
  <c r="B109" i="9"/>
  <c r="B110" i="9"/>
  <c r="B111" i="9"/>
  <c r="C96" i="9" l="1"/>
  <c r="C106" i="9"/>
  <c r="C99" i="9"/>
  <c r="C101" i="9"/>
  <c r="C104" i="9"/>
  <c r="C98" i="9"/>
  <c r="C88" i="9"/>
  <c r="C109" i="9"/>
  <c r="C105" i="9"/>
  <c r="C93" i="9"/>
  <c r="C89" i="9"/>
  <c r="C108" i="9"/>
  <c r="C100" i="9"/>
  <c r="C92" i="9"/>
  <c r="C111" i="9"/>
  <c r="C110" i="9"/>
  <c r="C103" i="9"/>
  <c r="C102" i="9"/>
  <c r="C95" i="9"/>
  <c r="C94" i="9"/>
  <c r="C87" i="9"/>
  <c r="B3" i="6" l="1"/>
  <c r="G3" i="6" s="1"/>
  <c r="K3" i="6"/>
  <c r="B4" i="6"/>
  <c r="H4" i="6" s="1"/>
  <c r="K4" i="6"/>
  <c r="B5" i="6"/>
  <c r="G5" i="6" s="1"/>
  <c r="K5" i="6"/>
  <c r="J4" i="6" l="1"/>
  <c r="I5" i="6"/>
  <c r="J5" i="6"/>
  <c r="F4" i="6"/>
  <c r="F5" i="6"/>
  <c r="I4" i="6"/>
  <c r="G4" i="6"/>
  <c r="J3" i="6"/>
  <c r="H5" i="6"/>
  <c r="I3" i="6"/>
  <c r="F3" i="6"/>
  <c r="B81" i="9"/>
  <c r="B82" i="9"/>
  <c r="B83" i="9"/>
  <c r="B84" i="9"/>
  <c r="B85" i="9"/>
  <c r="C86" i="9" s="1"/>
  <c r="C83" i="9" l="1"/>
  <c r="C85" i="9"/>
  <c r="C84" i="9"/>
  <c r="C82" i="9"/>
  <c r="B53" i="9" l="1"/>
  <c r="B54" i="9"/>
  <c r="B55" i="9"/>
  <c r="B56" i="9"/>
  <c r="C56" i="9" s="1"/>
  <c r="B57" i="9"/>
  <c r="B58" i="9"/>
  <c r="B59" i="9"/>
  <c r="B60" i="9"/>
  <c r="C60" i="9" s="1"/>
  <c r="B61" i="9"/>
  <c r="B62" i="9"/>
  <c r="B63" i="9"/>
  <c r="B64" i="9"/>
  <c r="C64" i="9" s="1"/>
  <c r="B65" i="9"/>
  <c r="B66" i="9"/>
  <c r="B67" i="9"/>
  <c r="B68" i="9"/>
  <c r="C68" i="9" s="1"/>
  <c r="B69" i="9"/>
  <c r="B70" i="9"/>
  <c r="B71" i="9"/>
  <c r="B72" i="9"/>
  <c r="C72" i="9" s="1"/>
  <c r="B73" i="9"/>
  <c r="B74" i="9"/>
  <c r="B75" i="9"/>
  <c r="B76" i="9"/>
  <c r="C76" i="9" s="1"/>
  <c r="B77" i="9"/>
  <c r="B78" i="9"/>
  <c r="B79" i="9"/>
  <c r="B80" i="9"/>
  <c r="C78" i="9" l="1"/>
  <c r="C74" i="9"/>
  <c r="C70" i="9"/>
  <c r="C66" i="9"/>
  <c r="C62" i="9"/>
  <c r="C58" i="9"/>
  <c r="C80" i="9"/>
  <c r="C81" i="9"/>
  <c r="C79" i="9"/>
  <c r="C75" i="9"/>
  <c r="C71" i="9"/>
  <c r="C67" i="9"/>
  <c r="C63" i="9"/>
  <c r="C59" i="9"/>
  <c r="C55" i="9"/>
  <c r="C54" i="9"/>
  <c r="C77" i="9"/>
  <c r="C73" i="9"/>
  <c r="C69" i="9"/>
  <c r="C65" i="9"/>
  <c r="C61" i="9"/>
  <c r="C57" i="9"/>
  <c r="G3" i="4" l="1"/>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 i="4"/>
  <c r="N33" i="3" l="1"/>
  <c r="N29" i="3"/>
  <c r="N19" i="3"/>
  <c r="N39" i="3"/>
  <c r="N38" i="3"/>
  <c r="N40" i="3"/>
  <c r="N16" i="3"/>
  <c r="N30" i="3"/>
  <c r="N25" i="3"/>
  <c r="N21" i="3"/>
  <c r="N27" i="3"/>
  <c r="N22" i="3"/>
  <c r="N7" i="3"/>
  <c r="N17" i="3"/>
  <c r="N12" i="3"/>
  <c r="N23" i="3"/>
  <c r="N13" i="3"/>
  <c r="N24" i="3"/>
  <c r="N35" i="3"/>
  <c r="N11" i="3"/>
  <c r="N37" i="3"/>
  <c r="N18" i="3"/>
  <c r="N15" i="3"/>
  <c r="N20" i="3"/>
  <c r="N36" i="3"/>
  <c r="N14" i="3"/>
  <c r="N34" i="3"/>
  <c r="N31" i="3"/>
  <c r="N32" i="3"/>
  <c r="N26" i="3"/>
  <c r="N9" i="3"/>
  <c r="N8" i="3"/>
  <c r="N28" i="3"/>
  <c r="N10" i="3"/>
  <c r="H3" i="6"/>
  <c r="L13" i="1"/>
  <c r="B2" i="9" l="1"/>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C53" i="9" s="1"/>
  <c r="K13" i="1" l="1"/>
  <c r="M13" i="1"/>
  <c r="N13" i="1" s="1"/>
  <c r="V13" i="1"/>
  <c r="Y13" i="1"/>
  <c r="Z13" i="1"/>
  <c r="AB13" i="1"/>
  <c r="AC13" i="1"/>
  <c r="AD13" i="1"/>
  <c r="X14" i="1" s="1"/>
  <c r="AE13" i="1"/>
  <c r="T13" i="1" l="1"/>
  <c r="X13" i="1"/>
  <c r="AA13" i="1"/>
  <c r="AG13" i="1"/>
  <c r="C26" i="9"/>
  <c r="C50" i="9"/>
  <c r="C48" i="9"/>
  <c r="B1" i="9"/>
  <c r="C1" i="9" s="1"/>
  <c r="C4" i="9"/>
  <c r="C7" i="9"/>
  <c r="C24" i="9"/>
  <c r="C33" i="9"/>
  <c r="C45" i="9"/>
  <c r="C44" i="9"/>
  <c r="C42" i="9"/>
  <c r="C51" i="9"/>
  <c r="C10" i="9"/>
  <c r="C46" i="9"/>
  <c r="C15" i="9"/>
  <c r="C30" i="9"/>
  <c r="C16" i="9"/>
  <c r="C29" i="9"/>
  <c r="C12" i="9"/>
  <c r="C37" i="9"/>
  <c r="C36" i="9"/>
  <c r="C39" i="9"/>
  <c r="C13" i="9"/>
  <c r="C25" i="9" l="1"/>
  <c r="C19" i="9"/>
  <c r="C22" i="9"/>
  <c r="C17" i="9"/>
  <c r="C18" i="9"/>
  <c r="C20" i="9"/>
  <c r="C34" i="9"/>
  <c r="C52" i="9"/>
  <c r="C8" i="9"/>
  <c r="C9" i="9"/>
  <c r="C38" i="9"/>
  <c r="C47" i="9"/>
  <c r="C31" i="9"/>
  <c r="C32" i="9"/>
  <c r="C5" i="9"/>
  <c r="C6" i="9"/>
  <c r="C27" i="9"/>
  <c r="C35" i="9"/>
  <c r="C14" i="9"/>
  <c r="C28" i="9"/>
  <c r="C11" i="9"/>
  <c r="C40" i="9"/>
  <c r="C41" i="9"/>
  <c r="C43" i="9"/>
  <c r="C2" i="9"/>
  <c r="C3" i="9"/>
  <c r="C49" i="9"/>
  <c r="C21" i="9"/>
  <c r="C23" i="9"/>
  <c r="W13" i="1"/>
  <c r="AI13" i="1"/>
  <c r="M30" i="5" l="1"/>
  <c r="M29" i="5"/>
  <c r="M27" i="5"/>
  <c r="M26" i="5" l="1"/>
  <c r="AH13" i="1" l="1"/>
  <c r="J7" i="1"/>
  <c r="X6" i="1" l="1"/>
  <c r="W6" i="1"/>
  <c r="V6" i="1"/>
  <c r="S6" i="1"/>
  <c r="R2" i="1"/>
  <c r="I2" i="1"/>
  <c r="O6" i="1"/>
  <c r="N6" i="1"/>
  <c r="M6" i="1"/>
  <c r="J6" i="1"/>
  <c r="P3" i="5" l="1"/>
  <c r="M18" i="5" l="1"/>
  <c r="AF13" i="1" l="1"/>
  <c r="F282" i="4"/>
  <c r="G282" i="4" s="1"/>
  <c r="F283" i="4"/>
  <c r="G283" i="4" s="1"/>
  <c r="F284" i="4"/>
  <c r="G284" i="4" s="1"/>
  <c r="F285" i="4"/>
  <c r="G285" i="4" s="1"/>
  <c r="F286" i="4"/>
  <c r="G286" i="4" s="1"/>
  <c r="F287" i="4"/>
  <c r="G287" i="4" s="1"/>
  <c r="F288" i="4"/>
  <c r="G288" i="4" s="1"/>
  <c r="F289" i="4"/>
  <c r="G289" i="4" s="1"/>
  <c r="F290" i="4"/>
  <c r="G290" i="4" s="1"/>
  <c r="F291" i="4"/>
  <c r="G291" i="4" s="1"/>
  <c r="F292" i="4"/>
  <c r="G292" i="4" s="1"/>
  <c r="F293" i="4"/>
  <c r="G293" i="4" s="1"/>
  <c r="F294" i="4"/>
  <c r="G294" i="4" s="1"/>
  <c r="F295" i="4"/>
  <c r="G295" i="4" s="1"/>
  <c r="F296" i="4"/>
  <c r="G296" i="4" s="1"/>
  <c r="F297" i="4"/>
  <c r="G297" i="4" s="1"/>
  <c r="F298" i="4"/>
  <c r="G298" i="4" s="1"/>
  <c r="F299" i="4"/>
  <c r="G299" i="4" s="1"/>
  <c r="F300" i="4"/>
  <c r="G300" i="4" s="1"/>
  <c r="F301" i="4"/>
  <c r="G301" i="4" s="1"/>
  <c r="F302" i="4"/>
  <c r="G302" i="4" s="1"/>
  <c r="F303" i="4"/>
  <c r="G303" i="4" s="1"/>
  <c r="F304" i="4"/>
  <c r="G304" i="4" s="1"/>
  <c r="F305" i="4"/>
  <c r="G305" i="4" s="1"/>
  <c r="F306" i="4"/>
  <c r="G306" i="4" s="1"/>
  <c r="F307" i="4"/>
  <c r="G307" i="4" s="1"/>
  <c r="F308" i="4"/>
  <c r="G308" i="4" s="1"/>
  <c r="F309" i="4"/>
  <c r="G309" i="4" s="1"/>
  <c r="F310" i="4"/>
  <c r="G310" i="4" s="1"/>
  <c r="F311" i="4"/>
  <c r="G311" i="4" s="1"/>
  <c r="F312" i="4"/>
  <c r="G312" i="4" s="1"/>
  <c r="F313" i="4"/>
  <c r="G313" i="4" s="1"/>
  <c r="F314" i="4"/>
  <c r="G314" i="4" s="1"/>
  <c r="F315" i="4"/>
  <c r="G315" i="4" s="1"/>
  <c r="F316" i="4"/>
  <c r="G316" i="4" s="1"/>
  <c r="F317" i="4"/>
  <c r="G317" i="4" s="1"/>
  <c r="F318" i="4"/>
  <c r="G318" i="4" s="1"/>
  <c r="F319" i="4"/>
  <c r="G319" i="4" s="1"/>
  <c r="F320" i="4"/>
  <c r="G320" i="4" s="1"/>
  <c r="F321" i="4"/>
  <c r="G321" i="4" s="1"/>
  <c r="F322" i="4"/>
  <c r="G322" i="4" s="1"/>
  <c r="F323" i="4"/>
  <c r="G323" i="4" s="1"/>
  <c r="F324" i="4"/>
  <c r="G324" i="4" s="1"/>
  <c r="F325" i="4"/>
  <c r="G325" i="4" s="1"/>
  <c r="F326" i="4"/>
  <c r="G326" i="4" s="1"/>
  <c r="F327" i="4"/>
  <c r="G327" i="4" s="1"/>
  <c r="F328" i="4"/>
  <c r="G328" i="4" s="1"/>
  <c r="F329" i="4"/>
  <c r="G329" i="4" s="1"/>
  <c r="F330" i="4"/>
  <c r="G330" i="4" s="1"/>
  <c r="F331" i="4"/>
  <c r="G331" i="4" s="1"/>
  <c r="F332" i="4"/>
  <c r="G332" i="4" s="1"/>
  <c r="F333" i="4"/>
  <c r="G333" i="4" s="1"/>
  <c r="F334" i="4"/>
  <c r="G334" i="4" s="1"/>
  <c r="F335" i="4"/>
  <c r="G335" i="4" s="1"/>
  <c r="F336" i="4"/>
  <c r="G336" i="4" s="1"/>
  <c r="F337" i="4"/>
  <c r="G337" i="4" s="1"/>
  <c r="F338" i="4"/>
  <c r="G338" i="4" s="1"/>
  <c r="F339" i="4"/>
  <c r="G339" i="4" s="1"/>
  <c r="F340" i="4"/>
  <c r="G340" i="4" s="1"/>
  <c r="F341" i="4"/>
  <c r="G341" i="4" s="1"/>
  <c r="F342" i="4"/>
  <c r="G342" i="4" s="1"/>
  <c r="F343" i="4"/>
  <c r="G343" i="4" s="1"/>
  <c r="F344" i="4"/>
  <c r="G344" i="4" s="1"/>
  <c r="F345" i="4"/>
  <c r="G345" i="4" s="1"/>
  <c r="F346" i="4"/>
  <c r="G346" i="4" s="1"/>
  <c r="F347" i="4"/>
  <c r="G347" i="4" s="1"/>
  <c r="F348" i="4"/>
  <c r="G348" i="4" s="1"/>
  <c r="F349" i="4"/>
  <c r="G349" i="4" s="1"/>
  <c r="F350" i="4"/>
  <c r="G350" i="4" s="1"/>
  <c r="F351" i="4"/>
  <c r="G351" i="4" s="1"/>
  <c r="F352" i="4"/>
  <c r="G352" i="4" s="1"/>
  <c r="F353" i="4"/>
  <c r="G353" i="4" s="1"/>
  <c r="F354" i="4"/>
  <c r="G354" i="4" s="1"/>
  <c r="F355" i="4"/>
  <c r="G355" i="4" s="1"/>
  <c r="F356" i="4"/>
  <c r="G356" i="4" s="1"/>
  <c r="F357" i="4"/>
  <c r="G357" i="4" s="1"/>
  <c r="F358" i="4"/>
  <c r="G358" i="4" s="1"/>
  <c r="F359" i="4"/>
  <c r="G359" i="4" s="1"/>
  <c r="F360" i="4"/>
  <c r="G360" i="4" s="1"/>
  <c r="F361" i="4"/>
  <c r="G361" i="4" s="1"/>
  <c r="F362" i="4"/>
  <c r="G362" i="4" s="1"/>
  <c r="F363" i="4"/>
  <c r="G363" i="4" s="1"/>
  <c r="F364" i="4"/>
  <c r="G364" i="4" s="1"/>
  <c r="F365" i="4"/>
  <c r="G365" i="4" s="1"/>
  <c r="F366" i="4"/>
  <c r="G366" i="4" s="1"/>
  <c r="F367" i="4"/>
  <c r="G367" i="4" s="1"/>
  <c r="F368" i="4"/>
  <c r="G368" i="4" s="1"/>
  <c r="F369" i="4"/>
  <c r="G369" i="4" s="1"/>
  <c r="F370" i="4"/>
  <c r="G370" i="4" s="1"/>
  <c r="F371" i="4"/>
  <c r="G371" i="4" s="1"/>
  <c r="F372" i="4"/>
  <c r="G372" i="4" s="1"/>
  <c r="F373" i="4"/>
  <c r="G373" i="4" s="1"/>
  <c r="F374" i="4"/>
  <c r="G374" i="4" s="1"/>
  <c r="F375" i="4"/>
  <c r="G375" i="4" s="1"/>
  <c r="F376" i="4"/>
  <c r="G376" i="4" s="1"/>
  <c r="F377" i="4"/>
  <c r="G377" i="4" s="1"/>
  <c r="F378" i="4"/>
  <c r="G378" i="4" s="1"/>
  <c r="F379" i="4"/>
  <c r="G379" i="4" s="1"/>
  <c r="F380" i="4"/>
  <c r="G380" i="4" s="1"/>
  <c r="F381" i="4"/>
  <c r="G381" i="4" s="1"/>
  <c r="F382" i="4"/>
  <c r="G382" i="4" s="1"/>
  <c r="F383" i="4"/>
  <c r="G383" i="4" s="1"/>
  <c r="F384" i="4"/>
  <c r="G384" i="4" s="1"/>
  <c r="F385" i="4"/>
  <c r="G385" i="4" s="1"/>
  <c r="F386" i="4"/>
  <c r="G386" i="4" s="1"/>
  <c r="F387" i="4"/>
  <c r="G387" i="4" s="1"/>
  <c r="F388" i="4"/>
  <c r="G388" i="4" s="1"/>
  <c r="F389" i="4"/>
  <c r="G389" i="4" s="1"/>
  <c r="F390" i="4"/>
  <c r="G390" i="4" s="1"/>
  <c r="F391" i="4"/>
  <c r="G391" i="4" s="1"/>
  <c r="F392" i="4"/>
  <c r="G392" i="4" s="1"/>
  <c r="F393" i="4"/>
  <c r="G393" i="4" s="1"/>
  <c r="F394" i="4"/>
  <c r="G394" i="4" s="1"/>
  <c r="F395" i="4"/>
  <c r="G395" i="4" s="1"/>
  <c r="F396" i="4"/>
  <c r="G396" i="4" s="1"/>
  <c r="F397" i="4"/>
  <c r="G397" i="4" s="1"/>
  <c r="F398" i="4"/>
  <c r="G398" i="4" s="1"/>
  <c r="F399" i="4"/>
  <c r="G399" i="4" s="1"/>
  <c r="F400" i="4"/>
  <c r="G400" i="4" s="1"/>
  <c r="F401" i="4"/>
  <c r="G401" i="4" s="1"/>
  <c r="F402" i="4"/>
  <c r="G402" i="4" s="1"/>
  <c r="F403" i="4"/>
  <c r="G403" i="4" s="1"/>
  <c r="F404" i="4"/>
  <c r="G404" i="4" s="1"/>
  <c r="F405" i="4"/>
  <c r="G405" i="4" s="1"/>
  <c r="F406" i="4"/>
  <c r="G406" i="4" s="1"/>
  <c r="F407" i="4"/>
  <c r="G407" i="4" s="1"/>
  <c r="F408" i="4"/>
  <c r="G408" i="4" s="1"/>
  <c r="F409" i="4"/>
  <c r="G409" i="4" s="1"/>
  <c r="F410" i="4"/>
  <c r="G410" i="4" s="1"/>
  <c r="F411" i="4"/>
  <c r="G411" i="4" s="1"/>
  <c r="F412" i="4"/>
  <c r="G412" i="4" s="1"/>
  <c r="F413" i="4"/>
  <c r="G413" i="4" s="1"/>
  <c r="F414" i="4"/>
  <c r="G414" i="4" s="1"/>
  <c r="F415" i="4"/>
  <c r="G415" i="4" s="1"/>
  <c r="F416" i="4"/>
  <c r="G416" i="4" s="1"/>
  <c r="F417" i="4"/>
  <c r="G417" i="4" s="1"/>
  <c r="F418" i="4"/>
  <c r="G418" i="4" s="1"/>
  <c r="F419" i="4"/>
  <c r="G419" i="4" s="1"/>
  <c r="F420" i="4"/>
  <c r="G420" i="4" s="1"/>
  <c r="F421" i="4"/>
  <c r="G421" i="4" s="1"/>
  <c r="F422" i="4"/>
  <c r="G422" i="4" s="1"/>
  <c r="F423" i="4"/>
  <c r="G423" i="4" s="1"/>
  <c r="F424" i="4"/>
  <c r="G424" i="4" s="1"/>
  <c r="F425" i="4"/>
  <c r="G425" i="4" s="1"/>
  <c r="F426" i="4"/>
  <c r="G426" i="4" s="1"/>
  <c r="F427" i="4"/>
  <c r="G427" i="4" s="1"/>
  <c r="F428" i="4"/>
  <c r="G428" i="4" s="1"/>
  <c r="F429" i="4"/>
  <c r="G429" i="4" s="1"/>
  <c r="F430" i="4"/>
  <c r="G430" i="4" s="1"/>
  <c r="F431" i="4"/>
  <c r="G431" i="4" s="1"/>
  <c r="F432" i="4"/>
  <c r="G432" i="4" s="1"/>
  <c r="F433" i="4"/>
  <c r="G433" i="4" s="1"/>
  <c r="F434" i="4"/>
  <c r="G434" i="4" s="1"/>
  <c r="F435" i="4"/>
  <c r="G435" i="4" s="1"/>
  <c r="F436" i="4"/>
  <c r="G436" i="4" s="1"/>
  <c r="F437" i="4"/>
  <c r="G437" i="4" s="1"/>
  <c r="F438" i="4"/>
  <c r="G438" i="4" s="1"/>
  <c r="F439" i="4"/>
  <c r="G439" i="4" s="1"/>
  <c r="F440" i="4"/>
  <c r="G440" i="4" s="1"/>
  <c r="F441" i="4"/>
  <c r="G441" i="4" s="1"/>
  <c r="F442" i="4"/>
  <c r="G442" i="4" s="1"/>
  <c r="F443" i="4"/>
  <c r="G443" i="4" s="1"/>
  <c r="F444" i="4"/>
  <c r="G444" i="4" s="1"/>
  <c r="F445" i="4"/>
  <c r="G445" i="4" s="1"/>
  <c r="F446" i="4"/>
  <c r="G446" i="4" s="1"/>
  <c r="F447" i="4"/>
  <c r="G447" i="4" s="1"/>
  <c r="F448" i="4"/>
  <c r="G448" i="4" s="1"/>
  <c r="F449" i="4"/>
  <c r="G449" i="4" s="1"/>
  <c r="F450" i="4"/>
  <c r="G450" i="4" s="1"/>
  <c r="F451" i="4"/>
  <c r="G451" i="4" s="1"/>
  <c r="F452" i="4"/>
  <c r="G452" i="4" s="1"/>
  <c r="F453" i="4"/>
  <c r="G453" i="4" s="1"/>
  <c r="F454" i="4"/>
  <c r="G454" i="4" s="1"/>
  <c r="F455" i="4"/>
  <c r="G455" i="4" s="1"/>
  <c r="F456" i="4"/>
  <c r="G456" i="4" s="1"/>
  <c r="F457" i="4"/>
  <c r="G457" i="4" s="1"/>
  <c r="F458" i="4"/>
  <c r="G458" i="4" s="1"/>
  <c r="F459" i="4"/>
  <c r="G459" i="4" s="1"/>
  <c r="F460" i="4"/>
  <c r="G460" i="4" s="1"/>
  <c r="F461" i="4"/>
  <c r="G461" i="4" s="1"/>
  <c r="F462" i="4"/>
  <c r="G462" i="4" s="1"/>
  <c r="F463" i="4"/>
  <c r="G463" i="4" s="1"/>
  <c r="F464" i="4"/>
  <c r="G464" i="4" s="1"/>
  <c r="F465" i="4"/>
  <c r="G465" i="4" s="1"/>
  <c r="F466" i="4"/>
  <c r="G466" i="4" s="1"/>
  <c r="F467" i="4"/>
  <c r="G467" i="4" s="1"/>
  <c r="F468" i="4"/>
  <c r="G468" i="4" s="1"/>
  <c r="F469" i="4"/>
  <c r="G469" i="4" s="1"/>
  <c r="F470" i="4"/>
  <c r="G470" i="4" s="1"/>
  <c r="F471" i="4"/>
  <c r="G471" i="4" s="1"/>
  <c r="F472" i="4"/>
  <c r="G472" i="4" s="1"/>
  <c r="F473" i="4"/>
  <c r="G473" i="4" s="1"/>
  <c r="F474" i="4"/>
  <c r="G474" i="4" s="1"/>
  <c r="F475" i="4"/>
  <c r="G475" i="4" s="1"/>
  <c r="F476" i="4"/>
  <c r="G476" i="4" s="1"/>
  <c r="F477" i="4"/>
  <c r="G477" i="4" s="1"/>
  <c r="F478" i="4"/>
  <c r="G478" i="4" s="1"/>
  <c r="F479" i="4"/>
  <c r="G479" i="4" s="1"/>
  <c r="F480" i="4"/>
  <c r="G480" i="4" s="1"/>
  <c r="F481" i="4"/>
  <c r="G481" i="4" s="1"/>
  <c r="F482" i="4"/>
  <c r="G482" i="4" s="1"/>
  <c r="F483" i="4"/>
  <c r="G483" i="4" s="1"/>
  <c r="F484" i="4"/>
  <c r="G484" i="4" s="1"/>
  <c r="F485" i="4"/>
  <c r="G485" i="4" s="1"/>
  <c r="F486" i="4"/>
  <c r="G486" i="4" s="1"/>
  <c r="F487" i="4"/>
  <c r="G487" i="4" s="1"/>
  <c r="F488" i="4"/>
  <c r="G488" i="4" s="1"/>
  <c r="F489" i="4"/>
  <c r="G489" i="4" s="1"/>
  <c r="F490" i="4"/>
  <c r="G490" i="4" s="1"/>
  <c r="F491" i="4"/>
  <c r="G491" i="4" s="1"/>
  <c r="F492" i="4"/>
  <c r="G492" i="4" s="1"/>
  <c r="F493" i="4"/>
  <c r="G493" i="4" s="1"/>
  <c r="F494" i="4"/>
  <c r="G494" i="4" s="1"/>
  <c r="F495" i="4"/>
  <c r="G495" i="4" s="1"/>
  <c r="F496" i="4"/>
  <c r="G496" i="4" s="1"/>
  <c r="F497" i="4"/>
  <c r="G497" i="4" s="1"/>
  <c r="F498" i="4"/>
  <c r="G498" i="4" s="1"/>
  <c r="F499" i="4"/>
  <c r="G499" i="4" s="1"/>
  <c r="F500" i="4"/>
  <c r="G500" i="4" s="1"/>
  <c r="F501" i="4"/>
  <c r="G501" i="4" s="1"/>
  <c r="F502" i="4"/>
  <c r="G502" i="4" s="1"/>
  <c r="F503" i="4"/>
  <c r="G503" i="4" s="1"/>
  <c r="F504" i="4"/>
  <c r="G504" i="4" s="1"/>
  <c r="F505" i="4"/>
  <c r="G505" i="4" s="1"/>
  <c r="F506" i="4"/>
  <c r="G506" i="4" s="1"/>
  <c r="F507" i="4"/>
  <c r="G507" i="4" s="1"/>
  <c r="F508" i="4"/>
  <c r="G508" i="4" s="1"/>
  <c r="F509" i="4"/>
  <c r="G509" i="4" s="1"/>
  <c r="F510" i="4"/>
  <c r="G510" i="4" s="1"/>
  <c r="F511" i="4"/>
  <c r="G511" i="4" s="1"/>
  <c r="F512" i="4"/>
  <c r="G512" i="4" s="1"/>
  <c r="F513" i="4"/>
  <c r="G513" i="4" s="1"/>
  <c r="F514" i="4"/>
  <c r="G514" i="4" s="1"/>
  <c r="F515" i="4"/>
  <c r="G515" i="4" s="1"/>
  <c r="F516" i="4"/>
  <c r="G516" i="4" s="1"/>
  <c r="F517" i="4"/>
  <c r="G517" i="4" s="1"/>
  <c r="F518" i="4"/>
  <c r="G518" i="4" s="1"/>
  <c r="F519" i="4"/>
  <c r="G519" i="4" s="1"/>
  <c r="F520" i="4"/>
  <c r="G520" i="4" s="1"/>
  <c r="F521" i="4"/>
  <c r="G521" i="4" s="1"/>
  <c r="F522" i="4"/>
  <c r="G522" i="4" s="1"/>
  <c r="F523" i="4"/>
  <c r="G523" i="4" s="1"/>
  <c r="F524" i="4"/>
  <c r="G524" i="4" s="1"/>
  <c r="F525" i="4"/>
  <c r="G525" i="4" s="1"/>
  <c r="F526" i="4"/>
  <c r="G526" i="4" s="1"/>
  <c r="F527" i="4"/>
  <c r="G527" i="4" s="1"/>
  <c r="F528" i="4"/>
  <c r="G528" i="4" s="1"/>
  <c r="F529" i="4"/>
  <c r="G529" i="4" s="1"/>
  <c r="F530" i="4"/>
  <c r="G530" i="4" s="1"/>
  <c r="F531" i="4"/>
  <c r="G531" i="4" s="1"/>
  <c r="F532" i="4"/>
  <c r="G532" i="4" s="1"/>
  <c r="F533" i="4"/>
  <c r="G533" i="4" s="1"/>
  <c r="F534" i="4"/>
  <c r="G534" i="4" s="1"/>
  <c r="F535" i="4"/>
  <c r="G535" i="4" s="1"/>
  <c r="F536" i="4"/>
  <c r="G536" i="4" s="1"/>
  <c r="F537" i="4"/>
  <c r="G537" i="4" s="1"/>
  <c r="F538" i="4"/>
  <c r="G538" i="4" s="1"/>
  <c r="F539" i="4"/>
  <c r="G539" i="4" s="1"/>
  <c r="F540" i="4"/>
  <c r="G540" i="4" s="1"/>
  <c r="F541" i="4"/>
  <c r="G541" i="4" s="1"/>
  <c r="F542" i="4"/>
  <c r="G542" i="4" s="1"/>
  <c r="F543" i="4"/>
  <c r="G543" i="4" s="1"/>
  <c r="V5" i="1" l="1"/>
  <c r="V8" i="1" s="1"/>
  <c r="F266" i="4"/>
  <c r="G266" i="4" s="1"/>
  <c r="F267" i="4"/>
  <c r="G267" i="4" s="1"/>
  <c r="F268" i="4"/>
  <c r="G268" i="4" s="1"/>
  <c r="F269" i="4"/>
  <c r="G269" i="4" s="1"/>
  <c r="F270" i="4"/>
  <c r="G270" i="4" s="1"/>
  <c r="F271" i="4"/>
  <c r="G271" i="4" s="1"/>
  <c r="F272" i="4"/>
  <c r="G272" i="4" s="1"/>
  <c r="F273" i="4"/>
  <c r="G273" i="4" s="1"/>
  <c r="F274" i="4"/>
  <c r="G274" i="4" s="1"/>
  <c r="F275" i="4"/>
  <c r="G275" i="4" s="1"/>
  <c r="F276" i="4"/>
  <c r="G276" i="4" s="1"/>
  <c r="F277" i="4"/>
  <c r="G277" i="4" s="1"/>
  <c r="F278" i="4"/>
  <c r="G278" i="4" s="1"/>
  <c r="F279" i="4"/>
  <c r="G279" i="4" s="1"/>
  <c r="F280" i="4"/>
  <c r="G280" i="4" s="1"/>
  <c r="F281" i="4"/>
  <c r="G281" i="4" s="1"/>
  <c r="F259" i="4" l="1"/>
  <c r="G259" i="4" s="1"/>
  <c r="F260" i="4"/>
  <c r="G260" i="4" s="1"/>
  <c r="F261" i="4"/>
  <c r="G261" i="4" s="1"/>
  <c r="F262" i="4"/>
  <c r="G262" i="4" s="1"/>
  <c r="F263" i="4"/>
  <c r="G263" i="4" s="1"/>
  <c r="F264" i="4"/>
  <c r="G264" i="4" s="1"/>
  <c r="F265" i="4"/>
  <c r="G265" i="4" s="1"/>
  <c r="M14" i="5" l="1"/>
  <c r="M13" i="5"/>
  <c r="M12" i="5"/>
  <c r="M11" i="5"/>
  <c r="M10" i="5"/>
  <c r="M9" i="5"/>
  <c r="M8" i="5"/>
  <c r="M7" i="5"/>
  <c r="M6" i="5"/>
  <c r="M5" i="5"/>
  <c r="M4" i="5"/>
  <c r="M3" i="5"/>
  <c r="U13" i="1" l="1"/>
  <c r="S13" i="1" s="1"/>
  <c r="O2" i="3"/>
  <c r="O3" i="3" s="1"/>
  <c r="S7" i="1" l="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<sst xmlns="http://schemas.openxmlformats.org/spreadsheetml/2006/main" count="2627" uniqueCount="983">
  <si>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</si>
  <si>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</si>
  <si>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</si>
  <si>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</si>
  <si>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</si>
  <si>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</si>
  <si>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</si>
  <si>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</si>
  <si>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</si>
  <si>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</si>
  <si>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</si>
  <si>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</si>
  <si>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</si>
  <si>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</si>
  <si>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</si>
  <si>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</si>
  <si>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</si>
  <si>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</si>
  <si>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</si>
  <si>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</si>
  <si>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</si>
  <si>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</si>
  <si>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</si>
  <si>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</si>
  <si>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</si>
  <si>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</si>
  <si>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</si>
  <si>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</si>
  <si>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</si>
  <si>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</si>
  <si>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</si>
  <si>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</si>
  <si>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</si>
  <si>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</si>
  <si>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</si>
  <si>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</si>
  <si>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</si>
  <si>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</si>
  <si>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</si>
  <si>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</si>
  <si>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</si>
  <si>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</si>
  <si>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</si>
  <si>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</si>
  <si>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</si>
  <si>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</si>
  <si>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</si>
  <si>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</si>
  <si>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</si>
  <si>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</si>
  <si>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</si>
  <si>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</si>
  <si>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</si>
  <si>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</si>
  <si>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</si>
  <si>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</si>
  <si>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</si>
  <si>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</si>
  <si>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</si>
  <si>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</si>
  <si>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</si>
  <si>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</si>
  <si>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</si>
  <si>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</si>
  <si>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</si>
  <si>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</si>
  <si>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</si>
  <si>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</si>
  <si>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</si>
  <si>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</si>
  <si>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</si>
  <si>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</si>
  <si>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</si>
  <si>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</si>
  <si>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</si>
  <si>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</si>
  <si>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</si>
  <si>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</si>
  <si>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</si>
  <si>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</si>
  <si>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</si>
  <si>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</si>
  <si>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</si>
  <si>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</si>
  <si>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</si>
  <si>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</si>
  <si>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</si>
  <si>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</si>
  <si>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</si>
  <si>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</si>
  <si>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</si>
  <si>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</si>
  <si>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</si>
  <si>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</si>
  <si>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</si>
  <si>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</si>
  <si>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</si>
  <si>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</si>
  <si>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</si>
  <si>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</si>
  <si>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</si>
  <si>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</si>
  <si>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</si>
  <si>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</si>
  <si>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</si>
  <si>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</si>
  <si>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</si>
  <si>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</si>
  <si>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</si>
  <si>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</si>
  <si>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</si>
  <si>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</si>
  <si>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</si>
  <si>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</si>
  <si>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</si>
  <si>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</si>
  <si>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</si>
  <si>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</si>
  <si>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</si>
  <si>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</si>
  <si>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</si>
  <si>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</si>
  <si>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</si>
  <si>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</si>
  <si>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</si>
  <si>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</si>
  <si>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</si>
  <si>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</si>
  <si>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</si>
  <si>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</si>
  <si>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</si>
  <si>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</si>
  <si>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</si>
  <si>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</si>
  <si>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</si>
  <si>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</si>
  <si>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</si>
  <si>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</si>
  <si>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</si>
  <si>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</si>
  <si>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</si>
  <si>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</si>
  <si>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</si>
  <si>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</si>
  <si>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</si>
  <si>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</si>
  <si>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</si>
  <si>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</si>
  <si>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</si>
  <si>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</si>
  <si>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</si>
  <si>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</si>
  <si>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</si>
  <si>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</si>
  <si>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</si>
  <si>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</si>
  <si>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</si>
  <si>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</si>
  <si>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</si>
  <si>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</si>
  <si>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</si>
  <si>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</si>
  <si>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</si>
  <si>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</si>
  <si>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</si>
  <si>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</si>
  <si>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</si>
  <si>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</si>
  <si>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</si>
  <si>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</si>
  <si>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</si>
  <si>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</si>
  <si>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</si>
  <si>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human_readable_time</t>
  </si>
  <si>
    <t>Loco - PTC</t>
  </si>
  <si>
    <t>Power</t>
  </si>
  <si>
    <t>CLI Grep</t>
  </si>
  <si>
    <t>Time (US/Mountain)</t>
  </si>
  <si>
    <t>Source</t>
  </si>
  <si>
    <t>Employee Identifier</t>
  </si>
  <si>
    <t>Employee Last Name</t>
  </si>
  <si>
    <t>STURGEON</t>
  </si>
  <si>
    <t>s3://rtdc.mdm.uploadarchive.raw</t>
  </si>
  <si>
    <t>rtdc.l.rtdc.4009:itc</t>
  </si>
  <si>
    <t>rtdc.l.rtdc.4044:itc</t>
  </si>
  <si>
    <t>56-06</t>
  </si>
  <si>
    <t>315-06</t>
  </si>
  <si>
    <t>Powered by darksky [darksky.net]</t>
  </si>
  <si>
    <t>Enforcements Text</t>
  </si>
  <si>
    <t>Runs-Refined Text</t>
  </si>
  <si>
    <t>Trips Text</t>
  </si>
  <si>
    <t>Weather Text</t>
  </si>
  <si>
    <t>204:149</t>
  </si>
  <si>
    <t>204:143</t>
  </si>
  <si>
    <t>204:447</t>
  </si>
  <si>
    <t>204:451</t>
  </si>
  <si>
    <t>N</t>
  </si>
  <si>
    <t>PERMANENT SPEED RESTRICTION</t>
  </si>
  <si>
    <t>Speed (6)</t>
  </si>
  <si>
    <t>SIGNAL</t>
  </si>
  <si>
    <t>Signal based authority (5)</t>
  </si>
  <si>
    <t>TRACK WARRANT AUTHORITY</t>
  </si>
  <si>
    <t>Form based authority (4)</t>
  </si>
  <si>
    <t>Summary for DUS 2016-10-12: Partly cloudy until night.</t>
  </si>
  <si>
    <t>AWS CP Commands</t>
  </si>
  <si>
    <t>204:156</t>
  </si>
  <si>
    <t>rtdc.l.rtdc.4011:itc</t>
  </si>
  <si>
    <t>DE.1.0.8.0</t>
  </si>
  <si>
    <t>rtdc.l.rtdc.4040:itc</t>
  </si>
  <si>
    <t>Human Factors</t>
  </si>
  <si>
    <t>STAMBAUGH</t>
  </si>
  <si>
    <t>rtdc.l.rtdc.4012:itc</t>
  </si>
  <si>
    <t>204:150</t>
  </si>
  <si>
    <t>rtdc.l.rtdc.4002:itc</t>
  </si>
  <si>
    <t>BADERTSCHER</t>
  </si>
  <si>
    <t>rtdc.l.rtdc.4022:itc</t>
  </si>
  <si>
    <t>HOLCOMB</t>
  </si>
  <si>
    <t>rtdc.l.rtdc.4038:itc</t>
  </si>
  <si>
    <t>rtdc.l.rtdc.4037:itc</t>
  </si>
  <si>
    <t>243-10</t>
  </si>
  <si>
    <t>309-10</t>
  </si>
  <si>
    <t>242-10</t>
  </si>
  <si>
    <t>311-10</t>
  </si>
  <si>
    <t>244-10</t>
  </si>
  <si>
    <t>313-10</t>
  </si>
  <si>
    <t>204:154</t>
  </si>
  <si>
    <t>204:141</t>
  </si>
  <si>
    <t>rtdc.l.rtdc.4014:itc</t>
  </si>
  <si>
    <t>CLI Grep2 (for slice disagreement)</t>
  </si>
  <si>
    <t>Y</t>
  </si>
  <si>
    <t>204:165</t>
  </si>
  <si>
    <t>204:455</t>
  </si>
  <si>
    <t>rtdc.l.rtdc.4031:itc</t>
  </si>
  <si>
    <t>rtdc.l.rtdc.4046:itc</t>
  </si>
  <si>
    <t>204:460</t>
  </si>
  <si>
    <t>204:471</t>
  </si>
  <si>
    <t>rtdc.l.rtdc.4042:itc</t>
  </si>
  <si>
    <t>rtdc.l.rtdc.4041:itc</t>
  </si>
  <si>
    <t>DAVIDSON</t>
  </si>
  <si>
    <t>204:145</t>
  </si>
  <si>
    <t>rtdc.l.rtdc.4032:itc</t>
  </si>
  <si>
    <t>CHANDLER</t>
  </si>
  <si>
    <t>LALONDE</t>
  </si>
  <si>
    <t>81-25</t>
  </si>
  <si>
    <t>80-25</t>
  </si>
  <si>
    <t>313-25</t>
  </si>
  <si>
    <t>315-25</t>
  </si>
  <si>
    <t>partly-cloudy-night</t>
  </si>
  <si>
    <t>partly-cloudy-day</t>
  </si>
  <si>
    <t>204:458</t>
  </si>
  <si>
    <t>rtdc.l.rtdc.4016:itc</t>
  </si>
  <si>
    <t>LEVERE</t>
  </si>
  <si>
    <t>COOLAHAN</t>
  </si>
  <si>
    <t>204:163</t>
  </si>
  <si>
    <t>:.+((SYSTEM_STATE.+slice.+state.+changed )|(ment ac)|(multiple cpu faults)|(system.+state.+changed )|(\[timeout)|(PRM\|1\|D)|(kpr)|(kdp)|(\|lc)|(penalty))</t>
  </si>
  <si>
    <t>YANAI</t>
  </si>
  <si>
    <t>Partly Cloudy</t>
  </si>
  <si>
    <t>rtdc.l.rtdc.4030:itc</t>
  </si>
  <si>
    <t>GRADE CROSSING</t>
  </si>
  <si>
    <t>Bulletin (2)</t>
  </si>
  <si>
    <t>rtdc.l.rtdc.4029:itc</t>
  </si>
  <si>
    <t>rtdc.l.rtdc.4043:itc</t>
  </si>
  <si>
    <t>204:446</t>
  </si>
  <si>
    <t>JOHN</t>
  </si>
  <si>
    <t>IAN</t>
  </si>
  <si>
    <t>DAVID</t>
  </si>
  <si>
    <t>CRAIG</t>
  </si>
  <si>
    <t>JAMES</t>
  </si>
  <si>
    <t>Last + First</t>
  </si>
  <si>
    <t>Employee First Name</t>
  </si>
  <si>
    <t>rtdc.l.rtdc.4019:itc</t>
  </si>
  <si>
    <t>rtdc.l.rtdc.4020:itc</t>
  </si>
  <si>
    <t>KELVIN</t>
  </si>
  <si>
    <t>204:453</t>
  </si>
  <si>
    <t>204:152</t>
  </si>
  <si>
    <t>204:464</t>
  </si>
  <si>
    <t>204:232994</t>
  </si>
  <si>
    <t>rtdc.l.rtdc.4015:itc</t>
  </si>
  <si>
    <t>TEMPORARY SPEED RESTRICTION</t>
  </si>
  <si>
    <t>rtdc.l.rtdc.4045:itc</t>
  </si>
  <si>
    <t>204:147</t>
  </si>
  <si>
    <t>204:139</t>
  </si>
  <si>
    <t>MICHAEL</t>
  </si>
  <si>
    <t>DAVIS</t>
  </si>
  <si>
    <t>300:58632</t>
  </si>
  <si>
    <t>204:232989</t>
  </si>
  <si>
    <t>204:232996</t>
  </si>
  <si>
    <t>204:232983</t>
  </si>
  <si>
    <t>204:233303</t>
  </si>
  <si>
    <t>204:467</t>
  </si>
  <si>
    <t>204:232977</t>
  </si>
  <si>
    <t>204:161</t>
  </si>
  <si>
    <t>204:232990</t>
  </si>
  <si>
    <t>204:160</t>
  </si>
  <si>
    <t>204:233302</t>
  </si>
  <si>
    <t>204:232987</t>
  </si>
  <si>
    <t>STARKS</t>
  </si>
  <si>
    <t>ANGELINA</t>
  </si>
  <si>
    <t>204:158</t>
  </si>
  <si>
    <t>204:233312</t>
  </si>
  <si>
    <t>204:233293</t>
  </si>
  <si>
    <t>204:232991</t>
  </si>
  <si>
    <t>204:232993</t>
  </si>
  <si>
    <t>204:233284</t>
  </si>
  <si>
    <t>204:233314</t>
  </si>
  <si>
    <t>204:974</t>
  </si>
  <si>
    <t>YOUNG</t>
  </si>
  <si>
    <t>ELIZABETH</t>
  </si>
  <si>
    <t>204:233297</t>
  </si>
  <si>
    <t>204:475</t>
  </si>
  <si>
    <t>204:466</t>
  </si>
  <si>
    <t>204:232998</t>
  </si>
  <si>
    <t>204:486</t>
  </si>
  <si>
    <t>204:233011</t>
  </si>
  <si>
    <t>204:484</t>
  </si>
  <si>
    <t>204:232985</t>
  </si>
  <si>
    <t>300:58931</t>
  </si>
  <si>
    <t>300:58935</t>
  </si>
  <si>
    <t>300:58613</t>
  </si>
  <si>
    <t>300:58937</t>
  </si>
  <si>
    <t>204:757</t>
  </si>
  <si>
    <t>rtdc.l.rtdc.4004:itc</t>
  </si>
  <si>
    <t>rtdc.l.rtdc.4021:itc</t>
  </si>
  <si>
    <t>241-13</t>
  </si>
  <si>
    <t>243-13</t>
  </si>
  <si>
    <t>SPECTOR</t>
  </si>
  <si>
    <t>SCOTT</t>
  </si>
  <si>
    <t>rtdc.l.rtdc.4003:itc</t>
  </si>
  <si>
    <t>HILLS</t>
  </si>
  <si>
    <t>DUSTIN</t>
  </si>
  <si>
    <t>HELVIE</t>
  </si>
  <si>
    <t>ADAM</t>
  </si>
  <si>
    <t>DELGADO</t>
  </si>
  <si>
    <t>DIANAH</t>
  </si>
  <si>
    <t>234-13</t>
  </si>
  <si>
    <t>237-13</t>
  </si>
  <si>
    <t>236-13</t>
  </si>
  <si>
    <t>239-13</t>
  </si>
  <si>
    <t>238-13</t>
  </si>
  <si>
    <t>240-13</t>
  </si>
  <si>
    <t>309-13</t>
  </si>
  <si>
    <t>242-13</t>
  </si>
  <si>
    <t>311-13</t>
  </si>
  <si>
    <t>244-13</t>
  </si>
  <si>
    <t>313-13</t>
  </si>
  <si>
    <t>315-13</t>
  </si>
  <si>
    <t>204:233318</t>
  </si>
  <si>
    <t>204:138</t>
  </si>
  <si>
    <t>204:444</t>
  </si>
  <si>
    <t>204:233283</t>
  </si>
  <si>
    <t>204:233305</t>
  </si>
  <si>
    <t>204:477</t>
  </si>
  <si>
    <t>204:136</t>
  </si>
  <si>
    <t>204:233317</t>
  </si>
  <si>
    <t>204:491</t>
  </si>
  <si>
    <t>204:132</t>
  </si>
  <si>
    <t>204:733</t>
  </si>
  <si>
    <t>204:978</t>
  </si>
  <si>
    <t>204:684</t>
  </si>
  <si>
    <t>300:58626</t>
  </si>
  <si>
    <t>rtdc.l.rtdc.4018:itc</t>
  </si>
  <si>
    <t>242-14</t>
  </si>
  <si>
    <t>GRASTON</t>
  </si>
  <si>
    <t>MATHEU</t>
  </si>
  <si>
    <t>rtdc.l.rtdc.4017:itc</t>
  </si>
  <si>
    <t>GEBRETEKLE</t>
  </si>
  <si>
    <t>DAGNEW</t>
  </si>
  <si>
    <t>MAELZER</t>
  </si>
  <si>
    <t>KURT</t>
  </si>
  <si>
    <t>BROWN</t>
  </si>
  <si>
    <t>JACOB</t>
  </si>
  <si>
    <t>SANTIZO</t>
  </si>
  <si>
    <t>D. EDY</t>
  </si>
  <si>
    <t>DUNCAN</t>
  </si>
  <si>
    <t>SHEILA</t>
  </si>
  <si>
    <t>ADANE</t>
  </si>
  <si>
    <t>ELSHADAY</t>
  </si>
  <si>
    <t>MAGEE</t>
  </si>
  <si>
    <t>KENYA</t>
  </si>
  <si>
    <t>YANG</t>
  </si>
  <si>
    <t>JAN</t>
  </si>
  <si>
    <t>MOSES</t>
  </si>
  <si>
    <t>BRADLEY</t>
  </si>
  <si>
    <t>COMELLA</t>
  </si>
  <si>
    <t>JUSTIN</t>
  </si>
  <si>
    <t>SIMMONS</t>
  </si>
  <si>
    <t>SHYHESHA</t>
  </si>
  <si>
    <t>PERKINS</t>
  </si>
  <si>
    <t>DARREN</t>
  </si>
  <si>
    <t>SAFIEF</t>
  </si>
  <si>
    <t>AEIMEN</t>
  </si>
  <si>
    <t>311-14</t>
  </si>
  <si>
    <t>244-14</t>
  </si>
  <si>
    <t>313-14</t>
  </si>
  <si>
    <t>315-14</t>
  </si>
  <si>
    <t>precipAccumulation</t>
  </si>
  <si>
    <t>precipType</t>
  </si>
  <si>
    <t>snow</t>
  </si>
  <si>
    <t>Flurries</t>
  </si>
  <si>
    <t>204:726</t>
  </si>
  <si>
    <t>204:233300</t>
  </si>
  <si>
    <t>204:233289</t>
  </si>
  <si>
    <t>204:232982</t>
  </si>
  <si>
    <t>204:232967</t>
  </si>
  <si>
    <t>204:233315</t>
  </si>
  <si>
    <t>204:457</t>
  </si>
  <si>
    <t>204:233332</t>
  </si>
  <si>
    <t>204:233008</t>
  </si>
  <si>
    <t>204:233307</t>
  </si>
  <si>
    <t>204:233000</t>
  </si>
  <si>
    <t>204:232986</t>
  </si>
  <si>
    <t>204:440</t>
  </si>
  <si>
    <t>204:233291</t>
  </si>
  <si>
    <t>204:233006</t>
  </si>
  <si>
    <t>204:478</t>
  </si>
  <si>
    <t>204:233002</t>
  </si>
  <si>
    <t>204:187</t>
  </si>
  <si>
    <t>204:233306</t>
  </si>
  <si>
    <t>204:233320</t>
  </si>
  <si>
    <t>204:233321</t>
  </si>
  <si>
    <t>204:174</t>
  </si>
  <si>
    <t>204:233299</t>
  </si>
  <si>
    <t>204:134</t>
  </si>
  <si>
    <t>204:232981</t>
  </si>
  <si>
    <t>300:23310</t>
  </si>
  <si>
    <t>300:58655</t>
  </si>
  <si>
    <t>204:958</t>
  </si>
  <si>
    <t>300:58624</t>
  </si>
  <si>
    <t>204:706</t>
  </si>
  <si>
    <t>204:988</t>
  </si>
  <si>
    <t>300:58933</t>
  </si>
  <si>
    <t>300:58993</t>
  </si>
  <si>
    <t>204:976</t>
  </si>
  <si>
    <t>300:59014</t>
  </si>
  <si>
    <t>300:58939</t>
  </si>
  <si>
    <t>204:675</t>
  </si>
  <si>
    <t>300:58956</t>
  </si>
  <si>
    <t>204:694</t>
  </si>
  <si>
    <t>300:58958</t>
  </si>
  <si>
    <t>300:58615</t>
  </si>
  <si>
    <t>204:698</t>
  </si>
  <si>
    <t>SYS :2016/12/14 10:32:11.283:ENFORCEMENT:Predictive Enforcement Action:  Target Number: 00001002  Target Speed:   0.0  Current Speed:   2.5</t>
  </si>
  <si>
    <t>SYS :2016/12/14 12:39:29.984:ENFORCEMENT:Reactive Enforcement Action:  Target Number: 0000A024  Target Speed:  15.0  Current Speed:  21.7</t>
  </si>
  <si>
    <t>SYS :2016/12/14 12:39:30.145:ENFORCEMENT:Reactive Enforcement Action:  Target Number: 0000A024  Target Speed:  15.0  Current Speed:  21.7</t>
  </si>
  <si>
    <t>SYS :2016/12/14 12:39:30.815:ENFORCEMENT:Reactive Enforcement Action:  Target Number: 0000A003  Target Speed:  15.0  Current Speed:  21.7</t>
  </si>
  <si>
    <t>SYS :2016/12/14 12:51:01.148:ENFORCEMENT:Predictive Enforcement Action:  Target Number: 0000A025  Target Speed:  10.0  Current Speed:  64.0</t>
  </si>
  <si>
    <t>SYS :2016/12/14 12:51:01.990:ENFORCEMENT:Predictive Enforcement Action:  Target Number: 0000A025  Target Speed:  10.0  Current Speed:  63.5</t>
  </si>
  <si>
    <t>SYS :2016/12/14 12:51:02.826:ENFORCEMENT:Predictive Enforcement Action:  Target Number: 0000A004  Target Speed:  10.0  Current Speed:  63.0</t>
  </si>
  <si>
    <t>SYS :2016/12/14 12:52:28.631:ENFORCEMENT:Reactive Enforcement Action:  Target Number: 0000A026  Target Speed:  15.0  Current Speed:  20.1</t>
  </si>
  <si>
    <t>SYS :2016/12/14 12:52:29.264:ENFORCEMENT:Reactive Enforcement Action:  Target Number: 0000A026  Target Speed:  15.0  Current Speed:  20.1</t>
  </si>
  <si>
    <t>SYS :2016/12/14 12:52:29.472:ENFORCEMENT:Reactive Enforcement Action:  Target Number: 0000A026  Target Speed:  15.0  Current Speed:  20.1</t>
  </si>
  <si>
    <t>SYS :2016/12/14 13:01:15.737:ENFORCEMENT:Reactive Enforcement Action:  Target Number: 0000A066  Target Speed:  15.0  Current Speed:  20.0</t>
  </si>
  <si>
    <t>SYS :2016/12/14 14:41:17.411:ENFORCEMENT:Reactive Enforcement Action:  Target Number: 0001701A  Target Speed:   0.0  Current Speed:  35.4</t>
  </si>
  <si>
    <t>SYS :2016/12/14 14:41:17.754:ENFORCEMENT:Reactive Enforcement Action:  Target Number: 0001701A  Target Speed:   0.0  Current Speed:  35.7</t>
  </si>
  <si>
    <t>SYS :2016/12/14 14:41:18.047:ENFORCEMENT:Reactive Enforcement Action:  Target Number: 0001701A  Target Speed:   0.0  Current Speed:  35.4</t>
  </si>
  <si>
    <t>SYS :2016/12/14 14:51:33.969:ENFORCEMENT:Predictive Enforcement Action:  Target Number: 0000102B  Target Speed:   0.0  Current Speed:   5.2</t>
  </si>
  <si>
    <t>SYS :2016/12/14 14:51:34.128:ENFORCEMENT:Predictive Enforcement Action:  Target Number: 0000102B  Target Speed:   0.0  Current Speed:   5.1</t>
  </si>
  <si>
    <t>SYS :2016/12/14 14:57:19.018:ENFORCEMENT:Predictive Enforcement Action:  Target Number: 00010067  Target Speed:  30.0  Current Speed:  35.1</t>
  </si>
  <si>
    <t>SYS :2016/12/14 14:57:19.968:ENFORCEMENT:Predictive Enforcement Action:  Target Number: 00010009  Target Speed:  30.0  Current Speed:  35.1</t>
  </si>
  <si>
    <t>SYS :2016/12/14 14:57:20.091:ENFORCEMENT:Predictive Enforcement Action:  Target Number: 00010068  Target Speed:  30.0  Current Speed:  35.1</t>
  </si>
  <si>
    <t>SYS :2016/12/14 15:02:26.052:ENFORCEMENT:Reactive Enforcement Action:  Target Number: 0000A008  Target Speed:  15.0  Current Speed:  20.7</t>
  </si>
  <si>
    <t>SYS :2016/12/14 15:02:26.397:ENFORCEMENT:Reactive Enforcement Action:  Target Number: 0000A008  Target Speed:  15.0  Current Speed:  20.7</t>
  </si>
  <si>
    <t>SYS :2016/12/14 15:02:26.763:ENFORCEMENT:Reactive Enforcement Action:  Target Number: 0000A008  Target Speed:  15.0  Current Speed:  20.7</t>
  </si>
  <si>
    <t>SYS :2016/12/14 15:33:49.866:ENFORCEMENT:Predictive Enforcement Action:  Target Number: 0000A02D  Target Speed:  10.0  Current Speed:  37.5</t>
  </si>
  <si>
    <t>SYS :2016/12/14 15:38:00.008:ENFORCEMENT:Predictive Enforcement Action:  Target Number: 00017004  Target Speed:   9.0  Current Speed:  14.6</t>
  </si>
  <si>
    <t>SYS :2016/12/14 15:38:00.075:ENFORCEMENT:Predictive Enforcement Action:  Target Number: 00017004  Target Speed:   9.0  Current Speed:  14.6</t>
  </si>
  <si>
    <t>SYS :2016/12/14 15:38:00.143:ENFORCEMENT:Predictive Enforcement Action:  Target Number: 00017002  Target Speed:   9.0  Current Speed:  14.6</t>
  </si>
  <si>
    <t>SYS :2016/12/14 16:31:06.806:ENFORCEMENT:Predictive Enforcement Action:  Target Number: 000060BA  Target Speed:   0.0  Current Speed:  72.7</t>
  </si>
  <si>
    <t>SYS :2016/12/14 16:31:07.049:ENFORCEMENT:Predictive Enforcement Action:  Target Number: 000060B5  Target Speed:   0.0  Current Speed:  72.3</t>
  </si>
  <si>
    <t>SYS :2016/12/14 16:31:07.416:ENFORCEMENT:Predictive Enforcement Action:  Target Number: 000060B1  Target Speed:   0.0  Current Speed:  72.3</t>
  </si>
  <si>
    <t>SYS :2016/12/14 16:31:44.840:ENFORCEMENT:Predictive Enforcement Action:  Target Number: 00010154  Target Speed:  15.0  Current Speed:  26.1</t>
  </si>
  <si>
    <t>SYS :2016/12/14 16:37:12.664:ENFORCEMENT:Predictive Enforcement Action:  Target Number: 0000103F  Target Speed:   0.0  Current Speed:   5.0</t>
  </si>
  <si>
    <t>SYS :2016/12/14 16:54:03.388:ENFORCEMENT:Predictive Enforcement Action:  Target Number: 00001007  Target Speed:   0.0  Current Speed:  13.5</t>
  </si>
  <si>
    <t>SYS :2016/12/14 17:27:14.441:ENFORCEMENT:Predictive Enforcement Action:  Target Number: 0000E001  Target Speed:   0.0  Current Speed:   5.6</t>
  </si>
  <si>
    <t>SYS :2016/12/14 17:27:15.071:ENFORCEMENT:Predictive Enforcement Action:  Target Number: 0000E003  Target Speed:   0.0  Current Speed:   5.6</t>
  </si>
  <si>
    <t>SYS :2016/12/14 17:27:15.462:ENFORCEMENT:Predictive Enforcement Action:  Target Number: 0000E002  Target Speed:   0.0  Current Speed:   5.6</t>
  </si>
  <si>
    <t>SYS :2016/12/14 17:34:00.303:ENFORCEMENT:Predictive Enforcement Action:  Target Number: 0000A00E  Target Speed:  10.0  Current Speed:  27.8</t>
  </si>
  <si>
    <t>SYS :2016/12/14 17:34:00.386:ENFORCEMENT:Predictive Enforcement Action:  Target Number: 0000A00E  Target Speed:  10.0  Current Speed:  28.4</t>
  </si>
  <si>
    <t>SYS :2016/12/14 17:34:00.993:ENFORCEMENT:Predictive Enforcement Action:  Target Number: 0000A00E  Target Speed:  10.0  Current Speed:  26.8</t>
  </si>
  <si>
    <t>SYS :2016/12/14 17:36:14.708:ENFORCEMENT:Predictive Enforcement Action:  Target Number: 00001062  Target Speed:   0.0  Current Speed:   9.7</t>
  </si>
  <si>
    <t>SYS :2016/12/14 17:36:14.845:ENFORCEMENT:Predictive Enforcement Action:  Target Number: 00001025  Target Speed:   0.0  Current Speed:   9.7</t>
  </si>
  <si>
    <t>SYS :2016/12/14 17:52:35.665:ENFORCEMENT:Predictive Enforcement Action:  Target Number: 00017247  Target Speed:   0.0  Current Speed:  21.9</t>
  </si>
  <si>
    <t>SYS :2016/12/14 17:52:36.716:ENFORCEMENT:Predictive Enforcement Action:  Target Number: 00017247  Target Speed:   0.0  Current Speed:  20.6</t>
  </si>
  <si>
    <t>SYS :2016/12/14 18:01:02.988:ENFORCEMENT:Predictive Enforcement Action:  Target Number: 000101FF  Target Speed:  40.0  Current Speed:  46.3</t>
  </si>
  <si>
    <t>SYS :2016/12/14 18:01:03.161:ENFORCEMENT:Predictive Enforcement Action:  Target Number: 000101FE  Target Speed:  40.0  Current Speed:  46.6</t>
  </si>
  <si>
    <t>SYS :2016/12/14 18:01:03.821:ENFORCEMENT:Predictive Enforcement Action:  Target Number: 00010088  Target Speed:  40.0  Current Speed:  46.6</t>
  </si>
  <si>
    <t>SYS :2016/12/14 18:08:47.821:ENFORCEMENT:Predictive Enforcement Action:  Target Number: 0000A00D  Target Speed:  10.0  Current Speed:  24.5</t>
  </si>
  <si>
    <t>SYS :2016/12/14 18:08:47.981:ENFORCEMENT:Predictive Enforcement Action:  Target Number: 0000A02E  Target Speed:  10.0  Current Speed:  24.5</t>
  </si>
  <si>
    <t>SYS :2016/12/14 18:08:48.151:ENFORCEMENT:Predictive Enforcement Action:  Target Number: 0000A02E  Target Speed:  10.0  Current Speed:  24.5</t>
  </si>
  <si>
    <t>SYS :2016/12/14 18:49:32.997:ENFORCEMENT:Predictive Enforcement Action:  Target Number: 00001047  Target Speed:   0.0  Current Speed:   4.6</t>
  </si>
  <si>
    <t>SYS :2016/12/14 18:51:08.610:ENFORCEMENT:Predictive Enforcement Action:  Target Number: 00001073  Target Speed:   0.0  Current Speed:  14.5</t>
  </si>
  <si>
    <t>SYS :2016/12/14 18:53:47.083:ENFORCEMENT:Predictive Enforcement Action:  Target Number: 000063DA  Target Speed:   0.0  Current Speed:  44.4</t>
  </si>
  <si>
    <t>SYS :2016/12/14 18:53:47.432:ENFORCEMENT:Predictive Enforcement Action:  Target Number: 0000606E  Target Speed:   0.0  Current Speed:  43.5</t>
  </si>
  <si>
    <t>SYS :2016/12/14 18:53:47.463:ENFORCEMENT:Predictive Enforcement Action:  Target Number: 00006320  Target Speed:   0.0  Current Speed:  44.4</t>
  </si>
  <si>
    <t>SYS :2016/12/14 18:56:13.431:ENFORCEMENT:Predictive Enforcement Action:  Target Number: 0000606E  Target Speed:   0.0  Current Speed:   4.3</t>
  </si>
  <si>
    <t>SYS :2016/12/14 19:04:10.481:ENFORCEMENT:Predictive Enforcement Action:  Target Number: 0000A028  Target Speed:  10.0  Current Speed:  45.6</t>
  </si>
  <si>
    <t>SYS :2016/12/14 19:20:19.060:ENFORCEMENT:Predictive Enforcement Action:  Target Number: 00001027  Target Speed:   0.0  Current Speed:   7.3</t>
  </si>
  <si>
    <t>SYS :2016/12/14 19:20:19.434:ENFORCEMENT:Predictive Enforcement Action:  Target Number: 00001007  Target Speed:   0.0  Current Speed:   7.1</t>
  </si>
  <si>
    <t>SYS :2016/12/14 19:20:21.373:ENFORCEMENT:Predictive Enforcement Action:  Target Number: 00001002  Target Speed:   0.0  Current Speed:   6.5</t>
  </si>
  <si>
    <t>SYS :2016/12/14 19:26:14.284:ENFORCEMENT:Predictive Enforcement Action:  Target Number: 00001020  Target Speed:   0.0  Current Speed:   9.4</t>
  </si>
  <si>
    <t>SYS :2016/12/14 19:26:14.954:ENFORCEMENT:Predictive Enforcement Action:  Target Number: 00001003  Target Speed:   0.0  Current Speed:   9.4</t>
  </si>
  <si>
    <t>SYS :2016/12/14 19:26:15.397:ENFORCEMENT:Predictive Enforcement Action:  Target Number: 00001020  Target Speed:   0.0  Current Speed:   9.4</t>
  </si>
  <si>
    <t>SYS :2016/12/14 19:27:45.954:ENFORCEMENT:Predictive Enforcement Action:  Target Number: 00001003  Target Speed:   0.0  Current Speed:   3.2</t>
  </si>
  <si>
    <t>SYS :2016/12/14 19:27:46.275:ENFORCEMENT:Predictive Enforcement Action:  Target Number: 00001020  Target Speed:   0.0  Current Speed:   3.2</t>
  </si>
  <si>
    <t>SYS :2016/12/14 19:27:46.397:ENFORCEMENT:Predictive Enforcement Action:  Target Number: 00001020  Target Speed:   0.0  Current Speed:   3.2</t>
  </si>
  <si>
    <t>SYS :2016/12/14 20:03:30.075:ENFORCEMENT:Predictive Enforcement Action:  Target Number: 0000A002  Target Speed:  10.0  Current Speed:  37.9</t>
  </si>
  <si>
    <t>SYS :2016/12/14 20:03:34.474:ENFORCEMENT:Predictive Enforcement Action:  Target Number: 0000A02F  Target Speed:  10.0  Current Speed:  32.7</t>
  </si>
  <si>
    <t>SYS :2016/12/14 20:03:34.634:ENFORCEMENT:Predictive Enforcement Action:  Target Number: 0000A02F  Target Speed:  10.0  Current Speed:  31.9</t>
  </si>
  <si>
    <t>SYS :2016/12/14 21:05:09.276:ENFORCEMENT:Predictive Enforcement Action:  Target Number: 00001022  Target Speed:   0.0  Current Speed:   8.6</t>
  </si>
  <si>
    <t>SYS :2016/12/14 21:48:54.478:ENFORCEMENT:Predictive Enforcement Action:  Target Number: 0000A030  Target Speed:  10.0  Current Speed:  25.2</t>
  </si>
  <si>
    <t>SYS :2016/12/14 21:48:54.641:ENFORCEMENT:Predictive Enforcement Action:  Target Number: 0000A030  Target Speed:  10.0  Current Speed:  24.7</t>
  </si>
  <si>
    <t>SYS :2016/12/14 21:48:55.069:ENFORCEMENT:Predictive Enforcement Action:  Target Number: 0000A003  Target Speed:  10.0  Current Speed:  24.7</t>
  </si>
  <si>
    <t>SYS :2016/12/14 22:48:51.273:ENFORCEMENT:Predictive Enforcement Action:  Target Number: 000102B7  Target Speed:  15.0  Current Speed:  34.0</t>
  </si>
  <si>
    <t>SYS :2016/12/14 22:48:51.958:ENFORCEMENT:Predictive Enforcement Action:  Target Number: 0001007D  Target Speed:  15.0  Current Speed:  34.0</t>
  </si>
  <si>
    <t>SYS :2016/12/14 22:48:52.396:ENFORCEMENT:Predictive Enforcement Action:  Target Number: 00010298  Target Speed:  15.0  Current Speed:  34.0</t>
  </si>
  <si>
    <t>SYS :2016/12/14 23:41:59.135:ENFORCEMENT:Reactive Enforcement Action:  Target Number: 000062CA  Target Speed:   0.0  Current Speed:   5.1</t>
  </si>
  <si>
    <t>SYS :2016/12/14 23:41:59.475:ENFORCEMENT:Reactive Enforcement Action:  Target Number: 00006303  Target Speed:   0.0  Current Speed:   6.0</t>
  </si>
  <si>
    <t>SYS :2016/12/14 23:42:01.118:ENFORCEMENT:Reactive Enforcement Action:  Target Number: 000062B8  Target Speed:   0.0  Current Speed:   6.8</t>
  </si>
  <si>
    <t>SYS :2016/12/14 23:42:41.456:ENFORCEMENT:Reactive Enforcement Action:  Target Number: 00006303  Target Speed:   0.0  Current Speed:   0.4</t>
  </si>
  <si>
    <t>SYS :2016/12/14 23:42:42.111:ENFORCEMENT:Reactive Enforcement Action:  Target Number: 000062B8  Target Speed:   0.0  Current Speed:   0.4</t>
  </si>
  <si>
    <t>SYS :2016/12/14 23:42:42.124:ENFORCEMENT:Reactive Enforcement Action:  Target Number: 000062CA  Target Speed:   0.0  Current Speed:   0.4</t>
  </si>
  <si>
    <t>SYS :2016/12/14 23:51:34.620:ENFORCEMENT:Predictive Enforcement Action:  Target Number: 0000102A  Target Speed:   0.0  Current Speed:  12.7</t>
  </si>
  <si>
    <t>SYS :2016/12/14 23:52:14.619:ENFORCEMENT:Predictive Enforcement Action:  Target Number: 0000102A  Target Speed:   0.0  Current Speed:   8.7</t>
  </si>
  <si>
    <t>SYS :2016/12/15 00:19:51.666:ENFORCEMENT:Predictive Enforcement Action:  Target Number: 00010255  Target Speed:  15.0  Current Speed:  28.1</t>
  </si>
  <si>
    <t>SYS :2016/12/15 00:19:51.712:ENFORCEMENT:Predictive Enforcement Action:  Target Number: 000101BE  Target Speed:  15.0  Current Speed:  28.1</t>
  </si>
  <si>
    <t>SYS :2016/12/15 00:19:52.465:ENFORCEMENT:Predictive Enforcement Action:  Target Number: 00010250  Target Speed:  15.0  Current Speed:  27.6</t>
  </si>
  <si>
    <t>SYS :2016/12/15 01:03:25.592:ENFORCEMENT:Predictive Enforcement Action:  Target Number: 0000A013  Target Speed:  10.0  Current Speed:  33.7</t>
  </si>
  <si>
    <t>SYS :2016/12/15 01:03:25.882:ENFORCEMENT:Predictive Enforcement Action:  Target Number: 0000A013  Target Speed:  10.0  Current Speed:  33.7</t>
  </si>
  <si>
    <t>SYS :2016/12/15 01:03:26.126:ENFORCEMENT:Predictive Enforcement Action:  Target Number: 0000A013  Target Speed:  10.0  Current Speed:  33.7</t>
  </si>
  <si>
    <t>SYS :2016/12/15 02:06:46.998:ENFORCEMENT:Predictive Enforcement Action:  Target Number: 00001017  Target Speed:   0.0  Current Speed:   3.8</t>
  </si>
  <si>
    <t>SYS :2016/12/15 02:33:01.023:ENFORCEMENT:Predictive Enforcement Action:  Target Number: 0000A005  Target Speed:  10.0  Current Speed:  44.6</t>
  </si>
  <si>
    <t>SYS :2016/12/15 02:48:08.893:ENFORCEMENT:Predictive Enforcement Action:  Target Number: 0000A014  Target Speed:  10.0  Current Speed:  58.6</t>
  </si>
  <si>
    <t>SYS :2016/12/15 02:48:09.133:ENFORCEMENT:Predictive Enforcement Action:  Target Number: 0000A014  Target Speed:  10.0  Current Speed:  58.6</t>
  </si>
  <si>
    <t>SYS :2016/12/15 02:48:09.600:ENFORCEMENT:Predictive Enforcement Action:  Target Number: 0000A014  Target Speed:  10.0  Current Speed:  58.6</t>
  </si>
  <si>
    <t>SYS :2016/12/15 03:33:30.993:ENFORCEMENT:Predictive Enforcement Action:  Target Number: 00001052  Target Speed:   0.0  Current Speed:   5.2</t>
  </si>
  <si>
    <t>SYS :2016/12/15 03:33:31.394:ENFORCEMENT:Predictive Enforcement Action:  Target Number: 0000104F  Target Speed:   0.0  Current Speed:   5.2</t>
  </si>
  <si>
    <t>SYS :2016/12/15 03:55:06.113:ENFORCEMENT:Predictive Enforcement Action:  Target Number: 00001055  Target Speed:   0.0  Current Speed:   5.2</t>
  </si>
  <si>
    <t>SYS :2016/12/15 03:55:06.458:ENFORCEMENT:Predictive Enforcement Action:  Target Number: 00001053  Target Speed:   0.0  Current Speed:   5.2</t>
  </si>
  <si>
    <t>SYS :2016/12/15 04:10:06.205:ENFORCEMENT:Predictive Enforcement Action:  Target Number: 0000100F  Target Speed:   0.0  Current Speed:   5.7</t>
  </si>
  <si>
    <t>SYS :2016/12/15 04:10:06.428:ENFORCEMENT:Predictive Enforcement Action:  Target Number: 00001014  Target Speed:   0.0  Current Speed:   5.7</t>
  </si>
  <si>
    <t>SYS :2016/12/15 04:36:28.698:ENFORCEMENT:Predictive Enforcement Action:  Target Number: 00001082  Target Speed:   0.0  Current Speed:   3.7</t>
  </si>
  <si>
    <t>SYS :2016/12/15 04:36:28.792:ENFORCEMENT:Predictive Enforcement Action:  Target Number: 00001076  Target Speed:   0.0  Current Speed:   3.7</t>
  </si>
  <si>
    <t>SYS :2016/12/15 04:36:28.835:ENFORCEMENT:Predictive Enforcement Action:  Target Number: 00001045  Target Speed:   0.0  Current Speed:   3.7</t>
  </si>
  <si>
    <t>SYS :2016/12/15 05:30:06.715:ENFORCEMENT:Predictive Enforcement Action:  Target Number: 0001077B  Target Speed:  30.0  Current Speed:  39.4</t>
  </si>
  <si>
    <t>SYS :2016/12/15 05:30:06.807:ENFORCEMENT:Predictive Enforcement Action:  Target Number: 000106B6  Target Speed:  30.0  Current Speed:  39.4</t>
  </si>
  <si>
    <t>SYS :2016/12/15 05:30:06.852:ENFORCEMENT:Predictive Enforcement Action:  Target Number: 00010316  Target Speed:  30.0  Current Speed:  39.4</t>
  </si>
  <si>
    <t>SYS :2016/12/15 06:29:05.594:ENFORCEMENT:Reactive Enforcement Action:  Target Number: 000101A7  Target Speed:  35.0  Current Speed:  40.0</t>
  </si>
  <si>
    <t>SYS :2016/12/15 06:29:05.877:ENFORCEMENT:Reactive Enforcement Action:  Target Number: 000101A4  Target Speed:  35.0  Current Speed:  40.0</t>
  </si>
  <si>
    <t>SYS :2016/12/15 06:29:06.133:ENFORCEMENT:Reactive Enforcement Action:  Target Number: 000101A7  Target Speed:  35.0  Current Speed:  40.0</t>
  </si>
  <si>
    <t>SYS :2016/12/15 08:03:31.211:ENFORCEMENT:Predictive Enforcement Action:  Target Number: 00001013  Target Speed:   0.0  Current Speed:   6.0</t>
  </si>
  <si>
    <t>SYS :2016/12/15 08:03:31.442:ENFORCEMENT:Predictive Enforcement Action:  Target Number: 00001018  Target Speed:   0.0  Current Speed:   6.0</t>
  </si>
  <si>
    <t>SYS :2016/12/15 08:03:32.067:ENFORCEMENT:Predictive Enforcement Action:  Target Number: 00001038  Target Speed:   0.0  Current Speed:   6.0</t>
  </si>
  <si>
    <t>103-15</t>
  </si>
  <si>
    <t>108-15</t>
  </si>
  <si>
    <t>116-15</t>
  </si>
  <si>
    <t>rtdc.l.rtdc.4010:itc</t>
  </si>
  <si>
    <t>118-15</t>
  </si>
  <si>
    <t>807-15</t>
  </si>
  <si>
    <t>129-15</t>
  </si>
  <si>
    <t>131-15</t>
  </si>
  <si>
    <t>126-15</t>
  </si>
  <si>
    <t>137-15</t>
  </si>
  <si>
    <t>811-15</t>
  </si>
  <si>
    <t>140-15</t>
  </si>
  <si>
    <t>146-15</t>
  </si>
  <si>
    <t>156-15</t>
  </si>
  <si>
    <t>819-15</t>
  </si>
  <si>
    <t>821-15</t>
  </si>
  <si>
    <t>177-15</t>
  </si>
  <si>
    <t>172-15</t>
  </si>
  <si>
    <t>184-15</t>
  </si>
  <si>
    <t>904-15</t>
  </si>
  <si>
    <t>199-15</t>
  </si>
  <si>
    <t>828-15</t>
  </si>
  <si>
    <t>200-15</t>
  </si>
  <si>
    <t>831-15</t>
  </si>
  <si>
    <t>77-15</t>
  </si>
  <si>
    <t>834-15</t>
  </si>
  <si>
    <t>835-15</t>
  </si>
  <si>
    <t>222-15</t>
  </si>
  <si>
    <t>844-15</t>
  </si>
  <si>
    <t>302-15</t>
  </si>
  <si>
    <t>101-15</t>
  </si>
  <si>
    <t>304-15</t>
  </si>
  <si>
    <t>306-15</t>
  </si>
  <si>
    <t>ROBINSON</t>
  </si>
  <si>
    <t>KADDIBA</t>
  </si>
  <si>
    <t>105-15</t>
  </si>
  <si>
    <t>102-15</t>
  </si>
  <si>
    <t>308-15</t>
  </si>
  <si>
    <t>STRICKLAND</t>
  </si>
  <si>
    <t>EVAN</t>
  </si>
  <si>
    <t>310-15</t>
  </si>
  <si>
    <t>SIMONEAUX</t>
  </si>
  <si>
    <t>TERA</t>
  </si>
  <si>
    <t>107-15</t>
  </si>
  <si>
    <t>109-15</t>
  </si>
  <si>
    <t>911-15</t>
  </si>
  <si>
    <t>ALEXANDER</t>
  </si>
  <si>
    <t>DONNELL</t>
  </si>
  <si>
    <t>113-15</t>
  </si>
  <si>
    <t>111-15</t>
  </si>
  <si>
    <t>106-15</t>
  </si>
  <si>
    <t>800-15</t>
  </si>
  <si>
    <t>115-15</t>
  </si>
  <si>
    <t>801-15</t>
  </si>
  <si>
    <t>117-15</t>
  </si>
  <si>
    <t>110-15</t>
  </si>
  <si>
    <t>112-15</t>
  </si>
  <si>
    <t>912-15</t>
  </si>
  <si>
    <t>119-15</t>
  </si>
  <si>
    <t>114-15</t>
  </si>
  <si>
    <t>802-15</t>
  </si>
  <si>
    <t>121-15</t>
  </si>
  <si>
    <t>803-15</t>
  </si>
  <si>
    <t>123-15</t>
  </si>
  <si>
    <t>805-15</t>
  </si>
  <si>
    <t>804-15</t>
  </si>
  <si>
    <t>125-15</t>
  </si>
  <si>
    <t>120-15</t>
  </si>
  <si>
    <t>127-15</t>
  </si>
  <si>
    <t>122-15</t>
  </si>
  <si>
    <t>806-15</t>
  </si>
  <si>
    <t>124-15</t>
  </si>
  <si>
    <t>809-15</t>
  </si>
  <si>
    <t>808-15</t>
  </si>
  <si>
    <t>133-15</t>
  </si>
  <si>
    <t>128-15</t>
  </si>
  <si>
    <t>130-15</t>
  </si>
  <si>
    <t>135-15</t>
  </si>
  <si>
    <t>810-15</t>
  </si>
  <si>
    <t>132-15</t>
  </si>
  <si>
    <t>139-15</t>
  </si>
  <si>
    <t>903-15</t>
  </si>
  <si>
    <t>134-15</t>
  </si>
  <si>
    <t>812-15</t>
  </si>
  <si>
    <t>141-15</t>
  </si>
  <si>
    <t>136-15</t>
  </si>
  <si>
    <t>813-15</t>
  </si>
  <si>
    <t>143-15</t>
  </si>
  <si>
    <t>138-15</t>
  </si>
  <si>
    <t>145-15</t>
  </si>
  <si>
    <t>147-15</t>
  </si>
  <si>
    <t>142-15</t>
  </si>
  <si>
    <t>814-15</t>
  </si>
  <si>
    <t>149-15</t>
  </si>
  <si>
    <t>144-15</t>
  </si>
  <si>
    <t>815-15</t>
  </si>
  <si>
    <t>151-15</t>
  </si>
  <si>
    <t>153-15</t>
  </si>
  <si>
    <t>148-15</t>
  </si>
  <si>
    <t>rtdc.l.rtdc.4026:itc</t>
  </si>
  <si>
    <t>50-15</t>
  </si>
  <si>
    <t>155-15</t>
  </si>
  <si>
    <t>150-15</t>
  </si>
  <si>
    <t>816-15</t>
  </si>
  <si>
    <t>157-15</t>
  </si>
  <si>
    <t>152-15</t>
  </si>
  <si>
    <t>159-15</t>
  </si>
  <si>
    <t>817-15</t>
  </si>
  <si>
    <t>154-15</t>
  </si>
  <si>
    <t>161-15</t>
  </si>
  <si>
    <t>SHOOK</t>
  </si>
  <si>
    <t>rtdc.l.rtdc.4025:itc</t>
  </si>
  <si>
    <t>51-15</t>
  </si>
  <si>
    <t>158-15</t>
  </si>
  <si>
    <t>163-15</t>
  </si>
  <si>
    <t>165-15</t>
  </si>
  <si>
    <t>818-15</t>
  </si>
  <si>
    <t>160-15</t>
  </si>
  <si>
    <t>167-15</t>
  </si>
  <si>
    <t>162-15</t>
  </si>
  <si>
    <t>169-15</t>
  </si>
  <si>
    <t>164-15</t>
  </si>
  <si>
    <t>171-15</t>
  </si>
  <si>
    <t>166-15</t>
  </si>
  <si>
    <t>820-15</t>
  </si>
  <si>
    <t>173-15</t>
  </si>
  <si>
    <t>168-15</t>
  </si>
  <si>
    <t>170-15</t>
  </si>
  <si>
    <t>175-15</t>
  </si>
  <si>
    <t>179-15</t>
  </si>
  <si>
    <t>174-15</t>
  </si>
  <si>
    <t>822-15</t>
  </si>
  <si>
    <t>181-15</t>
  </si>
  <si>
    <t>176-15</t>
  </si>
  <si>
    <t>183-15</t>
  </si>
  <si>
    <t>178-15</t>
  </si>
  <si>
    <t>185-15</t>
  </si>
  <si>
    <t>823-15</t>
  </si>
  <si>
    <t>180-15</t>
  </si>
  <si>
    <t>187-15</t>
  </si>
  <si>
    <t>182-15</t>
  </si>
  <si>
    <t>824-15</t>
  </si>
  <si>
    <t>189-15</t>
  </si>
  <si>
    <t>191-15</t>
  </si>
  <si>
    <t>88-15</t>
  </si>
  <si>
    <t>186-15</t>
  </si>
  <si>
    <t>193-15</t>
  </si>
  <si>
    <t>188-15</t>
  </si>
  <si>
    <t>825-15</t>
  </si>
  <si>
    <t>195-15</t>
  </si>
  <si>
    <t>CRAYTON</t>
  </si>
  <si>
    <t>QUNTRELL</t>
  </si>
  <si>
    <t>190-15</t>
  </si>
  <si>
    <t>827-15</t>
  </si>
  <si>
    <t>826-15</t>
  </si>
  <si>
    <t>197-15</t>
  </si>
  <si>
    <t>192-15</t>
  </si>
  <si>
    <t>194-15</t>
  </si>
  <si>
    <t>201-15</t>
  </si>
  <si>
    <t>196-15</t>
  </si>
  <si>
    <t>829-15</t>
  </si>
  <si>
    <t>203-15</t>
  </si>
  <si>
    <t>830-15</t>
  </si>
  <si>
    <t>198-15</t>
  </si>
  <si>
    <t>205-15</t>
  </si>
  <si>
    <t>207-15</t>
  </si>
  <si>
    <t>202-15</t>
  </si>
  <si>
    <t>72-15</t>
  </si>
  <si>
    <t>832-15</t>
  </si>
  <si>
    <t>209-15</t>
  </si>
  <si>
    <t>204-15</t>
  </si>
  <si>
    <t>833-15</t>
  </si>
  <si>
    <t>STORY</t>
  </si>
  <si>
    <t>SAMANTHA</t>
  </si>
  <si>
    <t>211-15</t>
  </si>
  <si>
    <t>206-15</t>
  </si>
  <si>
    <t>208-15</t>
  </si>
  <si>
    <t>213-15</t>
  </si>
  <si>
    <t>86-15</t>
  </si>
  <si>
    <t>MACDONALD</t>
  </si>
  <si>
    <t>THOMAS</t>
  </si>
  <si>
    <t>215-15</t>
  </si>
  <si>
    <t>75-15</t>
  </si>
  <si>
    <t>210-15</t>
  </si>
  <si>
    <t>836-15</t>
  </si>
  <si>
    <t>217-15</t>
  </si>
  <si>
    <t>212-15</t>
  </si>
  <si>
    <t>837-15</t>
  </si>
  <si>
    <t>219-15</t>
  </si>
  <si>
    <t>839-15</t>
  </si>
  <si>
    <t>214-15</t>
  </si>
  <si>
    <t>838-15</t>
  </si>
  <si>
    <t>216-15</t>
  </si>
  <si>
    <t>303-15</t>
  </si>
  <si>
    <t>221-15</t>
  </si>
  <si>
    <t>218-15</t>
  </si>
  <si>
    <t>906-15</t>
  </si>
  <si>
    <t>220-15</t>
  </si>
  <si>
    <t>305-15</t>
  </si>
  <si>
    <t>841-15</t>
  </si>
  <si>
    <t>223-15</t>
  </si>
  <si>
    <t>840-15</t>
  </si>
  <si>
    <t>307-15</t>
  </si>
  <si>
    <t>225-15</t>
  </si>
  <si>
    <t>843-15</t>
  </si>
  <si>
    <t>224-15</t>
  </si>
  <si>
    <t>227-15</t>
  </si>
  <si>
    <t>GREGORY</t>
  </si>
  <si>
    <t>842-15</t>
  </si>
  <si>
    <t>229-15</t>
  </si>
  <si>
    <t>226-15</t>
  </si>
  <si>
    <t>845-15</t>
  </si>
  <si>
    <t>228-15</t>
  </si>
  <si>
    <t>231-15</t>
  </si>
  <si>
    <t>230-15</t>
  </si>
  <si>
    <t>847-15</t>
  </si>
  <si>
    <t>233-15</t>
  </si>
  <si>
    <t>232-15</t>
  </si>
  <si>
    <t>235-15</t>
  </si>
  <si>
    <t>908-15</t>
  </si>
  <si>
    <t>234-15</t>
  </si>
  <si>
    <t>237-15</t>
  </si>
  <si>
    <t>82-15</t>
  </si>
  <si>
    <t>SAF-16</t>
  </si>
  <si>
    <t>Mostly Cloudy</t>
  </si>
  <si>
    <t>204:775</t>
  </si>
  <si>
    <t>204:232679</t>
  </si>
  <si>
    <t>204:19199</t>
  </si>
  <si>
    <t>204:86380</t>
  </si>
  <si>
    <t>204:744</t>
  </si>
  <si>
    <t>204:754</t>
  </si>
  <si>
    <t>204:233378</t>
  </si>
  <si>
    <t>204:232772</t>
  </si>
  <si>
    <t>204:123</t>
  </si>
  <si>
    <t>204:233334</t>
  </si>
  <si>
    <t>204:442</t>
  </si>
  <si>
    <t>204:232979</t>
  </si>
  <si>
    <t>204:717</t>
  </si>
  <si>
    <t>204:233276</t>
  </si>
  <si>
    <t>204:232959</t>
  </si>
  <si>
    <t>204:774</t>
  </si>
  <si>
    <t>204:233013</t>
  </si>
  <si>
    <t>204:233319</t>
  </si>
  <si>
    <t>204:739</t>
  </si>
  <si>
    <t>204:233009</t>
  </si>
  <si>
    <t>204:232973</t>
  </si>
  <si>
    <t>204:1205</t>
  </si>
  <si>
    <t>204:232970</t>
  </si>
  <si>
    <t>204:232988</t>
  </si>
  <si>
    <t>204:233236</t>
  </si>
  <si>
    <t>204:232921</t>
  </si>
  <si>
    <t>204:233015</t>
  </si>
  <si>
    <t>204:233331</t>
  </si>
  <si>
    <t>204:233049</t>
  </si>
  <si>
    <t>204:233341</t>
  </si>
  <si>
    <t>204:130</t>
  </si>
  <si>
    <t>204:233325</t>
  </si>
  <si>
    <t>204:233004</t>
  </si>
  <si>
    <t>204:233359</t>
  </si>
  <si>
    <t>204:233046</t>
  </si>
  <si>
    <t>204:233340</t>
  </si>
  <si>
    <t>204:167</t>
  </si>
  <si>
    <t>204:232992</t>
  </si>
  <si>
    <t>204:233266</t>
  </si>
  <si>
    <t>204:449</t>
  </si>
  <si>
    <t>204:233308</t>
  </si>
  <si>
    <t>204:233316</t>
  </si>
  <si>
    <t>204:194</t>
  </si>
  <si>
    <t>204:205</t>
  </si>
  <si>
    <t>204:232965</t>
  </si>
  <si>
    <t>204:128004</t>
  </si>
  <si>
    <t>204:233019</t>
  </si>
  <si>
    <t>204:233311</t>
  </si>
  <si>
    <t>204:233005</t>
  </si>
  <si>
    <t>204:513</t>
  </si>
  <si>
    <t>204:54041</t>
  </si>
  <si>
    <t>204:36793</t>
  </si>
  <si>
    <t>204:1220</t>
  </si>
  <si>
    <t>204:169</t>
  </si>
  <si>
    <t>204:488</t>
  </si>
  <si>
    <t>204:233310</t>
  </si>
  <si>
    <t>204:154356</t>
  </si>
  <si>
    <t>204:154980</t>
  </si>
  <si>
    <t>204:233385</t>
  </si>
  <si>
    <t>204:233074</t>
  </si>
  <si>
    <t>204:233010</t>
  </si>
  <si>
    <t>204:407</t>
  </si>
  <si>
    <t>204:233342</t>
  </si>
  <si>
    <t>204:233030</t>
  </si>
  <si>
    <t>204:114</t>
  </si>
  <si>
    <t>204:431</t>
  </si>
  <si>
    <t>204:233324</t>
  </si>
  <si>
    <t>300:19893</t>
  </si>
  <si>
    <t>204:129</t>
  </si>
  <si>
    <t>300:23299</t>
  </si>
  <si>
    <t>300:23213</t>
  </si>
  <si>
    <t>300:13131</t>
  </si>
  <si>
    <t>300:23239</t>
  </si>
  <si>
    <t>300:23306</t>
  </si>
  <si>
    <t>300:21500</t>
  </si>
  <si>
    <t>300:22064</t>
  </si>
  <si>
    <t>300:21767</t>
  </si>
  <si>
    <t>204:126</t>
  </si>
  <si>
    <t>204:424</t>
  </si>
  <si>
    <t>300:24231</t>
  </si>
  <si>
    <t>300:23548</t>
  </si>
  <si>
    <t>204:88</t>
  </si>
  <si>
    <t>204:403</t>
  </si>
  <si>
    <t>204:1532</t>
  </si>
  <si>
    <t>300:22635</t>
  </si>
  <si>
    <t>300:58619</t>
  </si>
  <si>
    <t>204:1023</t>
  </si>
  <si>
    <t>204:719</t>
  </si>
  <si>
    <t>204:972</t>
  </si>
  <si>
    <t>300:59007</t>
  </si>
  <si>
    <t>300:58687</t>
  </si>
  <si>
    <t>204:703</t>
  </si>
  <si>
    <t>204:1021</t>
  </si>
  <si>
    <t>300:58920</t>
  </si>
  <si>
    <t>300:58600</t>
  </si>
  <si>
    <t>300:58698</t>
  </si>
  <si>
    <t>204:696</t>
  </si>
  <si>
    <t>204:1014</t>
  </si>
  <si>
    <t>300:58946</t>
  </si>
  <si>
    <t>204:771</t>
  </si>
  <si>
    <t>300:58673</t>
  </si>
  <si>
    <t>204:705</t>
  </si>
  <si>
    <t>300:58992</t>
  </si>
  <si>
    <t>300:58679</t>
  </si>
  <si>
    <t>204:692</t>
  </si>
  <si>
    <t>300:58997</t>
  </si>
  <si>
    <t>300:58672</t>
  </si>
  <si>
    <t>300:58636</t>
  </si>
  <si>
    <t>204:964</t>
  </si>
  <si>
    <t>204:128011</t>
  </si>
  <si>
    <t>204:67256</t>
  </si>
  <si>
    <t>204:128015</t>
  </si>
  <si>
    <t>204:67170</t>
  </si>
  <si>
    <t>204:232654</t>
  </si>
  <si>
    <t>204:67356</t>
  </si>
  <si>
    <t>204:67502</t>
  </si>
  <si>
    <t>204:128270</t>
  </si>
  <si>
    <t>204:67585</t>
  </si>
  <si>
    <t>204:128276</t>
  </si>
  <si>
    <t>204:68321</t>
  </si>
  <si>
    <t>204:128278</t>
  </si>
  <si>
    <t>300:58702</t>
  </si>
  <si>
    <t>204:983</t>
  </si>
  <si>
    <t>300:58621</t>
  </si>
  <si>
    <t>204:766</t>
  </si>
  <si>
    <t>204:1035</t>
  </si>
  <si>
    <t>204:617</t>
  </si>
  <si>
    <t>204:937</t>
  </si>
  <si>
    <t>300:58914</t>
  </si>
  <si>
    <t>300:58602</t>
  </si>
  <si>
    <t>204:764</t>
  </si>
  <si>
    <t>204:1049</t>
  </si>
  <si>
    <t>300:58617</t>
  </si>
  <si>
    <t>204:734</t>
  </si>
  <si>
    <t>204:1027</t>
  </si>
  <si>
    <t>204:794</t>
  </si>
  <si>
    <t>204:985</t>
  </si>
  <si>
    <t>300:58810</t>
  </si>
  <si>
    <t>300:58609</t>
  </si>
  <si>
    <t>204:1077</t>
  </si>
  <si>
    <t>300:58976</t>
  </si>
  <si>
    <t>204:610</t>
  </si>
  <si>
    <t>204:1000</t>
  </si>
  <si>
    <t>300:58926</t>
  </si>
  <si>
    <t>300:58608</t>
  </si>
  <si>
    <t>204:906</t>
  </si>
  <si>
    <t>204:990</t>
  </si>
  <si>
    <t>300:58517</t>
  </si>
  <si>
    <t>204:656</t>
  </si>
  <si>
    <t>204:1032</t>
  </si>
  <si>
    <t>300:58929</t>
  </si>
  <si>
    <t>204:951</t>
  </si>
  <si>
    <t>300:21788</t>
  </si>
  <si>
    <t>204:2009</t>
  </si>
  <si>
    <t>204:615</t>
  </si>
  <si>
    <t>204:1076</t>
  </si>
  <si>
    <t>300:24256</t>
  </si>
  <si>
    <t>300:23368</t>
  </si>
  <si>
    <t>204:671</t>
  </si>
  <si>
    <t>300:28789</t>
  </si>
  <si>
    <t>300:21562</t>
  </si>
  <si>
    <t>300:30099</t>
  </si>
  <si>
    <t>300:23459</t>
  </si>
  <si>
    <t>204:128008</t>
  </si>
  <si>
    <t>204:67355</t>
  </si>
  <si>
    <t>204:67182</t>
  </si>
  <si>
    <t>204:67559</t>
  </si>
  <si>
    <t>204:128269</t>
  </si>
  <si>
    <t>204:67681</t>
  </si>
  <si>
    <t>204:128272</t>
  </si>
  <si>
    <t>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t>
  </si>
  <si>
    <t>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t>
  </si>
  <si>
    <t>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t>
  </si>
  <si>
    <t>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t>
  </si>
  <si>
    <t>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t>
  </si>
  <si>
    <t>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t>
  </si>
  <si>
    <t>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t>
  </si>
  <si>
    <t>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t>
  </si>
  <si>
    <t>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t>
  </si>
  <si>
    <t>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t>
  </si>
  <si>
    <t>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t>
  </si>
  <si>
    <t>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t>
  </si>
  <si>
    <t>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t>
  </si>
  <si>
    <t>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t>
  </si>
  <si>
    <t>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t>
  </si>
  <si>
    <t>Poor GPS at DUS, then cut out due to faults observed on screen (analysis shows faults were only nuisance faults)</t>
  </si>
  <si>
    <t>Premature downgrade at 40th 2N</t>
  </si>
  <si>
    <t>At 13:37:11, 40th 2N dropped from proceed cab to stop. Do logs tell us anything? Anything to do with 2T/2TA SE-3 issue?</t>
  </si>
  <si>
    <t>Quebec 4S stuck at STOP - XING dependency?</t>
  </si>
  <si>
    <t>Around 15:13:48, a train approached Quebec 4S and the dispatcher was unable to clear it. Was this because the clear attempt was sent too late and the signal system was waiting for the XING bits to come in? Or something else?</t>
  </si>
  <si>
    <t>Braking without banner @ 16:10, then overshot platform</t>
  </si>
  <si>
    <t>Onboard in-route failure</t>
  </si>
  <si>
    <t>236-15</t>
  </si>
  <si>
    <t>238-15</t>
  </si>
  <si>
    <t>239-15</t>
  </si>
  <si>
    <t>240-15</t>
  </si>
  <si>
    <t>241-15</t>
  </si>
  <si>
    <t>242-15</t>
  </si>
  <si>
    <t>243-15</t>
  </si>
  <si>
    <t>244-15</t>
  </si>
  <si>
    <t>104-15</t>
  </si>
  <si>
    <t>Did not init</t>
  </si>
  <si>
    <t>Early arrival</t>
  </si>
  <si>
    <t>Pena 4S STOP</t>
  </si>
  <si>
    <t>Overspeed (RESTRICTED aspect)</t>
  </si>
  <si>
    <t>Ran ATC to support EC Subdiv 80 cutover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</si>
</sst>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5">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1" fillId="0" borderId="0" xfId="0" applyNumberFormat="1" applyFont="1" applyBorder="1" applyAlignment="1">
      <alignment horizontal="center" wrapText="1"/>
    </xf>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7" fontId="1" fillId="0" borderId="0" xfId="0" applyNumberFormat="1" applyFont="1"/>
    <xf numFmtId="2" fontId="1" fillId="0" borderId="0" xfId="0" applyNumberFormat="1" applyFont="1"/>
    <xf numFmtId="169" fontId="0" fillId="0" borderId="0" xfId="0" applyNumberFormat="1" applyAlignment="1">
      <alignment horizontal="left"/>
    </xf>
    <xf numFmtId="169" fontId="1" fillId="0" borderId="0" xfId="0" applyNumberFormat="1" applyFont="1" applyBorder="1" applyAlignment="1">
      <alignment horizontal="left" wrapText="1"/>
    </xf>
    <xf numFmtId="169" fontId="0" fillId="0" borderId="5" xfId="0" applyNumberFormat="1" applyBorder="1" applyAlignment="1">
      <alignment horizontal="left"/>
    </xf>
    <xf numFmtId="0" fontId="1" fillId="0" borderId="0" xfId="0" applyNumberFormat="1" applyFont="1"/>
    <xf numFmtId="0" fontId="0" fillId="0" borderId="0" xfId="0" applyNumberForma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0" fillId="0" borderId="0" xfId="0" applyNumberFormat="1" applyAlignment="1"/>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48"/>
  <sheetViews>
    <sheetView tabSelected="1" zoomScaleNormal="100" workbookViewId="0">
      <selection activeCell="R14" sqref="R14:R18"/>
    </sheetView>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1.7109375" style="28" customWidth="1"/>
    <col min="13" max="13" width="7.42578125" style="40" customWidth="1"/>
    <col min="14" max="14" width="4.42578125" style="41" customWidth="1"/>
    <col min="15" max="15" width="3.7109375" style="2" customWidth="1"/>
    <col min="16" max="16" width="3.42578125" style="2" customWidth="1"/>
    <col min="17" max="17" width="3.7109375" hidden="1" customWidth="1"/>
    <col min="18" max="18" width="30.5703125" customWidth="1"/>
    <col min="19" max="19" width="6" style="21" customWidth="1"/>
    <col min="20" max="20" width="3.85546875" customWidth="1"/>
    <col min="21" max="21" width="5" style="165" customWidth="1"/>
    <col min="22" max="22" width="5.7109375" style="96" customWidth="1"/>
    <col min="23" max="23" width="3.85546875" style="20" customWidth="1"/>
    <col min="24" max="24" width="6.5703125" style="175"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1"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105</v>
      </c>
      <c r="J1" s="41"/>
      <c r="K1" s="28"/>
      <c r="L1" s="28"/>
      <c r="M1" s="40"/>
      <c r="N1" s="41"/>
      <c r="O1" s="2"/>
      <c r="P1" s="2"/>
      <c r="R1" s="38" t="s">
        <v>106</v>
      </c>
      <c r="S1" s="41"/>
      <c r="T1" s="28"/>
      <c r="U1" s="166"/>
      <c r="V1" s="40"/>
      <c r="W1" s="41"/>
      <c r="X1" s="165"/>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42719</v>
      </c>
      <c r="J2" s="72"/>
      <c r="K2" s="73"/>
      <c r="L2" s="73"/>
      <c r="M2" s="74" t="s">
        <v>8</v>
      </c>
      <c r="N2" s="75"/>
      <c r="O2" s="76"/>
      <c r="P2" s="2"/>
      <c r="R2" s="71">
        <f>Variables!$A$2</f>
        <v>42719</v>
      </c>
      <c r="S2" s="72"/>
      <c r="T2" s="73"/>
      <c r="U2" s="167"/>
      <c r="V2" s="94" t="s">
        <v>8</v>
      </c>
      <c r="W2" s="75"/>
      <c r="X2" s="172"/>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68"/>
      <c r="V3" s="42" t="s">
        <v>11</v>
      </c>
      <c r="W3" s="43" t="s">
        <v>12</v>
      </c>
      <c r="X3" s="173"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47</v>
      </c>
      <c r="T4" s="44"/>
      <c r="U4" s="169"/>
      <c r="V4" s="45" t="s">
        <v>15</v>
      </c>
      <c r="W4" s="43" t="s">
        <v>15</v>
      </c>
      <c r="X4" s="173"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COUNTIFS($N$13:$N$9369,"&gt;0",$AG$13:$AG$9369,I1)</f>
        <v>131</v>
      </c>
      <c r="K5" s="44"/>
      <c r="L5" s="44"/>
      <c r="M5" s="45">
        <f>AVERAGEIFS($N$13:$N$9369,$AG$13:$AG$9369,I1)</f>
        <v>38.367684478080612</v>
      </c>
      <c r="N5" s="43">
        <f t="array" ref="N5">MIN(IF($AG$13:$AG$9369=I1,IF(ISNUMBER($N$13:$N$9369),IF($N$13:$N$9369&gt;0,$N$13:$N$9369))))</f>
        <v>34.133333328645676</v>
      </c>
      <c r="O5" s="3">
        <f t="array" ref="O5">MAX(IF($AG$13:$AG$9369=I1,IF(ISNUMBER($N$13:$N$9369),IF($N$13:$N$9369&gt;0,$N$13:$N$9369))))</f>
        <v>45.799999998416752</v>
      </c>
      <c r="P5" s="2"/>
      <c r="R5" s="80" t="s">
        <v>17</v>
      </c>
      <c r="S5" s="55">
        <f>COUNTIFS($N$13:$N$9369,"&gt;0",$AG$13:$AG$9369,R1)</f>
        <v>46</v>
      </c>
      <c r="T5" s="44"/>
      <c r="U5" s="169"/>
      <c r="V5" s="45">
        <f>AVERAGEIFS($N$13:$N$9369,$AG$13:$AG$9369,R1)</f>
        <v>14.641304346808719</v>
      </c>
      <c r="W5" s="43">
        <f t="array" ref="W5">MIN(IF($AG$13:$AG$9369=R1,IF(ISNUMBER($N$13:$N$9369),IF($N$13:$N$9369&gt;0,$N$13:$N$9369))))</f>
        <v>12.516666658921167</v>
      </c>
      <c r="X5" s="173">
        <f t="array" ref="X5">MAX(IF($AG$13:$AG$9369=R1,IF(ISNUMBER($N$13:$N$9369),IF($N$13:$N$9369&gt;0,$N$13:$N$9369))))</f>
        <v>17.066666664322838</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COUNT($O$13:$O$148)</f>
        <v>0</v>
      </c>
      <c r="K6" s="44"/>
      <c r="L6" s="44"/>
      <c r="M6" s="45">
        <f>IFERROR(AVERAGE($O$13:$O$148),0)</f>
        <v>0</v>
      </c>
      <c r="N6" s="43">
        <f>MIN($O$13:$O$148)</f>
        <v>0</v>
      </c>
      <c r="O6" s="3">
        <f>MAX($O$13:$O$148)</f>
        <v>0</v>
      </c>
      <c r="P6" s="2"/>
      <c r="R6" s="81" t="s">
        <v>43</v>
      </c>
      <c r="S6" s="55">
        <f>COUNT($O$13:$O$148)</f>
        <v>0</v>
      </c>
      <c r="T6" s="44"/>
      <c r="U6" s="169"/>
      <c r="V6" s="45">
        <f>IFERROR(AVERAGE($O$13:$O$148),0)</f>
        <v>0</v>
      </c>
      <c r="W6" s="43">
        <f>MIN($O$13:$O$148)</f>
        <v>0</v>
      </c>
      <c r="X6" s="173">
        <f>MAX($O$13:$O$148)</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COUNTIFS($P$13:$P$9369,"&gt;0",$AG$13:$AG$9369,I1)</f>
        <v>13</v>
      </c>
      <c r="K7" s="44"/>
      <c r="L7" s="44"/>
      <c r="M7" s="43" t="s">
        <v>15</v>
      </c>
      <c r="N7" s="43" t="s">
        <v>15</v>
      </c>
      <c r="O7" s="3" t="s">
        <v>15</v>
      </c>
      <c r="P7" s="2"/>
      <c r="R7" s="82" t="s">
        <v>9</v>
      </c>
      <c r="S7" s="55">
        <f>COUNTIFS($P$13:$P$9369,"&gt;0",$AG$13:$AG$9369,R1)</f>
        <v>1</v>
      </c>
      <c r="T7" s="44"/>
      <c r="U7" s="169"/>
      <c r="V7" s="45" t="s">
        <v>15</v>
      </c>
      <c r="W7" s="43" t="s">
        <v>15</v>
      </c>
      <c r="X7" s="173"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131</v>
      </c>
      <c r="K8" s="44"/>
      <c r="L8" s="44"/>
      <c r="M8" s="45">
        <f>M5</f>
        <v>38.367684478080612</v>
      </c>
      <c r="N8" s="43">
        <f>N5</f>
        <v>34.133333328645676</v>
      </c>
      <c r="O8" s="3">
        <f>O5</f>
        <v>45.799999998416752</v>
      </c>
      <c r="P8" s="2"/>
      <c r="R8" s="80" t="s">
        <v>16</v>
      </c>
      <c r="S8" s="55">
        <f>S5</f>
        <v>46</v>
      </c>
      <c r="T8" s="44"/>
      <c r="U8" s="169"/>
      <c r="V8" s="45">
        <f>V5</f>
        <v>14.641304346808719</v>
      </c>
      <c r="W8" s="43">
        <f>W5</f>
        <v>12.516666658921167</v>
      </c>
      <c r="X8" s="173">
        <f>X5</f>
        <v>17.066666664322838</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46">
        <f>J8/J4</f>
        <v>0.90972222222222221</v>
      </c>
      <c r="K9" s="46"/>
      <c r="L9" s="46"/>
      <c r="M9" s="83"/>
      <c r="N9" s="41"/>
      <c r="O9" s="84"/>
      <c r="P9" s="2"/>
      <c r="R9" s="80" t="s">
        <v>19</v>
      </c>
      <c r="S9" s="146">
        <f>S8/S4</f>
        <v>0.97872340425531912</v>
      </c>
      <c r="T9" s="46"/>
      <c r="U9" s="166"/>
      <c r="V9" s="83"/>
      <c r="W9" s="41"/>
      <c r="X9" s="174"/>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65"/>
      <c r="V10" s="95"/>
      <c r="W10" s="20"/>
      <c r="X10" s="175"/>
      <c r="Y10" s="65"/>
      <c r="Z10" s="65"/>
      <c r="AA10" s="65"/>
      <c r="AB10" s="62"/>
      <c r="AC10" s="56"/>
      <c r="AD10" s="57"/>
      <c r="AE10" s="1"/>
      <c r="AF10" s="1"/>
      <c r="AG10" s="1"/>
      <c r="AH10" s="53"/>
      <c r="AI10" s="1"/>
    </row>
    <row r="11" spans="1:91" ht="16.5" thickBot="1" x14ac:dyDescent="0.3">
      <c r="A11" s="183" t="str">
        <f>"Eagle P3 System Performance - "&amp;TEXT(Variables!A2,"yyyy-mm-dd")</f>
        <v>Eagle P3 System Performance - 2016-12-15</v>
      </c>
      <c r="B11" s="183"/>
      <c r="C11" s="183"/>
      <c r="D11" s="183"/>
      <c r="E11" s="183"/>
      <c r="F11" s="183"/>
      <c r="G11" s="183"/>
      <c r="H11" s="183"/>
      <c r="I11" s="183"/>
      <c r="J11" s="183"/>
      <c r="K11" s="183"/>
      <c r="L11" s="183"/>
      <c r="M11" s="183"/>
      <c r="N11" s="183"/>
      <c r="O11" s="183"/>
      <c r="P11" s="183"/>
      <c r="S11" s="69">
        <f>AVERAGE(S13:S104)</f>
        <v>0.99531835205992525</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70" t="s">
        <v>65</v>
      </c>
      <c r="V12" s="97" t="s">
        <v>45</v>
      </c>
      <c r="W12" s="51" t="s">
        <v>23</v>
      </c>
      <c r="X12" s="176" t="s">
        <v>48</v>
      </c>
      <c r="Y12" s="66" t="s">
        <v>20</v>
      </c>
      <c r="Z12" s="66" t="s">
        <v>21</v>
      </c>
      <c r="AA12" s="66" t="s">
        <v>22</v>
      </c>
      <c r="AB12" s="63" t="s">
        <v>39</v>
      </c>
      <c r="AC12" s="59" t="s">
        <v>40</v>
      </c>
      <c r="AD12" s="58" t="s">
        <v>82</v>
      </c>
      <c r="AE12" s="90" t="s">
        <v>89</v>
      </c>
      <c r="AF12" s="87" t="s">
        <v>94</v>
      </c>
      <c r="AG12" s="4" t="s">
        <v>107</v>
      </c>
      <c r="AH12" s="93" t="s">
        <v>109</v>
      </c>
      <c r="AI12" s="118" t="s">
        <v>148</v>
      </c>
      <c r="AJ12" s="51" t="s">
        <v>149</v>
      </c>
      <c r="AK12" s="51" t="s">
        <v>122</v>
      </c>
      <c r="AL12" s="51" t="s">
        <v>150</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582</v>
      </c>
      <c r="B13" s="7">
        <v>4011</v>
      </c>
      <c r="C13" s="22" t="s">
        <v>207</v>
      </c>
      <c r="D13" s="22" t="s">
        <v>777</v>
      </c>
      <c r="E13" s="13">
        <v>42719.134120370371</v>
      </c>
      <c r="F13" s="13">
        <v>42719.135763888888</v>
      </c>
      <c r="G13" s="7">
        <v>1</v>
      </c>
      <c r="H13" s="22" t="s">
        <v>304</v>
      </c>
      <c r="I13" s="13">
        <v>42719.162187499998</v>
      </c>
      <c r="J13" s="7">
        <v>0</v>
      </c>
      <c r="K13" s="109" t="str">
        <f t="shared" ref="K13:K44" si="0">IF(ISEVEN(B13),(B13-1)&amp;"/"&amp;B13,B13&amp;"/"&amp;(B13+1))</f>
        <v>4011/4012</v>
      </c>
      <c r="L13" s="22" t="str">
        <f>VLOOKUP(A13,'Trips&amp;Operators'!$C$1:$G$99999,5,FALSE)</f>
        <v>MAELZER KURT</v>
      </c>
      <c r="M13" s="6">
        <f t="shared" ref="M13:M44" si="1">I13-F13</f>
        <v>2.6423611110658385E-2</v>
      </c>
      <c r="N13" s="7">
        <f>24*60*SUM($M13:$M13)</f>
        <v>38.049999999348074</v>
      </c>
      <c r="O13" s="7"/>
      <c r="P13" s="7"/>
      <c r="Q13" s="23"/>
      <c r="R13" s="23"/>
      <c r="S13" s="35">
        <f>SUM(U13:U13)/IF(AG13="EC",12,1)</f>
        <v>1</v>
      </c>
      <c r="T13" s="50" t="str">
        <f t="shared" ref="T13:T44" si="2">IF(ISEVEN(LEFT(AD13,4)),"Southbound","NorthBound")</f>
        <v>NorthBound</v>
      </c>
      <c r="U13" s="171">
        <f>IF(AG13="EC",COUNTIFS(Variables!$M$2:$M$19,IF(T13="NorthBound","&gt;=","&lt;=")&amp;Y13,Variables!$M$2:$M$19,IF(T13="NorthBound","&lt;=","&gt;=")&amp;Z13),COUNTIFS(Variables!$P$2:$P$19,IF(T13="NorthBound","&gt;=","&lt;=")&amp;Y13,Variables!$P$2:$P$19,IF(T13="NorthBound","&lt;=","&gt;=")&amp;Z13))</f>
        <v>12</v>
      </c>
      <c r="V13" s="98" t="str">
        <f t="shared" ref="V13:V76" si="3">"https://search-rtdc-monitor-bjffxe2xuh6vdkpspy63sjmuny.us-east-1.es.amazonaws.com/_plugin/kibana/#/discover/Steve-Slow-Train-Analysis-(2080s-and-2083s)?_g=(refreshInterval:(display:Off,section:0,value:0),time:(from:'"&amp;TEXT(E13-1/24,"yyyy-MM-DD hh:mm:ss")&amp;utc_offset&amp;"00',mode:absolute,to:'"&amp;TEXT(I13+1/24,"yyyy-MM-DD hh:mm:ss")&amp;utc_offset&amp;"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https://search-rtdc-monitor-bjffxe2xuh6vdkpspy63sjmuny.us-east-1.es.amazonaws.com/_plugin/kibana/#/discover/Steve-Slow-Train-Analysis-(2080s-and-2083s)?_g=(refreshInterval:(display:Off,section:0,value:0),time:(from:'2016-12-15 02:13:08-700',mode:absolute,to:'2016-12-15 04:53:33-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3" s="52" t="str">
        <f t="shared" ref="W13:W44" si="4">IF(AA13&lt;IF(AG13="EC",23,5.65),"Y","N")</f>
        <v>N</v>
      </c>
      <c r="X13" s="177" t="e">
        <f>VALUE(LEFT(AD13,4))-VALUE(LEFT(AD12,4))</f>
        <v>#VALUE!</v>
      </c>
      <c r="Y13" s="67">
        <f t="shared" ref="Y13:Y44" si="5">RIGHT(D13,LEN(D13)-4)/10000</f>
        <v>7.7499999999999999E-2</v>
      </c>
      <c r="Z13" s="67">
        <f t="shared" ref="Z13:Z44" si="6">RIGHT(H13,LEN(H13)-4)/10000</f>
        <v>23.331399999999999</v>
      </c>
      <c r="AA13" s="67">
        <f t="shared" ref="AA13:AA44" si="7">ABS(Z13-Y13)</f>
        <v>23.253899999999998</v>
      </c>
      <c r="AB13" s="64" t="e">
        <f>VLOOKUP(A13,Enforcements!$C$7:$K$18,8,0)</f>
        <v>#N/A</v>
      </c>
      <c r="AC13" s="60" t="e">
        <f>VLOOKUP(A13,Enforcements!$C$7:$E$18,3,0)</f>
        <v>#N/A</v>
      </c>
      <c r="AD13" s="61" t="str">
        <f t="shared" ref="AD13:AD44" si="8">IF(LEN(A13)=6,"0"&amp;A13,A13)</f>
        <v>0101-15</v>
      </c>
      <c r="AE13" s="91" t="str">
        <f t="shared" ref="AE13:AE76" si="9">"aws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13" s="88" t="str">
        <f t="shared" ref="AF13:AF76" si="10">astrogrep_path&amp;" /spath="&amp;search_path&amp;" /stypes=""app*"&amp;B13&amp;"*"&amp;TEXT(I13-utc_offset/24,"YYYYMMDD")&amp;"*"" /stext="" "&amp;TEXT(I13-utc_offset/24,"HH")&amp;search_regexp&amp;""" /e /r /s"</f>
        <v>"C:\Program Files (x86)\AstroGrep\AstroGrep.exe" /spath="%USERPROFILE%\AppData\Local\Temp\OnboardLogs" /stypes="app*4011*20161215*" /stext=" 10:.+((SYSTEM_STATE.+slice.+state.+changed )|(ment ac)|(multiple cpu faults)|(system.+state.+changed )|(\[timeout)|(PRM\|1\|D)|(kpr)|(kdp)|(\|lc)|(penalty))" /e /r /s</v>
      </c>
      <c r="AG13" s="1" t="str">
        <f t="shared" ref="AG13:AG44" si="11">IFERROR(IF(VALUE(LEFT(AD13,2))&lt;=2,"EC",IF(OR(VALUE(LEFT(AD13,2))=8,VALUE(LEFT(AD13,2))=18),"NW","Other")),"Other")</f>
        <v>EC</v>
      </c>
      <c r="AH13" s="92" t="str">
        <f t="shared" ref="AH13" si="12">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101-15 --locoid 4011 --swversion DE.1.0.8.0 --startMP 204:775 --initTime 2016-12-15T03:13:08 --startdatetime 2016-12-15T03:15:30 --delay 1 --endMP 204:233314 --enddatetime 2016-12-15T03:53:33 --enforcementcount 0 &gt;&gt;C:\Users\stu\Documents\GitHub\eaglep3-reporting\EC\2016-12-15-refined-times.txt</v>
      </c>
      <c r="AI13" s="119" t="str">
        <f t="shared" ref="AI13" si="13">"echo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{"issue":{"subject":"","project_id":79,"tracker_id":40,"status_id":1,"priority_id":2,"assigned_to_id":23,"start_date":"2016-12-15","description":"","custom_fields":[{"id":1,"name":"Subdivision","value":"EC"},{"id":4,"name":"Milepost","value":"23.3314"},{"id":17,"name":"Train ID","value":"101-15"},{"id":16,"name":"Locomotive ID","value":"4011"},{"id":130,"name":"Impact","value":""},{"id":150,"name":"Time of Event (Mountain Time)","value":"03:53:33"},{"id":151,"name":"Denver Issue ID","value":""},{"id":178,"name":"Operational Impact","value":"Yes"},{"id":179,"name":"Denver Segment Assigned","value":""}]}} | curl -X POST -H "Content-Type: application/json" -H "X-Redmine-API-Key: d6333d4a04012a730768444271f8ca06482dae87" https://secure.xorail.net/redmine/issues.json --data @-</v>
      </c>
      <c r="AJ13" s="53"/>
      <c r="AK13" s="53"/>
      <c r="AL13" s="5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 customFormat="1" x14ac:dyDescent="0.25">
      <c r="A14" s="37" t="s">
        <v>588</v>
      </c>
      <c r="B14" s="7">
        <v>4017</v>
      </c>
      <c r="C14" s="22" t="s">
        <v>207</v>
      </c>
      <c r="D14" s="22" t="s">
        <v>778</v>
      </c>
      <c r="E14" s="13">
        <v>42719.172743055555</v>
      </c>
      <c r="F14" s="13">
        <v>42719.174618055556</v>
      </c>
      <c r="G14" s="7">
        <v>0</v>
      </c>
      <c r="H14" s="22" t="s">
        <v>274</v>
      </c>
      <c r="I14" s="13">
        <v>42719.201828703706</v>
      </c>
      <c r="J14" s="7">
        <v>0</v>
      </c>
      <c r="K14" s="109" t="str">
        <f t="shared" si="0"/>
        <v>4017/4018</v>
      </c>
      <c r="L14" s="22" t="str">
        <f>VLOOKUP(A14,'Trips&amp;Operators'!$C$1:$G$99999,5,FALSE)</f>
        <v>MAELZER KURT</v>
      </c>
      <c r="M14" s="6">
        <f t="shared" si="1"/>
        <v>2.7210648149775807E-2</v>
      </c>
      <c r="N14" s="7">
        <f>24*60*SUM($M14:$M14)</f>
        <v>39.183333335677162</v>
      </c>
      <c r="O14" s="7"/>
      <c r="P14" s="7"/>
      <c r="Q14" s="23"/>
      <c r="R14" s="23"/>
      <c r="S14" s="35">
        <f>SUM(U14:U14)/IF(AG14="EC",12,1)</f>
        <v>1</v>
      </c>
      <c r="T14" s="50" t="str">
        <f t="shared" si="2"/>
        <v>Southbound</v>
      </c>
      <c r="U14" s="171">
        <f>IF(AG14="EC",COUNTIFS(Variables!$M$2:$M$19,IF(T14="NorthBound","&gt;=","&lt;=")&amp;Y14,Variables!$M$2:$M$19,IF(T14="NorthBound","&lt;=","&gt;=")&amp;Z14),COUNTIFS(Variables!$P$2:$P$19,IF(T14="NorthBound","&gt;=","&lt;=")&amp;Y14,Variables!$P$2:$P$19,IF(T14="NorthBound","&lt;=","&gt;=")&amp;Z14))</f>
        <v>12</v>
      </c>
      <c r="V14" s="98" t="str">
        <f t="shared" si="3"/>
        <v>https://search-rtdc-monitor-bjffxe2xuh6vdkpspy63sjmuny.us-east-1.es.amazonaws.com/_plugin/kibana/#/discover/Steve-Slow-Train-Analysis-(2080s-and-2083s)?_g=(refreshInterval:(display:Off,section:0,value:0),time:(from:'2016-12-15 03:08:45-700',mode:absolute,to:'2016-12-15 05:50:38-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4" s="52" t="str">
        <f t="shared" si="4"/>
        <v>N</v>
      </c>
      <c r="X14" s="177">
        <f>VALUE(LEFT(AD14,4))-VALUE(LEFT(AD13,4))</f>
        <v>1</v>
      </c>
      <c r="Y14" s="67">
        <f t="shared" si="5"/>
        <v>23.267900000000001</v>
      </c>
      <c r="Z14" s="67">
        <f t="shared" si="6"/>
        <v>1.52E-2</v>
      </c>
      <c r="AA14" s="67">
        <f t="shared" si="7"/>
        <v>23.252700000000001</v>
      </c>
      <c r="AB14" s="64" t="e">
        <f>VLOOKUP(A14,Enforcements!$C$7:$K$18,8,0)</f>
        <v>#N/A</v>
      </c>
      <c r="AC14" s="60" t="e">
        <f>VLOOKUP(A14,Enforcements!$C$7:$E$18,3,0)</f>
        <v>#N/A</v>
      </c>
      <c r="AD14" s="61" t="str">
        <f t="shared" si="8"/>
        <v>0102-15</v>
      </c>
      <c r="AE14" s="91" t="str">
        <f t="shared" si="9"/>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14" s="88" t="str">
        <f t="shared" si="10"/>
        <v>"C:\Program Files (x86)\AstroGrep\AstroGrep.exe" /spath="%USERPROFILE%\AppData\Local\Temp\OnboardLogs" /stypes="app*4017*20161215*" /stext=" 11:.+((SYSTEM_STATE.+slice.+state.+changed )|(ment ac)|(multiple cpu faults)|(system.+state.+changed )|(\[timeout)|(PRM\|1\|D)|(kpr)|(kdp)|(\|lc)|(penalty))" /e /r /s</v>
      </c>
      <c r="AG14" s="1" t="str">
        <f t="shared" si="11"/>
        <v>EC</v>
      </c>
      <c r="AH14" s="92" t="str">
        <f t="shared" ref="AH14:AH79" si="14">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102-15 --locoid 4017 --swversion DE.1.0.8.0 --startMP 204:232679 --initTime 2016-12-15T04:08:45 --startdatetime 2016-12-15T04:11:27 --delay 0 --endMP 204:152 --enddatetime 2016-12-15T04:50:38 --enforcementcount 0 &gt;&gt;C:\Users\stu\Documents\GitHub\eaglep3-reporting\EC\2016-12-15-refined-times.txt</v>
      </c>
      <c r="AI14" s="119" t="str">
        <f t="shared" ref="AI14:AI79" si="15">"echo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{"issue":{"subject":"","project_id":79,"tracker_id":40,"status_id":1,"priority_id":2,"assigned_to_id":23,"start_date":"2016-12-15","description":"","custom_fields":[{"id":1,"name":"Subdivision","value":"EC"},{"id":4,"name":"Milepost","value":"0.0152"},{"id":17,"name":"Train ID","value":"102-15"},{"id":16,"name":"Locomotive ID","value":"4017"},{"id":130,"name":"Impact","value":""},{"id":150,"name":"Time of Event (Mountain Time)","value":"04:50:38"},{"id":151,"name":"Denver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552</v>
      </c>
      <c r="B15" s="7">
        <v>4016</v>
      </c>
      <c r="C15" s="22" t="s">
        <v>207</v>
      </c>
      <c r="D15" s="22" t="s">
        <v>779</v>
      </c>
      <c r="E15" s="13">
        <v>42719.161354166667</v>
      </c>
      <c r="F15" s="13">
        <v>42719.163159722222</v>
      </c>
      <c r="G15" s="7">
        <v>1</v>
      </c>
      <c r="H15" s="22" t="s">
        <v>780</v>
      </c>
      <c r="I15" s="13">
        <v>42719.172881944447</v>
      </c>
      <c r="J15" s="7">
        <v>0</v>
      </c>
      <c r="K15" s="109" t="str">
        <f t="shared" si="0"/>
        <v>4015/4016</v>
      </c>
      <c r="L15" s="22" t="str">
        <f>VLOOKUP(A15,'Trips&amp;Operators'!$C$1:$G$99999,5,FALSE)</f>
        <v>SPECTOR MICHAEL</v>
      </c>
      <c r="M15" s="6">
        <f t="shared" si="1"/>
        <v>9.7222222248092294E-3</v>
      </c>
      <c r="N15" s="7"/>
      <c r="O15" s="7"/>
      <c r="P15" s="7">
        <f>24*60*SUM($M15:$M15)</f>
        <v>14.00000000372529</v>
      </c>
      <c r="Q15" s="23"/>
      <c r="R15" s="23" t="s">
        <v>962</v>
      </c>
      <c r="S15" s="35">
        <f>SUM(U15:U15)/IF(AG15="EC",12,1)</f>
        <v>0.83333333333333337</v>
      </c>
      <c r="T15" s="50" t="str">
        <f t="shared" si="2"/>
        <v>NorthBound</v>
      </c>
      <c r="U15" s="171">
        <f>IF(AG15="EC",COUNTIFS(Variables!$M$2:$M$19,IF(T15="NorthBound","&gt;=","&lt;=")&amp;Y15,Variables!$M$2:$M$19,IF(T15="NorthBound","&lt;=","&gt;=")&amp;Z15),COUNTIFS(Variables!$P$2:$P$19,IF(T15="NorthBound","&gt;=","&lt;=")&amp;Y15,Variables!$P$2:$P$19,IF(T15="NorthBound","&lt;=","&gt;=")&amp;Z15))</f>
        <v>10</v>
      </c>
      <c r="V15" s="98" t="str">
        <f t="shared" si="3"/>
        <v>https://search-rtdc-monitor-bjffxe2xuh6vdkpspy63sjmuny.us-east-1.es.amazonaws.com/_plugin/kibana/#/discover/Steve-Slow-Train-Analysis-(2080s-and-2083s)?_g=(refreshInterval:(display:Off,section:0,value:0),time:(from:'2016-12-15 02:52:21-700',mode:absolute,to:'2016-12-15 05:08:57-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5" s="52" t="str">
        <f t="shared" si="4"/>
        <v>Y</v>
      </c>
      <c r="X15" s="177">
        <f>VALUE(LEFT(AD15,4))-VALUE(LEFT(AD14,4))</f>
        <v>1</v>
      </c>
      <c r="Y15" s="67">
        <f t="shared" si="5"/>
        <v>1.9198999999999999</v>
      </c>
      <c r="Z15" s="67">
        <f t="shared" si="6"/>
        <v>8.6379999999999999</v>
      </c>
      <c r="AA15" s="67">
        <f t="shared" si="7"/>
        <v>6.7180999999999997</v>
      </c>
      <c r="AB15" s="64" t="str">
        <f>VLOOKUP(A15,Enforcements!$C$7:$K$18,8,0)</f>
        <v>Bulletin (2)</v>
      </c>
      <c r="AC15" s="60" t="str">
        <f>VLOOKUP(A15,Enforcements!$C$7:$E$18,3,0)</f>
        <v>GRADE CROSSING</v>
      </c>
      <c r="AD15" s="61" t="str">
        <f t="shared" si="8"/>
        <v>0103-15</v>
      </c>
      <c r="AE15" s="91" t="str">
        <f t="shared" si="9"/>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15" s="88" t="str">
        <f t="shared" si="10"/>
        <v>"C:\Program Files (x86)\AstroGrep\AstroGrep.exe" /spath="%USERPROFILE%\AppData\Local\Temp\OnboardLogs" /stypes="app*4016*20161215*" /stext=" 11:.+((SYSTEM_STATE.+slice.+state.+changed )|(ment ac)|(multiple cpu faults)|(system.+state.+changed )|(\[timeout)|(PRM\|1\|D)|(kpr)|(kdp)|(\|lc)|(penalty))" /e /r /s</v>
      </c>
      <c r="AG15" s="1" t="str">
        <f t="shared" si="11"/>
        <v>EC</v>
      </c>
      <c r="AH15" s="92" t="str">
        <f t="shared" si="14"/>
        <v>"%USERPROFILE%\Documents\GitHub\eaglep3\Utilities\RefineRTDCRunTimes.py" --tripid 103-15 --locoid 4016 --swversion DE.1.0.8.0 --startMP 204:19199 --initTime 2016-12-15T03:52:21 --startdatetime 2016-12-15T03:54:57 --delay 1 --endMP 204:86380 --enddatetime 2016-12-15T04:08:57 --enforcementcount 0 &gt;&gt;C:\Users\stu\Documents\GitHub\eaglep3-reporting\EC\2016-12-15-refined-times.txt</v>
      </c>
      <c r="AI15" s="119" t="str">
        <f t="shared" si="15"/>
        <v>echo {"issue":{"subject":"Poor GPS at DUS, then cut out due to faults observed on screen (analysis shows faults were only nuisance faults)","project_id":79,"tracker_id":40,"status_id":1,"priority_id":2,"assigned_to_id":23,"start_date":"2016-12-15","description":"","custom_fields":[{"id":1,"name":"Subdivision","value":"EC"},{"id":4,"name":"Milepost","value":"8.638"},{"id":17,"name":"Train ID","value":"103-15"},{"id":16,"name":"Locomotive ID","value":"4016"},{"id":130,"name":"Impact","value":""},{"id":150,"name":"Time of Event (Mountain Time)","value":"04:08:57"},{"id":151,"name":"Denver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552</v>
      </c>
      <c r="B16" s="7">
        <v>4016</v>
      </c>
      <c r="C16" s="22" t="s">
        <v>207</v>
      </c>
      <c r="D16" s="22" t="s">
        <v>781</v>
      </c>
      <c r="E16" s="13">
        <v>42719.150636574072</v>
      </c>
      <c r="F16" s="13">
        <v>42719.163159722222</v>
      </c>
      <c r="G16" s="7">
        <v>1</v>
      </c>
      <c r="H16" s="22" t="s">
        <v>320</v>
      </c>
      <c r="I16" s="13">
        <v>42719.172881944447</v>
      </c>
      <c r="J16" s="7">
        <v>0</v>
      </c>
      <c r="K16" s="109" t="str">
        <f t="shared" si="0"/>
        <v>4015/4016</v>
      </c>
      <c r="L16" s="22" t="str">
        <f>VLOOKUP(A16,'Trips&amp;Operators'!$C$1:$G$99999,5,FALSE)</f>
        <v>SPECTOR MICHAEL</v>
      </c>
      <c r="M16" s="6">
        <f t="shared" si="1"/>
        <v>9.7222222248092294E-3</v>
      </c>
      <c r="N16" s="7"/>
      <c r="O16" s="7"/>
      <c r="P16" s="7"/>
      <c r="Q16" s="23"/>
      <c r="R16" s="23"/>
      <c r="S16" s="35"/>
      <c r="T16" s="50" t="str">
        <f t="shared" si="2"/>
        <v>NorthBound</v>
      </c>
      <c r="U16" s="171">
        <f>IF(AG16="EC",COUNTIFS(Variables!$M$2:$M$19,IF(T16="NorthBound","&gt;=","&lt;=")&amp;Y16,Variables!$M$2:$M$19,IF(T16="NorthBound","&lt;=","&gt;=")&amp;Z16),COUNTIFS(Variables!$P$2:$P$19,IF(T16="NorthBound","&gt;=","&lt;=")&amp;Y16,Variables!$P$2:$P$19,IF(T16="NorthBound","&lt;=","&gt;=")&amp;Z16))</f>
        <v>0</v>
      </c>
      <c r="V16" s="98" t="str">
        <f t="shared" si="3"/>
        <v>https://search-rtdc-monitor-bjffxe2xuh6vdkpspy63sjmuny.us-east-1.es.amazonaws.com/_plugin/kibana/#/discover/Steve-Slow-Train-Analysis-(2080s-and-2083s)?_g=(refreshInterval:(display:Off,section:0,value:0),time:(from:'2016-12-15 02:36:55-700',mode:absolute,to:'2016-12-15 05:08:57-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6" s="52" t="str">
        <f t="shared" si="4"/>
        <v>Y</v>
      </c>
      <c r="X16" s="177">
        <f t="shared" ref="X16:X22" si="16">VALUE(LEFT(AD16,4))-VALUE(LEFT(AD15,4))</f>
        <v>0</v>
      </c>
      <c r="Y16" s="67">
        <f t="shared" si="5"/>
        <v>7.4399999999999994E-2</v>
      </c>
      <c r="Z16" s="67">
        <f t="shared" si="6"/>
        <v>7.5700000000000003E-2</v>
      </c>
      <c r="AA16" s="67">
        <f t="shared" si="7"/>
        <v>1.3000000000000095E-3</v>
      </c>
      <c r="AB16" s="64" t="str">
        <f>VLOOKUP(A16,Enforcements!$C$7:$K$18,8,0)</f>
        <v>Bulletin (2)</v>
      </c>
      <c r="AC16" s="60" t="str">
        <f>VLOOKUP(A16,Enforcements!$C$7:$E$18,3,0)</f>
        <v>GRADE CROSSING</v>
      </c>
      <c r="AD16" s="61" t="str">
        <f t="shared" si="8"/>
        <v>0103-15</v>
      </c>
      <c r="AE16" s="91" t="str">
        <f t="shared" si="9"/>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16" s="88" t="str">
        <f t="shared" si="10"/>
        <v>"C:\Program Files (x86)\AstroGrep\AstroGrep.exe" /spath="%USERPROFILE%\AppData\Local\Temp\OnboardLogs" /stypes="app*4016*20161215*" /stext=" 11:.+((SYSTEM_STATE.+slice.+state.+changed )|(ment ac)|(multiple cpu faults)|(system.+state.+changed )|(\[timeout)|(PRM\|1\|D)|(kpr)|(kdp)|(\|lc)|(penalty))" /e /r /s</v>
      </c>
      <c r="AG16" s="1" t="str">
        <f t="shared" si="11"/>
        <v>EC</v>
      </c>
      <c r="AH16" s="92" t="str">
        <f t="shared" si="14"/>
        <v>"%USERPROFILE%\Documents\GitHub\eaglep3\Utilities\RefineRTDCRunTimes.py" --tripid 103-15 --locoid 4016 --swversion DE.1.0.8.0 --startMP 204:744 --initTime 2016-12-15T03:36:55 --startdatetime 2016-12-15T03:54:57 --delay 1 --endMP 204:757 --enddatetime 2016-12-15T04:08:57 --enforcementcount 0 &gt;&gt;C:\Users\stu\Documents\GitHub\eaglep3-reporting\EC\2016-12-15-refined-times.txt</v>
      </c>
      <c r="AI16" s="119" t="str">
        <f t="shared" si="15"/>
        <v>echo {"issue":{"subject":"","project_id":79,"tracker_id":40,"status_id":1,"priority_id":2,"assigned_to_id":23,"start_date":"2016-12-15","description":"","custom_fields":[{"id":1,"name":"Subdivision","value":"EC"},{"id":4,"name":"Milepost","value":"0.0757"},{"id":17,"name":"Train ID","value":"103-15"},{"id":16,"name":"Locomotive ID","value":"4016"},{"id":130,"name":"Impact","value":""},{"id":150,"name":"Time of Event (Mountain Time)","value":"04:08:57"},{"id":151,"name":"Denver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977</v>
      </c>
      <c r="B17" s="7"/>
      <c r="C17" s="22" t="s">
        <v>207</v>
      </c>
      <c r="D17" s="22" t="s">
        <v>781</v>
      </c>
      <c r="E17" s="13">
        <v>42719.150636574072</v>
      </c>
      <c r="F17" s="13"/>
      <c r="G17" s="7">
        <v>1</v>
      </c>
      <c r="H17" s="22" t="s">
        <v>320</v>
      </c>
      <c r="I17" s="13"/>
      <c r="J17" s="7">
        <v>0</v>
      </c>
      <c r="K17" s="109" t="str">
        <f t="shared" si="0"/>
        <v>-1/</v>
      </c>
      <c r="L17" s="22" t="e">
        <f>VLOOKUP(A17,'Trips&amp;Operators'!$C$1:$G$99999,5,FALSE)</f>
        <v>#N/A</v>
      </c>
      <c r="M17" s="6">
        <f t="shared" si="1"/>
        <v>0</v>
      </c>
      <c r="N17" s="7"/>
      <c r="O17" s="7"/>
      <c r="P17" s="7">
        <v>1</v>
      </c>
      <c r="Q17" s="23"/>
      <c r="R17" s="23" t="s">
        <v>978</v>
      </c>
      <c r="S17" s="35"/>
      <c r="T17" s="50" t="str">
        <f t="shared" si="2"/>
        <v>Southbound</v>
      </c>
      <c r="U17" s="171">
        <f>IF(AG17="EC",COUNTIFS(Variables!$M$2:$M$19,IF(T17="NorthBound","&gt;=","&lt;=")&amp;Y17,Variables!$M$2:$M$19,IF(T17="NorthBound","&lt;=","&gt;=")&amp;Z17),COUNTIFS(Variables!$P$2:$P$19,IF(T17="NorthBound","&gt;=","&lt;=")&amp;Y17,Variables!$P$2:$P$19,IF(T17="NorthBound","&lt;=","&gt;=")&amp;Z17))</f>
        <v>0</v>
      </c>
      <c r="V17" s="98" t="str">
        <f t="shared" si="3"/>
        <v>https://search-rtdc-monitor-bjffxe2xuh6vdkpspy63sjmuny.us-east-1.es.amazonaws.com/_plugin/kibana/#/discover/Steve-Slow-Train-Analysis-(2080s-and-2083s)?_g=(refreshInterval:(display:Off,section:0,value:0),time:(from:'2016-12-15 02:36:55-700',mode:absolute,to:'1900-01-00 01: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22')),sort:!(Time,asc))</v>
      </c>
      <c r="W17" s="52" t="str">
        <f t="shared" si="4"/>
        <v>Y</v>
      </c>
      <c r="X17" s="177">
        <f t="shared" si="16"/>
        <v>1</v>
      </c>
      <c r="Y17" s="67">
        <f t="shared" si="5"/>
        <v>7.4399999999999994E-2</v>
      </c>
      <c r="Z17" s="67">
        <f t="shared" si="6"/>
        <v>7.5700000000000003E-2</v>
      </c>
      <c r="AA17" s="67">
        <f t="shared" si="7"/>
        <v>1.3000000000000095E-3</v>
      </c>
      <c r="AB17" s="64" t="e">
        <f>VLOOKUP(A17,Enforcements!$C$7:$K$18,8,0)</f>
        <v>#N/A</v>
      </c>
      <c r="AC17" s="60" t="e">
        <f>VLOOKUP(A17,Enforcements!$C$7:$E$18,3,0)</f>
        <v>#N/A</v>
      </c>
      <c r="AD17" s="61" t="str">
        <f t="shared" si="8"/>
        <v>0104-15</v>
      </c>
      <c r="AE17" s="91" t="str">
        <f t="shared" si="9"/>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7" s="88" t="str">
        <f t="shared" si="10"/>
        <v>"C:\Program Files (x86)\AstroGrep\AstroGrep.exe" /spath="%USERPROFILE%\AppData\Local\Temp\OnboardLogs" /stypes="app**19000100*" /stext=" 07:.+((SYSTEM_STATE.+slice.+state.+changed )|(ment ac)|(multiple cpu faults)|(system.+state.+changed )|(\[timeout)|(PRM\|1\|D)|(kpr)|(kdp)|(\|lc)|(penalty))" /e /r /s</v>
      </c>
      <c r="AG17" s="1" t="str">
        <f t="shared" si="11"/>
        <v>EC</v>
      </c>
      <c r="AH17" s="92" t="str">
        <f t="shared" ref="AH17" si="17">refinertdcruntimes&amp;" --tripid "&amp;A17&amp;" --locoid "&amp;B17&amp;" --swversion "&amp;C17&amp;" --startMP "&amp;D17&amp;" --initTime "&amp;TEXT(E17,"yyyy-mm-ddTHH:MM:SS")&amp;" --startdatetime "&amp;TEXT(F17,"yyyy-mm-ddTHH:MM:SS")&amp;" --delay "&amp;G17&amp;" --endMP "&amp;H17&amp;" --enddatetime "&amp;TEXT(I17,"yyyy-mm-ddTHH:MM:SS")&amp;" --enforcementcount "&amp;J17&amp;IF(outputrefinedruntimes," &gt;&gt;"&amp;RefinedRTDCRunTimesOutputFile,"")</f>
        <v>"%USERPROFILE%\Documents\GitHub\eaglep3\Utilities\RefineRTDCRunTimes.py" --tripid 104-15 --locoid  --swversion DE.1.0.8.0 --startMP 204:744 --initTime 2016-12-15T03:36:55 --startdatetime 1900-01-00T00:00:00 --delay 1 --endMP 204:757 --enddatetime 1900-01-00T00:00:00 --enforcementcount 0 &gt;&gt;C:\Users\stu\Documents\GitHub\eaglep3-reporting\EC\2016-12-15-refined-times.txt</v>
      </c>
      <c r="AI17" s="119" t="str">
        <f t="shared" ref="AI17" si="18">"echo {""issue"":{""subject"":"""&amp;R17&amp;""",""project_id"":79,""tracker_id"":40,""status_id"":"&amp;redmine_status&amp;",""priority_id"":"&amp;redmine_priority&amp;",""assigned_to_id"":"&amp;redmine_assignee&amp;",""start_date"":"""&amp;TEXT(I17,"YYYY-mm-dd")&amp;""",""description"":"""&amp;AJ17&amp;""",""custom_fields"":[{""id"":1,""name"":""Subdivision"",""value"":"""&amp;AG17&amp;"""},{""id"":4,""name"":""Milepost"",""value"":"""&amp;Z17&amp;"""},{""id"":17,""name"":""Train ID"",""value"":"""&amp;A17&amp;"""},{""id"":16,""name"":""Locomotive ID"",""value"":"""&amp;B17&amp;"""},{""id"":130,""name"":""Impact"",""value"":"""&amp;AK17&amp;"""},{""id"":150,""name"":""Time of Event (Mountain Time)"",""value"":"""&amp;TEXT(I17,"hh:mm:ss")&amp;"""},{""id"":151,""name"":""Denver Issue ID"",""value"":"""&amp;"""},{""id"":178,""name"":""Operational Impact"",""value"":"""&amp;redmine_op_impact&amp;"""},{""id"":179,""name"":""Denver Segment Assigned"",""value"":"""&amp;AL17&amp;"""}]}}"&amp;" | curl -X POST -H ""Content-Type: application/json"" -H ""X-Redmine-API-Key: "&amp;redm_api_key&amp;""" "&amp;redm_url&amp;" --data @-"</f>
        <v>echo {"issue":{"subject":"Did not init","project_id":79,"tracker_id":40,"status_id":1,"priority_id":2,"assigned_to_id":23,"start_date":"1900-01-00","description":"","custom_fields":[{"id":1,"name":"Subdivision","value":"EC"},{"id":4,"name":"Milepost","value":"0.0757"},{"id":17,"name":"Train ID","value":"104-15"},{"id":16,"name":"Locomotive ID","value":""},{"id":130,"name":"Impact","value":""},{"id":150,"name":"Time of Event (Mountain Time)","value":"00:00:00"},{"id":151,"name":"Denver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row>
    <row r="18" spans="1:91" s="1" customFormat="1" x14ac:dyDescent="0.25">
      <c r="A18" s="37" t="s">
        <v>587</v>
      </c>
      <c r="B18" s="7">
        <v>4031</v>
      </c>
      <c r="C18" s="22" t="s">
        <v>207</v>
      </c>
      <c r="D18" s="22" t="s">
        <v>782</v>
      </c>
      <c r="E18" s="13">
        <v>42719.169293981482</v>
      </c>
      <c r="F18" s="13">
        <v>42719.177303240744</v>
      </c>
      <c r="G18" s="7">
        <v>1</v>
      </c>
      <c r="H18" s="22" t="s">
        <v>783</v>
      </c>
      <c r="I18" s="13">
        <v>42719.201770833337</v>
      </c>
      <c r="J18" s="7">
        <v>0</v>
      </c>
      <c r="K18" s="109" t="str">
        <f t="shared" si="0"/>
        <v>4031/4032</v>
      </c>
      <c r="L18" s="22" t="str">
        <f>VLOOKUP(A18,'Trips&amp;Operators'!$C$1:$G$99999,5,FALSE)</f>
        <v>ROBINSON KADDIBA</v>
      </c>
      <c r="M18" s="6">
        <f t="shared" si="1"/>
        <v>2.4467592593282461E-2</v>
      </c>
      <c r="N18" s="7">
        <f t="shared" ref="N18:N49" si="19">24*60*SUM($M18:$M18)</f>
        <v>35.233333334326744</v>
      </c>
      <c r="O18" s="7"/>
      <c r="P18" s="7"/>
      <c r="Q18" s="23"/>
      <c r="R18" s="23"/>
      <c r="S18" s="35">
        <f t="shared" ref="S18:S49" si="20">SUM(U18:U18)/IF(AG18="EC",12,1)</f>
        <v>1</v>
      </c>
      <c r="T18" s="50" t="str">
        <f t="shared" si="2"/>
        <v>NorthBound</v>
      </c>
      <c r="U18" s="171">
        <f>IF(AG18="EC",COUNTIFS(Variables!$M$2:$M$19,IF(T18="NorthBound","&gt;=","&lt;=")&amp;Y18,Variables!$M$2:$M$19,IF(T18="NorthBound","&lt;=","&gt;=")&amp;Z18),COUNTIFS(Variables!$P$2:$P$19,IF(T18="NorthBound","&gt;=","&lt;=")&amp;Y18,Variables!$P$2:$P$19,IF(T18="NorthBound","&lt;=","&gt;=")&amp;Z18))</f>
        <v>12</v>
      </c>
      <c r="V18" s="98" t="str">
        <f t="shared" si="3"/>
        <v>https://search-rtdc-monitor-bjffxe2xuh6vdkpspy63sjmuny.us-east-1.es.amazonaws.com/_plugin/kibana/#/discover/Steve-Slow-Train-Analysis-(2080s-and-2083s)?_g=(refreshInterval:(display:Off,section:0,value:0),time:(from:'2016-12-15 03:03:47-700',mode:absolute,to:'2016-12-15 05:50:33-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 s="52" t="str">
        <f t="shared" si="4"/>
        <v>N</v>
      </c>
      <c r="X18" s="177">
        <f t="shared" si="16"/>
        <v>1</v>
      </c>
      <c r="Y18" s="67">
        <f t="shared" si="5"/>
        <v>7.5399999999999995E-2</v>
      </c>
      <c r="Z18" s="67">
        <f t="shared" si="6"/>
        <v>23.337800000000001</v>
      </c>
      <c r="AA18" s="67">
        <f t="shared" si="7"/>
        <v>23.262400000000003</v>
      </c>
      <c r="AB18" s="64" t="e">
        <f>VLOOKUP(A18,Enforcements!$C$7:$K$18,8,0)</f>
        <v>#N/A</v>
      </c>
      <c r="AC18" s="60" t="e">
        <f>VLOOKUP(A18,Enforcements!$C$7:$E$18,3,0)</f>
        <v>#N/A</v>
      </c>
      <c r="AD18" s="61" t="str">
        <f t="shared" si="8"/>
        <v>0105-15</v>
      </c>
      <c r="AE18" s="91" t="str">
        <f t="shared" si="9"/>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18" s="88" t="str">
        <f t="shared" si="10"/>
        <v>"C:\Program Files (x86)\AstroGrep\AstroGrep.exe" /spath="%USERPROFILE%\AppData\Local\Temp\OnboardLogs" /stypes="app*4031*20161215*" /stext=" 11:.+((SYSTEM_STATE.+slice.+state.+changed )|(ment ac)|(multiple cpu faults)|(system.+state.+changed )|(\[timeout)|(PRM\|1\|D)|(kpr)|(kdp)|(\|lc)|(penalty))" /e /r /s</v>
      </c>
      <c r="AG18" s="1" t="str">
        <f t="shared" si="11"/>
        <v>EC</v>
      </c>
      <c r="AH18" s="92" t="str">
        <f t="shared" si="14"/>
        <v>"%USERPROFILE%\Documents\GitHub\eaglep3\Utilities\RefineRTDCRunTimes.py" --tripid 105-15 --locoid 4031 --swversion DE.1.0.8.0 --startMP 204:754 --initTime 2016-12-15T04:03:47 --startdatetime 2016-12-15T04:15:19 --delay 1 --endMP 204:233378 --enddatetime 2016-12-15T04:50:33 --enforcementcount 0 &gt;&gt;C:\Users\stu\Documents\GitHub\eaglep3-reporting\EC\2016-12-15-refined-times.txt</v>
      </c>
      <c r="AI18" s="119" t="str">
        <f t="shared" si="15"/>
        <v>echo {"issue":{"subject":"","project_id":79,"tracker_id":40,"status_id":1,"priority_id":2,"assigned_to_id":23,"start_date":"2016-12-15","description":"","custom_fields":[{"id":1,"name":"Subdivision","value":"EC"},{"id":4,"name":"Milepost","value":"23.3378"},{"id":17,"name":"Train ID","value":"105-15"},{"id":16,"name":"Locomotive ID","value":"4031"},{"id":130,"name":"Impact","value":""},{"id":150,"name":"Time of Event (Mountain Time)","value":"04:50:33"},{"id":151,"name":"Denver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602</v>
      </c>
      <c r="B19" s="7">
        <v>4019</v>
      </c>
      <c r="C19" s="22" t="s">
        <v>207</v>
      </c>
      <c r="D19" s="22" t="s">
        <v>784</v>
      </c>
      <c r="E19" s="13">
        <v>42719.210787037038</v>
      </c>
      <c r="F19" s="13">
        <v>42719.216192129628</v>
      </c>
      <c r="G19" s="7">
        <v>1</v>
      </c>
      <c r="H19" s="22" t="s">
        <v>785</v>
      </c>
      <c r="I19" s="13">
        <v>42719.243148148147</v>
      </c>
      <c r="J19" s="7">
        <v>0</v>
      </c>
      <c r="K19" s="109" t="str">
        <f t="shared" si="0"/>
        <v>4019/4020</v>
      </c>
      <c r="L19" s="22" t="str">
        <f>VLOOKUP(A19,'Trips&amp;Operators'!$C$1:$G$99999,5,FALSE)</f>
        <v>ROBINSON KADDIBA</v>
      </c>
      <c r="M19" s="6">
        <f t="shared" si="1"/>
        <v>2.6956018518831115E-2</v>
      </c>
      <c r="N19" s="7">
        <f t="shared" si="19"/>
        <v>38.816666667116806</v>
      </c>
      <c r="O19" s="7"/>
      <c r="P19" s="7"/>
      <c r="Q19" s="23"/>
      <c r="R19" s="23"/>
      <c r="S19" s="35">
        <f t="shared" si="20"/>
        <v>1</v>
      </c>
      <c r="T19" s="50" t="str">
        <f t="shared" si="2"/>
        <v>Southbound</v>
      </c>
      <c r="U19" s="171">
        <f>IF(AG19="EC",COUNTIFS(Variables!$M$2:$M$19,IF(T19="NorthBound","&gt;=","&lt;=")&amp;Y19,Variables!$M$2:$M$19,IF(T19="NorthBound","&lt;=","&gt;=")&amp;Z19),COUNTIFS(Variables!$P$2:$P$19,IF(T19="NorthBound","&gt;=","&lt;=")&amp;Y19,Variables!$P$2:$P$19,IF(T19="NorthBound","&lt;=","&gt;=")&amp;Z19))</f>
        <v>12</v>
      </c>
      <c r="V19" s="98" t="str">
        <f t="shared" si="3"/>
        <v>https://search-rtdc-monitor-bjffxe2xuh6vdkpspy63sjmuny.us-east-1.es.amazonaws.com/_plugin/kibana/#/discover/Steve-Slow-Train-Analysis-(2080s-and-2083s)?_g=(refreshInterval:(display:Off,section:0,value:0),time:(from:'2016-12-15 04:03:32-700',mode:absolute,to:'2016-12-15 06:50: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19" s="52" t="str">
        <f t="shared" si="4"/>
        <v>N</v>
      </c>
      <c r="X19" s="177">
        <f t="shared" si="16"/>
        <v>1</v>
      </c>
      <c r="Y19" s="67">
        <f t="shared" si="5"/>
        <v>23.277200000000001</v>
      </c>
      <c r="Z19" s="67">
        <f t="shared" si="6"/>
        <v>1.23E-2</v>
      </c>
      <c r="AA19" s="67">
        <f t="shared" si="7"/>
        <v>23.264900000000001</v>
      </c>
      <c r="AB19" s="64" t="e">
        <f>VLOOKUP(A19,Enforcements!$C$7:$K$18,8,0)</f>
        <v>#N/A</v>
      </c>
      <c r="AC19" s="60" t="e">
        <f>VLOOKUP(A19,Enforcements!$C$7:$E$18,3,0)</f>
        <v>#N/A</v>
      </c>
      <c r="AD19" s="61" t="str">
        <f t="shared" si="8"/>
        <v>0106-15</v>
      </c>
      <c r="AE19" s="91" t="str">
        <f t="shared" si="9"/>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19" s="88" t="str">
        <f t="shared" si="10"/>
        <v>"C:\Program Files (x86)\AstroGrep\AstroGrep.exe" /spath="%USERPROFILE%\AppData\Local\Temp\OnboardLogs" /stypes="app*4019*20161215*" /stext=" 12:.+((SYSTEM_STATE.+slice.+state.+changed )|(ment ac)|(multiple cpu faults)|(system.+state.+changed )|(\[timeout)|(PRM\|1\|D)|(kpr)|(kdp)|(\|lc)|(penalty))" /e /r /s</v>
      </c>
      <c r="AG19" s="1" t="str">
        <f t="shared" si="11"/>
        <v>EC</v>
      </c>
      <c r="AH19" s="92" t="str">
        <f t="shared" si="14"/>
        <v>"%USERPROFILE%\Documents\GitHub\eaglep3\Utilities\RefineRTDCRunTimes.py" --tripid 106-15 --locoid 4019 --swversion DE.1.0.8.0 --startMP 204:232772 --initTime 2016-12-15T05:03:32 --startdatetime 2016-12-15T05:11:19 --delay 1 --endMP 204:123 --enddatetime 2016-12-15T05:50:08 --enforcementcount 0 &gt;&gt;C:\Users\stu\Documents\GitHub\eaglep3-reporting\EC\2016-12-15-refined-times.txt</v>
      </c>
      <c r="AI19" s="119" t="str">
        <f t="shared" si="15"/>
        <v>echo {"issue":{"subject":"","project_id":79,"tracker_id":40,"status_id":1,"priority_id":2,"assigned_to_id":23,"start_date":"2016-12-15","description":"","custom_fields":[{"id":1,"name":"Subdivision","value":"EC"},{"id":4,"name":"Milepost","value":"0.0123"},{"id":17,"name":"Train ID","value":"106-15"},{"id":16,"name":"Locomotive ID","value":"4019"},{"id":130,"name":"Impact","value":""},{"id":150,"name":"Time of Event (Mountain Time)","value":"05:50:08"},{"id":151,"name":"Denver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595</v>
      </c>
      <c r="B20" s="7">
        <v>4029</v>
      </c>
      <c r="C20" s="22" t="s">
        <v>207</v>
      </c>
      <c r="D20" s="22" t="s">
        <v>414</v>
      </c>
      <c r="E20" s="13">
        <v>42719.186388888891</v>
      </c>
      <c r="F20" s="13">
        <v>42719.188032407408</v>
      </c>
      <c r="G20" s="7">
        <v>1</v>
      </c>
      <c r="H20" s="22" t="s">
        <v>786</v>
      </c>
      <c r="I20" s="13">
        <v>42719.213414351849</v>
      </c>
      <c r="J20" s="7">
        <v>0</v>
      </c>
      <c r="K20" s="109" t="str">
        <f t="shared" si="0"/>
        <v>4029/4030</v>
      </c>
      <c r="L20" s="22" t="str">
        <f>VLOOKUP(A20,'Trips&amp;Operators'!$C$1:$G$99999,5,FALSE)</f>
        <v>STRICKLAND EVAN</v>
      </c>
      <c r="M20" s="6">
        <f t="shared" si="1"/>
        <v>2.5381944440596271E-2</v>
      </c>
      <c r="N20" s="7">
        <f t="shared" si="19"/>
        <v>36.549999994458631</v>
      </c>
      <c r="O20" s="7"/>
      <c r="P20" s="7"/>
      <c r="Q20" s="23"/>
      <c r="R20" s="23"/>
      <c r="S20" s="35">
        <f t="shared" si="20"/>
        <v>1</v>
      </c>
      <c r="T20" s="50" t="str">
        <f t="shared" si="2"/>
        <v>NorthBound</v>
      </c>
      <c r="U20" s="171">
        <f>IF(AG20="EC",COUNTIFS(Variables!$M$2:$M$19,IF(T20="NorthBound","&gt;=","&lt;=")&amp;Y20,Variables!$M$2:$M$19,IF(T20="NorthBound","&lt;=","&gt;=")&amp;Z20),COUNTIFS(Variables!$P$2:$P$19,IF(T20="NorthBound","&gt;=","&lt;=")&amp;Y20,Variables!$P$2:$P$19,IF(T20="NorthBound","&lt;=","&gt;=")&amp;Z20))</f>
        <v>12</v>
      </c>
      <c r="V20" s="98" t="str">
        <f t="shared" si="3"/>
        <v>https://search-rtdc-monitor-bjffxe2xuh6vdkpspy63sjmuny.us-east-1.es.amazonaws.com/_plugin/kibana/#/discover/Steve-Slow-Train-Analysis-(2080s-and-2083s)?_g=(refreshInterval:(display:Off,section:0,value:0),time:(from:'2016-12-15 03:28:24-700',mode:absolute,to:'2016-12-15 06:07:19-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20" s="52" t="str">
        <f t="shared" si="4"/>
        <v>N</v>
      </c>
      <c r="X20" s="177">
        <f t="shared" si="16"/>
        <v>1</v>
      </c>
      <c r="Y20" s="67">
        <f t="shared" si="5"/>
        <v>4.7800000000000002E-2</v>
      </c>
      <c r="Z20" s="67">
        <f t="shared" si="6"/>
        <v>23.333400000000001</v>
      </c>
      <c r="AA20" s="67">
        <f t="shared" si="7"/>
        <v>23.285600000000002</v>
      </c>
      <c r="AB20" s="64" t="e">
        <f>VLOOKUP(A20,Enforcements!$C$7:$K$18,8,0)</f>
        <v>#N/A</v>
      </c>
      <c r="AC20" s="60" t="e">
        <f>VLOOKUP(A20,Enforcements!$C$7:$E$18,3,0)</f>
        <v>#N/A</v>
      </c>
      <c r="AD20" s="61" t="str">
        <f t="shared" si="8"/>
        <v>0107-15</v>
      </c>
      <c r="AE20" s="91" t="str">
        <f t="shared" si="9"/>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20" s="88" t="str">
        <f t="shared" si="10"/>
        <v>"C:\Program Files (x86)\AstroGrep\AstroGrep.exe" /spath="%USERPROFILE%\AppData\Local\Temp\OnboardLogs" /stypes="app*4029*20161215*" /stext=" 12:.+((SYSTEM_STATE.+slice.+state.+changed )|(ment ac)|(multiple cpu faults)|(system.+state.+changed )|(\[timeout)|(PRM\|1\|D)|(kpr)|(kdp)|(\|lc)|(penalty))" /e /r /s</v>
      </c>
      <c r="AG20" s="1" t="str">
        <f t="shared" si="11"/>
        <v>EC</v>
      </c>
      <c r="AH20" s="92" t="str">
        <f t="shared" si="14"/>
        <v>"%USERPROFILE%\Documents\GitHub\eaglep3\Utilities\RefineRTDCRunTimes.py" --tripid 107-15 --locoid 4029 --swversion DE.1.0.8.0 --startMP 204:478 --initTime 2016-12-15T04:28:24 --startdatetime 2016-12-15T04:30:46 --delay 1 --endMP 204:233334 --enddatetime 2016-12-15T05:07:19 --enforcementcount 0 &gt;&gt;C:\Users\stu\Documents\GitHub\eaglep3-reporting\EC\2016-12-15-refined-times.txt</v>
      </c>
      <c r="AI20" s="119" t="str">
        <f t="shared" si="15"/>
        <v>echo {"issue":{"subject":"","project_id":79,"tracker_id":40,"status_id":1,"priority_id":2,"assigned_to_id":23,"start_date":"2016-12-15","description":"","custom_fields":[{"id":1,"name":"Subdivision","value":"EC"},{"id":4,"name":"Milepost","value":"23.3334"},{"id":17,"name":"Train ID","value":"107-15"},{"id":16,"name":"Locomotive ID","value":"4029"},{"id":130,"name":"Impact","value":""},{"id":150,"name":"Time of Event (Mountain Time)","value":"05:07:19"},{"id":151,"name":"Denver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553</v>
      </c>
      <c r="B21" s="7">
        <v>4030</v>
      </c>
      <c r="C21" s="22" t="s">
        <v>207</v>
      </c>
      <c r="D21" s="22" t="s">
        <v>276</v>
      </c>
      <c r="E21" s="13">
        <v>42719.221967592595</v>
      </c>
      <c r="F21" s="13">
        <v>42719.226597222223</v>
      </c>
      <c r="G21" s="7">
        <v>1</v>
      </c>
      <c r="H21" s="22" t="s">
        <v>293</v>
      </c>
      <c r="I21" s="13">
        <v>42719.254745370374</v>
      </c>
      <c r="J21" s="7">
        <v>0</v>
      </c>
      <c r="K21" s="109" t="str">
        <f t="shared" si="0"/>
        <v>4029/4030</v>
      </c>
      <c r="L21" s="22" t="str">
        <f>VLOOKUP(A21,'Trips&amp;Operators'!$C$1:$G$99999,5,FALSE)</f>
        <v>STRICKLAND EVAN</v>
      </c>
      <c r="M21" s="6">
        <f t="shared" si="1"/>
        <v>2.8148148150648922E-2</v>
      </c>
      <c r="N21" s="7">
        <f t="shared" si="19"/>
        <v>40.533333336934447</v>
      </c>
      <c r="O21" s="7"/>
      <c r="P21" s="7"/>
      <c r="Q21" s="23"/>
      <c r="R21" s="23"/>
      <c r="S21" s="35">
        <f t="shared" si="20"/>
        <v>1</v>
      </c>
      <c r="T21" s="50" t="str">
        <f t="shared" si="2"/>
        <v>Southbound</v>
      </c>
      <c r="U21" s="171">
        <f>IF(AG21="EC",COUNTIFS(Variables!$M$2:$M$19,IF(T21="NorthBound","&gt;=","&lt;=")&amp;Y21,Variables!$M$2:$M$19,IF(T21="NorthBound","&lt;=","&gt;=")&amp;Z21),COUNTIFS(Variables!$P$2:$P$19,IF(T21="NorthBound","&gt;=","&lt;=")&amp;Y21,Variables!$P$2:$P$19,IF(T21="NorthBound","&lt;=","&gt;=")&amp;Z21))</f>
        <v>12</v>
      </c>
      <c r="V21" s="98" t="str">
        <f t="shared" si="3"/>
        <v>https://search-rtdc-monitor-bjffxe2xuh6vdkpspy63sjmuny.us-east-1.es.amazonaws.com/_plugin/kibana/#/discover/Steve-Slow-Train-Analysis-(2080s-and-2083s)?_g=(refreshInterval:(display:Off,section:0,value:0),time:(from:'2016-12-15 04:19:38-700',mode:absolute,to:'2016-12-15 07:06:50-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21" s="52" t="str">
        <f t="shared" si="4"/>
        <v>N</v>
      </c>
      <c r="X21" s="177">
        <f t="shared" si="16"/>
        <v>1</v>
      </c>
      <c r="Y21" s="67">
        <f t="shared" si="5"/>
        <v>23.299399999999999</v>
      </c>
      <c r="Z21" s="67">
        <f t="shared" si="6"/>
        <v>1.6E-2</v>
      </c>
      <c r="AA21" s="67">
        <f t="shared" si="7"/>
        <v>23.2834</v>
      </c>
      <c r="AB21" s="64" t="e">
        <f>VLOOKUP(A21,Enforcements!$C$7:$K$18,8,0)</f>
        <v>#N/A</v>
      </c>
      <c r="AC21" s="60" t="e">
        <f>VLOOKUP(A21,Enforcements!$C$7:$E$18,3,0)</f>
        <v>#N/A</v>
      </c>
      <c r="AD21" s="61" t="str">
        <f t="shared" si="8"/>
        <v>0108-15</v>
      </c>
      <c r="AE21" s="91" t="str">
        <f t="shared" si="9"/>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21" s="88" t="str">
        <f t="shared" si="10"/>
        <v>"C:\Program Files (x86)\AstroGrep\AstroGrep.exe" /spath="%USERPROFILE%\AppData\Local\Temp\OnboardLogs" /stypes="app*4030*20161215*" /stext=" 13:.+((SYSTEM_STATE.+slice.+state.+changed )|(ment ac)|(multiple cpu faults)|(system.+state.+changed )|(\[timeout)|(PRM\|1\|D)|(kpr)|(kdp)|(\|lc)|(penalty))" /e /r /s</v>
      </c>
      <c r="AG21" s="1" t="str">
        <f t="shared" si="11"/>
        <v>EC</v>
      </c>
      <c r="AH21" s="92" t="str">
        <f t="shared" si="14"/>
        <v>"%USERPROFILE%\Documents\GitHub\eaglep3\Utilities\RefineRTDCRunTimes.py" --tripid 108-15 --locoid 4030 --swversion DE.1.0.8.0 --startMP 204:232994 --initTime 2016-12-15T05:19:38 --startdatetime 2016-12-15T05:26:18 --delay 1 --endMP 204:160 --enddatetime 2016-12-15T06:06:50 --enforcementcount 0 &gt;&gt;C:\Users\stu\Documents\GitHub\eaglep3-reporting\EC\2016-12-15-refined-times.txt</v>
      </c>
      <c r="AI21" s="119" t="str">
        <f t="shared" si="15"/>
        <v>echo {"issue":{"subject":"","project_id":79,"tracker_id":40,"status_id":1,"priority_id":2,"assigned_to_id":23,"start_date":"2016-12-15","description":"","custom_fields":[{"id":1,"name":"Subdivision","value":"EC"},{"id":4,"name":"Milepost","value":"0.016"},{"id":17,"name":"Train ID","value":"108-15"},{"id":16,"name":"Locomotive ID","value":"4030"},{"id":130,"name":"Impact","value":""},{"id":150,"name":"Time of Event (Mountain Time)","value":"06:06:50"},{"id":151,"name":"Denver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596</v>
      </c>
      <c r="B22" s="7">
        <v>4003</v>
      </c>
      <c r="C22" s="22" t="s">
        <v>207</v>
      </c>
      <c r="D22" s="22" t="s">
        <v>787</v>
      </c>
      <c r="E22" s="13">
        <v>42719.195405092592</v>
      </c>
      <c r="F22" s="13">
        <v>42719.198252314818</v>
      </c>
      <c r="G22" s="7">
        <v>2</v>
      </c>
      <c r="H22" s="22" t="s">
        <v>417</v>
      </c>
      <c r="I22" s="13">
        <v>42719.222453703704</v>
      </c>
      <c r="J22" s="7">
        <v>0</v>
      </c>
      <c r="K22" s="109" t="str">
        <f t="shared" si="0"/>
        <v>4003/4004</v>
      </c>
      <c r="L22" s="22" t="str">
        <f>VLOOKUP(A22,'Trips&amp;Operators'!$C$1:$G$99999,5,FALSE)</f>
        <v>SIMONEAUX TERA</v>
      </c>
      <c r="M22" s="6">
        <f t="shared" si="1"/>
        <v>2.4201388885558117E-2</v>
      </c>
      <c r="N22" s="7">
        <f t="shared" si="19"/>
        <v>34.849999995203689</v>
      </c>
      <c r="O22" s="7"/>
      <c r="P22" s="7"/>
      <c r="Q22" s="23"/>
      <c r="R22" s="23"/>
      <c r="S22" s="35">
        <f t="shared" si="20"/>
        <v>1</v>
      </c>
      <c r="T22" s="50" t="str">
        <f t="shared" si="2"/>
        <v>NorthBound</v>
      </c>
      <c r="U22" s="171">
        <f>IF(AG22="EC",COUNTIFS(Variables!$M$2:$M$19,IF(T22="NorthBound","&gt;=","&lt;=")&amp;Y22,Variables!$M$2:$M$19,IF(T22="NorthBound","&lt;=","&gt;=")&amp;Z22),COUNTIFS(Variables!$P$2:$P$19,IF(T22="NorthBound","&gt;=","&lt;=")&amp;Y22,Variables!$P$2:$P$19,IF(T22="NorthBound","&lt;=","&gt;=")&amp;Z22))</f>
        <v>12</v>
      </c>
      <c r="V22" s="98" t="str">
        <f t="shared" si="3"/>
        <v>https://search-rtdc-monitor-bjffxe2xuh6vdkpspy63sjmuny.us-east-1.es.amazonaws.com/_plugin/kibana/#/discover/Steve-Slow-Train-Analysis-(2080s-and-2083s)?_g=(refreshInterval:(display:Off,section:0,value:0),time:(from:'2016-12-15 03:41:23-700',mode:absolute,to:'2016-12-15 06:20:20-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2" s="52" t="str">
        <f t="shared" si="4"/>
        <v>N</v>
      </c>
      <c r="X22" s="177">
        <f t="shared" si="16"/>
        <v>1</v>
      </c>
      <c r="Y22" s="67">
        <f t="shared" si="5"/>
        <v>4.4200000000000003E-2</v>
      </c>
      <c r="Z22" s="67">
        <f t="shared" si="6"/>
        <v>23.3306</v>
      </c>
      <c r="AA22" s="67">
        <f t="shared" si="7"/>
        <v>23.2864</v>
      </c>
      <c r="AB22" s="64" t="e">
        <f>VLOOKUP(A22,Enforcements!$C$7:$K$18,8,0)</f>
        <v>#N/A</v>
      </c>
      <c r="AC22" s="60" t="e">
        <f>VLOOKUP(A22,Enforcements!$C$7:$E$18,3,0)</f>
        <v>#N/A</v>
      </c>
      <c r="AD22" s="61" t="str">
        <f t="shared" si="8"/>
        <v>0109-15</v>
      </c>
      <c r="AE22" s="91" t="str">
        <f t="shared" si="9"/>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22" s="88" t="str">
        <f t="shared" si="10"/>
        <v>"C:\Program Files (x86)\AstroGrep\AstroGrep.exe" /spath="%USERPROFILE%\AppData\Local\Temp\OnboardLogs" /stypes="app*4003*20161215*" /stext=" 12:.+((SYSTEM_STATE.+slice.+state.+changed )|(ment ac)|(multiple cpu faults)|(system.+state.+changed )|(\[timeout)|(PRM\|1\|D)|(kpr)|(kdp)|(\|lc)|(penalty))" /e /r /s</v>
      </c>
      <c r="AG22" s="1" t="str">
        <f t="shared" si="11"/>
        <v>EC</v>
      </c>
      <c r="AH22" s="92" t="str">
        <f t="shared" si="14"/>
        <v>"%USERPROFILE%\Documents\GitHub\eaglep3\Utilities\RefineRTDCRunTimes.py" --tripid 109-15 --locoid 4003 --swversion DE.1.0.8.0 --startMP 204:442 --initTime 2016-12-15T04:41:23 --startdatetime 2016-12-15T04:45:29 --delay 2 --endMP 204:233306 --enddatetime 2016-12-15T05:20:20 --enforcementcount 0 &gt;&gt;C:\Users\stu\Documents\GitHub\eaglep3-reporting\EC\2016-12-15-refined-times.txt</v>
      </c>
      <c r="AI22" s="119" t="str">
        <f t="shared" si="15"/>
        <v>echo {"issue":{"subject":"","project_id":79,"tracker_id":40,"status_id":1,"priority_id":2,"assigned_to_id":23,"start_date":"2016-12-15","description":"","custom_fields":[{"id":1,"name":"Subdivision","value":"EC"},{"id":4,"name":"Milepost","value":"23.3306"},{"id":17,"name":"Train ID","value":"109-15"},{"id":16,"name":"Locomotive ID","value":"4003"},{"id":130,"name":"Impact","value":""},{"id":150,"name":"Time of Event (Mountain Time)","value":"05:20:20"},{"id":151,"name":"Denver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607</v>
      </c>
      <c r="B23" s="7">
        <v>4004</v>
      </c>
      <c r="C23" s="22" t="s">
        <v>207</v>
      </c>
      <c r="D23" s="22" t="s">
        <v>788</v>
      </c>
      <c r="E23" s="13">
        <v>42719.235636574071</v>
      </c>
      <c r="F23" s="13">
        <v>42719.237129629626</v>
      </c>
      <c r="G23" s="7">
        <v>1</v>
      </c>
      <c r="H23" s="22" t="s">
        <v>293</v>
      </c>
      <c r="I23" s="13">
        <v>42719.263865740744</v>
      </c>
      <c r="J23" s="7">
        <v>0</v>
      </c>
      <c r="K23" s="109" t="str">
        <f t="shared" si="0"/>
        <v>4003/4004</v>
      </c>
      <c r="L23" s="22" t="str">
        <f>VLOOKUP(A23,'Trips&amp;Operators'!$C$1:$G$99999,5,FALSE)</f>
        <v>SIMONEAUX TERA</v>
      </c>
      <c r="M23" s="6">
        <f t="shared" si="1"/>
        <v>2.6736111118225381E-2</v>
      </c>
      <c r="N23" s="7">
        <f t="shared" si="19"/>
        <v>38.500000010244548</v>
      </c>
      <c r="O23" s="7"/>
      <c r="P23" s="7"/>
      <c r="Q23" s="23"/>
      <c r="R23" s="23"/>
      <c r="S23" s="35">
        <f t="shared" si="20"/>
        <v>1</v>
      </c>
      <c r="T23" s="50" t="str">
        <f t="shared" si="2"/>
        <v>Southbound</v>
      </c>
      <c r="U23" s="171">
        <f>IF(AG23="EC",COUNTIFS(Variables!$M$2:$M$19,IF(T23="NorthBound","&gt;=","&lt;=")&amp;Y23,Variables!$M$2:$M$19,IF(T23="NorthBound","&lt;=","&gt;=")&amp;Z23),COUNTIFS(Variables!$P$2:$P$19,IF(T23="NorthBound","&gt;=","&lt;=")&amp;Y23,Variables!$P$2:$P$19,IF(T23="NorthBound","&lt;=","&gt;=")&amp;Z23))</f>
        <v>12</v>
      </c>
      <c r="V23" s="98" t="str">
        <f t="shared" si="3"/>
        <v>https://search-rtdc-monitor-bjffxe2xuh6vdkpspy63sjmuny.us-east-1.es.amazonaws.com/_plugin/kibana/#/discover/Steve-Slow-Train-Analysis-(2080s-and-2083s)?_g=(refreshInterval:(display:Off,section:0,value:0),time:(from:'2016-12-15 04:39:19-700',mode:absolute,to:'2016-12-15 07:19:58-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3" s="52" t="str">
        <f t="shared" si="4"/>
        <v>N</v>
      </c>
      <c r="X23" s="177">
        <f t="shared" ref="X23:X54" si="21">VALUE(LEFT(AD23,4))-VALUE(LEFT(AD22,4))</f>
        <v>1</v>
      </c>
      <c r="Y23" s="67">
        <f t="shared" si="5"/>
        <v>23.297899999999998</v>
      </c>
      <c r="Z23" s="67">
        <f t="shared" si="6"/>
        <v>1.6E-2</v>
      </c>
      <c r="AA23" s="67">
        <f t="shared" si="7"/>
        <v>23.2819</v>
      </c>
      <c r="AB23" s="64" t="e">
        <f>VLOOKUP(A23,Enforcements!$C$7:$K$18,8,0)</f>
        <v>#N/A</v>
      </c>
      <c r="AC23" s="60" t="e">
        <f>VLOOKUP(A23,Enforcements!$C$7:$E$18,3,0)</f>
        <v>#N/A</v>
      </c>
      <c r="AD23" s="61" t="str">
        <f t="shared" si="8"/>
        <v>0110-15</v>
      </c>
      <c r="AE23" s="91" t="str">
        <f t="shared" si="9"/>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23" s="88" t="str">
        <f t="shared" si="10"/>
        <v>"C:\Program Files (x86)\AstroGrep\AstroGrep.exe" /spath="%USERPROFILE%\AppData\Local\Temp\OnboardLogs" /stypes="app*4004*20161215*" /stext=" 13:.+((SYSTEM_STATE.+slice.+state.+changed )|(ment ac)|(multiple cpu faults)|(system.+state.+changed )|(\[timeout)|(PRM\|1\|D)|(kpr)|(kdp)|(\|lc)|(penalty))" /e /r /s</v>
      </c>
      <c r="AG23" s="1" t="str">
        <f t="shared" si="11"/>
        <v>EC</v>
      </c>
      <c r="AH23" s="92" t="str">
        <f t="shared" si="14"/>
        <v>"%USERPROFILE%\Documents\GitHub\eaglep3\Utilities\RefineRTDCRunTimes.py" --tripid 110-15 --locoid 4004 --swversion DE.1.0.8.0 --startMP 204:232979 --initTime 2016-12-15T05:39:19 --startdatetime 2016-12-15T05:41:28 --delay 1 --endMP 204:160 --enddatetime 2016-12-15T06:19:58 --enforcementcount 0 &gt;&gt;C:\Users\stu\Documents\GitHub\eaglep3-reporting\EC\2016-12-15-refined-times.txt</v>
      </c>
      <c r="AI23" s="119" t="str">
        <f t="shared" si="15"/>
        <v>echo {"issue":{"subject":"","project_id":79,"tracker_id":40,"status_id":1,"priority_id":2,"assigned_to_id":23,"start_date":"2016-12-15","description":"","custom_fields":[{"id":1,"name":"Subdivision","value":"EC"},{"id":4,"name":"Milepost","value":"0.016"},{"id":17,"name":"Train ID","value":"110-15"},{"id":16,"name":"Locomotive ID","value":"4004"},{"id":130,"name":"Impact","value":""},{"id":150,"name":"Time of Event (Mountain Time)","value":"06:19:58"},{"id":151,"name":"Denver Issue ID","value":""},{"id":178,"name":"Operational Impact","value":"Yes"},{"id":179,"name":"Denver Segment Assigned","value":""}]}} | curl -X POST -H "Content-Type: application/json" -H "X-Redmine-API-Key: d6333d4a04012a730768444271f8ca06482dae87" https://secure.xorail.net/redmine/issues.json --data @-</v>
      </c>
      <c r="AJ23" s="53"/>
      <c r="AK23" s="53"/>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601</v>
      </c>
      <c r="B24" s="7">
        <v>4011</v>
      </c>
      <c r="C24" s="22" t="s">
        <v>207</v>
      </c>
      <c r="D24" s="22" t="s">
        <v>789</v>
      </c>
      <c r="E24" s="13">
        <v>42719.205023148148</v>
      </c>
      <c r="F24" s="13">
        <v>42719.208564814813</v>
      </c>
      <c r="G24" s="7">
        <v>4</v>
      </c>
      <c r="H24" s="22" t="s">
        <v>790</v>
      </c>
      <c r="I24" s="13">
        <v>42719.234016203707</v>
      </c>
      <c r="J24" s="7">
        <v>0</v>
      </c>
      <c r="K24" s="109" t="str">
        <f t="shared" si="0"/>
        <v>4011/4012</v>
      </c>
      <c r="L24" s="22" t="str">
        <f>VLOOKUP(A24,'Trips&amp;Operators'!$C$1:$G$99999,5,FALSE)</f>
        <v>STARKS ANGELINA</v>
      </c>
      <c r="M24" s="6">
        <f t="shared" si="1"/>
        <v>2.5451388893998228E-2</v>
      </c>
      <c r="N24" s="7">
        <f t="shared" si="19"/>
        <v>36.650000007357448</v>
      </c>
      <c r="O24" s="7"/>
      <c r="P24" s="7"/>
      <c r="Q24" s="23"/>
      <c r="R24" s="23"/>
      <c r="S24" s="35">
        <f t="shared" si="20"/>
        <v>1</v>
      </c>
      <c r="T24" s="50" t="str">
        <f t="shared" si="2"/>
        <v>NorthBound</v>
      </c>
      <c r="U24" s="171">
        <f>IF(AG24="EC",COUNTIFS(Variables!$M$2:$M$19,IF(T24="NorthBound","&gt;=","&lt;=")&amp;Y24,Variables!$M$2:$M$19,IF(T24="NorthBound","&lt;=","&gt;=")&amp;Z24),COUNTIFS(Variables!$P$2:$P$19,IF(T24="NorthBound","&gt;=","&lt;=")&amp;Y24,Variables!$P$2:$P$19,IF(T24="NorthBound","&lt;=","&gt;=")&amp;Z24))</f>
        <v>12</v>
      </c>
      <c r="V24" s="98" t="str">
        <f t="shared" si="3"/>
        <v>https://search-rtdc-monitor-bjffxe2xuh6vdkpspy63sjmuny.us-east-1.es.amazonaws.com/_plugin/kibana/#/discover/Steve-Slow-Train-Analysis-(2080s-and-2083s)?_g=(refreshInterval:(display:Off,section:0,value:0),time:(from:'2016-12-15 03:55:14-700',mode:absolute,to:'2016-12-15 06:36: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24" s="52" t="str">
        <f t="shared" si="4"/>
        <v>N</v>
      </c>
      <c r="X24" s="177">
        <f t="shared" si="21"/>
        <v>1</v>
      </c>
      <c r="Y24" s="67">
        <f t="shared" si="5"/>
        <v>7.17E-2</v>
      </c>
      <c r="Z24" s="67">
        <f t="shared" si="6"/>
        <v>23.3276</v>
      </c>
      <c r="AA24" s="67">
        <f t="shared" si="7"/>
        <v>23.2559</v>
      </c>
      <c r="AB24" s="64" t="e">
        <f>VLOOKUP(A24,Enforcements!$C$7:$K$18,8,0)</f>
        <v>#N/A</v>
      </c>
      <c r="AC24" s="60" t="e">
        <f>VLOOKUP(A24,Enforcements!$C$7:$E$18,3,0)</f>
        <v>#N/A</v>
      </c>
      <c r="AD24" s="61" t="str">
        <f t="shared" si="8"/>
        <v>0111-15</v>
      </c>
      <c r="AE24" s="91" t="str">
        <f t="shared" si="9"/>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24" s="88" t="str">
        <f t="shared" si="10"/>
        <v>"C:\Program Files (x86)\AstroGrep\AstroGrep.exe" /spath="%USERPROFILE%\AppData\Local\Temp\OnboardLogs" /stypes="app*4011*20161215*" /stext=" 12:.+((SYSTEM_STATE.+slice.+state.+changed )|(ment ac)|(multiple cpu faults)|(system.+state.+changed )|(\[timeout)|(PRM\|1\|D)|(kpr)|(kdp)|(\|lc)|(penalty))" /e /r /s</v>
      </c>
      <c r="AG24" s="1" t="str">
        <f t="shared" si="11"/>
        <v>EC</v>
      </c>
      <c r="AH24" s="92" t="str">
        <f t="shared" si="14"/>
        <v>"%USERPROFILE%\Documents\GitHub\eaglep3\Utilities\RefineRTDCRunTimes.py" --tripid 111-15 --locoid 4011 --swversion DE.1.0.8.0 --startMP 204:717 --initTime 2016-12-15T04:55:14 --startdatetime 2016-12-15T05:00:20 --delay 4 --endMP 204:233276 --enddatetime 2016-12-15T05:36:59 --enforcementcount 0 &gt;&gt;C:\Users\stu\Documents\GitHub\eaglep3-reporting\EC\2016-12-15-refined-times.txt</v>
      </c>
      <c r="AI24" s="119" t="str">
        <f t="shared" si="15"/>
        <v>echo {"issue":{"subject":"","project_id":79,"tracker_id":40,"status_id":1,"priority_id":2,"assigned_to_id":23,"start_date":"2016-12-15","description":"","custom_fields":[{"id":1,"name":"Subdivision","value":"EC"},{"id":4,"name":"Milepost","value":"23.3276"},{"id":17,"name":"Train ID","value":"111-15"},{"id":16,"name":"Locomotive ID","value":"4011"},{"id":130,"name":"Impact","value":""},{"id":150,"name":"Time of Event (Mountain Time)","value":"05:36:59"},{"id":151,"name":"Denver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608</v>
      </c>
      <c r="B25" s="7">
        <v>4012</v>
      </c>
      <c r="C25" s="22" t="s">
        <v>207</v>
      </c>
      <c r="D25" s="22" t="s">
        <v>791</v>
      </c>
      <c r="E25" s="13">
        <v>42719.244201388887</v>
      </c>
      <c r="F25" s="13">
        <v>42719.247430555559</v>
      </c>
      <c r="G25" s="7">
        <v>3</v>
      </c>
      <c r="H25" s="22" t="s">
        <v>192</v>
      </c>
      <c r="I25" s="13">
        <v>42719.276319444441</v>
      </c>
      <c r="J25" s="7">
        <v>0</v>
      </c>
      <c r="K25" s="109" t="str">
        <f t="shared" si="0"/>
        <v>4011/4012</v>
      </c>
      <c r="L25" s="22" t="str">
        <f>VLOOKUP(A25,'Trips&amp;Operators'!$C$1:$G$99999,5,FALSE)</f>
        <v>STARKS ANGELINA</v>
      </c>
      <c r="M25" s="6">
        <f t="shared" si="1"/>
        <v>2.8888888882647734E-2</v>
      </c>
      <c r="N25" s="7">
        <f t="shared" si="19"/>
        <v>41.599999991012737</v>
      </c>
      <c r="O25" s="7"/>
      <c r="P25" s="7"/>
      <c r="Q25" s="23"/>
      <c r="R25" s="23"/>
      <c r="S25" s="35">
        <f t="shared" si="20"/>
        <v>1</v>
      </c>
      <c r="T25" s="50" t="str">
        <f t="shared" si="2"/>
        <v>Southbound</v>
      </c>
      <c r="U25" s="171">
        <f>IF(AG25="EC",COUNTIFS(Variables!$M$2:$M$19,IF(T25="NorthBound","&gt;=","&lt;=")&amp;Y25,Variables!$M$2:$M$19,IF(T25="NorthBound","&lt;=","&gt;=")&amp;Z25),COUNTIFS(Variables!$P$2:$P$19,IF(T25="NorthBound","&gt;=","&lt;=")&amp;Y25,Variables!$P$2:$P$19,IF(T25="NorthBound","&lt;=","&gt;=")&amp;Z25))</f>
        <v>12</v>
      </c>
      <c r="V25" s="98" t="str">
        <f t="shared" si="3"/>
        <v>https://search-rtdc-monitor-bjffxe2xuh6vdkpspy63sjmuny.us-east-1.es.amazonaws.com/_plugin/kibana/#/discover/Steve-Slow-Train-Analysis-(2080s-and-2083s)?_g=(refreshInterval:(display:Off,section:0,value:0),time:(from:'2016-12-15 04:51:39-700',mode:absolute,to:'2016-12-15 07:37:54-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25" s="52" t="str">
        <f t="shared" si="4"/>
        <v>N</v>
      </c>
      <c r="X25" s="177">
        <f t="shared" si="21"/>
        <v>1</v>
      </c>
      <c r="Y25" s="67">
        <f t="shared" si="5"/>
        <v>23.2959</v>
      </c>
      <c r="Z25" s="67">
        <f t="shared" si="6"/>
        <v>1.49E-2</v>
      </c>
      <c r="AA25" s="67">
        <f t="shared" si="7"/>
        <v>23.280999999999999</v>
      </c>
      <c r="AB25" s="64" t="e">
        <f>VLOOKUP(A25,Enforcements!$C$7:$K$18,8,0)</f>
        <v>#N/A</v>
      </c>
      <c r="AC25" s="60" t="e">
        <f>VLOOKUP(A25,Enforcements!$C$7:$E$18,3,0)</f>
        <v>#N/A</v>
      </c>
      <c r="AD25" s="61" t="str">
        <f t="shared" si="8"/>
        <v>0112-15</v>
      </c>
      <c r="AE25" s="91" t="str">
        <f t="shared" si="9"/>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25" s="88" t="str">
        <f t="shared" si="10"/>
        <v>"C:\Program Files (x86)\AstroGrep\AstroGrep.exe" /spath="%USERPROFILE%\AppData\Local\Temp\OnboardLogs" /stypes="app*4012*20161215*" /stext=" 13:.+((SYSTEM_STATE.+slice.+state.+changed )|(ment ac)|(multiple cpu faults)|(system.+state.+changed )|(\[timeout)|(PRM\|1\|D)|(kpr)|(kdp)|(\|lc)|(penalty))" /e /r /s</v>
      </c>
      <c r="AG25" s="1" t="str">
        <f t="shared" si="11"/>
        <v>EC</v>
      </c>
      <c r="AH25" s="92" t="str">
        <f t="shared" si="14"/>
        <v>"%USERPROFILE%\Documents\GitHub\eaglep3\Utilities\RefineRTDCRunTimes.py" --tripid 112-15 --locoid 4012 --swversion DE.1.0.8.0 --startMP 204:232959 --initTime 2016-12-15T05:51:39 --startdatetime 2016-12-15T05:56:18 --delay 3 --endMP 204:149 --enddatetime 2016-12-15T06:37:54 --enforcementcount 0 &gt;&gt;C:\Users\stu\Documents\GitHub\eaglep3-reporting\EC\2016-12-15-refined-times.txt</v>
      </c>
      <c r="AI25" s="119" t="str">
        <f t="shared" si="15"/>
        <v>echo {"issue":{"subject":"","project_id":79,"tracker_id":40,"status_id":1,"priority_id":2,"assigned_to_id":23,"start_date":"2016-12-15","description":"","custom_fields":[{"id":1,"name":"Subdivision","value":"EC"},{"id":4,"name":"Milepost","value":"0.0149"},{"id":17,"name":"Train ID","value":"112-15"},{"id":16,"name":"Locomotive ID","value":"4012"},{"id":130,"name":"Impact","value":""},{"id":150,"name":"Time of Event (Mountain Time)","value":"06:37:54"},{"id":151,"name":"Denver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600</v>
      </c>
      <c r="B26" s="7">
        <v>4018</v>
      </c>
      <c r="C26" s="22" t="s">
        <v>207</v>
      </c>
      <c r="D26" s="22" t="s">
        <v>787</v>
      </c>
      <c r="E26" s="13">
        <v>42719.20590277778</v>
      </c>
      <c r="F26" s="13">
        <v>42719.219050925924</v>
      </c>
      <c r="G26" s="7">
        <v>1</v>
      </c>
      <c r="H26" s="22" t="s">
        <v>353</v>
      </c>
      <c r="I26" s="13">
        <v>42719.243750000001</v>
      </c>
      <c r="J26" s="7">
        <v>0</v>
      </c>
      <c r="K26" s="109" t="str">
        <f t="shared" si="0"/>
        <v>4017/4018</v>
      </c>
      <c r="L26" s="22" t="str">
        <f>VLOOKUP(A26,'Trips&amp;Operators'!$C$1:$G$99999,5,FALSE)</f>
        <v>MAELZER KURT</v>
      </c>
      <c r="M26" s="6">
        <f t="shared" si="1"/>
        <v>2.4699074077943806E-2</v>
      </c>
      <c r="N26" s="7">
        <f t="shared" si="19"/>
        <v>35.56666667223908</v>
      </c>
      <c r="O26" s="7"/>
      <c r="P26" s="7"/>
      <c r="Q26" s="23"/>
      <c r="R26" s="23"/>
      <c r="S26" s="35">
        <f t="shared" si="20"/>
        <v>1</v>
      </c>
      <c r="T26" s="50" t="str">
        <f t="shared" si="2"/>
        <v>NorthBound</v>
      </c>
      <c r="U26" s="171">
        <f>IF(AG26="EC",COUNTIFS(Variables!$M$2:$M$19,IF(T26="NorthBound","&gt;=","&lt;=")&amp;Y26,Variables!$M$2:$M$19,IF(T26="NorthBound","&lt;=","&gt;=")&amp;Z26),COUNTIFS(Variables!$P$2:$P$19,IF(T26="NorthBound","&gt;=","&lt;=")&amp;Y26,Variables!$P$2:$P$19,IF(T26="NorthBound","&lt;=","&gt;=")&amp;Z26))</f>
        <v>12</v>
      </c>
      <c r="V26" s="98" t="str">
        <f t="shared" si="3"/>
        <v>https://search-rtdc-monitor-bjffxe2xuh6vdkpspy63sjmuny.us-east-1.es.amazonaws.com/_plugin/kibana/#/discover/Steve-Slow-Train-Analysis-(2080s-and-2083s)?_g=(refreshInterval:(display:Off,section:0,value:0),time:(from:'2016-12-15 03:56:30-700',mode:absolute,to:'2016-12-15 06:51: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6" s="52" t="str">
        <f t="shared" si="4"/>
        <v>N</v>
      </c>
      <c r="X26" s="177">
        <f t="shared" si="21"/>
        <v>1</v>
      </c>
      <c r="Y26" s="67">
        <f t="shared" si="5"/>
        <v>4.4200000000000003E-2</v>
      </c>
      <c r="Z26" s="67">
        <f t="shared" si="6"/>
        <v>23.331700000000001</v>
      </c>
      <c r="AA26" s="67">
        <f t="shared" si="7"/>
        <v>23.287500000000001</v>
      </c>
      <c r="AB26" s="64" t="e">
        <f>VLOOKUP(A26,Enforcements!$C$7:$K$18,8,0)</f>
        <v>#N/A</v>
      </c>
      <c r="AC26" s="60" t="e">
        <f>VLOOKUP(A26,Enforcements!$C$7:$E$18,3,0)</f>
        <v>#N/A</v>
      </c>
      <c r="AD26" s="61" t="str">
        <f t="shared" si="8"/>
        <v>0113-15</v>
      </c>
      <c r="AE26" s="91" t="str">
        <f t="shared" si="9"/>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26" s="88" t="str">
        <f t="shared" si="10"/>
        <v>"C:\Program Files (x86)\AstroGrep\AstroGrep.exe" /spath="%USERPROFILE%\AppData\Local\Temp\OnboardLogs" /stypes="app*4018*20161215*" /stext=" 12:.+((SYSTEM_STATE.+slice.+state.+changed )|(ment ac)|(multiple cpu faults)|(system.+state.+changed )|(\[timeout)|(PRM\|1\|D)|(kpr)|(kdp)|(\|lc)|(penalty))" /e /r /s</v>
      </c>
      <c r="AG26" s="1" t="str">
        <f t="shared" si="11"/>
        <v>EC</v>
      </c>
      <c r="AH26" s="92" t="str">
        <f t="shared" si="14"/>
        <v>"%USERPROFILE%\Documents\GitHub\eaglep3\Utilities\RefineRTDCRunTimes.py" --tripid 113-15 --locoid 4018 --swversion DE.1.0.8.0 --startMP 204:442 --initTime 2016-12-15T04:56:30 --startdatetime 2016-12-15T05:15:26 --delay 1 --endMP 204:233317 --enddatetime 2016-12-15T05:51:00 --enforcementcount 0 &gt;&gt;C:\Users\stu\Documents\GitHub\eaglep3-reporting\EC\2016-12-15-refined-times.txt</v>
      </c>
      <c r="AI26" s="119" t="str">
        <f t="shared" si="15"/>
        <v>echo {"issue":{"subject":"","project_id":79,"tracker_id":40,"status_id":1,"priority_id":2,"assigned_to_id":23,"start_date":"2016-12-15","description":"","custom_fields":[{"id":1,"name":"Subdivision","value":"EC"},{"id":4,"name":"Milepost","value":"23.3317"},{"id":17,"name":"Train ID","value":"113-15"},{"id":16,"name":"Locomotive ID","value":"4018"},{"id":130,"name":"Impact","value":""},{"id":150,"name":"Time of Event (Mountain Time)","value":"05:51:00"},{"id":151,"name":"Denver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611</v>
      </c>
      <c r="B27" s="7">
        <v>4017</v>
      </c>
      <c r="C27" s="22" t="s">
        <v>207</v>
      </c>
      <c r="D27" s="22" t="s">
        <v>407</v>
      </c>
      <c r="E27" s="13">
        <v>42719.254687499997</v>
      </c>
      <c r="F27" s="13">
        <v>42719.257777777777</v>
      </c>
      <c r="G27" s="7">
        <v>1</v>
      </c>
      <c r="H27" s="22" t="s">
        <v>298</v>
      </c>
      <c r="I27" s="13">
        <v>42719.284525462965</v>
      </c>
      <c r="J27" s="7">
        <v>0</v>
      </c>
      <c r="K27" s="109" t="str">
        <f t="shared" si="0"/>
        <v>4017/4018</v>
      </c>
      <c r="L27" s="22" t="str">
        <f>VLOOKUP(A27,'Trips&amp;Operators'!$C$1:$G$99999,5,FALSE)</f>
        <v>MAELZER KURT</v>
      </c>
      <c r="M27" s="6">
        <f t="shared" si="1"/>
        <v>2.6747685187729076E-2</v>
      </c>
      <c r="N27" s="7">
        <f t="shared" si="19"/>
        <v>38.516666670329869</v>
      </c>
      <c r="O27" s="7"/>
      <c r="P27" s="7"/>
      <c r="Q27" s="23"/>
      <c r="R27" s="23"/>
      <c r="S27" s="35">
        <f t="shared" si="20"/>
        <v>1</v>
      </c>
      <c r="T27" s="50" t="str">
        <f t="shared" si="2"/>
        <v>Southbound</v>
      </c>
      <c r="U27" s="171">
        <f>IF(AG27="EC",COUNTIFS(Variables!$M$2:$M$19,IF(T27="NorthBound","&gt;=","&lt;=")&amp;Y27,Variables!$M$2:$M$19,IF(T27="NorthBound","&lt;=","&gt;=")&amp;Z27),COUNTIFS(Variables!$P$2:$P$19,IF(T27="NorthBound","&gt;=","&lt;=")&amp;Y27,Variables!$P$2:$P$19,IF(T27="NorthBound","&lt;=","&gt;=")&amp;Z27))</f>
        <v>12</v>
      </c>
      <c r="V27" s="98" t="str">
        <f t="shared" si="3"/>
        <v>https://search-rtdc-monitor-bjffxe2xuh6vdkpspy63sjmuny.us-east-1.es.amazonaws.com/_plugin/kibana/#/discover/Steve-Slow-Train-Analysis-(2080s-and-2083s)?_g=(refreshInterval:(display:Off,section:0,value:0),time:(from:'2016-12-15 05:06:45-700',mode:absolute,to:'2016-12-15 07:49:43-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7" s="52" t="str">
        <f t="shared" si="4"/>
        <v>N</v>
      </c>
      <c r="X27" s="177">
        <f t="shared" si="21"/>
        <v>1</v>
      </c>
      <c r="Y27" s="67">
        <f t="shared" si="5"/>
        <v>23.300799999999999</v>
      </c>
      <c r="Z27" s="67">
        <f t="shared" si="6"/>
        <v>1.5800000000000002E-2</v>
      </c>
      <c r="AA27" s="67">
        <f t="shared" si="7"/>
        <v>23.285</v>
      </c>
      <c r="AB27" s="64" t="e">
        <f>VLOOKUP(A27,Enforcements!$C$7:$K$18,8,0)</f>
        <v>#N/A</v>
      </c>
      <c r="AC27" s="60" t="e">
        <f>VLOOKUP(A27,Enforcements!$C$7:$E$18,3,0)</f>
        <v>#N/A</v>
      </c>
      <c r="AD27" s="61" t="str">
        <f t="shared" si="8"/>
        <v>0114-15</v>
      </c>
      <c r="AE27" s="91" t="str">
        <f t="shared" si="9"/>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27" s="88" t="str">
        <f t="shared" si="10"/>
        <v>"C:\Program Files (x86)\AstroGrep\AstroGrep.exe" /spath="%USERPROFILE%\AppData\Local\Temp\OnboardLogs" /stypes="app*4017*20161215*" /stext=" 13:.+((SYSTEM_STATE.+slice.+state.+changed )|(ment ac)|(multiple cpu faults)|(system.+state.+changed )|(\[timeout)|(PRM\|1\|D)|(kpr)|(kdp)|(\|lc)|(penalty))" /e /r /s</v>
      </c>
      <c r="AG27" s="1" t="str">
        <f t="shared" si="11"/>
        <v>EC</v>
      </c>
      <c r="AH27" s="92" t="str">
        <f t="shared" si="14"/>
        <v>"%USERPROFILE%\Documents\GitHub\eaglep3\Utilities\RefineRTDCRunTimes.py" --tripid 114-15 --locoid 4017 --swversion DE.1.0.8.0 --startMP 204:233008 --initTime 2016-12-15T06:06:45 --startdatetime 2016-12-15T06:11:12 --delay 1 --endMP 204:158 --enddatetime 2016-12-15T06:49:43 --enforcementcount 0 &gt;&gt;C:\Users\stu\Documents\GitHub\eaglep3-reporting\EC\2016-12-15-refined-times.txt</v>
      </c>
      <c r="AI27" s="119" t="str">
        <f t="shared" si="15"/>
        <v>echo {"issue":{"subject":"","project_id":79,"tracker_id":40,"status_id":1,"priority_id":2,"assigned_to_id":23,"start_date":"2016-12-15","description":"","custom_fields":[{"id":1,"name":"Subdivision","value":"EC"},{"id":4,"name":"Milepost","value":"0.0158"},{"id":17,"name":"Train ID","value":"114-15"},{"id":16,"name":"Locomotive ID","value":"4017"},{"id":130,"name":"Impact","value":""},{"id":150,"name":"Time of Event (Mountain Time)","value":"06:49:43"},{"id":151,"name":"Denver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604</v>
      </c>
      <c r="B28" s="7">
        <v>4016</v>
      </c>
      <c r="C28" s="22" t="s">
        <v>207</v>
      </c>
      <c r="D28" s="22" t="s">
        <v>792</v>
      </c>
      <c r="E28" s="13">
        <v>42719.226759259262</v>
      </c>
      <c r="F28" s="13">
        <v>42719.229386574072</v>
      </c>
      <c r="G28" s="7">
        <v>1</v>
      </c>
      <c r="H28" s="22" t="s">
        <v>418</v>
      </c>
      <c r="I28" s="13">
        <v>42719.254675925928</v>
      </c>
      <c r="J28" s="7">
        <v>0</v>
      </c>
      <c r="K28" s="109" t="str">
        <f t="shared" si="0"/>
        <v>4015/4016</v>
      </c>
      <c r="L28" s="22" t="str">
        <f>VLOOKUP(A28,'Trips&amp;Operators'!$C$1:$G$99999,5,FALSE)</f>
        <v>SANTIZO D. EDY</v>
      </c>
      <c r="M28" s="6">
        <f t="shared" si="1"/>
        <v>2.5289351855462883E-2</v>
      </c>
      <c r="N28" s="7">
        <f t="shared" si="19"/>
        <v>36.416666671866551</v>
      </c>
      <c r="O28" s="7"/>
      <c r="P28" s="7"/>
      <c r="Q28" s="23"/>
      <c r="R28" s="23"/>
      <c r="S28" s="35">
        <f t="shared" si="20"/>
        <v>1</v>
      </c>
      <c r="T28" s="50" t="str">
        <f t="shared" si="2"/>
        <v>NorthBound</v>
      </c>
      <c r="U28" s="171">
        <f>IF(AG28="EC",COUNTIFS(Variables!$M$2:$M$19,IF(T28="NorthBound","&gt;=","&lt;=")&amp;Y28,Variables!$M$2:$M$19,IF(T28="NorthBound","&lt;=","&gt;=")&amp;Z28),COUNTIFS(Variables!$P$2:$P$19,IF(T28="NorthBound","&gt;=","&lt;=")&amp;Y28,Variables!$P$2:$P$19,IF(T28="NorthBound","&lt;=","&gt;=")&amp;Z28))</f>
        <v>12</v>
      </c>
      <c r="V28" s="98" t="str">
        <f t="shared" si="3"/>
        <v>https://search-rtdc-monitor-bjffxe2xuh6vdkpspy63sjmuny.us-east-1.es.amazonaws.com/_plugin/kibana/#/discover/Steve-Slow-Train-Analysis-(2080s-and-2083s)?_g=(refreshInterval:(display:Off,section:0,value:0),time:(from:'2016-12-15 04:26:32-700',mode:absolute,to:'2016-12-15 07:06:44-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28" s="52" t="str">
        <f t="shared" si="4"/>
        <v>N</v>
      </c>
      <c r="X28" s="177">
        <f t="shared" si="21"/>
        <v>1</v>
      </c>
      <c r="Y28" s="67">
        <f t="shared" si="5"/>
        <v>7.7399999999999997E-2</v>
      </c>
      <c r="Z28" s="67">
        <f t="shared" si="6"/>
        <v>23.332000000000001</v>
      </c>
      <c r="AA28" s="67">
        <f t="shared" si="7"/>
        <v>23.2546</v>
      </c>
      <c r="AB28" s="64" t="e">
        <f>VLOOKUP(A28,Enforcements!$C$7:$K$18,8,0)</f>
        <v>#N/A</v>
      </c>
      <c r="AC28" s="60" t="e">
        <f>VLOOKUP(A28,Enforcements!$C$7:$E$18,3,0)</f>
        <v>#N/A</v>
      </c>
      <c r="AD28" s="61" t="str">
        <f t="shared" si="8"/>
        <v>0115-15</v>
      </c>
      <c r="AE28" s="91" t="str">
        <f t="shared" si="9"/>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28" s="88" t="str">
        <f t="shared" si="10"/>
        <v>"C:\Program Files (x86)\AstroGrep\AstroGrep.exe" /spath="%USERPROFILE%\AppData\Local\Temp\OnboardLogs" /stypes="app*4016*20161215*" /stext=" 13:.+((SYSTEM_STATE.+slice.+state.+changed )|(ment ac)|(multiple cpu faults)|(system.+state.+changed )|(\[timeout)|(PRM\|1\|D)|(kpr)|(kdp)|(\|lc)|(penalty))" /e /r /s</v>
      </c>
      <c r="AG28" s="1" t="str">
        <f t="shared" si="11"/>
        <v>EC</v>
      </c>
      <c r="AH28" s="92" t="str">
        <f t="shared" si="14"/>
        <v>"%USERPROFILE%\Documents\GitHub\eaglep3\Utilities\RefineRTDCRunTimes.py" --tripid 115-15 --locoid 4016 --swversion DE.1.0.8.0 --startMP 204:774 --initTime 2016-12-15T05:26:32 --startdatetime 2016-12-15T05:30:19 --delay 1 --endMP 204:233320 --enddatetime 2016-12-15T06:06:44 --enforcementcount 0 &gt;&gt;C:\Users\stu\Documents\GitHub\eaglep3-reporting\EC\2016-12-15-refined-times.txt</v>
      </c>
      <c r="AI28" s="119" t="str">
        <f t="shared" si="15"/>
        <v>echo {"issue":{"subject":"","project_id":79,"tracker_id":40,"status_id":1,"priority_id":2,"assigned_to_id":23,"start_date":"2016-12-15","description":"","custom_fields":[{"id":1,"name":"Subdivision","value":"EC"},{"id":4,"name":"Milepost","value":"23.332"},{"id":17,"name":"Train ID","value":"115-15"},{"id":16,"name":"Locomotive ID","value":"4016"},{"id":130,"name":"Impact","value":""},{"id":150,"name":"Time of Event (Mountain Time)","value":"06:06:44"},{"id":151,"name":"Denver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554</v>
      </c>
      <c r="B29" s="7">
        <v>4015</v>
      </c>
      <c r="C29" s="22" t="s">
        <v>207</v>
      </c>
      <c r="D29" s="22" t="s">
        <v>793</v>
      </c>
      <c r="E29" s="13">
        <v>42719.256006944444</v>
      </c>
      <c r="F29" s="13">
        <v>42719.268263888887</v>
      </c>
      <c r="G29" s="7">
        <v>1</v>
      </c>
      <c r="H29" s="22" t="s">
        <v>212</v>
      </c>
      <c r="I29" s="13">
        <v>42719.295740740738</v>
      </c>
      <c r="J29" s="7">
        <v>0</v>
      </c>
      <c r="K29" s="109" t="str">
        <f t="shared" si="0"/>
        <v>4015/4016</v>
      </c>
      <c r="L29" s="22" t="str">
        <f>VLOOKUP(A29,'Trips&amp;Operators'!$C$1:$G$99999,5,FALSE)</f>
        <v>SANTIZO D. EDY</v>
      </c>
      <c r="M29" s="6">
        <f t="shared" si="1"/>
        <v>2.7476851850224193E-2</v>
      </c>
      <c r="N29" s="7">
        <f t="shared" si="19"/>
        <v>39.566666664322838</v>
      </c>
      <c r="O29" s="7"/>
      <c r="P29" s="7"/>
      <c r="Q29" s="23"/>
      <c r="R29" s="23"/>
      <c r="S29" s="35">
        <f t="shared" si="20"/>
        <v>1</v>
      </c>
      <c r="T29" s="50" t="str">
        <f t="shared" si="2"/>
        <v>Southbound</v>
      </c>
      <c r="U29" s="171">
        <f>IF(AG29="EC",COUNTIFS(Variables!$M$2:$M$19,IF(T29="NorthBound","&gt;=","&lt;=")&amp;Y29,Variables!$M$2:$M$19,IF(T29="NorthBound","&lt;=","&gt;=")&amp;Z29),COUNTIFS(Variables!$P$2:$P$19,IF(T29="NorthBound","&gt;=","&lt;=")&amp;Y29,Variables!$P$2:$P$19,IF(T29="NorthBound","&lt;=","&gt;=")&amp;Z29))</f>
        <v>12</v>
      </c>
      <c r="V29" s="98" t="str">
        <f t="shared" si="3"/>
        <v>https://search-rtdc-monitor-bjffxe2xuh6vdkpspy63sjmuny.us-east-1.es.amazonaws.com/_plugin/kibana/#/discover/Steve-Slow-Train-Analysis-(2080s-and-2083s)?_g=(refreshInterval:(display:Off,section:0,value:0),time:(from:'2016-12-15 05:08:39-700',mode:absolute,to:'2016-12-15 08:05: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9" s="52" t="str">
        <f t="shared" si="4"/>
        <v>N</v>
      </c>
      <c r="X29" s="177">
        <f t="shared" si="21"/>
        <v>1</v>
      </c>
      <c r="Y29" s="67">
        <f t="shared" si="5"/>
        <v>23.301300000000001</v>
      </c>
      <c r="Z29" s="67">
        <f t="shared" si="6"/>
        <v>1.4999999999999999E-2</v>
      </c>
      <c r="AA29" s="67">
        <f t="shared" si="7"/>
        <v>23.286300000000001</v>
      </c>
      <c r="AB29" s="64" t="e">
        <f>VLOOKUP(A29,Enforcements!$C$7:$K$18,8,0)</f>
        <v>#N/A</v>
      </c>
      <c r="AC29" s="60" t="e">
        <f>VLOOKUP(A29,Enforcements!$C$7:$E$18,3,0)</f>
        <v>#N/A</v>
      </c>
      <c r="AD29" s="61" t="str">
        <f t="shared" si="8"/>
        <v>0116-15</v>
      </c>
      <c r="AE29" s="91" t="str">
        <f t="shared" si="9"/>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29" s="88" t="str">
        <f t="shared" si="10"/>
        <v>"C:\Program Files (x86)\AstroGrep\AstroGrep.exe" /spath="%USERPROFILE%\AppData\Local\Temp\OnboardLogs" /stypes="app*4015*20161215*" /stext=" 14:.+((SYSTEM_STATE.+slice.+state.+changed )|(ment ac)|(multiple cpu faults)|(system.+state.+changed )|(\[timeout)|(PRM\|1\|D)|(kpr)|(kdp)|(\|lc)|(penalty))" /e /r /s</v>
      </c>
      <c r="AG29" s="1" t="str">
        <f t="shared" si="11"/>
        <v>EC</v>
      </c>
      <c r="AH29" s="92" t="str">
        <f t="shared" si="14"/>
        <v>"%USERPROFILE%\Documents\GitHub\eaglep3\Utilities\RefineRTDCRunTimes.py" --tripid 116-15 --locoid 4015 --swversion DE.1.0.8.0 --startMP 204:233013 --initTime 2016-12-15T06:08:39 --startdatetime 2016-12-15T06:26:18 --delay 1 --endMP 204:150 --enddatetime 2016-12-15T07:05:52 --enforcementcount 0 &gt;&gt;C:\Users\stu\Documents\GitHub\eaglep3-reporting\EC\2016-12-15-refined-times.txt</v>
      </c>
      <c r="AI29" s="119" t="str">
        <f t="shared" si="15"/>
        <v>echo {"issue":{"subject":"","project_id":79,"tracker_id":40,"status_id":1,"priority_id":2,"assigned_to_id":23,"start_date":"2016-12-15","description":"","custom_fields":[{"id":1,"name":"Subdivision","value":"EC"},{"id":4,"name":"Milepost","value":"0.015"},{"id":17,"name":"Train ID","value":"116-15"},{"id":16,"name":"Locomotive ID","value":"4015"},{"id":130,"name":"Impact","value":""},{"id":150,"name":"Time of Event (Mountain Time)","value":"07:05:52"},{"id":151,"name":"Denver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606</v>
      </c>
      <c r="B30" s="7">
        <v>4009</v>
      </c>
      <c r="C30" s="22" t="s">
        <v>207</v>
      </c>
      <c r="D30" s="22" t="s">
        <v>411</v>
      </c>
      <c r="E30" s="13">
        <v>42719.230520833335</v>
      </c>
      <c r="F30" s="13">
        <v>42719.239953703705</v>
      </c>
      <c r="G30" s="7">
        <v>1</v>
      </c>
      <c r="H30" s="22" t="s">
        <v>794</v>
      </c>
      <c r="I30" s="13">
        <v>42719.264409722222</v>
      </c>
      <c r="J30" s="7">
        <v>0</v>
      </c>
      <c r="K30" s="109" t="str">
        <f t="shared" si="0"/>
        <v>4009/4010</v>
      </c>
      <c r="L30" s="22" t="str">
        <f>VLOOKUP(A30,'Trips&amp;Operators'!$C$1:$G$99999,5,FALSE)</f>
        <v>SPECTOR MICHAEL</v>
      </c>
      <c r="M30" s="6">
        <f t="shared" si="1"/>
        <v>2.4456018516502809E-2</v>
      </c>
      <c r="N30" s="7">
        <f t="shared" si="19"/>
        <v>35.216666663764045</v>
      </c>
      <c r="O30" s="7"/>
      <c r="P30" s="7"/>
      <c r="Q30" s="23"/>
      <c r="R30" s="23"/>
      <c r="S30" s="35">
        <f t="shared" si="20"/>
        <v>1</v>
      </c>
      <c r="T30" s="50" t="str">
        <f t="shared" si="2"/>
        <v>NorthBound</v>
      </c>
      <c r="U30" s="171">
        <f>IF(AG30="EC",COUNTIFS(Variables!$M$2:$M$19,IF(T30="NorthBound","&gt;=","&lt;=")&amp;Y30,Variables!$M$2:$M$19,IF(T30="NorthBound","&lt;=","&gt;=")&amp;Z30),COUNTIFS(Variables!$P$2:$P$19,IF(T30="NorthBound","&gt;=","&lt;=")&amp;Y30,Variables!$P$2:$P$19,IF(T30="NorthBound","&lt;=","&gt;=")&amp;Z30))</f>
        <v>12</v>
      </c>
      <c r="V30" s="98" t="str">
        <f t="shared" si="3"/>
        <v>https://search-rtdc-monitor-bjffxe2xuh6vdkpspy63sjmuny.us-east-1.es.amazonaws.com/_plugin/kibana/#/discover/Steve-Slow-Train-Analysis-(2080s-and-2083s)?_g=(refreshInterval:(display:Off,section:0,value:0),time:(from:'2016-12-15 04:31:57-700',mode:absolute,to:'2016-12-15 07:20:45-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30" s="52" t="str">
        <f t="shared" si="4"/>
        <v>N</v>
      </c>
      <c r="X30" s="177">
        <f t="shared" si="21"/>
        <v>1</v>
      </c>
      <c r="Y30" s="67">
        <f t="shared" si="5"/>
        <v>4.3999999999999997E-2</v>
      </c>
      <c r="Z30" s="67">
        <f t="shared" si="6"/>
        <v>23.331900000000001</v>
      </c>
      <c r="AA30" s="67">
        <f t="shared" si="7"/>
        <v>23.2879</v>
      </c>
      <c r="AB30" s="64" t="e">
        <f>VLOOKUP(A30,Enforcements!$C$7:$K$18,8,0)</f>
        <v>#N/A</v>
      </c>
      <c r="AC30" s="60" t="e">
        <f>VLOOKUP(A30,Enforcements!$C$7:$E$18,3,0)</f>
        <v>#N/A</v>
      </c>
      <c r="AD30" s="61" t="str">
        <f t="shared" si="8"/>
        <v>0117-15</v>
      </c>
      <c r="AE30" s="91" t="str">
        <f t="shared" si="9"/>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30" s="88" t="str">
        <f t="shared" si="10"/>
        <v>"C:\Program Files (x86)\AstroGrep\AstroGrep.exe" /spath="%USERPROFILE%\AppData\Local\Temp\OnboardLogs" /stypes="app*4009*20161215*" /stext=" 13:.+((SYSTEM_STATE.+slice.+state.+changed )|(ment ac)|(multiple cpu faults)|(system.+state.+changed )|(\[timeout)|(PRM\|1\|D)|(kpr)|(kdp)|(\|lc)|(penalty))" /e /r /s</v>
      </c>
      <c r="AG30" s="1" t="str">
        <f t="shared" si="11"/>
        <v>EC</v>
      </c>
      <c r="AH30" s="92" t="str">
        <f t="shared" si="14"/>
        <v>"%USERPROFILE%\Documents\GitHub\eaglep3\Utilities\RefineRTDCRunTimes.py" --tripid 117-15 --locoid 4009 --swversion DE.1.0.8.0 --startMP 204:440 --initTime 2016-12-15T05:31:57 --startdatetime 2016-12-15T05:45:32 --delay 1 --endMP 204:233319 --enddatetime 2016-12-15T06:20:45 --enforcementcount 0 &gt;&gt;C:\Users\stu\Documents\GitHub\eaglep3-reporting\EC\2016-12-15-refined-times.txt</v>
      </c>
      <c r="AI30" s="119" t="str">
        <f t="shared" si="15"/>
        <v>echo {"issue":{"subject":"","project_id":79,"tracker_id":40,"status_id":1,"priority_id":2,"assigned_to_id":23,"start_date":"2016-12-15","description":"","custom_fields":[{"id":1,"name":"Subdivision","value":"EC"},{"id":4,"name":"Milepost","value":"23.3319"},{"id":17,"name":"Train ID","value":"117-15"},{"id":16,"name":"Locomotive ID","value":"4009"},{"id":130,"name":"Impact","value":""},{"id":150,"name":"Time of Event (Mountain Time)","value":"06:20:45"},{"id":151,"name":"Denver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556</v>
      </c>
      <c r="B31" s="7">
        <v>4010</v>
      </c>
      <c r="C31" s="22" t="s">
        <v>207</v>
      </c>
      <c r="D31" s="22" t="s">
        <v>407</v>
      </c>
      <c r="E31" s="13">
        <v>42719.271874999999</v>
      </c>
      <c r="F31" s="13">
        <v>42719.278668981482</v>
      </c>
      <c r="G31" s="7">
        <v>1</v>
      </c>
      <c r="H31" s="22" t="s">
        <v>416</v>
      </c>
      <c r="I31" s="13">
        <v>42719.306238425925</v>
      </c>
      <c r="J31" s="7">
        <v>0</v>
      </c>
      <c r="K31" s="109" t="str">
        <f t="shared" si="0"/>
        <v>4009/4010</v>
      </c>
      <c r="L31" s="22" t="str">
        <f>VLOOKUP(A31,'Trips&amp;Operators'!$C$1:$G$99999,5,FALSE)</f>
        <v>SPECTOR MICHAEL</v>
      </c>
      <c r="M31" s="6">
        <f t="shared" si="1"/>
        <v>2.7569444442633539E-2</v>
      </c>
      <c r="N31" s="7">
        <f t="shared" si="19"/>
        <v>39.699999997392297</v>
      </c>
      <c r="O31" s="7"/>
      <c r="P31" s="7"/>
      <c r="Q31" s="23"/>
      <c r="R31" s="23"/>
      <c r="S31" s="35">
        <f t="shared" si="20"/>
        <v>1</v>
      </c>
      <c r="T31" s="50" t="str">
        <f t="shared" si="2"/>
        <v>Southbound</v>
      </c>
      <c r="U31" s="171">
        <f>IF(AG31="EC",COUNTIFS(Variables!$M$2:$M$19,IF(T31="NorthBound","&gt;=","&lt;=")&amp;Y31,Variables!$M$2:$M$19,IF(T31="NorthBound","&lt;=","&gt;=")&amp;Z31),COUNTIFS(Variables!$P$2:$P$19,IF(T31="NorthBound","&gt;=","&lt;=")&amp;Y31,Variables!$P$2:$P$19,IF(T31="NorthBound","&lt;=","&gt;=")&amp;Z31))</f>
        <v>12</v>
      </c>
      <c r="V31" s="98" t="str">
        <f t="shared" si="3"/>
        <v>https://search-rtdc-monitor-bjffxe2xuh6vdkpspy63sjmuny.us-east-1.es.amazonaws.com/_plugin/kibana/#/discover/Steve-Slow-Train-Analysis-(2080s-and-2083s)?_g=(refreshInterval:(display:Off,section:0,value:0),time:(from:'2016-12-15 05:31:30-700',mode:absolute,to:'2016-12-15 08:20: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31" s="52" t="str">
        <f t="shared" si="4"/>
        <v>N</v>
      </c>
      <c r="X31" s="177">
        <f t="shared" si="21"/>
        <v>1</v>
      </c>
      <c r="Y31" s="67">
        <f t="shared" si="5"/>
        <v>23.300799999999999</v>
      </c>
      <c r="Z31" s="67">
        <f t="shared" si="6"/>
        <v>1.8700000000000001E-2</v>
      </c>
      <c r="AA31" s="67">
        <f t="shared" si="7"/>
        <v>23.2821</v>
      </c>
      <c r="AB31" s="64" t="e">
        <f>VLOOKUP(A31,Enforcements!$C$7:$K$18,8,0)</f>
        <v>#N/A</v>
      </c>
      <c r="AC31" s="60" t="e">
        <f>VLOOKUP(A31,Enforcements!$C$7:$E$18,3,0)</f>
        <v>#N/A</v>
      </c>
      <c r="AD31" s="61" t="str">
        <f t="shared" si="8"/>
        <v>0118-15</v>
      </c>
      <c r="AE31" s="91" t="str">
        <f t="shared" si="9"/>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31" s="88" t="str">
        <f t="shared" si="10"/>
        <v>"C:\Program Files (x86)\AstroGrep\AstroGrep.exe" /spath="%USERPROFILE%\AppData\Local\Temp\OnboardLogs" /stypes="app*4010*20161215*" /stext=" 14:.+((SYSTEM_STATE.+slice.+state.+changed )|(ment ac)|(multiple cpu faults)|(system.+state.+changed )|(\[timeout)|(PRM\|1\|D)|(kpr)|(kdp)|(\|lc)|(penalty))" /e /r /s</v>
      </c>
      <c r="AG31" s="1" t="str">
        <f t="shared" si="11"/>
        <v>EC</v>
      </c>
      <c r="AH31" s="92" t="str">
        <f t="shared" si="14"/>
        <v>"%USERPROFILE%\Documents\GitHub\eaglep3\Utilities\RefineRTDCRunTimes.py" --tripid 118-15 --locoid 4010 --swversion DE.1.0.8.0 --startMP 204:233008 --initTime 2016-12-15T06:31:30 --startdatetime 2016-12-15T06:41:17 --delay 1 --endMP 204:187 --enddatetime 2016-12-15T07:20:59 --enforcementcount 0 &gt;&gt;C:\Users\stu\Documents\GitHub\eaglep3-reporting\EC\2016-12-15-refined-times.txt</v>
      </c>
      <c r="AI31" s="119" t="str">
        <f t="shared" si="15"/>
        <v>echo {"issue":{"subject":"","project_id":79,"tracker_id":40,"status_id":1,"priority_id":2,"assigned_to_id":23,"start_date":"2016-12-15","description":"","custom_fields":[{"id":1,"name":"Subdivision","value":"EC"},{"id":4,"name":"Milepost","value":"0.0187"},{"id":17,"name":"Train ID","value":"118-15"},{"id":16,"name":"Locomotive ID","value":"4010"},{"id":130,"name":"Impact","value":""},{"id":150,"name":"Time of Event (Mountain Time)","value":"07:20:59"},{"id":151,"name":"Denver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610</v>
      </c>
      <c r="B32" s="7">
        <v>4031</v>
      </c>
      <c r="C32" s="22" t="s">
        <v>207</v>
      </c>
      <c r="D32" s="22" t="s">
        <v>795</v>
      </c>
      <c r="E32" s="13">
        <v>42719.249027777776</v>
      </c>
      <c r="F32" s="13">
        <v>42719.250833333332</v>
      </c>
      <c r="G32" s="7">
        <v>1</v>
      </c>
      <c r="H32" s="22" t="s">
        <v>786</v>
      </c>
      <c r="I32" s="13">
        <v>42719.274907407409</v>
      </c>
      <c r="J32" s="7">
        <v>0</v>
      </c>
      <c r="K32" s="109" t="str">
        <f t="shared" si="0"/>
        <v>4031/4032</v>
      </c>
      <c r="L32" s="22" t="str">
        <f>VLOOKUP(A32,'Trips&amp;Operators'!$C$1:$G$99999,5,FALSE)</f>
        <v>ROBINSON KADDIBA</v>
      </c>
      <c r="M32" s="6">
        <f t="shared" si="1"/>
        <v>2.4074074077361729E-2</v>
      </c>
      <c r="N32" s="7">
        <f t="shared" si="19"/>
        <v>34.66666667140089</v>
      </c>
      <c r="O32" s="7"/>
      <c r="P32" s="7"/>
      <c r="Q32" s="23"/>
      <c r="R32" s="23"/>
      <c r="S32" s="35">
        <f t="shared" si="20"/>
        <v>1</v>
      </c>
      <c r="T32" s="50" t="str">
        <f t="shared" si="2"/>
        <v>NorthBound</v>
      </c>
      <c r="U32" s="171">
        <f>IF(AG32="EC",COUNTIFS(Variables!$M$2:$M$19,IF(T32="NorthBound","&gt;=","&lt;=")&amp;Y32,Variables!$M$2:$M$19,IF(T32="NorthBound","&lt;=","&gt;=")&amp;Z32),COUNTIFS(Variables!$P$2:$P$19,IF(T32="NorthBound","&gt;=","&lt;=")&amp;Y32,Variables!$P$2:$P$19,IF(T32="NorthBound","&lt;=","&gt;=")&amp;Z32))</f>
        <v>12</v>
      </c>
      <c r="V32" s="98" t="str">
        <f t="shared" si="3"/>
        <v>https://search-rtdc-monitor-bjffxe2xuh6vdkpspy63sjmuny.us-east-1.es.amazonaws.com/_plugin/kibana/#/discover/Steve-Slow-Train-Analysis-(2080s-and-2083s)?_g=(refreshInterval:(display:Off,section:0,value:0),time:(from:'2016-12-15 04:58:36-700',mode:absolute,to:'2016-12-15 07:35: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32" s="52" t="str">
        <f t="shared" si="4"/>
        <v>N</v>
      </c>
      <c r="X32" s="177">
        <f t="shared" si="21"/>
        <v>1</v>
      </c>
      <c r="Y32" s="67">
        <f t="shared" si="5"/>
        <v>7.3899999999999993E-2</v>
      </c>
      <c r="Z32" s="67">
        <f t="shared" si="6"/>
        <v>23.333400000000001</v>
      </c>
      <c r="AA32" s="67">
        <f t="shared" si="7"/>
        <v>23.259500000000003</v>
      </c>
      <c r="AB32" s="64" t="e">
        <f>VLOOKUP(A32,Enforcements!$C$7:$K$18,8,0)</f>
        <v>#N/A</v>
      </c>
      <c r="AC32" s="60" t="e">
        <f>VLOOKUP(A32,Enforcements!$C$7:$E$18,3,0)</f>
        <v>#N/A</v>
      </c>
      <c r="AD32" s="61" t="str">
        <f t="shared" si="8"/>
        <v>0119-15</v>
      </c>
      <c r="AE32" s="91" t="str">
        <f t="shared" si="9"/>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32" s="88" t="str">
        <f t="shared" si="10"/>
        <v>"C:\Program Files (x86)\AstroGrep\AstroGrep.exe" /spath="%USERPROFILE%\AppData\Local\Temp\OnboardLogs" /stypes="app*4031*20161215*" /stext=" 13:.+((SYSTEM_STATE.+slice.+state.+changed )|(ment ac)|(multiple cpu faults)|(system.+state.+changed )|(\[timeout)|(PRM\|1\|D)|(kpr)|(kdp)|(\|lc)|(penalty))" /e /r /s</v>
      </c>
      <c r="AG32" s="1" t="str">
        <f t="shared" si="11"/>
        <v>EC</v>
      </c>
      <c r="AH32" s="92" t="str">
        <f t="shared" si="14"/>
        <v>"%USERPROFILE%\Documents\GitHub\eaglep3\Utilities\RefineRTDCRunTimes.py" --tripid 119-15 --locoid 4031 --swversion DE.1.0.8.0 --startMP 204:739 --initTime 2016-12-15T05:58:36 --startdatetime 2016-12-15T06:01:12 --delay 1 --endMP 204:233334 --enddatetime 2016-12-15T06:35:52 --enforcementcount 0 &gt;&gt;C:\Users\stu\Documents\GitHub\eaglep3-reporting\EC\2016-12-15-refined-times.txt</v>
      </c>
      <c r="AI32" s="119" t="str">
        <f t="shared" si="15"/>
        <v>echo {"issue":{"subject":"","project_id":79,"tracker_id":40,"status_id":1,"priority_id":2,"assigned_to_id":23,"start_date":"2016-12-15","description":"","custom_fields":[{"id":1,"name":"Subdivision","value":"EC"},{"id":4,"name":"Milepost","value":"23.3334"},{"id":17,"name":"Train ID","value":"119-15"},{"id":16,"name":"Locomotive ID","value":"4031"},{"id":130,"name":"Impact","value":""},{"id":150,"name":"Time of Event (Mountain Time)","value":"06:35:52"},{"id":151,"name":"Denver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7" t="s">
        <v>619</v>
      </c>
      <c r="B33" s="7">
        <v>4032</v>
      </c>
      <c r="C33" s="22" t="s">
        <v>207</v>
      </c>
      <c r="D33" s="22" t="s">
        <v>796</v>
      </c>
      <c r="E33" s="13">
        <v>42719.28334490741</v>
      </c>
      <c r="F33" s="13">
        <v>42719.289097222223</v>
      </c>
      <c r="G33" s="7">
        <v>1</v>
      </c>
      <c r="H33" s="22" t="s">
        <v>239</v>
      </c>
      <c r="I33" s="13">
        <v>42719.317418981482</v>
      </c>
      <c r="J33" s="7">
        <v>0</v>
      </c>
      <c r="K33" s="109" t="str">
        <f t="shared" si="0"/>
        <v>4031/4032</v>
      </c>
      <c r="L33" s="22" t="str">
        <f>VLOOKUP(A33,'Trips&amp;Operators'!$C$1:$G$99999,5,FALSE)</f>
        <v>ROBINSON KADDIBA</v>
      </c>
      <c r="M33" s="6">
        <f t="shared" si="1"/>
        <v>2.8321759258687962E-2</v>
      </c>
      <c r="N33" s="7">
        <f t="shared" si="19"/>
        <v>40.783333332510665</v>
      </c>
      <c r="O33" s="7"/>
      <c r="P33" s="7"/>
      <c r="Q33" s="23"/>
      <c r="R33" s="23"/>
      <c r="S33" s="35">
        <f t="shared" si="20"/>
        <v>1</v>
      </c>
      <c r="T33" s="50" t="str">
        <f t="shared" si="2"/>
        <v>Southbound</v>
      </c>
      <c r="U33" s="171">
        <f>IF(AG33="EC",COUNTIFS(Variables!$M$2:$M$19,IF(T33="NorthBound","&gt;=","&lt;=")&amp;Y33,Variables!$M$2:$M$19,IF(T33="NorthBound","&lt;=","&gt;=")&amp;Z33),COUNTIFS(Variables!$P$2:$P$19,IF(T33="NorthBound","&gt;=","&lt;=")&amp;Y33,Variables!$P$2:$P$19,IF(T33="NorthBound","&lt;=","&gt;=")&amp;Z33))</f>
        <v>12</v>
      </c>
      <c r="V33" s="98" t="str">
        <f t="shared" si="3"/>
        <v>https://search-rtdc-monitor-bjffxe2xuh6vdkpspy63sjmuny.us-east-1.es.amazonaws.com/_plugin/kibana/#/discover/Steve-Slow-Train-Analysis-(2080s-and-2083s)?_g=(refreshInterval:(display:Off,section:0,value:0),time:(from:'2016-12-15 05:48:01-700',mode:absolute,to:'2016-12-15 08:37:05-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33" s="52" t="str">
        <f t="shared" si="4"/>
        <v>N</v>
      </c>
      <c r="X33" s="177">
        <f t="shared" si="21"/>
        <v>1</v>
      </c>
      <c r="Y33" s="67">
        <f t="shared" si="5"/>
        <v>23.300899999999999</v>
      </c>
      <c r="Z33" s="67">
        <f t="shared" si="6"/>
        <v>1.4500000000000001E-2</v>
      </c>
      <c r="AA33" s="67">
        <f t="shared" si="7"/>
        <v>23.286399999999997</v>
      </c>
      <c r="AB33" s="64" t="e">
        <f>VLOOKUP(A33,Enforcements!$C$7:$K$18,8,0)</f>
        <v>#N/A</v>
      </c>
      <c r="AC33" s="60" t="e">
        <f>VLOOKUP(A33,Enforcements!$C$7:$E$18,3,0)</f>
        <v>#N/A</v>
      </c>
      <c r="AD33" s="61" t="str">
        <f t="shared" si="8"/>
        <v>0120-15</v>
      </c>
      <c r="AE33" s="91" t="str">
        <f t="shared" si="9"/>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33" s="88" t="str">
        <f t="shared" si="10"/>
        <v>"C:\Program Files (x86)\AstroGrep\AstroGrep.exe" /spath="%USERPROFILE%\AppData\Local\Temp\OnboardLogs" /stypes="app*4032*20161215*" /stext=" 14:.+((SYSTEM_STATE.+slice.+state.+changed )|(ment ac)|(multiple cpu faults)|(system.+state.+changed )|(\[timeout)|(PRM\|1\|D)|(kpr)|(kdp)|(\|lc)|(penalty))" /e /r /s</v>
      </c>
      <c r="AG33" s="1" t="str">
        <f t="shared" si="11"/>
        <v>EC</v>
      </c>
      <c r="AH33" s="92" t="str">
        <f t="shared" si="14"/>
        <v>"%USERPROFILE%\Documents\GitHub\eaglep3\Utilities\RefineRTDCRunTimes.py" --tripid 120-15 --locoid 4032 --swversion DE.1.0.8.0 --startMP 204:233009 --initTime 2016-12-15T06:48:01 --startdatetime 2016-12-15T06:56:18 --delay 1 --endMP 204:145 --enddatetime 2016-12-15T07:37:05 --enforcementcount 0 &gt;&gt;C:\Users\stu\Documents\GitHub\eaglep3-reporting\EC\2016-12-15-refined-times.txt</v>
      </c>
      <c r="AI33" s="119" t="str">
        <f t="shared" si="15"/>
        <v>echo {"issue":{"subject":"","project_id":79,"tracker_id":40,"status_id":1,"priority_id":2,"assigned_to_id":23,"start_date":"2016-12-15","description":"","custom_fields":[{"id":1,"name":"Subdivision","value":"EC"},{"id":4,"name":"Milepost","value":"0.0145"},{"id":17,"name":"Train ID","value":"120-15"},{"id":16,"name":"Locomotive ID","value":"4032"},{"id":130,"name":"Impact","value":""},{"id":150,"name":"Time of Event (Mountain Time)","value":"07:37:05"},{"id":151,"name":"Denver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613</v>
      </c>
      <c r="B34" s="7">
        <v>4029</v>
      </c>
      <c r="C34" s="22" t="s">
        <v>207</v>
      </c>
      <c r="D34" s="22" t="s">
        <v>273</v>
      </c>
      <c r="E34" s="13">
        <v>42719.256157407406</v>
      </c>
      <c r="F34" s="13">
        <v>42719.260717592595</v>
      </c>
      <c r="G34" s="7">
        <v>2</v>
      </c>
      <c r="H34" s="22" t="s">
        <v>419</v>
      </c>
      <c r="I34" s="13">
        <v>42719.287638888891</v>
      </c>
      <c r="J34" s="7">
        <v>0</v>
      </c>
      <c r="K34" s="109" t="str">
        <f t="shared" si="0"/>
        <v>4029/4030</v>
      </c>
      <c r="L34" s="22" t="str">
        <f>VLOOKUP(A34,'Trips&amp;Operators'!$C$1:$G$99999,5,FALSE)</f>
        <v>STRICKLAND EVAN</v>
      </c>
      <c r="M34" s="6">
        <f t="shared" si="1"/>
        <v>2.6921296295768116E-2</v>
      </c>
      <c r="N34" s="7">
        <f t="shared" si="19"/>
        <v>38.766666665906087</v>
      </c>
      <c r="O34" s="7"/>
      <c r="P34" s="7"/>
      <c r="Q34" s="23"/>
      <c r="R34" s="23"/>
      <c r="S34" s="35">
        <f t="shared" si="20"/>
        <v>1</v>
      </c>
      <c r="T34" s="50" t="str">
        <f t="shared" si="2"/>
        <v>NorthBound</v>
      </c>
      <c r="U34" s="171">
        <f>IF(AG34="EC",COUNTIFS(Variables!$M$2:$M$19,IF(T34="NorthBound","&gt;=","&lt;=")&amp;Y34,Variables!$M$2:$M$19,IF(T34="NorthBound","&lt;=","&gt;=")&amp;Z34),COUNTIFS(Variables!$P$2:$P$19,IF(T34="NorthBound","&gt;=","&lt;=")&amp;Y34,Variables!$P$2:$P$19,IF(T34="NorthBound","&lt;=","&gt;=")&amp;Z34))</f>
        <v>12</v>
      </c>
      <c r="V34" s="98" t="str">
        <f t="shared" si="3"/>
        <v>https://search-rtdc-monitor-bjffxe2xuh6vdkpspy63sjmuny.us-east-1.es.amazonaws.com/_plugin/kibana/#/discover/Steve-Slow-Train-Analysis-(2080s-and-2083s)?_g=(refreshInterval:(display:Off,section:0,value:0),time:(from:'2016-12-15 05:08:52-700',mode:absolute,to:'2016-12-15 07:54:12-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34" s="52" t="str">
        <f t="shared" si="4"/>
        <v>N</v>
      </c>
      <c r="X34" s="177">
        <f t="shared" si="21"/>
        <v>1</v>
      </c>
      <c r="Y34" s="67">
        <f t="shared" si="5"/>
        <v>4.53E-2</v>
      </c>
      <c r="Z34" s="67">
        <f t="shared" si="6"/>
        <v>23.332100000000001</v>
      </c>
      <c r="AA34" s="67">
        <f t="shared" si="7"/>
        <v>23.286799999999999</v>
      </c>
      <c r="AB34" s="64" t="e">
        <f>VLOOKUP(A34,Enforcements!$C$7:$K$18,8,0)</f>
        <v>#N/A</v>
      </c>
      <c r="AC34" s="60" t="e">
        <f>VLOOKUP(A34,Enforcements!$C$7:$E$18,3,0)</f>
        <v>#N/A</v>
      </c>
      <c r="AD34" s="61" t="str">
        <f t="shared" si="8"/>
        <v>0121-15</v>
      </c>
      <c r="AE34" s="91" t="str">
        <f t="shared" si="9"/>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34" s="88" t="str">
        <f t="shared" si="10"/>
        <v>"C:\Program Files (x86)\AstroGrep\AstroGrep.exe" /spath="%USERPROFILE%\AppData\Local\Temp\OnboardLogs" /stypes="app*4029*20161215*" /stext=" 13:.+((SYSTEM_STATE.+slice.+state.+changed )|(ment ac)|(multiple cpu faults)|(system.+state.+changed )|(\[timeout)|(PRM\|1\|D)|(kpr)|(kdp)|(\|lc)|(penalty))" /e /r /s</v>
      </c>
      <c r="AG34" s="1" t="str">
        <f t="shared" si="11"/>
        <v>EC</v>
      </c>
      <c r="AH34" s="92" t="str">
        <f t="shared" si="14"/>
        <v>"%USERPROFILE%\Documents\GitHub\eaglep3\Utilities\RefineRTDCRunTimes.py" --tripid 121-15 --locoid 4029 --swversion DE.1.0.8.0 --startMP 204:453 --initTime 2016-12-15T06:08:52 --startdatetime 2016-12-15T06:15:26 --delay 2 --endMP 204:233321 --enddatetime 2016-12-15T06:54:12 --enforcementcount 0 &gt;&gt;C:\Users\stu\Documents\GitHub\eaglep3-reporting\EC\2016-12-15-refined-times.txt</v>
      </c>
      <c r="AI34" s="119" t="str">
        <f t="shared" si="15"/>
        <v>echo {"issue":{"subject":"","project_id":79,"tracker_id":40,"status_id":1,"priority_id":2,"assigned_to_id":23,"start_date":"2016-12-15","description":"","custom_fields":[{"id":1,"name":"Subdivision","value":"EC"},{"id":4,"name":"Milepost","value":"23.3321"},{"id":17,"name":"Train ID","value":"121-15"},{"id":16,"name":"Locomotive ID","value":"4029"},{"id":130,"name":"Impact","value":""},{"id":150,"name":"Time of Event (Mountain Time)","value":"06:54:12"},{"id":151,"name":"Denver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621</v>
      </c>
      <c r="B35" s="7">
        <v>4030</v>
      </c>
      <c r="C35" s="22" t="s">
        <v>207</v>
      </c>
      <c r="D35" s="22" t="s">
        <v>415</v>
      </c>
      <c r="E35" s="13">
        <v>42719.294942129629</v>
      </c>
      <c r="F35" s="13">
        <v>42719.299814814818</v>
      </c>
      <c r="G35" s="7">
        <v>1</v>
      </c>
      <c r="H35" s="22" t="s">
        <v>298</v>
      </c>
      <c r="I35" s="13">
        <v>42719.328796296293</v>
      </c>
      <c r="J35" s="7">
        <v>0</v>
      </c>
      <c r="K35" s="109" t="str">
        <f t="shared" si="0"/>
        <v>4029/4030</v>
      </c>
      <c r="L35" s="22" t="str">
        <f>VLOOKUP(A35,'Trips&amp;Operators'!$C$1:$G$99999,5,FALSE)</f>
        <v>STRICKLAND EVAN</v>
      </c>
      <c r="M35" s="6">
        <f t="shared" si="1"/>
        <v>2.898148147505708E-2</v>
      </c>
      <c r="N35" s="7">
        <f t="shared" si="19"/>
        <v>41.733333324082196</v>
      </c>
      <c r="O35" s="7"/>
      <c r="P35" s="7"/>
      <c r="Q35" s="23"/>
      <c r="R35" s="23"/>
      <c r="S35" s="35">
        <f t="shared" si="20"/>
        <v>1</v>
      </c>
      <c r="T35" s="50" t="str">
        <f t="shared" si="2"/>
        <v>Southbound</v>
      </c>
      <c r="U35" s="171">
        <f>IF(AG35="EC",COUNTIFS(Variables!$M$2:$M$19,IF(T35="NorthBound","&gt;=","&lt;=")&amp;Y35,Variables!$M$2:$M$19,IF(T35="NorthBound","&lt;=","&gt;=")&amp;Z35),COUNTIFS(Variables!$P$2:$P$19,IF(T35="NorthBound","&gt;=","&lt;=")&amp;Y35,Variables!$P$2:$P$19,IF(T35="NorthBound","&lt;=","&gt;=")&amp;Z35))</f>
        <v>12</v>
      </c>
      <c r="V35" s="98" t="str">
        <f t="shared" si="3"/>
        <v>https://search-rtdc-monitor-bjffxe2xuh6vdkpspy63sjmuny.us-east-1.es.amazonaws.com/_plugin/kibana/#/discover/Steve-Slow-Train-Analysis-(2080s-and-2083s)?_g=(refreshInterval:(display:Off,section:0,value:0),time:(from:'2016-12-15 06:04:43-700',mode:absolute,to:'2016-12-15 08:53:28-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35" s="52" t="str">
        <f t="shared" si="4"/>
        <v>N</v>
      </c>
      <c r="X35" s="177">
        <f t="shared" si="21"/>
        <v>1</v>
      </c>
      <c r="Y35" s="67">
        <f t="shared" si="5"/>
        <v>23.3002</v>
      </c>
      <c r="Z35" s="67">
        <f t="shared" si="6"/>
        <v>1.5800000000000002E-2</v>
      </c>
      <c r="AA35" s="67">
        <f t="shared" si="7"/>
        <v>23.284400000000002</v>
      </c>
      <c r="AB35" s="64" t="e">
        <f>VLOOKUP(A35,Enforcements!$C$7:$K$18,8,0)</f>
        <v>#N/A</v>
      </c>
      <c r="AC35" s="60" t="e">
        <f>VLOOKUP(A35,Enforcements!$C$7:$E$18,3,0)</f>
        <v>#N/A</v>
      </c>
      <c r="AD35" s="61" t="str">
        <f t="shared" si="8"/>
        <v>0122-15</v>
      </c>
      <c r="AE35" s="91" t="str">
        <f t="shared" si="9"/>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35" s="88" t="str">
        <f t="shared" si="10"/>
        <v>"C:\Program Files (x86)\AstroGrep\AstroGrep.exe" /spath="%USERPROFILE%\AppData\Local\Temp\OnboardLogs" /stypes="app*4030*20161215*" /stext=" 14:.+((SYSTEM_STATE.+slice.+state.+changed )|(ment ac)|(multiple cpu faults)|(system.+state.+changed )|(\[timeout)|(PRM\|1\|D)|(kpr)|(kdp)|(\|lc)|(penalty))" /e /r /s</v>
      </c>
      <c r="AG35" s="1" t="str">
        <f t="shared" si="11"/>
        <v>EC</v>
      </c>
      <c r="AH35" s="92" t="str">
        <f t="shared" si="14"/>
        <v>"%USERPROFILE%\Documents\GitHub\eaglep3\Utilities\RefineRTDCRunTimes.py" --tripid 122-15 --locoid 4030 --swversion DE.1.0.8.0 --startMP 204:233002 --initTime 2016-12-15T07:04:43 --startdatetime 2016-12-15T07:11:44 --delay 1 --endMP 204:158 --enddatetime 2016-12-15T07:53:28 --enforcementcount 0 &gt;&gt;C:\Users\stu\Documents\GitHub\eaglep3-reporting\EC\2016-12-15-refined-times.txt</v>
      </c>
      <c r="AI35" s="119" t="str">
        <f t="shared" si="15"/>
        <v>echo {"issue":{"subject":"","project_id":79,"tracker_id":40,"status_id":1,"priority_id":2,"assigned_to_id":23,"start_date":"2016-12-15","description":"","custom_fields":[{"id":1,"name":"Subdivision","value":"EC"},{"id":4,"name":"Milepost","value":"0.0158"},{"id":17,"name":"Train ID","value":"122-15"},{"id":16,"name":"Locomotive ID","value":"4030"},{"id":130,"name":"Impact","value":""},{"id":150,"name":"Time of Event (Mountain Time)","value":"07:53:28"},{"id":151,"name":"Denver Issue ID","value":""},{"id":178,"name":"Operational Impact","value":"Yes"},{"id":179,"name":"Denver Segment Assigned","value":""}]}} | curl -X POST -H "Content-Type: application/json" -H "X-Redmine-API-Key: d6333d4a04012a730768444271f8ca06482dae87" https://secure.xorail.net/redmine/issues.json --data @-</v>
      </c>
      <c r="AJ35" s="53"/>
      <c r="AK35" s="53"/>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615</v>
      </c>
      <c r="B36" s="7">
        <v>4003</v>
      </c>
      <c r="C36" s="22" t="s">
        <v>207</v>
      </c>
      <c r="D36" s="22" t="s">
        <v>234</v>
      </c>
      <c r="E36" s="13">
        <v>42719.265682870369</v>
      </c>
      <c r="F36" s="13">
        <v>42719.271215277775</v>
      </c>
      <c r="G36" s="7">
        <v>1</v>
      </c>
      <c r="H36" s="22" t="s">
        <v>303</v>
      </c>
      <c r="I36" s="13">
        <v>42719.295648148145</v>
      </c>
      <c r="J36" s="7">
        <v>0</v>
      </c>
      <c r="K36" s="109" t="str">
        <f t="shared" si="0"/>
        <v>4003/4004</v>
      </c>
      <c r="L36" s="22" t="str">
        <f>VLOOKUP(A36,'Trips&amp;Operators'!$C$1:$G$99999,5,FALSE)</f>
        <v>SIMONEAUX TERA</v>
      </c>
      <c r="M36" s="6">
        <f t="shared" si="1"/>
        <v>2.4432870370219462E-2</v>
      </c>
      <c r="N36" s="7">
        <f t="shared" si="19"/>
        <v>35.183333333116025</v>
      </c>
      <c r="O36" s="7"/>
      <c r="P36" s="7"/>
      <c r="Q36" s="23"/>
      <c r="R36" s="23"/>
      <c r="S36" s="35">
        <f t="shared" si="20"/>
        <v>1</v>
      </c>
      <c r="T36" s="50" t="str">
        <f t="shared" si="2"/>
        <v>NorthBound</v>
      </c>
      <c r="U36" s="171">
        <f>IF(AG36="EC",COUNTIFS(Variables!$M$2:$M$19,IF(T36="NorthBound","&gt;=","&lt;=")&amp;Y36,Variables!$M$2:$M$19,IF(T36="NorthBound","&lt;=","&gt;=")&amp;Z36),COUNTIFS(Variables!$P$2:$P$19,IF(T36="NorthBound","&gt;=","&lt;=")&amp;Y36,Variables!$P$2:$P$19,IF(T36="NorthBound","&lt;=","&gt;=")&amp;Z36))</f>
        <v>12</v>
      </c>
      <c r="V36" s="98" t="str">
        <f t="shared" si="3"/>
        <v>https://search-rtdc-monitor-bjffxe2xuh6vdkpspy63sjmuny.us-east-1.es.amazonaws.com/_plugin/kibana/#/discover/Steve-Slow-Train-Analysis-(2080s-and-2083s)?_g=(refreshInterval:(display:Off,section:0,value:0),time:(from:'2016-12-15 05:22:35-700',mode:absolute,to:'2016-12-15 08:05:44-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36" s="52" t="str">
        <f t="shared" si="4"/>
        <v>N</v>
      </c>
      <c r="X36" s="177">
        <f t="shared" si="21"/>
        <v>1</v>
      </c>
      <c r="Y36" s="67">
        <f t="shared" si="5"/>
        <v>4.5999999999999999E-2</v>
      </c>
      <c r="Z36" s="67">
        <f t="shared" si="6"/>
        <v>23.328399999999998</v>
      </c>
      <c r="AA36" s="67">
        <f t="shared" si="7"/>
        <v>23.282399999999999</v>
      </c>
      <c r="AB36" s="64" t="e">
        <f>VLOOKUP(A36,Enforcements!$C$7:$K$18,8,0)</f>
        <v>#N/A</v>
      </c>
      <c r="AC36" s="60" t="e">
        <f>VLOOKUP(A36,Enforcements!$C$7:$E$18,3,0)</f>
        <v>#N/A</v>
      </c>
      <c r="AD36" s="61" t="str">
        <f t="shared" si="8"/>
        <v>0123-15</v>
      </c>
      <c r="AE36" s="91" t="str">
        <f t="shared" si="9"/>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36" s="88" t="str">
        <f t="shared" si="10"/>
        <v>"C:\Program Files (x86)\AstroGrep\AstroGrep.exe" /spath="%USERPROFILE%\AppData\Local\Temp\OnboardLogs" /stypes="app*4003*20161215*" /stext=" 14:.+((SYSTEM_STATE.+slice.+state.+changed )|(ment ac)|(multiple cpu faults)|(system.+state.+changed )|(\[timeout)|(PRM\|1\|D)|(kpr)|(kdp)|(\|lc)|(penalty))" /e /r /s</v>
      </c>
      <c r="AG36" s="1" t="str">
        <f t="shared" si="11"/>
        <v>EC</v>
      </c>
      <c r="AH36" s="92" t="str">
        <f t="shared" si="14"/>
        <v>"%USERPROFILE%\Documents\GitHub\eaglep3\Utilities\RefineRTDCRunTimes.py" --tripid 123-15 --locoid 4003 --swversion DE.1.0.8.0 --startMP 204:460 --initTime 2016-12-15T06:22:35 --startdatetime 2016-12-15T06:30:33 --delay 1 --endMP 204:233284 --enddatetime 2016-12-15T07:05:44 --enforcementcount 0 &gt;&gt;C:\Users\stu\Documents\GitHub\eaglep3-reporting\EC\2016-12-15-refined-times.txt</v>
      </c>
      <c r="AI36" s="119" t="str">
        <f t="shared" si="15"/>
        <v>echo {"issue":{"subject":"","project_id":79,"tracker_id":40,"status_id":1,"priority_id":2,"assigned_to_id":23,"start_date":"2016-12-15","description":"","custom_fields":[{"id":1,"name":"Subdivision","value":"EC"},{"id":4,"name":"Milepost","value":"23.3284"},{"id":17,"name":"Train ID","value":"123-15"},{"id":16,"name":"Locomotive ID","value":"4003"},{"id":130,"name":"Impact","value":""},{"id":150,"name":"Time of Event (Mountain Time)","value":"07:05:44"},{"id":151,"name":"Denver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623</v>
      </c>
      <c r="B37" s="7">
        <v>4004</v>
      </c>
      <c r="C37" s="22" t="s">
        <v>207</v>
      </c>
      <c r="D37" s="22" t="s">
        <v>797</v>
      </c>
      <c r="E37" s="13">
        <v>42719.30972222222</v>
      </c>
      <c r="F37" s="13">
        <v>42719.31108796296</v>
      </c>
      <c r="G37" s="7">
        <v>1</v>
      </c>
      <c r="H37" s="22" t="s">
        <v>798</v>
      </c>
      <c r="I37" s="13">
        <v>42719.338425925926</v>
      </c>
      <c r="J37" s="7">
        <v>0</v>
      </c>
      <c r="K37" s="109" t="str">
        <f t="shared" si="0"/>
        <v>4003/4004</v>
      </c>
      <c r="L37" s="22" t="str">
        <f>VLOOKUP(A37,'Trips&amp;Operators'!$C$1:$G$99999,5,FALSE)</f>
        <v>SIMONEAUX TERA</v>
      </c>
      <c r="M37" s="6">
        <f t="shared" si="1"/>
        <v>2.7337962965248153E-2</v>
      </c>
      <c r="N37" s="7">
        <f t="shared" si="19"/>
        <v>39.36666666995734</v>
      </c>
      <c r="O37" s="7"/>
      <c r="P37" s="7"/>
      <c r="Q37" s="23"/>
      <c r="R37" s="23"/>
      <c r="S37" s="35">
        <f t="shared" si="20"/>
        <v>1</v>
      </c>
      <c r="T37" s="50" t="str">
        <f t="shared" si="2"/>
        <v>Southbound</v>
      </c>
      <c r="U37" s="171">
        <f>IF(AG37="EC",COUNTIFS(Variables!$M$2:$M$19,IF(T37="NorthBound","&gt;=","&lt;=")&amp;Y37,Variables!$M$2:$M$19,IF(T37="NorthBound","&lt;=","&gt;=")&amp;Z37),COUNTIFS(Variables!$P$2:$P$19,IF(T37="NorthBound","&gt;=","&lt;=")&amp;Y37,Variables!$P$2:$P$19,IF(T37="NorthBound","&lt;=","&gt;=")&amp;Z37))</f>
        <v>12</v>
      </c>
      <c r="V37" s="98" t="str">
        <f t="shared" si="3"/>
        <v>https://search-rtdc-monitor-bjffxe2xuh6vdkpspy63sjmuny.us-east-1.es.amazonaws.com/_plugin/kibana/#/discover/Steve-Slow-Train-Analysis-(2080s-and-2083s)?_g=(refreshInterval:(display:Off,section:0,value:0),time:(from:'2016-12-15 06:26:00-700',mode:absolute,to:'2016-12-15 09:07:20-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37" s="52" t="str">
        <f t="shared" si="4"/>
        <v>N</v>
      </c>
      <c r="X37" s="177">
        <f t="shared" si="21"/>
        <v>1</v>
      </c>
      <c r="Y37" s="67">
        <f t="shared" si="5"/>
        <v>23.2973</v>
      </c>
      <c r="Z37" s="67">
        <f t="shared" si="6"/>
        <v>0.1205</v>
      </c>
      <c r="AA37" s="67">
        <f t="shared" si="7"/>
        <v>23.1768</v>
      </c>
      <c r="AB37" s="64" t="e">
        <f>VLOOKUP(A37,Enforcements!$C$7:$K$18,8,0)</f>
        <v>#N/A</v>
      </c>
      <c r="AC37" s="60" t="e">
        <f>VLOOKUP(A37,Enforcements!$C$7:$E$18,3,0)</f>
        <v>#N/A</v>
      </c>
      <c r="AD37" s="61" t="str">
        <f t="shared" si="8"/>
        <v>0124-15</v>
      </c>
      <c r="AE37" s="91" t="str">
        <f t="shared" si="9"/>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37" s="88" t="str">
        <f t="shared" si="10"/>
        <v>"C:\Program Files (x86)\AstroGrep\AstroGrep.exe" /spath="%USERPROFILE%\AppData\Local\Temp\OnboardLogs" /stypes="app*4004*20161215*" /stext=" 15:.+((SYSTEM_STATE.+slice.+state.+changed )|(ment ac)|(multiple cpu faults)|(system.+state.+changed )|(\[timeout)|(PRM\|1\|D)|(kpr)|(kdp)|(\|lc)|(penalty))" /e /r /s</v>
      </c>
      <c r="AG37" s="1" t="str">
        <f t="shared" si="11"/>
        <v>EC</v>
      </c>
      <c r="AH37" s="92" t="str">
        <f t="shared" si="14"/>
        <v>"%USERPROFILE%\Documents\GitHub\eaglep3\Utilities\RefineRTDCRunTimes.py" --tripid 124-15 --locoid 4004 --swversion DE.1.0.8.0 --startMP 204:232973 --initTime 2016-12-15T07:26:00 --startdatetime 2016-12-15T07:27:58 --delay 1 --endMP 204:1205 --enddatetime 2016-12-15T08:07:20 --enforcementcount 0 &gt;&gt;C:\Users\stu\Documents\GitHub\eaglep3-reporting\EC\2016-12-15-refined-times.txt</v>
      </c>
      <c r="AI37" s="119" t="str">
        <f t="shared" si="15"/>
        <v>echo {"issue":{"subject":"","project_id":79,"tracker_id":40,"status_id":1,"priority_id":2,"assigned_to_id":23,"start_date":"2016-12-15","description":"","custom_fields":[{"id":1,"name":"Subdivision","value":"EC"},{"id":4,"name":"Milepost","value":"0.1205"},{"id":17,"name":"Train ID","value":"124-15"},{"id":16,"name":"Locomotive ID","value":"4004"},{"id":130,"name":"Impact","value":""},{"id":150,"name":"Time of Event (Mountain Time)","value":"08:07:20"},{"id":151,"name":"Denver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618</v>
      </c>
      <c r="B38" s="7">
        <v>4011</v>
      </c>
      <c r="C38" s="22" t="s">
        <v>207</v>
      </c>
      <c r="D38" s="22" t="s">
        <v>231</v>
      </c>
      <c r="E38" s="13">
        <v>42719.278749999998</v>
      </c>
      <c r="F38" s="13">
        <v>42719.281701388885</v>
      </c>
      <c r="G38" s="7">
        <v>1</v>
      </c>
      <c r="H38" s="22" t="s">
        <v>412</v>
      </c>
      <c r="I38" s="13">
        <v>42719.308368055557</v>
      </c>
      <c r="J38" s="7">
        <v>0</v>
      </c>
      <c r="K38" s="109" t="str">
        <f t="shared" si="0"/>
        <v>4011/4012</v>
      </c>
      <c r="L38" s="22" t="str">
        <f>VLOOKUP(A38,'Trips&amp;Operators'!$C$1:$G$99999,5,FALSE)</f>
        <v>STARKS ANGELINA</v>
      </c>
      <c r="M38" s="6">
        <f t="shared" si="1"/>
        <v>2.6666666672099382E-2</v>
      </c>
      <c r="N38" s="7">
        <f t="shared" si="19"/>
        <v>38.40000000782311</v>
      </c>
      <c r="O38" s="7"/>
      <c r="P38" s="7"/>
      <c r="Q38" s="23"/>
      <c r="R38" s="23"/>
      <c r="S38" s="35">
        <f t="shared" si="20"/>
        <v>1</v>
      </c>
      <c r="T38" s="50" t="str">
        <f t="shared" si="2"/>
        <v>NorthBound</v>
      </c>
      <c r="U38" s="171">
        <f>IF(AG38="EC",COUNTIFS(Variables!$M$2:$M$19,IF(T38="NorthBound","&gt;=","&lt;=")&amp;Y38,Variables!$M$2:$M$19,IF(T38="NorthBound","&lt;=","&gt;=")&amp;Z38),COUNTIFS(Variables!$P$2:$P$19,IF(T38="NorthBound","&gt;=","&lt;=")&amp;Y38,Variables!$P$2:$P$19,IF(T38="NorthBound","&lt;=","&gt;=")&amp;Z38))</f>
        <v>12</v>
      </c>
      <c r="V38" s="98" t="str">
        <f t="shared" si="3"/>
        <v>https://search-rtdc-monitor-bjffxe2xuh6vdkpspy63sjmuny.us-east-1.es.amazonaws.com/_plugin/kibana/#/discover/Steve-Slow-Train-Analysis-(2080s-and-2083s)?_g=(refreshInterval:(display:Off,section:0,value:0),time:(from:'2016-12-15 05:41:24-700',mode:absolute,to:'2016-12-15 08:24:03-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38" s="52" t="str">
        <f t="shared" si="4"/>
        <v>N</v>
      </c>
      <c r="X38" s="177">
        <f t="shared" si="21"/>
        <v>1</v>
      </c>
      <c r="Y38" s="67">
        <f t="shared" si="5"/>
        <v>4.5499999999999999E-2</v>
      </c>
      <c r="Z38" s="67">
        <f t="shared" si="6"/>
        <v>23.3291</v>
      </c>
      <c r="AA38" s="67">
        <f t="shared" si="7"/>
        <v>23.2836</v>
      </c>
      <c r="AB38" s="64" t="e">
        <f>VLOOKUP(A38,Enforcements!$C$7:$K$18,8,0)</f>
        <v>#N/A</v>
      </c>
      <c r="AC38" s="60" t="e">
        <f>VLOOKUP(A38,Enforcements!$C$7:$E$18,3,0)</f>
        <v>#N/A</v>
      </c>
      <c r="AD38" s="61" t="str">
        <f t="shared" si="8"/>
        <v>0125-15</v>
      </c>
      <c r="AE38" s="91" t="str">
        <f t="shared" si="9"/>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38" s="88" t="str">
        <f t="shared" si="10"/>
        <v>"C:\Program Files (x86)\AstroGrep\AstroGrep.exe" /spath="%USERPROFILE%\AppData\Local\Temp\OnboardLogs" /stypes="app*4011*20161215*" /stext=" 14:.+((SYSTEM_STATE.+slice.+state.+changed )|(ment ac)|(multiple cpu faults)|(system.+state.+changed )|(\[timeout)|(PRM\|1\|D)|(kpr)|(kdp)|(\|lc)|(penalty))" /e /r /s</v>
      </c>
      <c r="AG38" s="1" t="str">
        <f t="shared" si="11"/>
        <v>EC</v>
      </c>
      <c r="AH38" s="92" t="str">
        <f t="shared" si="14"/>
        <v>"%USERPROFILE%\Documents\GitHub\eaglep3\Utilities\RefineRTDCRunTimes.py" --tripid 125-15 --locoid 4011 --swversion DE.1.0.8.0 --startMP 204:455 --initTime 2016-12-15T06:41:24 --startdatetime 2016-12-15T06:45:39 --delay 1 --endMP 204:233291 --enddatetime 2016-12-15T07:24:03 --enforcementcount 0 &gt;&gt;C:\Users\stu\Documents\GitHub\eaglep3-reporting\EC\2016-12-15-refined-times.txt</v>
      </c>
      <c r="AI38" s="119" t="str">
        <f t="shared" si="15"/>
        <v>echo {"issue":{"subject":"","project_id":79,"tracker_id":40,"status_id":1,"priority_id":2,"assigned_to_id":23,"start_date":"2016-12-15","description":"","custom_fields":[{"id":1,"name":"Subdivision","value":"EC"},{"id":4,"name":"Milepost","value":"23.3291"},{"id":17,"name":"Train ID","value":"125-15"},{"id":16,"name":"Locomotive ID","value":"4011"},{"id":130,"name":"Impact","value":""},{"id":150,"name":"Time of Event (Mountain Time)","value":"07:24:03"},{"id":151,"name":"Denver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560</v>
      </c>
      <c r="B39" s="7">
        <v>4012</v>
      </c>
      <c r="C39" s="22" t="s">
        <v>207</v>
      </c>
      <c r="D39" s="22" t="s">
        <v>799</v>
      </c>
      <c r="E39" s="13">
        <v>42719.317939814813</v>
      </c>
      <c r="F39" s="13">
        <v>42719.3203125</v>
      </c>
      <c r="G39" s="7">
        <v>1</v>
      </c>
      <c r="H39" s="22" t="s">
        <v>239</v>
      </c>
      <c r="I39" s="13">
        <v>42719.348171296297</v>
      </c>
      <c r="J39" s="7">
        <v>0</v>
      </c>
      <c r="K39" s="109" t="str">
        <f t="shared" si="0"/>
        <v>4011/4012</v>
      </c>
      <c r="L39" s="22" t="str">
        <f>VLOOKUP(A39,'Trips&amp;Operators'!$C$1:$G$99999,5,FALSE)</f>
        <v>STARKS ANGELINA</v>
      </c>
      <c r="M39" s="6">
        <f t="shared" si="1"/>
        <v>2.7858796296641231E-2</v>
      </c>
      <c r="N39" s="7">
        <f t="shared" si="19"/>
        <v>40.116666667163372</v>
      </c>
      <c r="O39" s="7"/>
      <c r="P39" s="7"/>
      <c r="Q39" s="23"/>
      <c r="R39" s="23"/>
      <c r="S39" s="35">
        <f t="shared" si="20"/>
        <v>1</v>
      </c>
      <c r="T39" s="50" t="str">
        <f t="shared" si="2"/>
        <v>Southbound</v>
      </c>
      <c r="U39" s="171">
        <f>IF(AG39="EC",COUNTIFS(Variables!$M$2:$M$19,IF(T39="NorthBound","&gt;=","&lt;=")&amp;Y39,Variables!$M$2:$M$19,IF(T39="NorthBound","&lt;=","&gt;=")&amp;Z39),COUNTIFS(Variables!$P$2:$P$19,IF(T39="NorthBound","&gt;=","&lt;=")&amp;Y39,Variables!$P$2:$P$19,IF(T39="NorthBound","&lt;=","&gt;=")&amp;Z39))</f>
        <v>12</v>
      </c>
      <c r="V39" s="98" t="str">
        <f t="shared" si="3"/>
        <v>https://search-rtdc-monitor-bjffxe2xuh6vdkpspy63sjmuny.us-east-1.es.amazonaws.com/_plugin/kibana/#/discover/Steve-Slow-Train-Analysis-(2080s-and-2083s)?_g=(refreshInterval:(display:Off,section:0,value:0),time:(from:'2016-12-15 06:37:50-700',mode:absolute,to:'2016-12-15 09:21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39" s="52" t="str">
        <f t="shared" si="4"/>
        <v>N</v>
      </c>
      <c r="X39" s="177">
        <f t="shared" si="21"/>
        <v>1</v>
      </c>
      <c r="Y39" s="67">
        <f t="shared" si="5"/>
        <v>23.297000000000001</v>
      </c>
      <c r="Z39" s="67">
        <f t="shared" si="6"/>
        <v>1.4500000000000001E-2</v>
      </c>
      <c r="AA39" s="67">
        <f t="shared" si="7"/>
        <v>23.282499999999999</v>
      </c>
      <c r="AB39" s="64" t="str">
        <f>VLOOKUP(A39,Enforcements!$C$7:$K$18,8,0)</f>
        <v>Speed (6)</v>
      </c>
      <c r="AC39" s="60" t="str">
        <f>VLOOKUP(A39,Enforcements!$C$7:$E$18,3,0)</f>
        <v>PERMANENT SPEED RESTRICTION</v>
      </c>
      <c r="AD39" s="61" t="str">
        <f t="shared" si="8"/>
        <v>0126-15</v>
      </c>
      <c r="AE39" s="91" t="str">
        <f t="shared" si="9"/>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39" s="88" t="str">
        <f t="shared" si="10"/>
        <v>"C:\Program Files (x86)\AstroGrep\AstroGrep.exe" /spath="%USERPROFILE%\AppData\Local\Temp\OnboardLogs" /stypes="app*4012*20161215*" /stext=" 15:.+((SYSTEM_STATE.+slice.+state.+changed )|(ment ac)|(multiple cpu faults)|(system.+state.+changed )|(\[timeout)|(PRM\|1\|D)|(kpr)|(kdp)|(\|lc)|(penalty))" /e /r /s</v>
      </c>
      <c r="AG39" s="1" t="str">
        <f t="shared" si="11"/>
        <v>EC</v>
      </c>
      <c r="AH39" s="92" t="str">
        <f t="shared" si="14"/>
        <v>"%USERPROFILE%\Documents\GitHub\eaglep3\Utilities\RefineRTDCRunTimes.py" --tripid 126-15 --locoid 4012 --swversion DE.1.0.8.0 --startMP 204:232970 --initTime 2016-12-15T07:37:50 --startdatetime 2016-12-15T07:41:15 --delay 1 --endMP 204:145 --enddatetime 2016-12-15T08:21:22 --enforcementcount 0 &gt;&gt;C:\Users\stu\Documents\GitHub\eaglep3-reporting\EC\2016-12-15-refined-times.txt</v>
      </c>
      <c r="AI39" s="119" t="str">
        <f t="shared" si="15"/>
        <v>echo {"issue":{"subject":"","project_id":79,"tracker_id":40,"status_id":1,"priority_id":2,"assigned_to_id":23,"start_date":"2016-12-15","description":"","custom_fields":[{"id":1,"name":"Subdivision","value":"EC"},{"id":4,"name":"Milepost","value":"0.0145"},{"id":17,"name":"Train ID","value":"126-15"},{"id":16,"name":"Locomotive ID","value":"4012"},{"id":130,"name":"Impact","value":""},{"id":150,"name":"Time of Event (Mountain Time)","value":"08:21:22"},{"id":151,"name":"Denver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620</v>
      </c>
      <c r="B40" s="7">
        <v>4018</v>
      </c>
      <c r="C40" s="22" t="s">
        <v>207</v>
      </c>
      <c r="D40" s="22" t="s">
        <v>405</v>
      </c>
      <c r="E40" s="13">
        <v>42719.288171296299</v>
      </c>
      <c r="F40" s="13">
        <v>42719.291909722226</v>
      </c>
      <c r="G40" s="7">
        <v>1</v>
      </c>
      <c r="H40" s="22" t="s">
        <v>346</v>
      </c>
      <c r="I40" s="13">
        <v>42719.31659722222</v>
      </c>
      <c r="J40" s="7">
        <v>0</v>
      </c>
      <c r="K40" s="109" t="str">
        <f t="shared" si="0"/>
        <v>4017/4018</v>
      </c>
      <c r="L40" s="22" t="str">
        <f>VLOOKUP(A40,'Trips&amp;Operators'!$C$1:$G$99999,5,FALSE)</f>
        <v>MAELZER KURT</v>
      </c>
      <c r="M40" s="6">
        <f t="shared" si="1"/>
        <v>2.4687499993888196E-2</v>
      </c>
      <c r="N40" s="7">
        <f t="shared" si="19"/>
        <v>35.549999991199002</v>
      </c>
      <c r="O40" s="7"/>
      <c r="P40" s="7"/>
      <c r="Q40" s="23"/>
      <c r="R40" s="23"/>
      <c r="S40" s="35">
        <f t="shared" si="20"/>
        <v>1</v>
      </c>
      <c r="T40" s="50" t="str">
        <f t="shared" si="2"/>
        <v>NorthBound</v>
      </c>
      <c r="U40" s="171">
        <f>IF(AG40="EC",COUNTIFS(Variables!$M$2:$M$19,IF(T40="NorthBound","&gt;=","&lt;=")&amp;Y40,Variables!$M$2:$M$19,IF(T40="NorthBound","&lt;=","&gt;=")&amp;Z40),COUNTIFS(Variables!$P$2:$P$19,IF(T40="NorthBound","&gt;=","&lt;=")&amp;Y40,Variables!$P$2:$P$19,IF(T40="NorthBound","&lt;=","&gt;=")&amp;Z40))</f>
        <v>12</v>
      </c>
      <c r="V40" s="98" t="str">
        <f t="shared" si="3"/>
        <v>https://search-rtdc-monitor-bjffxe2xuh6vdkpspy63sjmuny.us-east-1.es.amazonaws.com/_plugin/kibana/#/discover/Steve-Slow-Train-Analysis-(2080s-and-2083s)?_g=(refreshInterval:(display:Off,section:0,value:0),time:(from:'2016-12-15 05:54:58-700',mode:absolute,to:'2016-12-15 08:35:54-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40" s="52" t="str">
        <f t="shared" si="4"/>
        <v>N</v>
      </c>
      <c r="X40" s="177">
        <f t="shared" si="21"/>
        <v>1</v>
      </c>
      <c r="Y40" s="67">
        <f t="shared" si="5"/>
        <v>4.5699999999999998E-2</v>
      </c>
      <c r="Z40" s="67">
        <f t="shared" si="6"/>
        <v>23.331800000000001</v>
      </c>
      <c r="AA40" s="67">
        <f t="shared" si="7"/>
        <v>23.286100000000001</v>
      </c>
      <c r="AB40" s="64" t="e">
        <f>VLOOKUP(A40,Enforcements!$C$7:$K$18,8,0)</f>
        <v>#N/A</v>
      </c>
      <c r="AC40" s="60" t="e">
        <f>VLOOKUP(A40,Enforcements!$C$7:$E$18,3,0)</f>
        <v>#N/A</v>
      </c>
      <c r="AD40" s="61" t="str">
        <f t="shared" si="8"/>
        <v>0127-15</v>
      </c>
      <c r="AE40" s="91" t="str">
        <f t="shared" si="9"/>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40" s="88" t="str">
        <f t="shared" si="10"/>
        <v>"C:\Program Files (x86)\AstroGrep\AstroGrep.exe" /spath="%USERPROFILE%\AppData\Local\Temp\OnboardLogs" /stypes="app*4018*20161215*" /stext=" 14:.+((SYSTEM_STATE.+slice.+state.+changed )|(ment ac)|(multiple cpu faults)|(system.+state.+changed )|(\[timeout)|(PRM\|1\|D)|(kpr)|(kdp)|(\|lc)|(penalty))" /e /r /s</v>
      </c>
      <c r="AG40" s="1" t="str">
        <f t="shared" si="11"/>
        <v>EC</v>
      </c>
      <c r="AH40" s="92" t="str">
        <f t="shared" si="14"/>
        <v>"%USERPROFILE%\Documents\GitHub\eaglep3\Utilities\RefineRTDCRunTimes.py" --tripid 127-15 --locoid 4018 --swversion DE.1.0.8.0 --startMP 204:457 --initTime 2016-12-15T06:54:58 --startdatetime 2016-12-15T07:00:21 --delay 1 --endMP 204:233318 --enddatetime 2016-12-15T07:35:54 --enforcementcount 0 &gt;&gt;C:\Users\stu\Documents\GitHub\eaglep3-reporting\EC\2016-12-15-refined-times.txt</v>
      </c>
      <c r="AI40" s="119" t="str">
        <f t="shared" si="15"/>
        <v>echo {"issue":{"subject":"","project_id":79,"tracker_id":40,"status_id":1,"priority_id":2,"assigned_to_id":23,"start_date":"2016-12-15","description":"","custom_fields":[{"id":1,"name":"Subdivision","value":"EC"},{"id":4,"name":"Milepost","value":"23.3318"},{"id":17,"name":"Train ID","value":"127-15"},{"id":16,"name":"Locomotive ID","value":"4018"},{"id":130,"name":"Impact","value":""},{"id":150,"name":"Time of Event (Mountain Time)","value":"07:35:54"},{"id":151,"name":"Denver Issue ID","value":""},{"id":178,"name":"Operational Impact","value":"Yes"},{"id":179,"name":"Denver Segment Assigned","value":""}]}} | curl -X POST -H "Content-Type: application/json" -H "X-Redmine-API-Key: d6333d4a04012a730768444271f8ca06482dae87" https://secure.xorail.net/redmine/issues.json --data @-</v>
      </c>
      <c r="AJ40" s="53"/>
      <c r="AK40" s="53"/>
      <c r="AL40" s="53"/>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627</v>
      </c>
      <c r="B41" s="7">
        <v>4017</v>
      </c>
      <c r="C41" s="22" t="s">
        <v>207</v>
      </c>
      <c r="D41" s="22" t="s">
        <v>800</v>
      </c>
      <c r="E41" s="13">
        <v>42719.32403935185</v>
      </c>
      <c r="F41" s="13">
        <v>42719.33085648148</v>
      </c>
      <c r="G41" s="7">
        <v>1</v>
      </c>
      <c r="H41" s="22" t="s">
        <v>193</v>
      </c>
      <c r="I41" s="13">
        <v>42719.360543981478</v>
      </c>
      <c r="J41" s="7">
        <v>0</v>
      </c>
      <c r="K41" s="109" t="str">
        <f t="shared" si="0"/>
        <v>4017/4018</v>
      </c>
      <c r="L41" s="22" t="str">
        <f>VLOOKUP(A41,'Trips&amp;Operators'!$C$1:$G$99999,5,FALSE)</f>
        <v>MAELZER KURT</v>
      </c>
      <c r="M41" s="6">
        <f t="shared" si="1"/>
        <v>2.9687499998544808E-2</v>
      </c>
      <c r="N41" s="7">
        <f t="shared" si="19"/>
        <v>42.749999997904524</v>
      </c>
      <c r="O41" s="7"/>
      <c r="P41" s="7"/>
      <c r="Q41" s="23"/>
      <c r="R41" s="23"/>
      <c r="S41" s="35">
        <f t="shared" si="20"/>
        <v>1</v>
      </c>
      <c r="T41" s="50" t="str">
        <f t="shared" si="2"/>
        <v>Southbound</v>
      </c>
      <c r="U41" s="171">
        <f>IF(AG41="EC",COUNTIFS(Variables!$M$2:$M$19,IF(T41="NorthBound","&gt;=","&lt;=")&amp;Y41,Variables!$M$2:$M$19,IF(T41="NorthBound","&lt;=","&gt;=")&amp;Z41),COUNTIFS(Variables!$P$2:$P$19,IF(T41="NorthBound","&gt;=","&lt;=")&amp;Y41,Variables!$P$2:$P$19,IF(T41="NorthBound","&lt;=","&gt;=")&amp;Z41))</f>
        <v>12</v>
      </c>
      <c r="V41" s="98" t="str">
        <f t="shared" si="3"/>
        <v>https://search-rtdc-monitor-bjffxe2xuh6vdkpspy63sjmuny.us-east-1.es.amazonaws.com/_plugin/kibana/#/discover/Steve-Slow-Train-Analysis-(2080s-and-2083s)?_g=(refreshInterval:(display:Off,section:0,value:0),time:(from:'2016-12-15 06:46:37-700',mode:absolute,to:'2016-12-15 09:39: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41" s="52" t="str">
        <f t="shared" si="4"/>
        <v>N</v>
      </c>
      <c r="X41" s="177">
        <f t="shared" si="21"/>
        <v>1</v>
      </c>
      <c r="Y41" s="67">
        <f t="shared" si="5"/>
        <v>23.2988</v>
      </c>
      <c r="Z41" s="67">
        <f t="shared" si="6"/>
        <v>1.43E-2</v>
      </c>
      <c r="AA41" s="67">
        <f t="shared" si="7"/>
        <v>23.284500000000001</v>
      </c>
      <c r="AB41" s="64" t="e">
        <f>VLOOKUP(A41,Enforcements!$C$7:$K$18,8,0)</f>
        <v>#N/A</v>
      </c>
      <c r="AC41" s="60" t="e">
        <f>VLOOKUP(A41,Enforcements!$C$7:$E$18,3,0)</f>
        <v>#N/A</v>
      </c>
      <c r="AD41" s="61" t="str">
        <f t="shared" si="8"/>
        <v>0128-15</v>
      </c>
      <c r="AE41" s="91" t="str">
        <f t="shared" si="9"/>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41" s="88" t="str">
        <f t="shared" si="10"/>
        <v>"C:\Program Files (x86)\AstroGrep\AstroGrep.exe" /spath="%USERPROFILE%\AppData\Local\Temp\OnboardLogs" /stypes="app*4017*20161215*" /stext=" 15:.+((SYSTEM_STATE.+slice.+state.+changed )|(ment ac)|(multiple cpu faults)|(system.+state.+changed )|(\[timeout)|(PRM\|1\|D)|(kpr)|(kdp)|(\|lc)|(penalty))" /e /r /s</v>
      </c>
      <c r="AG41" s="1" t="str">
        <f t="shared" si="11"/>
        <v>EC</v>
      </c>
      <c r="AH41" s="92" t="str">
        <f t="shared" si="14"/>
        <v>"%USERPROFILE%\Documents\GitHub\eaglep3\Utilities\RefineRTDCRunTimes.py" --tripid 128-15 --locoid 4017 --swversion DE.1.0.8.0 --startMP 204:232988 --initTime 2016-12-15T07:46:37 --startdatetime 2016-12-15T07:56:26 --delay 1 --endMP 204:143 --enddatetime 2016-12-15T08:39:11 --enforcementcount 0 &gt;&gt;C:\Users\stu\Documents\GitHub\eaglep3-reporting\EC\2016-12-15-refined-times.txt</v>
      </c>
      <c r="AI41" s="119" t="str">
        <f t="shared" si="15"/>
        <v>echo {"issue":{"subject":"","project_id":79,"tracker_id":40,"status_id":1,"priority_id":2,"assigned_to_id":23,"start_date":"2016-12-15","description":"","custom_fields":[{"id":1,"name":"Subdivision","value":"EC"},{"id":4,"name":"Milepost","value":"0.0143"},{"id":17,"name":"Train ID","value":"128-15"},{"id":16,"name":"Locomotive ID","value":"4017"},{"id":130,"name":"Impact","value":""},{"id":150,"name":"Time of Event (Mountain Time)","value":"08:39:11"},{"id":151,"name":"Denver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558</v>
      </c>
      <c r="B42" s="7">
        <v>4016</v>
      </c>
      <c r="C42" s="22" t="s">
        <v>207</v>
      </c>
      <c r="D42" s="22" t="s">
        <v>273</v>
      </c>
      <c r="E42" s="13">
        <v>42719.29859953704</v>
      </c>
      <c r="F42" s="13">
        <v>42719.302615740744</v>
      </c>
      <c r="G42" s="7">
        <v>1</v>
      </c>
      <c r="H42" s="22" t="s">
        <v>801</v>
      </c>
      <c r="I42" s="13">
        <v>42719.327303240738</v>
      </c>
      <c r="J42" s="7">
        <v>0</v>
      </c>
      <c r="K42" s="109" t="str">
        <f t="shared" si="0"/>
        <v>4015/4016</v>
      </c>
      <c r="L42" s="22" t="str">
        <f>VLOOKUP(A42,'Trips&amp;Operators'!$C$1:$G$99999,5,FALSE)</f>
        <v>SANTIZO D. EDY</v>
      </c>
      <c r="M42" s="6">
        <f t="shared" si="1"/>
        <v>2.4687499993888196E-2</v>
      </c>
      <c r="N42" s="7">
        <f t="shared" si="19"/>
        <v>35.549999991199002</v>
      </c>
      <c r="O42" s="7"/>
      <c r="P42" s="7"/>
      <c r="Q42" s="23"/>
      <c r="R42" s="23"/>
      <c r="S42" s="35">
        <f t="shared" si="20"/>
        <v>1</v>
      </c>
      <c r="T42" s="50" t="str">
        <f t="shared" si="2"/>
        <v>NorthBound</v>
      </c>
      <c r="U42" s="171">
        <f>IF(AG42="EC",COUNTIFS(Variables!$M$2:$M$19,IF(T42="NorthBound","&gt;=","&lt;=")&amp;Y42,Variables!$M$2:$M$19,IF(T42="NorthBound","&lt;=","&gt;=")&amp;Z42),COUNTIFS(Variables!$P$2:$P$19,IF(T42="NorthBound","&gt;=","&lt;=")&amp;Y42,Variables!$P$2:$P$19,IF(T42="NorthBound","&lt;=","&gt;=")&amp;Z42))</f>
        <v>12</v>
      </c>
      <c r="V42" s="98" t="str">
        <f t="shared" si="3"/>
        <v>https://search-rtdc-monitor-bjffxe2xuh6vdkpspy63sjmuny.us-east-1.es.amazonaws.com/_plugin/kibana/#/discover/Steve-Slow-Train-Analysis-(2080s-and-2083s)?_g=(refreshInterval:(display:Off,section:0,value:0),time:(from:'2016-12-15 06:09:59-700',mode:absolute,to:'2016-12-15 08:51:19-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42" s="52" t="str">
        <f t="shared" si="4"/>
        <v>N</v>
      </c>
      <c r="X42" s="177">
        <f t="shared" si="21"/>
        <v>1</v>
      </c>
      <c r="Y42" s="67">
        <f t="shared" si="5"/>
        <v>4.53E-2</v>
      </c>
      <c r="Z42" s="67">
        <f t="shared" si="6"/>
        <v>23.323599999999999</v>
      </c>
      <c r="AA42" s="67">
        <f t="shared" si="7"/>
        <v>23.278299999999998</v>
      </c>
      <c r="AB42" s="64" t="e">
        <f>VLOOKUP(A42,Enforcements!$C$7:$K$18,8,0)</f>
        <v>#N/A</v>
      </c>
      <c r="AC42" s="60" t="e">
        <f>VLOOKUP(A42,Enforcements!$C$7:$E$18,3,0)</f>
        <v>#N/A</v>
      </c>
      <c r="AD42" s="61" t="str">
        <f t="shared" si="8"/>
        <v>0129-15</v>
      </c>
      <c r="AE42" s="91" t="str">
        <f t="shared" si="9"/>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42" s="88" t="str">
        <f t="shared" si="10"/>
        <v>"C:\Program Files (x86)\AstroGrep\AstroGrep.exe" /spath="%USERPROFILE%\AppData\Local\Temp\OnboardLogs" /stypes="app*4016*20161215*" /stext=" 14:.+((SYSTEM_STATE.+slice.+state.+changed )|(ment ac)|(multiple cpu faults)|(system.+state.+changed )|(\[timeout)|(PRM\|1\|D)|(kpr)|(kdp)|(\|lc)|(penalty))" /e /r /s</v>
      </c>
      <c r="AG42" s="1" t="str">
        <f t="shared" si="11"/>
        <v>EC</v>
      </c>
      <c r="AH42" s="92" t="str">
        <f t="shared" si="14"/>
        <v>"%USERPROFILE%\Documents\GitHub\eaglep3\Utilities\RefineRTDCRunTimes.py" --tripid 129-15 --locoid 4016 --swversion DE.1.0.8.0 --startMP 204:453 --initTime 2016-12-15T07:09:59 --startdatetime 2016-12-15T07:15:46 --delay 1 --endMP 204:233236 --enddatetime 2016-12-15T07:51:19 --enforcementcount 0 &gt;&gt;C:\Users\stu\Documents\GitHub\eaglep3-reporting\EC\2016-12-15-refined-times.txt</v>
      </c>
      <c r="AI42" s="119" t="str">
        <f t="shared" si="15"/>
        <v>echo {"issue":{"subject":"","project_id":79,"tracker_id":40,"status_id":1,"priority_id":2,"assigned_to_id":23,"start_date":"2016-12-15","description":"","custom_fields":[{"id":1,"name":"Subdivision","value":"EC"},{"id":4,"name":"Milepost","value":"23.3236"},{"id":17,"name":"Train ID","value":"129-15"},{"id":16,"name":"Locomotive ID","value":"4016"},{"id":130,"name":"Impact","value":""},{"id":150,"name":"Time of Event (Mountain Time)","value":"07:51:19"},{"id":151,"name":"Denver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628</v>
      </c>
      <c r="B43" s="7">
        <v>4015</v>
      </c>
      <c r="C43" s="22" t="s">
        <v>207</v>
      </c>
      <c r="D43" s="22" t="s">
        <v>802</v>
      </c>
      <c r="E43" s="13">
        <v>42719.328622685185</v>
      </c>
      <c r="F43" s="13">
        <v>42719.341192129628</v>
      </c>
      <c r="G43" s="7">
        <v>1</v>
      </c>
      <c r="H43" s="22" t="s">
        <v>298</v>
      </c>
      <c r="I43" s="13">
        <v>42719.36886574074</v>
      </c>
      <c r="J43" s="7">
        <v>0</v>
      </c>
      <c r="K43" s="109" t="str">
        <f t="shared" si="0"/>
        <v>4015/4016</v>
      </c>
      <c r="L43" s="22" t="str">
        <f>VLOOKUP(A43,'Trips&amp;Operators'!$C$1:$G$99999,5,FALSE)</f>
        <v>SANTIZO D. EDY</v>
      </c>
      <c r="M43" s="6">
        <f t="shared" si="1"/>
        <v>2.7673611111822538E-2</v>
      </c>
      <c r="N43" s="7">
        <f t="shared" si="19"/>
        <v>39.850000001024455</v>
      </c>
      <c r="O43" s="7"/>
      <c r="P43" s="7"/>
      <c r="Q43" s="23"/>
      <c r="R43" s="23"/>
      <c r="S43" s="35">
        <f t="shared" si="20"/>
        <v>1</v>
      </c>
      <c r="T43" s="50" t="str">
        <f t="shared" si="2"/>
        <v>Southbound</v>
      </c>
      <c r="U43" s="171">
        <f>IF(AG43="EC",COUNTIFS(Variables!$M$2:$M$19,IF(T43="NorthBound","&gt;=","&lt;=")&amp;Y43,Variables!$M$2:$M$19,IF(T43="NorthBound","&lt;=","&gt;=")&amp;Z43),COUNTIFS(Variables!$P$2:$P$19,IF(T43="NorthBound","&gt;=","&lt;=")&amp;Y43,Variables!$P$2:$P$19,IF(T43="NorthBound","&lt;=","&gt;=")&amp;Z43))</f>
        <v>12</v>
      </c>
      <c r="V43" s="98" t="str">
        <f t="shared" si="3"/>
        <v>https://search-rtdc-monitor-bjffxe2xuh6vdkpspy63sjmuny.us-east-1.es.amazonaws.com/_plugin/kibana/#/discover/Steve-Slow-Train-Analysis-(2080s-and-2083s)?_g=(refreshInterval:(display:Off,section:0,value:0),time:(from:'2016-12-15 06:53:13-700',mode:absolute,to:'2016-12-15 09:51:10-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43" s="52" t="str">
        <f t="shared" si="4"/>
        <v>N</v>
      </c>
      <c r="X43" s="177">
        <f t="shared" si="21"/>
        <v>1</v>
      </c>
      <c r="Y43" s="67">
        <f t="shared" si="5"/>
        <v>23.292100000000001</v>
      </c>
      <c r="Z43" s="67">
        <f t="shared" si="6"/>
        <v>1.5800000000000002E-2</v>
      </c>
      <c r="AA43" s="67">
        <f t="shared" si="7"/>
        <v>23.276300000000003</v>
      </c>
      <c r="AB43" s="64" t="e">
        <f>VLOOKUP(A43,Enforcements!$C$7:$K$18,8,0)</f>
        <v>#N/A</v>
      </c>
      <c r="AC43" s="60" t="e">
        <f>VLOOKUP(A43,Enforcements!$C$7:$E$18,3,0)</f>
        <v>#N/A</v>
      </c>
      <c r="AD43" s="61" t="str">
        <f t="shared" si="8"/>
        <v>0130-15</v>
      </c>
      <c r="AE43" s="91" t="str">
        <f t="shared" si="9"/>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43" s="88" t="str">
        <f t="shared" si="10"/>
        <v>"C:\Program Files (x86)\AstroGrep\AstroGrep.exe" /spath="%USERPROFILE%\AppData\Local\Temp\OnboardLogs" /stypes="app*4015*20161215*" /stext=" 15:.+((SYSTEM_STATE.+slice.+state.+changed )|(ment ac)|(multiple cpu faults)|(system.+state.+changed )|(\[timeout)|(PRM\|1\|D)|(kpr)|(kdp)|(\|lc)|(penalty))" /e /r /s</v>
      </c>
      <c r="AG43" s="1" t="str">
        <f t="shared" si="11"/>
        <v>EC</v>
      </c>
      <c r="AH43" s="92" t="str">
        <f t="shared" si="14"/>
        <v>"%USERPROFILE%\Documents\GitHub\eaglep3\Utilities\RefineRTDCRunTimes.py" --tripid 130-15 --locoid 4015 --swversion DE.1.0.8.0 --startMP 204:232921 --initTime 2016-12-15T07:53:13 --startdatetime 2016-12-15T08:11:19 --delay 1 --endMP 204:158 --enddatetime 2016-12-15T08:51:10 --enforcementcount 0 &gt;&gt;C:\Users\stu\Documents\GitHub\eaglep3-reporting\EC\2016-12-15-refined-times.txt</v>
      </c>
      <c r="AI43" s="119" t="str">
        <f t="shared" si="15"/>
        <v>echo {"issue":{"subject":"","project_id":79,"tracker_id":40,"status_id":1,"priority_id":2,"assigned_to_id":23,"start_date":"2016-12-15","description":"","custom_fields":[{"id":1,"name":"Subdivision","value":"EC"},{"id":4,"name":"Milepost","value":"0.0158"},{"id":17,"name":"Train ID","value":"130-15"},{"id":16,"name":"Locomotive ID","value":"4015"},{"id":130,"name":"Impact","value":""},{"id":150,"name":"Time of Event (Mountain Time)","value":"08:51:10"},{"id":151,"name":"Denver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559</v>
      </c>
      <c r="B44" s="7">
        <v>4009</v>
      </c>
      <c r="C44" s="22" t="s">
        <v>207</v>
      </c>
      <c r="D44" s="22" t="s">
        <v>354</v>
      </c>
      <c r="E44" s="13">
        <v>42719.30908564815</v>
      </c>
      <c r="F44" s="13">
        <v>42719.312696759262</v>
      </c>
      <c r="G44" s="7">
        <v>1</v>
      </c>
      <c r="H44" s="22" t="s">
        <v>346</v>
      </c>
      <c r="I44" s="13">
        <v>42719.337523148148</v>
      </c>
      <c r="J44" s="7">
        <v>0</v>
      </c>
      <c r="K44" s="109" t="str">
        <f t="shared" si="0"/>
        <v>4009/4010</v>
      </c>
      <c r="L44" s="22" t="str">
        <f>VLOOKUP(A44,'Trips&amp;Operators'!$C$1:$G$99999,5,FALSE)</f>
        <v>SPECTOR MICHAEL</v>
      </c>
      <c r="M44" s="6">
        <f t="shared" si="1"/>
        <v>2.4826388886140194E-2</v>
      </c>
      <c r="N44" s="7">
        <f t="shared" si="19"/>
        <v>35.749999996041879</v>
      </c>
      <c r="O44" s="7"/>
      <c r="P44" s="7"/>
      <c r="Q44" s="23"/>
      <c r="R44" s="23"/>
      <c r="S44" s="35">
        <f t="shared" si="20"/>
        <v>1</v>
      </c>
      <c r="T44" s="50" t="str">
        <f t="shared" si="2"/>
        <v>NorthBound</v>
      </c>
      <c r="U44" s="171">
        <f>IF(AG44="EC",COUNTIFS(Variables!$M$2:$M$19,IF(T44="NorthBound","&gt;=","&lt;=")&amp;Y44,Variables!$M$2:$M$19,IF(T44="NorthBound","&lt;=","&gt;=")&amp;Z44),COUNTIFS(Variables!$P$2:$P$19,IF(T44="NorthBound","&gt;=","&lt;=")&amp;Y44,Variables!$P$2:$P$19,IF(T44="NorthBound","&lt;=","&gt;=")&amp;Z44))</f>
        <v>12</v>
      </c>
      <c r="V44" s="98" t="str">
        <f t="shared" si="3"/>
        <v>https://search-rtdc-monitor-bjffxe2xuh6vdkpspy63sjmuny.us-east-1.es.amazonaws.com/_plugin/kibana/#/discover/Steve-Slow-Train-Analysis-(2080s-and-2083s)?_g=(refreshInterval:(display:Off,section:0,value:0),time:(from:'2016-12-15 06:25:05-700',mode:absolute,to:'2016-12-15 09:06: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44" s="52" t="str">
        <f t="shared" si="4"/>
        <v>N</v>
      </c>
      <c r="X44" s="177">
        <f t="shared" si="21"/>
        <v>1</v>
      </c>
      <c r="Y44" s="67">
        <f t="shared" si="5"/>
        <v>4.9099999999999998E-2</v>
      </c>
      <c r="Z44" s="67">
        <f t="shared" si="6"/>
        <v>23.331800000000001</v>
      </c>
      <c r="AA44" s="67">
        <f t="shared" si="7"/>
        <v>23.282700000000002</v>
      </c>
      <c r="AB44" s="64" t="str">
        <f>VLOOKUP(A44,Enforcements!$C$7:$K$18,8,0)</f>
        <v>Speed (6)</v>
      </c>
      <c r="AC44" s="60" t="str">
        <f>VLOOKUP(A44,Enforcements!$C$7:$E$18,3,0)</f>
        <v>PERMANENT SPEED RESTRICTION</v>
      </c>
      <c r="AD44" s="61" t="str">
        <f t="shared" si="8"/>
        <v>0131-15</v>
      </c>
      <c r="AE44" s="91" t="str">
        <f t="shared" si="9"/>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44" s="88" t="str">
        <f t="shared" si="10"/>
        <v>"C:\Program Files (x86)\AstroGrep\AstroGrep.exe" /spath="%USERPROFILE%\AppData\Local\Temp\OnboardLogs" /stypes="app*4009*20161215*" /stext=" 15:.+((SYSTEM_STATE.+slice.+state.+changed )|(ment ac)|(multiple cpu faults)|(system.+state.+changed )|(\[timeout)|(PRM\|1\|D)|(kpr)|(kdp)|(\|lc)|(penalty))" /e /r /s</v>
      </c>
      <c r="AG44" s="1" t="str">
        <f t="shared" si="11"/>
        <v>EC</v>
      </c>
      <c r="AH44" s="92" t="str">
        <f t="shared" si="14"/>
        <v>"%USERPROFILE%\Documents\GitHub\eaglep3\Utilities\RefineRTDCRunTimes.py" --tripid 131-15 --locoid 4009 --swversion DE.1.0.8.0 --startMP 204:491 --initTime 2016-12-15T07:25:05 --startdatetime 2016-12-15T07:30:17 --delay 1 --endMP 204:233318 --enddatetime 2016-12-15T08:06:02 --enforcementcount 0 &gt;&gt;C:\Users\stu\Documents\GitHub\eaglep3-reporting\EC\2016-12-15-refined-times.txt</v>
      </c>
      <c r="AI44" s="119" t="str">
        <f t="shared" si="15"/>
        <v>echo {"issue":{"subject":"","project_id":79,"tracker_id":40,"status_id":1,"priority_id":2,"assigned_to_id":23,"start_date":"2016-12-15","description":"","custom_fields":[{"id":1,"name":"Subdivision","value":"EC"},{"id":4,"name":"Milepost","value":"23.3318"},{"id":17,"name":"Train ID","value":"131-15"},{"id":16,"name":"Locomotive ID","value":"4009"},{"id":130,"name":"Impact","value":""},{"id":150,"name":"Time of Event (Mountain Time)","value":"08:06:02"},{"id":151,"name":"Denver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631</v>
      </c>
      <c r="B45" s="7">
        <v>4010</v>
      </c>
      <c r="C45" s="22" t="s">
        <v>207</v>
      </c>
      <c r="D45" s="22" t="s">
        <v>803</v>
      </c>
      <c r="E45" s="13">
        <v>42719.343113425923</v>
      </c>
      <c r="F45" s="13">
        <v>42719.351620370369</v>
      </c>
      <c r="G45" s="7">
        <v>1</v>
      </c>
      <c r="H45" s="22" t="s">
        <v>212</v>
      </c>
      <c r="I45" s="13">
        <v>42719.380833333336</v>
      </c>
      <c r="J45" s="7">
        <v>0</v>
      </c>
      <c r="K45" s="109" t="str">
        <f t="shared" ref="K45:K76" si="22">IF(ISEVEN(B45),(B45-1)&amp;"/"&amp;B45,B45&amp;"/"&amp;(B45+1))</f>
        <v>4009/4010</v>
      </c>
      <c r="L45" s="22" t="str">
        <f>VLOOKUP(A45,'Trips&amp;Operators'!$C$1:$G$99999,5,FALSE)</f>
        <v>SPECTOR MICHAEL</v>
      </c>
      <c r="M45" s="6">
        <f t="shared" ref="M45:M76" si="23">I45-F45</f>
        <v>2.9212962966994382E-2</v>
      </c>
      <c r="N45" s="7">
        <f t="shared" si="19"/>
        <v>42.066666672471911</v>
      </c>
      <c r="O45" s="7"/>
      <c r="P45" s="7"/>
      <c r="Q45" s="23"/>
      <c r="R45" s="23"/>
      <c r="S45" s="35">
        <f t="shared" si="20"/>
        <v>1</v>
      </c>
      <c r="T45" s="50" t="str">
        <f t="shared" ref="T45:T76" si="24">IF(ISEVEN(LEFT(AD45,4)),"Southbound","NorthBound")</f>
        <v>Southbound</v>
      </c>
      <c r="U45" s="171">
        <f>IF(AG45="EC",COUNTIFS(Variables!$M$2:$M$19,IF(T45="NorthBound","&gt;=","&lt;=")&amp;Y45,Variables!$M$2:$M$19,IF(T45="NorthBound","&lt;=","&gt;=")&amp;Z45),COUNTIFS(Variables!$P$2:$P$19,IF(T45="NorthBound","&gt;=","&lt;=")&amp;Y45,Variables!$P$2:$P$19,IF(T45="NorthBound","&lt;=","&gt;=")&amp;Z45))</f>
        <v>12</v>
      </c>
      <c r="V45" s="98" t="str">
        <f t="shared" si="3"/>
        <v>https://search-rtdc-monitor-bjffxe2xuh6vdkpspy63sjmuny.us-east-1.es.amazonaws.com/_plugin/kibana/#/discover/Steve-Slow-Train-Analysis-(2080s-and-2083s)?_g=(refreshInterval:(display:Off,section:0,value:0),time:(from:'2016-12-15 07:14:05-700',mode:absolute,to:'2016-12-15 10:08:24-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45" s="52" t="str">
        <f t="shared" ref="W45:W76" si="25">IF(AA45&lt;IF(AG45="EC",23,5.65),"Y","N")</f>
        <v>N</v>
      </c>
      <c r="X45" s="177">
        <f t="shared" si="21"/>
        <v>1</v>
      </c>
      <c r="Y45" s="67">
        <f t="shared" ref="Y45:Y71" si="26">RIGHT(D45,LEN(D45)-4)/10000</f>
        <v>23.301500000000001</v>
      </c>
      <c r="Z45" s="67">
        <f t="shared" ref="Z45:Z71" si="27">RIGHT(H45,LEN(H45)-4)/10000</f>
        <v>1.4999999999999999E-2</v>
      </c>
      <c r="AA45" s="67">
        <f t="shared" ref="AA45:AA76" si="28">ABS(Z45-Y45)</f>
        <v>23.2865</v>
      </c>
      <c r="AB45" s="64" t="e">
        <f>VLOOKUP(A45,Enforcements!$C$7:$K$18,8,0)</f>
        <v>#N/A</v>
      </c>
      <c r="AC45" s="60" t="e">
        <f>VLOOKUP(A45,Enforcements!$C$7:$E$18,3,0)</f>
        <v>#N/A</v>
      </c>
      <c r="AD45" s="61" t="str">
        <f t="shared" ref="AD45:AD76" si="29">IF(LEN(A45)=6,"0"&amp;A45,A45)</f>
        <v>0132-15</v>
      </c>
      <c r="AE45" s="91" t="str">
        <f t="shared" si="9"/>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45" s="88" t="str">
        <f t="shared" si="10"/>
        <v>"C:\Program Files (x86)\AstroGrep\AstroGrep.exe" /spath="%USERPROFILE%\AppData\Local\Temp\OnboardLogs" /stypes="app*4010*20161215*" /stext=" 16:.+((SYSTEM_STATE.+slice.+state.+changed )|(ment ac)|(multiple cpu faults)|(system.+state.+changed )|(\[timeout)|(PRM\|1\|D)|(kpr)|(kdp)|(\|lc)|(penalty))" /e /r /s</v>
      </c>
      <c r="AG45" s="1" t="str">
        <f t="shared" ref="AG45:AG76" si="30">IFERROR(IF(VALUE(LEFT(AD45,2))&lt;=2,"EC",IF(OR(VALUE(LEFT(AD45,2))=8,VALUE(LEFT(AD45,2))=18),"NW","Other")),"Other")</f>
        <v>EC</v>
      </c>
      <c r="AH45" s="92" t="str">
        <f t="shared" si="14"/>
        <v>"%USERPROFILE%\Documents\GitHub\eaglep3\Utilities\RefineRTDCRunTimes.py" --tripid 132-15 --locoid 4010 --swversion DE.1.0.8.0 --startMP 204:233015 --initTime 2016-12-15T08:14:05 --startdatetime 2016-12-15T08:26:20 --delay 1 --endMP 204:150 --enddatetime 2016-12-15T09:08:24 --enforcementcount 0 &gt;&gt;C:\Users\stu\Documents\GitHub\eaglep3-reporting\EC\2016-12-15-refined-times.txt</v>
      </c>
      <c r="AI45" s="119" t="str">
        <f t="shared" si="15"/>
        <v>echo {"issue":{"subject":"","project_id":79,"tracker_id":40,"status_id":1,"priority_id":2,"assigned_to_id":23,"start_date":"2016-12-15","description":"","custom_fields":[{"id":1,"name":"Subdivision","value":"EC"},{"id":4,"name":"Milepost","value":"0.015"},{"id":17,"name":"Train ID","value":"132-15"},{"id":16,"name":"Locomotive ID","value":"4010"},{"id":130,"name":"Impact","value":""},{"id":150,"name":"Time of Event (Mountain Time)","value":"09:08:24"},{"id":151,"name":"Denver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626</v>
      </c>
      <c r="B46" s="7">
        <v>4031</v>
      </c>
      <c r="C46" s="22" t="s">
        <v>207</v>
      </c>
      <c r="D46" s="22" t="s">
        <v>351</v>
      </c>
      <c r="E46" s="13">
        <v>42719.319340277776</v>
      </c>
      <c r="F46" s="13">
        <v>42719.323125000003</v>
      </c>
      <c r="G46" s="7">
        <v>5</v>
      </c>
      <c r="H46" s="22" t="s">
        <v>804</v>
      </c>
      <c r="I46" s="13">
        <v>42719.347766203704</v>
      </c>
      <c r="J46" s="7">
        <v>0</v>
      </c>
      <c r="K46" s="109" t="str">
        <f t="shared" si="22"/>
        <v>4031/4032</v>
      </c>
      <c r="L46" s="22" t="str">
        <f>VLOOKUP(A46,'Trips&amp;Operators'!$C$1:$G$99999,5,FALSE)</f>
        <v>ROBINSON KADDIBA</v>
      </c>
      <c r="M46" s="6">
        <f t="shared" si="23"/>
        <v>2.4641203701321501E-2</v>
      </c>
      <c r="N46" s="7">
        <f t="shared" si="19"/>
        <v>35.483333329902962</v>
      </c>
      <c r="O46" s="7"/>
      <c r="P46" s="7"/>
      <c r="Q46" s="23"/>
      <c r="R46" s="23"/>
      <c r="S46" s="35">
        <f t="shared" si="20"/>
        <v>1</v>
      </c>
      <c r="T46" s="50" t="str">
        <f t="shared" si="24"/>
        <v>NorthBound</v>
      </c>
      <c r="U46" s="171">
        <f>IF(AG46="EC",COUNTIFS(Variables!$M$2:$M$19,IF(T46="NorthBound","&gt;=","&lt;=")&amp;Y46,Variables!$M$2:$M$19,IF(T46="NorthBound","&lt;=","&gt;=")&amp;Z46),COUNTIFS(Variables!$P$2:$P$19,IF(T46="NorthBound","&gt;=","&lt;=")&amp;Y46,Variables!$P$2:$P$19,IF(T46="NorthBound","&lt;=","&gt;=")&amp;Z46))</f>
        <v>12</v>
      </c>
      <c r="V46" s="98" t="str">
        <f t="shared" si="3"/>
        <v>https://search-rtdc-monitor-bjffxe2xuh6vdkpspy63sjmuny.us-east-1.es.amazonaws.com/_plugin/kibana/#/discover/Steve-Slow-Train-Analysis-(2080s-and-2083s)?_g=(refreshInterval:(display:Off,section:0,value:0),time:(from:'2016-12-15 06:39:51-700',mode:absolute,to:'2016-12-15 09:20:47-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46" s="52" t="str">
        <f t="shared" si="25"/>
        <v>N</v>
      </c>
      <c r="X46" s="177">
        <f t="shared" si="21"/>
        <v>1</v>
      </c>
      <c r="Y46" s="67">
        <f t="shared" si="26"/>
        <v>4.7699999999999999E-2</v>
      </c>
      <c r="Z46" s="67">
        <f t="shared" si="27"/>
        <v>23.333100000000002</v>
      </c>
      <c r="AA46" s="67">
        <f t="shared" si="28"/>
        <v>23.285400000000003</v>
      </c>
      <c r="AB46" s="64" t="e">
        <f>VLOOKUP(A46,Enforcements!$C$7:$K$18,8,0)</f>
        <v>#N/A</v>
      </c>
      <c r="AC46" s="60" t="e">
        <f>VLOOKUP(A46,Enforcements!$C$7:$E$18,3,0)</f>
        <v>#N/A</v>
      </c>
      <c r="AD46" s="61" t="str">
        <f t="shared" si="29"/>
        <v>0133-15</v>
      </c>
      <c r="AE46" s="91" t="str">
        <f t="shared" si="9"/>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46" s="88" t="str">
        <f t="shared" si="10"/>
        <v>"C:\Program Files (x86)\AstroGrep\AstroGrep.exe" /spath="%USERPROFILE%\AppData\Local\Temp\OnboardLogs" /stypes="app*4031*20161215*" /stext=" 15:.+((SYSTEM_STATE.+slice.+state.+changed )|(ment ac)|(multiple cpu faults)|(system.+state.+changed )|(\[timeout)|(PRM\|1\|D)|(kpr)|(kdp)|(\|lc)|(penalty))" /e /r /s</v>
      </c>
      <c r="AG46" s="1" t="str">
        <f t="shared" si="30"/>
        <v>EC</v>
      </c>
      <c r="AH46" s="92" t="str">
        <f t="shared" si="14"/>
        <v>"%USERPROFILE%\Documents\GitHub\eaglep3\Utilities\RefineRTDCRunTimes.py" --tripid 133-15 --locoid 4031 --swversion DE.1.0.8.0 --startMP 204:477 --initTime 2016-12-15T07:39:51 --startdatetime 2016-12-15T07:45:18 --delay 5 --endMP 204:233331 --enddatetime 2016-12-15T08:20:47 --enforcementcount 0 &gt;&gt;C:\Users\stu\Documents\GitHub\eaglep3-reporting\EC\2016-12-15-refined-times.txt</v>
      </c>
      <c r="AI46" s="119" t="str">
        <f t="shared" si="15"/>
        <v>echo {"issue":{"subject":"","project_id":79,"tracker_id":40,"status_id":1,"priority_id":2,"assigned_to_id":23,"start_date":"2016-12-15","description":"","custom_fields":[{"id":1,"name":"Subdivision","value":"EC"},{"id":4,"name":"Milepost","value":"23.3331"},{"id":17,"name":"Train ID","value":"133-15"},{"id":16,"name":"Locomotive ID","value":"4031"},{"id":130,"name":"Impact","value":""},{"id":150,"name":"Time of Event (Mountain Time)","value":"08:20:47"},{"id":151,"name":"Denver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634</v>
      </c>
      <c r="B47" s="7">
        <v>4032</v>
      </c>
      <c r="C47" s="22" t="s">
        <v>207</v>
      </c>
      <c r="D47" s="22" t="s">
        <v>805</v>
      </c>
      <c r="E47" s="13">
        <v>42719.35769675926</v>
      </c>
      <c r="F47" s="13">
        <v>42719.361979166664</v>
      </c>
      <c r="G47" s="7">
        <v>1</v>
      </c>
      <c r="H47" s="22" t="s">
        <v>280</v>
      </c>
      <c r="I47" s="13">
        <v>42719.390428240738</v>
      </c>
      <c r="J47" s="7">
        <v>0</v>
      </c>
      <c r="K47" s="109" t="str">
        <f t="shared" si="22"/>
        <v>4031/4032</v>
      </c>
      <c r="L47" s="22" t="str">
        <f>VLOOKUP(A47,'Trips&amp;Operators'!$C$1:$G$99999,5,FALSE)</f>
        <v>ROBINSON KADDIBA</v>
      </c>
      <c r="M47" s="6">
        <f t="shared" si="23"/>
        <v>2.8449074074160308E-2</v>
      </c>
      <c r="N47" s="7">
        <f t="shared" si="19"/>
        <v>40.966666666790843</v>
      </c>
      <c r="O47" s="7"/>
      <c r="P47" s="7"/>
      <c r="Q47" s="23"/>
      <c r="R47" s="23"/>
      <c r="S47" s="35">
        <f t="shared" si="20"/>
        <v>1</v>
      </c>
      <c r="T47" s="50" t="str">
        <f t="shared" si="24"/>
        <v>Southbound</v>
      </c>
      <c r="U47" s="171">
        <f>IF(AG47="EC",COUNTIFS(Variables!$M$2:$M$19,IF(T47="NorthBound","&gt;=","&lt;=")&amp;Y47,Variables!$M$2:$M$19,IF(T47="NorthBound","&lt;=","&gt;=")&amp;Z47),COUNTIFS(Variables!$P$2:$P$19,IF(T47="NorthBound","&gt;=","&lt;=")&amp;Y47,Variables!$P$2:$P$19,IF(T47="NorthBound","&lt;=","&gt;=")&amp;Z47))</f>
        <v>12</v>
      </c>
      <c r="V47" s="98" t="str">
        <f t="shared" si="3"/>
        <v>https://search-rtdc-monitor-bjffxe2xuh6vdkpspy63sjmuny.us-east-1.es.amazonaws.com/_plugin/kibana/#/discover/Steve-Slow-Train-Analysis-(2080s-and-2083s)?_g=(refreshInterval:(display:Off,section:0,value:0),time:(from:'2016-12-15 07:35:05-700',mode:absolute,to:'2016-12-15 10:22:13-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47" s="52" t="str">
        <f t="shared" si="25"/>
        <v>N</v>
      </c>
      <c r="X47" s="177">
        <f t="shared" si="21"/>
        <v>1</v>
      </c>
      <c r="Y47" s="67">
        <f t="shared" si="26"/>
        <v>23.3049</v>
      </c>
      <c r="Z47" s="67">
        <f t="shared" si="27"/>
        <v>1.47E-2</v>
      </c>
      <c r="AA47" s="67">
        <f t="shared" si="28"/>
        <v>23.290199999999999</v>
      </c>
      <c r="AB47" s="64" t="e">
        <f>VLOOKUP(A47,Enforcements!$C$7:$K$18,8,0)</f>
        <v>#N/A</v>
      </c>
      <c r="AC47" s="60" t="e">
        <f>VLOOKUP(A47,Enforcements!$C$7:$E$18,3,0)</f>
        <v>#N/A</v>
      </c>
      <c r="AD47" s="61" t="str">
        <f t="shared" si="29"/>
        <v>0134-15</v>
      </c>
      <c r="AE47" s="91" t="str">
        <f t="shared" si="9"/>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47" s="88" t="str">
        <f t="shared" si="10"/>
        <v>"C:\Program Files (x86)\AstroGrep\AstroGrep.exe" /spath="%USERPROFILE%\AppData\Local\Temp\OnboardLogs" /stypes="app*4032*20161215*" /stext=" 16:.+((SYSTEM_STATE.+slice.+state.+changed )|(ment ac)|(multiple cpu faults)|(system.+state.+changed )|(\[timeout)|(PRM\|1\|D)|(kpr)|(kdp)|(\|lc)|(penalty))" /e /r /s</v>
      </c>
      <c r="AG47" s="1" t="str">
        <f t="shared" si="30"/>
        <v>EC</v>
      </c>
      <c r="AH47" s="92" t="str">
        <f t="shared" si="14"/>
        <v>"%USERPROFILE%\Documents\GitHub\eaglep3\Utilities\RefineRTDCRunTimes.py" --tripid 134-15 --locoid 4032 --swversion DE.1.0.8.0 --startMP 204:233049 --initTime 2016-12-15T08:35:05 --startdatetime 2016-12-15T08:41:15 --delay 1 --endMP 204:147 --enddatetime 2016-12-15T09:22:13 --enforcementcount 0 &gt;&gt;C:\Users\stu\Documents\GitHub\eaglep3-reporting\EC\2016-12-15-refined-times.txt</v>
      </c>
      <c r="AI47" s="119" t="str">
        <f t="shared" si="15"/>
        <v>echo {"issue":{"subject":"","project_id":79,"tracker_id":40,"status_id":1,"priority_id":2,"assigned_to_id":23,"start_date":"2016-12-15","description":"","custom_fields":[{"id":1,"name":"Subdivision","value":"EC"},{"id":4,"name":"Milepost","value":"0.0147"},{"id":17,"name":"Train ID","value":"134-15"},{"id":16,"name":"Locomotive ID","value":"4032"},{"id":130,"name":"Impact","value":""},{"id":150,"name":"Time of Event (Mountain Time)","value":"09:22:13"},{"id":151,"name":"Denver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629</v>
      </c>
      <c r="B48" s="7">
        <v>4029</v>
      </c>
      <c r="C48" s="22" t="s">
        <v>207</v>
      </c>
      <c r="D48" s="22" t="s">
        <v>231</v>
      </c>
      <c r="E48" s="13">
        <v>42719.329791666663</v>
      </c>
      <c r="F48" s="13">
        <v>42719.333611111113</v>
      </c>
      <c r="G48" s="7">
        <v>1</v>
      </c>
      <c r="H48" s="22" t="s">
        <v>806</v>
      </c>
      <c r="I48" s="13">
        <v>42719.359710648147</v>
      </c>
      <c r="J48" s="7">
        <v>0</v>
      </c>
      <c r="K48" s="109" t="str">
        <f t="shared" si="22"/>
        <v>4029/4030</v>
      </c>
      <c r="L48" s="22" t="str">
        <f>VLOOKUP(A48,'Trips&amp;Operators'!$C$1:$G$99999,5,FALSE)</f>
        <v>STRICKLAND EVAN</v>
      </c>
      <c r="M48" s="6">
        <f t="shared" si="23"/>
        <v>2.6099537033587694E-2</v>
      </c>
      <c r="N48" s="7">
        <f t="shared" si="19"/>
        <v>37.58333332836628</v>
      </c>
      <c r="O48" s="7"/>
      <c r="P48" s="7"/>
      <c r="Q48" s="23"/>
      <c r="R48" s="23"/>
      <c r="S48" s="35">
        <f t="shared" si="20"/>
        <v>1</v>
      </c>
      <c r="T48" s="50" t="str">
        <f t="shared" si="24"/>
        <v>NorthBound</v>
      </c>
      <c r="U48" s="171">
        <f>IF(AG48="EC",COUNTIFS(Variables!$M$2:$M$19,IF(T48="NorthBound","&gt;=","&lt;=")&amp;Y48,Variables!$M$2:$M$19,IF(T48="NorthBound","&lt;=","&gt;=")&amp;Z48),COUNTIFS(Variables!$P$2:$P$19,IF(T48="NorthBound","&gt;=","&lt;=")&amp;Y48,Variables!$P$2:$P$19,IF(T48="NorthBound","&lt;=","&gt;=")&amp;Z48))</f>
        <v>12</v>
      </c>
      <c r="V48" s="98" t="str">
        <f t="shared" si="3"/>
        <v>https://search-rtdc-monitor-bjffxe2xuh6vdkpspy63sjmuny.us-east-1.es.amazonaws.com/_plugin/kibana/#/discover/Steve-Slow-Train-Analysis-(2080s-and-2083s)?_g=(refreshInterval:(display:Off,section:0,value:0),time:(from:'2016-12-15 06:54:54-700',mode:absolute,to:'2016-12-15 09:37: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48" s="52" t="str">
        <f t="shared" si="25"/>
        <v>N</v>
      </c>
      <c r="X48" s="177">
        <f t="shared" si="21"/>
        <v>1</v>
      </c>
      <c r="Y48" s="67">
        <f t="shared" si="26"/>
        <v>4.5499999999999999E-2</v>
      </c>
      <c r="Z48" s="67">
        <f t="shared" si="27"/>
        <v>23.334099999999999</v>
      </c>
      <c r="AA48" s="67">
        <f t="shared" si="28"/>
        <v>23.288599999999999</v>
      </c>
      <c r="AB48" s="64" t="e">
        <f>VLOOKUP(A48,Enforcements!$C$7:$K$18,8,0)</f>
        <v>#N/A</v>
      </c>
      <c r="AC48" s="60" t="e">
        <f>VLOOKUP(A48,Enforcements!$C$7:$E$18,3,0)</f>
        <v>#N/A</v>
      </c>
      <c r="AD48" s="61" t="str">
        <f t="shared" si="29"/>
        <v>0135-15</v>
      </c>
      <c r="AE48" s="91" t="str">
        <f t="shared" si="9"/>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48" s="88" t="str">
        <f t="shared" si="10"/>
        <v>"C:\Program Files (x86)\AstroGrep\AstroGrep.exe" /spath="%USERPROFILE%\AppData\Local\Temp\OnboardLogs" /stypes="app*4029*20161215*" /stext=" 15:.+((SYSTEM_STATE.+slice.+state.+changed )|(ment ac)|(multiple cpu faults)|(system.+state.+changed )|(\[timeout)|(PRM\|1\|D)|(kpr)|(kdp)|(\|lc)|(penalty))" /e /r /s</v>
      </c>
      <c r="AG48" s="1" t="str">
        <f t="shared" si="30"/>
        <v>EC</v>
      </c>
      <c r="AH48" s="92" t="str">
        <f t="shared" si="14"/>
        <v>"%USERPROFILE%\Documents\GitHub\eaglep3\Utilities\RefineRTDCRunTimes.py" --tripid 135-15 --locoid 4029 --swversion DE.1.0.8.0 --startMP 204:455 --initTime 2016-12-15T07:54:54 --startdatetime 2016-12-15T08:00:24 --delay 1 --endMP 204:233341 --enddatetime 2016-12-15T08:37:59 --enforcementcount 0 &gt;&gt;C:\Users\stu\Documents\GitHub\eaglep3-reporting\EC\2016-12-15-refined-times.txt</v>
      </c>
      <c r="AI48" s="119" t="str">
        <f t="shared" si="15"/>
        <v>echo {"issue":{"subject":"","project_id":79,"tracker_id":40,"status_id":1,"priority_id":2,"assigned_to_id":23,"start_date":"2016-12-15","description":"","custom_fields":[{"id":1,"name":"Subdivision","value":"EC"},{"id":4,"name":"Milepost","value":"23.3341"},{"id":17,"name":"Train ID","value":"135-15"},{"id":16,"name":"Locomotive ID","value":"4029"},{"id":130,"name":"Impact","value":""},{"id":150,"name":"Time of Event (Mountain Time)","value":"08:37:59"},{"id":151,"name":"Denver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7" t="s">
        <v>637</v>
      </c>
      <c r="B49" s="7">
        <v>4030</v>
      </c>
      <c r="C49" s="22" t="s">
        <v>207</v>
      </c>
      <c r="D49" s="22" t="s">
        <v>796</v>
      </c>
      <c r="E49" s="13">
        <v>42719.365983796299</v>
      </c>
      <c r="F49" s="13">
        <v>42719.372499999998</v>
      </c>
      <c r="G49" s="7">
        <v>1</v>
      </c>
      <c r="H49" s="22" t="s">
        <v>352</v>
      </c>
      <c r="I49" s="13">
        <v>42719.401377314818</v>
      </c>
      <c r="J49" s="7">
        <v>0</v>
      </c>
      <c r="K49" s="109" t="str">
        <f t="shared" si="22"/>
        <v>4029/4030</v>
      </c>
      <c r="L49" s="22" t="str">
        <f>VLOOKUP(A49,'Trips&amp;Operators'!$C$1:$G$99999,5,FALSE)</f>
        <v>STRICKLAND EVAN</v>
      </c>
      <c r="M49" s="6">
        <f t="shared" si="23"/>
        <v>2.8877314820419997E-2</v>
      </c>
      <c r="N49" s="7">
        <f t="shared" si="19"/>
        <v>41.583333341404796</v>
      </c>
      <c r="O49" s="7"/>
      <c r="P49" s="7"/>
      <c r="Q49" s="23"/>
      <c r="R49" s="23"/>
      <c r="S49" s="35">
        <f t="shared" si="20"/>
        <v>1</v>
      </c>
      <c r="T49" s="50" t="str">
        <f t="shared" si="24"/>
        <v>Southbound</v>
      </c>
      <c r="U49" s="171">
        <f>IF(AG49="EC",COUNTIFS(Variables!$M$2:$M$19,IF(T49="NorthBound","&gt;=","&lt;=")&amp;Y49,Variables!$M$2:$M$19,IF(T49="NorthBound","&lt;=","&gt;=")&amp;Z49),COUNTIFS(Variables!$P$2:$P$19,IF(T49="NorthBound","&gt;=","&lt;=")&amp;Y49,Variables!$P$2:$P$19,IF(T49="NorthBound","&lt;=","&gt;=")&amp;Z49))</f>
        <v>12</v>
      </c>
      <c r="V49" s="98" t="str">
        <f t="shared" si="3"/>
        <v>https://search-rtdc-monitor-bjffxe2xuh6vdkpspy63sjmuny.us-east-1.es.amazonaws.com/_plugin/kibana/#/discover/Steve-Slow-Train-Analysis-(2080s-and-2083s)?_g=(refreshInterval:(display:Off,section:0,value:0),time:(from:'2016-12-15 07:47:01-700',mode:absolute,to:'2016-12-15 10:37: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49" s="52" t="str">
        <f t="shared" si="25"/>
        <v>N</v>
      </c>
      <c r="X49" s="177">
        <f t="shared" si="21"/>
        <v>1</v>
      </c>
      <c r="Y49" s="67">
        <f t="shared" si="26"/>
        <v>23.300899999999999</v>
      </c>
      <c r="Z49" s="67">
        <f t="shared" si="27"/>
        <v>1.3599999999999999E-2</v>
      </c>
      <c r="AA49" s="67">
        <f t="shared" si="28"/>
        <v>23.287299999999998</v>
      </c>
      <c r="AB49" s="64" t="e">
        <f>VLOOKUP(A49,Enforcements!$C$7:$K$18,8,0)</f>
        <v>#N/A</v>
      </c>
      <c r="AC49" s="60" t="e">
        <f>VLOOKUP(A49,Enforcements!$C$7:$E$18,3,0)</f>
        <v>#N/A</v>
      </c>
      <c r="AD49" s="61" t="str">
        <f t="shared" si="29"/>
        <v>0136-15</v>
      </c>
      <c r="AE49" s="91" t="str">
        <f t="shared" si="9"/>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49" s="88" t="str">
        <f t="shared" si="10"/>
        <v>"C:\Program Files (x86)\AstroGrep\AstroGrep.exe" /spath="%USERPROFILE%\AppData\Local\Temp\OnboardLogs" /stypes="app*4030*20161215*" /stext=" 16:.+((SYSTEM_STATE.+slice.+state.+changed )|(ment ac)|(multiple cpu faults)|(system.+state.+changed )|(\[timeout)|(PRM\|1\|D)|(kpr)|(kdp)|(\|lc)|(penalty))" /e /r /s</v>
      </c>
      <c r="AG49" s="1" t="str">
        <f t="shared" si="30"/>
        <v>EC</v>
      </c>
      <c r="AH49" s="92" t="str">
        <f t="shared" si="14"/>
        <v>"%USERPROFILE%\Documents\GitHub\eaglep3\Utilities\RefineRTDCRunTimes.py" --tripid 136-15 --locoid 4030 --swversion DE.1.0.8.0 --startMP 204:233009 --initTime 2016-12-15T08:47:01 --startdatetime 2016-12-15T08:56:24 --delay 1 --endMP 204:136 --enddatetime 2016-12-15T09:37:59 --enforcementcount 0 &gt;&gt;C:\Users\stu\Documents\GitHub\eaglep3-reporting\EC\2016-12-15-refined-times.txt</v>
      </c>
      <c r="AI49" s="119" t="str">
        <f t="shared" si="15"/>
        <v>echo {"issue":{"subject":"","project_id":79,"tracker_id":40,"status_id":1,"priority_id":2,"assigned_to_id":23,"start_date":"2016-12-15","description":"","custom_fields":[{"id":1,"name":"Subdivision","value":"EC"},{"id":4,"name":"Milepost","value":"0.0136"},{"id":17,"name":"Train ID","value":"136-15"},{"id":16,"name":"Locomotive ID","value":"4030"},{"id":130,"name":"Impact","value":""},{"id":150,"name":"Time of Event (Mountain Time)","value":"09:37:59"},{"id":151,"name":"Denver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561</v>
      </c>
      <c r="B50" s="7">
        <v>4020</v>
      </c>
      <c r="C50" s="22" t="s">
        <v>207</v>
      </c>
      <c r="D50" s="22" t="s">
        <v>234</v>
      </c>
      <c r="E50" s="13">
        <v>42719.342534722222</v>
      </c>
      <c r="F50" s="13">
        <v>42719.344953703701</v>
      </c>
      <c r="G50" s="7">
        <v>2</v>
      </c>
      <c r="H50" s="22" t="s">
        <v>400</v>
      </c>
      <c r="I50" s="13">
        <v>42719.37060185185</v>
      </c>
      <c r="J50" s="7">
        <v>0</v>
      </c>
      <c r="K50" s="109" t="str">
        <f t="shared" si="22"/>
        <v>4019/4020</v>
      </c>
      <c r="L50" s="22" t="str">
        <f>VLOOKUP(A50,'Trips&amp;Operators'!$C$1:$G$99999,5,FALSE)</f>
        <v>SIMONEAUX TERA</v>
      </c>
      <c r="M50" s="6">
        <f t="shared" si="23"/>
        <v>2.5648148148320615E-2</v>
      </c>
      <c r="N50" s="7">
        <f t="shared" ref="N50:N81" si="31">24*60*SUM($M50:$M50)</f>
        <v>36.933333333581686</v>
      </c>
      <c r="O50" s="7"/>
      <c r="P50" s="7"/>
      <c r="Q50" s="23"/>
      <c r="R50" s="23"/>
      <c r="S50" s="35">
        <f t="shared" ref="S50:S81" si="32">SUM(U50:U50)/IF(AG50="EC",12,1)</f>
        <v>1</v>
      </c>
      <c r="T50" s="50" t="str">
        <f t="shared" si="24"/>
        <v>NorthBound</v>
      </c>
      <c r="U50" s="171">
        <f>IF(AG50="EC",COUNTIFS(Variables!$M$2:$M$19,IF(T50="NorthBound","&gt;=","&lt;=")&amp;Y50,Variables!$M$2:$M$19,IF(T50="NorthBound","&lt;=","&gt;=")&amp;Z50),COUNTIFS(Variables!$P$2:$P$19,IF(T50="NorthBound","&gt;=","&lt;=")&amp;Y50,Variables!$P$2:$P$19,IF(T50="NorthBound","&lt;=","&gt;=")&amp;Z50))</f>
        <v>12</v>
      </c>
      <c r="V50" s="98" t="str">
        <f t="shared" si="3"/>
        <v>https://search-rtdc-monitor-bjffxe2xuh6vdkpspy63sjmuny.us-east-1.es.amazonaws.com/_plugin/kibana/#/discover/Steve-Slow-Train-Analysis-(2080s-and-2083s)?_g=(refreshInterval:(display:Off,section:0,value:0),time:(from:'2016-12-15 07:13:15-700',mode:absolute,to:'2016-12-15 09:53: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50" s="52" t="str">
        <f t="shared" si="25"/>
        <v>N</v>
      </c>
      <c r="X50" s="177">
        <f t="shared" si="21"/>
        <v>1</v>
      </c>
      <c r="Y50" s="67">
        <f t="shared" si="26"/>
        <v>4.5999999999999999E-2</v>
      </c>
      <c r="Z50" s="67">
        <f t="shared" si="27"/>
        <v>23.33</v>
      </c>
      <c r="AA50" s="67">
        <f t="shared" si="28"/>
        <v>23.283999999999999</v>
      </c>
      <c r="AB50" s="64" t="str">
        <f>VLOOKUP(A50,Enforcements!$C$7:$K$18,8,0)</f>
        <v>Speed (6)</v>
      </c>
      <c r="AC50" s="60" t="str">
        <f>VLOOKUP(A50,Enforcements!$C$7:$E$18,3,0)</f>
        <v>PERMANENT SPEED RESTRICTION</v>
      </c>
      <c r="AD50" s="61" t="str">
        <f t="shared" si="29"/>
        <v>0137-15</v>
      </c>
      <c r="AE50" s="91" t="str">
        <f t="shared" si="9"/>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AF50" s="88" t="str">
        <f t="shared" si="10"/>
        <v>"C:\Program Files (x86)\AstroGrep\AstroGrep.exe" /spath="%USERPROFILE%\AppData\Local\Temp\OnboardLogs" /stypes="app*4020*20161215*" /stext=" 15:.+((SYSTEM_STATE.+slice.+state.+changed )|(ment ac)|(multiple cpu faults)|(system.+state.+changed )|(\[timeout)|(PRM\|1\|D)|(kpr)|(kdp)|(\|lc)|(penalty))" /e /r /s</v>
      </c>
      <c r="AG50" s="1" t="str">
        <f t="shared" si="30"/>
        <v>EC</v>
      </c>
      <c r="AH50" s="92" t="str">
        <f t="shared" si="14"/>
        <v>"%USERPROFILE%\Documents\GitHub\eaglep3\Utilities\RefineRTDCRunTimes.py" --tripid 137-15 --locoid 4020 --swversion DE.1.0.8.0 --startMP 204:460 --initTime 2016-12-15T08:13:15 --startdatetime 2016-12-15T08:16:44 --delay 2 --endMP 204:233300 --enddatetime 2016-12-15T08:53:40 --enforcementcount 0 &gt;&gt;C:\Users\stu\Documents\GitHub\eaglep3-reporting\EC\2016-12-15-refined-times.txt</v>
      </c>
      <c r="AI50" s="119" t="str">
        <f t="shared" si="15"/>
        <v>echo {"issue":{"subject":"","project_id":79,"tracker_id":40,"status_id":1,"priority_id":2,"assigned_to_id":23,"start_date":"2016-12-15","description":"","custom_fields":[{"id":1,"name":"Subdivision","value":"EC"},{"id":4,"name":"Milepost","value":"23.33"},{"id":17,"name":"Train ID","value":"137-15"},{"id":16,"name":"Locomotive ID","value":"4020"},{"id":130,"name":"Impact","value":""},{"id":150,"name":"Time of Event (Mountain Time)","value":"08:53:40"},{"id":151,"name":"Denver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640</v>
      </c>
      <c r="B51" s="7">
        <v>4019</v>
      </c>
      <c r="C51" s="22" t="s">
        <v>207</v>
      </c>
      <c r="D51" s="22" t="s">
        <v>285</v>
      </c>
      <c r="E51" s="13">
        <v>42719.375567129631</v>
      </c>
      <c r="F51" s="13">
        <v>42719.382974537039</v>
      </c>
      <c r="G51" s="7">
        <v>1</v>
      </c>
      <c r="H51" s="22" t="s">
        <v>193</v>
      </c>
      <c r="I51" s="13">
        <v>42719.410590277781</v>
      </c>
      <c r="J51" s="7">
        <v>0</v>
      </c>
      <c r="K51" s="109" t="str">
        <f t="shared" si="22"/>
        <v>4019/4020</v>
      </c>
      <c r="L51" s="22" t="str">
        <f>VLOOKUP(A51,'Trips&amp;Operators'!$C$1:$G$99999,5,FALSE)</f>
        <v>SIMONEAUX TERA</v>
      </c>
      <c r="M51" s="6">
        <f t="shared" si="23"/>
        <v>2.7615740742476191E-2</v>
      </c>
      <c r="N51" s="7">
        <f t="shared" si="31"/>
        <v>39.766666669165716</v>
      </c>
      <c r="O51" s="7"/>
      <c r="P51" s="7"/>
      <c r="Q51" s="23"/>
      <c r="R51" s="23"/>
      <c r="S51" s="35">
        <f t="shared" si="32"/>
        <v>1</v>
      </c>
      <c r="T51" s="50" t="str">
        <f t="shared" si="24"/>
        <v>Southbound</v>
      </c>
      <c r="U51" s="171">
        <f>IF(AG51="EC",COUNTIFS(Variables!$M$2:$M$19,IF(T51="NorthBound","&gt;=","&lt;=")&amp;Y51,Variables!$M$2:$M$19,IF(T51="NorthBound","&lt;=","&gt;=")&amp;Z51),COUNTIFS(Variables!$P$2:$P$19,IF(T51="NorthBound","&gt;=","&lt;=")&amp;Y51,Variables!$P$2:$P$19,IF(T51="NorthBound","&lt;=","&gt;=")&amp;Z51))</f>
        <v>12</v>
      </c>
      <c r="V51" s="98" t="str">
        <f t="shared" si="3"/>
        <v>https://search-rtdc-monitor-bjffxe2xuh6vdkpspy63sjmuny.us-east-1.es.amazonaws.com/_plugin/kibana/#/discover/Steve-Slow-Train-Analysis-(2080s-and-2083s)?_g=(refreshInterval:(display:Off,section:0,value:0),time:(from:'2016-12-15 08:00:49-700',mode:absolute,to:'2016-12-15 10:51:15-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51" s="52" t="str">
        <f t="shared" si="25"/>
        <v>N</v>
      </c>
      <c r="X51" s="177">
        <f t="shared" si="21"/>
        <v>1</v>
      </c>
      <c r="Y51" s="67">
        <f t="shared" si="26"/>
        <v>23.2989</v>
      </c>
      <c r="Z51" s="67">
        <f t="shared" si="27"/>
        <v>1.43E-2</v>
      </c>
      <c r="AA51" s="67">
        <f t="shared" si="28"/>
        <v>23.284600000000001</v>
      </c>
      <c r="AB51" s="64" t="e">
        <f>VLOOKUP(A51,Enforcements!$C$7:$K$18,8,0)</f>
        <v>#N/A</v>
      </c>
      <c r="AC51" s="60" t="e">
        <f>VLOOKUP(A51,Enforcements!$C$7:$E$18,3,0)</f>
        <v>#N/A</v>
      </c>
      <c r="AD51" s="61" t="str">
        <f t="shared" si="29"/>
        <v>0138-15</v>
      </c>
      <c r="AE51" s="91" t="str">
        <f t="shared" si="9"/>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51" s="88" t="str">
        <f t="shared" si="10"/>
        <v>"C:\Program Files (x86)\AstroGrep\AstroGrep.exe" /spath="%USERPROFILE%\AppData\Local\Temp\OnboardLogs" /stypes="app*4019*20161215*" /stext=" 16:.+((SYSTEM_STATE.+slice.+state.+changed )|(ment ac)|(multiple cpu faults)|(system.+state.+changed )|(\[timeout)|(PRM\|1\|D)|(kpr)|(kdp)|(\|lc)|(penalty))" /e /r /s</v>
      </c>
      <c r="AG51" s="1" t="str">
        <f t="shared" si="30"/>
        <v>EC</v>
      </c>
      <c r="AH51" s="92" t="str">
        <f t="shared" si="14"/>
        <v>"%USERPROFILE%\Documents\GitHub\eaglep3\Utilities\RefineRTDCRunTimes.py" --tripid 138-15 --locoid 4019 --swversion DE.1.0.8.0 --startMP 204:232989 --initTime 2016-12-15T09:00:49 --startdatetime 2016-12-15T09:11:29 --delay 1 --endMP 204:143 --enddatetime 2016-12-15T09:51:15 --enforcementcount 0 &gt;&gt;C:\Users\stu\Documents\GitHub\eaglep3-reporting\EC\2016-12-15-refined-times.txt</v>
      </c>
      <c r="AI51" s="119" t="str">
        <f t="shared" si="15"/>
        <v>echo {"issue":{"subject":"","project_id":79,"tracker_id":40,"status_id":1,"priority_id":2,"assigned_to_id":23,"start_date":"2016-12-15","description":"","custom_fields":[{"id":1,"name":"Subdivision","value":"EC"},{"id":4,"name":"Milepost","value":"0.0143"},{"id":17,"name":"Train ID","value":"138-15"},{"id":16,"name":"Locomotive ID","value":"4019"},{"id":130,"name":"Impact","value":""},{"id":150,"name":"Time of Event (Mountain Time)","value":"09:51:15"},{"id":151,"name":"Denver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632</v>
      </c>
      <c r="B52" s="7">
        <v>4011</v>
      </c>
      <c r="C52" s="22" t="s">
        <v>207</v>
      </c>
      <c r="D52" s="22" t="s">
        <v>262</v>
      </c>
      <c r="E52" s="13">
        <v>42719.35125</v>
      </c>
      <c r="F52" s="13">
        <v>42719.354942129627</v>
      </c>
      <c r="G52" s="7">
        <v>2</v>
      </c>
      <c r="H52" s="22" t="s">
        <v>308</v>
      </c>
      <c r="I52" s="13">
        <v>42719.380590277775</v>
      </c>
      <c r="J52" s="7">
        <v>0</v>
      </c>
      <c r="K52" s="109" t="str">
        <f t="shared" si="22"/>
        <v>4011/4012</v>
      </c>
      <c r="L52" s="22" t="str">
        <f>VLOOKUP(A52,'Trips&amp;Operators'!$C$1:$G$99999,5,FALSE)</f>
        <v>STARKS ANGELINA</v>
      </c>
      <c r="M52" s="6">
        <f t="shared" si="23"/>
        <v>2.5648148148320615E-2</v>
      </c>
      <c r="N52" s="7">
        <f t="shared" si="31"/>
        <v>36.933333333581686</v>
      </c>
      <c r="O52" s="7"/>
      <c r="P52" s="7"/>
      <c r="Q52" s="23"/>
      <c r="R52" s="23"/>
      <c r="S52" s="35">
        <f t="shared" si="32"/>
        <v>1</v>
      </c>
      <c r="T52" s="50" t="str">
        <f t="shared" si="24"/>
        <v>NorthBound</v>
      </c>
      <c r="U52" s="171">
        <f>IF(AG52="EC",COUNTIFS(Variables!$M$2:$M$19,IF(T52="NorthBound","&gt;=","&lt;=")&amp;Y52,Variables!$M$2:$M$19,IF(T52="NorthBound","&lt;=","&gt;=")&amp;Z52),COUNTIFS(Variables!$P$2:$P$19,IF(T52="NorthBound","&gt;=","&lt;=")&amp;Y52,Variables!$P$2:$P$19,IF(T52="NorthBound","&lt;=","&gt;=")&amp;Z52))</f>
        <v>12</v>
      </c>
      <c r="V52" s="98" t="str">
        <f t="shared" si="3"/>
        <v>https://search-rtdc-monitor-bjffxe2xuh6vdkpspy63sjmuny.us-east-1.es.amazonaws.com/_plugin/kibana/#/discover/Steve-Slow-Train-Analysis-(2080s-and-2083s)?_g=(refreshInterval:(display:Off,section:0,value:0),time:(from:'2016-12-15 07:25:48-700',mode:absolute,to:'2016-12-15 10:08:03-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52" s="52" t="str">
        <f t="shared" si="25"/>
        <v>N</v>
      </c>
      <c r="X52" s="177">
        <f t="shared" si="21"/>
        <v>1</v>
      </c>
      <c r="Y52" s="67">
        <f t="shared" si="26"/>
        <v>4.4600000000000001E-2</v>
      </c>
      <c r="Z52" s="67">
        <f t="shared" si="27"/>
        <v>23.329699999999999</v>
      </c>
      <c r="AA52" s="67">
        <f t="shared" si="28"/>
        <v>23.2851</v>
      </c>
      <c r="AB52" s="64" t="e">
        <f>VLOOKUP(A52,Enforcements!$C$7:$K$18,8,0)</f>
        <v>#N/A</v>
      </c>
      <c r="AC52" s="60" t="e">
        <f>VLOOKUP(A52,Enforcements!$C$7:$E$18,3,0)</f>
        <v>#N/A</v>
      </c>
      <c r="AD52" s="61" t="str">
        <f t="shared" si="29"/>
        <v>0139-15</v>
      </c>
      <c r="AE52" s="91" t="str">
        <f t="shared" si="9"/>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52" s="88" t="str">
        <f t="shared" si="10"/>
        <v>"C:\Program Files (x86)\AstroGrep\AstroGrep.exe" /spath="%USERPROFILE%\AppData\Local\Temp\OnboardLogs" /stypes="app*4011*20161215*" /stext=" 16:.+((SYSTEM_STATE.+slice.+state.+changed )|(ment ac)|(multiple cpu faults)|(system.+state.+changed )|(\[timeout)|(PRM\|1\|D)|(kpr)|(kdp)|(\|lc)|(penalty))" /e /r /s</v>
      </c>
      <c r="AG52" s="1" t="str">
        <f t="shared" si="30"/>
        <v>EC</v>
      </c>
      <c r="AH52" s="92" t="str">
        <f t="shared" si="14"/>
        <v>"%USERPROFILE%\Documents\GitHub\eaglep3\Utilities\RefineRTDCRunTimes.py" --tripid 139-15 --locoid 4011 --swversion DE.1.0.8.0 --startMP 204:446 --initTime 2016-12-15T08:25:48 --startdatetime 2016-12-15T08:31:07 --delay 2 --endMP 204:233297 --enddatetime 2016-12-15T09:08:03 --enforcementcount 0 &gt;&gt;C:\Users\stu\Documents\GitHub\eaglep3-reporting\EC\2016-12-15-refined-times.txt</v>
      </c>
      <c r="AI52" s="119" t="str">
        <f t="shared" si="15"/>
        <v>echo {"issue":{"subject":"","project_id":79,"tracker_id":40,"status_id":1,"priority_id":2,"assigned_to_id":23,"start_date":"2016-12-15","description":"","custom_fields":[{"id":1,"name":"Subdivision","value":"EC"},{"id":4,"name":"Milepost","value":"23.3297"},{"id":17,"name":"Train ID","value":"139-15"},{"id":16,"name":"Locomotive ID","value":"4011"},{"id":130,"name":"Impact","value":""},{"id":150,"name":"Time of Event (Mountain Time)","value":"09:08:03"},{"id":151,"name":"Denver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7" t="s">
        <v>563</v>
      </c>
      <c r="B53" s="7">
        <v>4012</v>
      </c>
      <c r="C53" s="22" t="s">
        <v>207</v>
      </c>
      <c r="D53" s="22" t="s">
        <v>797</v>
      </c>
      <c r="E53" s="13">
        <v>42719.389143518521</v>
      </c>
      <c r="F53" s="13">
        <v>42719.393275462964</v>
      </c>
      <c r="G53" s="7">
        <v>1</v>
      </c>
      <c r="H53" s="22" t="s">
        <v>274</v>
      </c>
      <c r="I53" s="13">
        <v>42719.423703703702</v>
      </c>
      <c r="J53" s="7">
        <v>0</v>
      </c>
      <c r="K53" s="109" t="str">
        <f t="shared" si="22"/>
        <v>4011/4012</v>
      </c>
      <c r="L53" s="22" t="str">
        <f>VLOOKUP(A53,'Trips&amp;Operators'!$C$1:$G$99999,5,FALSE)</f>
        <v>STARKS ANGELINA</v>
      </c>
      <c r="M53" s="6">
        <f t="shared" si="23"/>
        <v>3.0428240737819578E-2</v>
      </c>
      <c r="N53" s="7">
        <f t="shared" si="31"/>
        <v>43.816666662460193</v>
      </c>
      <c r="O53" s="7"/>
      <c r="P53" s="7"/>
      <c r="Q53" s="23"/>
      <c r="R53" s="23"/>
      <c r="S53" s="35">
        <f t="shared" si="32"/>
        <v>1</v>
      </c>
      <c r="T53" s="50" t="str">
        <f t="shared" si="24"/>
        <v>Southbound</v>
      </c>
      <c r="U53" s="171">
        <f>IF(AG53="EC",COUNTIFS(Variables!$M$2:$M$19,IF(T53="NorthBound","&gt;=","&lt;=")&amp;Y53,Variables!$M$2:$M$19,IF(T53="NorthBound","&lt;=","&gt;=")&amp;Z53),COUNTIFS(Variables!$P$2:$P$19,IF(T53="NorthBound","&gt;=","&lt;=")&amp;Y53,Variables!$P$2:$P$19,IF(T53="NorthBound","&lt;=","&gt;=")&amp;Z53))</f>
        <v>12</v>
      </c>
      <c r="V53" s="98" t="str">
        <f t="shared" si="3"/>
        <v>https://search-rtdc-monitor-bjffxe2xuh6vdkpspy63sjmuny.us-east-1.es.amazonaws.com/_plugin/kibana/#/discover/Steve-Slow-Train-Analysis-(2080s-and-2083s)?_g=(refreshInterval:(display:Off,section:0,value:0),time:(from:'2016-12-15 08:20:22-700',mode:absolute,to:'2016-12-15 11:10: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53" s="52" t="str">
        <f t="shared" si="25"/>
        <v>N</v>
      </c>
      <c r="X53" s="177">
        <f t="shared" si="21"/>
        <v>1</v>
      </c>
      <c r="Y53" s="67">
        <f t="shared" si="26"/>
        <v>23.2973</v>
      </c>
      <c r="Z53" s="67">
        <f t="shared" si="27"/>
        <v>1.52E-2</v>
      </c>
      <c r="AA53" s="67">
        <f t="shared" si="28"/>
        <v>23.2821</v>
      </c>
      <c r="AB53" s="64" t="e">
        <f>VLOOKUP(A53,Enforcements!$C$7:$K$18,8,0)</f>
        <v>#N/A</v>
      </c>
      <c r="AC53" s="60" t="e">
        <f>VLOOKUP(A53,Enforcements!$C$7:$E$18,3,0)</f>
        <v>#N/A</v>
      </c>
      <c r="AD53" s="61" t="str">
        <f t="shared" si="29"/>
        <v>0140-15</v>
      </c>
      <c r="AE53" s="91" t="str">
        <f t="shared" si="9"/>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53" s="88" t="str">
        <f t="shared" si="10"/>
        <v>"C:\Program Files (x86)\AstroGrep\AstroGrep.exe" /spath="%USERPROFILE%\AppData\Local\Temp\OnboardLogs" /stypes="app*4012*20161215*" /stext=" 17:.+((SYSTEM_STATE.+slice.+state.+changed )|(ment ac)|(multiple cpu faults)|(system.+state.+changed )|(\[timeout)|(PRM\|1\|D)|(kpr)|(kdp)|(\|lc)|(penalty))" /e /r /s</v>
      </c>
      <c r="AG53" s="1" t="str">
        <f t="shared" si="30"/>
        <v>EC</v>
      </c>
      <c r="AH53" s="92" t="str">
        <f t="shared" si="14"/>
        <v>"%USERPROFILE%\Documents\GitHub\eaglep3\Utilities\RefineRTDCRunTimes.py" --tripid 140-15 --locoid 4012 --swversion DE.1.0.8.0 --startMP 204:232973 --initTime 2016-12-15T09:20:22 --startdatetime 2016-12-15T09:26:19 --delay 1 --endMP 204:152 --enddatetime 2016-12-15T10:10:08 --enforcementcount 0 &gt;&gt;C:\Users\stu\Documents\GitHub\eaglep3-reporting\EC\2016-12-15-refined-times.txt</v>
      </c>
      <c r="AI53" s="119" t="str">
        <f t="shared" si="15"/>
        <v>echo {"issue":{"subject":"","project_id":79,"tracker_id":40,"status_id":1,"priority_id":2,"assigned_to_id":23,"start_date":"2016-12-15","description":"","custom_fields":[{"id":1,"name":"Subdivision","value":"EC"},{"id":4,"name":"Milepost","value":"0.0152"},{"id":17,"name":"Train ID","value":"140-15"},{"id":16,"name":"Locomotive ID","value":"4012"},{"id":130,"name":"Impact","value":""},{"id":150,"name":"Time of Event (Mountain Time)","value":"10:10:08"},{"id":151,"name":"Denver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7" t="s">
        <v>636</v>
      </c>
      <c r="B54" s="7">
        <v>4018</v>
      </c>
      <c r="C54" s="22" t="s">
        <v>207</v>
      </c>
      <c r="D54" s="22" t="s">
        <v>249</v>
      </c>
      <c r="E54" s="13">
        <v>42719.363958333335</v>
      </c>
      <c r="F54" s="13">
        <v>42719.365381944444</v>
      </c>
      <c r="G54" s="7">
        <v>1</v>
      </c>
      <c r="H54" s="22" t="s">
        <v>794</v>
      </c>
      <c r="I54" s="13">
        <v>42719.390162037038</v>
      </c>
      <c r="J54" s="7">
        <v>0</v>
      </c>
      <c r="K54" s="109" t="str">
        <f t="shared" si="22"/>
        <v>4017/4018</v>
      </c>
      <c r="L54" s="22" t="str">
        <f>VLOOKUP(A54,'Trips&amp;Operators'!$C$1:$G$99999,5,FALSE)</f>
        <v>MAELZER KURT</v>
      </c>
      <c r="M54" s="6">
        <f t="shared" si="23"/>
        <v>2.4780092593573499E-2</v>
      </c>
      <c r="N54" s="7">
        <f t="shared" si="31"/>
        <v>35.683333334745839</v>
      </c>
      <c r="O54" s="7"/>
      <c r="P54" s="7"/>
      <c r="Q54" s="23"/>
      <c r="R54" s="23"/>
      <c r="S54" s="35">
        <f t="shared" si="32"/>
        <v>1</v>
      </c>
      <c r="T54" s="50" t="str">
        <f t="shared" si="24"/>
        <v>NorthBound</v>
      </c>
      <c r="U54" s="171">
        <f>IF(AG54="EC",COUNTIFS(Variables!$M$2:$M$19,IF(T54="NorthBound","&gt;=","&lt;=")&amp;Y54,Variables!$M$2:$M$19,IF(T54="NorthBound","&lt;=","&gt;=")&amp;Z54),COUNTIFS(Variables!$P$2:$P$19,IF(T54="NorthBound","&gt;=","&lt;=")&amp;Y54,Variables!$P$2:$P$19,IF(T54="NorthBound","&lt;=","&gt;=")&amp;Z54))</f>
        <v>12</v>
      </c>
      <c r="V54" s="98" t="str">
        <f t="shared" si="3"/>
        <v>https://search-rtdc-monitor-bjffxe2xuh6vdkpspy63sjmuny.us-east-1.es.amazonaws.com/_plugin/kibana/#/discover/Steve-Slow-Train-Analysis-(2080s-and-2083s)?_g=(refreshInterval:(display:Off,section:0,value:0),time:(from:'2016-12-15 07:44:06-700',mode:absolute,to:'2016-12-15 10:21:50-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54" s="52" t="str">
        <f t="shared" si="25"/>
        <v>N</v>
      </c>
      <c r="X54" s="177">
        <f t="shared" si="21"/>
        <v>1</v>
      </c>
      <c r="Y54" s="67">
        <f t="shared" si="26"/>
        <v>4.58E-2</v>
      </c>
      <c r="Z54" s="67">
        <f t="shared" si="27"/>
        <v>23.331900000000001</v>
      </c>
      <c r="AA54" s="67">
        <f t="shared" si="28"/>
        <v>23.286100000000001</v>
      </c>
      <c r="AB54" s="64" t="e">
        <f>VLOOKUP(A54,Enforcements!$C$7:$K$18,8,0)</f>
        <v>#N/A</v>
      </c>
      <c r="AC54" s="60" t="e">
        <f>VLOOKUP(A54,Enforcements!$C$7:$E$18,3,0)</f>
        <v>#N/A</v>
      </c>
      <c r="AD54" s="61" t="str">
        <f t="shared" si="29"/>
        <v>0141-15</v>
      </c>
      <c r="AE54" s="91" t="str">
        <f t="shared" si="9"/>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54" s="88" t="str">
        <f t="shared" si="10"/>
        <v>"C:\Program Files (x86)\AstroGrep\AstroGrep.exe" /spath="%USERPROFILE%\AppData\Local\Temp\OnboardLogs" /stypes="app*4018*20161215*" /stext=" 16:.+((SYSTEM_STATE.+slice.+state.+changed )|(ment ac)|(multiple cpu faults)|(system.+state.+changed )|(\[timeout)|(PRM\|1\|D)|(kpr)|(kdp)|(\|lc)|(penalty))" /e /r /s</v>
      </c>
      <c r="AG54" s="1" t="str">
        <f t="shared" si="30"/>
        <v>EC</v>
      </c>
      <c r="AH54" s="92" t="str">
        <f t="shared" si="14"/>
        <v>"%USERPROFILE%\Documents\GitHub\eaglep3\Utilities\RefineRTDCRunTimes.py" --tripid 141-15 --locoid 4018 --swversion DE.1.0.8.0 --startMP 204:458 --initTime 2016-12-15T08:44:06 --startdatetime 2016-12-15T08:46:09 --delay 1 --endMP 204:233319 --enddatetime 2016-12-15T09:21:50 --enforcementcount 0 &gt;&gt;C:\Users\stu\Documents\GitHub\eaglep3-reporting\EC\2016-12-15-refined-times.txt</v>
      </c>
      <c r="AI54" s="119" t="str">
        <f t="shared" si="15"/>
        <v>echo {"issue":{"subject":"","project_id":79,"tracker_id":40,"status_id":1,"priority_id":2,"assigned_to_id":23,"start_date":"2016-12-15","description":"","custom_fields":[{"id":1,"name":"Subdivision","value":"EC"},{"id":4,"name":"Milepost","value":"23.3319"},{"id":17,"name":"Train ID","value":"141-15"},{"id":16,"name":"Locomotive ID","value":"4018"},{"id":130,"name":"Impact","value":""},{"id":150,"name":"Time of Event (Mountain Time)","value":"09:21:50"},{"id":151,"name":"Denver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643</v>
      </c>
      <c r="B55" s="7">
        <v>4017</v>
      </c>
      <c r="C55" s="22" t="s">
        <v>207</v>
      </c>
      <c r="D55" s="22" t="s">
        <v>286</v>
      </c>
      <c r="E55" s="13">
        <v>42719.395682870374</v>
      </c>
      <c r="F55" s="13">
        <v>42719.403761574074</v>
      </c>
      <c r="G55" s="7">
        <v>1</v>
      </c>
      <c r="H55" s="22" t="s">
        <v>281</v>
      </c>
      <c r="I55" s="13">
        <v>42719.432013888887</v>
      </c>
      <c r="J55" s="7">
        <v>0</v>
      </c>
      <c r="K55" s="109" t="str">
        <f t="shared" si="22"/>
        <v>4017/4018</v>
      </c>
      <c r="L55" s="22" t="str">
        <f>VLOOKUP(A55,'Trips&amp;Operators'!$C$1:$G$99999,5,FALSE)</f>
        <v>MAELZER KURT</v>
      </c>
      <c r="M55" s="6">
        <f t="shared" si="23"/>
        <v>2.8252314812561963E-2</v>
      </c>
      <c r="N55" s="7">
        <f t="shared" si="31"/>
        <v>40.683333330089226</v>
      </c>
      <c r="O55" s="7"/>
      <c r="P55" s="7"/>
      <c r="Q55" s="23"/>
      <c r="R55" s="23"/>
      <c r="S55" s="35">
        <f t="shared" si="32"/>
        <v>1</v>
      </c>
      <c r="T55" s="50" t="str">
        <f t="shared" si="24"/>
        <v>Southbound</v>
      </c>
      <c r="U55" s="171">
        <f>IF(AG55="EC",COUNTIFS(Variables!$M$2:$M$19,IF(T55="NorthBound","&gt;=","&lt;=")&amp;Y55,Variables!$M$2:$M$19,IF(T55="NorthBound","&lt;=","&gt;=")&amp;Z55),COUNTIFS(Variables!$P$2:$P$19,IF(T55="NorthBound","&gt;=","&lt;=")&amp;Y55,Variables!$P$2:$P$19,IF(T55="NorthBound","&lt;=","&gt;=")&amp;Z55))</f>
        <v>12</v>
      </c>
      <c r="V55" s="98" t="str">
        <f t="shared" si="3"/>
        <v>https://search-rtdc-monitor-bjffxe2xuh6vdkpspy63sjmuny.us-east-1.es.amazonaws.com/_plugin/kibana/#/discover/Steve-Slow-Train-Analysis-(2080s-and-2083s)?_g=(refreshInterval:(display:Off,section:0,value:0),time:(from:'2016-12-15 08:29:47-700',mode:absolute,to:'2016-12-15 11:22:06-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55" s="52" t="str">
        <f t="shared" si="25"/>
        <v>N</v>
      </c>
      <c r="X55" s="177">
        <f t="shared" ref="X55:X71" si="33">VALUE(LEFT(AD55,4))-VALUE(LEFT(AD54,4))</f>
        <v>1</v>
      </c>
      <c r="Y55" s="67">
        <f t="shared" si="26"/>
        <v>23.299600000000002</v>
      </c>
      <c r="Z55" s="67">
        <f t="shared" si="27"/>
        <v>1.3899999999999999E-2</v>
      </c>
      <c r="AA55" s="67">
        <f t="shared" si="28"/>
        <v>23.285700000000002</v>
      </c>
      <c r="AB55" s="64" t="e">
        <f>VLOOKUP(A55,Enforcements!$C$7:$K$18,8,0)</f>
        <v>#N/A</v>
      </c>
      <c r="AC55" s="60" t="e">
        <f>VLOOKUP(A55,Enforcements!$C$7:$E$18,3,0)</f>
        <v>#N/A</v>
      </c>
      <c r="AD55" s="61" t="str">
        <f t="shared" si="29"/>
        <v>0142-15</v>
      </c>
      <c r="AE55" s="91" t="str">
        <f t="shared" si="9"/>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55" s="88" t="str">
        <f t="shared" si="10"/>
        <v>"C:\Program Files (x86)\AstroGrep\AstroGrep.exe" /spath="%USERPROFILE%\AppData\Local\Temp\OnboardLogs" /stypes="app*4017*20161215*" /stext=" 17:.+((SYSTEM_STATE.+slice.+state.+changed )|(ment ac)|(multiple cpu faults)|(system.+state.+changed )|(\[timeout)|(PRM\|1\|D)|(kpr)|(kdp)|(\|lc)|(penalty))" /e /r /s</v>
      </c>
      <c r="AG55" s="1" t="str">
        <f t="shared" si="30"/>
        <v>EC</v>
      </c>
      <c r="AH55" s="92" t="str">
        <f t="shared" si="14"/>
        <v>"%USERPROFILE%\Documents\GitHub\eaglep3\Utilities\RefineRTDCRunTimes.py" --tripid 142-15 --locoid 4017 --swversion DE.1.0.8.0 --startMP 204:232996 --initTime 2016-12-15T09:29:47 --startdatetime 2016-12-15T09:41:25 --delay 1 --endMP 204:139 --enddatetime 2016-12-15T10:22:06 --enforcementcount 0 &gt;&gt;C:\Users\stu\Documents\GitHub\eaglep3-reporting\EC\2016-12-15-refined-times.txt</v>
      </c>
      <c r="AI55" s="119" t="str">
        <f t="shared" si="15"/>
        <v>echo {"issue":{"subject":"","project_id":79,"tracker_id":40,"status_id":1,"priority_id":2,"assigned_to_id":23,"start_date":"2016-12-15","description":"","custom_fields":[{"id":1,"name":"Subdivision","value":"EC"},{"id":4,"name":"Milepost","value":"0.0139"},{"id":17,"name":"Train ID","value":"142-15"},{"id":16,"name":"Locomotive ID","value":"4017"},{"id":130,"name":"Impact","value":""},{"id":150,"name":"Time of Event (Mountain Time)","value":"10:22:06"},{"id":151,"name":"Denver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29" customFormat="1" x14ac:dyDescent="0.25">
      <c r="A56" s="37" t="s">
        <v>639</v>
      </c>
      <c r="B56" s="7">
        <v>4016</v>
      </c>
      <c r="C56" s="22" t="s">
        <v>207</v>
      </c>
      <c r="D56" s="22" t="s">
        <v>249</v>
      </c>
      <c r="E56" s="13">
        <v>42719.372557870367</v>
      </c>
      <c r="F56" s="13">
        <v>42719.375578703701</v>
      </c>
      <c r="G56" s="7">
        <v>1</v>
      </c>
      <c r="H56" s="22" t="s">
        <v>350</v>
      </c>
      <c r="I56" s="13">
        <v>42719.401516203703</v>
      </c>
      <c r="J56" s="7">
        <v>0</v>
      </c>
      <c r="K56" s="109" t="str">
        <f t="shared" si="22"/>
        <v>4015/4016</v>
      </c>
      <c r="L56" s="22" t="str">
        <f>VLOOKUP(A56,'Trips&amp;Operators'!$C$1:$G$99999,5,FALSE)</f>
        <v>DAVIS MICHAEL</v>
      </c>
      <c r="M56" s="6">
        <f t="shared" si="23"/>
        <v>2.5937500002328306E-2</v>
      </c>
      <c r="N56" s="7">
        <f t="shared" si="31"/>
        <v>37.350000003352761</v>
      </c>
      <c r="O56" s="7"/>
      <c r="P56" s="7"/>
      <c r="Q56" s="23"/>
      <c r="R56" s="23"/>
      <c r="S56" s="35">
        <f t="shared" si="32"/>
        <v>1</v>
      </c>
      <c r="T56" s="50" t="str">
        <f t="shared" si="24"/>
        <v>NorthBound</v>
      </c>
      <c r="U56" s="171">
        <f>IF(AG56="EC",COUNTIFS(Variables!$M$2:$M$19,IF(T56="NorthBound","&gt;=","&lt;=")&amp;Y56,Variables!$M$2:$M$19,IF(T56="NorthBound","&lt;=","&gt;=")&amp;Z56),COUNTIFS(Variables!$P$2:$P$19,IF(T56="NorthBound","&gt;=","&lt;=")&amp;Y56,Variables!$P$2:$P$19,IF(T56="NorthBound","&lt;=","&gt;=")&amp;Z56))</f>
        <v>12</v>
      </c>
      <c r="V56" s="98" t="str">
        <f t="shared" si="3"/>
        <v>https://search-rtdc-monitor-bjffxe2xuh6vdkpspy63sjmuny.us-east-1.es.amazonaws.com/_plugin/kibana/#/discover/Steve-Slow-Train-Analysis-(2080s-and-2083s)?_g=(refreshInterval:(display:Off,section:0,value:0),time:(from:'2016-12-15 07:56:29-700',mode:absolute,to:'2016-12-15 10:38: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56" s="52" t="str">
        <f t="shared" si="25"/>
        <v>N</v>
      </c>
      <c r="X56" s="177">
        <f t="shared" si="33"/>
        <v>1</v>
      </c>
      <c r="Y56" s="67">
        <f t="shared" si="26"/>
        <v>4.58E-2</v>
      </c>
      <c r="Z56" s="67">
        <f t="shared" si="27"/>
        <v>23.330500000000001</v>
      </c>
      <c r="AA56" s="67">
        <f t="shared" si="28"/>
        <v>23.284700000000001</v>
      </c>
      <c r="AB56" s="64" t="e">
        <f>VLOOKUP(A56,Enforcements!$C$7:$K$18,8,0)</f>
        <v>#N/A</v>
      </c>
      <c r="AC56" s="60" t="e">
        <f>VLOOKUP(A56,Enforcements!$C$7:$E$18,3,0)</f>
        <v>#N/A</v>
      </c>
      <c r="AD56" s="61" t="str">
        <f t="shared" si="29"/>
        <v>0143-15</v>
      </c>
      <c r="AE56" s="91" t="str">
        <f t="shared" si="9"/>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56" s="88" t="str">
        <f t="shared" si="10"/>
        <v>"C:\Program Files (x86)\AstroGrep\AstroGrep.exe" /spath="%USERPROFILE%\AppData\Local\Temp\OnboardLogs" /stypes="app*4016*20161215*" /stext=" 16:.+((SYSTEM_STATE.+slice.+state.+changed )|(ment ac)|(multiple cpu faults)|(system.+state.+changed )|(\[timeout)|(PRM\|1\|D)|(kpr)|(kdp)|(\|lc)|(penalty))" /e /r /s</v>
      </c>
      <c r="AG56" s="1" t="str">
        <f t="shared" si="30"/>
        <v>EC</v>
      </c>
      <c r="AH56" s="92" t="str">
        <f t="shared" si="14"/>
        <v>"%USERPROFILE%\Documents\GitHub\eaglep3\Utilities\RefineRTDCRunTimes.py" --tripid 143-15 --locoid 4016 --swversion DE.1.0.8.0 --startMP 204:458 --initTime 2016-12-15T08:56:29 --startdatetime 2016-12-15T09:00:50 --delay 1 --endMP 204:233305 --enddatetime 2016-12-15T09:38:11 --enforcementcount 0 &gt;&gt;C:\Users\stu\Documents\GitHub\eaglep3-reporting\EC\2016-12-15-refined-times.txt</v>
      </c>
      <c r="AI56" s="119" t="str">
        <f t="shared" si="15"/>
        <v>echo {"issue":{"subject":"","project_id":79,"tracker_id":40,"status_id":1,"priority_id":2,"assigned_to_id":23,"start_date":"2016-12-15","description":"","custom_fields":[{"id":1,"name":"Subdivision","value":"EC"},{"id":4,"name":"Milepost","value":"23.3305"},{"id":17,"name":"Train ID","value":"143-15"},{"id":16,"name":"Locomotive ID","value":"4016"},{"id":130,"name":"Impact","value":""},{"id":150,"name":"Time of Event (Mountain Time)","value":"09:38:11"},{"id":151,"name":"Denver Issue ID","value":""},{"id":178,"name":"Operational Impact","value":"Yes"},{"id":179,"name":"Denver Segment Assigned","value":""}]}} | curl -X POST -H "Content-Type: application/json" -H "X-Redmine-API-Key: d6333d4a04012a730768444271f8ca06482dae87" https://secure.xorail.net/redmine/issues.json --data @-</v>
      </c>
      <c r="AJ56" s="53"/>
      <c r="AK56" s="53"/>
      <c r="AL56" s="53"/>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646</v>
      </c>
      <c r="B57" s="7">
        <v>4015</v>
      </c>
      <c r="C57" s="22" t="s">
        <v>207</v>
      </c>
      <c r="D57" s="22" t="s">
        <v>402</v>
      </c>
      <c r="E57" s="13">
        <v>42719.407997685186</v>
      </c>
      <c r="F57" s="13">
        <v>42719.414317129631</v>
      </c>
      <c r="G57" s="7">
        <v>1</v>
      </c>
      <c r="H57" s="22" t="s">
        <v>807</v>
      </c>
      <c r="I57" s="13">
        <v>42719.445740740739</v>
      </c>
      <c r="J57" s="7">
        <v>0</v>
      </c>
      <c r="K57" s="109" t="str">
        <f t="shared" si="22"/>
        <v>4015/4016</v>
      </c>
      <c r="L57" s="22" t="str">
        <f>VLOOKUP(A57,'Trips&amp;Operators'!$C$1:$G$99999,5,FALSE)</f>
        <v>DAVIS MICHAEL</v>
      </c>
      <c r="M57" s="6">
        <f t="shared" si="23"/>
        <v>3.142361110803904E-2</v>
      </c>
      <c r="N57" s="7">
        <f t="shared" si="31"/>
        <v>45.249999995576218</v>
      </c>
      <c r="O57" s="7"/>
      <c r="P57" s="7"/>
      <c r="Q57" s="23"/>
      <c r="R57" s="23"/>
      <c r="S57" s="35">
        <f t="shared" si="32"/>
        <v>1</v>
      </c>
      <c r="T57" s="50" t="str">
        <f t="shared" si="24"/>
        <v>Southbound</v>
      </c>
      <c r="U57" s="171">
        <f>IF(AG57="EC",COUNTIFS(Variables!$M$2:$M$19,IF(T57="NorthBound","&gt;=","&lt;=")&amp;Y57,Variables!$M$2:$M$19,IF(T57="NorthBound","&lt;=","&gt;=")&amp;Z57),COUNTIFS(Variables!$P$2:$P$19,IF(T57="NorthBound","&gt;=","&lt;=")&amp;Y57,Variables!$P$2:$P$19,IF(T57="NorthBound","&lt;=","&gt;=")&amp;Z57))</f>
        <v>12</v>
      </c>
      <c r="V57" s="98" t="str">
        <f t="shared" si="3"/>
        <v>https://search-rtdc-monitor-bjffxe2xuh6vdkpspy63sjmuny.us-east-1.es.amazonaws.com/_plugin/kibana/#/discover/Steve-Slow-Train-Analysis-(2080s-and-2083s)?_g=(refreshInterval:(display:Off,section:0,value:0),time:(from:'2016-12-15 08:47:31-700',mode:absolute,to:'2016-12-15 11:41: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57" s="52" t="str">
        <f t="shared" si="25"/>
        <v>N</v>
      </c>
      <c r="X57" s="177">
        <f t="shared" si="33"/>
        <v>1</v>
      </c>
      <c r="Y57" s="67">
        <f t="shared" si="26"/>
        <v>23.298200000000001</v>
      </c>
      <c r="Z57" s="67">
        <f t="shared" si="27"/>
        <v>1.2999999999999999E-2</v>
      </c>
      <c r="AA57" s="67">
        <f t="shared" si="28"/>
        <v>23.2852</v>
      </c>
      <c r="AB57" s="64" t="e">
        <f>VLOOKUP(A57,Enforcements!$C$7:$K$18,8,0)</f>
        <v>#N/A</v>
      </c>
      <c r="AC57" s="60" t="e">
        <f>VLOOKUP(A57,Enforcements!$C$7:$E$18,3,0)</f>
        <v>#N/A</v>
      </c>
      <c r="AD57" s="61" t="str">
        <f t="shared" si="29"/>
        <v>0144-15</v>
      </c>
      <c r="AE57" s="91" t="str">
        <f t="shared" si="9"/>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57" s="88" t="str">
        <f t="shared" si="10"/>
        <v>"C:\Program Files (x86)\AstroGrep\AstroGrep.exe" /spath="%USERPROFILE%\AppData\Local\Temp\OnboardLogs" /stypes="app*4015*20161215*" /stext=" 17:.+((SYSTEM_STATE.+slice.+state.+changed )|(ment ac)|(multiple cpu faults)|(system.+state.+changed )|(\[timeout)|(PRM\|1\|D)|(kpr)|(kdp)|(\|lc)|(penalty))" /e /r /s</v>
      </c>
      <c r="AG57" s="1" t="str">
        <f t="shared" si="30"/>
        <v>EC</v>
      </c>
      <c r="AH57" s="92" t="str">
        <f t="shared" si="14"/>
        <v>"%USERPROFILE%\Documents\GitHub\eaglep3\Utilities\RefineRTDCRunTimes.py" --tripid 144-15 --locoid 4015 --swversion DE.1.0.8.0 --startMP 204:232982 --initTime 2016-12-15T09:47:31 --startdatetime 2016-12-15T09:56:37 --delay 1 --endMP 204:130 --enddatetime 2016-12-15T10:41:52 --enforcementcount 0 &gt;&gt;C:\Users\stu\Documents\GitHub\eaglep3-reporting\EC\2016-12-15-refined-times.txt</v>
      </c>
      <c r="AI57" s="119" t="str">
        <f t="shared" si="15"/>
        <v>echo {"issue":{"subject":"","project_id":79,"tracker_id":40,"status_id":1,"priority_id":2,"assigned_to_id":23,"start_date":"2016-12-15","description":"","custom_fields":[{"id":1,"name":"Subdivision","value":"EC"},{"id":4,"name":"Milepost","value":"0.013"},{"id":17,"name":"Train ID","value":"144-15"},{"id":16,"name":"Locomotive ID","value":"4015"},{"id":130,"name":"Impact","value":""},{"id":150,"name":"Time of Event (Mountain Time)","value":"10:41:52"},{"id":151,"name":"Denver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641</v>
      </c>
      <c r="B58" s="7">
        <v>4009</v>
      </c>
      <c r="C58" s="22" t="s">
        <v>207</v>
      </c>
      <c r="D58" s="22" t="s">
        <v>787</v>
      </c>
      <c r="E58" s="13">
        <v>42719.386574074073</v>
      </c>
      <c r="F58" s="13">
        <v>42719.388368055559</v>
      </c>
      <c r="G58" s="7">
        <v>1</v>
      </c>
      <c r="H58" s="22" t="s">
        <v>808</v>
      </c>
      <c r="I58" s="13">
        <v>42719.413495370369</v>
      </c>
      <c r="J58" s="7">
        <v>0</v>
      </c>
      <c r="K58" s="109" t="str">
        <f t="shared" si="22"/>
        <v>4009/4010</v>
      </c>
      <c r="L58" s="22" t="str">
        <f>VLOOKUP(A58,'Trips&amp;Operators'!$C$1:$G$99999,5,FALSE)</f>
        <v>SPECTOR MICHAEL</v>
      </c>
      <c r="M58" s="6">
        <f t="shared" si="23"/>
        <v>2.512731480965158E-2</v>
      </c>
      <c r="N58" s="7">
        <f t="shared" si="31"/>
        <v>36.183333325898275</v>
      </c>
      <c r="O58" s="7"/>
      <c r="P58" s="7"/>
      <c r="Q58" s="23"/>
      <c r="R58" s="23"/>
      <c r="S58" s="35">
        <f t="shared" si="32"/>
        <v>1</v>
      </c>
      <c r="T58" s="50" t="str">
        <f t="shared" si="24"/>
        <v>NorthBound</v>
      </c>
      <c r="U58" s="171">
        <f>IF(AG58="EC",COUNTIFS(Variables!$M$2:$M$19,IF(T58="NorthBound","&gt;=","&lt;=")&amp;Y58,Variables!$M$2:$M$19,IF(T58="NorthBound","&lt;=","&gt;=")&amp;Z58),COUNTIFS(Variables!$P$2:$P$19,IF(T58="NorthBound","&gt;=","&lt;=")&amp;Y58,Variables!$P$2:$P$19,IF(T58="NorthBound","&lt;=","&gt;=")&amp;Z58))</f>
        <v>12</v>
      </c>
      <c r="V58" s="98" t="str">
        <f t="shared" si="3"/>
        <v>https://search-rtdc-monitor-bjffxe2xuh6vdkpspy63sjmuny.us-east-1.es.amazonaws.com/_plugin/kibana/#/discover/Steve-Slow-Train-Analysis-(2080s-and-2083s)?_g=(refreshInterval:(display:Off,section:0,value:0),time:(from:'2016-12-15 08:16:40-700',mode:absolute,to:'2016-12-15 10:55:26-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58" s="52" t="str">
        <f t="shared" si="25"/>
        <v>N</v>
      </c>
      <c r="X58" s="177">
        <f t="shared" si="33"/>
        <v>1</v>
      </c>
      <c r="Y58" s="67">
        <f t="shared" si="26"/>
        <v>4.4200000000000003E-2</v>
      </c>
      <c r="Z58" s="67">
        <f t="shared" si="27"/>
        <v>23.3325</v>
      </c>
      <c r="AA58" s="67">
        <f t="shared" si="28"/>
        <v>23.2883</v>
      </c>
      <c r="AB58" s="64" t="e">
        <f>VLOOKUP(A58,Enforcements!$C$7:$K$18,8,0)</f>
        <v>#N/A</v>
      </c>
      <c r="AC58" s="60" t="e">
        <f>VLOOKUP(A58,Enforcements!$C$7:$E$18,3,0)</f>
        <v>#N/A</v>
      </c>
      <c r="AD58" s="61" t="str">
        <f t="shared" si="29"/>
        <v>0145-15</v>
      </c>
      <c r="AE58" s="91" t="str">
        <f t="shared" si="9"/>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58" s="88" t="str">
        <f t="shared" si="10"/>
        <v>"C:\Program Files (x86)\AstroGrep\AstroGrep.exe" /spath="%USERPROFILE%\AppData\Local\Temp\OnboardLogs" /stypes="app*4009*20161215*" /stext=" 16:.+((SYSTEM_STATE.+slice.+state.+changed )|(ment ac)|(multiple cpu faults)|(system.+state.+changed )|(\[timeout)|(PRM\|1\|D)|(kpr)|(kdp)|(\|lc)|(penalty))" /e /r /s</v>
      </c>
      <c r="AG58" s="1" t="str">
        <f t="shared" si="30"/>
        <v>EC</v>
      </c>
      <c r="AH58" s="92" t="str">
        <f t="shared" si="14"/>
        <v>"%USERPROFILE%\Documents\GitHub\eaglep3\Utilities\RefineRTDCRunTimes.py" --tripid 145-15 --locoid 4009 --swversion DE.1.0.8.0 --startMP 204:442 --initTime 2016-12-15T09:16:40 --startdatetime 2016-12-15T09:19:15 --delay 1 --endMP 204:233325 --enddatetime 2016-12-15T09:55:26 --enforcementcount 0 &gt;&gt;C:\Users\stu\Documents\GitHub\eaglep3-reporting\EC\2016-12-15-refined-times.txt</v>
      </c>
      <c r="AI58" s="119" t="str">
        <f t="shared" si="15"/>
        <v>echo {"issue":{"subject":"","project_id":79,"tracker_id":40,"status_id":1,"priority_id":2,"assigned_to_id":23,"start_date":"2016-12-15","description":"","custom_fields":[{"id":1,"name":"Subdivision","value":"EC"},{"id":4,"name":"Milepost","value":"23.3325"},{"id":17,"name":"Train ID","value":"145-15"},{"id":16,"name":"Locomotive ID","value":"4009"},{"id":130,"name":"Impact","value":""},{"id":150,"name":"Time of Event (Mountain Time)","value":"09:55:26"},{"id":151,"name":"Denver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564</v>
      </c>
      <c r="B59" s="7">
        <v>4010</v>
      </c>
      <c r="C59" s="22" t="s">
        <v>207</v>
      </c>
      <c r="D59" s="22" t="s">
        <v>809</v>
      </c>
      <c r="E59" s="13">
        <v>42719.419872685183</v>
      </c>
      <c r="F59" s="13">
        <v>42719.424502314818</v>
      </c>
      <c r="G59" s="7">
        <v>1</v>
      </c>
      <c r="H59" s="22" t="s">
        <v>355</v>
      </c>
      <c r="I59" s="13">
        <v>42719.452337962961</v>
      </c>
      <c r="J59" s="7">
        <v>0</v>
      </c>
      <c r="K59" s="109" t="str">
        <f t="shared" si="22"/>
        <v>4009/4010</v>
      </c>
      <c r="L59" s="22" t="str">
        <f>VLOOKUP(A59,'Trips&amp;Operators'!$C$1:$G$99999,5,FALSE)</f>
        <v>SPECTOR MICHAEL</v>
      </c>
      <c r="M59" s="6">
        <f t="shared" si="23"/>
        <v>2.7835648143081926E-2</v>
      </c>
      <c r="N59" s="7">
        <f t="shared" si="31"/>
        <v>40.083333326037973</v>
      </c>
      <c r="O59" s="7"/>
      <c r="P59" s="7"/>
      <c r="Q59" s="23"/>
      <c r="R59" s="23"/>
      <c r="S59" s="35">
        <f t="shared" si="32"/>
        <v>1</v>
      </c>
      <c r="T59" s="50" t="str">
        <f t="shared" si="24"/>
        <v>Southbound</v>
      </c>
      <c r="U59" s="171">
        <f>IF(AG59="EC",COUNTIFS(Variables!$M$2:$M$19,IF(T59="NorthBound","&gt;=","&lt;=")&amp;Y59,Variables!$M$2:$M$19,IF(T59="NorthBound","&lt;=","&gt;=")&amp;Z59),COUNTIFS(Variables!$P$2:$P$19,IF(T59="NorthBound","&gt;=","&lt;=")&amp;Y59,Variables!$P$2:$P$19,IF(T59="NorthBound","&lt;=","&gt;=")&amp;Z59))</f>
        <v>12</v>
      </c>
      <c r="V59" s="98" t="str">
        <f t="shared" si="3"/>
        <v>https://search-rtdc-monitor-bjffxe2xuh6vdkpspy63sjmuny.us-east-1.es.amazonaws.com/_plugin/kibana/#/discover/Steve-Slow-Train-Analysis-(2080s-and-2083s)?_g=(refreshInterval:(display:Off,section:0,value:0),time:(from:'2016-12-15 09:04:37-700',mode:absolute,to:'2016-12-15 11:51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59" s="52" t="str">
        <f t="shared" si="25"/>
        <v>N</v>
      </c>
      <c r="X59" s="177">
        <f t="shared" si="33"/>
        <v>1</v>
      </c>
      <c r="Y59" s="67">
        <f t="shared" si="26"/>
        <v>23.3004</v>
      </c>
      <c r="Z59" s="67">
        <f t="shared" si="27"/>
        <v>1.32E-2</v>
      </c>
      <c r="AA59" s="67">
        <f t="shared" si="28"/>
        <v>23.287199999999999</v>
      </c>
      <c r="AB59" s="64" t="e">
        <f>VLOOKUP(A59,Enforcements!$C$7:$K$18,8,0)</f>
        <v>#N/A</v>
      </c>
      <c r="AC59" s="60" t="e">
        <f>VLOOKUP(A59,Enforcements!$C$7:$E$18,3,0)</f>
        <v>#N/A</v>
      </c>
      <c r="AD59" s="61" t="str">
        <f t="shared" si="29"/>
        <v>0146-15</v>
      </c>
      <c r="AE59" s="91" t="str">
        <f t="shared" si="9"/>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59" s="88" t="str">
        <f t="shared" si="10"/>
        <v>"C:\Program Files (x86)\AstroGrep\AstroGrep.exe" /spath="%USERPROFILE%\AppData\Local\Temp\OnboardLogs" /stypes="app*4010*20161215*" /stext=" 17:.+((SYSTEM_STATE.+slice.+state.+changed )|(ment ac)|(multiple cpu faults)|(system.+state.+changed )|(\[timeout)|(PRM\|1\|D)|(kpr)|(kdp)|(\|lc)|(penalty))" /e /r /s</v>
      </c>
      <c r="AG59" s="1" t="str">
        <f t="shared" si="30"/>
        <v>EC</v>
      </c>
      <c r="AH59" s="92" t="str">
        <f t="shared" si="14"/>
        <v>"%USERPROFILE%\Documents\GitHub\eaglep3\Utilities\RefineRTDCRunTimes.py" --tripid 146-15 --locoid 4010 --swversion DE.1.0.8.0 --startMP 204:233004 --initTime 2016-12-15T10:04:37 --startdatetime 2016-12-15T10:11:17 --delay 1 --endMP 204:132 --enddatetime 2016-12-15T10:51:22 --enforcementcount 0 &gt;&gt;C:\Users\stu\Documents\GitHub\eaglep3-reporting\EC\2016-12-15-refined-times.txt</v>
      </c>
      <c r="AI59" s="119" t="str">
        <f t="shared" si="15"/>
        <v>echo {"issue":{"subject":"","project_id":79,"tracker_id":40,"status_id":1,"priority_id":2,"assigned_to_id":23,"start_date":"2016-12-15","description":"","custom_fields":[{"id":1,"name":"Subdivision","value":"EC"},{"id":4,"name":"Milepost","value":"0.0132"},{"id":17,"name":"Train ID","value":"146-15"},{"id":16,"name":"Locomotive ID","value":"4010"},{"id":130,"name":"Impact","value":""},{"id":150,"name":"Time of Event (Mountain Time)","value":"10:51:22"},{"id":151,"name":"Denver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642</v>
      </c>
      <c r="B60" s="7">
        <v>4031</v>
      </c>
      <c r="C60" s="22" t="s">
        <v>207</v>
      </c>
      <c r="D60" s="22" t="s">
        <v>411</v>
      </c>
      <c r="E60" s="13">
        <v>42719.393368055556</v>
      </c>
      <c r="F60" s="13">
        <v>42719.39603009259</v>
      </c>
      <c r="G60" s="7">
        <v>1</v>
      </c>
      <c r="H60" s="22" t="s">
        <v>810</v>
      </c>
      <c r="I60" s="13">
        <v>42719.420474537037</v>
      </c>
      <c r="J60" s="7">
        <v>0</v>
      </c>
      <c r="K60" s="109" t="str">
        <f t="shared" si="22"/>
        <v>4031/4032</v>
      </c>
      <c r="L60" s="22" t="str">
        <f>VLOOKUP(A60,'Trips&amp;Operators'!$C$1:$G$99999,5,FALSE)</f>
        <v>ROBINSON KADDIBA</v>
      </c>
      <c r="M60" s="6">
        <f t="shared" si="23"/>
        <v>2.4444444446999114E-2</v>
      </c>
      <c r="N60" s="7">
        <f t="shared" si="31"/>
        <v>35.200000003678724</v>
      </c>
      <c r="O60" s="7"/>
      <c r="P60" s="7"/>
      <c r="Q60" s="23"/>
      <c r="R60" s="23"/>
      <c r="S60" s="35">
        <f t="shared" si="32"/>
        <v>1</v>
      </c>
      <c r="T60" s="50" t="str">
        <f t="shared" si="24"/>
        <v>NorthBound</v>
      </c>
      <c r="U60" s="171">
        <f>IF(AG60="EC",COUNTIFS(Variables!$M$2:$M$19,IF(T60="NorthBound","&gt;=","&lt;=")&amp;Y60,Variables!$M$2:$M$19,IF(T60="NorthBound","&lt;=","&gt;=")&amp;Z60),COUNTIFS(Variables!$P$2:$P$19,IF(T60="NorthBound","&gt;=","&lt;=")&amp;Y60,Variables!$P$2:$P$19,IF(T60="NorthBound","&lt;=","&gt;=")&amp;Z60))</f>
        <v>12</v>
      </c>
      <c r="V60" s="98" t="str">
        <f t="shared" si="3"/>
        <v>https://search-rtdc-monitor-bjffxe2xuh6vdkpspy63sjmuny.us-east-1.es.amazonaws.com/_plugin/kibana/#/discover/Steve-Slow-Train-Analysis-(2080s-and-2083s)?_g=(refreshInterval:(display:Off,section:0,value:0),time:(from:'2016-12-15 08:26:27-700',mode:absolute,to:'2016-12-15 11:05:29-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60" s="52" t="str">
        <f t="shared" si="25"/>
        <v>N</v>
      </c>
      <c r="X60" s="177">
        <f t="shared" si="33"/>
        <v>1</v>
      </c>
      <c r="Y60" s="67">
        <f t="shared" si="26"/>
        <v>4.3999999999999997E-2</v>
      </c>
      <c r="Z60" s="67">
        <f t="shared" si="27"/>
        <v>23.335899999999999</v>
      </c>
      <c r="AA60" s="67">
        <f t="shared" si="28"/>
        <v>23.291899999999998</v>
      </c>
      <c r="AB60" s="64" t="e">
        <f>VLOOKUP(A60,Enforcements!$C$7:$K$18,8,0)</f>
        <v>#N/A</v>
      </c>
      <c r="AC60" s="60" t="e">
        <f>VLOOKUP(A60,Enforcements!$C$7:$E$18,3,0)</f>
        <v>#N/A</v>
      </c>
      <c r="AD60" s="61" t="str">
        <f t="shared" si="29"/>
        <v>0147-15</v>
      </c>
      <c r="AE60" s="91" t="str">
        <f t="shared" si="9"/>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60" s="88" t="str">
        <f t="shared" si="10"/>
        <v>"C:\Program Files (x86)\AstroGrep\AstroGrep.exe" /spath="%USERPROFILE%\AppData\Local\Temp\OnboardLogs" /stypes="app*4031*20161215*" /stext=" 17:.+((SYSTEM_STATE.+slice.+state.+changed )|(ment ac)|(multiple cpu faults)|(system.+state.+changed )|(\[timeout)|(PRM\|1\|D)|(kpr)|(kdp)|(\|lc)|(penalty))" /e /r /s</v>
      </c>
      <c r="AG60" s="1" t="str">
        <f t="shared" si="30"/>
        <v>EC</v>
      </c>
      <c r="AH60" s="92" t="str">
        <f t="shared" si="14"/>
        <v>"%USERPROFILE%\Documents\GitHub\eaglep3\Utilities\RefineRTDCRunTimes.py" --tripid 147-15 --locoid 4031 --swversion DE.1.0.8.0 --startMP 204:440 --initTime 2016-12-15T09:26:27 --startdatetime 2016-12-15T09:30:17 --delay 1 --endMP 204:233359 --enddatetime 2016-12-15T10:05:29 --enforcementcount 0 &gt;&gt;C:\Users\stu\Documents\GitHub\eaglep3-reporting\EC\2016-12-15-refined-times.txt</v>
      </c>
      <c r="AI60" s="119" t="str">
        <f t="shared" si="15"/>
        <v>echo {"issue":{"subject":"","project_id":79,"tracker_id":40,"status_id":1,"priority_id":2,"assigned_to_id":23,"start_date":"2016-12-15","description":"","custom_fields":[{"id":1,"name":"Subdivision","value":"EC"},{"id":4,"name":"Milepost","value":"23.3359"},{"id":17,"name":"Train ID","value":"147-15"},{"id":16,"name":"Locomotive ID","value":"4031"},{"id":130,"name":"Impact","value":""},{"id":150,"name":"Time of Event (Mountain Time)","value":"10:05:29"},{"id":151,"name":"Denver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650</v>
      </c>
      <c r="B61" s="7">
        <v>4032</v>
      </c>
      <c r="C61" s="22" t="s">
        <v>207</v>
      </c>
      <c r="D61" s="22" t="s">
        <v>811</v>
      </c>
      <c r="E61" s="13">
        <v>42719.428923611114</v>
      </c>
      <c r="F61" s="13">
        <v>42719.434942129628</v>
      </c>
      <c r="G61" s="7">
        <v>1</v>
      </c>
      <c r="H61" s="22" t="s">
        <v>347</v>
      </c>
      <c r="I61" s="13">
        <v>42719.46365740741</v>
      </c>
      <c r="J61" s="7">
        <v>0</v>
      </c>
      <c r="K61" s="109" t="str">
        <f t="shared" si="22"/>
        <v>4031/4032</v>
      </c>
      <c r="L61" s="22" t="str">
        <f>VLOOKUP(A61,'Trips&amp;Operators'!$C$1:$G$99999,5,FALSE)</f>
        <v>ROBINSON KADDIBA</v>
      </c>
      <c r="M61" s="6">
        <f t="shared" si="23"/>
        <v>2.8715277781884652E-2</v>
      </c>
      <c r="N61" s="7">
        <f t="shared" si="31"/>
        <v>41.350000005913898</v>
      </c>
      <c r="O61" s="7"/>
      <c r="P61" s="7"/>
      <c r="Q61" s="23"/>
      <c r="R61" s="23"/>
      <c r="S61" s="35">
        <f t="shared" si="32"/>
        <v>1</v>
      </c>
      <c r="T61" s="50" t="str">
        <f t="shared" si="24"/>
        <v>Southbound</v>
      </c>
      <c r="U61" s="171">
        <f>IF(AG61="EC",COUNTIFS(Variables!$M$2:$M$19,IF(T61="NorthBound","&gt;=","&lt;=")&amp;Y61,Variables!$M$2:$M$19,IF(T61="NorthBound","&lt;=","&gt;=")&amp;Z61),COUNTIFS(Variables!$P$2:$P$19,IF(T61="NorthBound","&gt;=","&lt;=")&amp;Y61,Variables!$P$2:$P$19,IF(T61="NorthBound","&lt;=","&gt;=")&amp;Z61))</f>
        <v>12</v>
      </c>
      <c r="V61" s="98" t="str">
        <f t="shared" si="3"/>
        <v>https://search-rtdc-monitor-bjffxe2xuh6vdkpspy63sjmuny.us-east-1.es.amazonaws.com/_plugin/kibana/#/discover/Steve-Slow-Train-Analysis-(2080s-and-2083s)?_g=(refreshInterval:(display:Off,section:0,value:0),time:(from:'2016-12-15 09:17:39-700',mode:absolute,to:'2016-12-15 12:07: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61" s="52" t="str">
        <f t="shared" si="25"/>
        <v>N</v>
      </c>
      <c r="X61" s="177">
        <f t="shared" si="33"/>
        <v>1</v>
      </c>
      <c r="Y61" s="67">
        <f t="shared" si="26"/>
        <v>23.304600000000001</v>
      </c>
      <c r="Z61" s="67">
        <f t="shared" si="27"/>
        <v>1.38E-2</v>
      </c>
      <c r="AA61" s="67">
        <f t="shared" si="28"/>
        <v>23.290800000000001</v>
      </c>
      <c r="AB61" s="64" t="e">
        <f>VLOOKUP(A61,Enforcements!$C$7:$K$18,8,0)</f>
        <v>#N/A</v>
      </c>
      <c r="AC61" s="60" t="e">
        <f>VLOOKUP(A61,Enforcements!$C$7:$E$18,3,0)</f>
        <v>#N/A</v>
      </c>
      <c r="AD61" s="61" t="str">
        <f t="shared" si="29"/>
        <v>0148-15</v>
      </c>
      <c r="AE61" s="91" t="str">
        <f t="shared" si="9"/>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61" s="88" t="str">
        <f t="shared" si="10"/>
        <v>"C:\Program Files (x86)\AstroGrep\AstroGrep.exe" /spath="%USERPROFILE%\AppData\Local\Temp\OnboardLogs" /stypes="app*4032*20161215*" /stext=" 18:.+((SYSTEM_STATE.+slice.+state.+changed )|(ment ac)|(multiple cpu faults)|(system.+state.+changed )|(\[timeout)|(PRM\|1\|D)|(kpr)|(kdp)|(\|lc)|(penalty))" /e /r /s</v>
      </c>
      <c r="AG61" s="1" t="str">
        <f t="shared" si="30"/>
        <v>EC</v>
      </c>
      <c r="AH61" s="92" t="str">
        <f t="shared" si="14"/>
        <v>"%USERPROFILE%\Documents\GitHub\eaglep3\Utilities\RefineRTDCRunTimes.py" --tripid 148-15 --locoid 4032 --swversion DE.1.0.8.0 --startMP 204:233046 --initTime 2016-12-15T10:17:39 --startdatetime 2016-12-15T10:26:19 --delay 1 --endMP 204:138 --enddatetime 2016-12-15T11:07:40 --enforcementcount 0 &gt;&gt;C:\Users\stu\Documents\GitHub\eaglep3-reporting\EC\2016-12-15-refined-times.txt</v>
      </c>
      <c r="AI61" s="119" t="str">
        <f t="shared" si="15"/>
        <v>echo {"issue":{"subject":"","project_id":79,"tracker_id":40,"status_id":1,"priority_id":2,"assigned_to_id":23,"start_date":"2016-12-15","description":"","custom_fields":[{"id":1,"name":"Subdivision","value":"EC"},{"id":4,"name":"Milepost","value":"0.0138"},{"id":17,"name":"Train ID","value":"148-15"},{"id":16,"name":"Locomotive ID","value":"4032"},{"id":130,"name":"Impact","value":""},{"id":150,"name":"Time of Event (Mountain Time)","value":"11:07:40"},{"id":151,"name":"Denver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645</v>
      </c>
      <c r="B62" s="7">
        <v>4029</v>
      </c>
      <c r="C62" s="22" t="s">
        <v>207</v>
      </c>
      <c r="D62" s="22" t="s">
        <v>309</v>
      </c>
      <c r="E62" s="13">
        <v>42719.40351851852</v>
      </c>
      <c r="F62" s="13">
        <v>42719.406458333331</v>
      </c>
      <c r="G62" s="7">
        <v>1</v>
      </c>
      <c r="H62" s="22" t="s">
        <v>812</v>
      </c>
      <c r="I62" s="13">
        <v>42719.432256944441</v>
      </c>
      <c r="J62" s="7">
        <v>0</v>
      </c>
      <c r="K62" s="109" t="str">
        <f t="shared" si="22"/>
        <v>4029/4030</v>
      </c>
      <c r="L62" s="22" t="str">
        <f>VLOOKUP(A62,'Trips&amp;Operators'!$C$1:$G$99999,5,FALSE)</f>
        <v>STRICKLAND EVAN</v>
      </c>
      <c r="M62" s="6">
        <f t="shared" si="23"/>
        <v>2.5798611110076308E-2</v>
      </c>
      <c r="N62" s="7">
        <f t="shared" si="31"/>
        <v>37.149999998509884</v>
      </c>
      <c r="O62" s="7"/>
      <c r="P62" s="7"/>
      <c r="Q62" s="23"/>
      <c r="R62" s="23"/>
      <c r="S62" s="35">
        <f t="shared" si="32"/>
        <v>1</v>
      </c>
      <c r="T62" s="50" t="str">
        <f t="shared" si="24"/>
        <v>NorthBound</v>
      </c>
      <c r="U62" s="171">
        <f>IF(AG62="EC",COUNTIFS(Variables!$M$2:$M$19,IF(T62="NorthBound","&gt;=","&lt;=")&amp;Y62,Variables!$M$2:$M$19,IF(T62="NorthBound","&lt;=","&gt;=")&amp;Z62),COUNTIFS(Variables!$P$2:$P$19,IF(T62="NorthBound","&gt;=","&lt;=")&amp;Y62,Variables!$P$2:$P$19,IF(T62="NorthBound","&lt;=","&gt;=")&amp;Z62))</f>
        <v>12</v>
      </c>
      <c r="V62" s="98" t="str">
        <f t="shared" si="3"/>
        <v>https://search-rtdc-monitor-bjffxe2xuh6vdkpspy63sjmuny.us-east-1.es.amazonaws.com/_plugin/kibana/#/discover/Steve-Slow-Train-Analysis-(2080s-and-2083s)?_g=(refreshInterval:(display:Off,section:0,value:0),time:(from:'2016-12-15 08:41:04-700',mode:absolute,to:'2016-12-15 11:22:27-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62" s="52" t="str">
        <f t="shared" si="25"/>
        <v>N</v>
      </c>
      <c r="X62" s="177">
        <f t="shared" si="33"/>
        <v>1</v>
      </c>
      <c r="Y62" s="67">
        <f t="shared" si="26"/>
        <v>4.7500000000000001E-2</v>
      </c>
      <c r="Z62" s="67">
        <f t="shared" si="27"/>
        <v>23.334</v>
      </c>
      <c r="AA62" s="67">
        <f t="shared" si="28"/>
        <v>23.2865</v>
      </c>
      <c r="AB62" s="64" t="e">
        <f>VLOOKUP(A62,Enforcements!$C$7:$K$18,8,0)</f>
        <v>#N/A</v>
      </c>
      <c r="AC62" s="60" t="e">
        <f>VLOOKUP(A62,Enforcements!$C$7:$E$18,3,0)</f>
        <v>#N/A</v>
      </c>
      <c r="AD62" s="61" t="str">
        <f t="shared" si="29"/>
        <v>0149-15</v>
      </c>
      <c r="AE62" s="91" t="str">
        <f t="shared" si="9"/>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62" s="88" t="str">
        <f t="shared" si="10"/>
        <v>"C:\Program Files (x86)\AstroGrep\AstroGrep.exe" /spath="%USERPROFILE%\AppData\Local\Temp\OnboardLogs" /stypes="app*4029*20161215*" /stext=" 17:.+((SYSTEM_STATE.+slice.+state.+changed )|(ment ac)|(multiple cpu faults)|(system.+state.+changed )|(\[timeout)|(PRM\|1\|D)|(kpr)|(kdp)|(\|lc)|(penalty))" /e /r /s</v>
      </c>
      <c r="AG62" s="1" t="str">
        <f t="shared" si="30"/>
        <v>EC</v>
      </c>
      <c r="AH62" s="92" t="str">
        <f t="shared" si="14"/>
        <v>"%USERPROFILE%\Documents\GitHub\eaglep3\Utilities\RefineRTDCRunTimes.py" --tripid 149-15 --locoid 4029 --swversion DE.1.0.8.0 --startMP 204:475 --initTime 2016-12-15T09:41:04 --startdatetime 2016-12-15T09:45:18 --delay 1 --endMP 204:233340 --enddatetime 2016-12-15T10:22:27 --enforcementcount 0 &gt;&gt;C:\Users\stu\Documents\GitHub\eaglep3-reporting\EC\2016-12-15-refined-times.txt</v>
      </c>
      <c r="AI62" s="119" t="str">
        <f t="shared" si="15"/>
        <v>echo {"issue":{"subject":"","project_id":79,"tracker_id":40,"status_id":1,"priority_id":2,"assigned_to_id":23,"start_date":"2016-12-15","description":"","custom_fields":[{"id":1,"name":"Subdivision","value":"EC"},{"id":4,"name":"Milepost","value":"23.334"},{"id":17,"name":"Train ID","value":"149-15"},{"id":16,"name":"Locomotive ID","value":"4029"},{"id":130,"name":"Impact","value":""},{"id":150,"name":"Time of Event (Mountain Time)","value":"10:22:27"},{"id":151,"name":"Denver Issue ID","value":""},{"id":178,"name":"Operational Impact","value":"Yes"},{"id":179,"name":"Denver Segment Assigned","value":""}]}} | curl -X POST -H "Content-Type: application/json" -H "X-Redmine-API-Key: d6333d4a04012a730768444271f8ca06482dae87" https://secure.xorail.net/redmine/issues.json --data @-</v>
      </c>
      <c r="AJ62" s="53"/>
      <c r="AK62" s="53"/>
      <c r="AL62" s="53"/>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654</v>
      </c>
      <c r="B63" s="7">
        <v>4030</v>
      </c>
      <c r="C63" s="22" t="s">
        <v>207</v>
      </c>
      <c r="D63" s="22" t="s">
        <v>313</v>
      </c>
      <c r="E63" s="13">
        <v>42719.439965277779</v>
      </c>
      <c r="F63" s="13">
        <v>42719.445509259262</v>
      </c>
      <c r="G63" s="7">
        <v>1</v>
      </c>
      <c r="H63" s="22" t="s">
        <v>813</v>
      </c>
      <c r="I63" s="13">
        <v>42719.474849537037</v>
      </c>
      <c r="J63" s="7">
        <v>0</v>
      </c>
      <c r="K63" s="109" t="str">
        <f t="shared" si="22"/>
        <v>4029/4030</v>
      </c>
      <c r="L63" s="22" t="str">
        <f>VLOOKUP(A63,'Trips&amp;Operators'!$C$1:$G$99999,5,FALSE)</f>
        <v>STRICKLAND EVAN</v>
      </c>
      <c r="M63" s="6">
        <f t="shared" si="23"/>
        <v>2.9340277775190771E-2</v>
      </c>
      <c r="N63" s="7">
        <f t="shared" si="31"/>
        <v>42.24999999627471</v>
      </c>
      <c r="O63" s="7"/>
      <c r="P63" s="7"/>
      <c r="Q63" s="23"/>
      <c r="R63" s="23"/>
      <c r="S63" s="35">
        <f t="shared" si="32"/>
        <v>1</v>
      </c>
      <c r="T63" s="50" t="str">
        <f t="shared" si="24"/>
        <v>Southbound</v>
      </c>
      <c r="U63" s="171">
        <f>IF(AG63="EC",COUNTIFS(Variables!$M$2:$M$19,IF(T63="NorthBound","&gt;=","&lt;=")&amp;Y63,Variables!$M$2:$M$19,IF(T63="NorthBound","&lt;=","&gt;=")&amp;Z63),COUNTIFS(Variables!$P$2:$P$19,IF(T63="NorthBound","&gt;=","&lt;=")&amp;Y63,Variables!$P$2:$P$19,IF(T63="NorthBound","&lt;=","&gt;=")&amp;Z63))</f>
        <v>12</v>
      </c>
      <c r="V63" s="98" t="str">
        <f t="shared" si="3"/>
        <v>https://search-rtdc-monitor-bjffxe2xuh6vdkpspy63sjmuny.us-east-1.es.amazonaws.com/_plugin/kibana/#/discover/Steve-Slow-Train-Analysis-(2080s-and-2083s)?_g=(refreshInterval:(display:Off,section:0,value:0),time:(from:'2016-12-15 09:33:33-700',mode:absolute,to:'2016-12-15 12:23:47-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63" s="52" t="str">
        <f t="shared" si="25"/>
        <v>N</v>
      </c>
      <c r="X63" s="177">
        <f t="shared" si="33"/>
        <v>1</v>
      </c>
      <c r="Y63" s="67">
        <f t="shared" si="26"/>
        <v>23.301100000000002</v>
      </c>
      <c r="Z63" s="67">
        <f t="shared" si="27"/>
        <v>1.67E-2</v>
      </c>
      <c r="AA63" s="67">
        <f t="shared" si="28"/>
        <v>23.284400000000002</v>
      </c>
      <c r="AB63" s="64" t="e">
        <f>VLOOKUP(A63,Enforcements!$C$7:$K$18,8,0)</f>
        <v>#N/A</v>
      </c>
      <c r="AC63" s="60" t="e">
        <f>VLOOKUP(A63,Enforcements!$C$7:$E$18,3,0)</f>
        <v>#N/A</v>
      </c>
      <c r="AD63" s="61" t="str">
        <f t="shared" si="29"/>
        <v>0150-15</v>
      </c>
      <c r="AE63" s="91" t="str">
        <f t="shared" si="9"/>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63" s="88" t="str">
        <f t="shared" si="10"/>
        <v>"C:\Program Files (x86)\AstroGrep\AstroGrep.exe" /spath="%USERPROFILE%\AppData\Local\Temp\OnboardLogs" /stypes="app*4030*20161215*" /stext=" 18:.+((SYSTEM_STATE.+slice.+state.+changed )|(ment ac)|(multiple cpu faults)|(system.+state.+changed )|(\[timeout)|(PRM\|1\|D)|(kpr)|(kdp)|(\|lc)|(penalty))" /e /r /s</v>
      </c>
      <c r="AG63" s="1" t="str">
        <f t="shared" si="30"/>
        <v>EC</v>
      </c>
      <c r="AH63" s="92" t="str">
        <f t="shared" si="14"/>
        <v>"%USERPROFILE%\Documents\GitHub\eaglep3\Utilities\RefineRTDCRunTimes.py" --tripid 150-15 --locoid 4030 --swversion DE.1.0.8.0 --startMP 204:233011 --initTime 2016-12-15T10:33:33 --startdatetime 2016-12-15T10:41:32 --delay 1 --endMP 204:167 --enddatetime 2016-12-15T11:23:47 --enforcementcount 0 &gt;&gt;C:\Users\stu\Documents\GitHub\eaglep3-reporting\EC\2016-12-15-refined-times.txt</v>
      </c>
      <c r="AI63" s="119" t="str">
        <f t="shared" si="15"/>
        <v>echo {"issue":{"subject":"","project_id":79,"tracker_id":40,"status_id":1,"priority_id":2,"assigned_to_id":23,"start_date":"2016-12-15","description":"","custom_fields":[{"id":1,"name":"Subdivision","value":"EC"},{"id":4,"name":"Milepost","value":"0.0167"},{"id":17,"name":"Train ID","value":"150-15"},{"id":16,"name":"Locomotive ID","value":"4030"},{"id":130,"name":"Impact","value":""},{"id":150,"name":"Time of Event (Mountain Time)","value":"11:23:47"},{"id":151,"name":"Denver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648</v>
      </c>
      <c r="B64" s="7">
        <v>4020</v>
      </c>
      <c r="C64" s="22" t="s">
        <v>207</v>
      </c>
      <c r="D64" s="22" t="s">
        <v>275</v>
      </c>
      <c r="E64" s="13">
        <v>42719.414826388886</v>
      </c>
      <c r="F64" s="13">
        <v>42719.417187500003</v>
      </c>
      <c r="G64" s="7">
        <v>2</v>
      </c>
      <c r="H64" s="22" t="s">
        <v>408</v>
      </c>
      <c r="I64" s="13">
        <v>42719.441041666665</v>
      </c>
      <c r="J64" s="7">
        <v>0</v>
      </c>
      <c r="K64" s="109" t="str">
        <f t="shared" si="22"/>
        <v>4019/4020</v>
      </c>
      <c r="L64" s="22" t="str">
        <f>VLOOKUP(A64,'Trips&amp;Operators'!$C$1:$G$99999,5,FALSE)</f>
        <v>SIMONEAUX TERA</v>
      </c>
      <c r="M64" s="6">
        <f t="shared" si="23"/>
        <v>2.3854166662204079E-2</v>
      </c>
      <c r="N64" s="7">
        <f t="shared" si="31"/>
        <v>34.349999993573874</v>
      </c>
      <c r="O64" s="7"/>
      <c r="P64" s="7"/>
      <c r="Q64" s="23"/>
      <c r="R64" s="23"/>
      <c r="S64" s="35">
        <f t="shared" si="32"/>
        <v>1</v>
      </c>
      <c r="T64" s="50" t="str">
        <f t="shared" si="24"/>
        <v>NorthBound</v>
      </c>
      <c r="U64" s="171">
        <f>IF(AG64="EC",COUNTIFS(Variables!$M$2:$M$19,IF(T64="NorthBound","&gt;=","&lt;=")&amp;Y64,Variables!$M$2:$M$19,IF(T64="NorthBound","&lt;=","&gt;=")&amp;Z64),COUNTIFS(Variables!$P$2:$P$19,IF(T64="NorthBound","&gt;=","&lt;=")&amp;Y64,Variables!$P$2:$P$19,IF(T64="NorthBound","&lt;=","&gt;=")&amp;Z64))</f>
        <v>12</v>
      </c>
      <c r="V64" s="98" t="str">
        <f t="shared" si="3"/>
        <v>https://search-rtdc-monitor-bjffxe2xuh6vdkpspy63sjmuny.us-east-1.es.amazonaws.com/_plugin/kibana/#/discover/Steve-Slow-Train-Analysis-(2080s-and-2083s)?_g=(refreshInterval:(display:Off,section:0,value:0),time:(from:'2016-12-15 08:57:21-700',mode:absolute,to:'2016-12-15 11:35:06-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64" s="52" t="str">
        <f t="shared" si="25"/>
        <v>N</v>
      </c>
      <c r="X64" s="177">
        <f t="shared" si="33"/>
        <v>1</v>
      </c>
      <c r="Y64" s="67">
        <f t="shared" si="26"/>
        <v>4.6399999999999997E-2</v>
      </c>
      <c r="Z64" s="67">
        <f t="shared" si="27"/>
        <v>23.3307</v>
      </c>
      <c r="AA64" s="67">
        <f t="shared" si="28"/>
        <v>23.284300000000002</v>
      </c>
      <c r="AB64" s="64" t="e">
        <f>VLOOKUP(A64,Enforcements!$C$7:$K$18,8,0)</f>
        <v>#N/A</v>
      </c>
      <c r="AC64" s="60" t="e">
        <f>VLOOKUP(A64,Enforcements!$C$7:$E$18,3,0)</f>
        <v>#N/A</v>
      </c>
      <c r="AD64" s="61" t="str">
        <f t="shared" si="29"/>
        <v>0151-15</v>
      </c>
      <c r="AE64" s="91" t="str">
        <f t="shared" si="9"/>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AF64" s="88" t="str">
        <f t="shared" si="10"/>
        <v>"C:\Program Files (x86)\AstroGrep\AstroGrep.exe" /spath="%USERPROFILE%\AppData\Local\Temp\OnboardLogs" /stypes="app*4020*20161215*" /stext=" 17:.+((SYSTEM_STATE.+slice.+state.+changed )|(ment ac)|(multiple cpu faults)|(system.+state.+changed )|(\[timeout)|(PRM\|1\|D)|(kpr)|(kdp)|(\|lc)|(penalty))" /e /r /s</v>
      </c>
      <c r="AG64" s="1" t="str">
        <f t="shared" si="30"/>
        <v>EC</v>
      </c>
      <c r="AH64" s="92" t="str">
        <f t="shared" si="14"/>
        <v>"%USERPROFILE%\Documents\GitHub\eaglep3\Utilities\RefineRTDCRunTimes.py" --tripid 151-15 --locoid 4020 --swversion DE.1.0.8.0 --startMP 204:464 --initTime 2016-12-15T09:57:21 --startdatetime 2016-12-15T10:00:45 --delay 2 --endMP 204:233307 --enddatetime 2016-12-15T10:35:06 --enforcementcount 0 &gt;&gt;C:\Users\stu\Documents\GitHub\eaglep3-reporting\EC\2016-12-15-refined-times.txt</v>
      </c>
      <c r="AI64" s="119" t="str">
        <f t="shared" si="15"/>
        <v>echo {"issue":{"subject":"","project_id":79,"tracker_id":40,"status_id":1,"priority_id":2,"assigned_to_id":23,"start_date":"2016-12-15","description":"","custom_fields":[{"id":1,"name":"Subdivision","value":"EC"},{"id":4,"name":"Milepost","value":"23.3307"},{"id":17,"name":"Train ID","value":"151-15"},{"id":16,"name":"Locomotive ID","value":"4020"},{"id":130,"name":"Impact","value":""},{"id":150,"name":"Time of Event (Mountain Time)","value":"10:35:06"},{"id":151,"name":"Denver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657</v>
      </c>
      <c r="B65" s="7">
        <v>4019</v>
      </c>
      <c r="C65" s="22" t="s">
        <v>207</v>
      </c>
      <c r="D65" s="22" t="s">
        <v>814</v>
      </c>
      <c r="E65" s="13">
        <v>42719.453912037039</v>
      </c>
      <c r="F65" s="13">
        <v>42719.455752314818</v>
      </c>
      <c r="G65" s="7">
        <v>1</v>
      </c>
      <c r="H65" s="22" t="s">
        <v>212</v>
      </c>
      <c r="I65" s="13">
        <v>42719.483043981483</v>
      </c>
      <c r="J65" s="7">
        <v>0</v>
      </c>
      <c r="K65" s="109" t="str">
        <f t="shared" si="22"/>
        <v>4019/4020</v>
      </c>
      <c r="L65" s="22" t="str">
        <f>VLOOKUP(A65,'Trips&amp;Operators'!$C$1:$G$99999,5,FALSE)</f>
        <v>SIMONEAUX TERA</v>
      </c>
      <c r="M65" s="6">
        <f t="shared" si="23"/>
        <v>2.7291666665405501E-2</v>
      </c>
      <c r="N65" s="7">
        <f t="shared" si="31"/>
        <v>39.299999998183921</v>
      </c>
      <c r="O65" s="7"/>
      <c r="P65" s="7"/>
      <c r="Q65" s="23"/>
      <c r="R65" s="23"/>
      <c r="S65" s="35">
        <f t="shared" si="32"/>
        <v>1</v>
      </c>
      <c r="T65" s="50" t="str">
        <f t="shared" si="24"/>
        <v>Southbound</v>
      </c>
      <c r="U65" s="171">
        <f>IF(AG65="EC",COUNTIFS(Variables!$M$2:$M$19,IF(T65="NorthBound","&gt;=","&lt;=")&amp;Y65,Variables!$M$2:$M$19,IF(T65="NorthBound","&lt;=","&gt;=")&amp;Z65),COUNTIFS(Variables!$P$2:$P$19,IF(T65="NorthBound","&gt;=","&lt;=")&amp;Y65,Variables!$P$2:$P$19,IF(T65="NorthBound","&lt;=","&gt;=")&amp;Z65))</f>
        <v>12</v>
      </c>
      <c r="V65" s="98" t="str">
        <f t="shared" si="3"/>
        <v>https://search-rtdc-monitor-bjffxe2xuh6vdkpspy63sjmuny.us-east-1.es.amazonaws.com/_plugin/kibana/#/discover/Steve-Slow-Train-Analysis-(2080s-and-2083s)?_g=(refreshInterval:(display:Off,section:0,value:0),time:(from:'2016-12-15 09:53:38-700',mode:absolute,to:'2016-12-15 12:35:35-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65" s="52" t="str">
        <f t="shared" si="25"/>
        <v>N</v>
      </c>
      <c r="X65" s="177">
        <f t="shared" si="33"/>
        <v>1</v>
      </c>
      <c r="Y65" s="67">
        <f t="shared" si="26"/>
        <v>23.299199999999999</v>
      </c>
      <c r="Z65" s="67">
        <f t="shared" si="27"/>
        <v>1.4999999999999999E-2</v>
      </c>
      <c r="AA65" s="67">
        <f t="shared" si="28"/>
        <v>23.284199999999998</v>
      </c>
      <c r="AB65" s="64" t="e">
        <f>VLOOKUP(A65,Enforcements!$C$7:$K$18,8,0)</f>
        <v>#N/A</v>
      </c>
      <c r="AC65" s="60" t="e">
        <f>VLOOKUP(A65,Enforcements!$C$7:$E$18,3,0)</f>
        <v>#N/A</v>
      </c>
      <c r="AD65" s="61" t="str">
        <f t="shared" si="29"/>
        <v>0152-15</v>
      </c>
      <c r="AE65" s="91" t="str">
        <f t="shared" si="9"/>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65" s="88" t="str">
        <f t="shared" si="10"/>
        <v>"C:\Program Files (x86)\AstroGrep\AstroGrep.exe" /spath="%USERPROFILE%\AppData\Local\Temp\OnboardLogs" /stypes="app*4019*20161215*" /stext=" 18:.+((SYSTEM_STATE.+slice.+state.+changed )|(ment ac)|(multiple cpu faults)|(system.+state.+changed )|(\[timeout)|(PRM\|1\|D)|(kpr)|(kdp)|(\|lc)|(penalty))" /e /r /s</v>
      </c>
      <c r="AG65" s="1" t="str">
        <f t="shared" si="30"/>
        <v>EC</v>
      </c>
      <c r="AH65" s="92" t="str">
        <f t="shared" si="14"/>
        <v>"%USERPROFILE%\Documents\GitHub\eaglep3\Utilities\RefineRTDCRunTimes.py" --tripid 152-15 --locoid 4019 --swversion DE.1.0.8.0 --startMP 204:232992 --initTime 2016-12-15T10:53:38 --startdatetime 2016-12-15T10:56:17 --delay 1 --endMP 204:150 --enddatetime 2016-12-15T11:35:35 --enforcementcount 0 &gt;&gt;C:\Users\stu\Documents\GitHub\eaglep3-reporting\EC\2016-12-15-refined-times.txt</v>
      </c>
      <c r="AI65" s="119" t="str">
        <f t="shared" si="15"/>
        <v>echo {"issue":{"subject":"","project_id":79,"tracker_id":40,"status_id":1,"priority_id":2,"assigned_to_id":23,"start_date":"2016-12-15","description":"","custom_fields":[{"id":1,"name":"Subdivision","value":"EC"},{"id":4,"name":"Milepost","value":"0.015"},{"id":17,"name":"Train ID","value":"152-15"},{"id":16,"name":"Locomotive ID","value":"4019"},{"id":130,"name":"Impact","value":""},{"id":150,"name":"Time of Event (Mountain Time)","value":"11:35:35"},{"id":151,"name":"Denver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649</v>
      </c>
      <c r="B66" s="7">
        <v>4011</v>
      </c>
      <c r="C66" s="22" t="s">
        <v>207</v>
      </c>
      <c r="D66" s="22" t="s">
        <v>310</v>
      </c>
      <c r="E66" s="13">
        <v>42719.425729166665</v>
      </c>
      <c r="F66" s="13">
        <v>42719.427534722221</v>
      </c>
      <c r="G66" s="7">
        <v>1</v>
      </c>
      <c r="H66" s="22" t="s">
        <v>400</v>
      </c>
      <c r="I66" s="13">
        <v>42719.454699074071</v>
      </c>
      <c r="J66" s="7">
        <v>0</v>
      </c>
      <c r="K66" s="109" t="str">
        <f t="shared" si="22"/>
        <v>4011/4012</v>
      </c>
      <c r="L66" s="22" t="str">
        <f>VLOOKUP(A66,'Trips&amp;Operators'!$C$1:$G$99999,5,FALSE)</f>
        <v>STARKS ANGELINA</v>
      </c>
      <c r="M66" s="6">
        <f t="shared" si="23"/>
        <v>2.7164351849933155E-2</v>
      </c>
      <c r="N66" s="7">
        <f t="shared" si="31"/>
        <v>39.116666663903743</v>
      </c>
      <c r="O66" s="7"/>
      <c r="P66" s="7"/>
      <c r="Q66" s="23"/>
      <c r="R66" s="23"/>
      <c r="S66" s="35">
        <f t="shared" si="32"/>
        <v>1</v>
      </c>
      <c r="T66" s="50" t="str">
        <f t="shared" si="24"/>
        <v>NorthBound</v>
      </c>
      <c r="U66" s="171">
        <f>IF(AG66="EC",COUNTIFS(Variables!$M$2:$M$19,IF(T66="NorthBound","&gt;=","&lt;=")&amp;Y66,Variables!$M$2:$M$19,IF(T66="NorthBound","&lt;=","&gt;=")&amp;Z66),COUNTIFS(Variables!$P$2:$P$19,IF(T66="NorthBound","&gt;=","&lt;=")&amp;Y66,Variables!$P$2:$P$19,IF(T66="NorthBound","&lt;=","&gt;=")&amp;Z66))</f>
        <v>12</v>
      </c>
      <c r="V66" s="98" t="str">
        <f t="shared" si="3"/>
        <v>https://search-rtdc-monitor-bjffxe2xuh6vdkpspy63sjmuny.us-east-1.es.amazonaws.com/_plugin/kibana/#/discover/Steve-Slow-Train-Analysis-(2080s-and-2083s)?_g=(refreshInterval:(display:Off,section:0,value:0),time:(from:'2016-12-15 09:13:03-700',mode:absolute,to:'2016-12-15 11:54:46-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66" s="52" t="str">
        <f t="shared" si="25"/>
        <v>N</v>
      </c>
      <c r="X66" s="177">
        <f t="shared" si="33"/>
        <v>1</v>
      </c>
      <c r="Y66" s="67">
        <f t="shared" si="26"/>
        <v>4.6600000000000003E-2</v>
      </c>
      <c r="Z66" s="67">
        <f t="shared" si="27"/>
        <v>23.33</v>
      </c>
      <c r="AA66" s="67">
        <f t="shared" si="28"/>
        <v>23.283399999999997</v>
      </c>
      <c r="AB66" s="64" t="e">
        <f>VLOOKUP(A66,Enforcements!$C$7:$K$18,8,0)</f>
        <v>#N/A</v>
      </c>
      <c r="AC66" s="60" t="e">
        <f>VLOOKUP(A66,Enforcements!$C$7:$E$18,3,0)</f>
        <v>#N/A</v>
      </c>
      <c r="AD66" s="61" t="str">
        <f t="shared" si="29"/>
        <v>0153-15</v>
      </c>
      <c r="AE66" s="91" t="str">
        <f t="shared" si="9"/>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66" s="88" t="str">
        <f t="shared" si="10"/>
        <v>"C:\Program Files (x86)\AstroGrep\AstroGrep.exe" /spath="%USERPROFILE%\AppData\Local\Temp\OnboardLogs" /stypes="app*4011*20161215*" /stext=" 17:.+((SYSTEM_STATE.+slice.+state.+changed )|(ment ac)|(multiple cpu faults)|(system.+state.+changed )|(\[timeout)|(PRM\|1\|D)|(kpr)|(kdp)|(\|lc)|(penalty))" /e /r /s</v>
      </c>
      <c r="AG66" s="1" t="str">
        <f t="shared" si="30"/>
        <v>EC</v>
      </c>
      <c r="AH66" s="92" t="str">
        <f t="shared" si="14"/>
        <v>"%USERPROFILE%\Documents\GitHub\eaglep3\Utilities\RefineRTDCRunTimes.py" --tripid 153-15 --locoid 4011 --swversion DE.1.0.8.0 --startMP 204:466 --initTime 2016-12-15T10:13:03 --startdatetime 2016-12-15T10:15:39 --delay 1 --endMP 204:233300 --enddatetime 2016-12-15T10:54:46 --enforcementcount 0 &gt;&gt;C:\Users\stu\Documents\GitHub\eaglep3-reporting\EC\2016-12-15-refined-times.txt</v>
      </c>
      <c r="AI66" s="119" t="str">
        <f t="shared" si="15"/>
        <v>echo {"issue":{"subject":"","project_id":79,"tracker_id":40,"status_id":1,"priority_id":2,"assigned_to_id":23,"start_date":"2016-12-15","description":"","custom_fields":[{"id":1,"name":"Subdivision","value":"EC"},{"id":4,"name":"Milepost","value":"23.33"},{"id":17,"name":"Train ID","value":"153-15"},{"id":16,"name":"Locomotive ID","value":"4011"},{"id":130,"name":"Impact","value":""},{"id":150,"name":"Time of Event (Mountain Time)","value":"10:54:46"},{"id":151,"name":"Denver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660</v>
      </c>
      <c r="B67" s="7">
        <v>4012</v>
      </c>
      <c r="C67" s="22" t="s">
        <v>207</v>
      </c>
      <c r="D67" s="22" t="s">
        <v>287</v>
      </c>
      <c r="E67" s="13">
        <v>42719.463576388887</v>
      </c>
      <c r="F67" s="13">
        <v>42719.466331018521</v>
      </c>
      <c r="G67" s="7">
        <v>1</v>
      </c>
      <c r="H67" s="22" t="s">
        <v>212</v>
      </c>
      <c r="I67" s="13">
        <v>42719.49627314815</v>
      </c>
      <c r="J67" s="7">
        <v>0</v>
      </c>
      <c r="K67" s="109" t="str">
        <f t="shared" si="22"/>
        <v>4011/4012</v>
      </c>
      <c r="L67" s="22" t="str">
        <f>VLOOKUP(A67,'Trips&amp;Operators'!$C$1:$G$99999,5,FALSE)</f>
        <v>STARKS ANGELINA</v>
      </c>
      <c r="M67" s="6">
        <f t="shared" si="23"/>
        <v>2.99421296294895E-2</v>
      </c>
      <c r="N67" s="7">
        <f t="shared" si="31"/>
        <v>43.11666666646488</v>
      </c>
      <c r="O67" s="7"/>
      <c r="P67" s="7"/>
      <c r="Q67" s="23"/>
      <c r="R67" s="23"/>
      <c r="S67" s="35">
        <f t="shared" si="32"/>
        <v>1</v>
      </c>
      <c r="T67" s="50" t="str">
        <f t="shared" si="24"/>
        <v>Southbound</v>
      </c>
      <c r="U67" s="171">
        <f>IF(AG67="EC",COUNTIFS(Variables!$M$2:$M$19,IF(T67="NorthBound","&gt;=","&lt;=")&amp;Y67,Variables!$M$2:$M$19,IF(T67="NorthBound","&lt;=","&gt;=")&amp;Z67),COUNTIFS(Variables!$P$2:$P$19,IF(T67="NorthBound","&gt;=","&lt;=")&amp;Y67,Variables!$P$2:$P$19,IF(T67="NorthBound","&lt;=","&gt;=")&amp;Z67))</f>
        <v>12</v>
      </c>
      <c r="V67" s="98" t="str">
        <f t="shared" si="3"/>
        <v>https://search-rtdc-monitor-bjffxe2xuh6vdkpspy63sjmuny.us-east-1.es.amazonaws.com/_plugin/kibana/#/discover/Steve-Slow-Train-Analysis-(2080s-and-2083s)?_g=(refreshInterval:(display:Off,section:0,value:0),time:(from:'2016-12-15 10:07:33-700',mode:absolute,to:'2016-12-15 12:54:38-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67" s="52" t="str">
        <f t="shared" si="25"/>
        <v>N</v>
      </c>
      <c r="X67" s="177">
        <f t="shared" si="33"/>
        <v>1</v>
      </c>
      <c r="Y67" s="67">
        <f t="shared" si="26"/>
        <v>23.298300000000001</v>
      </c>
      <c r="Z67" s="67">
        <f t="shared" si="27"/>
        <v>1.4999999999999999E-2</v>
      </c>
      <c r="AA67" s="67">
        <f t="shared" si="28"/>
        <v>23.283300000000001</v>
      </c>
      <c r="AB67" s="64" t="e">
        <f>VLOOKUP(A67,Enforcements!$C$7:$K$18,8,0)</f>
        <v>#N/A</v>
      </c>
      <c r="AC67" s="60" t="e">
        <f>VLOOKUP(A67,Enforcements!$C$7:$E$18,3,0)</f>
        <v>#N/A</v>
      </c>
      <c r="AD67" s="61" t="str">
        <f t="shared" si="29"/>
        <v>0154-15</v>
      </c>
      <c r="AE67" s="91" t="str">
        <f t="shared" si="9"/>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67" s="88" t="str">
        <f t="shared" si="10"/>
        <v>"C:\Program Files (x86)\AstroGrep\AstroGrep.exe" /spath="%USERPROFILE%\AppData\Local\Temp\OnboardLogs" /stypes="app*4012*20161215*" /stext=" 18:.+((SYSTEM_STATE.+slice.+state.+changed )|(ment ac)|(multiple cpu faults)|(system.+state.+changed )|(\[timeout)|(PRM\|1\|D)|(kpr)|(kdp)|(\|lc)|(penalty))" /e /r /s</v>
      </c>
      <c r="AG67" s="1" t="str">
        <f t="shared" si="30"/>
        <v>EC</v>
      </c>
      <c r="AH67" s="92" t="str">
        <f t="shared" si="14"/>
        <v>"%USERPROFILE%\Documents\GitHub\eaglep3\Utilities\RefineRTDCRunTimes.py" --tripid 154-15 --locoid 4012 --swversion DE.1.0.8.0 --startMP 204:232983 --initTime 2016-12-15T11:07:33 --startdatetime 2016-12-15T11:11:31 --delay 1 --endMP 204:150 --enddatetime 2016-12-15T11:54:38 --enforcementcount 0 &gt;&gt;C:\Users\stu\Documents\GitHub\eaglep3-reporting\EC\2016-12-15-refined-times.txt</v>
      </c>
      <c r="AI67" s="119" t="str">
        <f t="shared" si="15"/>
        <v>echo {"issue":{"subject":"","project_id":79,"tracker_id":40,"status_id":1,"priority_id":2,"assigned_to_id":23,"start_date":"2016-12-15","description":"","custom_fields":[{"id":1,"name":"Subdivision","value":"EC"},{"id":4,"name":"Milepost","value":"0.015"},{"id":17,"name":"Train ID","value":"154-15"},{"id":16,"name":"Locomotive ID","value":"4012"},{"id":130,"name":"Impact","value":""},{"id":150,"name":"Time of Event (Mountain Time)","value":"11:54:38"},{"id":151,"name":"Denver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653</v>
      </c>
      <c r="B68" s="7">
        <v>4018</v>
      </c>
      <c r="C68" s="22" t="s">
        <v>207</v>
      </c>
      <c r="D68" s="22" t="s">
        <v>195</v>
      </c>
      <c r="E68" s="13">
        <v>42719.434872685182</v>
      </c>
      <c r="F68" s="13">
        <v>42719.438009259262</v>
      </c>
      <c r="G68" s="7">
        <v>1</v>
      </c>
      <c r="H68" s="22" t="s">
        <v>815</v>
      </c>
      <c r="I68" s="13">
        <v>42719.461712962962</v>
      </c>
      <c r="J68" s="7">
        <v>0</v>
      </c>
      <c r="K68" s="109" t="str">
        <f t="shared" si="22"/>
        <v>4017/4018</v>
      </c>
      <c r="L68" s="22" t="str">
        <f>VLOOKUP(A68,'Trips&amp;Operators'!$C$1:$G$99999,5,FALSE)</f>
        <v>ALEXANDER DONNELL</v>
      </c>
      <c r="M68" s="6">
        <f t="shared" si="23"/>
        <v>2.3703703700448386E-2</v>
      </c>
      <c r="N68" s="7">
        <f t="shared" si="31"/>
        <v>34.133333328645676</v>
      </c>
      <c r="O68" s="7"/>
      <c r="P68" s="7"/>
      <c r="Q68" s="23"/>
      <c r="R68" s="23"/>
      <c r="S68" s="35">
        <f t="shared" si="32"/>
        <v>1</v>
      </c>
      <c r="T68" s="50" t="str">
        <f t="shared" si="24"/>
        <v>NorthBound</v>
      </c>
      <c r="U68" s="171">
        <f>IF(AG68="EC",COUNTIFS(Variables!$M$2:$M$19,IF(T68="NorthBound","&gt;=","&lt;=")&amp;Y68,Variables!$M$2:$M$19,IF(T68="NorthBound","&lt;=","&gt;=")&amp;Z68),COUNTIFS(Variables!$P$2:$P$19,IF(T68="NorthBound","&gt;=","&lt;=")&amp;Y68,Variables!$P$2:$P$19,IF(T68="NorthBound","&lt;=","&gt;=")&amp;Z68))</f>
        <v>12</v>
      </c>
      <c r="V68" s="98" t="str">
        <f t="shared" si="3"/>
        <v>https://search-rtdc-monitor-bjffxe2xuh6vdkpspy63sjmuny.us-east-1.es.amazonaws.com/_plugin/kibana/#/discover/Steve-Slow-Train-Analysis-(2080s-and-2083s)?_g=(refreshInterval:(display:Off,section:0,value:0),time:(from:'2016-12-15 09:26:13-700',mode:absolute,to:'2016-12-15 12:04: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68" s="52" t="str">
        <f t="shared" si="25"/>
        <v>N</v>
      </c>
      <c r="X68" s="177">
        <f t="shared" si="33"/>
        <v>1</v>
      </c>
      <c r="Y68" s="67">
        <f t="shared" si="26"/>
        <v>4.5100000000000001E-2</v>
      </c>
      <c r="Z68" s="67">
        <f t="shared" si="27"/>
        <v>23.326599999999999</v>
      </c>
      <c r="AA68" s="67">
        <f t="shared" si="28"/>
        <v>23.281499999999998</v>
      </c>
      <c r="AB68" s="64" t="e">
        <f>VLOOKUP(A68,Enforcements!$C$7:$K$18,8,0)</f>
        <v>#N/A</v>
      </c>
      <c r="AC68" s="60" t="e">
        <f>VLOOKUP(A68,Enforcements!$C$7:$E$18,3,0)</f>
        <v>#N/A</v>
      </c>
      <c r="AD68" s="61" t="str">
        <f t="shared" si="29"/>
        <v>0155-15</v>
      </c>
      <c r="AE68" s="91" t="str">
        <f t="shared" si="9"/>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68" s="88" t="str">
        <f t="shared" si="10"/>
        <v>"C:\Program Files (x86)\AstroGrep\AstroGrep.exe" /spath="%USERPROFILE%\AppData\Local\Temp\OnboardLogs" /stypes="app*4018*20161215*" /stext=" 18:.+((SYSTEM_STATE.+slice.+state.+changed )|(ment ac)|(multiple cpu faults)|(system.+state.+changed )|(\[timeout)|(PRM\|1\|D)|(kpr)|(kdp)|(\|lc)|(penalty))" /e /r /s</v>
      </c>
      <c r="AG68" s="1" t="str">
        <f t="shared" si="30"/>
        <v>EC</v>
      </c>
      <c r="AH68" s="92" t="str">
        <f t="shared" si="14"/>
        <v>"%USERPROFILE%\Documents\GitHub\eaglep3\Utilities\RefineRTDCRunTimes.py" --tripid 155-15 --locoid 4018 --swversion DE.1.0.8.0 --startMP 204:451 --initTime 2016-12-15T10:26:13 --startdatetime 2016-12-15T10:30:44 --delay 1 --endMP 204:233266 --enddatetime 2016-12-15T11:04:52 --enforcementcount 0 &gt;&gt;C:\Users\stu\Documents\GitHub\eaglep3-reporting\EC\2016-12-15-refined-times.txt</v>
      </c>
      <c r="AI68" s="119" t="str">
        <f t="shared" si="15"/>
        <v>echo {"issue":{"subject":"","project_id":79,"tracker_id":40,"status_id":1,"priority_id":2,"assigned_to_id":23,"start_date":"2016-12-15","description":"","custom_fields":[{"id":1,"name":"Subdivision","value":"EC"},{"id":4,"name":"Milepost","value":"23.3266"},{"id":17,"name":"Train ID","value":"155-15"},{"id":16,"name":"Locomotive ID","value":"4018"},{"id":130,"name":"Impact","value":""},{"id":150,"name":"Time of Event (Mountain Time)","value":"11:04:52"},{"id":151,"name":"Denver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565</v>
      </c>
      <c r="B69" s="7">
        <v>4017</v>
      </c>
      <c r="C69" s="22" t="s">
        <v>207</v>
      </c>
      <c r="D69" s="22" t="s">
        <v>403</v>
      </c>
      <c r="E69" s="13">
        <v>42719.463425925926</v>
      </c>
      <c r="F69" s="13">
        <v>42719.476956018516</v>
      </c>
      <c r="G69" s="7">
        <v>1</v>
      </c>
      <c r="H69" s="22" t="s">
        <v>192</v>
      </c>
      <c r="I69" s="13">
        <v>42719.503472222219</v>
      </c>
      <c r="J69" s="7">
        <v>0</v>
      </c>
      <c r="K69" s="109" t="str">
        <f t="shared" si="22"/>
        <v>4017/4018</v>
      </c>
      <c r="L69" s="22" t="str">
        <f>VLOOKUP(A69,'Trips&amp;Operators'!$C$1:$G$99999,5,FALSE)</f>
        <v>ALEXANDER DONNELL</v>
      </c>
      <c r="M69" s="6">
        <f t="shared" si="23"/>
        <v>2.6516203703067731E-2</v>
      </c>
      <c r="N69" s="7">
        <f t="shared" si="31"/>
        <v>38.183333332417533</v>
      </c>
      <c r="O69" s="7"/>
      <c r="P69" s="7"/>
      <c r="Q69" s="23"/>
      <c r="R69" s="23"/>
      <c r="S69" s="35">
        <f t="shared" si="32"/>
        <v>1</v>
      </c>
      <c r="T69" s="50" t="str">
        <f t="shared" si="24"/>
        <v>Southbound</v>
      </c>
      <c r="U69" s="171">
        <f>IF(AG69="EC",COUNTIFS(Variables!$M$2:$M$19,IF(T69="NorthBound","&gt;=","&lt;=")&amp;Y69,Variables!$M$2:$M$19,IF(T69="NorthBound","&lt;=","&gt;=")&amp;Z69),COUNTIFS(Variables!$P$2:$P$19,IF(T69="NorthBound","&gt;=","&lt;=")&amp;Y69,Variables!$P$2:$P$19,IF(T69="NorthBound","&lt;=","&gt;=")&amp;Z69))</f>
        <v>12</v>
      </c>
      <c r="V69" s="98" t="str">
        <f t="shared" si="3"/>
        <v>https://search-rtdc-monitor-bjffxe2xuh6vdkpspy63sjmuny.us-east-1.es.amazonaws.com/_plugin/kibana/#/discover/Steve-Slow-Train-Analysis-(2080s-and-2083s)?_g=(refreshInterval:(display:Off,section:0,value:0),time:(from:'2016-12-15 10:07:20-700',mode:absolute,to:'2016-12-15 13:05: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69" s="52" t="str">
        <f t="shared" si="25"/>
        <v>N</v>
      </c>
      <c r="X69" s="177">
        <f t="shared" si="33"/>
        <v>1</v>
      </c>
      <c r="Y69" s="67">
        <f t="shared" si="26"/>
        <v>23.296700000000001</v>
      </c>
      <c r="Z69" s="67">
        <f t="shared" si="27"/>
        <v>1.49E-2</v>
      </c>
      <c r="AA69" s="67">
        <f t="shared" si="28"/>
        <v>23.2818</v>
      </c>
      <c r="AB69" s="64" t="str">
        <f>VLOOKUP(A69,Enforcements!$C$7:$K$18,8,0)</f>
        <v>Speed (6)</v>
      </c>
      <c r="AC69" s="60" t="str">
        <f>VLOOKUP(A69,Enforcements!$C$7:$E$18,3,0)</f>
        <v>PERMANENT SPEED RESTRICTION</v>
      </c>
      <c r="AD69" s="61" t="str">
        <f t="shared" si="29"/>
        <v>0156-15</v>
      </c>
      <c r="AE69" s="91" t="str">
        <f t="shared" si="9"/>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69" s="88" t="str">
        <f t="shared" si="10"/>
        <v>"C:\Program Files (x86)\AstroGrep\AstroGrep.exe" /spath="%USERPROFILE%\AppData\Local\Temp\OnboardLogs" /stypes="app*4017*20161215*" /stext=" 19:.+((SYSTEM_STATE.+slice.+state.+changed )|(ment ac)|(multiple cpu faults)|(system.+state.+changed )|(\[timeout)|(PRM\|1\|D)|(kpr)|(kdp)|(\|lc)|(penalty))" /e /r /s</v>
      </c>
      <c r="AG69" s="1" t="str">
        <f t="shared" si="30"/>
        <v>EC</v>
      </c>
      <c r="AH69" s="92" t="str">
        <f t="shared" si="14"/>
        <v>"%USERPROFILE%\Documents\GitHub\eaglep3\Utilities\RefineRTDCRunTimes.py" --tripid 156-15 --locoid 4017 --swversion DE.1.0.8.0 --startMP 204:232967 --initTime 2016-12-15T11:07:20 --startdatetime 2016-12-15T11:26:49 --delay 1 --endMP 204:149 --enddatetime 2016-12-15T12:05:00 --enforcementcount 0 &gt;&gt;C:\Users\stu\Documents\GitHub\eaglep3-reporting\EC\2016-12-15-refined-times.txt</v>
      </c>
      <c r="AI69" s="119" t="str">
        <f t="shared" si="15"/>
        <v>echo {"issue":{"subject":"","project_id":79,"tracker_id":40,"status_id":1,"priority_id":2,"assigned_to_id":23,"start_date":"2016-12-15","description":"","custom_fields":[{"id":1,"name":"Subdivision","value":"EC"},{"id":4,"name":"Milepost","value":"0.0149"},{"id":17,"name":"Train ID","value":"156-15"},{"id":16,"name":"Locomotive ID","value":"4017"},{"id":130,"name":"Impact","value":""},{"id":150,"name":"Time of Event (Mountain Time)","value":"12:05:00"},{"id":151,"name":"Denver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656</v>
      </c>
      <c r="B70" s="7">
        <v>4016</v>
      </c>
      <c r="C70" s="22" t="s">
        <v>207</v>
      </c>
      <c r="D70" s="22" t="s">
        <v>816</v>
      </c>
      <c r="E70" s="13">
        <v>42719.445891203701</v>
      </c>
      <c r="F70" s="13">
        <v>42719.448217592595</v>
      </c>
      <c r="G70" s="7">
        <v>1</v>
      </c>
      <c r="H70" s="22" t="s">
        <v>817</v>
      </c>
      <c r="I70" s="13">
        <v>42719.475127314814</v>
      </c>
      <c r="J70" s="7">
        <v>0</v>
      </c>
      <c r="K70" s="109" t="str">
        <f t="shared" si="22"/>
        <v>4015/4016</v>
      </c>
      <c r="L70" s="22" t="str">
        <f>VLOOKUP(A70,'Trips&amp;Operators'!$C$1:$G$99999,5,FALSE)</f>
        <v>SANTIZO D. EDY</v>
      </c>
      <c r="M70" s="6">
        <f t="shared" si="23"/>
        <v>2.6909722218988463E-2</v>
      </c>
      <c r="N70" s="7">
        <f t="shared" si="31"/>
        <v>38.749999995343387</v>
      </c>
      <c r="O70" s="7"/>
      <c r="P70" s="7"/>
      <c r="Q70" s="23"/>
      <c r="R70" s="23"/>
      <c r="S70" s="35">
        <f t="shared" si="32"/>
        <v>1</v>
      </c>
      <c r="T70" s="50" t="str">
        <f t="shared" si="24"/>
        <v>NorthBound</v>
      </c>
      <c r="U70" s="171">
        <f>IF(AG70="EC",COUNTIFS(Variables!$M$2:$M$19,IF(T70="NorthBound","&gt;=","&lt;=")&amp;Y70,Variables!$M$2:$M$19,IF(T70="NorthBound","&lt;=","&gt;=")&amp;Z70),COUNTIFS(Variables!$P$2:$P$19,IF(T70="NorthBound","&gt;=","&lt;=")&amp;Y70,Variables!$P$2:$P$19,IF(T70="NorthBound","&lt;=","&gt;=")&amp;Z70))</f>
        <v>12</v>
      </c>
      <c r="V70" s="98" t="str">
        <f t="shared" si="3"/>
        <v>https://search-rtdc-monitor-bjffxe2xuh6vdkpspy63sjmuny.us-east-1.es.amazonaws.com/_plugin/kibana/#/discover/Steve-Slow-Train-Analysis-(2080s-and-2083s)?_g=(refreshInterval:(display:Off,section:0,value:0),time:(from:'2016-12-15 09:42:05-700',mode:absolute,to:'2016-12-15 12:24: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70" s="52" t="str">
        <f t="shared" si="25"/>
        <v>N</v>
      </c>
      <c r="X70" s="177">
        <f t="shared" si="33"/>
        <v>1</v>
      </c>
      <c r="Y70" s="67">
        <f t="shared" si="26"/>
        <v>4.4900000000000002E-2</v>
      </c>
      <c r="Z70" s="67">
        <f t="shared" si="27"/>
        <v>23.3308</v>
      </c>
      <c r="AA70" s="67">
        <f t="shared" si="28"/>
        <v>23.285900000000002</v>
      </c>
      <c r="AB70" s="64" t="e">
        <f>VLOOKUP(A70,Enforcements!$C$7:$K$18,8,0)</f>
        <v>#N/A</v>
      </c>
      <c r="AC70" s="60" t="e">
        <f>VLOOKUP(A70,Enforcements!$C$7:$E$18,3,0)</f>
        <v>#N/A</v>
      </c>
      <c r="AD70" s="61" t="str">
        <f t="shared" si="29"/>
        <v>0157-15</v>
      </c>
      <c r="AE70" s="91" t="str">
        <f t="shared" si="9"/>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70" s="88" t="str">
        <f t="shared" si="10"/>
        <v>"C:\Program Files (x86)\AstroGrep\AstroGrep.exe" /spath="%USERPROFILE%\AppData\Local\Temp\OnboardLogs" /stypes="app*4016*20161215*" /stext=" 18:.+((SYSTEM_STATE.+slice.+state.+changed )|(ment ac)|(multiple cpu faults)|(system.+state.+changed )|(\[timeout)|(PRM\|1\|D)|(kpr)|(kdp)|(\|lc)|(penalty))" /e /r /s</v>
      </c>
      <c r="AG70" s="1" t="str">
        <f t="shared" si="30"/>
        <v>EC</v>
      </c>
      <c r="AH70" s="92" t="str">
        <f t="shared" si="14"/>
        <v>"%USERPROFILE%\Documents\GitHub\eaglep3\Utilities\RefineRTDCRunTimes.py" --tripid 157-15 --locoid 4016 --swversion DE.1.0.8.0 --startMP 204:449 --initTime 2016-12-15T10:42:05 --startdatetime 2016-12-15T10:45:26 --delay 1 --endMP 204:233308 --enddatetime 2016-12-15T11:24:11 --enforcementcount 0 &gt;&gt;C:\Users\stu\Documents\GitHub\eaglep3-reporting\EC\2016-12-15-refined-times.txt</v>
      </c>
      <c r="AI70" s="119" t="str">
        <f t="shared" si="15"/>
        <v>echo {"issue":{"subject":"","project_id":79,"tracker_id":40,"status_id":1,"priority_id":2,"assigned_to_id":23,"start_date":"2016-12-15","description":"","custom_fields":[{"id":1,"name":"Subdivision","value":"EC"},{"id":4,"name":"Milepost","value":"23.3308"},{"id":17,"name":"Train ID","value":"157-15"},{"id":16,"name":"Locomotive ID","value":"4016"},{"id":130,"name":"Impact","value":""},{"id":150,"name":"Time of Event (Mountain Time)","value":"11:24:11"},{"id":151,"name":"Denver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665</v>
      </c>
      <c r="B71" s="7">
        <v>4015</v>
      </c>
      <c r="C71" s="22" t="s">
        <v>207</v>
      </c>
      <c r="D71" s="22" t="s">
        <v>315</v>
      </c>
      <c r="E71" s="13">
        <v>42719.476793981485</v>
      </c>
      <c r="F71" s="13">
        <v>42719.487129629626</v>
      </c>
      <c r="G71" s="7">
        <v>1</v>
      </c>
      <c r="H71" s="22" t="s">
        <v>347</v>
      </c>
      <c r="I71" s="13">
        <v>42719.515567129631</v>
      </c>
      <c r="J71" s="7">
        <v>0</v>
      </c>
      <c r="K71" s="109" t="str">
        <f t="shared" si="22"/>
        <v>4015/4016</v>
      </c>
      <c r="L71" s="22" t="str">
        <f>VLOOKUP(A71,'Trips&amp;Operators'!$C$1:$G$99999,5,FALSE)</f>
        <v>SANTIZO D. EDY</v>
      </c>
      <c r="M71" s="6">
        <f t="shared" si="23"/>
        <v>2.8437500004656613E-2</v>
      </c>
      <c r="N71" s="7">
        <f t="shared" si="31"/>
        <v>40.950000006705523</v>
      </c>
      <c r="O71" s="7"/>
      <c r="P71" s="7"/>
      <c r="Q71" s="23"/>
      <c r="R71" s="23"/>
      <c r="S71" s="35">
        <f t="shared" si="32"/>
        <v>1</v>
      </c>
      <c r="T71" s="50" t="str">
        <f t="shared" si="24"/>
        <v>Southbound</v>
      </c>
      <c r="U71" s="171">
        <f>IF(AG71="EC",COUNTIFS(Variables!$M$2:$M$19,IF(T71="NorthBound","&gt;=","&lt;=")&amp;Y71,Variables!$M$2:$M$19,IF(T71="NorthBound","&lt;=","&gt;=")&amp;Z71),COUNTIFS(Variables!$P$2:$P$19,IF(T71="NorthBound","&gt;=","&lt;=")&amp;Y71,Variables!$P$2:$P$19,IF(T71="NorthBound","&lt;=","&gt;=")&amp;Z71))</f>
        <v>12</v>
      </c>
      <c r="V71" s="98" t="str">
        <f t="shared" si="3"/>
        <v>https://search-rtdc-monitor-bjffxe2xuh6vdkpspy63sjmuny.us-east-1.es.amazonaws.com/_plugin/kibana/#/discover/Steve-Slow-Train-Analysis-(2080s-and-2083s)?_g=(refreshInterval:(display:Off,section:0,value:0),time:(from:'2016-12-15 10:26:35-700',mode:absolute,to:'2016-12-15 13:22:25-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71" s="52" t="str">
        <f t="shared" si="25"/>
        <v>N</v>
      </c>
      <c r="X71" s="177">
        <f t="shared" si="33"/>
        <v>1</v>
      </c>
      <c r="Y71" s="67">
        <f t="shared" si="26"/>
        <v>23.298500000000001</v>
      </c>
      <c r="Z71" s="67">
        <f t="shared" si="27"/>
        <v>1.38E-2</v>
      </c>
      <c r="AA71" s="67">
        <f t="shared" si="28"/>
        <v>23.284700000000001</v>
      </c>
      <c r="AB71" s="64" t="e">
        <f>VLOOKUP(A71,Enforcements!$C$7:$K$18,8,0)</f>
        <v>#N/A</v>
      </c>
      <c r="AC71" s="60" t="e">
        <f>VLOOKUP(A71,Enforcements!$C$7:$E$18,3,0)</f>
        <v>#N/A</v>
      </c>
      <c r="AD71" s="61" t="str">
        <f t="shared" si="29"/>
        <v>0158-15</v>
      </c>
      <c r="AE71" s="91" t="str">
        <f t="shared" si="9"/>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71" s="88" t="str">
        <f t="shared" si="10"/>
        <v>"C:\Program Files (x86)\AstroGrep\AstroGrep.exe" /spath="%USERPROFILE%\AppData\Local\Temp\OnboardLogs" /stypes="app*4015*20161215*" /stext=" 19:.+((SYSTEM_STATE.+slice.+state.+changed )|(ment ac)|(multiple cpu faults)|(system.+state.+changed )|(\[timeout)|(PRM\|1\|D)|(kpr)|(kdp)|(\|lc)|(penalty))" /e /r /s</v>
      </c>
      <c r="AG71" s="1" t="str">
        <f t="shared" si="30"/>
        <v>EC</v>
      </c>
      <c r="AH71" s="92" t="str">
        <f t="shared" si="14"/>
        <v>"%USERPROFILE%\Documents\GitHub\eaglep3\Utilities\RefineRTDCRunTimes.py" --tripid 158-15 --locoid 4015 --swversion DE.1.0.8.0 --startMP 204:232985 --initTime 2016-12-15T11:26:35 --startdatetime 2016-12-15T11:41:28 --delay 1 --endMP 204:138 --enddatetime 2016-12-15T12:22:25 --enforcementcount 0 &gt;&gt;C:\Users\stu\Documents\GitHub\eaglep3-reporting\EC\2016-12-15-refined-times.txt</v>
      </c>
      <c r="AI71" s="119" t="str">
        <f t="shared" si="15"/>
        <v>echo {"issue":{"subject":"","project_id":79,"tracker_id":40,"status_id":1,"priority_id":2,"assigned_to_id":23,"start_date":"2016-12-15","description":"","custom_fields":[{"id":1,"name":"Subdivision","value":"EC"},{"id":4,"name":"Milepost","value":"0.0138"},{"id":17,"name":"Train ID","value":"158-15"},{"id":16,"name":"Locomotive ID","value":"4015"},{"id":130,"name":"Impact","value":""},{"id":150,"name":"Time of Event (Mountain Time)","value":"12:22:25"},{"id":151,"name":"Denver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658</v>
      </c>
      <c r="B72" s="7">
        <v>4009</v>
      </c>
      <c r="C72" s="22" t="s">
        <v>207</v>
      </c>
      <c r="D72" s="22" t="s">
        <v>315</v>
      </c>
      <c r="E72" s="13">
        <v>42719.476793981485</v>
      </c>
      <c r="F72" s="13">
        <v>42719.458541666667</v>
      </c>
      <c r="G72" s="7">
        <v>1</v>
      </c>
      <c r="H72" s="22" t="s">
        <v>347</v>
      </c>
      <c r="I72" s="13">
        <v>42719.483032407406</v>
      </c>
      <c r="J72" s="7">
        <v>0</v>
      </c>
      <c r="K72" s="109" t="str">
        <f t="shared" si="22"/>
        <v>4009/4010</v>
      </c>
      <c r="L72" s="22" t="str">
        <f>VLOOKUP(A72,'Trips&amp;Operators'!$C$1:$G$99999,5,FALSE)</f>
        <v>DAVIDSON DAVID</v>
      </c>
      <c r="M72" s="6">
        <f t="shared" si="23"/>
        <v>2.4490740739565808E-2</v>
      </c>
      <c r="N72" s="7">
        <f t="shared" si="31"/>
        <v>35.266666664974764</v>
      </c>
      <c r="O72" s="7"/>
      <c r="P72" s="7"/>
      <c r="Q72" s="23"/>
      <c r="R72" s="23"/>
      <c r="S72" s="35">
        <f t="shared" si="32"/>
        <v>1</v>
      </c>
      <c r="T72" s="50" t="str">
        <f t="shared" si="24"/>
        <v>NorthBound</v>
      </c>
      <c r="U72" s="171">
        <f>IF(AG72="EC",COUNTIFS(Variables!$M$2:$M$19,IF(T72="NorthBound","&gt;=","&lt;=")&amp;Y72,Variables!$M$2:$M$19,IF(T72="NorthBound","&lt;=","&gt;=")&amp;Z72),COUNTIFS(Variables!$P$2:$P$19,IF(T72="NorthBound","&gt;=","&lt;=")&amp;Y72,Variables!$P$2:$P$19,IF(T72="NorthBound","&lt;=","&gt;=")&amp;Z72))</f>
        <v>12</v>
      </c>
      <c r="V72" s="98" t="str">
        <f t="shared" si="3"/>
        <v>https://search-rtdc-monitor-bjffxe2xuh6vdkpspy63sjmuny.us-east-1.es.amazonaws.com/_plugin/kibana/#/discover/Steve-Slow-Train-Analysis-(2080s-and-2083s)?_g=(refreshInterval:(display:Off,section:0,value:0),time:(from:'2016-12-15 10:26:35-700',mode:absolute,to:'2016-12-15 12:35:34-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72" s="52" t="str">
        <f t="shared" si="25"/>
        <v>N</v>
      </c>
      <c r="X72" s="177">
        <f t="shared" ref="X72:X74" si="34">VALUE(LEFT(AD72,4))-VALUE(LEFT(AD71,4))</f>
        <v>1</v>
      </c>
      <c r="Y72" s="67">
        <v>4.4900000000000002E-2</v>
      </c>
      <c r="Z72" s="67">
        <v>23.3308</v>
      </c>
      <c r="AA72" s="67">
        <f t="shared" si="28"/>
        <v>23.285900000000002</v>
      </c>
      <c r="AB72" s="64" t="e">
        <f>VLOOKUP(A72,Enforcements!$C$7:$K$18,8,0)</f>
        <v>#N/A</v>
      </c>
      <c r="AC72" s="60" t="e">
        <f>VLOOKUP(A72,Enforcements!$C$7:$E$18,3,0)</f>
        <v>#N/A</v>
      </c>
      <c r="AD72" s="61" t="str">
        <f t="shared" si="29"/>
        <v>0159-15</v>
      </c>
      <c r="AE72" s="91" t="str">
        <f t="shared" si="9"/>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72" s="88" t="str">
        <f t="shared" si="10"/>
        <v>"C:\Program Files (x86)\AstroGrep\AstroGrep.exe" /spath="%USERPROFILE%\AppData\Local\Temp\OnboardLogs" /stypes="app*4009*20161215*" /stext=" 18:.+((SYSTEM_STATE.+slice.+state.+changed )|(ment ac)|(multiple cpu faults)|(system.+state.+changed )|(\[timeout)|(PRM\|1\|D)|(kpr)|(kdp)|(\|lc)|(penalty))" /e /r /s</v>
      </c>
      <c r="AG72" s="1" t="str">
        <f t="shared" si="30"/>
        <v>EC</v>
      </c>
      <c r="AH72" s="92" t="str">
        <f t="shared" ref="AH72" si="35">refinertdcruntimes&amp;" --tripid "&amp;A72&amp;" --locoid "&amp;B72&amp;" --swversion "&amp;C72&amp;" --startMP "&amp;D72&amp;" --initTime "&amp;TEXT(E72,"yyyy-mm-ddTHH:MM:SS")&amp;" --startdatetime "&amp;TEXT(F72,"yyyy-mm-ddTHH:MM:SS")&amp;" --delay "&amp;G72&amp;" --endMP "&amp;H72&amp;" --enddatetime "&amp;TEXT(I72,"yyyy-mm-ddTHH:MM:SS")&amp;" --enforcementcount "&amp;J72&amp;IF(outputrefinedruntimes," &gt;&gt;"&amp;RefinedRTDCRunTimesOutputFile,"")</f>
        <v>"%USERPROFILE%\Documents\GitHub\eaglep3\Utilities\RefineRTDCRunTimes.py" --tripid 159-15 --locoid 4009 --swversion DE.1.0.8.0 --startMP 204:232985 --initTime 2016-12-15T11:26:35 --startdatetime 2016-12-15T11:00:18 --delay 1 --endMP 204:138 --enddatetime 2016-12-15T11:35:34 --enforcementcount 0 &gt;&gt;C:\Users\stu\Documents\GitHub\eaglep3-reporting\EC\2016-12-15-refined-times.txt</v>
      </c>
      <c r="AI72" s="119" t="str">
        <f t="shared" ref="AI72" si="36">"echo {""issue"":{""subject"":"""&amp;R72&amp;""",""project_id"":79,""tracker_id"":40,""status_id"":"&amp;redmine_status&amp;",""priority_id"":"&amp;redmine_priority&amp;",""assigned_to_id"":"&amp;redmine_assignee&amp;",""start_date"":"""&amp;TEXT(I72,"YYYY-mm-dd")&amp;""",""description"":"""&amp;AJ72&amp;""",""custom_fields"":[{""id"":1,""name"":""Subdivision"",""value"":"""&amp;AG72&amp;"""},{""id"":4,""name"":""Milepost"",""value"":"""&amp;Z72&amp;"""},{""id"":17,""name"":""Train ID"",""value"":"""&amp;A72&amp;"""},{""id"":16,""name"":""Locomotive ID"",""value"":"""&amp;B72&amp;"""},{""id"":130,""name"":""Impact"",""value"":"""&amp;AK72&amp;"""},{""id"":150,""name"":""Time of Event (Mountain Time)"",""value"":"""&amp;TEXT(I72,"hh:mm:ss")&amp;"""},{""id"":151,""name"":""Denver Issue ID"",""value"":"""&amp;"""},{""id"":178,""name"":""Operational Impact"",""value"":"""&amp;redmine_op_impact&amp;"""},{""id"":179,""name"":""Denver Segment Assigned"",""value"":"""&amp;AL72&amp;"""}]}}"&amp;" | curl -X POST -H ""Content-Type: application/json"" -H ""X-Redmine-API-Key: "&amp;redm_api_key&amp;""" "&amp;redm_url&amp;" --data @-"</f>
        <v>echo {"issue":{"subject":"","project_id":79,"tracker_id":40,"status_id":1,"priority_id":2,"assigned_to_id":23,"start_date":"2016-12-15","description":"","custom_fields":[{"id":1,"name":"Subdivision","value":"EC"},{"id":4,"name":"Milepost","value":"23.3308"},{"id":17,"name":"Train ID","value":"159-15"},{"id":16,"name":"Locomotive ID","value":"4009"},{"id":130,"name":"Impact","value":""},{"id":150,"name":"Time of Event (Mountain Time)","value":"11:35:34"},{"id":151,"name":"Denver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row>
    <row r="73" spans="1:91" s="1" customFormat="1" x14ac:dyDescent="0.25">
      <c r="A73" s="37" t="s">
        <v>669</v>
      </c>
      <c r="B73" s="7">
        <v>4010</v>
      </c>
      <c r="C73" s="22" t="s">
        <v>207</v>
      </c>
      <c r="D73" s="22" t="s">
        <v>403</v>
      </c>
      <c r="E73" s="13">
        <v>42719.490717592591</v>
      </c>
      <c r="F73" s="13">
        <v>42719.497442129628</v>
      </c>
      <c r="G73" s="7">
        <v>1</v>
      </c>
      <c r="H73" s="22" t="s">
        <v>298</v>
      </c>
      <c r="I73" s="13">
        <v>42719.524421296293</v>
      </c>
      <c r="J73" s="7">
        <v>0</v>
      </c>
      <c r="K73" s="109" t="str">
        <f t="shared" si="22"/>
        <v>4009/4010</v>
      </c>
      <c r="L73" s="22" t="str">
        <f>VLOOKUP(A73,'Trips&amp;Operators'!$C$1:$G$99999,5,FALSE)</f>
        <v>DAVIDSON DAVID</v>
      </c>
      <c r="M73" s="6">
        <f t="shared" si="23"/>
        <v>2.6979166665114462E-2</v>
      </c>
      <c r="N73" s="7">
        <f t="shared" si="31"/>
        <v>38.849999997764826</v>
      </c>
      <c r="O73" s="7"/>
      <c r="P73" s="7"/>
      <c r="Q73" s="23"/>
      <c r="R73" s="23"/>
      <c r="S73" s="35">
        <f t="shared" si="32"/>
        <v>1</v>
      </c>
      <c r="T73" s="50" t="str">
        <f t="shared" si="24"/>
        <v>Southbound</v>
      </c>
      <c r="U73" s="171">
        <f>IF(AG73="EC",COUNTIFS(Variables!$M$2:$M$19,IF(T73="NorthBound","&gt;=","&lt;=")&amp;Y73,Variables!$M$2:$M$19,IF(T73="NorthBound","&lt;=","&gt;=")&amp;Z73),COUNTIFS(Variables!$P$2:$P$19,IF(T73="NorthBound","&gt;=","&lt;=")&amp;Y73,Variables!$P$2:$P$19,IF(T73="NorthBound","&lt;=","&gt;=")&amp;Z73))</f>
        <v>12</v>
      </c>
      <c r="V73" s="98" t="str">
        <f t="shared" si="3"/>
        <v>https://search-rtdc-monitor-bjffxe2xuh6vdkpspy63sjmuny.us-east-1.es.amazonaws.com/_plugin/kibana/#/discover/Steve-Slow-Train-Analysis-(2080s-and-2083s)?_g=(refreshInterval:(display:Off,section:0,value:0),time:(from:'2016-12-15 10:46:38-700',mode:absolute,to:'2016-12-15 13:35:10-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73" s="52" t="str">
        <f t="shared" si="25"/>
        <v>N</v>
      </c>
      <c r="X73" s="177">
        <f t="shared" si="34"/>
        <v>1</v>
      </c>
      <c r="Y73" s="67">
        <f t="shared" ref="Y73:Y104" si="37">RIGHT(D73,LEN(D73)-4)/10000</f>
        <v>23.296700000000001</v>
      </c>
      <c r="Z73" s="67">
        <f t="shared" ref="Z73:Z104" si="38">RIGHT(H73,LEN(H73)-4)/10000</f>
        <v>1.5800000000000002E-2</v>
      </c>
      <c r="AA73" s="67">
        <f t="shared" si="28"/>
        <v>23.280900000000003</v>
      </c>
      <c r="AB73" s="64" t="e">
        <f>VLOOKUP(A73,Enforcements!$C$7:$K$18,8,0)</f>
        <v>#N/A</v>
      </c>
      <c r="AC73" s="60" t="e">
        <f>VLOOKUP(A73,Enforcements!$C$7:$E$18,3,0)</f>
        <v>#N/A</v>
      </c>
      <c r="AD73" s="61" t="str">
        <f t="shared" si="29"/>
        <v>0160-15</v>
      </c>
      <c r="AE73" s="91" t="str">
        <f t="shared" si="9"/>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73" s="88" t="str">
        <f t="shared" si="10"/>
        <v>"C:\Program Files (x86)\AstroGrep\AstroGrep.exe" /spath="%USERPROFILE%\AppData\Local\Temp\OnboardLogs" /stypes="app*4010*20161215*" /stext=" 19:.+((SYSTEM_STATE.+slice.+state.+changed )|(ment ac)|(multiple cpu faults)|(system.+state.+changed )|(\[timeout)|(PRM\|1\|D)|(kpr)|(kdp)|(\|lc)|(penalty))" /e /r /s</v>
      </c>
      <c r="AG73" s="1" t="str">
        <f t="shared" si="30"/>
        <v>EC</v>
      </c>
      <c r="AH73" s="92" t="str">
        <f t="shared" si="14"/>
        <v>"%USERPROFILE%\Documents\GitHub\eaglep3\Utilities\RefineRTDCRunTimes.py" --tripid 160-15 --locoid 4010 --swversion DE.1.0.8.0 --startMP 204:232967 --initTime 2016-12-15T11:46:38 --startdatetime 2016-12-15T11:56:19 --delay 1 --endMP 204:158 --enddatetime 2016-12-15T12:35:10 --enforcementcount 0 &gt;&gt;C:\Users\stu\Documents\GitHub\eaglep3-reporting\EC\2016-12-15-refined-times.txt</v>
      </c>
      <c r="AI73" s="119" t="str">
        <f t="shared" si="15"/>
        <v>echo {"issue":{"subject":"","project_id":79,"tracker_id":40,"status_id":1,"priority_id":2,"assigned_to_id":23,"start_date":"2016-12-15","description":"","custom_fields":[{"id":1,"name":"Subdivision","value":"EC"},{"id":4,"name":"Milepost","value":"0.0158"},{"id":17,"name":"Train ID","value":"160-15"},{"id":16,"name":"Locomotive ID","value":"4010"},{"id":130,"name":"Impact","value":""},{"id":150,"name":"Time of Event (Mountain Time)","value":"12:35:10"},{"id":151,"name":"Denver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661</v>
      </c>
      <c r="B74" s="7">
        <v>4031</v>
      </c>
      <c r="C74" s="22" t="s">
        <v>207</v>
      </c>
      <c r="D74" s="22" t="s">
        <v>195</v>
      </c>
      <c r="E74" s="13">
        <v>42719.465775462966</v>
      </c>
      <c r="F74" s="13">
        <v>42719.468935185185</v>
      </c>
      <c r="G74" s="7">
        <v>1</v>
      </c>
      <c r="H74" s="22" t="s">
        <v>404</v>
      </c>
      <c r="I74" s="13">
        <v>42719.494814814818</v>
      </c>
      <c r="J74" s="7">
        <v>0</v>
      </c>
      <c r="K74" s="109" t="str">
        <f t="shared" si="22"/>
        <v>4031/4032</v>
      </c>
      <c r="L74" s="22" t="str">
        <f>VLOOKUP(A74,'Trips&amp;Operators'!$C$1:$G$99999,5,FALSE)</f>
        <v>SHOOK JOHN</v>
      </c>
      <c r="M74" s="6">
        <f t="shared" si="23"/>
        <v>2.587962963298196E-2</v>
      </c>
      <c r="N74" s="7">
        <f t="shared" si="31"/>
        <v>37.266666671494022</v>
      </c>
      <c r="O74" s="7"/>
      <c r="P74" s="7"/>
      <c r="Q74" s="23"/>
      <c r="R74" s="23"/>
      <c r="S74" s="35">
        <f t="shared" si="32"/>
        <v>1</v>
      </c>
      <c r="T74" s="50" t="str">
        <f t="shared" si="24"/>
        <v>NorthBound</v>
      </c>
      <c r="U74" s="171">
        <f>IF(AG74="EC",COUNTIFS(Variables!$M$2:$M$19,IF(T74="NorthBound","&gt;=","&lt;=")&amp;Y74,Variables!$M$2:$M$19,IF(T74="NorthBound","&lt;=","&gt;=")&amp;Z74),COUNTIFS(Variables!$P$2:$P$19,IF(T74="NorthBound","&gt;=","&lt;=")&amp;Y74,Variables!$P$2:$P$19,IF(T74="NorthBound","&lt;=","&gt;=")&amp;Z74))</f>
        <v>12</v>
      </c>
      <c r="V74" s="98" t="str">
        <f t="shared" si="3"/>
        <v>https://search-rtdc-monitor-bjffxe2xuh6vdkpspy63sjmuny.us-east-1.es.amazonaws.com/_plugin/kibana/#/discover/Steve-Slow-Train-Analysis-(2080s-and-2083s)?_g=(refreshInterval:(display:Off,section:0,value:0),time:(from:'2016-12-15 10:10:43-700',mode:absolute,to:'2016-12-15 12:52:32-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74" s="52" t="str">
        <f t="shared" si="25"/>
        <v>N</v>
      </c>
      <c r="X74" s="177">
        <f t="shared" si="34"/>
        <v>1</v>
      </c>
      <c r="Y74" s="67">
        <f t="shared" si="37"/>
        <v>4.5100000000000001E-2</v>
      </c>
      <c r="Z74" s="67">
        <f t="shared" si="38"/>
        <v>23.331499999999998</v>
      </c>
      <c r="AA74" s="67">
        <f t="shared" si="28"/>
        <v>23.286399999999997</v>
      </c>
      <c r="AB74" s="64" t="e">
        <f>VLOOKUP(A74,Enforcements!$C$7:$K$18,8,0)</f>
        <v>#N/A</v>
      </c>
      <c r="AC74" s="60" t="e">
        <f>VLOOKUP(A74,Enforcements!$C$7:$E$18,3,0)</f>
        <v>#N/A</v>
      </c>
      <c r="AD74" s="61" t="str">
        <f t="shared" si="29"/>
        <v>0161-15</v>
      </c>
      <c r="AE74" s="91" t="str">
        <f t="shared" si="9"/>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74" s="88" t="str">
        <f t="shared" si="10"/>
        <v>"C:\Program Files (x86)\AstroGrep\AstroGrep.exe" /spath="%USERPROFILE%\AppData\Local\Temp\OnboardLogs" /stypes="app*4031*20161215*" /stext=" 18:.+((SYSTEM_STATE.+slice.+state.+changed )|(ment ac)|(multiple cpu faults)|(system.+state.+changed )|(\[timeout)|(PRM\|1\|D)|(kpr)|(kdp)|(\|lc)|(penalty))" /e /r /s</v>
      </c>
      <c r="AG74" s="1" t="str">
        <f t="shared" si="30"/>
        <v>EC</v>
      </c>
      <c r="AH74" s="92" t="str">
        <f t="shared" si="14"/>
        <v>"%USERPROFILE%\Documents\GitHub\eaglep3\Utilities\RefineRTDCRunTimes.py" --tripid 161-15 --locoid 4031 --swversion DE.1.0.8.0 --startMP 204:451 --initTime 2016-12-15T11:10:43 --startdatetime 2016-12-15T11:15:16 --delay 1 --endMP 204:233315 --enddatetime 2016-12-15T11:52:32 --enforcementcount 0 &gt;&gt;C:\Users\stu\Documents\GitHub\eaglep3-reporting\EC\2016-12-15-refined-times.txt</v>
      </c>
      <c r="AI74" s="119" t="str">
        <f t="shared" si="15"/>
        <v>echo {"issue":{"subject":"","project_id":79,"tracker_id":40,"status_id":1,"priority_id":2,"assigned_to_id":23,"start_date":"2016-12-15","description":"","custom_fields":[{"id":1,"name":"Subdivision","value":"EC"},{"id":4,"name":"Milepost","value":"23.3315"},{"id":17,"name":"Train ID","value":"161-15"},{"id":16,"name":"Locomotive ID","value":"4031"},{"id":130,"name":"Impact","value":""},{"id":150,"name":"Time of Event (Mountain Time)","value":"11:52:32"},{"id":151,"name":"Denver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671</v>
      </c>
      <c r="B75" s="7">
        <v>4032</v>
      </c>
      <c r="C75" s="22" t="s">
        <v>207</v>
      </c>
      <c r="D75" s="22" t="s">
        <v>423</v>
      </c>
      <c r="E75" s="13">
        <v>42719.501099537039</v>
      </c>
      <c r="F75" s="13">
        <v>42719.507835648146</v>
      </c>
      <c r="G75" s="7">
        <v>1</v>
      </c>
      <c r="H75" s="22" t="s">
        <v>355</v>
      </c>
      <c r="I75" s="13">
        <v>42719.536203703705</v>
      </c>
      <c r="J75" s="7">
        <v>0</v>
      </c>
      <c r="K75" s="109" t="str">
        <f t="shared" si="22"/>
        <v>4031/4032</v>
      </c>
      <c r="L75" s="22" t="str">
        <f>VLOOKUP(A75,'Trips&amp;Operators'!$C$1:$G$99999,5,FALSE)</f>
        <v>SHOOK JOHN</v>
      </c>
      <c r="M75" s="6">
        <f t="shared" si="23"/>
        <v>2.8368055558530614E-2</v>
      </c>
      <c r="N75" s="7">
        <f t="shared" si="31"/>
        <v>40.850000004284084</v>
      </c>
      <c r="O75" s="7"/>
      <c r="P75" s="7"/>
      <c r="Q75" s="23"/>
      <c r="R75" s="23"/>
      <c r="S75" s="35">
        <f t="shared" si="32"/>
        <v>1</v>
      </c>
      <c r="T75" s="50" t="str">
        <f t="shared" si="24"/>
        <v>Southbound</v>
      </c>
      <c r="U75" s="171">
        <f>IF(AG75="EC",COUNTIFS(Variables!$M$2:$M$19,IF(T75="NorthBound","&gt;=","&lt;=")&amp;Y75,Variables!$M$2:$M$19,IF(T75="NorthBound","&lt;=","&gt;=")&amp;Z75),COUNTIFS(Variables!$P$2:$P$19,IF(T75="NorthBound","&gt;=","&lt;=")&amp;Y75,Variables!$P$2:$P$19,IF(T75="NorthBound","&lt;=","&gt;=")&amp;Z75))</f>
        <v>12</v>
      </c>
      <c r="V75" s="98" t="str">
        <f t="shared" si="3"/>
        <v>https://search-rtdc-monitor-bjffxe2xuh6vdkpspy63sjmuny.us-east-1.es.amazonaws.com/_plugin/kibana/#/discover/Steve-Slow-Train-Analysis-(2080s-and-2083s)?_g=(refreshInterval:(display:Off,section:0,value:0),time:(from:'2016-12-15 11:01:35-700',mode:absolute,to:'2016-12-15 13:52: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75" s="52" t="str">
        <f t="shared" si="25"/>
        <v>N</v>
      </c>
      <c r="X75" s="177">
        <f t="shared" ref="X75:X106" si="39">VALUE(LEFT(AD75,4))-VALUE(LEFT(AD74,4))</f>
        <v>1</v>
      </c>
      <c r="Y75" s="67">
        <f t="shared" si="37"/>
        <v>23.298100000000002</v>
      </c>
      <c r="Z75" s="67">
        <f t="shared" si="38"/>
        <v>1.32E-2</v>
      </c>
      <c r="AA75" s="67">
        <f t="shared" si="28"/>
        <v>23.2849</v>
      </c>
      <c r="AB75" s="64" t="e">
        <f>VLOOKUP(A75,Enforcements!$C$7:$K$18,8,0)</f>
        <v>#N/A</v>
      </c>
      <c r="AC75" s="60" t="e">
        <f>VLOOKUP(A75,Enforcements!$C$7:$E$18,3,0)</f>
        <v>#N/A</v>
      </c>
      <c r="AD75" s="61" t="str">
        <f t="shared" si="29"/>
        <v>0162-15</v>
      </c>
      <c r="AE75" s="91" t="str">
        <f t="shared" si="9"/>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75" s="88" t="str">
        <f t="shared" si="10"/>
        <v>"C:\Program Files (x86)\AstroGrep\AstroGrep.exe" /spath="%USERPROFILE%\AppData\Local\Temp\OnboardLogs" /stypes="app*4032*20161215*" /stext=" 19:.+((SYSTEM_STATE.+slice.+state.+changed )|(ment ac)|(multiple cpu faults)|(system.+state.+changed )|(\[timeout)|(PRM\|1\|D)|(kpr)|(kdp)|(\|lc)|(penalty))" /e /r /s</v>
      </c>
      <c r="AG75" s="1" t="str">
        <f t="shared" si="30"/>
        <v>EC</v>
      </c>
      <c r="AH75" s="92" t="str">
        <f t="shared" si="14"/>
        <v>"%USERPROFILE%\Documents\GitHub\eaglep3\Utilities\RefineRTDCRunTimes.py" --tripid 162-15 --locoid 4032 --swversion DE.1.0.8.0 --startMP 204:232981 --initTime 2016-12-15T12:01:35 --startdatetime 2016-12-15T12:11:17 --delay 1 --endMP 204:132 --enddatetime 2016-12-15T12:52:08 --enforcementcount 0 &gt;&gt;C:\Users\stu\Documents\GitHub\eaglep3-reporting\EC\2016-12-15-refined-times.txt</v>
      </c>
      <c r="AI75" s="119" t="str">
        <f t="shared" si="15"/>
        <v>echo {"issue":{"subject":"","project_id":79,"tracker_id":40,"status_id":1,"priority_id":2,"assigned_to_id":23,"start_date":"2016-12-15","description":"","custom_fields":[{"id":1,"name":"Subdivision","value":"EC"},{"id":4,"name":"Milepost","value":"0.0132"},{"id":17,"name":"Train ID","value":"162-15"},{"id":16,"name":"Locomotive ID","value":"4032"},{"id":130,"name":"Impact","value":""},{"id":150,"name":"Time of Event (Mountain Time)","value":"12:52:08"},{"id":151,"name":"Denver Issue ID","value":""},{"id":178,"name":"Operational Impact","value":"Yes"},{"id":179,"name":"Denver Segment Assigned","value":""}]}} | curl -X POST -H "Content-Type: application/json" -H "X-Redmine-API-Key: d6333d4a04012a730768444271f8ca06482dae87" https://secure.xorail.net/redmine/issues.json --data @-</v>
      </c>
      <c r="AJ75" s="53"/>
      <c r="AK75" s="53"/>
      <c r="AL75" s="53"/>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666</v>
      </c>
      <c r="B76" s="7">
        <v>4029</v>
      </c>
      <c r="C76" s="22" t="s">
        <v>207</v>
      </c>
      <c r="D76" s="22" t="s">
        <v>310</v>
      </c>
      <c r="E76" s="13">
        <v>42719.478194444448</v>
      </c>
      <c r="F76" s="13">
        <v>42719.480543981481</v>
      </c>
      <c r="G76" s="7">
        <v>2</v>
      </c>
      <c r="H76" s="22" t="s">
        <v>818</v>
      </c>
      <c r="I76" s="13">
        <v>42719.505219907405</v>
      </c>
      <c r="J76" s="7">
        <v>0</v>
      </c>
      <c r="K76" s="109" t="str">
        <f t="shared" si="22"/>
        <v>4029/4030</v>
      </c>
      <c r="L76" s="22" t="str">
        <f>VLOOKUP(A76,'Trips&amp;Operators'!$C$1:$G$99999,5,FALSE)</f>
        <v>MOSES BRADLEY</v>
      </c>
      <c r="M76" s="6">
        <f t="shared" si="23"/>
        <v>2.4675925924384501E-2</v>
      </c>
      <c r="N76" s="7">
        <f t="shared" si="31"/>
        <v>35.533333331113681</v>
      </c>
      <c r="O76" s="7"/>
      <c r="P76" s="7"/>
      <c r="Q76" s="23"/>
      <c r="R76" s="23"/>
      <c r="S76" s="35">
        <f t="shared" si="32"/>
        <v>1</v>
      </c>
      <c r="T76" s="50" t="str">
        <f t="shared" si="24"/>
        <v>NorthBound</v>
      </c>
      <c r="U76" s="171">
        <f>IF(AG76="EC",COUNTIFS(Variables!$M$2:$M$19,IF(T76="NorthBound","&gt;=","&lt;=")&amp;Y76,Variables!$M$2:$M$19,IF(T76="NorthBound","&lt;=","&gt;=")&amp;Z76),COUNTIFS(Variables!$P$2:$P$19,IF(T76="NorthBound","&gt;=","&lt;=")&amp;Y76,Variables!$P$2:$P$19,IF(T76="NorthBound","&lt;=","&gt;=")&amp;Z76))</f>
        <v>12</v>
      </c>
      <c r="V76" s="98" t="str">
        <f t="shared" si="3"/>
        <v>https://search-rtdc-monitor-bjffxe2xuh6vdkpspy63sjmuny.us-east-1.es.amazonaws.com/_plugin/kibana/#/discover/Steve-Slow-Train-Analysis-(2080s-and-2083s)?_g=(refreshInterval:(display:Off,section:0,value:0),time:(from:'2016-12-15 10:28:36-700',mode:absolute,to:'2016-12-15 13:07:31-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76" s="52" t="str">
        <f t="shared" si="25"/>
        <v>N</v>
      </c>
      <c r="X76" s="177">
        <f t="shared" si="39"/>
        <v>1</v>
      </c>
      <c r="Y76" s="67">
        <f t="shared" si="37"/>
        <v>4.6600000000000003E-2</v>
      </c>
      <c r="Z76" s="67">
        <f t="shared" si="38"/>
        <v>23.331600000000002</v>
      </c>
      <c r="AA76" s="67">
        <f t="shared" si="28"/>
        <v>23.285</v>
      </c>
      <c r="AB76" s="64" t="e">
        <f>VLOOKUP(A76,Enforcements!$C$7:$K$18,8,0)</f>
        <v>#N/A</v>
      </c>
      <c r="AC76" s="60" t="e">
        <f>VLOOKUP(A76,Enforcements!$C$7:$E$18,3,0)</f>
        <v>#N/A</v>
      </c>
      <c r="AD76" s="61" t="str">
        <f t="shared" si="29"/>
        <v>0163-15</v>
      </c>
      <c r="AE76" s="91" t="str">
        <f t="shared" si="9"/>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76" s="88" t="str">
        <f t="shared" si="10"/>
        <v>"C:\Program Files (x86)\AstroGrep\AstroGrep.exe" /spath="%USERPROFILE%\AppData\Local\Temp\OnboardLogs" /stypes="app*4029*20161215*" /stext=" 19:.+((SYSTEM_STATE.+slice.+state.+changed )|(ment ac)|(multiple cpu faults)|(system.+state.+changed )|(\[timeout)|(PRM\|1\|D)|(kpr)|(kdp)|(\|lc)|(penalty))" /e /r /s</v>
      </c>
      <c r="AG76" s="1" t="str">
        <f t="shared" si="30"/>
        <v>EC</v>
      </c>
      <c r="AH76" s="92" t="str">
        <f t="shared" si="14"/>
        <v>"%USERPROFILE%\Documents\GitHub\eaglep3\Utilities\RefineRTDCRunTimes.py" --tripid 163-15 --locoid 4029 --swversion DE.1.0.8.0 --startMP 204:466 --initTime 2016-12-15T11:28:36 --startdatetime 2016-12-15T11:31:59 --delay 2 --endMP 204:233316 --enddatetime 2016-12-15T12:07:31 --enforcementcount 0 &gt;&gt;C:\Users\stu\Documents\GitHub\eaglep3-reporting\EC\2016-12-15-refined-times.txt</v>
      </c>
      <c r="AI76" s="119" t="str">
        <f t="shared" si="15"/>
        <v>echo {"issue":{"subject":"","project_id":79,"tracker_id":40,"status_id":1,"priority_id":2,"assigned_to_id":23,"start_date":"2016-12-15","description":"","custom_fields":[{"id":1,"name":"Subdivision","value":"EC"},{"id":4,"name":"Milepost","value":"23.3316"},{"id":17,"name":"Train ID","value":"163-15"},{"id":16,"name":"Locomotive ID","value":"4029"},{"id":130,"name":"Impact","value":""},{"id":150,"name":"Time of Event (Mountain Time)","value":"12:07:31"},{"id":151,"name":"Denver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673</v>
      </c>
      <c r="B77" s="7">
        <v>4030</v>
      </c>
      <c r="C77" s="22" t="s">
        <v>207</v>
      </c>
      <c r="D77" s="22" t="s">
        <v>410</v>
      </c>
      <c r="E77" s="13">
        <v>42719.513275462959</v>
      </c>
      <c r="F77" s="13">
        <v>42719.518460648149</v>
      </c>
      <c r="G77" s="7">
        <v>1</v>
      </c>
      <c r="H77" s="22" t="s">
        <v>819</v>
      </c>
      <c r="I77" s="13">
        <v>42719.54792824074</v>
      </c>
      <c r="J77" s="7">
        <v>0</v>
      </c>
      <c r="K77" s="109" t="str">
        <f t="shared" ref="K77:K108" si="40">IF(ISEVEN(B77),(B77-1)&amp;"/"&amp;B77,B77&amp;"/"&amp;(B77+1))</f>
        <v>4029/4030</v>
      </c>
      <c r="L77" s="22" t="str">
        <f>VLOOKUP(A77,'Trips&amp;Operators'!$C$1:$G$99999,5,FALSE)</f>
        <v>MOSES BRADLEY</v>
      </c>
      <c r="M77" s="6">
        <f t="shared" ref="M77:M108" si="41">I77-F77</f>
        <v>2.9467592590663116E-2</v>
      </c>
      <c r="N77" s="7">
        <f t="shared" si="31"/>
        <v>42.433333330554888</v>
      </c>
      <c r="O77" s="7"/>
      <c r="P77" s="7"/>
      <c r="Q77" s="23"/>
      <c r="R77" s="23"/>
      <c r="S77" s="35">
        <f t="shared" si="32"/>
        <v>1</v>
      </c>
      <c r="T77" s="50" t="str">
        <f t="shared" ref="T77:T108" si="42">IF(ISEVEN(LEFT(AD77,4)),"Southbound","NorthBound")</f>
        <v>Southbound</v>
      </c>
      <c r="U77" s="171">
        <f>IF(AG77="EC",COUNTIFS(Variables!$M$2:$M$19,IF(T77="NorthBound","&gt;=","&lt;=")&amp;Y77,Variables!$M$2:$M$19,IF(T77="NorthBound","&lt;=","&gt;=")&amp;Z77),COUNTIFS(Variables!$P$2:$P$19,IF(T77="NorthBound","&gt;=","&lt;=")&amp;Y77,Variables!$P$2:$P$19,IF(T77="NorthBound","&lt;=","&gt;=")&amp;Z77))</f>
        <v>12</v>
      </c>
      <c r="V77" s="98" t="str">
        <f t="shared" ref="V77:V140" si="43">"https://search-rtdc-monitor-bjffxe2xuh6vdkpspy63sjmuny.us-east-1.es.amazonaws.com/_plugin/kibana/#/discover/Steve-Slow-Train-Analysis-(2080s-and-2083s)?_g=(refreshInterval:(display:Off,section:0,value:0),time:(from:'"&amp;TEXT(E77-1/24,"yyyy-MM-DD hh:mm:ss")&amp;utc_offset&amp;"00',mode:absolute,to:'"&amp;TEXT(I77+1/24,"yyyy-MM-DD hh:mm:ss")&amp;utc_offset&amp;"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https://search-rtdc-monitor-bjffxe2xuh6vdkpspy63sjmuny.us-east-1.es.amazonaws.com/_plugin/kibana/#/discover/Steve-Slow-Train-Analysis-(2080s-and-2083s)?_g=(refreshInterval:(display:Off,section:0,value:0),time:(from:'2016-12-15 11:19:07-700',mode:absolute,to:'2016-12-15 14:09:01-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77" s="52" t="str">
        <f t="shared" ref="W77:W108" si="44">IF(AA77&lt;IF(AG77="EC",23,5.65),"Y","N")</f>
        <v>N</v>
      </c>
      <c r="X77" s="177">
        <f t="shared" si="39"/>
        <v>1</v>
      </c>
      <c r="Y77" s="67">
        <f t="shared" si="37"/>
        <v>23.2986</v>
      </c>
      <c r="Z77" s="67">
        <f t="shared" si="38"/>
        <v>1.9400000000000001E-2</v>
      </c>
      <c r="AA77" s="67">
        <f t="shared" ref="AA77:AA108" si="45">ABS(Z77-Y77)</f>
        <v>23.279199999999999</v>
      </c>
      <c r="AB77" s="64" t="e">
        <f>VLOOKUP(A77,Enforcements!$C$7:$K$18,8,0)</f>
        <v>#N/A</v>
      </c>
      <c r="AC77" s="60" t="e">
        <f>VLOOKUP(A77,Enforcements!$C$7:$E$18,3,0)</f>
        <v>#N/A</v>
      </c>
      <c r="AD77" s="61" t="str">
        <f t="shared" ref="AD77:AD108" si="46">IF(LEN(A77)=6,"0"&amp;A77,A77)</f>
        <v>0164-15</v>
      </c>
      <c r="AE77" s="91" t="str">
        <f t="shared" ref="AE77:AE140" si="47">"aws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77" s="88" t="str">
        <f t="shared" ref="AF77:AF140" si="48">astrogrep_path&amp;" /spath="&amp;search_path&amp;" /stypes=""app*"&amp;B77&amp;"*"&amp;TEXT(I77-utc_offset/24,"YYYYMMDD")&amp;"*"" /stext="" "&amp;TEXT(I77-utc_offset/24,"HH")&amp;search_regexp&amp;""" /e /r /s"</f>
        <v>"C:\Program Files (x86)\AstroGrep\AstroGrep.exe" /spath="%USERPROFILE%\AppData\Local\Temp\OnboardLogs" /stypes="app*4030*20161215*" /stext=" 20:.+((SYSTEM_STATE.+slice.+state.+changed )|(ment ac)|(multiple cpu faults)|(system.+state.+changed )|(\[timeout)|(PRM\|1\|D)|(kpr)|(kdp)|(\|lc)|(penalty))" /e /r /s</v>
      </c>
      <c r="AG77" s="1" t="str">
        <f t="shared" ref="AG77:AG108" si="49">IFERROR(IF(VALUE(LEFT(AD77,2))&lt;=2,"EC",IF(OR(VALUE(LEFT(AD77,2))=8,VALUE(LEFT(AD77,2))=18),"NW","Other")),"Other")</f>
        <v>EC</v>
      </c>
      <c r="AH77" s="92" t="str">
        <f t="shared" si="14"/>
        <v>"%USERPROFILE%\Documents\GitHub\eaglep3\Utilities\RefineRTDCRunTimes.py" --tripid 164-15 --locoid 4030 --swversion DE.1.0.8.0 --startMP 204:232986 --initTime 2016-12-15T12:19:07 --startdatetime 2016-12-15T12:26:35 --delay 1 --endMP 204:194 --enddatetime 2016-12-15T13:09:01 --enforcementcount 0 &gt;&gt;C:\Users\stu\Documents\GitHub\eaglep3-reporting\EC\2016-12-15-refined-times.txt</v>
      </c>
      <c r="AI77" s="119" t="str">
        <f t="shared" si="15"/>
        <v>echo {"issue":{"subject":"","project_id":79,"tracker_id":40,"status_id":1,"priority_id":2,"assigned_to_id":23,"start_date":"2016-12-15","description":"","custom_fields":[{"id":1,"name":"Subdivision","value":"EC"},{"id":4,"name":"Milepost","value":"0.0194"},{"id":17,"name":"Train ID","value":"164-15"},{"id":16,"name":"Locomotive ID","value":"4030"},{"id":130,"name":"Impact","value":""},{"id":150,"name":"Time of Event (Mountain Time)","value":"13:09:01"},{"id":151,"name":"Denver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667</v>
      </c>
      <c r="B78" s="7">
        <v>4020</v>
      </c>
      <c r="C78" s="22" t="s">
        <v>207</v>
      </c>
      <c r="D78" s="22" t="s">
        <v>231</v>
      </c>
      <c r="E78" s="13">
        <v>42719.486226851855</v>
      </c>
      <c r="F78" s="13">
        <v>42719.489733796298</v>
      </c>
      <c r="G78" s="7">
        <v>2</v>
      </c>
      <c r="H78" s="22" t="s">
        <v>349</v>
      </c>
      <c r="I78" s="13">
        <v>42719.51363425926</v>
      </c>
      <c r="J78" s="7">
        <v>0</v>
      </c>
      <c r="K78" s="109" t="str">
        <f t="shared" si="40"/>
        <v>4019/4020</v>
      </c>
      <c r="L78" s="22" t="str">
        <f>VLOOKUP(A78,'Trips&amp;Operators'!$C$1:$G$99999,5,FALSE)</f>
        <v>MAGEE KENYA</v>
      </c>
      <c r="M78" s="6">
        <f t="shared" si="41"/>
        <v>2.3900462962046731E-2</v>
      </c>
      <c r="N78" s="7">
        <f t="shared" si="31"/>
        <v>34.416666665347293</v>
      </c>
      <c r="O78" s="7"/>
      <c r="P78" s="7"/>
      <c r="Q78" s="23"/>
      <c r="R78" s="23"/>
      <c r="S78" s="35">
        <f t="shared" si="32"/>
        <v>1</v>
      </c>
      <c r="T78" s="50" t="str">
        <f t="shared" si="42"/>
        <v>NorthBound</v>
      </c>
      <c r="U78" s="171">
        <f>IF(AG78="EC",COUNTIFS(Variables!$M$2:$M$19,IF(T78="NorthBound","&gt;=","&lt;=")&amp;Y78,Variables!$M$2:$M$19,IF(T78="NorthBound","&lt;=","&gt;=")&amp;Z78),COUNTIFS(Variables!$P$2:$P$19,IF(T78="NorthBound","&gt;=","&lt;=")&amp;Y78,Variables!$P$2:$P$19,IF(T78="NorthBound","&lt;=","&gt;=")&amp;Z78))</f>
        <v>12</v>
      </c>
      <c r="V78" s="98" t="str">
        <f t="shared" si="43"/>
        <v>https://search-rtdc-monitor-bjffxe2xuh6vdkpspy63sjmuny.us-east-1.es.amazonaws.com/_plugin/kibana/#/discover/Steve-Slow-Train-Analysis-(2080s-and-2083s)?_g=(refreshInterval:(display:Off,section:0,value:0),time:(from:'2016-12-15 10:40:10-700',mode:absolute,to:'2016-12-15 13:19:38-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78" s="52" t="str">
        <f t="shared" si="44"/>
        <v>N</v>
      </c>
      <c r="X78" s="177">
        <f t="shared" si="39"/>
        <v>1</v>
      </c>
      <c r="Y78" s="67">
        <f t="shared" si="37"/>
        <v>4.5499999999999999E-2</v>
      </c>
      <c r="Z78" s="67">
        <f t="shared" si="38"/>
        <v>23.328299999999999</v>
      </c>
      <c r="AA78" s="67">
        <f t="shared" si="45"/>
        <v>23.282799999999998</v>
      </c>
      <c r="AB78" s="64" t="e">
        <f>VLOOKUP(A78,Enforcements!$C$7:$K$18,8,0)</f>
        <v>#N/A</v>
      </c>
      <c r="AC78" s="60" t="e">
        <f>VLOOKUP(A78,Enforcements!$C$7:$E$18,3,0)</f>
        <v>#N/A</v>
      </c>
      <c r="AD78" s="61" t="str">
        <f t="shared" si="46"/>
        <v>0165-15</v>
      </c>
      <c r="AE78" s="91" t="str">
        <f t="shared" si="47"/>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AF78" s="88" t="str">
        <f t="shared" si="48"/>
        <v>"C:\Program Files (x86)\AstroGrep\AstroGrep.exe" /spath="%USERPROFILE%\AppData\Local\Temp\OnboardLogs" /stypes="app*4020*20161215*" /stext=" 19:.+((SYSTEM_STATE.+slice.+state.+changed )|(ment ac)|(multiple cpu faults)|(system.+state.+changed )|(\[timeout)|(PRM\|1\|D)|(kpr)|(kdp)|(\|lc)|(penalty))" /e /r /s</v>
      </c>
      <c r="AG78" s="1" t="str">
        <f t="shared" si="49"/>
        <v>EC</v>
      </c>
      <c r="AH78" s="92" t="str">
        <f t="shared" si="14"/>
        <v>"%USERPROFILE%\Documents\GitHub\eaglep3\Utilities\RefineRTDCRunTimes.py" --tripid 165-15 --locoid 4020 --swversion DE.1.0.8.0 --startMP 204:455 --initTime 2016-12-15T11:40:10 --startdatetime 2016-12-15T11:45:13 --delay 2 --endMP 204:233283 --enddatetime 2016-12-15T12:19:38 --enforcementcount 0 &gt;&gt;C:\Users\stu\Documents\GitHub\eaglep3-reporting\EC\2016-12-15-refined-times.txt</v>
      </c>
      <c r="AI78" s="119" t="str">
        <f t="shared" si="15"/>
        <v>echo {"issue":{"subject":"","project_id":79,"tracker_id":40,"status_id":1,"priority_id":2,"assigned_to_id":23,"start_date":"2016-12-15","description":"","custom_fields":[{"id":1,"name":"Subdivision","value":"EC"},{"id":4,"name":"Milepost","value":"23.3283"},{"id":17,"name":"Train ID","value":"165-15"},{"id":16,"name":"Locomotive ID","value":"4020"},{"id":130,"name":"Impact","value":""},{"id":150,"name":"Time of Event (Mountain Time)","value":"12:19:38"},{"id":151,"name":"Denver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675</v>
      </c>
      <c r="B79" s="7">
        <v>4019</v>
      </c>
      <c r="C79" s="22" t="s">
        <v>207</v>
      </c>
      <c r="D79" s="22" t="s">
        <v>286</v>
      </c>
      <c r="E79" s="13">
        <v>42719.519513888888</v>
      </c>
      <c r="F79" s="13">
        <v>42719.528634259259</v>
      </c>
      <c r="G79" s="7">
        <v>1</v>
      </c>
      <c r="H79" s="22" t="s">
        <v>293</v>
      </c>
      <c r="I79" s="13">
        <v>42719.555150462962</v>
      </c>
      <c r="J79" s="7">
        <v>0</v>
      </c>
      <c r="K79" s="109" t="str">
        <f t="shared" si="40"/>
        <v>4019/4020</v>
      </c>
      <c r="L79" s="22" t="str">
        <f>VLOOKUP(A79,'Trips&amp;Operators'!$C$1:$G$99999,5,FALSE)</f>
        <v>MAGEE KENYA</v>
      </c>
      <c r="M79" s="6">
        <f t="shared" si="41"/>
        <v>2.6516203703067731E-2</v>
      </c>
      <c r="N79" s="7">
        <f t="shared" si="31"/>
        <v>38.183333332417533</v>
      </c>
      <c r="O79" s="7"/>
      <c r="P79" s="7"/>
      <c r="Q79" s="23"/>
      <c r="R79" s="23"/>
      <c r="S79" s="35">
        <f t="shared" si="32"/>
        <v>1</v>
      </c>
      <c r="T79" s="50" t="str">
        <f t="shared" si="42"/>
        <v>Southbound</v>
      </c>
      <c r="U79" s="171">
        <f>IF(AG79="EC",COUNTIFS(Variables!$M$2:$M$19,IF(T79="NorthBound","&gt;=","&lt;=")&amp;Y79,Variables!$M$2:$M$19,IF(T79="NorthBound","&lt;=","&gt;=")&amp;Z79),COUNTIFS(Variables!$P$2:$P$19,IF(T79="NorthBound","&gt;=","&lt;=")&amp;Y79,Variables!$P$2:$P$19,IF(T79="NorthBound","&lt;=","&gt;=")&amp;Z79))</f>
        <v>12</v>
      </c>
      <c r="V79" s="98" t="str">
        <f t="shared" si="43"/>
        <v>https://search-rtdc-monitor-bjffxe2xuh6vdkpspy63sjmuny.us-east-1.es.amazonaws.com/_plugin/kibana/#/discover/Steve-Slow-Train-Analysis-(2080s-and-2083s)?_g=(refreshInterval:(display:Off,section:0,value:0),time:(from:'2016-12-15 11:28:06-700',mode:absolute,to:'2016-12-15 14:19:25-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79" s="52" t="str">
        <f t="shared" si="44"/>
        <v>N</v>
      </c>
      <c r="X79" s="177">
        <f t="shared" si="39"/>
        <v>1</v>
      </c>
      <c r="Y79" s="67">
        <f t="shared" si="37"/>
        <v>23.299600000000002</v>
      </c>
      <c r="Z79" s="67">
        <f t="shared" si="38"/>
        <v>1.6E-2</v>
      </c>
      <c r="AA79" s="67">
        <f t="shared" si="45"/>
        <v>23.283600000000003</v>
      </c>
      <c r="AB79" s="64" t="e">
        <f>VLOOKUP(A79,Enforcements!$C$7:$K$18,8,0)</f>
        <v>#N/A</v>
      </c>
      <c r="AC79" s="60" t="e">
        <f>VLOOKUP(A79,Enforcements!$C$7:$E$18,3,0)</f>
        <v>#N/A</v>
      </c>
      <c r="AD79" s="61" t="str">
        <f t="shared" si="46"/>
        <v>0166-15</v>
      </c>
      <c r="AE79" s="91" t="str">
        <f t="shared" si="47"/>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79" s="88" t="str">
        <f t="shared" si="48"/>
        <v>"C:\Program Files (x86)\AstroGrep\AstroGrep.exe" /spath="%USERPROFILE%\AppData\Local\Temp\OnboardLogs" /stypes="app*4019*20161215*" /stext=" 20:.+((SYSTEM_STATE.+slice.+state.+changed )|(ment ac)|(multiple cpu faults)|(system.+state.+changed )|(\[timeout)|(PRM\|1\|D)|(kpr)|(kdp)|(\|lc)|(penalty))" /e /r /s</v>
      </c>
      <c r="AG79" s="1" t="str">
        <f t="shared" si="49"/>
        <v>EC</v>
      </c>
      <c r="AH79" s="92" t="str">
        <f t="shared" si="14"/>
        <v>"%USERPROFILE%\Documents\GitHub\eaglep3\Utilities\RefineRTDCRunTimes.py" --tripid 166-15 --locoid 4019 --swversion DE.1.0.8.0 --startMP 204:232996 --initTime 2016-12-15T12:28:06 --startdatetime 2016-12-15T12:41:14 --delay 1 --endMP 204:160 --enddatetime 2016-12-15T13:19:25 --enforcementcount 0 &gt;&gt;C:\Users\stu\Documents\GitHub\eaglep3-reporting\EC\2016-12-15-refined-times.txt</v>
      </c>
      <c r="AI79" s="119" t="str">
        <f t="shared" si="15"/>
        <v>echo {"issue":{"subject":"","project_id":79,"tracker_id":40,"status_id":1,"priority_id":2,"assigned_to_id":23,"start_date":"2016-12-15","description":"","custom_fields":[{"id":1,"name":"Subdivision","value":"EC"},{"id":4,"name":"Milepost","value":"0.016"},{"id":17,"name":"Train ID","value":"166-15"},{"id":16,"name":"Locomotive ID","value":"4019"},{"id":130,"name":"Impact","value":""},{"id":150,"name":"Time of Event (Mountain Time)","value":"13:19:25"},{"id":151,"name":"Denver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670</v>
      </c>
      <c r="B80" s="7">
        <v>4011</v>
      </c>
      <c r="C80" s="22" t="s">
        <v>207</v>
      </c>
      <c r="D80" s="22" t="s">
        <v>249</v>
      </c>
      <c r="E80" s="13">
        <v>42719.499664351853</v>
      </c>
      <c r="F80" s="13">
        <v>42719.501122685186</v>
      </c>
      <c r="G80" s="7">
        <v>1</v>
      </c>
      <c r="H80" s="22" t="s">
        <v>790</v>
      </c>
      <c r="I80" s="13">
        <v>42719.528124999997</v>
      </c>
      <c r="J80" s="7">
        <v>0</v>
      </c>
      <c r="K80" s="109" t="str">
        <f t="shared" si="40"/>
        <v>4011/4012</v>
      </c>
      <c r="L80" s="22" t="str">
        <f>VLOOKUP(A80,'Trips&amp;Operators'!$C$1:$G$99999,5,FALSE)</f>
        <v>YOUNG ELIZABETH</v>
      </c>
      <c r="M80" s="6">
        <f t="shared" si="41"/>
        <v>2.700231481139781E-2</v>
      </c>
      <c r="N80" s="7">
        <f t="shared" si="31"/>
        <v>38.883333328412846</v>
      </c>
      <c r="O80" s="7"/>
      <c r="P80" s="7"/>
      <c r="Q80" s="23"/>
      <c r="R80" s="23"/>
      <c r="S80" s="35">
        <f t="shared" si="32"/>
        <v>1</v>
      </c>
      <c r="T80" s="50" t="str">
        <f t="shared" si="42"/>
        <v>NorthBound</v>
      </c>
      <c r="U80" s="171">
        <f>IF(AG80="EC",COUNTIFS(Variables!$M$2:$M$19,IF(T80="NorthBound","&gt;=","&lt;=")&amp;Y80,Variables!$M$2:$M$19,IF(T80="NorthBound","&lt;=","&gt;=")&amp;Z80),COUNTIFS(Variables!$P$2:$P$19,IF(T80="NorthBound","&gt;=","&lt;=")&amp;Y80,Variables!$P$2:$P$19,IF(T80="NorthBound","&lt;=","&gt;=")&amp;Z80))</f>
        <v>12</v>
      </c>
      <c r="V80" s="98" t="str">
        <f t="shared" si="43"/>
        <v>https://search-rtdc-monitor-bjffxe2xuh6vdkpspy63sjmuny.us-east-1.es.amazonaws.com/_plugin/kibana/#/discover/Steve-Slow-Train-Analysis-(2080s-and-2083s)?_g=(refreshInterval:(display:Off,section:0,value:0),time:(from:'2016-12-15 10:59:31-700',mode:absolute,to:'2016-12-15 13:40:30-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80" s="52" t="str">
        <f t="shared" si="44"/>
        <v>N</v>
      </c>
      <c r="X80" s="177">
        <f t="shared" si="39"/>
        <v>1</v>
      </c>
      <c r="Y80" s="67">
        <f t="shared" si="37"/>
        <v>4.58E-2</v>
      </c>
      <c r="Z80" s="67">
        <f t="shared" si="38"/>
        <v>23.3276</v>
      </c>
      <c r="AA80" s="67">
        <f t="shared" si="45"/>
        <v>23.2818</v>
      </c>
      <c r="AB80" s="64" t="e">
        <f>VLOOKUP(A80,Enforcements!$C$7:$K$18,8,0)</f>
        <v>#N/A</v>
      </c>
      <c r="AC80" s="60" t="e">
        <f>VLOOKUP(A80,Enforcements!$C$7:$E$18,3,0)</f>
        <v>#N/A</v>
      </c>
      <c r="AD80" s="61" t="str">
        <f t="shared" si="46"/>
        <v>0167-15</v>
      </c>
      <c r="AE80" s="91" t="str">
        <f t="shared" si="47"/>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80" s="88" t="str">
        <f t="shared" si="48"/>
        <v>"C:\Program Files (x86)\AstroGrep\AstroGrep.exe" /spath="%USERPROFILE%\AppData\Local\Temp\OnboardLogs" /stypes="app*4011*20161215*" /stext=" 19:.+((SYSTEM_STATE.+slice.+state.+changed )|(ment ac)|(multiple cpu faults)|(system.+state.+changed )|(\[timeout)|(PRM\|1\|D)|(kpr)|(kdp)|(\|lc)|(penalty))" /e /r /s</v>
      </c>
      <c r="AG80" s="1" t="str">
        <f t="shared" si="49"/>
        <v>EC</v>
      </c>
      <c r="AH80" s="92" t="str">
        <f t="shared" ref="AH80:AH143" si="50">refinertdcruntimes&amp;" --tripid "&amp;A80&amp;" --locoid "&amp;B80&amp;" --swversion "&amp;C80&amp;" --startMP "&amp;D80&amp;" --initTime "&amp;TEXT(E80,"yyyy-mm-ddTHH:MM:SS")&amp;" --startdatetime "&amp;TEXT(F80,"yyyy-mm-ddTHH:MM:SS")&amp;" --delay "&amp;G80&amp;" --endMP "&amp;H80&amp;" --enddatetime "&amp;TEXT(I80,"yyyy-mm-ddTHH:MM:SS")&amp;" --enforcementcount "&amp;J80&amp;IF(outputrefinedruntimes," &gt;&gt;"&amp;RefinedRTDCRunTimesOutputFile,"")</f>
        <v>"%USERPROFILE%\Documents\GitHub\eaglep3\Utilities\RefineRTDCRunTimes.py" --tripid 167-15 --locoid 4011 --swversion DE.1.0.8.0 --startMP 204:458 --initTime 2016-12-15T11:59:31 --startdatetime 2016-12-15T12:01:37 --delay 1 --endMP 204:233276 --enddatetime 2016-12-15T12:40:30 --enforcementcount 0 &gt;&gt;C:\Users\stu\Documents\GitHub\eaglep3-reporting\EC\2016-12-15-refined-times.txt</v>
      </c>
      <c r="AI80" s="119" t="str">
        <f t="shared" ref="AI80:AI143" si="51">"echo {""issue"":{""subject"":"""&amp;R80&amp;""",""project_id"":79,""tracker_id"":40,""status_id"":"&amp;redmine_status&amp;",""priority_id"":"&amp;redmine_priority&amp;",""assigned_to_id"":"&amp;redmine_assignee&amp;",""start_date"":"""&amp;TEXT(I80,"YYYY-mm-dd")&amp;""",""description"":"""&amp;AJ80&amp;""",""custom_fields"":[{""id"":1,""name"":""Subdivision"",""value"":"""&amp;AG80&amp;"""},{""id"":4,""name"":""Milepost"",""value"":"""&amp;Z80&amp;"""},{""id"":17,""name"":""Train ID"",""value"":"""&amp;A80&amp;"""},{""id"":16,""name"":""Locomotive ID"",""value"":"""&amp;B80&amp;"""},{""id"":130,""name"":""Impact"",""value"":"""&amp;AK80&amp;"""},{""id"":150,""name"":""Time of Event (Mountain Time)"",""value"":"""&amp;TEXT(I80,"hh:mm:ss")&amp;"""},{""id"":151,""name"":""Denver Issue ID"",""value"":"""&amp;"""},{""id"":178,""name"":""Operational Impact"",""value"":"""&amp;redmine_op_impact&amp;"""},{""id"":179,""name"":""Denver Segment Assigned"",""value"":"""&amp;AL80&amp;"""}]}}"&amp;" | curl -X POST -H ""Content-Type: application/json"" -H ""X-Redmine-API-Key: "&amp;redm_api_key&amp;""" "&amp;redm_url&amp;" --data @-"</f>
        <v>echo {"issue":{"subject":"","project_id":79,"tracker_id":40,"status_id":1,"priority_id":2,"assigned_to_id":23,"start_date":"2016-12-15","description":"","custom_fields":[{"id":1,"name":"Subdivision","value":"EC"},{"id":4,"name":"Milepost","value":"23.3276"},{"id":17,"name":"Train ID","value":"167-15"},{"id":16,"name":"Locomotive ID","value":"4011"},{"id":130,"name":"Impact","value":""},{"id":150,"name":"Time of Event (Mountain Time)","value":"12:40:30"},{"id":151,"name":"Denver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678</v>
      </c>
      <c r="B81" s="7">
        <v>4012</v>
      </c>
      <c r="C81" s="22" t="s">
        <v>207</v>
      </c>
      <c r="D81" s="22" t="s">
        <v>800</v>
      </c>
      <c r="E81" s="13">
        <v>42719.532719907409</v>
      </c>
      <c r="F81" s="13">
        <v>42719.539247685185</v>
      </c>
      <c r="G81" s="7">
        <v>1</v>
      </c>
      <c r="H81" s="22" t="s">
        <v>820</v>
      </c>
      <c r="I81" s="13">
        <v>42719.568761574075</v>
      </c>
      <c r="J81" s="7">
        <v>0</v>
      </c>
      <c r="K81" s="109" t="str">
        <f t="shared" si="40"/>
        <v>4011/4012</v>
      </c>
      <c r="L81" s="22" t="str">
        <f>VLOOKUP(A81,'Trips&amp;Operators'!$C$1:$G$99999,5,FALSE)</f>
        <v>YOUNG ELIZABETH</v>
      </c>
      <c r="M81" s="6">
        <f t="shared" si="41"/>
        <v>2.9513888890505768E-2</v>
      </c>
      <c r="N81" s="7">
        <f t="shared" si="31"/>
        <v>42.500000002328306</v>
      </c>
      <c r="O81" s="7"/>
      <c r="P81" s="7"/>
      <c r="Q81" s="23"/>
      <c r="R81" s="23"/>
      <c r="S81" s="35">
        <f t="shared" si="32"/>
        <v>1</v>
      </c>
      <c r="T81" s="50" t="str">
        <f t="shared" si="42"/>
        <v>Southbound</v>
      </c>
      <c r="U81" s="171">
        <f>IF(AG81="EC",COUNTIFS(Variables!$M$2:$M$19,IF(T81="NorthBound","&gt;=","&lt;=")&amp;Y81,Variables!$M$2:$M$19,IF(T81="NorthBound","&lt;=","&gt;=")&amp;Z81),COUNTIFS(Variables!$P$2:$P$19,IF(T81="NorthBound","&gt;=","&lt;=")&amp;Y81,Variables!$P$2:$P$19,IF(T81="NorthBound","&lt;=","&gt;=")&amp;Z81))</f>
        <v>12</v>
      </c>
      <c r="V81" s="98" t="str">
        <f t="shared" si="43"/>
        <v>https://search-rtdc-monitor-bjffxe2xuh6vdkpspy63sjmuny.us-east-1.es.amazonaws.com/_plugin/kibana/#/discover/Steve-Slow-Train-Analysis-(2080s-and-2083s)?_g=(refreshInterval:(display:Off,section:0,value:0),time:(from:'2016-12-15 11:47:07-700',mode:absolute,to:'2016-12-15 14:39:01-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81" s="52" t="str">
        <f t="shared" si="44"/>
        <v>N</v>
      </c>
      <c r="X81" s="177">
        <f t="shared" si="39"/>
        <v>1</v>
      </c>
      <c r="Y81" s="67">
        <f t="shared" si="37"/>
        <v>23.2988</v>
      </c>
      <c r="Z81" s="67">
        <f t="shared" si="38"/>
        <v>2.0500000000000001E-2</v>
      </c>
      <c r="AA81" s="67">
        <f t="shared" si="45"/>
        <v>23.278300000000002</v>
      </c>
      <c r="AB81" s="64" t="e">
        <f>VLOOKUP(A81,Enforcements!$C$7:$K$18,8,0)</f>
        <v>#N/A</v>
      </c>
      <c r="AC81" s="60" t="e">
        <f>VLOOKUP(A81,Enforcements!$C$7:$E$18,3,0)</f>
        <v>#N/A</v>
      </c>
      <c r="AD81" s="61" t="str">
        <f t="shared" si="46"/>
        <v>0168-15</v>
      </c>
      <c r="AE81" s="91" t="str">
        <f t="shared" si="47"/>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81" s="88" t="str">
        <f t="shared" si="48"/>
        <v>"C:\Program Files (x86)\AstroGrep\AstroGrep.exe" /spath="%USERPROFILE%\AppData\Local\Temp\OnboardLogs" /stypes="app*4012*20161215*" /stext=" 20:.+((SYSTEM_STATE.+slice.+state.+changed )|(ment ac)|(multiple cpu faults)|(system.+state.+changed )|(\[timeout)|(PRM\|1\|D)|(kpr)|(kdp)|(\|lc)|(penalty))" /e /r /s</v>
      </c>
      <c r="AG81" s="1" t="str">
        <f t="shared" si="49"/>
        <v>EC</v>
      </c>
      <c r="AH81" s="92" t="str">
        <f t="shared" si="50"/>
        <v>"%USERPROFILE%\Documents\GitHub\eaglep3\Utilities\RefineRTDCRunTimes.py" --tripid 168-15 --locoid 4012 --swversion DE.1.0.8.0 --startMP 204:232988 --initTime 2016-12-15T12:47:07 --startdatetime 2016-12-15T12:56:31 --delay 1 --endMP 204:205 --enddatetime 2016-12-15T13:39:01 --enforcementcount 0 &gt;&gt;C:\Users\stu\Documents\GitHub\eaglep3-reporting\EC\2016-12-15-refined-times.txt</v>
      </c>
      <c r="AI81" s="119" t="str">
        <f t="shared" si="51"/>
        <v>echo {"issue":{"subject":"","project_id":79,"tracker_id":40,"status_id":1,"priority_id":2,"assigned_to_id":23,"start_date":"2016-12-15","description":"","custom_fields":[{"id":1,"name":"Subdivision","value":"EC"},{"id":4,"name":"Milepost","value":"0.0205"},{"id":17,"name":"Train ID","value":"168-15"},{"id":16,"name":"Locomotive ID","value":"4012"},{"id":130,"name":"Impact","value":""},{"id":150,"name":"Time of Event (Mountain Time)","value":"13:39:01"},{"id":151,"name":"Denver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672</v>
      </c>
      <c r="B82" s="7">
        <v>4018</v>
      </c>
      <c r="C82" s="22" t="s">
        <v>207</v>
      </c>
      <c r="D82" s="22" t="s">
        <v>195</v>
      </c>
      <c r="E82" s="13">
        <v>42719.508194444446</v>
      </c>
      <c r="F82" s="13">
        <v>42719.510868055557</v>
      </c>
      <c r="G82" s="7">
        <v>1</v>
      </c>
      <c r="H82" s="22" t="s">
        <v>304</v>
      </c>
      <c r="I82" s="13">
        <v>42719.53533564815</v>
      </c>
      <c r="J82" s="7">
        <v>0</v>
      </c>
      <c r="K82" s="109" t="str">
        <f t="shared" si="40"/>
        <v>4017/4018</v>
      </c>
      <c r="L82" s="22" t="str">
        <f>VLOOKUP(A82,'Trips&amp;Operators'!$C$1:$G$99999,5,FALSE)</f>
        <v>ADANE ELSHADAY</v>
      </c>
      <c r="M82" s="6">
        <f t="shared" si="41"/>
        <v>2.4467592593282461E-2</v>
      </c>
      <c r="N82" s="7">
        <f t="shared" ref="N82:N89" si="52">24*60*SUM($M82:$M82)</f>
        <v>35.233333334326744</v>
      </c>
      <c r="O82" s="7"/>
      <c r="P82" s="7"/>
      <c r="Q82" s="23"/>
      <c r="R82" s="23"/>
      <c r="S82" s="35">
        <f t="shared" ref="S82:S94" si="53">SUM(U82:U82)/IF(AG82="EC",12,1)</f>
        <v>1</v>
      </c>
      <c r="T82" s="50" t="str">
        <f t="shared" si="42"/>
        <v>NorthBound</v>
      </c>
      <c r="U82" s="171">
        <f>IF(AG82="EC",COUNTIFS(Variables!$M$2:$M$19,IF(T82="NorthBound","&gt;=","&lt;=")&amp;Y82,Variables!$M$2:$M$19,IF(T82="NorthBound","&lt;=","&gt;=")&amp;Z82),COUNTIFS(Variables!$P$2:$P$19,IF(T82="NorthBound","&gt;=","&lt;=")&amp;Y82,Variables!$P$2:$P$19,IF(T82="NorthBound","&lt;=","&gt;=")&amp;Z82))</f>
        <v>12</v>
      </c>
      <c r="V82" s="98" t="str">
        <f t="shared" si="43"/>
        <v>https://search-rtdc-monitor-bjffxe2xuh6vdkpspy63sjmuny.us-east-1.es.amazonaws.com/_plugin/kibana/#/discover/Steve-Slow-Train-Analysis-(2080s-and-2083s)?_g=(refreshInterval:(display:Off,section:0,value:0),time:(from:'2016-12-15 11:11:48-700',mode:absolute,to:'2016-12-15 13:50:53-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82" s="52" t="str">
        <f t="shared" si="44"/>
        <v>N</v>
      </c>
      <c r="X82" s="177">
        <f t="shared" si="39"/>
        <v>1</v>
      </c>
      <c r="Y82" s="67">
        <f t="shared" si="37"/>
        <v>4.5100000000000001E-2</v>
      </c>
      <c r="Z82" s="67">
        <f t="shared" si="38"/>
        <v>23.331399999999999</v>
      </c>
      <c r="AA82" s="67">
        <f t="shared" si="45"/>
        <v>23.286299999999997</v>
      </c>
      <c r="AB82" s="64" t="e">
        <f>VLOOKUP(A82,Enforcements!$C$7:$K$18,8,0)</f>
        <v>#N/A</v>
      </c>
      <c r="AC82" s="60" t="e">
        <f>VLOOKUP(A82,Enforcements!$C$7:$E$18,3,0)</f>
        <v>#N/A</v>
      </c>
      <c r="AD82" s="61" t="str">
        <f t="shared" si="46"/>
        <v>0169-15</v>
      </c>
      <c r="AE82" s="91" t="str">
        <f t="shared" si="47"/>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82" s="88" t="str">
        <f t="shared" si="48"/>
        <v>"C:\Program Files (x86)\AstroGrep\AstroGrep.exe" /spath="%USERPROFILE%\AppData\Local\Temp\OnboardLogs" /stypes="app*4018*20161215*" /stext=" 19:.+((SYSTEM_STATE.+slice.+state.+changed )|(ment ac)|(multiple cpu faults)|(system.+state.+changed )|(\[timeout)|(PRM\|1\|D)|(kpr)|(kdp)|(\|lc)|(penalty))" /e /r /s</v>
      </c>
      <c r="AG82" s="1" t="str">
        <f t="shared" si="49"/>
        <v>EC</v>
      </c>
      <c r="AH82" s="92" t="str">
        <f t="shared" si="50"/>
        <v>"%USERPROFILE%\Documents\GitHub\eaglep3\Utilities\RefineRTDCRunTimes.py" --tripid 169-15 --locoid 4018 --swversion DE.1.0.8.0 --startMP 204:451 --initTime 2016-12-15T12:11:48 --startdatetime 2016-12-15T12:15:39 --delay 1 --endMP 204:233314 --enddatetime 2016-12-15T12:50:53 --enforcementcount 0 &gt;&gt;C:\Users\stu\Documents\GitHub\eaglep3-reporting\EC\2016-12-15-refined-times.txt</v>
      </c>
      <c r="AI82" s="119" t="str">
        <f t="shared" si="51"/>
        <v>echo {"issue":{"subject":"","project_id":79,"tracker_id":40,"status_id":1,"priority_id":2,"assigned_to_id":23,"start_date":"2016-12-15","description":"","custom_fields":[{"id":1,"name":"Subdivision","value":"EC"},{"id":4,"name":"Milepost","value":"23.3314"},{"id":17,"name":"Train ID","value":"169-15"},{"id":16,"name":"Locomotive ID","value":"4018"},{"id":130,"name":"Impact","value":""},{"id":150,"name":"Time of Event (Mountain Time)","value":"12:50:53"},{"id":151,"name":"Denver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679</v>
      </c>
      <c r="B83" s="7">
        <v>4017</v>
      </c>
      <c r="C83" s="22" t="s">
        <v>207</v>
      </c>
      <c r="D83" s="22" t="s">
        <v>276</v>
      </c>
      <c r="E83" s="13">
        <v>42719.536678240744</v>
      </c>
      <c r="F83" s="13">
        <v>42719.54996527778</v>
      </c>
      <c r="G83" s="7">
        <v>1</v>
      </c>
      <c r="H83" s="22" t="s">
        <v>291</v>
      </c>
      <c r="I83" s="13">
        <v>42719.575902777775</v>
      </c>
      <c r="J83" s="7">
        <v>0</v>
      </c>
      <c r="K83" s="109" t="str">
        <f t="shared" si="40"/>
        <v>4017/4018</v>
      </c>
      <c r="L83" s="22" t="str">
        <f>VLOOKUP(A83,'Trips&amp;Operators'!$C$1:$G$99999,5,FALSE)</f>
        <v>ADANE ELSHADAY</v>
      </c>
      <c r="M83" s="6">
        <f t="shared" si="41"/>
        <v>2.5937499995052349E-2</v>
      </c>
      <c r="N83" s="7">
        <f t="shared" si="52"/>
        <v>37.349999992875382</v>
      </c>
      <c r="O83" s="7"/>
      <c r="P83" s="7"/>
      <c r="Q83" s="23"/>
      <c r="R83" s="23"/>
      <c r="S83" s="35">
        <f t="shared" si="53"/>
        <v>1</v>
      </c>
      <c r="T83" s="50" t="str">
        <f t="shared" si="42"/>
        <v>Southbound</v>
      </c>
      <c r="U83" s="171">
        <f>IF(AG83="EC",COUNTIFS(Variables!$M$2:$M$19,IF(T83="NorthBound","&gt;=","&lt;=")&amp;Y83,Variables!$M$2:$M$19,IF(T83="NorthBound","&lt;=","&gt;=")&amp;Z83),COUNTIFS(Variables!$P$2:$P$19,IF(T83="NorthBound","&gt;=","&lt;=")&amp;Y83,Variables!$P$2:$P$19,IF(T83="NorthBound","&lt;=","&gt;=")&amp;Z83))</f>
        <v>12</v>
      </c>
      <c r="V83" s="98" t="str">
        <f t="shared" si="43"/>
        <v>https://search-rtdc-monitor-bjffxe2xuh6vdkpspy63sjmuny.us-east-1.es.amazonaws.com/_plugin/kibana/#/discover/Steve-Slow-Train-Analysis-(2080s-and-2083s)?_g=(refreshInterval:(display:Off,section:0,value:0),time:(from:'2016-12-15 11:52:49-700',mode:absolute,to:'2016-12-15 14:49:18-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83" s="52" t="str">
        <f t="shared" si="44"/>
        <v>N</v>
      </c>
      <c r="X83" s="177">
        <f t="shared" si="39"/>
        <v>1</v>
      </c>
      <c r="Y83" s="67">
        <f t="shared" si="37"/>
        <v>23.299399999999999</v>
      </c>
      <c r="Z83" s="67">
        <f t="shared" si="38"/>
        <v>1.61E-2</v>
      </c>
      <c r="AA83" s="67">
        <f t="shared" si="45"/>
        <v>23.283299999999997</v>
      </c>
      <c r="AB83" s="64" t="e">
        <f>VLOOKUP(A83,Enforcements!$C$7:$K$18,8,0)</f>
        <v>#N/A</v>
      </c>
      <c r="AC83" s="60" t="e">
        <f>VLOOKUP(A83,Enforcements!$C$7:$E$18,3,0)</f>
        <v>#N/A</v>
      </c>
      <c r="AD83" s="61" t="str">
        <f t="shared" si="46"/>
        <v>0170-15</v>
      </c>
      <c r="AE83" s="91" t="str">
        <f t="shared" si="47"/>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83" s="88" t="str">
        <f t="shared" si="48"/>
        <v>"C:\Program Files (x86)\AstroGrep\AstroGrep.exe" /spath="%USERPROFILE%\AppData\Local\Temp\OnboardLogs" /stypes="app*4017*20161215*" /stext=" 20:.+((SYSTEM_STATE.+slice.+state.+changed )|(ment ac)|(multiple cpu faults)|(system.+state.+changed )|(\[timeout)|(PRM\|1\|D)|(kpr)|(kdp)|(\|lc)|(penalty))" /e /r /s</v>
      </c>
      <c r="AG83" s="1" t="str">
        <f t="shared" si="49"/>
        <v>EC</v>
      </c>
      <c r="AH83" s="92" t="str">
        <f t="shared" si="50"/>
        <v>"%USERPROFILE%\Documents\GitHub\eaglep3\Utilities\RefineRTDCRunTimes.py" --tripid 170-15 --locoid 4017 --swversion DE.1.0.8.0 --startMP 204:232994 --initTime 2016-12-15T12:52:49 --startdatetime 2016-12-15T13:11:57 --delay 1 --endMP 204:161 --enddatetime 2016-12-15T13:49:18 --enforcementcount 0 &gt;&gt;C:\Users\stu\Documents\GitHub\eaglep3-reporting\EC\2016-12-15-refined-times.txt</v>
      </c>
      <c r="AI83" s="119" t="str">
        <f t="shared" si="51"/>
        <v>echo {"issue":{"subject":"","project_id":79,"tracker_id":40,"status_id":1,"priority_id":2,"assigned_to_id":23,"start_date":"2016-12-15","description":"","custom_fields":[{"id":1,"name":"Subdivision","value":"EC"},{"id":4,"name":"Milepost","value":"0.0161"},{"id":17,"name":"Train ID","value":"170-15"},{"id":16,"name":"Locomotive ID","value":"4017"},{"id":130,"name":"Impact","value":""},{"id":150,"name":"Time of Event (Mountain Time)","value":"13:49:18"},{"id":151,"name":"Denver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674</v>
      </c>
      <c r="B84" s="7">
        <v>4016</v>
      </c>
      <c r="C84" s="22" t="s">
        <v>207</v>
      </c>
      <c r="D84" s="22" t="s">
        <v>787</v>
      </c>
      <c r="E84" s="13">
        <v>42719.518518518518</v>
      </c>
      <c r="F84" s="13">
        <v>42719.521099537036</v>
      </c>
      <c r="G84" s="7">
        <v>2</v>
      </c>
      <c r="H84" s="22" t="s">
        <v>790</v>
      </c>
      <c r="I84" s="13">
        <v>42719.546712962961</v>
      </c>
      <c r="J84" s="7">
        <v>0</v>
      </c>
      <c r="K84" s="109" t="str">
        <f t="shared" si="40"/>
        <v>4015/4016</v>
      </c>
      <c r="L84" s="22" t="str">
        <f>VLOOKUP(A84,'Trips&amp;Operators'!$C$1:$G$99999,5,FALSE)</f>
        <v>YANG JAN</v>
      </c>
      <c r="M84" s="6">
        <f t="shared" si="41"/>
        <v>2.5613425925257616E-2</v>
      </c>
      <c r="N84" s="7">
        <f t="shared" si="52"/>
        <v>36.883333332370967</v>
      </c>
      <c r="O84" s="7"/>
      <c r="P84" s="7"/>
      <c r="Q84" s="23"/>
      <c r="R84" s="23"/>
      <c r="S84" s="35">
        <f t="shared" si="53"/>
        <v>1</v>
      </c>
      <c r="T84" s="50" t="str">
        <f t="shared" si="42"/>
        <v>NorthBound</v>
      </c>
      <c r="U84" s="171">
        <f>IF(AG84="EC",COUNTIFS(Variables!$M$2:$M$19,IF(T84="NorthBound","&gt;=","&lt;=")&amp;Y84,Variables!$M$2:$M$19,IF(T84="NorthBound","&lt;=","&gt;=")&amp;Z84),COUNTIFS(Variables!$P$2:$P$19,IF(T84="NorthBound","&gt;=","&lt;=")&amp;Y84,Variables!$P$2:$P$19,IF(T84="NorthBound","&lt;=","&gt;=")&amp;Z84))</f>
        <v>12</v>
      </c>
      <c r="V84" s="98" t="str">
        <f t="shared" si="43"/>
        <v>https://search-rtdc-monitor-bjffxe2xuh6vdkpspy63sjmuny.us-east-1.es.amazonaws.com/_plugin/kibana/#/discover/Steve-Slow-Train-Analysis-(2080s-and-2083s)?_g=(refreshInterval:(display:Off,section:0,value:0),time:(from:'2016-12-15 11:26:40-700',mode:absolute,to:'2016-12-15 14:07:16-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84" s="52" t="str">
        <f t="shared" si="44"/>
        <v>N</v>
      </c>
      <c r="X84" s="177">
        <f t="shared" si="39"/>
        <v>1</v>
      </c>
      <c r="Y84" s="67">
        <f t="shared" si="37"/>
        <v>4.4200000000000003E-2</v>
      </c>
      <c r="Z84" s="67">
        <f t="shared" si="38"/>
        <v>23.3276</v>
      </c>
      <c r="AA84" s="67">
        <f t="shared" si="45"/>
        <v>23.2834</v>
      </c>
      <c r="AB84" s="64" t="e">
        <f>VLOOKUP(A84,Enforcements!$C$7:$K$18,8,0)</f>
        <v>#N/A</v>
      </c>
      <c r="AC84" s="60" t="e">
        <f>VLOOKUP(A84,Enforcements!$C$7:$E$18,3,0)</f>
        <v>#N/A</v>
      </c>
      <c r="AD84" s="61" t="str">
        <f t="shared" si="46"/>
        <v>0171-15</v>
      </c>
      <c r="AE84" s="91" t="str">
        <f t="shared" si="47"/>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84" s="88" t="str">
        <f t="shared" si="48"/>
        <v>"C:\Program Files (x86)\AstroGrep\AstroGrep.exe" /spath="%USERPROFILE%\AppData\Local\Temp\OnboardLogs" /stypes="app*4016*20161215*" /stext=" 20:.+((SYSTEM_STATE.+slice.+state.+changed )|(ment ac)|(multiple cpu faults)|(system.+state.+changed )|(\[timeout)|(PRM\|1\|D)|(kpr)|(kdp)|(\|lc)|(penalty))" /e /r /s</v>
      </c>
      <c r="AG84" s="1" t="str">
        <f t="shared" si="49"/>
        <v>EC</v>
      </c>
      <c r="AH84" s="92" t="str">
        <f t="shared" si="50"/>
        <v>"%USERPROFILE%\Documents\GitHub\eaglep3\Utilities\RefineRTDCRunTimes.py" --tripid 171-15 --locoid 4016 --swversion DE.1.0.8.0 --startMP 204:442 --initTime 2016-12-15T12:26:40 --startdatetime 2016-12-15T12:30:23 --delay 2 --endMP 204:233276 --enddatetime 2016-12-15T13:07:16 --enforcementcount 0 &gt;&gt;C:\Users\stu\Documents\GitHub\eaglep3-reporting\EC\2016-12-15-refined-times.txt</v>
      </c>
      <c r="AI84" s="119" t="str">
        <f t="shared" si="51"/>
        <v>echo {"issue":{"subject":"","project_id":79,"tracker_id":40,"status_id":1,"priority_id":2,"assigned_to_id":23,"start_date":"2016-12-15","description":"","custom_fields":[{"id":1,"name":"Subdivision","value":"EC"},{"id":4,"name":"Milepost","value":"23.3276"},{"id":17,"name":"Train ID","value":"171-15"},{"id":16,"name":"Locomotive ID","value":"4016"},{"id":130,"name":"Impact","value":""},{"id":150,"name":"Time of Event (Mountain Time)","value":"13:07:16"},{"id":151,"name":"Denver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569</v>
      </c>
      <c r="B85" s="7">
        <v>4015</v>
      </c>
      <c r="C85" s="22" t="s">
        <v>207</v>
      </c>
      <c r="D85" s="22" t="s">
        <v>821</v>
      </c>
      <c r="E85" s="13">
        <v>42719.551793981482</v>
      </c>
      <c r="F85" s="13">
        <v>42719.559976851851</v>
      </c>
      <c r="G85" s="7">
        <v>1</v>
      </c>
      <c r="H85" s="22" t="s">
        <v>298</v>
      </c>
      <c r="I85" s="13">
        <v>42719.589537037034</v>
      </c>
      <c r="J85" s="7">
        <v>0</v>
      </c>
      <c r="K85" s="109" t="str">
        <f t="shared" si="40"/>
        <v>4015/4016</v>
      </c>
      <c r="L85" s="22" t="str">
        <f>VLOOKUP(A85,'Trips&amp;Operators'!$C$1:$G$99999,5,FALSE)</f>
        <v>YANG JAN</v>
      </c>
      <c r="M85" s="6">
        <f t="shared" si="41"/>
        <v>2.9560185183072463E-2</v>
      </c>
      <c r="N85" s="7">
        <f t="shared" si="52"/>
        <v>42.566666663624346</v>
      </c>
      <c r="O85" s="7"/>
      <c r="P85" s="7"/>
      <c r="Q85" s="23"/>
      <c r="R85" s="23"/>
      <c r="S85" s="35">
        <f t="shared" si="53"/>
        <v>1</v>
      </c>
      <c r="T85" s="50" t="str">
        <f t="shared" si="42"/>
        <v>Southbound</v>
      </c>
      <c r="U85" s="171">
        <f>IF(AG85="EC",COUNTIFS(Variables!$M$2:$M$19,IF(T85="NorthBound","&gt;=","&lt;=")&amp;Y85,Variables!$M$2:$M$19,IF(T85="NorthBound","&lt;=","&gt;=")&amp;Z85),COUNTIFS(Variables!$P$2:$P$19,IF(T85="NorthBound","&gt;=","&lt;=")&amp;Y85,Variables!$P$2:$P$19,IF(T85="NorthBound","&lt;=","&gt;=")&amp;Z85))</f>
        <v>12</v>
      </c>
      <c r="V85" s="98" t="str">
        <f t="shared" si="43"/>
        <v>https://search-rtdc-monitor-bjffxe2xuh6vdkpspy63sjmuny.us-east-1.es.amazonaws.com/_plugin/kibana/#/discover/Steve-Slow-Train-Analysis-(2080s-and-2083s)?_g=(refreshInterval:(display:Off,section:0,value:0),time:(from:'2016-12-15 12:14:35-700',mode:absolute,to:'2016-12-15 15:08:56-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85" s="52" t="str">
        <f t="shared" si="44"/>
        <v>N</v>
      </c>
      <c r="X85" s="177">
        <f t="shared" si="39"/>
        <v>1</v>
      </c>
      <c r="Y85" s="67">
        <f t="shared" si="37"/>
        <v>23.296500000000002</v>
      </c>
      <c r="Z85" s="67">
        <f t="shared" si="38"/>
        <v>1.5800000000000002E-2</v>
      </c>
      <c r="AA85" s="67">
        <f t="shared" si="45"/>
        <v>23.280700000000003</v>
      </c>
      <c r="AB85" s="64" t="str">
        <f>VLOOKUP(A85,Enforcements!$C$7:$K$18,8,0)</f>
        <v>Bulletin (2)</v>
      </c>
      <c r="AC85" s="60" t="str">
        <f>VLOOKUP(A85,Enforcements!$C$7:$E$18,3,0)</f>
        <v>GRADE CROSSING</v>
      </c>
      <c r="AD85" s="61" t="str">
        <f t="shared" si="46"/>
        <v>0172-15</v>
      </c>
      <c r="AE85" s="91" t="str">
        <f t="shared" si="47"/>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85" s="88" t="str">
        <f t="shared" si="48"/>
        <v>"C:\Program Files (x86)\AstroGrep\AstroGrep.exe" /spath="%USERPROFILE%\AppData\Local\Temp\OnboardLogs" /stypes="app*4015*20161215*" /stext=" 21:.+((SYSTEM_STATE.+slice.+state.+changed )|(ment ac)|(multiple cpu faults)|(system.+state.+changed )|(\[timeout)|(PRM\|1\|D)|(kpr)|(kdp)|(\|lc)|(penalty))" /e /r /s</v>
      </c>
      <c r="AG85" s="1" t="str">
        <f t="shared" si="49"/>
        <v>EC</v>
      </c>
      <c r="AH85" s="92" t="str">
        <f t="shared" si="50"/>
        <v>"%USERPROFILE%\Documents\GitHub\eaglep3\Utilities\RefineRTDCRunTimes.py" --tripid 172-15 --locoid 4015 --swversion DE.1.0.8.0 --startMP 204:232965 --initTime 2016-12-15T13:14:35 --startdatetime 2016-12-15T13:26:22 --delay 1 --endMP 204:158 --enddatetime 2016-12-15T14:08:56 --enforcementcount 0 &gt;&gt;C:\Users\stu\Documents\GitHub\eaglep3-reporting\EC\2016-12-15-refined-times.txt</v>
      </c>
      <c r="AI85" s="119" t="str">
        <f t="shared" si="51"/>
        <v>echo {"issue":{"subject":"","project_id":79,"tracker_id":40,"status_id":1,"priority_id":2,"assigned_to_id":23,"start_date":"2016-12-15","description":"","custom_fields":[{"id":1,"name":"Subdivision","value":"EC"},{"id":4,"name":"Milepost","value":"0.0158"},{"id":17,"name":"Train ID","value":"172-15"},{"id":16,"name":"Locomotive ID","value":"4015"},{"id":130,"name":"Impact","value":""},{"id":150,"name":"Time of Event (Mountain Time)","value":"14:08:56"},{"id":151,"name":"Denver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677</v>
      </c>
      <c r="B86" s="7">
        <v>4009</v>
      </c>
      <c r="C86" s="22" t="s">
        <v>207</v>
      </c>
      <c r="D86" s="22" t="s">
        <v>411</v>
      </c>
      <c r="E86" s="13">
        <v>42719.525914351849</v>
      </c>
      <c r="F86" s="13">
        <v>42719.531458333331</v>
      </c>
      <c r="G86" s="7">
        <v>1</v>
      </c>
      <c r="H86" s="22" t="s">
        <v>794</v>
      </c>
      <c r="I86" s="13">
        <v>42719.556076388886</v>
      </c>
      <c r="J86" s="7">
        <v>0</v>
      </c>
      <c r="K86" s="109" t="str">
        <f t="shared" si="40"/>
        <v>4009/4010</v>
      </c>
      <c r="L86" s="22" t="str">
        <f>VLOOKUP(A86,'Trips&amp;Operators'!$C$1:$G$99999,5,FALSE)</f>
        <v>DAVIDSON DAVID</v>
      </c>
      <c r="M86" s="6">
        <f t="shared" si="41"/>
        <v>2.4618055555038154E-2</v>
      </c>
      <c r="N86" s="7">
        <f t="shared" si="52"/>
        <v>35.449999999254942</v>
      </c>
      <c r="O86" s="7"/>
      <c r="P86" s="7"/>
      <c r="Q86" s="23"/>
      <c r="R86" s="23"/>
      <c r="S86" s="35">
        <f t="shared" si="53"/>
        <v>1</v>
      </c>
      <c r="T86" s="50" t="str">
        <f t="shared" si="42"/>
        <v>NorthBound</v>
      </c>
      <c r="U86" s="171">
        <f>IF(AG86="EC",COUNTIFS(Variables!$M$2:$M$19,IF(T86="NorthBound","&gt;=","&lt;=")&amp;Y86,Variables!$M$2:$M$19,IF(T86="NorthBound","&lt;=","&gt;=")&amp;Z86),COUNTIFS(Variables!$P$2:$P$19,IF(T86="NorthBound","&gt;=","&lt;=")&amp;Y86,Variables!$P$2:$P$19,IF(T86="NorthBound","&lt;=","&gt;=")&amp;Z86))</f>
        <v>12</v>
      </c>
      <c r="V86" s="98" t="str">
        <f t="shared" si="43"/>
        <v>https://search-rtdc-monitor-bjffxe2xuh6vdkpspy63sjmuny.us-east-1.es.amazonaws.com/_plugin/kibana/#/discover/Steve-Slow-Train-Analysis-(2080s-and-2083s)?_g=(refreshInterval:(display:Off,section:0,value:0),time:(from:'2016-12-15 11:37:19-700',mode:absolute,to:'2016-12-15 14:20:45-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86" s="52" t="str">
        <f t="shared" si="44"/>
        <v>N</v>
      </c>
      <c r="X86" s="177">
        <f t="shared" si="39"/>
        <v>1</v>
      </c>
      <c r="Y86" s="67">
        <f t="shared" si="37"/>
        <v>4.3999999999999997E-2</v>
      </c>
      <c r="Z86" s="67">
        <f t="shared" si="38"/>
        <v>23.331900000000001</v>
      </c>
      <c r="AA86" s="67">
        <f t="shared" si="45"/>
        <v>23.2879</v>
      </c>
      <c r="AB86" s="64" t="e">
        <f>VLOOKUP(A86,Enforcements!$C$7:$K$18,8,0)</f>
        <v>#N/A</v>
      </c>
      <c r="AC86" s="60" t="e">
        <f>VLOOKUP(A86,Enforcements!$C$7:$E$18,3,0)</f>
        <v>#N/A</v>
      </c>
      <c r="AD86" s="61" t="str">
        <f t="shared" si="46"/>
        <v>0173-15</v>
      </c>
      <c r="AE86" s="91" t="str">
        <f t="shared" si="47"/>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86" s="88" t="str">
        <f t="shared" si="48"/>
        <v>"C:\Program Files (x86)\AstroGrep\AstroGrep.exe" /spath="%USERPROFILE%\AppData\Local\Temp\OnboardLogs" /stypes="app*4009*20161215*" /stext=" 20:.+((SYSTEM_STATE.+slice.+state.+changed )|(ment ac)|(multiple cpu faults)|(system.+state.+changed )|(\[timeout)|(PRM\|1\|D)|(kpr)|(kdp)|(\|lc)|(penalty))" /e /r /s</v>
      </c>
      <c r="AG86" s="1" t="str">
        <f t="shared" si="49"/>
        <v>EC</v>
      </c>
      <c r="AH86" s="92" t="str">
        <f t="shared" si="50"/>
        <v>"%USERPROFILE%\Documents\GitHub\eaglep3\Utilities\RefineRTDCRunTimes.py" --tripid 173-15 --locoid 4009 --swversion DE.1.0.8.0 --startMP 204:440 --initTime 2016-12-15T12:37:19 --startdatetime 2016-12-15T12:45:18 --delay 1 --endMP 204:233319 --enddatetime 2016-12-15T13:20:45 --enforcementcount 0 &gt;&gt;C:\Users\stu\Documents\GitHub\eaglep3-reporting\EC\2016-12-15-refined-times.txt</v>
      </c>
      <c r="AI86" s="119" t="str">
        <f t="shared" si="51"/>
        <v>echo {"issue":{"subject":"","project_id":79,"tracker_id":40,"status_id":1,"priority_id":2,"assigned_to_id":23,"start_date":"2016-12-15","description":"","custom_fields":[{"id":1,"name":"Subdivision","value":"EC"},{"id":4,"name":"Milepost","value":"23.3319"},{"id":17,"name":"Train ID","value":"173-15"},{"id":16,"name":"Locomotive ID","value":"4009"},{"id":130,"name":"Impact","value":""},{"id":150,"name":"Time of Event (Mountain Time)","value":"13:20:45"},{"id":151,"name":"Denver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682</v>
      </c>
      <c r="B87" s="7">
        <v>4010</v>
      </c>
      <c r="C87" s="22" t="s">
        <v>207</v>
      </c>
      <c r="D87" s="22" t="s">
        <v>311</v>
      </c>
      <c r="E87" s="13">
        <v>42719.565069444441</v>
      </c>
      <c r="F87" s="13">
        <v>42719.5705787037</v>
      </c>
      <c r="G87" s="7">
        <v>1</v>
      </c>
      <c r="H87" s="22" t="s">
        <v>225</v>
      </c>
      <c r="I87" s="13">
        <v>42719.597905092596</v>
      </c>
      <c r="J87" s="7">
        <v>0</v>
      </c>
      <c r="K87" s="109" t="str">
        <f t="shared" si="40"/>
        <v>4009/4010</v>
      </c>
      <c r="L87" s="22" t="str">
        <f>VLOOKUP(A87,'Trips&amp;Operators'!$C$1:$G$99999,5,FALSE)</f>
        <v>DAVIDSON DAVID</v>
      </c>
      <c r="M87" s="6">
        <f t="shared" si="41"/>
        <v>2.7326388895744458E-2</v>
      </c>
      <c r="N87" s="7">
        <f t="shared" si="52"/>
        <v>39.350000009872019</v>
      </c>
      <c r="O87" s="7"/>
      <c r="P87" s="7"/>
      <c r="Q87" s="23"/>
      <c r="R87" s="23"/>
      <c r="S87" s="35">
        <f t="shared" si="53"/>
        <v>1</v>
      </c>
      <c r="T87" s="50" t="str">
        <f t="shared" si="42"/>
        <v>Southbound</v>
      </c>
      <c r="U87" s="171">
        <f>IF(AG87="EC",COUNTIFS(Variables!$M$2:$M$19,IF(T87="NorthBound","&gt;=","&lt;=")&amp;Y87,Variables!$M$2:$M$19,IF(T87="NorthBound","&lt;=","&gt;=")&amp;Z87),COUNTIFS(Variables!$P$2:$P$19,IF(T87="NorthBound","&gt;=","&lt;=")&amp;Y87,Variables!$P$2:$P$19,IF(T87="NorthBound","&lt;=","&gt;=")&amp;Z87))</f>
        <v>12</v>
      </c>
      <c r="V87" s="98" t="str">
        <f t="shared" si="43"/>
        <v>https://search-rtdc-monitor-bjffxe2xuh6vdkpspy63sjmuny.us-east-1.es.amazonaws.com/_plugin/kibana/#/discover/Steve-Slow-Train-Analysis-(2080s-and-2083s)?_g=(refreshInterval:(display:Off,section:0,value:0),time:(from:'2016-12-15 12:33:42-700',mode:absolute,to:'2016-12-15 15:20: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87" s="52" t="str">
        <f t="shared" si="44"/>
        <v>N</v>
      </c>
      <c r="X87" s="177">
        <f t="shared" si="39"/>
        <v>1</v>
      </c>
      <c r="Y87" s="67">
        <f t="shared" si="37"/>
        <v>23.299800000000001</v>
      </c>
      <c r="Z87" s="67">
        <f t="shared" si="38"/>
        <v>1.54E-2</v>
      </c>
      <c r="AA87" s="67">
        <f t="shared" si="45"/>
        <v>23.284400000000002</v>
      </c>
      <c r="AB87" s="64" t="e">
        <f>VLOOKUP(A87,Enforcements!$C$7:$K$18,8,0)</f>
        <v>#N/A</v>
      </c>
      <c r="AC87" s="60" t="e">
        <f>VLOOKUP(A87,Enforcements!$C$7:$E$18,3,0)</f>
        <v>#N/A</v>
      </c>
      <c r="AD87" s="61" t="str">
        <f t="shared" si="46"/>
        <v>0174-15</v>
      </c>
      <c r="AE87" s="91" t="str">
        <f t="shared" si="47"/>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87" s="88" t="str">
        <f t="shared" si="48"/>
        <v>"C:\Program Files (x86)\AstroGrep\AstroGrep.exe" /spath="%USERPROFILE%\AppData\Local\Temp\OnboardLogs" /stypes="app*4010*20161215*" /stext=" 21:.+((SYSTEM_STATE.+slice.+state.+changed )|(ment ac)|(multiple cpu faults)|(system.+state.+changed )|(\[timeout)|(PRM\|1\|D)|(kpr)|(kdp)|(\|lc)|(penalty))" /e /r /s</v>
      </c>
      <c r="AG87" s="1" t="str">
        <f t="shared" si="49"/>
        <v>EC</v>
      </c>
      <c r="AH87" s="92" t="str">
        <f t="shared" si="50"/>
        <v>"%USERPROFILE%\Documents\GitHub\eaglep3\Utilities\RefineRTDCRunTimes.py" --tripid 174-15 --locoid 4010 --swversion DE.1.0.8.0 --startMP 204:232998 --initTime 2016-12-15T13:33:42 --startdatetime 2016-12-15T13:41:38 --delay 1 --endMP 204:154 --enddatetime 2016-12-15T14:20:59 --enforcementcount 0 &gt;&gt;C:\Users\stu\Documents\GitHub\eaglep3-reporting\EC\2016-12-15-refined-times.txt</v>
      </c>
      <c r="AI87" s="119" t="str">
        <f t="shared" si="51"/>
        <v>echo {"issue":{"subject":"","project_id":79,"tracker_id":40,"status_id":1,"priority_id":2,"assigned_to_id":23,"start_date":"2016-12-15","description":"","custom_fields":[{"id":1,"name":"Subdivision","value":"EC"},{"id":4,"name":"Milepost","value":"0.0154"},{"id":17,"name":"Train ID","value":"174-15"},{"id":16,"name":"Locomotive ID","value":"4010"},{"id":130,"name":"Impact","value":""},{"id":150,"name":"Time of Event (Mountain Time)","value":"14:20:59"},{"id":151,"name":"Denver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680</v>
      </c>
      <c r="B88" s="7">
        <v>4031</v>
      </c>
      <c r="C88" s="22" t="s">
        <v>207</v>
      </c>
      <c r="D88" s="22" t="s">
        <v>195</v>
      </c>
      <c r="E88" s="13">
        <v>42719.537916666668</v>
      </c>
      <c r="F88" s="13">
        <v>42719.541909722226</v>
      </c>
      <c r="G88" s="7">
        <v>1</v>
      </c>
      <c r="H88" s="22" t="s">
        <v>806</v>
      </c>
      <c r="I88" s="13">
        <v>42719.567430555559</v>
      </c>
      <c r="J88" s="7">
        <v>0</v>
      </c>
      <c r="K88" s="109" t="str">
        <f t="shared" si="40"/>
        <v>4031/4032</v>
      </c>
      <c r="L88" s="22" t="str">
        <f>VLOOKUP(A88,'Trips&amp;Operators'!$C$1:$G$99999,5,FALSE)</f>
        <v>SHOOK JOHN</v>
      </c>
      <c r="M88" s="6">
        <f t="shared" si="41"/>
        <v>2.5520833332848269E-2</v>
      </c>
      <c r="N88" s="7">
        <f t="shared" si="52"/>
        <v>36.749999999301508</v>
      </c>
      <c r="O88" s="7"/>
      <c r="P88" s="7"/>
      <c r="Q88" s="23"/>
      <c r="R88" s="23"/>
      <c r="S88" s="35">
        <f t="shared" si="53"/>
        <v>1</v>
      </c>
      <c r="T88" s="50" t="str">
        <f t="shared" si="42"/>
        <v>NorthBound</v>
      </c>
      <c r="U88" s="171">
        <f>IF(AG88="EC",COUNTIFS(Variables!$M$2:$M$19,IF(T88="NorthBound","&gt;=","&lt;=")&amp;Y88,Variables!$M$2:$M$19,IF(T88="NorthBound","&lt;=","&gt;=")&amp;Z88),COUNTIFS(Variables!$P$2:$P$19,IF(T88="NorthBound","&gt;=","&lt;=")&amp;Y88,Variables!$P$2:$P$19,IF(T88="NorthBound","&lt;=","&gt;=")&amp;Z88))</f>
        <v>12</v>
      </c>
      <c r="V88" s="98" t="str">
        <f t="shared" si="43"/>
        <v>https://search-rtdc-monitor-bjffxe2xuh6vdkpspy63sjmuny.us-east-1.es.amazonaws.com/_plugin/kibana/#/discover/Steve-Slow-Train-Analysis-(2080s-and-2083s)?_g=(refreshInterval:(display:Off,section:0,value:0),time:(from:'2016-12-15 11:54:36-700',mode:absolute,to:'2016-12-15 14:37:06-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88" s="52" t="str">
        <f t="shared" si="44"/>
        <v>N</v>
      </c>
      <c r="X88" s="177">
        <f t="shared" si="39"/>
        <v>1</v>
      </c>
      <c r="Y88" s="67">
        <f t="shared" si="37"/>
        <v>4.5100000000000001E-2</v>
      </c>
      <c r="Z88" s="67">
        <f t="shared" si="38"/>
        <v>23.334099999999999</v>
      </c>
      <c r="AA88" s="67">
        <f t="shared" si="45"/>
        <v>23.288999999999998</v>
      </c>
      <c r="AB88" s="64" t="e">
        <f>VLOOKUP(A88,Enforcements!$C$7:$K$18,8,0)</f>
        <v>#N/A</v>
      </c>
      <c r="AC88" s="60" t="e">
        <f>VLOOKUP(A88,Enforcements!$C$7:$E$18,3,0)</f>
        <v>#N/A</v>
      </c>
      <c r="AD88" s="61" t="str">
        <f t="shared" si="46"/>
        <v>0175-15</v>
      </c>
      <c r="AE88" s="91" t="str">
        <f t="shared" si="47"/>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88" s="88" t="str">
        <f t="shared" si="48"/>
        <v>"C:\Program Files (x86)\AstroGrep\AstroGrep.exe" /spath="%USERPROFILE%\AppData\Local\Temp\OnboardLogs" /stypes="app*4031*20161215*" /stext=" 20:.+((SYSTEM_STATE.+slice.+state.+changed )|(ment ac)|(multiple cpu faults)|(system.+state.+changed )|(\[timeout)|(PRM\|1\|D)|(kpr)|(kdp)|(\|lc)|(penalty))" /e /r /s</v>
      </c>
      <c r="AG88" s="1" t="str">
        <f t="shared" si="49"/>
        <v>EC</v>
      </c>
      <c r="AH88" s="92" t="str">
        <f t="shared" si="50"/>
        <v>"%USERPROFILE%\Documents\GitHub\eaglep3\Utilities\RefineRTDCRunTimes.py" --tripid 175-15 --locoid 4031 --swversion DE.1.0.8.0 --startMP 204:451 --initTime 2016-12-15T12:54:36 --startdatetime 2016-12-15T13:00:21 --delay 1 --endMP 204:233341 --enddatetime 2016-12-15T13:37:06 --enforcementcount 0 &gt;&gt;C:\Users\stu\Documents\GitHub\eaglep3-reporting\EC\2016-12-15-refined-times.txt</v>
      </c>
      <c r="AI88" s="119" t="str">
        <f t="shared" si="51"/>
        <v>echo {"issue":{"subject":"","project_id":79,"tracker_id":40,"status_id":1,"priority_id":2,"assigned_to_id":23,"start_date":"2016-12-15","description":"","custom_fields":[{"id":1,"name":"Subdivision","value":"EC"},{"id":4,"name":"Milepost","value":"23.3341"},{"id":17,"name":"Train ID","value":"175-15"},{"id":16,"name":"Locomotive ID","value":"4031"},{"id":130,"name":"Impact","value":""},{"id":150,"name":"Time of Event (Mountain Time)","value":"13:37:06"},{"id":151,"name":"Denver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685</v>
      </c>
      <c r="B89" s="7">
        <v>4032</v>
      </c>
      <c r="C89" s="22" t="s">
        <v>207</v>
      </c>
      <c r="D89" s="22" t="s">
        <v>796</v>
      </c>
      <c r="E89" s="13">
        <v>42719.576504629629</v>
      </c>
      <c r="F89" s="13">
        <v>42719.580752314818</v>
      </c>
      <c r="G89" s="7">
        <v>1</v>
      </c>
      <c r="H89" s="22" t="s">
        <v>352</v>
      </c>
      <c r="I89" s="13">
        <v>42719.608506944445</v>
      </c>
      <c r="J89" s="7">
        <v>0</v>
      </c>
      <c r="K89" s="109" t="str">
        <f t="shared" si="40"/>
        <v>4031/4032</v>
      </c>
      <c r="L89" s="22" t="str">
        <f>VLOOKUP(A89,'Trips&amp;Operators'!$C$1:$G$99999,5,FALSE)</f>
        <v>SHOOK JOHN</v>
      </c>
      <c r="M89" s="6">
        <f t="shared" si="41"/>
        <v>2.7754629627452232E-2</v>
      </c>
      <c r="N89" s="7">
        <f t="shared" si="52"/>
        <v>39.966666663531214</v>
      </c>
      <c r="O89" s="7"/>
      <c r="P89" s="7"/>
      <c r="Q89" s="23"/>
      <c r="R89" s="23"/>
      <c r="S89" s="35">
        <f t="shared" si="53"/>
        <v>1</v>
      </c>
      <c r="T89" s="50" t="str">
        <f t="shared" si="42"/>
        <v>Southbound</v>
      </c>
      <c r="U89" s="171">
        <f>IF(AG89="EC",COUNTIFS(Variables!$M$2:$M$19,IF(T89="NorthBound","&gt;=","&lt;=")&amp;Y89,Variables!$M$2:$M$19,IF(T89="NorthBound","&lt;=","&gt;=")&amp;Z89),COUNTIFS(Variables!$P$2:$P$19,IF(T89="NorthBound","&gt;=","&lt;=")&amp;Y89,Variables!$P$2:$P$19,IF(T89="NorthBound","&lt;=","&gt;=")&amp;Z89))</f>
        <v>12</v>
      </c>
      <c r="V89" s="98" t="str">
        <f t="shared" si="43"/>
        <v>https://search-rtdc-monitor-bjffxe2xuh6vdkpspy63sjmuny.us-east-1.es.amazonaws.com/_plugin/kibana/#/discover/Steve-Slow-Train-Analysis-(2080s-and-2083s)?_g=(refreshInterval:(display:Off,section:0,value:0),time:(from:'2016-12-15 12:50:10-700',mode:absolute,to:'2016-12-15 15:36:15-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89" s="52" t="str">
        <f t="shared" si="44"/>
        <v>N</v>
      </c>
      <c r="X89" s="177">
        <f t="shared" si="39"/>
        <v>1</v>
      </c>
      <c r="Y89" s="67">
        <f t="shared" si="37"/>
        <v>23.300899999999999</v>
      </c>
      <c r="Z89" s="67">
        <f t="shared" si="38"/>
        <v>1.3599999999999999E-2</v>
      </c>
      <c r="AA89" s="67">
        <f t="shared" si="45"/>
        <v>23.287299999999998</v>
      </c>
      <c r="AB89" s="64" t="e">
        <f>VLOOKUP(A89,Enforcements!$C$7:$K$18,8,0)</f>
        <v>#N/A</v>
      </c>
      <c r="AC89" s="60" t="e">
        <f>VLOOKUP(A89,Enforcements!$C$7:$E$18,3,0)</f>
        <v>#N/A</v>
      </c>
      <c r="AD89" s="61" t="str">
        <f t="shared" si="46"/>
        <v>0176-15</v>
      </c>
      <c r="AE89" s="91" t="str">
        <f t="shared" si="47"/>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89" s="88" t="str">
        <f t="shared" si="48"/>
        <v>"C:\Program Files (x86)\AstroGrep\AstroGrep.exe" /spath="%USERPROFILE%\AppData\Local\Temp\OnboardLogs" /stypes="app*4032*20161215*" /stext=" 21:.+((SYSTEM_STATE.+slice.+state.+changed )|(ment ac)|(multiple cpu faults)|(system.+state.+changed )|(\[timeout)|(PRM\|1\|D)|(kpr)|(kdp)|(\|lc)|(penalty))" /e /r /s</v>
      </c>
      <c r="AG89" s="1" t="str">
        <f t="shared" si="49"/>
        <v>EC</v>
      </c>
      <c r="AH89" s="92" t="str">
        <f t="shared" si="50"/>
        <v>"%USERPROFILE%\Documents\GitHub\eaglep3\Utilities\RefineRTDCRunTimes.py" --tripid 176-15 --locoid 4032 --swversion DE.1.0.8.0 --startMP 204:233009 --initTime 2016-12-15T13:50:10 --startdatetime 2016-12-15T13:56:17 --delay 1 --endMP 204:136 --enddatetime 2016-12-15T14:36:15 --enforcementcount 0 &gt;&gt;C:\Users\stu\Documents\GitHub\eaglep3-reporting\EC\2016-12-15-refined-times.txt</v>
      </c>
      <c r="AI89" s="119" t="str">
        <f t="shared" si="51"/>
        <v>echo {"issue":{"subject":"","project_id":79,"tracker_id":40,"status_id":1,"priority_id":2,"assigned_to_id":23,"start_date":"2016-12-15","description":"","custom_fields":[{"id":1,"name":"Subdivision","value":"EC"},{"id":4,"name":"Milepost","value":"0.0136"},{"id":17,"name":"Train ID","value":"176-15"},{"id":16,"name":"Locomotive ID","value":"4032"},{"id":130,"name":"Impact","value":""},{"id":150,"name":"Time of Event (Mountain Time)","value":"14:36:15"},{"id":151,"name":"Denver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568</v>
      </c>
      <c r="B90" s="7">
        <v>4029</v>
      </c>
      <c r="C90" s="22" t="s">
        <v>207</v>
      </c>
      <c r="D90" s="22" t="s">
        <v>314</v>
      </c>
      <c r="E90" s="13">
        <v>42719.551006944443</v>
      </c>
      <c r="F90" s="13">
        <v>42719.552418981482</v>
      </c>
      <c r="G90" s="7">
        <v>1</v>
      </c>
      <c r="H90" s="22" t="s">
        <v>822</v>
      </c>
      <c r="I90" s="13">
        <v>42719.568078703705</v>
      </c>
      <c r="J90" s="7">
        <v>0</v>
      </c>
      <c r="K90" s="109" t="str">
        <f t="shared" si="40"/>
        <v>4029/4030</v>
      </c>
      <c r="L90" s="22" t="str">
        <f>VLOOKUP(A90,'Trips&amp;Operators'!$C$1:$G$99999,5,FALSE)</f>
        <v>MOSES BRADLEY</v>
      </c>
      <c r="M90" s="6">
        <f t="shared" si="41"/>
        <v>1.5659722223063E-2</v>
      </c>
      <c r="N90" s="7"/>
      <c r="O90" s="7"/>
      <c r="P90" s="7">
        <f>24*60*SUM($M90:$M90)</f>
        <v>22.550000001210719</v>
      </c>
      <c r="Q90" s="23"/>
      <c r="R90" s="23" t="s">
        <v>963</v>
      </c>
      <c r="S90" s="35">
        <f t="shared" si="53"/>
        <v>1</v>
      </c>
      <c r="T90" s="50" t="str">
        <f t="shared" si="42"/>
        <v>NorthBound</v>
      </c>
      <c r="U90" s="171">
        <f>IF(AG90="EC",COUNTIFS(Variables!$M$2:$M$19,IF(T90="NorthBound","&gt;=","&lt;=")&amp;Y90,Variables!$M$2:$M$19,IF(T90="NorthBound","&lt;=","&gt;=")&amp;Z90),COUNTIFS(Variables!$P$2:$P$19,IF(T90="NorthBound","&gt;=","&lt;=")&amp;Y90,Variables!$P$2:$P$19,IF(T90="NorthBound","&lt;=","&gt;=")&amp;Z90))</f>
        <v>12</v>
      </c>
      <c r="V90" s="98" t="str">
        <f t="shared" si="43"/>
        <v>https://search-rtdc-monitor-bjffxe2xuh6vdkpspy63sjmuny.us-east-1.es.amazonaws.com/_plugin/kibana/#/discover/Steve-Slow-Train-Analysis-(2080s-and-2083s)?_g=(refreshInterval:(display:Off,section:0,value:0),time:(from:'2016-12-15 12:13:27-700',mode:absolute,to:'2016-12-15 14:38: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90" s="52" t="str">
        <f t="shared" si="44"/>
        <v>Y</v>
      </c>
      <c r="X90" s="177">
        <f t="shared" si="39"/>
        <v>1</v>
      </c>
      <c r="Y90" s="67">
        <f t="shared" si="37"/>
        <v>4.8399999999999999E-2</v>
      </c>
      <c r="Z90" s="67">
        <f t="shared" si="38"/>
        <v>12.8004</v>
      </c>
      <c r="AA90" s="67">
        <f t="shared" si="45"/>
        <v>12.751999999999999</v>
      </c>
      <c r="AB90" s="64" t="str">
        <f>VLOOKUP(A90,Enforcements!$C$7:$K$18,8,0)</f>
        <v>Signal based authority (5)</v>
      </c>
      <c r="AC90" s="60" t="str">
        <f>VLOOKUP(A90,Enforcements!$C$7:$E$18,3,0)</f>
        <v>SIGNAL</v>
      </c>
      <c r="AD90" s="61" t="str">
        <f t="shared" si="46"/>
        <v>0177-15</v>
      </c>
      <c r="AE90" s="91" t="str">
        <f t="shared" si="47"/>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90" s="88" t="str">
        <f t="shared" si="48"/>
        <v>"C:\Program Files (x86)\AstroGrep\AstroGrep.exe" /spath="%USERPROFILE%\AppData\Local\Temp\OnboardLogs" /stypes="app*4029*20161215*" /stext=" 20:.+((SYSTEM_STATE.+slice.+state.+changed )|(ment ac)|(multiple cpu faults)|(system.+state.+changed )|(\[timeout)|(PRM\|1\|D)|(kpr)|(kdp)|(\|lc)|(penalty))" /e /r /s</v>
      </c>
      <c r="AG90" s="1" t="str">
        <f t="shared" si="49"/>
        <v>EC</v>
      </c>
      <c r="AH90" s="92" t="str">
        <f t="shared" si="50"/>
        <v>"%USERPROFILE%\Documents\GitHub\eaglep3\Utilities\RefineRTDCRunTimes.py" --tripid 177-15 --locoid 4029 --swversion DE.1.0.8.0 --startMP 204:484 --initTime 2016-12-15T13:13:27 --startdatetime 2016-12-15T13:15:29 --delay 1 --endMP 204:128004 --enddatetime 2016-12-15T13:38:02 --enforcementcount 0 &gt;&gt;C:\Users\stu\Documents\GitHub\eaglep3-reporting\EC\2016-12-15-refined-times.txt</v>
      </c>
      <c r="AI90" s="119" t="str">
        <f t="shared" si="51"/>
        <v>echo {"issue":{"subject":"Premature downgrade at 40th 2N","project_id":79,"tracker_id":40,"status_id":1,"priority_id":2,"assigned_to_id":23,"start_date":"2016-12-15","description":"At 13:37:11, 40th 2N dropped from proceed cab to stop. Do logs tell us anything? Anything to do with 2T/2TA SE-3 issue?","custom_fields":[{"id":1,"name":"Subdivision","value":"EC"},{"id":4,"name":"Milepost","value":"12.8004"},{"id":17,"name":"Train ID","value":"177-15"},{"id":16,"name":"Locomotive ID","value":"4029"},{"id":130,"name":"Impact","value":"Enforcement"},{"id":150,"name":"Time of Event (Mountain Time)","value":"13:38:02"},{"id":151,"name":"Denver Issue ID","value":""},{"id":178,"name":"Operational Impact","value":"Yes"},{"id":179,"name":"Denver Segment Assigned","value":"Signal"}]}} | curl -X POST -H "Content-Type: application/json" -H "X-Redmine-API-Key: d6333d4a04012a730768444271f8ca06482dae87" https://secure.xorail.net/redmine/issues.json --data @-</v>
      </c>
      <c r="AJ90" s="53" t="s">
        <v>964</v>
      </c>
      <c r="AK90" s="53" t="s">
        <v>125</v>
      </c>
      <c r="AL90" s="53" t="s">
        <v>130</v>
      </c>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687</v>
      </c>
      <c r="B91" s="7">
        <v>4030</v>
      </c>
      <c r="C91" s="22" t="s">
        <v>207</v>
      </c>
      <c r="D91" s="22" t="s">
        <v>823</v>
      </c>
      <c r="E91" s="13">
        <v>42719.587094907409</v>
      </c>
      <c r="F91" s="13">
        <v>42719.591238425928</v>
      </c>
      <c r="G91" s="7">
        <v>1</v>
      </c>
      <c r="H91" s="22" t="s">
        <v>420</v>
      </c>
      <c r="I91" s="13">
        <v>42719.618263888886</v>
      </c>
      <c r="J91" s="7">
        <v>0</v>
      </c>
      <c r="K91" s="109" t="str">
        <f t="shared" si="40"/>
        <v>4029/4030</v>
      </c>
      <c r="L91" s="22" t="str">
        <f>VLOOKUP(A91,'Trips&amp;Operators'!$C$1:$G$99999,5,FALSE)</f>
        <v>MOSES BRADLEY</v>
      </c>
      <c r="M91" s="6">
        <f t="shared" si="41"/>
        <v>2.7025462957681157E-2</v>
      </c>
      <c r="N91" s="7">
        <f>24*60*SUM($M91:$M91)</f>
        <v>38.916666659060866</v>
      </c>
      <c r="O91" s="7"/>
      <c r="P91" s="7"/>
      <c r="Q91" s="23"/>
      <c r="R91" s="23"/>
      <c r="S91" s="35">
        <f t="shared" si="53"/>
        <v>1</v>
      </c>
      <c r="T91" s="50" t="str">
        <f t="shared" si="42"/>
        <v>Southbound</v>
      </c>
      <c r="U91" s="171">
        <f>IF(AG91="EC",COUNTIFS(Variables!$M$2:$M$19,IF(T91="NorthBound","&gt;=","&lt;=")&amp;Y91,Variables!$M$2:$M$19,IF(T91="NorthBound","&lt;=","&gt;=")&amp;Z91),COUNTIFS(Variables!$P$2:$P$19,IF(T91="NorthBound","&gt;=","&lt;=")&amp;Y91,Variables!$P$2:$P$19,IF(T91="NorthBound","&lt;=","&gt;=")&amp;Z91))</f>
        <v>12</v>
      </c>
      <c r="V91" s="98" t="str">
        <f t="shared" si="43"/>
        <v>https://search-rtdc-monitor-bjffxe2xuh6vdkpspy63sjmuny.us-east-1.es.amazonaws.com/_plugin/kibana/#/discover/Steve-Slow-Train-Analysis-(2080s-and-2083s)?_g=(refreshInterval:(display:Off,section:0,value:0),time:(from:'2016-12-15 13:05:25-700',mode:absolute,to:'2016-12-15 15:50:18-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91" s="52" t="str">
        <f t="shared" si="44"/>
        <v>N</v>
      </c>
      <c r="X91" s="177">
        <f t="shared" si="39"/>
        <v>1</v>
      </c>
      <c r="Y91" s="67">
        <f t="shared" si="37"/>
        <v>23.3019</v>
      </c>
      <c r="Z91" s="67">
        <f t="shared" si="38"/>
        <v>1.7399999999999999E-2</v>
      </c>
      <c r="AA91" s="67">
        <f t="shared" si="45"/>
        <v>23.284500000000001</v>
      </c>
      <c r="AB91" s="64" t="e">
        <f>VLOOKUP(A91,Enforcements!$C$7:$K$18,8,0)</f>
        <v>#N/A</v>
      </c>
      <c r="AC91" s="60" t="e">
        <f>VLOOKUP(A91,Enforcements!$C$7:$E$18,3,0)</f>
        <v>#N/A</v>
      </c>
      <c r="AD91" s="61" t="str">
        <f t="shared" si="46"/>
        <v>0178-15</v>
      </c>
      <c r="AE91" s="91" t="str">
        <f t="shared" si="47"/>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91" s="88" t="str">
        <f t="shared" si="48"/>
        <v>"C:\Program Files (x86)\AstroGrep\AstroGrep.exe" /spath="%USERPROFILE%\AppData\Local\Temp\OnboardLogs" /stypes="app*4030*20161215*" /stext=" 21:.+((SYSTEM_STATE.+slice.+state.+changed )|(ment ac)|(multiple cpu faults)|(system.+state.+changed )|(\[timeout)|(PRM\|1\|D)|(kpr)|(kdp)|(\|lc)|(penalty))" /e /r /s</v>
      </c>
      <c r="AG91" s="1" t="str">
        <f t="shared" si="49"/>
        <v>EC</v>
      </c>
      <c r="AH91" s="92" t="str">
        <f t="shared" si="50"/>
        <v>"%USERPROFILE%\Documents\GitHub\eaglep3\Utilities\RefineRTDCRunTimes.py" --tripid 178-15 --locoid 4030 --swversion DE.1.0.8.0 --startMP 204:233019 --initTime 2016-12-15T14:05:25 --startdatetime 2016-12-15T14:11:23 --delay 1 --endMP 204:174 --enddatetime 2016-12-15T14:50:18 --enforcementcount 0 &gt;&gt;C:\Users\stu\Documents\GitHub\eaglep3-reporting\EC\2016-12-15-refined-times.txt</v>
      </c>
      <c r="AI91" s="119" t="str">
        <f t="shared" si="51"/>
        <v>echo {"issue":{"subject":"","project_id":79,"tracker_id":40,"status_id":1,"priority_id":2,"assigned_to_id":23,"start_date":"2016-12-15","description":"","custom_fields":[{"id":1,"name":"Subdivision","value":"EC"},{"id":4,"name":"Milepost","value":"0.0174"},{"id":17,"name":"Train ID","value":"178-15"},{"id":16,"name":"Locomotive ID","value":"4030"},{"id":130,"name":"Impact","value":""},{"id":150,"name":"Time of Event (Mountain Time)","value":"14:50:18"},{"id":151,"name":"Denver Issue ID","value":""},{"id":178,"name":"Operational Impact","value":"Yes"},{"id":179,"name":"Denver Segment Assigned","value":""}]}} | curl -X POST -H "Content-Type: application/json" -H "X-Redmine-API-Key: d6333d4a04012a730768444271f8ca06482dae87" https://secure.xorail.net/redmine/issues.json --data @-</v>
      </c>
      <c r="AJ91" s="53"/>
      <c r="AK91" s="53"/>
      <c r="AL91" s="53"/>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681</v>
      </c>
      <c r="B92" s="7">
        <v>4020</v>
      </c>
      <c r="C92" s="22" t="s">
        <v>207</v>
      </c>
      <c r="D92" s="22" t="s">
        <v>275</v>
      </c>
      <c r="E92" s="13">
        <v>42719.556979166664</v>
      </c>
      <c r="F92" s="13">
        <v>42719.562685185185</v>
      </c>
      <c r="G92" s="7">
        <v>1</v>
      </c>
      <c r="H92" s="22" t="s">
        <v>824</v>
      </c>
      <c r="I92" s="13">
        <v>42719.587638888886</v>
      </c>
      <c r="J92" s="7">
        <v>0</v>
      </c>
      <c r="K92" s="109" t="str">
        <f t="shared" si="40"/>
        <v>4019/4020</v>
      </c>
      <c r="L92" s="22" t="str">
        <f>VLOOKUP(A92,'Trips&amp;Operators'!$C$1:$G$99999,5,FALSE)</f>
        <v>MAGEE KENYA</v>
      </c>
      <c r="M92" s="6">
        <f t="shared" si="41"/>
        <v>2.495370370161254E-2</v>
      </c>
      <c r="N92" s="7">
        <f>24*60*SUM($M92:$M92)</f>
        <v>35.933333330322057</v>
      </c>
      <c r="O92" s="7"/>
      <c r="P92" s="7"/>
      <c r="Q92" s="23"/>
      <c r="R92" s="23"/>
      <c r="S92" s="35">
        <f t="shared" si="53"/>
        <v>1</v>
      </c>
      <c r="T92" s="50" t="str">
        <f t="shared" si="42"/>
        <v>NorthBound</v>
      </c>
      <c r="U92" s="171">
        <f>IF(AG92="EC",COUNTIFS(Variables!$M$2:$M$19,IF(T92="NorthBound","&gt;=","&lt;=")&amp;Y92,Variables!$M$2:$M$19,IF(T92="NorthBound","&lt;=","&gt;=")&amp;Z92),COUNTIFS(Variables!$P$2:$P$19,IF(T92="NorthBound","&gt;=","&lt;=")&amp;Y92,Variables!$P$2:$P$19,IF(T92="NorthBound","&lt;=","&gt;=")&amp;Z92))</f>
        <v>12</v>
      </c>
      <c r="V92" s="98" t="str">
        <f t="shared" si="43"/>
        <v>https://search-rtdc-monitor-bjffxe2xuh6vdkpspy63sjmuny.us-east-1.es.amazonaws.com/_plugin/kibana/#/discover/Steve-Slow-Train-Analysis-(2080s-and-2083s)?_g=(refreshInterval:(display:Off,section:0,value:0),time:(from:'2016-12-15 12:22:03-700',mode:absolute,to:'2016-12-15 15:06:12-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92" s="52" t="str">
        <f t="shared" si="44"/>
        <v>N</v>
      </c>
      <c r="X92" s="177">
        <f t="shared" si="39"/>
        <v>1</v>
      </c>
      <c r="Y92" s="67">
        <f t="shared" si="37"/>
        <v>4.6399999999999997E-2</v>
      </c>
      <c r="Z92" s="67">
        <f t="shared" si="38"/>
        <v>23.331099999999999</v>
      </c>
      <c r="AA92" s="67">
        <f t="shared" si="45"/>
        <v>23.284700000000001</v>
      </c>
      <c r="AB92" s="64" t="e">
        <f>VLOOKUP(A92,Enforcements!$C$7:$K$18,8,0)</f>
        <v>#N/A</v>
      </c>
      <c r="AC92" s="60" t="e">
        <f>VLOOKUP(A92,Enforcements!$C$7:$E$18,3,0)</f>
        <v>#N/A</v>
      </c>
      <c r="AD92" s="61" t="str">
        <f t="shared" si="46"/>
        <v>0179-15</v>
      </c>
      <c r="AE92" s="91" t="str">
        <f t="shared" si="47"/>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AF92" s="88" t="str">
        <f t="shared" si="48"/>
        <v>"C:\Program Files (x86)\AstroGrep\AstroGrep.exe" /spath="%USERPROFILE%\AppData\Local\Temp\OnboardLogs" /stypes="app*4020*20161215*" /stext=" 21:.+((SYSTEM_STATE.+slice.+state.+changed )|(ment ac)|(multiple cpu faults)|(system.+state.+changed )|(\[timeout)|(PRM\|1\|D)|(kpr)|(kdp)|(\|lc)|(penalty))" /e /r /s</v>
      </c>
      <c r="AG92" s="1" t="str">
        <f t="shared" si="49"/>
        <v>EC</v>
      </c>
      <c r="AH92" s="92" t="str">
        <f t="shared" si="50"/>
        <v>"%USERPROFILE%\Documents\GitHub\eaglep3\Utilities\RefineRTDCRunTimes.py" --tripid 179-15 --locoid 4020 --swversion DE.1.0.8.0 --startMP 204:464 --initTime 2016-12-15T13:22:03 --startdatetime 2016-12-15T13:30:16 --delay 1 --endMP 204:233311 --enddatetime 2016-12-15T14:06:12 --enforcementcount 0 &gt;&gt;C:\Users\stu\Documents\GitHub\eaglep3-reporting\EC\2016-12-15-refined-times.txt</v>
      </c>
      <c r="AI92" s="119" t="str">
        <f t="shared" si="51"/>
        <v>echo {"issue":{"subject":"","project_id":79,"tracker_id":40,"status_id":1,"priority_id":2,"assigned_to_id":23,"start_date":"2016-12-15","description":"","custom_fields":[{"id":1,"name":"Subdivision","value":"EC"},{"id":4,"name":"Milepost","value":"23.3311"},{"id":17,"name":"Train ID","value":"179-15"},{"id":16,"name":"Locomotive ID","value":"4020"},{"id":130,"name":"Impact","value":""},{"id":150,"name":"Time of Event (Mountain Time)","value":"14:06:12"},{"id":151,"name":"Denver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690</v>
      </c>
      <c r="B93" s="7">
        <v>4019</v>
      </c>
      <c r="C93" s="22" t="s">
        <v>207</v>
      </c>
      <c r="D93" s="22" t="s">
        <v>825</v>
      </c>
      <c r="E93" s="13">
        <v>42719.595613425925</v>
      </c>
      <c r="F93" s="13">
        <v>42719.601747685185</v>
      </c>
      <c r="G93" s="7">
        <v>1</v>
      </c>
      <c r="H93" s="22" t="s">
        <v>274</v>
      </c>
      <c r="I93" s="13">
        <v>42719.628750000003</v>
      </c>
      <c r="J93" s="7">
        <v>0</v>
      </c>
      <c r="K93" s="109" t="str">
        <f t="shared" si="40"/>
        <v>4019/4020</v>
      </c>
      <c r="L93" s="22" t="str">
        <f>VLOOKUP(A93,'Trips&amp;Operators'!$C$1:$G$99999,5,FALSE)</f>
        <v>MAGEE KENYA</v>
      </c>
      <c r="M93" s="6">
        <f t="shared" si="41"/>
        <v>2.7002314818673767E-2</v>
      </c>
      <c r="N93" s="7">
        <f>24*60*SUM($M93:$M93)</f>
        <v>38.883333338890225</v>
      </c>
      <c r="O93" s="7"/>
      <c r="P93" s="7"/>
      <c r="Q93" s="23"/>
      <c r="R93" s="23"/>
      <c r="S93" s="35">
        <f t="shared" si="53"/>
        <v>1</v>
      </c>
      <c r="T93" s="50" t="str">
        <f t="shared" si="42"/>
        <v>Southbound</v>
      </c>
      <c r="U93" s="171">
        <f>IF(AG93="EC",COUNTIFS(Variables!$M$2:$M$19,IF(T93="NorthBound","&gt;=","&lt;=")&amp;Y93,Variables!$M$2:$M$19,IF(T93="NorthBound","&lt;=","&gt;=")&amp;Z93),COUNTIFS(Variables!$P$2:$P$19,IF(T93="NorthBound","&gt;=","&lt;=")&amp;Y93,Variables!$P$2:$P$19,IF(T93="NorthBound","&lt;=","&gt;=")&amp;Z93))</f>
        <v>12</v>
      </c>
      <c r="V93" s="98" t="str">
        <f t="shared" si="43"/>
        <v>https://search-rtdc-monitor-bjffxe2xuh6vdkpspy63sjmuny.us-east-1.es.amazonaws.com/_plugin/kibana/#/discover/Steve-Slow-Train-Analysis-(2080s-and-2083s)?_g=(refreshInterval:(display:Off,section:0,value:0),time:(from:'2016-12-15 13:17:41-700',mode:absolute,to:'2016-12-15 16:05:24-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93" s="52" t="str">
        <f t="shared" si="44"/>
        <v>N</v>
      </c>
      <c r="X93" s="177">
        <f t="shared" si="39"/>
        <v>1</v>
      </c>
      <c r="Y93" s="67">
        <f t="shared" si="37"/>
        <v>23.3005</v>
      </c>
      <c r="Z93" s="67">
        <f t="shared" si="38"/>
        <v>1.52E-2</v>
      </c>
      <c r="AA93" s="67">
        <f t="shared" si="45"/>
        <v>23.285299999999999</v>
      </c>
      <c r="AB93" s="64" t="e">
        <f>VLOOKUP(A93,Enforcements!$C$7:$K$18,8,0)</f>
        <v>#N/A</v>
      </c>
      <c r="AC93" s="60" t="e">
        <f>VLOOKUP(A93,Enforcements!$C$7:$E$18,3,0)</f>
        <v>#N/A</v>
      </c>
      <c r="AD93" s="61" t="str">
        <f t="shared" si="46"/>
        <v>0180-15</v>
      </c>
      <c r="AE93" s="91" t="str">
        <f t="shared" si="47"/>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93" s="88" t="str">
        <f t="shared" si="48"/>
        <v>"C:\Program Files (x86)\AstroGrep\AstroGrep.exe" /spath="%USERPROFILE%\AppData\Local\Temp\OnboardLogs" /stypes="app*4019*20161215*" /stext=" 22:.+((SYSTEM_STATE.+slice.+state.+changed )|(ment ac)|(multiple cpu faults)|(system.+state.+changed )|(\[timeout)|(PRM\|1\|D)|(kpr)|(kdp)|(\|lc)|(penalty))" /e /r /s</v>
      </c>
      <c r="AG93" s="1" t="str">
        <f t="shared" si="49"/>
        <v>EC</v>
      </c>
      <c r="AH93" s="92" t="str">
        <f t="shared" si="50"/>
        <v>"%USERPROFILE%\Documents\GitHub\eaglep3\Utilities\RefineRTDCRunTimes.py" --tripid 180-15 --locoid 4019 --swversion DE.1.0.8.0 --startMP 204:233005 --initTime 2016-12-15T14:17:41 --startdatetime 2016-12-15T14:26:31 --delay 1 --endMP 204:152 --enddatetime 2016-12-15T15:05:24 --enforcementcount 0 &gt;&gt;C:\Users\stu\Documents\GitHub\eaglep3-reporting\EC\2016-12-15-refined-times.txt</v>
      </c>
      <c r="AI93" s="119" t="str">
        <f t="shared" si="51"/>
        <v>echo {"issue":{"subject":"","project_id":79,"tracker_id":40,"status_id":1,"priority_id":2,"assigned_to_id":23,"start_date":"2016-12-15","description":"","custom_fields":[{"id":1,"name":"Subdivision","value":"EC"},{"id":4,"name":"Milepost","value":"0.0152"},{"id":17,"name":"Train ID","value":"180-15"},{"id":16,"name":"Locomotive ID","value":"4019"},{"id":130,"name":"Impact","value":""},{"id":150,"name":"Time of Event (Mountain Time)","value":"15:05:24"},{"id":151,"name":"Denver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684</v>
      </c>
      <c r="B94" s="7">
        <v>4011</v>
      </c>
      <c r="C94" s="22" t="s">
        <v>207</v>
      </c>
      <c r="D94" s="22" t="s">
        <v>826</v>
      </c>
      <c r="E94" s="13">
        <v>42719.57135416667</v>
      </c>
      <c r="F94" s="13">
        <v>42719.573113425926</v>
      </c>
      <c r="G94" s="7">
        <v>1</v>
      </c>
      <c r="H94" s="22" t="s">
        <v>299</v>
      </c>
      <c r="I94" s="13">
        <v>42719.59951388889</v>
      </c>
      <c r="J94" s="7">
        <v>0</v>
      </c>
      <c r="K94" s="109" t="str">
        <f t="shared" si="40"/>
        <v>4011/4012</v>
      </c>
      <c r="L94" s="22" t="str">
        <f>VLOOKUP(A94,'Trips&amp;Operators'!$C$1:$G$99999,5,FALSE)</f>
        <v>YOUNG ELIZABETH</v>
      </c>
      <c r="M94" s="6">
        <f t="shared" si="41"/>
        <v>2.6400462964375038E-2</v>
      </c>
      <c r="N94" s="7">
        <f>24*60*SUM($M94:$M94)</f>
        <v>38.016666668700054</v>
      </c>
      <c r="O94" s="7"/>
      <c r="P94" s="7"/>
      <c r="Q94" s="23"/>
      <c r="R94" s="23"/>
      <c r="S94" s="35">
        <f t="shared" si="53"/>
        <v>1</v>
      </c>
      <c r="T94" s="50" t="str">
        <f t="shared" si="42"/>
        <v>NorthBound</v>
      </c>
      <c r="U94" s="171">
        <f>IF(AG94="EC",COUNTIFS(Variables!$M$2:$M$19,IF(T94="NorthBound","&gt;=","&lt;=")&amp;Y94,Variables!$M$2:$M$19,IF(T94="NorthBound","&lt;=","&gt;=")&amp;Z94),COUNTIFS(Variables!$P$2:$P$19,IF(T94="NorthBound","&gt;=","&lt;=")&amp;Y94,Variables!$P$2:$P$19,IF(T94="NorthBound","&lt;=","&gt;=")&amp;Z94))</f>
        <v>12</v>
      </c>
      <c r="V94" s="98" t="str">
        <f t="shared" si="43"/>
        <v>https://search-rtdc-monitor-bjffxe2xuh6vdkpspy63sjmuny.us-east-1.es.amazonaws.com/_plugin/kibana/#/discover/Steve-Slow-Train-Analysis-(2080s-and-2083s)?_g=(refreshInterval:(display:Off,section:0,value:0),time:(from:'2016-12-15 12:42:45-700',mode:absolute,to:'2016-12-15 15:23:18-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94" s="52" t="str">
        <f t="shared" si="44"/>
        <v>N</v>
      </c>
      <c r="X94" s="177">
        <f t="shared" si="39"/>
        <v>1</v>
      </c>
      <c r="Y94" s="67">
        <f t="shared" si="37"/>
        <v>5.1299999999999998E-2</v>
      </c>
      <c r="Z94" s="67">
        <f t="shared" si="38"/>
        <v>23.331199999999999</v>
      </c>
      <c r="AA94" s="67">
        <f t="shared" si="45"/>
        <v>23.279899999999998</v>
      </c>
      <c r="AB94" s="64" t="e">
        <f>VLOOKUP(A94,Enforcements!$C$7:$K$18,8,0)</f>
        <v>#N/A</v>
      </c>
      <c r="AC94" s="60" t="e">
        <f>VLOOKUP(A94,Enforcements!$C$7:$E$18,3,0)</f>
        <v>#N/A</v>
      </c>
      <c r="AD94" s="61" t="str">
        <f t="shared" si="46"/>
        <v>0181-15</v>
      </c>
      <c r="AE94" s="91" t="str">
        <f t="shared" si="47"/>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94" s="88" t="str">
        <f t="shared" si="48"/>
        <v>"C:\Program Files (x86)\AstroGrep\AstroGrep.exe" /spath="%USERPROFILE%\AppData\Local\Temp\OnboardLogs" /stypes="app*4011*20161215*" /stext=" 21:.+((SYSTEM_STATE.+slice.+state.+changed )|(ment ac)|(multiple cpu faults)|(system.+state.+changed )|(\[timeout)|(PRM\|1\|D)|(kpr)|(kdp)|(\|lc)|(penalty))" /e /r /s</v>
      </c>
      <c r="AG94" s="1" t="str">
        <f t="shared" si="49"/>
        <v>EC</v>
      </c>
      <c r="AH94" s="92" t="str">
        <f t="shared" si="50"/>
        <v>"%USERPROFILE%\Documents\GitHub\eaglep3\Utilities\RefineRTDCRunTimes.py" --tripid 181-15 --locoid 4011 --swversion DE.1.0.8.0 --startMP 204:513 --initTime 2016-12-15T13:42:45 --startdatetime 2016-12-15T13:45:17 --delay 1 --endMP 204:233312 --enddatetime 2016-12-15T14:23:18 --enforcementcount 0 &gt;&gt;C:\Users\stu\Documents\GitHub\eaglep3-reporting\EC\2016-12-15-refined-times.txt</v>
      </c>
      <c r="AI94" s="119" t="str">
        <f t="shared" si="51"/>
        <v>echo {"issue":{"subject":"","project_id":79,"tracker_id":40,"status_id":1,"priority_id":2,"assigned_to_id":23,"start_date":"2016-12-15","description":"","custom_fields":[{"id":1,"name":"Subdivision","value":"EC"},{"id":4,"name":"Milepost","value":"23.3312"},{"id":17,"name":"Train ID","value":"181-15"},{"id":16,"name":"Locomotive ID","value":"4011"},{"id":130,"name":"Impact","value":""},{"id":150,"name":"Time of Event (Mountain Time)","value":"14:23:18"},{"id":151,"name":"Denver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692</v>
      </c>
      <c r="B95" s="7">
        <v>4012</v>
      </c>
      <c r="C95" s="22" t="s">
        <v>207</v>
      </c>
      <c r="D95" s="22" t="s">
        <v>301</v>
      </c>
      <c r="E95" s="13">
        <v>42719.604004629633</v>
      </c>
      <c r="F95" s="13">
        <v>42719.605613425927</v>
      </c>
      <c r="G95" s="7">
        <v>2</v>
      </c>
      <c r="H95" s="22" t="s">
        <v>827</v>
      </c>
      <c r="I95" s="13">
        <v>42719.637326388889</v>
      </c>
      <c r="J95" s="7">
        <v>0</v>
      </c>
      <c r="K95" s="109" t="str">
        <f t="shared" si="40"/>
        <v>4011/4012</v>
      </c>
      <c r="L95" s="22" t="str">
        <f>VLOOKUP(A95,'Trips&amp;Operators'!$C$1:$G$99999,5,FALSE)</f>
        <v>YOUNG ELIZABETH</v>
      </c>
      <c r="M95" s="6">
        <f t="shared" si="41"/>
        <v>3.1712962962046731E-2</v>
      </c>
      <c r="N95" s="7"/>
      <c r="O95" s="7"/>
      <c r="P95" s="7">
        <f>24*60*SUM($M95:$M96)</f>
        <v>58.333333327900618</v>
      </c>
      <c r="Q95" s="23"/>
      <c r="R95" s="23" t="s">
        <v>965</v>
      </c>
      <c r="S95" s="35">
        <f>SUM(U95:U96)/IF(AG95="EC",12,1)</f>
        <v>0.75</v>
      </c>
      <c r="T95" s="50" t="str">
        <f t="shared" si="42"/>
        <v>Southbound</v>
      </c>
      <c r="U95" s="171">
        <f>IF(AG95="EC",COUNTIFS(Variables!$M$2:$M$19,IF(T95="NorthBound","&gt;=","&lt;=")&amp;Y95,Variables!$M$2:$M$19,IF(T95="NorthBound","&lt;=","&gt;=")&amp;Z95),COUNTIFS(Variables!$P$2:$P$19,IF(T95="NorthBound","&gt;=","&lt;=")&amp;Y95,Variables!$P$2:$P$19,IF(T95="NorthBound","&lt;=","&gt;=")&amp;Z95))</f>
        <v>6</v>
      </c>
      <c r="V95" s="98" t="str">
        <f t="shared" si="43"/>
        <v>https://search-rtdc-monitor-bjffxe2xuh6vdkpspy63sjmuny.us-east-1.es.amazonaws.com/_plugin/kibana/#/discover/Steve-Slow-Train-Analysis-(2080s-and-2083s)?_g=(refreshInterval:(display:Off,section:0,value:0),time:(from:'2016-12-15 13:29:46-700',mode:absolute,to:'2016-12-15 16:17:45-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95" s="52" t="str">
        <f t="shared" si="44"/>
        <v>Y</v>
      </c>
      <c r="X95" s="177">
        <f t="shared" si="39"/>
        <v>1</v>
      </c>
      <c r="Y95" s="67">
        <f t="shared" si="37"/>
        <v>23.299099999999999</v>
      </c>
      <c r="Z95" s="67">
        <f t="shared" si="38"/>
        <v>5.4040999999999997</v>
      </c>
      <c r="AA95" s="67">
        <f t="shared" si="45"/>
        <v>17.895</v>
      </c>
      <c r="AB95" s="64" t="e">
        <f>VLOOKUP(A95,Enforcements!$C$7:$K$18,8,0)</f>
        <v>#N/A</v>
      </c>
      <c r="AC95" s="60" t="e">
        <f>VLOOKUP(A95,Enforcements!$C$7:$E$18,3,0)</f>
        <v>#N/A</v>
      </c>
      <c r="AD95" s="61" t="str">
        <f t="shared" si="46"/>
        <v>0182-15</v>
      </c>
      <c r="AE95" s="91" t="str">
        <f t="shared" si="47"/>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95" s="88" t="str">
        <f t="shared" si="48"/>
        <v>"C:\Program Files (x86)\AstroGrep\AstroGrep.exe" /spath="%USERPROFILE%\AppData\Local\Temp\OnboardLogs" /stypes="app*4012*20161215*" /stext=" 22:.+((SYSTEM_STATE.+slice.+state.+changed )|(ment ac)|(multiple cpu faults)|(system.+state.+changed )|(\[timeout)|(PRM\|1\|D)|(kpr)|(kdp)|(\|lc)|(penalty))" /e /r /s</v>
      </c>
      <c r="AG95" s="1" t="str">
        <f t="shared" si="49"/>
        <v>EC</v>
      </c>
      <c r="AH95" s="92" t="str">
        <f t="shared" si="50"/>
        <v>"%USERPROFILE%\Documents\GitHub\eaglep3\Utilities\RefineRTDCRunTimes.py" --tripid 182-15 --locoid 4012 --swversion DE.1.0.8.0 --startMP 204:232991 --initTime 2016-12-15T14:29:46 --startdatetime 2016-12-15T14:32:05 --delay 2 --endMP 204:54041 --enddatetime 2016-12-15T15:17:45 --enforcementcount 0 &gt;&gt;C:\Users\stu\Documents\GitHub\eaglep3-reporting\EC\2016-12-15-refined-times.txt</v>
      </c>
      <c r="AI95" s="119" t="str">
        <f t="shared" si="51"/>
        <v>echo {"issue":{"subject":"Quebec 4S stuck at STOP - XING dependency?","project_id":79,"tracker_id":40,"status_id":1,"priority_id":2,"assigned_to_id":23,"start_date":"2016-12-15","description":"Around 15:13:48, a train approached Quebec 4S and the dispatcher was unable to clear it. Was this because the clear attempt was sent too late and the signal system was waiting for the XING bits to come in? Or something else?","custom_fields":[{"id":1,"name":"Subdivision","value":"EC"},{"id":4,"name":"Milepost","value":"5.4041"},{"id":17,"name":"Train ID","value":"182-15"},{"id":16,"name":"Locomotive ID","value":"4012"},{"id":130,"name":"Impact","value":"Enforcement"},{"id":150,"name":"Time of Event (Mountain Time)","value":"15:17:45"},{"id":151,"name":"Denver Issue ID","value":""},{"id":178,"name":"Operational Impact","value":"Yes"},{"id":179,"name":"Denver Segment Assigned","value":"Signal"}]}} | curl -X POST -H "Content-Type: application/json" -H "X-Redmine-API-Key: d6333d4a04012a730768444271f8ca06482dae87" https://secure.xorail.net/redmine/issues.json --data @-</v>
      </c>
      <c r="AJ95" s="53" t="s">
        <v>966</v>
      </c>
      <c r="AK95" s="53" t="s">
        <v>125</v>
      </c>
      <c r="AL95" s="53" t="s">
        <v>130</v>
      </c>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21" customFormat="1" x14ac:dyDescent="0.25">
      <c r="A96" s="37" t="s">
        <v>692</v>
      </c>
      <c r="B96" s="7">
        <v>4012</v>
      </c>
      <c r="C96" s="22" t="s">
        <v>207</v>
      </c>
      <c r="D96" s="22" t="s">
        <v>828</v>
      </c>
      <c r="E96" s="13">
        <v>42719.639363425929</v>
      </c>
      <c r="F96" s="13">
        <v>42719.64025462963</v>
      </c>
      <c r="G96" s="7">
        <v>1</v>
      </c>
      <c r="H96" s="22" t="s">
        <v>829</v>
      </c>
      <c r="I96" s="13">
        <v>42719.649050925924</v>
      </c>
      <c r="J96" s="7">
        <v>0</v>
      </c>
      <c r="K96" s="109" t="str">
        <f t="shared" si="40"/>
        <v>4011/4012</v>
      </c>
      <c r="L96" s="22" t="str">
        <f>VLOOKUP(A96,'Trips&amp;Operators'!$C$1:$G$99999,5,FALSE)</f>
        <v>YOUNG ELIZABETH</v>
      </c>
      <c r="M96" s="6">
        <f t="shared" si="41"/>
        <v>8.7962962934398092E-3</v>
      </c>
      <c r="N96" s="7"/>
      <c r="O96" s="7"/>
      <c r="P96" s="7"/>
      <c r="Q96" s="23"/>
      <c r="R96" s="23"/>
      <c r="S96" s="35"/>
      <c r="T96" s="50" t="str">
        <f t="shared" si="42"/>
        <v>Southbound</v>
      </c>
      <c r="U96" s="171">
        <f>IF(AG96="EC",COUNTIFS(Variables!$M$2:$M$19,IF(T96="NorthBound","&gt;=","&lt;=")&amp;Y96,Variables!$M$2:$M$19,IF(T96="NorthBound","&lt;=","&gt;=")&amp;Z96),COUNTIFS(Variables!$P$2:$P$19,IF(T96="NorthBound","&gt;=","&lt;=")&amp;Y96,Variables!$P$2:$P$19,IF(T96="NorthBound","&lt;=","&gt;=")&amp;Z96))</f>
        <v>3</v>
      </c>
      <c r="V96" s="98" t="str">
        <f t="shared" si="43"/>
        <v>https://search-rtdc-monitor-bjffxe2xuh6vdkpspy63sjmuny.us-east-1.es.amazonaws.com/_plugin/kibana/#/discover/Steve-Slow-Train-Analysis-(2080s-and-2083s)?_g=(refreshInterval:(display:Off,section:0,value:0),time:(from:'2016-12-15 14:20:41-700',mode:absolute,to:'2016-12-15 16:34:38-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96" s="52" t="str">
        <f t="shared" si="44"/>
        <v>Y</v>
      </c>
      <c r="X96" s="177">
        <f t="shared" si="39"/>
        <v>0</v>
      </c>
      <c r="Y96" s="67">
        <f t="shared" si="37"/>
        <v>3.6793</v>
      </c>
      <c r="Z96" s="67">
        <f t="shared" si="38"/>
        <v>0.122</v>
      </c>
      <c r="AA96" s="67">
        <f t="shared" si="45"/>
        <v>3.5573000000000001</v>
      </c>
      <c r="AB96" s="64" t="e">
        <f>VLOOKUP(A96,Enforcements!$C$7:$K$18,8,0)</f>
        <v>#N/A</v>
      </c>
      <c r="AC96" s="60" t="e">
        <f>VLOOKUP(A96,Enforcements!$C$7:$E$18,3,0)</f>
        <v>#N/A</v>
      </c>
      <c r="AD96" s="61" t="str">
        <f t="shared" si="46"/>
        <v>0182-15</v>
      </c>
      <c r="AE96" s="91" t="str">
        <f t="shared" si="47"/>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AF96" s="88" t="str">
        <f t="shared" si="48"/>
        <v>"C:\Program Files (x86)\AstroGrep\AstroGrep.exe" /spath="%USERPROFILE%\AppData\Local\Temp\OnboardLogs" /stypes="app*4012*20161215*" /stext=" 22:.+((SYSTEM_STATE.+slice.+state.+changed )|(ment ac)|(multiple cpu faults)|(system.+state.+changed )|(\[timeout)|(PRM\|1\|D)|(kpr)|(kdp)|(\|lc)|(penalty))" /e /r /s</v>
      </c>
      <c r="AG96" s="1" t="str">
        <f t="shared" si="49"/>
        <v>EC</v>
      </c>
      <c r="AH96" s="92" t="str">
        <f t="shared" si="50"/>
        <v>"%USERPROFILE%\Documents\GitHub\eaglep3\Utilities\RefineRTDCRunTimes.py" --tripid 182-15 --locoid 4012 --swversion DE.1.0.8.0 --startMP 204:36793 --initTime 2016-12-15T15:20:41 --startdatetime 2016-12-15T15:21:58 --delay 1 --endMP 204:1220 --enddatetime 2016-12-15T15:34:38 --enforcementcount 0 &gt;&gt;C:\Users\stu\Documents\GitHub\eaglep3-reporting\EC\2016-12-15-refined-times.txt</v>
      </c>
      <c r="AI96" s="119" t="str">
        <f t="shared" si="51"/>
        <v>echo {"issue":{"subject":"","project_id":79,"tracker_id":40,"status_id":1,"priority_id":2,"assigned_to_id":23,"start_date":"2016-12-15","description":"","custom_fields":[{"id":1,"name":"Subdivision","value":"EC"},{"id":4,"name":"Milepost","value":"0.122"},{"id":17,"name":"Train ID","value":"182-15"},{"id":16,"name":"Locomotive ID","value":"4012"},{"id":130,"name":"Impact","value":""},{"id":150,"name":"Time of Event (Mountain Time)","value":"15:34:38"},{"id":151,"name":"Denver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21" customFormat="1" x14ac:dyDescent="0.25">
      <c r="A97" s="37" t="s">
        <v>686</v>
      </c>
      <c r="B97" s="7">
        <v>4018</v>
      </c>
      <c r="C97" s="22" t="s">
        <v>207</v>
      </c>
      <c r="D97" s="22" t="s">
        <v>234</v>
      </c>
      <c r="E97" s="13">
        <v>42719.577048611114</v>
      </c>
      <c r="F97" s="13">
        <v>42719.583680555559</v>
      </c>
      <c r="G97" s="7">
        <v>1</v>
      </c>
      <c r="H97" s="22" t="s">
        <v>401</v>
      </c>
      <c r="I97" s="13">
        <v>42719.608229166668</v>
      </c>
      <c r="J97" s="7">
        <v>0</v>
      </c>
      <c r="K97" s="109" t="str">
        <f t="shared" si="40"/>
        <v>4017/4018</v>
      </c>
      <c r="L97" s="22" t="str">
        <f>VLOOKUP(A97,'Trips&amp;Operators'!$C$1:$G$99999,5,FALSE)</f>
        <v>ADANE ELSHADAY</v>
      </c>
      <c r="M97" s="6">
        <f t="shared" si="41"/>
        <v>2.4548611108912155E-2</v>
      </c>
      <c r="N97" s="7">
        <f t="shared" ref="N97:N110" si="54">24*60*SUM($M97:$M97)</f>
        <v>35.349999996833503</v>
      </c>
      <c r="O97" s="7"/>
      <c r="P97" s="7"/>
      <c r="Q97" s="23"/>
      <c r="R97" s="23"/>
      <c r="S97" s="35">
        <f t="shared" ref="S97:S110" si="55">SUM(U97:U97)/IF(AG97="EC",12,1)</f>
        <v>1</v>
      </c>
      <c r="T97" s="50" t="str">
        <f t="shared" si="42"/>
        <v>NorthBound</v>
      </c>
      <c r="U97" s="171">
        <f>IF(AG97="EC",COUNTIFS(Variables!$M$2:$M$19,IF(T97="NorthBound","&gt;=","&lt;=")&amp;Y97,Variables!$M$2:$M$19,IF(T97="NorthBound","&lt;=","&gt;=")&amp;Z97),COUNTIFS(Variables!$P$2:$P$19,IF(T97="NorthBound","&gt;=","&lt;=")&amp;Y97,Variables!$P$2:$P$19,IF(T97="NorthBound","&lt;=","&gt;=")&amp;Z97))</f>
        <v>12</v>
      </c>
      <c r="V97" s="98" t="str">
        <f t="shared" si="43"/>
        <v>https://search-rtdc-monitor-bjffxe2xuh6vdkpspy63sjmuny.us-east-1.es.amazonaws.com/_plugin/kibana/#/discover/Steve-Slow-Train-Analysis-(2080s-and-2083s)?_g=(refreshInterval:(display:Off,section:0,value:0),time:(from:'2016-12-15 12:50:57-700',mode:absolute,to:'2016-12-15 15:35:51-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97" s="52" t="str">
        <f t="shared" si="44"/>
        <v>N</v>
      </c>
      <c r="X97" s="177">
        <f t="shared" si="39"/>
        <v>1</v>
      </c>
      <c r="Y97" s="67">
        <f t="shared" si="37"/>
        <v>4.5999999999999999E-2</v>
      </c>
      <c r="Z97" s="67">
        <f t="shared" si="38"/>
        <v>23.328900000000001</v>
      </c>
      <c r="AA97" s="67">
        <f t="shared" si="45"/>
        <v>23.282900000000001</v>
      </c>
      <c r="AB97" s="64" t="e">
        <f>VLOOKUP(A97,Enforcements!$C$7:$K$18,8,0)</f>
        <v>#N/A</v>
      </c>
      <c r="AC97" s="60" t="e">
        <f>VLOOKUP(A97,Enforcements!$C$7:$E$18,3,0)</f>
        <v>#N/A</v>
      </c>
      <c r="AD97" s="61" t="str">
        <f t="shared" si="46"/>
        <v>0183-15</v>
      </c>
      <c r="AE97" s="91" t="str">
        <f t="shared" si="47"/>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97" s="88" t="str">
        <f t="shared" si="48"/>
        <v>"C:\Program Files (x86)\AstroGrep\AstroGrep.exe" /spath="%USERPROFILE%\AppData\Local\Temp\OnboardLogs" /stypes="app*4018*20161215*" /stext=" 21:.+((SYSTEM_STATE.+slice.+state.+changed )|(ment ac)|(multiple cpu faults)|(system.+state.+changed )|(\[timeout)|(PRM\|1\|D)|(kpr)|(kdp)|(\|lc)|(penalty))" /e /r /s</v>
      </c>
      <c r="AG97" s="1" t="str">
        <f t="shared" si="49"/>
        <v>EC</v>
      </c>
      <c r="AH97" s="92" t="str">
        <f t="shared" si="50"/>
        <v>"%USERPROFILE%\Documents\GitHub\eaglep3\Utilities\RefineRTDCRunTimes.py" --tripid 183-15 --locoid 4018 --swversion DE.1.0.8.0 --startMP 204:460 --initTime 2016-12-15T13:50:57 --startdatetime 2016-12-15T14:00:30 --delay 1 --endMP 204:233289 --enddatetime 2016-12-15T14:35:51 --enforcementcount 0 &gt;&gt;C:\Users\stu\Documents\GitHub\eaglep3-reporting\EC\2016-12-15-refined-times.txt</v>
      </c>
      <c r="AI97" s="119" t="str">
        <f t="shared" si="51"/>
        <v>echo {"issue":{"subject":"","project_id":79,"tracker_id":40,"status_id":1,"priority_id":2,"assigned_to_id":23,"start_date":"2016-12-15","description":"","custom_fields":[{"id":1,"name":"Subdivision","value":"EC"},{"id":4,"name":"Milepost","value":"23.3289"},{"id":17,"name":"Train ID","value":"183-15"},{"id":16,"name":"Locomotive ID","value":"4018"},{"id":130,"name":"Impact","value":""},{"id":150,"name":"Time of Event (Mountain Time)","value":"14:35:51"},{"id":151,"name":"Denver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1" customFormat="1" x14ac:dyDescent="0.25">
      <c r="A98" s="37" t="s">
        <v>570</v>
      </c>
      <c r="B98" s="7">
        <v>4017</v>
      </c>
      <c r="C98" s="22" t="s">
        <v>207</v>
      </c>
      <c r="D98" s="22" t="s">
        <v>800</v>
      </c>
      <c r="E98" s="13">
        <v>42719.609583333331</v>
      </c>
      <c r="F98" s="13">
        <v>42719.622893518521</v>
      </c>
      <c r="G98" s="7">
        <v>1</v>
      </c>
      <c r="H98" s="22" t="s">
        <v>281</v>
      </c>
      <c r="I98" s="13">
        <v>42719.654699074075</v>
      </c>
      <c r="J98" s="7">
        <v>0</v>
      </c>
      <c r="K98" s="109" t="str">
        <f t="shared" si="40"/>
        <v>4017/4018</v>
      </c>
      <c r="L98" s="22" t="str">
        <f>VLOOKUP(A98,'Trips&amp;Operators'!$C$1:$G$99999,5,FALSE)</f>
        <v>ADANE ELSHADAY</v>
      </c>
      <c r="M98" s="6">
        <f t="shared" si="41"/>
        <v>3.1805555554456078E-2</v>
      </c>
      <c r="N98" s="7">
        <f t="shared" si="54"/>
        <v>45.799999998416752</v>
      </c>
      <c r="O98" s="7"/>
      <c r="P98" s="7"/>
      <c r="Q98" s="23"/>
      <c r="R98" s="23"/>
      <c r="S98" s="35">
        <f t="shared" si="55"/>
        <v>1</v>
      </c>
      <c r="T98" s="50" t="str">
        <f t="shared" si="42"/>
        <v>Southbound</v>
      </c>
      <c r="U98" s="171">
        <f>IF(AG98="EC",COUNTIFS(Variables!$M$2:$M$19,IF(T98="NorthBound","&gt;=","&lt;=")&amp;Y98,Variables!$M$2:$M$19,IF(T98="NorthBound","&lt;=","&gt;=")&amp;Z98),COUNTIFS(Variables!$P$2:$P$19,IF(T98="NorthBound","&gt;=","&lt;=")&amp;Y98,Variables!$P$2:$P$19,IF(T98="NorthBound","&lt;=","&gt;=")&amp;Z98))</f>
        <v>12</v>
      </c>
      <c r="V98" s="98" t="str">
        <f t="shared" si="43"/>
        <v>https://search-rtdc-monitor-bjffxe2xuh6vdkpspy63sjmuny.us-east-1.es.amazonaws.com/_plugin/kibana/#/discover/Steve-Slow-Train-Analysis-(2080s-and-2083s)?_g=(refreshInterval:(display:Off,section:0,value:0),time:(from:'2016-12-15 13:37:48-700',mode:absolute,to:'2016-12-15 16:42:46-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98" s="52" t="str">
        <f t="shared" si="44"/>
        <v>N</v>
      </c>
      <c r="X98" s="177">
        <f t="shared" si="39"/>
        <v>1</v>
      </c>
      <c r="Y98" s="67">
        <f t="shared" si="37"/>
        <v>23.2988</v>
      </c>
      <c r="Z98" s="67">
        <f t="shared" si="38"/>
        <v>1.3899999999999999E-2</v>
      </c>
      <c r="AA98" s="67">
        <f t="shared" si="45"/>
        <v>23.2849</v>
      </c>
      <c r="AB98" s="64" t="str">
        <f>VLOOKUP(A98,Enforcements!$C$7:$K$18,8,0)</f>
        <v>Speed (6)</v>
      </c>
      <c r="AC98" s="60" t="str">
        <f>VLOOKUP(A98,Enforcements!$C$7:$E$18,3,0)</f>
        <v>PERMANENT SPEED RESTRICTION</v>
      </c>
      <c r="AD98" s="61" t="str">
        <f t="shared" si="46"/>
        <v>0184-15</v>
      </c>
      <c r="AE98" s="91" t="str">
        <f t="shared" si="47"/>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98" s="88" t="str">
        <f t="shared" si="48"/>
        <v>"C:\Program Files (x86)\AstroGrep\AstroGrep.exe" /spath="%USERPROFILE%\AppData\Local\Temp\OnboardLogs" /stypes="app*4017*20161215*" /stext=" 22:.+((SYSTEM_STATE.+slice.+state.+changed )|(ment ac)|(multiple cpu faults)|(system.+state.+changed )|(\[timeout)|(PRM\|1\|D)|(kpr)|(kdp)|(\|lc)|(penalty))" /e /r /s</v>
      </c>
      <c r="AG98" s="1" t="str">
        <f t="shared" si="49"/>
        <v>EC</v>
      </c>
      <c r="AH98" s="92" t="str">
        <f t="shared" si="50"/>
        <v>"%USERPROFILE%\Documents\GitHub\eaglep3\Utilities\RefineRTDCRunTimes.py" --tripid 184-15 --locoid 4017 --swversion DE.1.0.8.0 --startMP 204:232988 --initTime 2016-12-15T14:37:48 --startdatetime 2016-12-15T14:56:58 --delay 1 --endMP 204:139 --enddatetime 2016-12-15T15:42:46 --enforcementcount 0 &gt;&gt;C:\Users\stu\Documents\GitHub\eaglep3-reporting\EC\2016-12-15-refined-times.txt</v>
      </c>
      <c r="AI98" s="119" t="str">
        <f t="shared" si="51"/>
        <v>echo {"issue":{"subject":"","project_id":79,"tracker_id":40,"status_id":1,"priority_id":2,"assigned_to_id":23,"start_date":"2016-12-15","description":"","custom_fields":[{"id":1,"name":"Subdivision","value":"EC"},{"id":4,"name":"Milepost","value":"0.0139"},{"id":17,"name":"Train ID","value":"184-15"},{"id":16,"name":"Locomotive ID","value":"4017"},{"id":130,"name":"Impact","value":""},{"id":150,"name":"Time of Event (Mountain Time)","value":"15:42:46"},{"id":151,"name":"Denver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s="21" customFormat="1" x14ac:dyDescent="0.25">
      <c r="A99" s="37" t="s">
        <v>688</v>
      </c>
      <c r="B99" s="7">
        <v>4016</v>
      </c>
      <c r="C99" s="22" t="s">
        <v>207</v>
      </c>
      <c r="D99" s="22" t="s">
        <v>195</v>
      </c>
      <c r="E99" s="13">
        <v>42719.591261574074</v>
      </c>
      <c r="F99" s="13">
        <v>42719.594143518516</v>
      </c>
      <c r="G99" s="7">
        <v>1</v>
      </c>
      <c r="H99" s="22" t="s">
        <v>300</v>
      </c>
      <c r="I99" s="13">
        <v>42719.619652777779</v>
      </c>
      <c r="J99" s="7">
        <v>0</v>
      </c>
      <c r="K99" s="109" t="str">
        <f t="shared" si="40"/>
        <v>4015/4016</v>
      </c>
      <c r="L99" s="22" t="str">
        <f>VLOOKUP(A99,'Trips&amp;Operators'!$C$1:$G$99999,5,FALSE)</f>
        <v>YANG JAN</v>
      </c>
      <c r="M99" s="6">
        <f t="shared" si="41"/>
        <v>2.5509259263344575E-2</v>
      </c>
      <c r="N99" s="7">
        <f t="shared" si="54"/>
        <v>36.733333339216188</v>
      </c>
      <c r="O99" s="7"/>
      <c r="P99" s="7"/>
      <c r="Q99" s="23"/>
      <c r="R99" s="23"/>
      <c r="S99" s="35">
        <f t="shared" si="55"/>
        <v>1</v>
      </c>
      <c r="T99" s="50" t="str">
        <f t="shared" si="42"/>
        <v>NorthBound</v>
      </c>
      <c r="U99" s="171">
        <f>IF(AG99="EC",COUNTIFS(Variables!$M$2:$M$19,IF(T99="NorthBound","&gt;=","&lt;=")&amp;Y99,Variables!$M$2:$M$19,IF(T99="NorthBound","&lt;=","&gt;=")&amp;Z99),COUNTIFS(Variables!$P$2:$P$19,IF(T99="NorthBound","&gt;=","&lt;=")&amp;Y99,Variables!$P$2:$P$19,IF(T99="NorthBound","&lt;=","&gt;=")&amp;Z99))</f>
        <v>12</v>
      </c>
      <c r="V99" s="98" t="str">
        <f t="shared" si="43"/>
        <v>https://search-rtdc-monitor-bjffxe2xuh6vdkpspy63sjmuny.us-east-1.es.amazonaws.com/_plugin/kibana/#/discover/Steve-Slow-Train-Analysis-(2080s-and-2083s)?_g=(refreshInterval:(display:Off,section:0,value:0),time:(from:'2016-12-15 13:11:25-700',mode:absolute,to:'2016-12-15 15:52:18-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99" s="52" t="str">
        <f t="shared" si="44"/>
        <v>N</v>
      </c>
      <c r="X99" s="177">
        <f t="shared" si="39"/>
        <v>1</v>
      </c>
      <c r="Y99" s="67">
        <f t="shared" si="37"/>
        <v>4.5100000000000001E-2</v>
      </c>
      <c r="Z99" s="67">
        <f t="shared" si="38"/>
        <v>23.3293</v>
      </c>
      <c r="AA99" s="67">
        <f t="shared" si="45"/>
        <v>23.284199999999998</v>
      </c>
      <c r="AB99" s="64" t="e">
        <f>VLOOKUP(A99,Enforcements!$C$7:$K$18,8,0)</f>
        <v>#N/A</v>
      </c>
      <c r="AC99" s="60" t="e">
        <f>VLOOKUP(A99,Enforcements!$C$7:$E$18,3,0)</f>
        <v>#N/A</v>
      </c>
      <c r="AD99" s="61" t="str">
        <f t="shared" si="46"/>
        <v>0185-15</v>
      </c>
      <c r="AE99" s="91" t="str">
        <f t="shared" si="47"/>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99" s="88" t="str">
        <f t="shared" si="48"/>
        <v>"C:\Program Files (x86)\AstroGrep\AstroGrep.exe" /spath="%USERPROFILE%\AppData\Local\Temp\OnboardLogs" /stypes="app*4016*20161215*" /stext=" 21:.+((SYSTEM_STATE.+slice.+state.+changed )|(ment ac)|(multiple cpu faults)|(system.+state.+changed )|(\[timeout)|(PRM\|1\|D)|(kpr)|(kdp)|(\|lc)|(penalty))" /e /r /s</v>
      </c>
      <c r="AG99" s="1" t="str">
        <f t="shared" si="49"/>
        <v>EC</v>
      </c>
      <c r="AH99" s="92" t="str">
        <f t="shared" si="50"/>
        <v>"%USERPROFILE%\Documents\GitHub\eaglep3\Utilities\RefineRTDCRunTimes.py" --tripid 185-15 --locoid 4016 --swversion DE.1.0.8.0 --startMP 204:451 --initTime 2016-12-15T14:11:25 --startdatetime 2016-12-15T14:15:34 --delay 1 --endMP 204:233293 --enddatetime 2016-12-15T14:52:18 --enforcementcount 0 &gt;&gt;C:\Users\stu\Documents\GitHub\eaglep3-reporting\EC\2016-12-15-refined-times.txt</v>
      </c>
      <c r="AI99" s="119" t="str">
        <f t="shared" si="51"/>
        <v>echo {"issue":{"subject":"","project_id":79,"tracker_id":40,"status_id":1,"priority_id":2,"assigned_to_id":23,"start_date":"2016-12-15","description":"","custom_fields":[{"id":1,"name":"Subdivision","value":"EC"},{"id":4,"name":"Milepost","value":"23.3293"},{"id":17,"name":"Train ID","value":"185-15"},{"id":16,"name":"Locomotive ID","value":"4016"},{"id":130,"name":"Impact","value":""},{"id":150,"name":"Time of Event (Mountain Time)","value":"14:52:18"},{"id":151,"name":"Denver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x14ac:dyDescent="0.25">
      <c r="A100" s="37" t="s">
        <v>697</v>
      </c>
      <c r="B100" s="7">
        <v>4015</v>
      </c>
      <c r="C100" s="22" t="s">
        <v>207</v>
      </c>
      <c r="D100" s="22" t="s">
        <v>290</v>
      </c>
      <c r="E100" s="13">
        <v>42719.626157407409</v>
      </c>
      <c r="F100" s="13">
        <v>42719.632893518516</v>
      </c>
      <c r="G100" s="7">
        <v>1</v>
      </c>
      <c r="H100" s="22" t="s">
        <v>274</v>
      </c>
      <c r="I100" s="13">
        <v>42719.661122685182</v>
      </c>
      <c r="J100" s="7">
        <v>0</v>
      </c>
      <c r="K100" s="109" t="str">
        <f t="shared" si="40"/>
        <v>4015/4016</v>
      </c>
      <c r="L100" s="22" t="str">
        <f>VLOOKUP(A100,'Trips&amp;Operators'!$C$1:$G$99999,5,FALSE)</f>
        <v>YANG JAN</v>
      </c>
      <c r="M100" s="6">
        <f t="shared" si="41"/>
        <v>2.8229166666278616E-2</v>
      </c>
      <c r="N100" s="7">
        <f t="shared" si="54"/>
        <v>40.649999999441206</v>
      </c>
      <c r="O100" s="7"/>
      <c r="P100" s="7"/>
      <c r="Q100" s="23"/>
      <c r="R100" s="23"/>
      <c r="S100" s="35">
        <f t="shared" si="55"/>
        <v>1</v>
      </c>
      <c r="T100" s="50" t="str">
        <f t="shared" si="42"/>
        <v>Southbound</v>
      </c>
      <c r="U100" s="171">
        <f>IF(AG100="EC",COUNTIFS(Variables!$M$2:$M$19,IF(T100="NorthBound","&gt;=","&lt;=")&amp;Y100,Variables!$M$2:$M$19,IF(T100="NorthBound","&lt;=","&gt;=")&amp;Z100),COUNTIFS(Variables!$P$2:$P$19,IF(T100="NorthBound","&gt;=","&lt;=")&amp;Y100,Variables!$P$2:$P$19,IF(T100="NorthBound","&lt;=","&gt;=")&amp;Z100))</f>
        <v>12</v>
      </c>
      <c r="V100" s="98" t="str">
        <f t="shared" si="43"/>
        <v>https://search-rtdc-monitor-bjffxe2xuh6vdkpspy63sjmuny.us-east-1.es.amazonaws.com/_plugin/kibana/#/discover/Steve-Slow-Train-Analysis-(2080s-and-2083s)?_g=(refreshInterval:(display:Off,section:0,value:0),time:(from:'2016-12-15 14:01:40-700',mode:absolute,to:'2016-12-15 16:52:01-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00" s="52" t="str">
        <f t="shared" si="44"/>
        <v>N</v>
      </c>
      <c r="X100" s="177">
        <f t="shared" si="39"/>
        <v>1</v>
      </c>
      <c r="Y100" s="67">
        <f t="shared" si="37"/>
        <v>23.297699999999999</v>
      </c>
      <c r="Z100" s="67">
        <f t="shared" si="38"/>
        <v>1.52E-2</v>
      </c>
      <c r="AA100" s="67">
        <f t="shared" si="45"/>
        <v>23.282499999999999</v>
      </c>
      <c r="AB100" s="64" t="e">
        <f>VLOOKUP(A100,Enforcements!$C$7:$K$18,8,0)</f>
        <v>#N/A</v>
      </c>
      <c r="AC100" s="60" t="e">
        <f>VLOOKUP(A100,Enforcements!$C$7:$E$18,3,0)</f>
        <v>#N/A</v>
      </c>
      <c r="AD100" s="61" t="str">
        <f t="shared" si="46"/>
        <v>0186-15</v>
      </c>
      <c r="AE100" s="91" t="str">
        <f t="shared" si="47"/>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100" s="88" t="str">
        <f t="shared" si="48"/>
        <v>"C:\Program Files (x86)\AstroGrep\AstroGrep.exe" /spath="%USERPROFILE%\AppData\Local\Temp\OnboardLogs" /stypes="app*4015*20161215*" /stext=" 22:.+((SYSTEM_STATE.+slice.+state.+changed )|(ment ac)|(multiple cpu faults)|(system.+state.+changed )|(\[timeout)|(PRM\|1\|D)|(kpr)|(kdp)|(\|lc)|(penalty))" /e /r /s</v>
      </c>
      <c r="AG100" s="1" t="str">
        <f t="shared" si="49"/>
        <v>EC</v>
      </c>
      <c r="AH100" s="92" t="str">
        <f t="shared" si="50"/>
        <v>"%USERPROFILE%\Documents\GitHub\eaglep3\Utilities\RefineRTDCRunTimes.py" --tripid 186-15 --locoid 4015 --swversion DE.1.0.8.0 --startMP 204:232977 --initTime 2016-12-15T15:01:40 --startdatetime 2016-12-15T15:11:22 --delay 1 --endMP 204:152 --enddatetime 2016-12-15T15:52:01 --enforcementcount 0 &gt;&gt;C:\Users\stu\Documents\GitHub\eaglep3-reporting\EC\2016-12-15-refined-times.txt</v>
      </c>
      <c r="AI100" s="119" t="str">
        <f t="shared" si="51"/>
        <v>echo {"issue":{"subject":"","project_id":79,"tracker_id":40,"status_id":1,"priority_id":2,"assigned_to_id":23,"start_date":"2016-12-15","description":"","custom_fields":[{"id":1,"name":"Subdivision","value":"EC"},{"id":4,"name":"Milepost","value":"0.0152"},{"id":17,"name":"Train ID","value":"186-15"},{"id":16,"name":"Locomotive ID","value":"4015"},{"id":130,"name":"Impact","value":""},{"id":150,"name":"Time of Event (Mountain Time)","value":"15:52:01"},{"id":151,"name":"Denver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row>
    <row r="101" spans="1:91" x14ac:dyDescent="0.25">
      <c r="A101" s="37" t="s">
        <v>691</v>
      </c>
      <c r="B101" s="7">
        <v>4009</v>
      </c>
      <c r="C101" s="22" t="s">
        <v>207</v>
      </c>
      <c r="D101" s="22" t="s">
        <v>787</v>
      </c>
      <c r="E101" s="13">
        <v>42719.599374999998</v>
      </c>
      <c r="F101" s="13">
        <v>42719.604386574072</v>
      </c>
      <c r="G101" s="7">
        <v>1</v>
      </c>
      <c r="H101" s="22" t="s">
        <v>421</v>
      </c>
      <c r="I101" s="13">
        <v>42719.630706018521</v>
      </c>
      <c r="J101" s="7">
        <v>0</v>
      </c>
      <c r="K101" s="109" t="str">
        <f t="shared" si="40"/>
        <v>4009/4010</v>
      </c>
      <c r="L101" s="22" t="str">
        <f>VLOOKUP(A101,'Trips&amp;Operators'!$C$1:$G$99999,5,FALSE)</f>
        <v>DAVIDSON DAVID</v>
      </c>
      <c r="M101" s="6">
        <f t="shared" si="41"/>
        <v>2.6319444448745344E-2</v>
      </c>
      <c r="N101" s="7">
        <f t="shared" si="54"/>
        <v>37.900000006193295</v>
      </c>
      <c r="O101" s="7"/>
      <c r="P101" s="7"/>
      <c r="Q101" s="23"/>
      <c r="R101" s="23"/>
      <c r="S101" s="35">
        <f t="shared" si="55"/>
        <v>1</v>
      </c>
      <c r="T101" s="50" t="str">
        <f t="shared" si="42"/>
        <v>NorthBound</v>
      </c>
      <c r="U101" s="171">
        <f>IF(AG101="EC",COUNTIFS(Variables!$M$2:$M$19,IF(T101="NorthBound","&gt;=","&lt;=")&amp;Y101,Variables!$M$2:$M$19,IF(T101="NorthBound","&lt;=","&gt;=")&amp;Z101),COUNTIFS(Variables!$P$2:$P$19,IF(T101="NorthBound","&gt;=","&lt;=")&amp;Y101,Variables!$P$2:$P$19,IF(T101="NorthBound","&lt;=","&gt;=")&amp;Z101))</f>
        <v>12</v>
      </c>
      <c r="V101" s="98" t="str">
        <f t="shared" si="43"/>
        <v>https://search-rtdc-monitor-bjffxe2xuh6vdkpspy63sjmuny.us-east-1.es.amazonaws.com/_plugin/kibana/#/discover/Steve-Slow-Train-Analysis-(2080s-and-2083s)?_g=(refreshInterval:(display:Off,section:0,value:0),time:(from:'2016-12-15 13:23:06-700',mode:absolute,to:'2016-12-15 16:08:13-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101" s="52" t="str">
        <f t="shared" si="44"/>
        <v>N</v>
      </c>
      <c r="X101" s="177">
        <f t="shared" si="39"/>
        <v>1</v>
      </c>
      <c r="Y101" s="67">
        <f t="shared" si="37"/>
        <v>4.4200000000000003E-2</v>
      </c>
      <c r="Z101" s="67">
        <f t="shared" si="38"/>
        <v>23.329899999999999</v>
      </c>
      <c r="AA101" s="67">
        <f t="shared" si="45"/>
        <v>23.285699999999999</v>
      </c>
      <c r="AB101" s="64" t="e">
        <f>VLOOKUP(A101,Enforcements!$C$7:$K$18,8,0)</f>
        <v>#N/A</v>
      </c>
      <c r="AC101" s="60" t="e">
        <f>VLOOKUP(A101,Enforcements!$C$7:$E$18,3,0)</f>
        <v>#N/A</v>
      </c>
      <c r="AD101" s="61" t="str">
        <f t="shared" si="46"/>
        <v>0187-15</v>
      </c>
      <c r="AE101" s="91" t="str">
        <f t="shared" si="47"/>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101" s="88" t="str">
        <f t="shared" si="48"/>
        <v>"C:\Program Files (x86)\AstroGrep\AstroGrep.exe" /spath="%USERPROFILE%\AppData\Local\Temp\OnboardLogs" /stypes="app*4009*20161215*" /stext=" 22:.+((SYSTEM_STATE.+slice.+state.+changed )|(ment ac)|(multiple cpu faults)|(system.+state.+changed )|(\[timeout)|(PRM\|1\|D)|(kpr)|(kdp)|(\|lc)|(penalty))" /e /r /s</v>
      </c>
      <c r="AG101" s="1" t="str">
        <f t="shared" si="49"/>
        <v>EC</v>
      </c>
      <c r="AH101" s="92" t="str">
        <f t="shared" si="50"/>
        <v>"%USERPROFILE%\Documents\GitHub\eaglep3\Utilities\RefineRTDCRunTimes.py" --tripid 187-15 --locoid 4009 --swversion DE.1.0.8.0 --startMP 204:442 --initTime 2016-12-15T14:23:06 --startdatetime 2016-12-15T14:30:19 --delay 1 --endMP 204:233299 --enddatetime 2016-12-15T15:08:13 --enforcementcount 0 &gt;&gt;C:\Users\stu\Documents\GitHub\eaglep3-reporting\EC\2016-12-15-refined-times.txt</v>
      </c>
      <c r="AI101" s="119" t="str">
        <f t="shared" si="51"/>
        <v>echo {"issue":{"subject":"","project_id":79,"tracker_id":40,"status_id":1,"priority_id":2,"assigned_to_id":23,"start_date":"2016-12-15","description":"","custom_fields":[{"id":1,"name":"Subdivision","value":"EC"},{"id":4,"name":"Milepost","value":"23.3299"},{"id":17,"name":"Train ID","value":"187-15"},{"id":16,"name":"Locomotive ID","value":"4009"},{"id":130,"name":"Impact","value":""},{"id":150,"name":"Time of Event (Mountain Time)","value":"15:08:13"},{"id":151,"name":"Denver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row>
    <row r="102" spans="1:91" x14ac:dyDescent="0.25">
      <c r="A102" s="37" t="s">
        <v>699</v>
      </c>
      <c r="B102" s="7">
        <v>4010</v>
      </c>
      <c r="C102" s="22" t="s">
        <v>207</v>
      </c>
      <c r="D102" s="22" t="s">
        <v>797</v>
      </c>
      <c r="E102" s="13">
        <v>42719.632314814815</v>
      </c>
      <c r="F102" s="13">
        <v>42719.643495370372</v>
      </c>
      <c r="G102" s="7">
        <v>0</v>
      </c>
      <c r="H102" s="22" t="s">
        <v>830</v>
      </c>
      <c r="I102" s="13">
        <v>42719.671851851854</v>
      </c>
      <c r="J102" s="7">
        <v>0</v>
      </c>
      <c r="K102" s="109" t="str">
        <f t="shared" si="40"/>
        <v>4009/4010</v>
      </c>
      <c r="L102" s="22" t="str">
        <f>VLOOKUP(A102,'Trips&amp;Operators'!$C$1:$G$99999,5,FALSE)</f>
        <v>DAVIDSON DAVID</v>
      </c>
      <c r="M102" s="6">
        <f t="shared" si="41"/>
        <v>2.8356481481750961E-2</v>
      </c>
      <c r="N102" s="7">
        <f t="shared" si="54"/>
        <v>40.833333333721384</v>
      </c>
      <c r="O102" s="7"/>
      <c r="P102" s="7"/>
      <c r="Q102" s="23"/>
      <c r="R102" s="23"/>
      <c r="S102" s="35">
        <f t="shared" si="55"/>
        <v>1</v>
      </c>
      <c r="T102" s="50" t="str">
        <f t="shared" si="42"/>
        <v>Southbound</v>
      </c>
      <c r="U102" s="171">
        <f>IF(AG102="EC",COUNTIFS(Variables!$M$2:$M$19,IF(T102="NorthBound","&gt;=","&lt;=")&amp;Y102,Variables!$M$2:$M$19,IF(T102="NorthBound","&lt;=","&gt;=")&amp;Z102),COUNTIFS(Variables!$P$2:$P$19,IF(T102="NorthBound","&gt;=","&lt;=")&amp;Y102,Variables!$P$2:$P$19,IF(T102="NorthBound","&lt;=","&gt;=")&amp;Z102))</f>
        <v>12</v>
      </c>
      <c r="V102" s="98" t="str">
        <f t="shared" si="43"/>
        <v>https://search-rtdc-monitor-bjffxe2xuh6vdkpspy63sjmuny.us-east-1.es.amazonaws.com/_plugin/kibana/#/discover/Steve-Slow-Train-Analysis-(2080s-and-2083s)?_g=(refreshInterval:(display:Off,section:0,value:0),time:(from:'2016-12-15 14:10:32-700',mode:absolute,to:'2016-12-15 17:07:28-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02" s="52" t="str">
        <f t="shared" si="44"/>
        <v>N</v>
      </c>
      <c r="X102" s="177">
        <f t="shared" si="39"/>
        <v>1</v>
      </c>
      <c r="Y102" s="67">
        <f t="shared" si="37"/>
        <v>23.2973</v>
      </c>
      <c r="Z102" s="67">
        <f t="shared" si="38"/>
        <v>1.6899999999999998E-2</v>
      </c>
      <c r="AA102" s="67">
        <f t="shared" si="45"/>
        <v>23.2804</v>
      </c>
      <c r="AB102" s="64" t="e">
        <f>VLOOKUP(A102,Enforcements!$C$7:$K$18,8,0)</f>
        <v>#N/A</v>
      </c>
      <c r="AC102" s="60" t="e">
        <f>VLOOKUP(A102,Enforcements!$C$7:$E$18,3,0)</f>
        <v>#N/A</v>
      </c>
      <c r="AD102" s="61" t="str">
        <f t="shared" si="46"/>
        <v>0188-15</v>
      </c>
      <c r="AE102" s="91" t="str">
        <f t="shared" si="47"/>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102" s="88" t="str">
        <f t="shared" si="48"/>
        <v>"C:\Program Files (x86)\AstroGrep\AstroGrep.exe" /spath="%USERPROFILE%\AppData\Local\Temp\OnboardLogs" /stypes="app*4010*20161215*" /stext=" 23:.+((SYSTEM_STATE.+slice.+state.+changed )|(ment ac)|(multiple cpu faults)|(system.+state.+changed )|(\[timeout)|(PRM\|1\|D)|(kpr)|(kdp)|(\|lc)|(penalty))" /e /r /s</v>
      </c>
      <c r="AG102" s="1" t="str">
        <f t="shared" si="49"/>
        <v>EC</v>
      </c>
      <c r="AH102" s="92" t="str">
        <f t="shared" si="50"/>
        <v>"%USERPROFILE%\Documents\GitHub\eaglep3\Utilities\RefineRTDCRunTimes.py" --tripid 188-15 --locoid 4010 --swversion DE.1.0.8.0 --startMP 204:232973 --initTime 2016-12-15T15:10:32 --startdatetime 2016-12-15T15:26:38 --delay 0 --endMP 204:169 --enddatetime 2016-12-15T16:07:28 --enforcementcount 0 &gt;&gt;C:\Users\stu\Documents\GitHub\eaglep3-reporting\EC\2016-12-15-refined-times.txt</v>
      </c>
      <c r="AI102" s="119" t="str">
        <f t="shared" si="51"/>
        <v>echo {"issue":{"subject":"","project_id":79,"tracker_id":40,"status_id":1,"priority_id":2,"assigned_to_id":23,"start_date":"2016-12-15","description":"","custom_fields":[{"id":1,"name":"Subdivision","value":"EC"},{"id":4,"name":"Milepost","value":"0.0169"},{"id":17,"name":"Train ID","value":"188-15"},{"id":16,"name":"Locomotive ID","value":"4010"},{"id":130,"name":"Impact","value":""},{"id":150,"name":"Time of Event (Mountain Time)","value":"16:07:28"},{"id":151,"name":"Denver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row>
    <row r="103" spans="1:91" s="21" customFormat="1" x14ac:dyDescent="0.25">
      <c r="A103" s="37" t="s">
        <v>694</v>
      </c>
      <c r="B103" s="7">
        <v>4031</v>
      </c>
      <c r="C103" s="22" t="s">
        <v>207</v>
      </c>
      <c r="D103" s="22" t="s">
        <v>262</v>
      </c>
      <c r="E103" s="13">
        <v>42719.610439814816</v>
      </c>
      <c r="F103" s="13">
        <v>42719.614756944444</v>
      </c>
      <c r="G103" s="7">
        <v>1</v>
      </c>
      <c r="H103" s="22" t="s">
        <v>294</v>
      </c>
      <c r="I103" s="13">
        <v>42719.640127314815</v>
      </c>
      <c r="J103" s="7">
        <v>0</v>
      </c>
      <c r="K103" s="109" t="str">
        <f t="shared" si="40"/>
        <v>4031/4032</v>
      </c>
      <c r="L103" s="22" t="str">
        <f>VLOOKUP(A103,'Trips&amp;Operators'!$C$1:$G$99999,5,FALSE)</f>
        <v>SHOOK JOHN</v>
      </c>
      <c r="M103" s="6">
        <f t="shared" si="41"/>
        <v>2.5370370371092577E-2</v>
      </c>
      <c r="N103" s="7">
        <f t="shared" si="54"/>
        <v>36.53333333437331</v>
      </c>
      <c r="O103" s="7"/>
      <c r="P103" s="7"/>
      <c r="Q103" s="23"/>
      <c r="R103" s="23"/>
      <c r="S103" s="35">
        <f t="shared" si="55"/>
        <v>1</v>
      </c>
      <c r="T103" s="50" t="str">
        <f t="shared" si="42"/>
        <v>NorthBound</v>
      </c>
      <c r="U103" s="171">
        <f>IF(AG103="EC",COUNTIFS(Variables!$M$2:$M$19,IF(T103="NorthBound","&gt;=","&lt;=")&amp;Y103,Variables!$M$2:$M$19,IF(T103="NorthBound","&lt;=","&gt;=")&amp;Z103),COUNTIFS(Variables!$P$2:$P$19,IF(T103="NorthBound","&gt;=","&lt;=")&amp;Y103,Variables!$P$2:$P$19,IF(T103="NorthBound","&lt;=","&gt;=")&amp;Z103))</f>
        <v>12</v>
      </c>
      <c r="V103" s="98" t="str">
        <f t="shared" si="43"/>
        <v>https://search-rtdc-monitor-bjffxe2xuh6vdkpspy63sjmuny.us-east-1.es.amazonaws.com/_plugin/kibana/#/discover/Steve-Slow-Train-Analysis-(2080s-and-2083s)?_g=(refreshInterval:(display:Off,section:0,value:0),time:(from:'2016-12-15 13:39:02-700',mode:absolute,to:'2016-12-15 16:21:47-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03" s="52" t="str">
        <f t="shared" si="44"/>
        <v>N</v>
      </c>
      <c r="X103" s="177">
        <f t="shared" si="39"/>
        <v>1</v>
      </c>
      <c r="Y103" s="67">
        <f t="shared" si="37"/>
        <v>4.4600000000000001E-2</v>
      </c>
      <c r="Z103" s="67">
        <f t="shared" si="38"/>
        <v>23.330200000000001</v>
      </c>
      <c r="AA103" s="67">
        <f t="shared" si="45"/>
        <v>23.285600000000002</v>
      </c>
      <c r="AB103" s="64" t="e">
        <f>VLOOKUP(A103,Enforcements!$C$7:$K$18,8,0)</f>
        <v>#N/A</v>
      </c>
      <c r="AC103" s="60" t="e">
        <f>VLOOKUP(A103,Enforcements!$C$7:$E$18,3,0)</f>
        <v>#N/A</v>
      </c>
      <c r="AD103" s="61" t="str">
        <f t="shared" si="46"/>
        <v>0189-15</v>
      </c>
      <c r="AE103" s="91" t="str">
        <f t="shared" si="47"/>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103" s="88" t="str">
        <f t="shared" si="48"/>
        <v>"C:\Program Files (x86)\AstroGrep\AstroGrep.exe" /spath="%USERPROFILE%\AppData\Local\Temp\OnboardLogs" /stypes="app*4031*20161215*" /stext=" 22:.+((SYSTEM_STATE.+slice.+state.+changed )|(ment ac)|(multiple cpu faults)|(system.+state.+changed )|(\[timeout)|(PRM\|1\|D)|(kpr)|(kdp)|(\|lc)|(penalty))" /e /r /s</v>
      </c>
      <c r="AG103" s="1" t="str">
        <f t="shared" si="49"/>
        <v>EC</v>
      </c>
      <c r="AH103" s="92" t="str">
        <f t="shared" si="50"/>
        <v>"%USERPROFILE%\Documents\GitHub\eaglep3\Utilities\RefineRTDCRunTimes.py" --tripid 189-15 --locoid 4031 --swversion DE.1.0.8.0 --startMP 204:446 --initTime 2016-12-15T14:39:02 --startdatetime 2016-12-15T14:45:15 --delay 1 --endMP 204:233302 --enddatetime 2016-12-15T15:21:47 --enforcementcount 0 &gt;&gt;C:\Users\stu\Documents\GitHub\eaglep3-reporting\EC\2016-12-15-refined-times.txt</v>
      </c>
      <c r="AI103" s="119" t="str">
        <f t="shared" si="51"/>
        <v>echo {"issue":{"subject":"","project_id":79,"tracker_id":40,"status_id":1,"priority_id":2,"assigned_to_id":23,"start_date":"2016-12-15","description":"","custom_fields":[{"id":1,"name":"Subdivision","value":"EC"},{"id":4,"name":"Milepost","value":"23.3302"},{"id":17,"name":"Train ID","value":"189-15"},{"id":16,"name":"Locomotive ID","value":"4031"},{"id":130,"name":"Impact","value":""},{"id":150,"name":"Time of Event (Mountain Time)","value":"15:21:47"},{"id":151,"name":"Denver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704</v>
      </c>
      <c r="B104" s="7">
        <v>4032</v>
      </c>
      <c r="C104" s="22" t="s">
        <v>207</v>
      </c>
      <c r="D104" s="22" t="s">
        <v>302</v>
      </c>
      <c r="E104" s="13">
        <v>42719.645439814813</v>
      </c>
      <c r="F104" s="13">
        <v>42719.653657407405</v>
      </c>
      <c r="G104" s="7">
        <v>5</v>
      </c>
      <c r="H104" s="22" t="s">
        <v>274</v>
      </c>
      <c r="I104" s="13">
        <v>42719.681516203702</v>
      </c>
      <c r="J104" s="7">
        <v>0</v>
      </c>
      <c r="K104" s="109" t="str">
        <f t="shared" si="40"/>
        <v>4031/4032</v>
      </c>
      <c r="L104" s="22" t="str">
        <f>VLOOKUP(A104,'Trips&amp;Operators'!$C$1:$G$99999,5,FALSE)</f>
        <v>SHOOK JOHN</v>
      </c>
      <c r="M104" s="6">
        <f t="shared" si="41"/>
        <v>2.7858796296641231E-2</v>
      </c>
      <c r="N104" s="7">
        <f t="shared" si="54"/>
        <v>40.116666667163372</v>
      </c>
      <c r="O104" s="7"/>
      <c r="P104" s="7"/>
      <c r="Q104" s="23"/>
      <c r="R104" s="23"/>
      <c r="S104" s="35">
        <f t="shared" si="55"/>
        <v>1</v>
      </c>
      <c r="T104" s="50" t="str">
        <f t="shared" si="42"/>
        <v>Southbound</v>
      </c>
      <c r="U104" s="171">
        <f>IF(AG104="EC",COUNTIFS(Variables!$M$2:$M$19,IF(T104="NorthBound","&gt;=","&lt;=")&amp;Y104,Variables!$M$2:$M$19,IF(T104="NorthBound","&lt;=","&gt;=")&amp;Z104),COUNTIFS(Variables!$P$2:$P$19,IF(T104="NorthBound","&gt;=","&lt;=")&amp;Y104,Variables!$P$2:$P$19,IF(T104="NorthBound","&lt;=","&gt;=")&amp;Z104))</f>
        <v>12</v>
      </c>
      <c r="V104" s="98" t="str">
        <f t="shared" si="43"/>
        <v>https://search-rtdc-monitor-bjffxe2xuh6vdkpspy63sjmuny.us-east-1.es.amazonaws.com/_plugin/kibana/#/discover/Steve-Slow-Train-Analysis-(2080s-and-2083s)?_g=(refreshInterval:(display:Off,section:0,value:0),time:(from:'2016-12-15 14:29:26-700',mode:absolute,to:'2016-12-15 17:21:23-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04" s="52" t="str">
        <f t="shared" si="44"/>
        <v>N</v>
      </c>
      <c r="X104" s="177">
        <f t="shared" si="39"/>
        <v>1</v>
      </c>
      <c r="Y104" s="67">
        <f t="shared" si="37"/>
        <v>23.299299999999999</v>
      </c>
      <c r="Z104" s="67">
        <f t="shared" si="38"/>
        <v>1.52E-2</v>
      </c>
      <c r="AA104" s="67">
        <f t="shared" si="45"/>
        <v>23.284099999999999</v>
      </c>
      <c r="AB104" s="64" t="e">
        <f>VLOOKUP(A104,Enforcements!$C$7:$K$18,8,0)</f>
        <v>#N/A</v>
      </c>
      <c r="AC104" s="60" t="e">
        <f>VLOOKUP(A104,Enforcements!$C$7:$E$18,3,0)</f>
        <v>#N/A</v>
      </c>
      <c r="AD104" s="61" t="str">
        <f t="shared" si="46"/>
        <v>0190-15</v>
      </c>
      <c r="AE104" s="91" t="str">
        <f t="shared" si="47"/>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104" s="88" t="str">
        <f t="shared" si="48"/>
        <v>"C:\Program Files (x86)\AstroGrep\AstroGrep.exe" /spath="%USERPROFILE%\AppData\Local\Temp\OnboardLogs" /stypes="app*4032*20161215*" /stext=" 23:.+((SYSTEM_STATE.+slice.+state.+changed )|(ment ac)|(multiple cpu faults)|(system.+state.+changed )|(\[timeout)|(PRM\|1\|D)|(kpr)|(kdp)|(\|lc)|(penalty))" /e /r /s</v>
      </c>
      <c r="AG104" s="1" t="str">
        <f t="shared" si="49"/>
        <v>EC</v>
      </c>
      <c r="AH104" s="92" t="str">
        <f t="shared" si="50"/>
        <v>"%USERPROFILE%\Documents\GitHub\eaglep3\Utilities\RefineRTDCRunTimes.py" --tripid 190-15 --locoid 4032 --swversion DE.1.0.8.0 --startMP 204:232993 --initTime 2016-12-15T15:29:26 --startdatetime 2016-12-15T15:41:16 --delay 5 --endMP 204:152 --enddatetime 2016-12-15T16:21:23 --enforcementcount 0 &gt;&gt;C:\Users\stu\Documents\GitHub\eaglep3-reporting\EC\2016-12-15-refined-times.txt</v>
      </c>
      <c r="AI104" s="119" t="str">
        <f t="shared" si="51"/>
        <v>echo {"issue":{"subject":"","project_id":79,"tracker_id":40,"status_id":1,"priority_id":2,"assigned_to_id":23,"start_date":"2016-12-15","description":"","custom_fields":[{"id":1,"name":"Subdivision","value":"EC"},{"id":4,"name":"Milepost","value":"0.0152"},{"id":17,"name":"Train ID","value":"190-15"},{"id":16,"name":"Locomotive ID","value":"4032"},{"id":130,"name":"Impact","value":""},{"id":150,"name":"Time of Event (Mountain Time)","value":"16:21:23"},{"id":151,"name":"Denver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1" customFormat="1" x14ac:dyDescent="0.25">
      <c r="A105" s="37" t="s">
        <v>695</v>
      </c>
      <c r="B105" s="7">
        <v>4029</v>
      </c>
      <c r="C105" s="22" t="s">
        <v>207</v>
      </c>
      <c r="D105" s="22" t="s">
        <v>831</v>
      </c>
      <c r="E105" s="13">
        <v>42719.622245370374</v>
      </c>
      <c r="F105" s="13">
        <v>42719.625254629631</v>
      </c>
      <c r="G105" s="7">
        <v>1</v>
      </c>
      <c r="H105" s="22" t="s">
        <v>299</v>
      </c>
      <c r="I105" s="13">
        <v>42719.650601851848</v>
      </c>
      <c r="J105" s="7">
        <v>0</v>
      </c>
      <c r="K105" s="109" t="str">
        <f t="shared" si="40"/>
        <v>4029/4030</v>
      </c>
      <c r="L105" s="22" t="str">
        <f>VLOOKUP(A105,'Trips&amp;Operators'!$C$1:$G$99999,5,FALSE)</f>
        <v>MOSES BRADLEY</v>
      </c>
      <c r="M105" s="6">
        <f t="shared" si="41"/>
        <v>2.5347222217533272E-2</v>
      </c>
      <c r="N105" s="7">
        <f t="shared" si="54"/>
        <v>36.499999993247911</v>
      </c>
      <c r="O105" s="7"/>
      <c r="P105" s="7"/>
      <c r="Q105" s="23"/>
      <c r="R105" s="23"/>
      <c r="S105" s="35">
        <f t="shared" si="55"/>
        <v>1</v>
      </c>
      <c r="T105" s="50" t="str">
        <f t="shared" si="42"/>
        <v>NorthBound</v>
      </c>
      <c r="U105" s="171">
        <f>IF(AG105="EC",COUNTIFS(Variables!$M$2:$M$19,IF(T105="NorthBound","&gt;=","&lt;=")&amp;Y105,Variables!$M$2:$M$19,IF(T105="NorthBound","&lt;=","&gt;=")&amp;Z105),COUNTIFS(Variables!$P$2:$P$19,IF(T105="NorthBound","&gt;=","&lt;=")&amp;Y105,Variables!$P$2:$P$19,IF(T105="NorthBound","&lt;=","&gt;=")&amp;Z105))</f>
        <v>12</v>
      </c>
      <c r="V105" s="98" t="str">
        <f t="shared" si="43"/>
        <v>https://search-rtdc-monitor-bjffxe2xuh6vdkpspy63sjmuny.us-east-1.es.amazonaws.com/_plugin/kibana/#/discover/Steve-Slow-Train-Analysis-(2080s-and-2083s)?_g=(refreshInterval:(display:Off,section:0,value:0),time:(from:'2016-12-15 13:56:02-700',mode:absolute,to:'2016-12-15 16:36: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105" s="52" t="str">
        <f t="shared" si="44"/>
        <v>N</v>
      </c>
      <c r="X105" s="177">
        <f t="shared" si="39"/>
        <v>1</v>
      </c>
      <c r="Y105" s="67">
        <f t="shared" ref="Y105:Y136" si="56">RIGHT(D105,LEN(D105)-4)/10000</f>
        <v>4.8800000000000003E-2</v>
      </c>
      <c r="Z105" s="67">
        <f t="shared" ref="Z105:Z136" si="57">RIGHT(H105,LEN(H105)-4)/10000</f>
        <v>23.331199999999999</v>
      </c>
      <c r="AA105" s="67">
        <f t="shared" si="45"/>
        <v>23.282399999999999</v>
      </c>
      <c r="AB105" s="64" t="e">
        <f>VLOOKUP(A105,Enforcements!$C$7:$K$18,8,0)</f>
        <v>#N/A</v>
      </c>
      <c r="AC105" s="60" t="e">
        <f>VLOOKUP(A105,Enforcements!$C$7:$E$18,3,0)</f>
        <v>#N/A</v>
      </c>
      <c r="AD105" s="61" t="str">
        <f t="shared" si="46"/>
        <v>0191-15</v>
      </c>
      <c r="AE105" s="91" t="str">
        <f t="shared" si="47"/>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105" s="88" t="str">
        <f t="shared" si="48"/>
        <v>"C:\Program Files (x86)\AstroGrep\AstroGrep.exe" /spath="%USERPROFILE%\AppData\Local\Temp\OnboardLogs" /stypes="app*4029*20161215*" /stext=" 22:.+((SYSTEM_STATE.+slice.+state.+changed )|(ment ac)|(multiple cpu faults)|(system.+state.+changed )|(\[timeout)|(PRM\|1\|D)|(kpr)|(kdp)|(\|lc)|(penalty))" /e /r /s</v>
      </c>
      <c r="AG105" s="1" t="str">
        <f t="shared" si="49"/>
        <v>EC</v>
      </c>
      <c r="AH105" s="92" t="str">
        <f t="shared" si="50"/>
        <v>"%USERPROFILE%\Documents\GitHub\eaglep3\Utilities\RefineRTDCRunTimes.py" --tripid 191-15 --locoid 4029 --swversion DE.1.0.8.0 --startMP 204:488 --initTime 2016-12-15T14:56:02 --startdatetime 2016-12-15T15:00:22 --delay 1 --endMP 204:233312 --enddatetime 2016-12-15T15:36:52 --enforcementcount 0 &gt;&gt;C:\Users\stu\Documents\GitHub\eaglep3-reporting\EC\2016-12-15-refined-times.txt</v>
      </c>
      <c r="AI105" s="119" t="str">
        <f t="shared" si="51"/>
        <v>echo {"issue":{"subject":"","project_id":79,"tracker_id":40,"status_id":1,"priority_id":2,"assigned_to_id":23,"start_date":"2016-12-15","description":"","custom_fields":[{"id":1,"name":"Subdivision","value":"EC"},{"id":4,"name":"Milepost","value":"23.3312"},{"id":17,"name":"Train ID","value":"191-15"},{"id":16,"name":"Locomotive ID","value":"4029"},{"id":130,"name":"Impact","value":""},{"id":150,"name":"Time of Event (Mountain Time)","value":"15:36:52"},{"id":151,"name":"Denver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21" customFormat="1" x14ac:dyDescent="0.25">
      <c r="A106" s="37" t="s">
        <v>708</v>
      </c>
      <c r="B106" s="7">
        <v>4030</v>
      </c>
      <c r="C106" s="22" t="s">
        <v>207</v>
      </c>
      <c r="D106" s="22" t="s">
        <v>410</v>
      </c>
      <c r="E106" s="13">
        <v>42719.659143518518</v>
      </c>
      <c r="F106" s="13">
        <v>42719.6641087963</v>
      </c>
      <c r="G106" s="7">
        <v>1</v>
      </c>
      <c r="H106" s="22" t="s">
        <v>230</v>
      </c>
      <c r="I106" s="13">
        <v>42719.692037037035</v>
      </c>
      <c r="J106" s="7">
        <v>0</v>
      </c>
      <c r="K106" s="109" t="str">
        <f t="shared" si="40"/>
        <v>4029/4030</v>
      </c>
      <c r="L106" s="22" t="str">
        <f>VLOOKUP(A106,'Trips&amp;Operators'!$C$1:$G$99999,5,FALSE)</f>
        <v>MOSES BRADLEY</v>
      </c>
      <c r="M106" s="6">
        <f t="shared" si="41"/>
        <v>2.7928240735491272E-2</v>
      </c>
      <c r="N106" s="7">
        <f t="shared" si="54"/>
        <v>40.216666659107432</v>
      </c>
      <c r="O106" s="7"/>
      <c r="P106" s="7"/>
      <c r="Q106" s="23"/>
      <c r="R106" s="23"/>
      <c r="S106" s="35">
        <f t="shared" si="55"/>
        <v>1</v>
      </c>
      <c r="T106" s="50" t="str">
        <f t="shared" si="42"/>
        <v>Southbound</v>
      </c>
      <c r="U106" s="171">
        <f>IF(AG106="EC",COUNTIFS(Variables!$M$2:$M$19,IF(T106="NorthBound","&gt;=","&lt;=")&amp;Y106,Variables!$M$2:$M$19,IF(T106="NorthBound","&lt;=","&gt;=")&amp;Z106),COUNTIFS(Variables!$P$2:$P$19,IF(T106="NorthBound","&gt;=","&lt;=")&amp;Y106,Variables!$P$2:$P$19,IF(T106="NorthBound","&lt;=","&gt;=")&amp;Z106))</f>
        <v>12</v>
      </c>
      <c r="V106" s="98" t="str">
        <f t="shared" si="43"/>
        <v>https://search-rtdc-monitor-bjffxe2xuh6vdkpspy63sjmuny.us-east-1.es.amazonaws.com/_plugin/kibana/#/discover/Steve-Slow-Train-Analysis-(2080s-and-2083s)?_g=(refreshInterval:(display:Off,section:0,value:0),time:(from:'2016-12-15 14:49:10-700',mode:absolute,to:'2016-12-15 17:36:32-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106" s="52" t="str">
        <f t="shared" si="44"/>
        <v>N</v>
      </c>
      <c r="X106" s="177">
        <f t="shared" si="39"/>
        <v>1</v>
      </c>
      <c r="Y106" s="67">
        <f t="shared" si="56"/>
        <v>23.2986</v>
      </c>
      <c r="Z106" s="67">
        <f t="shared" si="57"/>
        <v>1.6500000000000001E-2</v>
      </c>
      <c r="AA106" s="67">
        <f t="shared" si="45"/>
        <v>23.2821</v>
      </c>
      <c r="AB106" s="64" t="e">
        <f>VLOOKUP(A106,Enforcements!$C$7:$K$18,8,0)</f>
        <v>#N/A</v>
      </c>
      <c r="AC106" s="60" t="e">
        <f>VLOOKUP(A106,Enforcements!$C$7:$E$18,3,0)</f>
        <v>#N/A</v>
      </c>
      <c r="AD106" s="61" t="str">
        <f t="shared" si="46"/>
        <v>0192-15</v>
      </c>
      <c r="AE106" s="91" t="str">
        <f t="shared" si="47"/>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106" s="88" t="str">
        <f t="shared" si="48"/>
        <v>"C:\Program Files (x86)\AstroGrep\AstroGrep.exe" /spath="%USERPROFILE%\AppData\Local\Temp\OnboardLogs" /stypes="app*4030*20161215*" /stext=" 23:.+((SYSTEM_STATE.+slice.+state.+changed )|(ment ac)|(multiple cpu faults)|(system.+state.+changed )|(\[timeout)|(PRM\|1\|D)|(kpr)|(kdp)|(\|lc)|(penalty))" /e /r /s</v>
      </c>
      <c r="AG106" s="1" t="str">
        <f t="shared" si="49"/>
        <v>EC</v>
      </c>
      <c r="AH106" s="92" t="str">
        <f t="shared" si="50"/>
        <v>"%USERPROFILE%\Documents\GitHub\eaglep3\Utilities\RefineRTDCRunTimes.py" --tripid 192-15 --locoid 4030 --swversion DE.1.0.8.0 --startMP 204:232986 --initTime 2016-12-15T15:49:10 --startdatetime 2016-12-15T15:56:19 --delay 1 --endMP 204:165 --enddatetime 2016-12-15T16:36:32 --enforcementcount 0 &gt;&gt;C:\Users\stu\Documents\GitHub\eaglep3-reporting\EC\2016-12-15-refined-times.txt</v>
      </c>
      <c r="AI106" s="119" t="str">
        <f t="shared" si="51"/>
        <v>echo {"issue":{"subject":"","project_id":79,"tracker_id":40,"status_id":1,"priority_id":2,"assigned_to_id":23,"start_date":"2016-12-15","description":"","custom_fields":[{"id":1,"name":"Subdivision","value":"EC"},{"id":4,"name":"Milepost","value":"0.0165"},{"id":17,"name":"Train ID","value":"192-15"},{"id":16,"name":"Locomotive ID","value":"4030"},{"id":130,"name":"Impact","value":""},{"id":150,"name":"Time of Event (Mountain Time)","value":"16:36:32"},{"id":151,"name":"Denver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21" customFormat="1" x14ac:dyDescent="0.25">
      <c r="A107" s="37" t="s">
        <v>698</v>
      </c>
      <c r="B107" s="7">
        <v>4020</v>
      </c>
      <c r="C107" s="22" t="s">
        <v>207</v>
      </c>
      <c r="D107" s="22" t="s">
        <v>405</v>
      </c>
      <c r="E107" s="13">
        <v>42719.629780092589</v>
      </c>
      <c r="F107" s="13">
        <v>42719.63559027778</v>
      </c>
      <c r="G107" s="7">
        <v>1</v>
      </c>
      <c r="H107" s="22" t="s">
        <v>832</v>
      </c>
      <c r="I107" s="13">
        <v>42719.659918981481</v>
      </c>
      <c r="J107" s="7">
        <v>0</v>
      </c>
      <c r="K107" s="109" t="str">
        <f t="shared" si="40"/>
        <v>4019/4020</v>
      </c>
      <c r="L107" s="22" t="str">
        <f>VLOOKUP(A107,'Trips&amp;Operators'!$C$1:$G$99999,5,FALSE)</f>
        <v>MAGEE KENYA</v>
      </c>
      <c r="M107" s="6">
        <f t="shared" si="41"/>
        <v>2.4328703701030463E-2</v>
      </c>
      <c r="N107" s="7">
        <f t="shared" si="54"/>
        <v>35.033333329483867</v>
      </c>
      <c r="O107" s="7"/>
      <c r="P107" s="7"/>
      <c r="Q107" s="23"/>
      <c r="R107" s="23"/>
      <c r="S107" s="35">
        <f t="shared" si="55"/>
        <v>1</v>
      </c>
      <c r="T107" s="50" t="str">
        <f t="shared" si="42"/>
        <v>NorthBound</v>
      </c>
      <c r="U107" s="171">
        <f>IF(AG107="EC",COUNTIFS(Variables!$M$2:$M$19,IF(T107="NorthBound","&gt;=","&lt;=")&amp;Y107,Variables!$M$2:$M$19,IF(T107="NorthBound","&lt;=","&gt;=")&amp;Z107),COUNTIFS(Variables!$P$2:$P$19,IF(T107="NorthBound","&gt;=","&lt;=")&amp;Y107,Variables!$P$2:$P$19,IF(T107="NorthBound","&lt;=","&gt;=")&amp;Z107))</f>
        <v>12</v>
      </c>
      <c r="V107" s="98" t="str">
        <f t="shared" si="43"/>
        <v>https://search-rtdc-monitor-bjffxe2xuh6vdkpspy63sjmuny.us-east-1.es.amazonaws.com/_plugin/kibana/#/discover/Steve-Slow-Train-Analysis-(2080s-and-2083s)?_g=(refreshInterval:(display:Off,section:0,value:0),time:(from:'2016-12-15 14:06:53-700',mode:absolute,to:'2016-12-15 16:50:17-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107" s="52" t="str">
        <f t="shared" si="44"/>
        <v>N</v>
      </c>
      <c r="X107" s="177">
        <f t="shared" ref="X107:X138" si="58">VALUE(LEFT(AD107,4))-VALUE(LEFT(AD106,4))</f>
        <v>1</v>
      </c>
      <c r="Y107" s="67">
        <f t="shared" si="56"/>
        <v>4.5699999999999998E-2</v>
      </c>
      <c r="Z107" s="67">
        <f t="shared" si="57"/>
        <v>23.331</v>
      </c>
      <c r="AA107" s="67">
        <f t="shared" si="45"/>
        <v>23.285299999999999</v>
      </c>
      <c r="AB107" s="64" t="e">
        <f>VLOOKUP(A107,Enforcements!$C$7:$K$18,8,0)</f>
        <v>#N/A</v>
      </c>
      <c r="AC107" s="60" t="e">
        <f>VLOOKUP(A107,Enforcements!$C$7:$E$18,3,0)</f>
        <v>#N/A</v>
      </c>
      <c r="AD107" s="61" t="str">
        <f t="shared" si="46"/>
        <v>0193-15</v>
      </c>
      <c r="AE107" s="91" t="str">
        <f t="shared" si="47"/>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AF107" s="88" t="str">
        <f t="shared" si="48"/>
        <v>"C:\Program Files (x86)\AstroGrep\AstroGrep.exe" /spath="%USERPROFILE%\AppData\Local\Temp\OnboardLogs" /stypes="app*4020*20161215*" /stext=" 22:.+((SYSTEM_STATE.+slice.+state.+changed )|(ment ac)|(multiple cpu faults)|(system.+state.+changed )|(\[timeout)|(PRM\|1\|D)|(kpr)|(kdp)|(\|lc)|(penalty))" /e /r /s</v>
      </c>
      <c r="AG107" s="1" t="str">
        <f t="shared" si="49"/>
        <v>EC</v>
      </c>
      <c r="AH107" s="92" t="str">
        <f t="shared" si="50"/>
        <v>"%USERPROFILE%\Documents\GitHub\eaglep3\Utilities\RefineRTDCRunTimes.py" --tripid 193-15 --locoid 4020 --swversion DE.1.0.8.0 --startMP 204:457 --initTime 2016-12-15T15:06:53 --startdatetime 2016-12-15T15:15:15 --delay 1 --endMP 204:233310 --enddatetime 2016-12-15T15:50:17 --enforcementcount 0 &gt;&gt;C:\Users\stu\Documents\GitHub\eaglep3-reporting\EC\2016-12-15-refined-times.txt</v>
      </c>
      <c r="AI107" s="119" t="str">
        <f t="shared" si="51"/>
        <v>echo {"issue":{"subject":"","project_id":79,"tracker_id":40,"status_id":1,"priority_id":2,"assigned_to_id":23,"start_date":"2016-12-15","description":"","custom_fields":[{"id":1,"name":"Subdivision","value":"EC"},{"id":4,"name":"Milepost","value":"23.331"},{"id":17,"name":"Train ID","value":"193-15"},{"id":16,"name":"Locomotive ID","value":"4020"},{"id":130,"name":"Impact","value":""},{"id":150,"name":"Time of Event (Mountain Time)","value":"15:50:17"},{"id":151,"name":"Denver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x14ac:dyDescent="0.25">
      <c r="A108" s="37" t="s">
        <v>709</v>
      </c>
      <c r="B108" s="7">
        <v>4019</v>
      </c>
      <c r="C108" s="22" t="s">
        <v>207</v>
      </c>
      <c r="D108" s="22" t="s">
        <v>409</v>
      </c>
      <c r="E108" s="13">
        <v>42719.661226851851</v>
      </c>
      <c r="F108" s="13">
        <v>42719.674456018518</v>
      </c>
      <c r="G108" s="7">
        <v>0</v>
      </c>
      <c r="H108" s="22" t="s">
        <v>280</v>
      </c>
      <c r="I108" s="13">
        <v>42719.702488425923</v>
      </c>
      <c r="J108" s="7">
        <v>0</v>
      </c>
      <c r="K108" s="109" t="str">
        <f t="shared" si="40"/>
        <v>4019/4020</v>
      </c>
      <c r="L108" s="22" t="str">
        <f>VLOOKUP(A108,'Trips&amp;Operators'!$C$1:$G$99999,5,FALSE)</f>
        <v>MAGEE KENYA</v>
      </c>
      <c r="M108" s="6">
        <f t="shared" si="41"/>
        <v>2.8032407404680271E-2</v>
      </c>
      <c r="N108" s="7">
        <f t="shared" si="54"/>
        <v>40.36666666273959</v>
      </c>
      <c r="O108" s="7"/>
      <c r="P108" s="7"/>
      <c r="Q108" s="23"/>
      <c r="R108" s="23"/>
      <c r="S108" s="35">
        <f t="shared" si="55"/>
        <v>1</v>
      </c>
      <c r="T108" s="50" t="str">
        <f t="shared" si="42"/>
        <v>Southbound</v>
      </c>
      <c r="U108" s="171">
        <f>IF(AG108="EC",COUNTIFS(Variables!$M$2:$M$19,IF(T108="NorthBound","&gt;=","&lt;=")&amp;Y108,Variables!$M$2:$M$19,IF(T108="NorthBound","&lt;=","&gt;=")&amp;Z108),COUNTIFS(Variables!$P$2:$P$19,IF(T108="NorthBound","&gt;=","&lt;=")&amp;Y108,Variables!$P$2:$P$19,IF(T108="NorthBound","&lt;=","&gt;=")&amp;Z108))</f>
        <v>12</v>
      </c>
      <c r="V108" s="98" t="str">
        <f t="shared" si="43"/>
        <v>https://search-rtdc-monitor-bjffxe2xuh6vdkpspy63sjmuny.us-east-1.es.amazonaws.com/_plugin/kibana/#/discover/Steve-Slow-Train-Analysis-(2080s-and-2083s)?_g=(refreshInterval:(display:Off,section:0,value:0),time:(from:'2016-12-15 14:52:10-700',mode:absolute,to:'2016-12-15 17:51:35-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108" s="52" t="str">
        <f t="shared" si="44"/>
        <v>N</v>
      </c>
      <c r="X108" s="177">
        <f t="shared" si="58"/>
        <v>1</v>
      </c>
      <c r="Y108" s="67">
        <f t="shared" si="56"/>
        <v>23.3</v>
      </c>
      <c r="Z108" s="67">
        <f t="shared" si="57"/>
        <v>1.47E-2</v>
      </c>
      <c r="AA108" s="67">
        <f t="shared" si="45"/>
        <v>23.285299999999999</v>
      </c>
      <c r="AB108" s="64" t="e">
        <f>VLOOKUP(A108,Enforcements!$C$7:$K$18,8,0)</f>
        <v>#N/A</v>
      </c>
      <c r="AC108" s="60" t="e">
        <f>VLOOKUP(A108,Enforcements!$C$7:$E$18,3,0)</f>
        <v>#N/A</v>
      </c>
      <c r="AD108" s="61" t="str">
        <f t="shared" si="46"/>
        <v>0194-15</v>
      </c>
      <c r="AE108" s="91" t="str">
        <f t="shared" si="47"/>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108" s="88" t="str">
        <f t="shared" si="48"/>
        <v>"C:\Program Files (x86)\AstroGrep\AstroGrep.exe" /spath="%USERPROFILE%\AppData\Local\Temp\OnboardLogs" /stypes="app*4019*20161215*" /stext=" 23:.+((SYSTEM_STATE.+slice.+state.+changed )|(ment ac)|(multiple cpu faults)|(system.+state.+changed )|(\[timeout)|(PRM\|1\|D)|(kpr)|(kdp)|(\|lc)|(penalty))" /e /r /s</v>
      </c>
      <c r="AG108" s="1" t="str">
        <f t="shared" si="49"/>
        <v>EC</v>
      </c>
      <c r="AH108" s="92" t="str">
        <f t="shared" si="50"/>
        <v>"%USERPROFILE%\Documents\GitHub\eaglep3\Utilities\RefineRTDCRunTimes.py" --tripid 194-15 --locoid 4019 --swversion DE.1.0.8.0 --startMP 204:233000 --initTime 2016-12-15T15:52:10 --startdatetime 2016-12-15T16:11:13 --delay 0 --endMP 204:147 --enddatetime 2016-12-15T16:51:35 --enforcementcount 0 &gt;&gt;C:\Users\stu\Documents\GitHub\eaglep3-reporting\EC\2016-12-15-refined-times.txt</v>
      </c>
      <c r="AI108" s="119" t="str">
        <f t="shared" si="51"/>
        <v>echo {"issue":{"subject":"","project_id":79,"tracker_id":40,"status_id":1,"priority_id":2,"assigned_to_id":23,"start_date":"2016-12-15","description":"","custom_fields":[{"id":1,"name":"Subdivision","value":"EC"},{"id":4,"name":"Milepost","value":"0.0147"},{"id":17,"name":"Train ID","value":"194-15"},{"id":16,"name":"Locomotive ID","value":"4019"},{"id":130,"name":"Impact","value":""},{"id":150,"name":"Time of Event (Mountain Time)","value":"16:51:35"},{"id":151,"name":"Denver Issue ID","value":""},{"id":178,"name":"Operational Impact","value":"Yes"},{"id":179,"name":"Denver Segment Assigned","value":""}]}} | curl -X POST -H "Content-Type: application/json" -H "X-Redmine-API-Key: d6333d4a04012a730768444271f8ca06482dae87" https://secure.xorail.net/redmine/issues.json --data @-</v>
      </c>
      <c r="AJ108" s="53"/>
      <c r="AK108" s="53"/>
      <c r="AL108" s="53"/>
    </row>
    <row r="109" spans="1:91" s="21" customFormat="1" x14ac:dyDescent="0.25">
      <c r="A109" s="37" t="s">
        <v>701</v>
      </c>
      <c r="B109" s="7">
        <v>4003</v>
      </c>
      <c r="C109" s="22" t="s">
        <v>207</v>
      </c>
      <c r="D109" s="22" t="s">
        <v>231</v>
      </c>
      <c r="E109" s="13">
        <v>42719.644131944442</v>
      </c>
      <c r="F109" s="13">
        <v>42719.646111111113</v>
      </c>
      <c r="G109" s="7">
        <v>1</v>
      </c>
      <c r="H109" s="22" t="s">
        <v>288</v>
      </c>
      <c r="I109" s="13">
        <v>42719.671087962961</v>
      </c>
      <c r="J109" s="7">
        <v>0</v>
      </c>
      <c r="K109" s="109" t="str">
        <f t="shared" ref="K109:K140" si="59">IF(ISEVEN(B109),(B109-1)&amp;"/"&amp;B109,B109&amp;"/"&amp;(B109+1))</f>
        <v>4003/4004</v>
      </c>
      <c r="L109" s="22" t="str">
        <f>VLOOKUP(A109,'Trips&amp;Operators'!$C$1:$G$99999,5,FALSE)</f>
        <v>CRAYTON QUNTRELL</v>
      </c>
      <c r="M109" s="6">
        <f t="shared" ref="M109:M140" si="60">I109-F109</f>
        <v>2.4976851847895887E-2</v>
      </c>
      <c r="N109" s="7">
        <f t="shared" si="54"/>
        <v>35.966666660970077</v>
      </c>
      <c r="O109" s="7"/>
      <c r="P109" s="7"/>
      <c r="Q109" s="23"/>
      <c r="R109" s="23"/>
      <c r="S109" s="35">
        <f t="shared" si="55"/>
        <v>1</v>
      </c>
      <c r="T109" s="50" t="str">
        <f t="shared" ref="T109:T140" si="61">IF(ISEVEN(LEFT(AD109,4)),"Southbound","NorthBound")</f>
        <v>NorthBound</v>
      </c>
      <c r="U109" s="171">
        <f>IF(AG109="EC",COUNTIFS(Variables!$M$2:$M$19,IF(T109="NorthBound","&gt;=","&lt;=")&amp;Y109,Variables!$M$2:$M$19,IF(T109="NorthBound","&lt;=","&gt;=")&amp;Z109),COUNTIFS(Variables!$P$2:$P$19,IF(T109="NorthBound","&gt;=","&lt;=")&amp;Y109,Variables!$P$2:$P$19,IF(T109="NorthBound","&lt;=","&gt;=")&amp;Z109))</f>
        <v>12</v>
      </c>
      <c r="V109" s="98" t="str">
        <f t="shared" si="43"/>
        <v>https://search-rtdc-monitor-bjffxe2xuh6vdkpspy63sjmuny.us-east-1.es.amazonaws.com/_plugin/kibana/#/discover/Steve-Slow-Train-Analysis-(2080s-and-2083s)?_g=(refreshInterval:(display:Off,section:0,value:0),time:(from:'2016-12-15 14:27:33-700',mode:absolute,to:'2016-12-15 17:06: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109" s="52" t="str">
        <f t="shared" ref="W109:W140" si="62">IF(AA109&lt;IF(AG109="EC",23,5.65),"Y","N")</f>
        <v>N</v>
      </c>
      <c r="X109" s="177">
        <f t="shared" si="58"/>
        <v>1</v>
      </c>
      <c r="Y109" s="67">
        <f t="shared" si="56"/>
        <v>4.5499999999999999E-2</v>
      </c>
      <c r="Z109" s="67">
        <f t="shared" si="57"/>
        <v>23.330300000000001</v>
      </c>
      <c r="AA109" s="67">
        <f t="shared" ref="AA109:AA140" si="63">ABS(Z109-Y109)</f>
        <v>23.284800000000001</v>
      </c>
      <c r="AB109" s="64" t="e">
        <f>VLOOKUP(A109,Enforcements!$C$7:$K$18,8,0)</f>
        <v>#N/A</v>
      </c>
      <c r="AC109" s="60" t="e">
        <f>VLOOKUP(A109,Enforcements!$C$7:$E$18,3,0)</f>
        <v>#N/A</v>
      </c>
      <c r="AD109" s="61" t="str">
        <f t="shared" ref="AD109:AD140" si="64">IF(LEN(A109)=6,"0"&amp;A109,A109)</f>
        <v>0195-15</v>
      </c>
      <c r="AE109" s="91" t="str">
        <f t="shared" si="47"/>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109" s="88" t="str">
        <f t="shared" si="48"/>
        <v>"C:\Program Files (x86)\AstroGrep\AstroGrep.exe" /spath="%USERPROFILE%\AppData\Local\Temp\OnboardLogs" /stypes="app*4003*20161215*" /stext=" 23:.+((SYSTEM_STATE.+slice.+state.+changed )|(ment ac)|(multiple cpu faults)|(system.+state.+changed )|(\[timeout)|(PRM\|1\|D)|(kpr)|(kdp)|(\|lc)|(penalty))" /e /r /s</v>
      </c>
      <c r="AG109" s="1" t="str">
        <f t="shared" ref="AG109:AG140" si="65">IFERROR(IF(VALUE(LEFT(AD109,2))&lt;=2,"EC",IF(OR(VALUE(LEFT(AD109,2))=8,VALUE(LEFT(AD109,2))=18),"NW","Other")),"Other")</f>
        <v>EC</v>
      </c>
      <c r="AH109" s="92" t="str">
        <f t="shared" si="50"/>
        <v>"%USERPROFILE%\Documents\GitHub\eaglep3\Utilities\RefineRTDCRunTimes.py" --tripid 195-15 --locoid 4003 --swversion DE.1.0.8.0 --startMP 204:455 --initTime 2016-12-15T15:27:33 --startdatetime 2016-12-15T15:30:24 --delay 1 --endMP 204:233303 --enddatetime 2016-12-15T16:06:22 --enforcementcount 0 &gt;&gt;C:\Users\stu\Documents\GitHub\eaglep3-reporting\EC\2016-12-15-refined-times.txt</v>
      </c>
      <c r="AI109" s="119" t="str">
        <f t="shared" si="51"/>
        <v>echo {"issue":{"subject":"","project_id":79,"tracker_id":40,"status_id":1,"priority_id":2,"assigned_to_id":23,"start_date":"2016-12-15","description":"","custom_fields":[{"id":1,"name":"Subdivision","value":"EC"},{"id":4,"name":"Milepost","value":"23.3303"},{"id":17,"name":"Train ID","value":"195-15"},{"id":16,"name":"Locomotive ID","value":"4003"},{"id":130,"name":"Impact","value":""},{"id":150,"name":"Time of Event (Mountain Time)","value":"16:06:22"},{"id":151,"name":"Denver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s="21" customFormat="1" x14ac:dyDescent="0.25">
      <c r="A110" s="37" t="s">
        <v>711</v>
      </c>
      <c r="B110" s="7">
        <v>4004</v>
      </c>
      <c r="C110" s="22" t="s">
        <v>207</v>
      </c>
      <c r="D110" s="22" t="s">
        <v>409</v>
      </c>
      <c r="E110" s="13">
        <v>42719.674560185187</v>
      </c>
      <c r="F110" s="13">
        <v>42719.684953703705</v>
      </c>
      <c r="G110" s="7">
        <v>1</v>
      </c>
      <c r="H110" s="22" t="s">
        <v>280</v>
      </c>
      <c r="I110" s="13">
        <v>42719.712673611109</v>
      </c>
      <c r="J110" s="7">
        <v>0</v>
      </c>
      <c r="K110" s="109" t="str">
        <f t="shared" si="59"/>
        <v>4003/4004</v>
      </c>
      <c r="L110" s="22" t="str">
        <f>VLOOKUP(A110,'Trips&amp;Operators'!$C$1:$G$99999,5,FALSE)</f>
        <v>CRAYTON QUNTRELL</v>
      </c>
      <c r="M110" s="6">
        <f t="shared" si="60"/>
        <v>2.7719907404389232E-2</v>
      </c>
      <c r="N110" s="7">
        <f t="shared" si="54"/>
        <v>39.916666662320495</v>
      </c>
      <c r="O110" s="7"/>
      <c r="P110" s="7"/>
      <c r="Q110" s="23"/>
      <c r="R110" s="23"/>
      <c r="S110" s="35">
        <f t="shared" si="55"/>
        <v>1</v>
      </c>
      <c r="T110" s="50" t="str">
        <f t="shared" si="61"/>
        <v>Southbound</v>
      </c>
      <c r="U110" s="171">
        <f>IF(AG110="EC",COUNTIFS(Variables!$M$2:$M$19,IF(T110="NorthBound","&gt;=","&lt;=")&amp;Y110,Variables!$M$2:$M$19,IF(T110="NorthBound","&lt;=","&gt;=")&amp;Z110),COUNTIFS(Variables!$P$2:$P$19,IF(T110="NorthBound","&gt;=","&lt;=")&amp;Y110,Variables!$P$2:$P$19,IF(T110="NorthBound","&lt;=","&gt;=")&amp;Z110))</f>
        <v>12</v>
      </c>
      <c r="V110" s="98" t="str">
        <f t="shared" si="43"/>
        <v>https://search-rtdc-monitor-bjffxe2xuh6vdkpspy63sjmuny.us-east-1.es.amazonaws.com/_plugin/kibana/#/discover/Steve-Slow-Train-Analysis-(2080s-and-2083s)?_g=(refreshInterval:(display:Off,section:0,value:0),time:(from:'2016-12-15 15:11:22-700',mode:absolute,to:'2016-12-15 18:06:15-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110" s="52" t="str">
        <f t="shared" si="62"/>
        <v>N</v>
      </c>
      <c r="X110" s="177">
        <f t="shared" si="58"/>
        <v>1</v>
      </c>
      <c r="Y110" s="67">
        <f t="shared" si="56"/>
        <v>23.3</v>
      </c>
      <c r="Z110" s="67">
        <f t="shared" si="57"/>
        <v>1.47E-2</v>
      </c>
      <c r="AA110" s="67">
        <f t="shared" si="63"/>
        <v>23.285299999999999</v>
      </c>
      <c r="AB110" s="64" t="e">
        <f>VLOOKUP(A110,Enforcements!$C$7:$K$18,8,0)</f>
        <v>#N/A</v>
      </c>
      <c r="AC110" s="60" t="e">
        <f>VLOOKUP(A110,Enforcements!$C$7:$E$18,3,0)</f>
        <v>#N/A</v>
      </c>
      <c r="AD110" s="61" t="str">
        <f t="shared" si="64"/>
        <v>0196-15</v>
      </c>
      <c r="AE110" s="91" t="str">
        <f t="shared" si="47"/>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110" s="88" t="str">
        <f t="shared" si="48"/>
        <v>"C:\Program Files (x86)\AstroGrep\AstroGrep.exe" /spath="%USERPROFILE%\AppData\Local\Temp\OnboardLogs" /stypes="app*4004*20161216*" /stext=" 00:.+((SYSTEM_STATE.+slice.+state.+changed )|(ment ac)|(multiple cpu faults)|(system.+state.+changed )|(\[timeout)|(PRM\|1\|D)|(kpr)|(kdp)|(\|lc)|(penalty))" /e /r /s</v>
      </c>
      <c r="AG110" s="1" t="str">
        <f t="shared" si="65"/>
        <v>EC</v>
      </c>
      <c r="AH110" s="92" t="str">
        <f t="shared" si="50"/>
        <v>"%USERPROFILE%\Documents\GitHub\eaglep3\Utilities\RefineRTDCRunTimes.py" --tripid 196-15 --locoid 4004 --swversion DE.1.0.8.0 --startMP 204:233000 --initTime 2016-12-15T16:11:22 --startdatetime 2016-12-15T16:26:20 --delay 1 --endMP 204:147 --enddatetime 2016-12-15T17:06:15 --enforcementcount 0 &gt;&gt;C:\Users\stu\Documents\GitHub\eaglep3-reporting\EC\2016-12-15-refined-times.txt</v>
      </c>
      <c r="AI110" s="119" t="str">
        <f t="shared" si="51"/>
        <v>echo {"issue":{"subject":"","project_id":79,"tracker_id":40,"status_id":1,"priority_id":2,"assigned_to_id":23,"start_date":"2016-12-15","description":"","custom_fields":[{"id":1,"name":"Subdivision","value":"EC"},{"id":4,"name":"Milepost","value":"0.0147"},{"id":17,"name":"Train ID","value":"196-15"},{"id":16,"name":"Locomotive ID","value":"4004"},{"id":130,"name":"Impact","value":""},{"id":150,"name":"Time of Event (Mountain Time)","value":"17:06:15"},{"id":151,"name":"Denver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21" customFormat="1" x14ac:dyDescent="0.25">
      <c r="A111" s="37" t="s">
        <v>707</v>
      </c>
      <c r="B111" s="7">
        <v>4018</v>
      </c>
      <c r="C111" s="22" t="s">
        <v>207</v>
      </c>
      <c r="D111" s="22" t="s">
        <v>833</v>
      </c>
      <c r="E111" s="13">
        <v>42719.680150462962</v>
      </c>
      <c r="F111" s="13">
        <v>42719.68109953704</v>
      </c>
      <c r="G111" s="7">
        <v>1</v>
      </c>
      <c r="H111" s="22" t="s">
        <v>417</v>
      </c>
      <c r="I111" s="13">
        <v>42719.690891203703</v>
      </c>
      <c r="J111" s="7">
        <v>0</v>
      </c>
      <c r="K111" s="109" t="str">
        <f t="shared" si="59"/>
        <v>4017/4018</v>
      </c>
      <c r="L111" s="22" t="str">
        <f>VLOOKUP(A111,'Trips&amp;Operators'!$C$1:$G$99999,5,FALSE)</f>
        <v>ADANE ELSHADAY</v>
      </c>
      <c r="M111" s="6">
        <f t="shared" si="60"/>
        <v>9.7916666636592709E-3</v>
      </c>
      <c r="N111" s="7"/>
      <c r="O111" s="7"/>
      <c r="P111" s="7">
        <f>24*60*SUM($M111:$M112)</f>
        <v>42.066666661994532</v>
      </c>
      <c r="Q111" s="23"/>
      <c r="R111" s="23" t="s">
        <v>967</v>
      </c>
      <c r="S111" s="35">
        <f>SUM(U111:U112)/IF(AG111="EC",12,1)</f>
        <v>1</v>
      </c>
      <c r="T111" s="50" t="str">
        <f t="shared" si="61"/>
        <v>NorthBound</v>
      </c>
      <c r="U111" s="171">
        <f>IF(AG111="EC",COUNTIFS(Variables!$M$2:$M$19,IF(T111="NorthBound","&gt;=","&lt;=")&amp;Y111,Variables!$M$2:$M$19,IF(T111="NorthBound","&lt;=","&gt;=")&amp;Z111),COUNTIFS(Variables!$P$2:$P$19,IF(T111="NorthBound","&gt;=","&lt;=")&amp;Y111,Variables!$P$2:$P$19,IF(T111="NorthBound","&lt;=","&gt;=")&amp;Z111))</f>
        <v>0</v>
      </c>
      <c r="V111" s="98" t="str">
        <f t="shared" si="43"/>
        <v>https://search-rtdc-monitor-bjffxe2xuh6vdkpspy63sjmuny.us-east-1.es.amazonaws.com/_plugin/kibana/#/discover/Steve-Slow-Train-Analysis-(2080s-and-2083s)?_g=(refreshInterval:(display:Off,section:0,value:0),time:(from:'2016-12-15 15:19:25-700',mode:absolute,to:'2016-12-15 17:34:53-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1" s="52" t="str">
        <f t="shared" si="62"/>
        <v>Y</v>
      </c>
      <c r="X111" s="177">
        <f t="shared" si="58"/>
        <v>1</v>
      </c>
      <c r="Y111" s="67">
        <f t="shared" si="56"/>
        <v>15.435600000000001</v>
      </c>
      <c r="Z111" s="67">
        <f t="shared" si="57"/>
        <v>23.3306</v>
      </c>
      <c r="AA111" s="67">
        <f t="shared" si="63"/>
        <v>7.8949999999999996</v>
      </c>
      <c r="AB111" s="64" t="e">
        <f>VLOOKUP(A111,Enforcements!$C$7:$K$18,8,0)</f>
        <v>#N/A</v>
      </c>
      <c r="AC111" s="60" t="e">
        <f>VLOOKUP(A111,Enforcements!$C$7:$E$18,3,0)</f>
        <v>#N/A</v>
      </c>
      <c r="AD111" s="61" t="str">
        <f t="shared" si="64"/>
        <v>0197-15</v>
      </c>
      <c r="AE111" s="91" t="str">
        <f t="shared" si="47"/>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111" s="88" t="str">
        <f t="shared" si="48"/>
        <v>"C:\Program Files (x86)\AstroGrep\AstroGrep.exe" /spath="%USERPROFILE%\AppData\Local\Temp\OnboardLogs" /stypes="app*4018*20161215*" /stext=" 23:.+((SYSTEM_STATE.+slice.+state.+changed )|(ment ac)|(multiple cpu faults)|(system.+state.+changed )|(\[timeout)|(PRM\|1\|D)|(kpr)|(kdp)|(\|lc)|(penalty))" /e /r /s</v>
      </c>
      <c r="AG111" s="1" t="str">
        <f t="shared" si="65"/>
        <v>EC</v>
      </c>
      <c r="AH111" s="92" t="str">
        <f t="shared" si="50"/>
        <v>"%USERPROFILE%\Documents\GitHub\eaglep3\Utilities\RefineRTDCRunTimes.py" --tripid 197-15 --locoid 4018 --swversion DE.1.0.8.0 --startMP 204:154356 --initTime 2016-12-15T16:19:25 --startdatetime 2016-12-15T16:20:47 --delay 1 --endMP 204:233306 --enddatetime 2016-12-15T16:34:53 --enforcementcount 0 &gt;&gt;C:\Users\stu\Documents\GitHub\eaglep3-reporting\EC\2016-12-15-refined-times.txt</v>
      </c>
      <c r="AI111" s="119" t="str">
        <f t="shared" si="51"/>
        <v>echo {"issue":{"subject":"Braking without banner @ 16:10, then overshot platform","project_id":79,"tracker_id":40,"status_id":1,"priority_id":2,"assigned_to_id":23,"start_date":"2016-12-15","description":"","custom_fields":[{"id":1,"name":"Subdivision","value":"EC"},{"id":4,"name":"Milepost","value":"23.3306"},{"id":17,"name":"Train ID","value":"197-15"},{"id":16,"name":"Locomotive ID","value":"4018"},{"id":130,"name":"Impact","value":""},{"id":150,"name":"Time of Event (Mountain Time)","value":"16:34:53"},{"id":151,"name":"Denver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707</v>
      </c>
      <c r="B112" s="7">
        <v>4018</v>
      </c>
      <c r="C112" s="22" t="s">
        <v>207</v>
      </c>
      <c r="D112" s="22" t="s">
        <v>231</v>
      </c>
      <c r="E112" s="13">
        <v>42719.655810185184</v>
      </c>
      <c r="F112" s="13">
        <v>42719.656655092593</v>
      </c>
      <c r="G112" s="7">
        <v>1</v>
      </c>
      <c r="H112" s="22" t="s">
        <v>834</v>
      </c>
      <c r="I112" s="13">
        <v>42719.676076388889</v>
      </c>
      <c r="J112" s="7">
        <v>0</v>
      </c>
      <c r="K112" s="109" t="str">
        <f t="shared" si="59"/>
        <v>4017/4018</v>
      </c>
      <c r="L112" s="22" t="str">
        <f>VLOOKUP(A112,'Trips&amp;Operators'!$C$1:$G$99999,5,FALSE)</f>
        <v>ADANE ELSHADAY</v>
      </c>
      <c r="M112" s="6">
        <f t="shared" si="60"/>
        <v>1.9421296296059154E-2</v>
      </c>
      <c r="N112" s="7"/>
      <c r="O112" s="7"/>
      <c r="P112" s="7"/>
      <c r="Q112" s="23"/>
      <c r="R112" s="23"/>
      <c r="S112" s="35"/>
      <c r="T112" s="50" t="str">
        <f t="shared" si="61"/>
        <v>NorthBound</v>
      </c>
      <c r="U112" s="171">
        <f>IF(AG112="EC",COUNTIFS(Variables!$M$2:$M$19,IF(T112="NorthBound","&gt;=","&lt;=")&amp;Y112,Variables!$M$2:$M$19,IF(T112="NorthBound","&lt;=","&gt;=")&amp;Z112),COUNTIFS(Variables!$P$2:$P$19,IF(T112="NorthBound","&gt;=","&lt;=")&amp;Y112,Variables!$P$2:$P$19,IF(T112="NorthBound","&lt;=","&gt;=")&amp;Z112))</f>
        <v>12</v>
      </c>
      <c r="V112" s="98" t="str">
        <f t="shared" si="43"/>
        <v>https://search-rtdc-monitor-bjffxe2xuh6vdkpspy63sjmuny.us-east-1.es.amazonaws.com/_plugin/kibana/#/discover/Steve-Slow-Train-Analysis-(2080s-and-2083s)?_g=(refreshInterval:(display:Off,section:0,value:0),time:(from:'2016-12-15 14:44:22-700',mode:absolute,to:'2016-12-15 17:13:33-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2" s="52" t="str">
        <f t="shared" si="62"/>
        <v>Y</v>
      </c>
      <c r="X112" s="177">
        <f t="shared" si="58"/>
        <v>0</v>
      </c>
      <c r="Y112" s="67">
        <f t="shared" si="56"/>
        <v>4.5499999999999999E-2</v>
      </c>
      <c r="Z112" s="67">
        <f t="shared" si="57"/>
        <v>15.497999999999999</v>
      </c>
      <c r="AA112" s="67">
        <f t="shared" si="63"/>
        <v>15.452499999999999</v>
      </c>
      <c r="AB112" s="64" t="e">
        <f>VLOOKUP(A112,Enforcements!$C$7:$K$18,8,0)</f>
        <v>#N/A</v>
      </c>
      <c r="AC112" s="60" t="e">
        <f>VLOOKUP(A112,Enforcements!$C$7:$E$18,3,0)</f>
        <v>#N/A</v>
      </c>
      <c r="AD112" s="61" t="str">
        <f t="shared" si="64"/>
        <v>0197-15</v>
      </c>
      <c r="AE112" s="91" t="str">
        <f t="shared" si="47"/>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112" s="88" t="str">
        <f t="shared" si="48"/>
        <v>"C:\Program Files (x86)\AstroGrep\AstroGrep.exe" /spath="%USERPROFILE%\AppData\Local\Temp\OnboardLogs" /stypes="app*4018*20161215*" /stext=" 23:.+((SYSTEM_STATE.+slice.+state.+changed )|(ment ac)|(multiple cpu faults)|(system.+state.+changed )|(\[timeout)|(PRM\|1\|D)|(kpr)|(kdp)|(\|lc)|(penalty))" /e /r /s</v>
      </c>
      <c r="AG112" s="1" t="str">
        <f t="shared" si="65"/>
        <v>EC</v>
      </c>
      <c r="AH112" s="92" t="str">
        <f t="shared" si="50"/>
        <v>"%USERPROFILE%\Documents\GitHub\eaglep3\Utilities\RefineRTDCRunTimes.py" --tripid 197-15 --locoid 4018 --swversion DE.1.0.8.0 --startMP 204:455 --initTime 2016-12-15T15:44:22 --startdatetime 2016-12-15T15:45:35 --delay 1 --endMP 204:154980 --enddatetime 2016-12-15T16:13:33 --enforcementcount 0 &gt;&gt;C:\Users\stu\Documents\GitHub\eaglep3-reporting\EC\2016-12-15-refined-times.txt</v>
      </c>
      <c r="AI112" s="119" t="str">
        <f t="shared" si="51"/>
        <v>echo {"issue":{"subject":"","project_id":79,"tracker_id":40,"status_id":1,"priority_id":2,"assigned_to_id":23,"start_date":"2016-12-15","description":"","custom_fields":[{"id":1,"name":"Subdivision","value":"EC"},{"id":4,"name":"Milepost","value":"15.498"},{"id":17,"name":"Train ID","value":"197-15"},{"id":16,"name":"Locomotive ID","value":"4018"},{"id":130,"name":"Impact","value":""},{"id":150,"name":"Time of Event (Mountain Time)","value":"16:13:33"},{"id":151,"name":"Denver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715</v>
      </c>
      <c r="B113" s="7">
        <v>4017</v>
      </c>
      <c r="C113" s="22" t="s">
        <v>207</v>
      </c>
      <c r="D113" s="22" t="s">
        <v>788</v>
      </c>
      <c r="E113" s="13">
        <v>42719.692037037035</v>
      </c>
      <c r="F113" s="13">
        <v>42719.696805555555</v>
      </c>
      <c r="G113" s="7">
        <v>1</v>
      </c>
      <c r="H113" s="22" t="s">
        <v>239</v>
      </c>
      <c r="I113" s="13">
        <v>42719.723055555558</v>
      </c>
      <c r="J113" s="7">
        <v>0</v>
      </c>
      <c r="K113" s="109" t="str">
        <f t="shared" si="59"/>
        <v>4017/4018</v>
      </c>
      <c r="L113" s="22" t="str">
        <f>VLOOKUP(A113,'Trips&amp;Operators'!$C$1:$G$99999,5,FALSE)</f>
        <v>ADANE ELSHADAY</v>
      </c>
      <c r="M113" s="6">
        <f t="shared" si="60"/>
        <v>2.6250000002619345E-2</v>
      </c>
      <c r="N113" s="7">
        <f t="shared" ref="N113:N150" si="66">24*60*SUM($M113:$M113)</f>
        <v>37.800000003771856</v>
      </c>
      <c r="O113" s="7"/>
      <c r="P113" s="7"/>
      <c r="Q113" s="23"/>
      <c r="R113" s="23"/>
      <c r="S113" s="35">
        <f t="shared" ref="S113:S152" si="67">SUM(U113:U113)/IF(AG113="EC",12,1)</f>
        <v>1</v>
      </c>
      <c r="T113" s="50" t="str">
        <f t="shared" si="61"/>
        <v>Southbound</v>
      </c>
      <c r="U113" s="171">
        <f>IF(AG113="EC",COUNTIFS(Variables!$M$2:$M$19,IF(T113="NorthBound","&gt;=","&lt;=")&amp;Y113,Variables!$M$2:$M$19,IF(T113="NorthBound","&lt;=","&gt;=")&amp;Z113),COUNTIFS(Variables!$P$2:$P$19,IF(T113="NorthBound","&gt;=","&lt;=")&amp;Y113,Variables!$P$2:$P$19,IF(T113="NorthBound","&lt;=","&gt;=")&amp;Z113))</f>
        <v>12</v>
      </c>
      <c r="V113" s="98" t="str">
        <f t="shared" si="43"/>
        <v>https://search-rtdc-monitor-bjffxe2xuh6vdkpspy63sjmuny.us-east-1.es.amazonaws.com/_plugin/kibana/#/discover/Steve-Slow-Train-Analysis-(2080s-and-2083s)?_g=(refreshInterval:(display:Off,section:0,value:0),time:(from:'2016-12-15 15:36:32-700',mode:absolute,to:'2016-12-15 18:21:12-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13" s="52" t="str">
        <f t="shared" si="62"/>
        <v>N</v>
      </c>
      <c r="X113" s="177">
        <f t="shared" si="58"/>
        <v>1</v>
      </c>
      <c r="Y113" s="67">
        <f t="shared" si="56"/>
        <v>23.297899999999998</v>
      </c>
      <c r="Z113" s="67">
        <f t="shared" si="57"/>
        <v>1.4500000000000001E-2</v>
      </c>
      <c r="AA113" s="67">
        <f t="shared" si="63"/>
        <v>23.283399999999997</v>
      </c>
      <c r="AB113" s="64" t="e">
        <f>VLOOKUP(A113,Enforcements!$C$7:$K$18,8,0)</f>
        <v>#N/A</v>
      </c>
      <c r="AC113" s="60" t="e">
        <f>VLOOKUP(A113,Enforcements!$C$7:$E$18,3,0)</f>
        <v>#N/A</v>
      </c>
      <c r="AD113" s="61" t="str">
        <f t="shared" si="64"/>
        <v>0198-15</v>
      </c>
      <c r="AE113" s="91" t="str">
        <f t="shared" si="47"/>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113" s="88" t="str">
        <f t="shared" si="48"/>
        <v>"C:\Program Files (x86)\AstroGrep\AstroGrep.exe" /spath="%USERPROFILE%\AppData\Local\Temp\OnboardLogs" /stypes="app*4017*20161216*" /stext=" 00:.+((SYSTEM_STATE.+slice.+state.+changed )|(ment ac)|(multiple cpu faults)|(system.+state.+changed )|(\[timeout)|(PRM\|1\|D)|(kpr)|(kdp)|(\|lc)|(penalty))" /e /r /s</v>
      </c>
      <c r="AG113" s="1" t="str">
        <f t="shared" si="65"/>
        <v>EC</v>
      </c>
      <c r="AH113" s="92" t="str">
        <f t="shared" si="50"/>
        <v>"%USERPROFILE%\Documents\GitHub\eaglep3\Utilities\RefineRTDCRunTimes.py" --tripid 198-15 --locoid 4017 --swversion DE.1.0.8.0 --startMP 204:232979 --initTime 2016-12-15T16:36:32 --startdatetime 2016-12-15T16:43:24 --delay 1 --endMP 204:145 --enddatetime 2016-12-15T17:21:12 --enforcementcount 0 &gt;&gt;C:\Users\stu\Documents\GitHub\eaglep3-reporting\EC\2016-12-15-refined-times.txt</v>
      </c>
      <c r="AI113" s="119" t="str">
        <f t="shared" si="51"/>
        <v>echo {"issue":{"subject":"","project_id":79,"tracker_id":40,"status_id":1,"priority_id":2,"assigned_to_id":23,"start_date":"2016-12-15","description":"","custom_fields":[{"id":1,"name":"Subdivision","value":"EC"},{"id":4,"name":"Milepost","value":"0.0145"},{"id":17,"name":"Train ID","value":"198-15"},{"id":16,"name":"Locomotive ID","value":"4017"},{"id":130,"name":"Impact","value":""},{"id":150,"name":"Time of Event (Mountain Time)","value":"17:21:12"},{"id":151,"name":"Denver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572</v>
      </c>
      <c r="B114" s="7">
        <v>4016</v>
      </c>
      <c r="C114" s="22" t="s">
        <v>207</v>
      </c>
      <c r="D114" s="22" t="s">
        <v>816</v>
      </c>
      <c r="E114" s="13">
        <v>42719.664490740739</v>
      </c>
      <c r="F114" s="13">
        <v>42719.667812500003</v>
      </c>
      <c r="G114" s="7">
        <v>1</v>
      </c>
      <c r="H114" s="22" t="s">
        <v>835</v>
      </c>
      <c r="I114" s="13">
        <v>42719.692384259259</v>
      </c>
      <c r="J114" s="7">
        <v>0</v>
      </c>
      <c r="K114" s="109" t="str">
        <f t="shared" si="59"/>
        <v>4015/4016</v>
      </c>
      <c r="L114" s="22" t="str">
        <f>VLOOKUP(A114,'Trips&amp;Operators'!$C$1:$G$99999,5,FALSE)</f>
        <v>HILLS DUSTIN</v>
      </c>
      <c r="M114" s="6">
        <f t="shared" si="60"/>
        <v>2.4571759255195502E-2</v>
      </c>
      <c r="N114" s="7">
        <f t="shared" si="66"/>
        <v>35.383333327481523</v>
      </c>
      <c r="O114" s="7"/>
      <c r="P114" s="7"/>
      <c r="Q114" s="23"/>
      <c r="R114" s="23"/>
      <c r="S114" s="35">
        <f t="shared" si="67"/>
        <v>1</v>
      </c>
      <c r="T114" s="50" t="str">
        <f t="shared" si="61"/>
        <v>NorthBound</v>
      </c>
      <c r="U114" s="171">
        <f>IF(AG114="EC",COUNTIFS(Variables!$M$2:$M$19,IF(T114="NorthBound","&gt;=","&lt;=")&amp;Y114,Variables!$M$2:$M$19,IF(T114="NorthBound","&lt;=","&gt;=")&amp;Z114),COUNTIFS(Variables!$P$2:$P$19,IF(T114="NorthBound","&gt;=","&lt;=")&amp;Y114,Variables!$P$2:$P$19,IF(T114="NorthBound","&lt;=","&gt;=")&amp;Z114))</f>
        <v>12</v>
      </c>
      <c r="V114" s="98" t="str">
        <f t="shared" si="43"/>
        <v>https://search-rtdc-monitor-bjffxe2xuh6vdkpspy63sjmuny.us-east-1.es.amazonaws.com/_plugin/kibana/#/discover/Steve-Slow-Train-Analysis-(2080s-and-2083s)?_g=(refreshInterval:(display:Off,section:0,value:0),time:(from:'2016-12-15 14:56:52-700',mode:absolute,to:'2016-12-15 17:37: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14" s="52" t="str">
        <f t="shared" si="62"/>
        <v>N</v>
      </c>
      <c r="X114" s="177">
        <f t="shared" si="58"/>
        <v>1</v>
      </c>
      <c r="Y114" s="67">
        <f t="shared" si="56"/>
        <v>4.4900000000000002E-2</v>
      </c>
      <c r="Z114" s="67">
        <f t="shared" si="57"/>
        <v>23.3385</v>
      </c>
      <c r="AA114" s="67">
        <f t="shared" si="63"/>
        <v>23.293600000000001</v>
      </c>
      <c r="AB114" s="64" t="str">
        <f>VLOOKUP(A114,Enforcements!$C$7:$K$18,8,0)</f>
        <v>Bulletin (2)</v>
      </c>
      <c r="AC114" s="60" t="str">
        <f>VLOOKUP(A114,Enforcements!$C$7:$E$18,3,0)</f>
        <v>GRADE CROSSING</v>
      </c>
      <c r="AD114" s="61" t="str">
        <f t="shared" si="64"/>
        <v>0199-15</v>
      </c>
      <c r="AE114" s="91" t="str">
        <f t="shared" si="47"/>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114" s="88" t="str">
        <f t="shared" si="48"/>
        <v>"C:\Program Files (x86)\AstroGrep\AstroGrep.exe" /spath="%USERPROFILE%\AppData\Local\Temp\OnboardLogs" /stypes="app*4016*20161215*" /stext=" 23:.+((SYSTEM_STATE.+slice.+state.+changed )|(ment ac)|(multiple cpu faults)|(system.+state.+changed )|(\[timeout)|(PRM\|1\|D)|(kpr)|(kdp)|(\|lc)|(penalty))" /e /r /s</v>
      </c>
      <c r="AG114" s="1" t="str">
        <f t="shared" si="65"/>
        <v>EC</v>
      </c>
      <c r="AH114" s="92" t="str">
        <f t="shared" si="50"/>
        <v>"%USERPROFILE%\Documents\GitHub\eaglep3\Utilities\RefineRTDCRunTimes.py" --tripid 199-15 --locoid 4016 --swversion DE.1.0.8.0 --startMP 204:449 --initTime 2016-12-15T15:56:52 --startdatetime 2016-12-15T16:01:39 --delay 1 --endMP 204:233385 --enddatetime 2016-12-15T16:37:02 --enforcementcount 0 &gt;&gt;C:\Users\stu\Documents\GitHub\eaglep3-reporting\EC\2016-12-15-refined-times.txt</v>
      </c>
      <c r="AI114" s="119" t="str">
        <f t="shared" si="51"/>
        <v>echo {"issue":{"subject":"","project_id":79,"tracker_id":40,"status_id":1,"priority_id":2,"assigned_to_id":23,"start_date":"2016-12-15","description":"","custom_fields":[{"id":1,"name":"Subdivision","value":"EC"},{"id":4,"name":"Milepost","value":"23.3385"},{"id":17,"name":"Train ID","value":"199-15"},{"id":16,"name":"Locomotive ID","value":"4016"},{"id":130,"name":"Impact","value":""},{"id":150,"name":"Time of Event (Mountain Time)","value":"16:37:02"},{"id":151,"name":"Denver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574</v>
      </c>
      <c r="B115" s="7">
        <v>4015</v>
      </c>
      <c r="C115" s="22" t="s">
        <v>207</v>
      </c>
      <c r="D115" s="22" t="s">
        <v>836</v>
      </c>
      <c r="E115" s="13">
        <v>42719.694502314815</v>
      </c>
      <c r="F115" s="13">
        <v>42719.705729166664</v>
      </c>
      <c r="G115" s="7">
        <v>1</v>
      </c>
      <c r="H115" s="22" t="s">
        <v>226</v>
      </c>
      <c r="I115" s="13">
        <v>42719.733715277776</v>
      </c>
      <c r="J115" s="7">
        <v>0</v>
      </c>
      <c r="K115" s="109" t="str">
        <f t="shared" si="59"/>
        <v>4015/4016</v>
      </c>
      <c r="L115" s="22" t="str">
        <f>VLOOKUP(A115,'Trips&amp;Operators'!$C$1:$G$99999,5,FALSE)</f>
        <v>HILLS DUSTIN</v>
      </c>
      <c r="M115" s="6">
        <f t="shared" si="60"/>
        <v>2.7986111112113576E-2</v>
      </c>
      <c r="N115" s="7">
        <f t="shared" si="66"/>
        <v>40.30000000144355</v>
      </c>
      <c r="O115" s="7"/>
      <c r="P115" s="7"/>
      <c r="Q115" s="23"/>
      <c r="R115" s="23"/>
      <c r="S115" s="35">
        <f t="shared" si="67"/>
        <v>1</v>
      </c>
      <c r="T115" s="50" t="str">
        <f t="shared" si="61"/>
        <v>Southbound</v>
      </c>
      <c r="U115" s="171">
        <f>IF(AG115="EC",COUNTIFS(Variables!$M$2:$M$19,IF(T115="NorthBound","&gt;=","&lt;=")&amp;Y115,Variables!$M$2:$M$19,IF(T115="NorthBound","&lt;=","&gt;=")&amp;Z115),COUNTIFS(Variables!$P$2:$P$19,IF(T115="NorthBound","&gt;=","&lt;=")&amp;Y115,Variables!$P$2:$P$19,IF(T115="NorthBound","&lt;=","&gt;=")&amp;Z115))</f>
        <v>12</v>
      </c>
      <c r="V115" s="98" t="str">
        <f t="shared" si="43"/>
        <v>https://search-rtdc-monitor-bjffxe2xuh6vdkpspy63sjmuny.us-east-1.es.amazonaws.com/_plugin/kibana/#/discover/Steve-Slow-Train-Analysis-(2080s-and-2083s)?_g=(refreshInterval:(display:Off,section:0,value:0),time:(from:'2016-12-15 15:40:05-700',mode:absolute,to:'2016-12-15 18:36:33-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15" s="52" t="str">
        <f t="shared" si="62"/>
        <v>N</v>
      </c>
      <c r="X115" s="177">
        <f t="shared" si="58"/>
        <v>1</v>
      </c>
      <c r="Y115" s="67">
        <f t="shared" si="56"/>
        <v>23.307400000000001</v>
      </c>
      <c r="Z115" s="67">
        <f t="shared" si="57"/>
        <v>1.41E-2</v>
      </c>
      <c r="AA115" s="67">
        <f t="shared" si="63"/>
        <v>23.293300000000002</v>
      </c>
      <c r="AB115" s="64" t="str">
        <f>VLOOKUP(A115,Enforcements!$C$7:$K$18,8,0)</f>
        <v>Signal based authority (5)</v>
      </c>
      <c r="AC115" s="60" t="str">
        <f>VLOOKUP(A115,Enforcements!$C$7:$E$18,3,0)</f>
        <v>SIGNAL</v>
      </c>
      <c r="AD115" s="61" t="str">
        <f t="shared" si="64"/>
        <v>0200-15</v>
      </c>
      <c r="AE115" s="91" t="str">
        <f t="shared" si="47"/>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115" s="88" t="str">
        <f t="shared" si="48"/>
        <v>"C:\Program Files (x86)\AstroGrep\AstroGrep.exe" /spath="%USERPROFILE%\AppData\Local\Temp\OnboardLogs" /stypes="app*4015*20161216*" /stext=" 00:.+((SYSTEM_STATE.+slice.+state.+changed )|(ment ac)|(multiple cpu faults)|(system.+state.+changed )|(\[timeout)|(PRM\|1\|D)|(kpr)|(kdp)|(\|lc)|(penalty))" /e /r /s</v>
      </c>
      <c r="AG115" s="1" t="str">
        <f t="shared" si="65"/>
        <v>EC</v>
      </c>
      <c r="AH115" s="92" t="str">
        <f t="shared" si="50"/>
        <v>"%USERPROFILE%\Documents\GitHub\eaglep3\Utilities\RefineRTDCRunTimes.py" --tripid 200-15 --locoid 4015 --swversion DE.1.0.8.0 --startMP 204:233074 --initTime 2016-12-15T16:40:05 --startdatetime 2016-12-15T16:56:15 --delay 1 --endMP 204:141 --enddatetime 2016-12-15T17:36:33 --enforcementcount 0 &gt;&gt;C:\Users\stu\Documents\GitHub\eaglep3-reporting\EC\2016-12-15-refined-times.txt</v>
      </c>
      <c r="AI115" s="119" t="str">
        <f t="shared" si="51"/>
        <v>echo {"issue":{"subject":"","project_id":79,"tracker_id":40,"status_id":1,"priority_id":2,"assigned_to_id":23,"start_date":"2016-12-15","description":"","custom_fields":[{"id":1,"name":"Subdivision","value":"EC"},{"id":4,"name":"Milepost","value":"0.0141"},{"id":17,"name":"Train ID","value":"200-15"},{"id":16,"name":"Locomotive ID","value":"4015"},{"id":130,"name":"Impact","value":""},{"id":150,"name":"Time of Event (Mountain Time)","value":"17:36:33"},{"id":151,"name":"Denver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710</v>
      </c>
      <c r="B116" s="7">
        <v>4009</v>
      </c>
      <c r="C116" s="22" t="s">
        <v>207</v>
      </c>
      <c r="D116" s="22" t="s">
        <v>235</v>
      </c>
      <c r="E116" s="13">
        <v>42719.673425925925</v>
      </c>
      <c r="F116" s="13">
        <v>42719.677511574075</v>
      </c>
      <c r="G116" s="7">
        <v>1</v>
      </c>
      <c r="H116" s="22" t="s">
        <v>404</v>
      </c>
      <c r="I116" s="13">
        <v>42719.704189814816</v>
      </c>
      <c r="J116" s="7">
        <v>0</v>
      </c>
      <c r="K116" s="109" t="str">
        <f t="shared" si="59"/>
        <v>4009/4010</v>
      </c>
      <c r="L116" s="22" t="str">
        <f>VLOOKUP(A116,'Trips&amp;Operators'!$C$1:$G$99999,5,FALSE)</f>
        <v>DAVIDSON DAVID</v>
      </c>
      <c r="M116" s="6">
        <f t="shared" si="60"/>
        <v>2.6678240741603076E-2</v>
      </c>
      <c r="N116" s="7">
        <f t="shared" si="66"/>
        <v>38.41666666790843</v>
      </c>
      <c r="O116" s="7"/>
      <c r="P116" s="7"/>
      <c r="Q116" s="23"/>
      <c r="R116" s="23"/>
      <c r="S116" s="35">
        <f t="shared" si="67"/>
        <v>1</v>
      </c>
      <c r="T116" s="50" t="str">
        <f t="shared" si="61"/>
        <v>NorthBound</v>
      </c>
      <c r="U116" s="171">
        <f>IF(AG116="EC",COUNTIFS(Variables!$M$2:$M$19,IF(T116="NorthBound","&gt;=","&lt;=")&amp;Y116,Variables!$M$2:$M$19,IF(T116="NorthBound","&lt;=","&gt;=")&amp;Z116),COUNTIFS(Variables!$P$2:$P$19,IF(T116="NorthBound","&gt;=","&lt;=")&amp;Y116,Variables!$P$2:$P$19,IF(T116="NorthBound","&lt;=","&gt;=")&amp;Z116))</f>
        <v>12</v>
      </c>
      <c r="V116" s="98" t="str">
        <f t="shared" si="43"/>
        <v>https://search-rtdc-monitor-bjffxe2xuh6vdkpspy63sjmuny.us-east-1.es.amazonaws.com/_plugin/kibana/#/discover/Steve-Slow-Train-Analysis-(2080s-and-2083s)?_g=(refreshInterval:(display:Off,section:0,value:0),time:(from:'2016-12-15 15:09:44-700',mode:absolute,to:'2016-12-15 17:54: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116" s="52" t="str">
        <f t="shared" si="62"/>
        <v>N</v>
      </c>
      <c r="X116" s="177">
        <f t="shared" si="58"/>
        <v>1</v>
      </c>
      <c r="Y116" s="67">
        <f t="shared" si="56"/>
        <v>4.7100000000000003E-2</v>
      </c>
      <c r="Z116" s="67">
        <f t="shared" si="57"/>
        <v>23.331499999999998</v>
      </c>
      <c r="AA116" s="67">
        <f t="shared" si="63"/>
        <v>23.284399999999998</v>
      </c>
      <c r="AB116" s="64" t="e">
        <f>VLOOKUP(A116,Enforcements!$C$7:$K$18,8,0)</f>
        <v>#N/A</v>
      </c>
      <c r="AC116" s="60" t="e">
        <f>VLOOKUP(A116,Enforcements!$C$7:$E$18,3,0)</f>
        <v>#N/A</v>
      </c>
      <c r="AD116" s="61" t="str">
        <f t="shared" si="64"/>
        <v>0201-15</v>
      </c>
      <c r="AE116" s="91" t="str">
        <f t="shared" si="47"/>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116" s="88" t="str">
        <f t="shared" si="48"/>
        <v>"C:\Program Files (x86)\AstroGrep\AstroGrep.exe" /spath="%USERPROFILE%\AppData\Local\Temp\OnboardLogs" /stypes="app*4009*20161215*" /stext=" 23:.+((SYSTEM_STATE.+slice.+state.+changed )|(ment ac)|(multiple cpu faults)|(system.+state.+changed )|(\[timeout)|(PRM\|1\|D)|(kpr)|(kdp)|(\|lc)|(penalty))" /e /r /s</v>
      </c>
      <c r="AG116" s="1" t="str">
        <f t="shared" si="65"/>
        <v>EC</v>
      </c>
      <c r="AH116" s="92" t="str">
        <f t="shared" si="50"/>
        <v>"%USERPROFILE%\Documents\GitHub\eaglep3\Utilities\RefineRTDCRunTimes.py" --tripid 201-15 --locoid 4009 --swversion DE.1.0.8.0 --startMP 204:471 --initTime 2016-12-15T16:09:44 --startdatetime 2016-12-15T16:15:37 --delay 1 --endMP 204:233315 --enddatetime 2016-12-15T16:54:02 --enforcementcount 0 &gt;&gt;C:\Users\stu\Documents\GitHub\eaglep3-reporting\EC\2016-12-15-refined-times.txt</v>
      </c>
      <c r="AI116" s="119" t="str">
        <f t="shared" si="51"/>
        <v>echo {"issue":{"subject":"","project_id":79,"tracker_id":40,"status_id":1,"priority_id":2,"assigned_to_id":23,"start_date":"2016-12-15","description":"","custom_fields":[{"id":1,"name":"Subdivision","value":"EC"},{"id":4,"name":"Milepost","value":"23.3315"},{"id":17,"name":"Train ID","value":"201-15"},{"id":16,"name":"Locomotive ID","value":"4009"},{"id":130,"name":"Impact","value":""},{"id":150,"name":"Time of Event (Mountain Time)","value":"16:54:02"},{"id":151,"name":"Denver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1" customFormat="1" x14ac:dyDescent="0.25">
      <c r="A117" s="37" t="s">
        <v>718</v>
      </c>
      <c r="B117" s="7">
        <v>4010</v>
      </c>
      <c r="C117" s="22" t="s">
        <v>207</v>
      </c>
      <c r="D117" s="22" t="s">
        <v>295</v>
      </c>
      <c r="E117" s="13">
        <v>42719.70621527778</v>
      </c>
      <c r="F117" s="13">
        <v>42719.716249999998</v>
      </c>
      <c r="G117" s="7">
        <v>1</v>
      </c>
      <c r="H117" s="22" t="s">
        <v>422</v>
      </c>
      <c r="I117" s="13">
        <v>42719.743611111109</v>
      </c>
      <c r="J117" s="7">
        <v>0</v>
      </c>
      <c r="K117" s="109" t="str">
        <f t="shared" si="59"/>
        <v>4009/4010</v>
      </c>
      <c r="L117" s="22" t="str">
        <f>VLOOKUP(A117,'Trips&amp;Operators'!$C$1:$G$99999,5,FALSE)</f>
        <v>DAVIDSON DAVID</v>
      </c>
      <c r="M117" s="6">
        <f t="shared" si="60"/>
        <v>2.73611111115315E-2</v>
      </c>
      <c r="N117" s="7">
        <f t="shared" si="66"/>
        <v>39.40000000060536</v>
      </c>
      <c r="O117" s="7"/>
      <c r="P117" s="7"/>
      <c r="Q117" s="23"/>
      <c r="R117" s="23"/>
      <c r="S117" s="35">
        <f t="shared" si="67"/>
        <v>1</v>
      </c>
      <c r="T117" s="50" t="str">
        <f t="shared" si="61"/>
        <v>Southbound</v>
      </c>
      <c r="U117" s="171">
        <f>IF(AG117="EC",COUNTIFS(Variables!$M$2:$M$19,IF(T117="NorthBound","&gt;=","&lt;=")&amp;Y117,Variables!$M$2:$M$19,IF(T117="NorthBound","&lt;=","&gt;=")&amp;Z117),COUNTIFS(Variables!$P$2:$P$19,IF(T117="NorthBound","&gt;=","&lt;=")&amp;Y117,Variables!$P$2:$P$19,IF(T117="NorthBound","&lt;=","&gt;=")&amp;Z117))</f>
        <v>12</v>
      </c>
      <c r="V117" s="98" t="str">
        <f t="shared" si="43"/>
        <v>https://search-rtdc-monitor-bjffxe2xuh6vdkpspy63sjmuny.us-east-1.es.amazonaws.com/_plugin/kibana/#/discover/Steve-Slow-Train-Analysis-(2080s-and-2083s)?_g=(refreshInterval:(display:Off,section:0,value:0),time:(from:'2016-12-15 15:56:57-700',mode:absolute,to:'2016-12-15 18:50:48-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17" s="52" t="str">
        <f t="shared" si="62"/>
        <v>N</v>
      </c>
      <c r="X117" s="177">
        <f t="shared" si="58"/>
        <v>1</v>
      </c>
      <c r="Y117" s="67">
        <f t="shared" si="56"/>
        <v>23.2987</v>
      </c>
      <c r="Z117" s="67">
        <f t="shared" si="57"/>
        <v>1.34E-2</v>
      </c>
      <c r="AA117" s="67">
        <f t="shared" si="63"/>
        <v>23.285299999999999</v>
      </c>
      <c r="AB117" s="64" t="e">
        <f>VLOOKUP(A117,Enforcements!$C$7:$K$18,8,0)</f>
        <v>#N/A</v>
      </c>
      <c r="AC117" s="60" t="e">
        <f>VLOOKUP(A117,Enforcements!$C$7:$E$18,3,0)</f>
        <v>#N/A</v>
      </c>
      <c r="AD117" s="61" t="str">
        <f t="shared" si="64"/>
        <v>0202-15</v>
      </c>
      <c r="AE117" s="91" t="str">
        <f t="shared" si="47"/>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117" s="88" t="str">
        <f t="shared" si="48"/>
        <v>"C:\Program Files (x86)\AstroGrep\AstroGrep.exe" /spath="%USERPROFILE%\AppData\Local\Temp\OnboardLogs" /stypes="app*4010*20161216*" /stext=" 00:.+((SYSTEM_STATE.+slice.+state.+changed )|(ment ac)|(multiple cpu faults)|(system.+state.+changed )|(\[timeout)|(PRM\|1\|D)|(kpr)|(kdp)|(\|lc)|(penalty))" /e /r /s</v>
      </c>
      <c r="AG117" s="1" t="str">
        <f t="shared" si="65"/>
        <v>EC</v>
      </c>
      <c r="AH117" s="92" t="str">
        <f t="shared" si="50"/>
        <v>"%USERPROFILE%\Documents\GitHub\eaglep3\Utilities\RefineRTDCRunTimes.py" --tripid 202-15 --locoid 4010 --swversion DE.1.0.8.0 --startMP 204:232987 --initTime 2016-12-15T16:56:57 --startdatetime 2016-12-15T17:11:24 --delay 1 --endMP 204:134 --enddatetime 2016-12-15T17:50:48 --enforcementcount 0 &gt;&gt;C:\Users\stu\Documents\GitHub\eaglep3-reporting\EC\2016-12-15-refined-times.txt</v>
      </c>
      <c r="AI117" s="119" t="str">
        <f t="shared" si="51"/>
        <v>echo {"issue":{"subject":"","project_id":79,"tracker_id":40,"status_id":1,"priority_id":2,"assigned_to_id":23,"start_date":"2016-12-15","description":"","custom_fields":[{"id":1,"name":"Subdivision","value":"EC"},{"id":4,"name":"Milepost","value":"0.0134"},{"id":17,"name":"Train ID","value":"202-15"},{"id":16,"name":"Locomotive ID","value":"4010"},{"id":130,"name":"Impact","value":""},{"id":150,"name":"Time of Event (Mountain Time)","value":"17:50:48"},{"id":151,"name":"Denver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21" customFormat="1" x14ac:dyDescent="0.25">
      <c r="A118" s="37" t="s">
        <v>713</v>
      </c>
      <c r="B118" s="7">
        <v>4031</v>
      </c>
      <c r="C118" s="22" t="s">
        <v>207</v>
      </c>
      <c r="D118" s="22" t="s">
        <v>411</v>
      </c>
      <c r="E118" s="13">
        <v>42719.683287037034</v>
      </c>
      <c r="F118" s="13">
        <v>42719.687685185185</v>
      </c>
      <c r="G118" s="7">
        <v>2</v>
      </c>
      <c r="H118" s="22" t="s">
        <v>818</v>
      </c>
      <c r="I118" s="13">
        <v>42719.713310185187</v>
      </c>
      <c r="J118" s="7">
        <v>0</v>
      </c>
      <c r="K118" s="109" t="str">
        <f t="shared" si="59"/>
        <v>4031/4032</v>
      </c>
      <c r="L118" s="22" t="str">
        <f>VLOOKUP(A118,'Trips&amp;Operators'!$C$1:$G$99999,5,FALSE)</f>
        <v>SHOOK JOHN</v>
      </c>
      <c r="M118" s="6">
        <f t="shared" si="60"/>
        <v>2.5625000002037268E-2</v>
      </c>
      <c r="N118" s="7">
        <f t="shared" si="66"/>
        <v>36.900000002933666</v>
      </c>
      <c r="O118" s="7"/>
      <c r="P118" s="7"/>
      <c r="Q118" s="23"/>
      <c r="R118" s="23"/>
      <c r="S118" s="35">
        <f t="shared" si="67"/>
        <v>1</v>
      </c>
      <c r="T118" s="50" t="str">
        <f t="shared" si="61"/>
        <v>NorthBound</v>
      </c>
      <c r="U118" s="171">
        <f>IF(AG118="EC",COUNTIFS(Variables!$M$2:$M$19,IF(T118="NorthBound","&gt;=","&lt;=")&amp;Y118,Variables!$M$2:$M$19,IF(T118="NorthBound","&lt;=","&gt;=")&amp;Z118),COUNTIFS(Variables!$P$2:$P$19,IF(T118="NorthBound","&gt;=","&lt;=")&amp;Y118,Variables!$P$2:$P$19,IF(T118="NorthBound","&lt;=","&gt;=")&amp;Z118))</f>
        <v>12</v>
      </c>
      <c r="V118" s="98" t="str">
        <f t="shared" si="43"/>
        <v>https://search-rtdc-monitor-bjffxe2xuh6vdkpspy63sjmuny.us-east-1.es.amazonaws.com/_plugin/kibana/#/discover/Steve-Slow-Train-Analysis-(2080s-and-2083s)?_g=(refreshInterval:(display:Off,section:0,value:0),time:(from:'2016-12-15 15:23:56-700',mode:absolute,to:'2016-12-15 18:07:10-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18" s="52" t="str">
        <f t="shared" si="62"/>
        <v>N</v>
      </c>
      <c r="X118" s="177">
        <f t="shared" si="58"/>
        <v>1</v>
      </c>
      <c r="Y118" s="67">
        <f t="shared" si="56"/>
        <v>4.3999999999999997E-2</v>
      </c>
      <c r="Z118" s="67">
        <f t="shared" si="57"/>
        <v>23.331600000000002</v>
      </c>
      <c r="AA118" s="67">
        <f t="shared" si="63"/>
        <v>23.287600000000001</v>
      </c>
      <c r="AB118" s="64" t="e">
        <f>VLOOKUP(A118,Enforcements!$C$7:$K$18,8,0)</f>
        <v>#N/A</v>
      </c>
      <c r="AC118" s="60" t="e">
        <f>VLOOKUP(A118,Enforcements!$C$7:$E$18,3,0)</f>
        <v>#N/A</v>
      </c>
      <c r="AD118" s="61" t="str">
        <f t="shared" si="64"/>
        <v>0203-15</v>
      </c>
      <c r="AE118" s="91" t="str">
        <f t="shared" si="47"/>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118" s="88" t="str">
        <f t="shared" si="48"/>
        <v>"C:\Program Files (x86)\AstroGrep\AstroGrep.exe" /spath="%USERPROFILE%\AppData\Local\Temp\OnboardLogs" /stypes="app*4031*20161216*" /stext=" 00:.+((SYSTEM_STATE.+slice.+state.+changed )|(ment ac)|(multiple cpu faults)|(system.+state.+changed )|(\[timeout)|(PRM\|1\|D)|(kpr)|(kdp)|(\|lc)|(penalty))" /e /r /s</v>
      </c>
      <c r="AG118" s="1" t="str">
        <f t="shared" si="65"/>
        <v>EC</v>
      </c>
      <c r="AH118" s="92" t="str">
        <f t="shared" si="50"/>
        <v>"%USERPROFILE%\Documents\GitHub\eaglep3\Utilities\RefineRTDCRunTimes.py" --tripid 203-15 --locoid 4031 --swversion DE.1.0.8.0 --startMP 204:440 --initTime 2016-12-15T16:23:56 --startdatetime 2016-12-15T16:30:16 --delay 2 --endMP 204:233316 --enddatetime 2016-12-15T17:07:10 --enforcementcount 0 &gt;&gt;C:\Users\stu\Documents\GitHub\eaglep3-reporting\EC\2016-12-15-refined-times.txt</v>
      </c>
      <c r="AI118" s="119" t="str">
        <f t="shared" si="51"/>
        <v>echo {"issue":{"subject":"","project_id":79,"tracker_id":40,"status_id":1,"priority_id":2,"assigned_to_id":23,"start_date":"2016-12-15","description":"","custom_fields":[{"id":1,"name":"Subdivision","value":"EC"},{"id":4,"name":"Milepost","value":"23.3316"},{"id":17,"name":"Train ID","value":"203-15"},{"id":16,"name":"Locomotive ID","value":"4031"},{"id":130,"name":"Impact","value":""},{"id":150,"name":"Time of Event (Mountain Time)","value":"17:07:10"},{"id":151,"name":"Denver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1" customFormat="1" x14ac:dyDescent="0.25">
      <c r="A119" s="37" t="s">
        <v>722</v>
      </c>
      <c r="B119" s="7">
        <v>4032</v>
      </c>
      <c r="C119" s="22" t="s">
        <v>207</v>
      </c>
      <c r="D119" s="22" t="s">
        <v>311</v>
      </c>
      <c r="E119" s="13">
        <v>42719.718761574077</v>
      </c>
      <c r="F119" s="13">
        <v>42719.7266087963</v>
      </c>
      <c r="G119" s="7">
        <v>1</v>
      </c>
      <c r="H119" s="22" t="s">
        <v>422</v>
      </c>
      <c r="I119" s="13">
        <v>42719.755590277775</v>
      </c>
      <c r="J119" s="7">
        <v>0</v>
      </c>
      <c r="K119" s="109" t="str">
        <f t="shared" si="59"/>
        <v>4031/4032</v>
      </c>
      <c r="L119" s="22" t="str">
        <f>VLOOKUP(A119,'Trips&amp;Operators'!$C$1:$G$99999,5,FALSE)</f>
        <v>SHOOK JOHN</v>
      </c>
      <c r="M119" s="6">
        <f t="shared" si="60"/>
        <v>2.898148147505708E-2</v>
      </c>
      <c r="N119" s="7">
        <f t="shared" si="66"/>
        <v>41.733333324082196</v>
      </c>
      <c r="O119" s="7"/>
      <c r="P119" s="7"/>
      <c r="Q119" s="23"/>
      <c r="R119" s="23"/>
      <c r="S119" s="35">
        <f t="shared" si="67"/>
        <v>1</v>
      </c>
      <c r="T119" s="50" t="str">
        <f t="shared" si="61"/>
        <v>Southbound</v>
      </c>
      <c r="U119" s="171">
        <f>IF(AG119="EC",COUNTIFS(Variables!$M$2:$M$19,IF(T119="NorthBound","&gt;=","&lt;=")&amp;Y119,Variables!$M$2:$M$19,IF(T119="NorthBound","&lt;=","&gt;=")&amp;Z119),COUNTIFS(Variables!$P$2:$P$19,IF(T119="NorthBound","&gt;=","&lt;=")&amp;Y119,Variables!$P$2:$P$19,IF(T119="NorthBound","&lt;=","&gt;=")&amp;Z119))</f>
        <v>12</v>
      </c>
      <c r="V119" s="98" t="str">
        <f t="shared" si="43"/>
        <v>https://search-rtdc-monitor-bjffxe2xuh6vdkpspy63sjmuny.us-east-1.es.amazonaws.com/_plugin/kibana/#/discover/Steve-Slow-Train-Analysis-(2080s-and-2083s)?_g=(refreshInterval:(display:Off,section:0,value:0),time:(from:'2016-12-15 16:15:01-700',mode:absolute,to:'2016-12-15 19:08:03-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19" s="52" t="str">
        <f t="shared" si="62"/>
        <v>N</v>
      </c>
      <c r="X119" s="177">
        <f t="shared" si="58"/>
        <v>1</v>
      </c>
      <c r="Y119" s="67">
        <f t="shared" si="56"/>
        <v>23.299800000000001</v>
      </c>
      <c r="Z119" s="67">
        <f t="shared" si="57"/>
        <v>1.34E-2</v>
      </c>
      <c r="AA119" s="67">
        <f t="shared" si="63"/>
        <v>23.2864</v>
      </c>
      <c r="AB119" s="64" t="e">
        <f>VLOOKUP(A119,Enforcements!$C$7:$K$18,8,0)</f>
        <v>#N/A</v>
      </c>
      <c r="AC119" s="60" t="e">
        <f>VLOOKUP(A119,Enforcements!$C$7:$E$18,3,0)</f>
        <v>#N/A</v>
      </c>
      <c r="AD119" s="61" t="str">
        <f t="shared" si="64"/>
        <v>0204-15</v>
      </c>
      <c r="AE119" s="91" t="str">
        <f t="shared" si="47"/>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119" s="88" t="str">
        <f t="shared" si="48"/>
        <v>"C:\Program Files (x86)\AstroGrep\AstroGrep.exe" /spath="%USERPROFILE%\AppData\Local\Temp\OnboardLogs" /stypes="app*4032*20161216*" /stext=" 01:.+((SYSTEM_STATE.+slice.+state.+changed )|(ment ac)|(multiple cpu faults)|(system.+state.+changed )|(\[timeout)|(PRM\|1\|D)|(kpr)|(kdp)|(\|lc)|(penalty))" /e /r /s</v>
      </c>
      <c r="AG119" s="1" t="str">
        <f t="shared" si="65"/>
        <v>EC</v>
      </c>
      <c r="AH119" s="92" t="str">
        <f t="shared" si="50"/>
        <v>"%USERPROFILE%\Documents\GitHub\eaglep3\Utilities\RefineRTDCRunTimes.py" --tripid 204-15 --locoid 4032 --swversion DE.1.0.8.0 --startMP 204:232998 --initTime 2016-12-15T17:15:01 --startdatetime 2016-12-15T17:26:19 --delay 1 --endMP 204:134 --enddatetime 2016-12-15T18:08:03 --enforcementcount 0 &gt;&gt;C:\Users\stu\Documents\GitHub\eaglep3-reporting\EC\2016-12-15-refined-times.txt</v>
      </c>
      <c r="AI119" s="119" t="str">
        <f t="shared" si="51"/>
        <v>echo {"issue":{"subject":"","project_id":79,"tracker_id":40,"status_id":1,"priority_id":2,"assigned_to_id":23,"start_date":"2016-12-15","description":"","custom_fields":[{"id":1,"name":"Subdivision","value":"EC"},{"id":4,"name":"Milepost","value":"0.0134"},{"id":17,"name":"Train ID","value":"204-15"},{"id":16,"name":"Locomotive ID","value":"4032"},{"id":130,"name":"Impact","value":""},{"id":150,"name":"Time of Event (Mountain Time)","value":"18:08:03"},{"id":151,"name":"Denver Issue ID","value":""},{"id":178,"name":"Operational Impact","value":"Yes"},{"id":179,"name":"Denver Segment Assigned","value":""}]}} | curl -X POST -H "Content-Type: application/json" -H "X-Redmine-API-Key: d6333d4a04012a730768444271f8ca06482dae87" https://secure.xorail.net/redmine/issues.json --data @-</v>
      </c>
      <c r="AJ119" s="53"/>
      <c r="AK119" s="53"/>
      <c r="AL119" s="53"/>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x14ac:dyDescent="0.25">
      <c r="A120" s="37" t="s">
        <v>716</v>
      </c>
      <c r="B120" s="7">
        <v>4029</v>
      </c>
      <c r="C120" s="22" t="s">
        <v>207</v>
      </c>
      <c r="D120" s="22" t="s">
        <v>289</v>
      </c>
      <c r="E120" s="13">
        <v>42719.69599537037</v>
      </c>
      <c r="F120" s="13">
        <v>42719.698240740741</v>
      </c>
      <c r="G120" s="7">
        <v>2</v>
      </c>
      <c r="H120" s="22" t="s">
        <v>808</v>
      </c>
      <c r="I120" s="13">
        <v>42719.723333333335</v>
      </c>
      <c r="J120" s="7">
        <v>0</v>
      </c>
      <c r="K120" s="109" t="str">
        <f t="shared" si="59"/>
        <v>4029/4030</v>
      </c>
      <c r="L120" s="22" t="str">
        <f>VLOOKUP(A120,'Trips&amp;Operators'!$C$1:$G$99999,5,FALSE)</f>
        <v>MOSES BRADLEY</v>
      </c>
      <c r="M120" s="6">
        <f t="shared" si="60"/>
        <v>2.5092592593864538E-2</v>
      </c>
      <c r="N120" s="7">
        <f t="shared" si="66"/>
        <v>36.133333335164934</v>
      </c>
      <c r="O120" s="7"/>
      <c r="P120" s="7"/>
      <c r="Q120" s="23"/>
      <c r="R120" s="23"/>
      <c r="S120" s="35">
        <f t="shared" si="67"/>
        <v>1</v>
      </c>
      <c r="T120" s="50" t="str">
        <f t="shared" si="61"/>
        <v>NorthBound</v>
      </c>
      <c r="U120" s="171">
        <f>IF(AG120="EC",COUNTIFS(Variables!$M$2:$M$19,IF(T120="NorthBound","&gt;=","&lt;=")&amp;Y120,Variables!$M$2:$M$19,IF(T120="NorthBound","&lt;=","&gt;=")&amp;Z120),COUNTIFS(Variables!$P$2:$P$19,IF(T120="NorthBound","&gt;=","&lt;=")&amp;Y120,Variables!$P$2:$P$19,IF(T120="NorthBound","&lt;=","&gt;=")&amp;Z120))</f>
        <v>12</v>
      </c>
      <c r="V120" s="98" t="str">
        <f t="shared" si="43"/>
        <v>https://search-rtdc-monitor-bjffxe2xuh6vdkpspy63sjmuny.us-east-1.es.amazonaws.com/_plugin/kibana/#/discover/Steve-Slow-Train-Analysis-(2080s-and-2083s)?_g=(refreshInterval:(display:Off,section:0,value:0),time:(from:'2016-12-15 15:42:14-700',mode:absolute,to:'2016-12-15 18:21:36-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120" s="52" t="str">
        <f t="shared" si="62"/>
        <v>N</v>
      </c>
      <c r="X120" s="177">
        <f t="shared" si="58"/>
        <v>1</v>
      </c>
      <c r="Y120" s="67">
        <f t="shared" si="56"/>
        <v>4.6699999999999998E-2</v>
      </c>
      <c r="Z120" s="67">
        <f t="shared" si="57"/>
        <v>23.3325</v>
      </c>
      <c r="AA120" s="67">
        <f t="shared" si="63"/>
        <v>23.285799999999998</v>
      </c>
      <c r="AB120" s="64" t="e">
        <f>VLOOKUP(A120,Enforcements!$C$7:$K$18,8,0)</f>
        <v>#N/A</v>
      </c>
      <c r="AC120" s="60" t="e">
        <f>VLOOKUP(A120,Enforcements!$C$7:$E$18,3,0)</f>
        <v>#N/A</v>
      </c>
      <c r="AD120" s="61" t="str">
        <f t="shared" si="64"/>
        <v>0205-15</v>
      </c>
      <c r="AE120" s="91" t="str">
        <f t="shared" si="47"/>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120" s="88" t="str">
        <f t="shared" si="48"/>
        <v>"C:\Program Files (x86)\AstroGrep\AstroGrep.exe" /spath="%USERPROFILE%\AppData\Local\Temp\OnboardLogs" /stypes="app*4029*20161216*" /stext=" 00:.+((SYSTEM_STATE.+slice.+state.+changed )|(ment ac)|(multiple cpu faults)|(system.+state.+changed )|(\[timeout)|(PRM\|1\|D)|(kpr)|(kdp)|(\|lc)|(penalty))" /e /r /s</v>
      </c>
      <c r="AG120" s="1" t="str">
        <f t="shared" si="65"/>
        <v>EC</v>
      </c>
      <c r="AH120" s="92" t="str">
        <f t="shared" si="50"/>
        <v>"%USERPROFILE%\Documents\GitHub\eaglep3\Utilities\RefineRTDCRunTimes.py" --tripid 205-15 --locoid 4029 --swversion DE.1.0.8.0 --startMP 204:467 --initTime 2016-12-15T16:42:14 --startdatetime 2016-12-15T16:45:28 --delay 2 --endMP 204:233325 --enddatetime 2016-12-15T17:21:36 --enforcementcount 0 &gt;&gt;C:\Users\stu\Documents\GitHub\eaglep3-reporting\EC\2016-12-15-refined-times.txt</v>
      </c>
      <c r="AI120" s="119" t="str">
        <f t="shared" si="51"/>
        <v>echo {"issue":{"subject":"","project_id":79,"tracker_id":40,"status_id":1,"priority_id":2,"assigned_to_id":23,"start_date":"2016-12-15","description":"","custom_fields":[{"id":1,"name":"Subdivision","value":"EC"},{"id":4,"name":"Milepost","value":"23.3325"},{"id":17,"name":"Train ID","value":"205-15"},{"id":16,"name":"Locomotive ID","value":"4029"},{"id":130,"name":"Impact","value":""},{"id":150,"name":"Time of Event (Mountain Time)","value":"17:21:36"},{"id":151,"name":"Denver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row>
    <row r="121" spans="1:91" s="21" customFormat="1" x14ac:dyDescent="0.25">
      <c r="A121" s="37" t="s">
        <v>727</v>
      </c>
      <c r="B121" s="7">
        <v>4030</v>
      </c>
      <c r="C121" s="22" t="s">
        <v>207</v>
      </c>
      <c r="D121" s="22" t="s">
        <v>286</v>
      </c>
      <c r="E121" s="13">
        <v>42719.732233796298</v>
      </c>
      <c r="F121" s="13">
        <v>42719.737071759257</v>
      </c>
      <c r="G121" s="7">
        <v>1</v>
      </c>
      <c r="H121" s="22" t="s">
        <v>830</v>
      </c>
      <c r="I121" s="13">
        <v>42719.765821759262</v>
      </c>
      <c r="J121" s="7">
        <v>0</v>
      </c>
      <c r="K121" s="109" t="str">
        <f t="shared" si="59"/>
        <v>4029/4030</v>
      </c>
      <c r="L121" s="22" t="str">
        <f>VLOOKUP(A121,'Trips&amp;Operators'!$C$1:$G$99999,5,FALSE)</f>
        <v>MOSES BRADLEY</v>
      </c>
      <c r="M121" s="6">
        <f t="shared" si="60"/>
        <v>2.8750000004947651E-2</v>
      </c>
      <c r="N121" s="7">
        <f t="shared" si="66"/>
        <v>41.400000007124618</v>
      </c>
      <c r="O121" s="7"/>
      <c r="P121" s="7"/>
      <c r="Q121" s="23"/>
      <c r="R121" s="23"/>
      <c r="S121" s="35">
        <f t="shared" si="67"/>
        <v>1</v>
      </c>
      <c r="T121" s="50" t="str">
        <f t="shared" si="61"/>
        <v>Southbound</v>
      </c>
      <c r="U121" s="171">
        <f>IF(AG121="EC",COUNTIFS(Variables!$M$2:$M$19,IF(T121="NorthBound","&gt;=","&lt;=")&amp;Y121,Variables!$M$2:$M$19,IF(T121="NorthBound","&lt;=","&gt;=")&amp;Z121),COUNTIFS(Variables!$P$2:$P$19,IF(T121="NorthBound","&gt;=","&lt;=")&amp;Y121,Variables!$P$2:$P$19,IF(T121="NorthBound","&lt;=","&gt;=")&amp;Z121))</f>
        <v>12</v>
      </c>
      <c r="V121" s="98" t="str">
        <f t="shared" si="43"/>
        <v>https://search-rtdc-monitor-bjffxe2xuh6vdkpspy63sjmuny.us-east-1.es.amazonaws.com/_plugin/kibana/#/discover/Steve-Slow-Train-Analysis-(2080s-and-2083s)?_g=(refreshInterval:(display:Off,section:0,value:0),time:(from:'2016-12-15 16:34:25-700',mode:absolute,to:'2016-12-15 19:22:47-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121" s="52" t="str">
        <f t="shared" si="62"/>
        <v>N</v>
      </c>
      <c r="X121" s="177">
        <f t="shared" si="58"/>
        <v>1</v>
      </c>
      <c r="Y121" s="67">
        <f t="shared" si="56"/>
        <v>23.299600000000002</v>
      </c>
      <c r="Z121" s="67">
        <f t="shared" si="57"/>
        <v>1.6899999999999998E-2</v>
      </c>
      <c r="AA121" s="67">
        <f t="shared" si="63"/>
        <v>23.282700000000002</v>
      </c>
      <c r="AB121" s="64" t="e">
        <f>VLOOKUP(A121,Enforcements!$C$7:$K$18,8,0)</f>
        <v>#N/A</v>
      </c>
      <c r="AC121" s="60" t="e">
        <f>VLOOKUP(A121,Enforcements!$C$7:$E$18,3,0)</f>
        <v>#N/A</v>
      </c>
      <c r="AD121" s="61" t="str">
        <f t="shared" si="64"/>
        <v>0206-15</v>
      </c>
      <c r="AE121" s="91" t="str">
        <f t="shared" si="47"/>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121" s="88" t="str">
        <f t="shared" si="48"/>
        <v>"C:\Program Files (x86)\AstroGrep\AstroGrep.exe" /spath="%USERPROFILE%\AppData\Local\Temp\OnboardLogs" /stypes="app*4030*20161216*" /stext=" 01:.+((SYSTEM_STATE.+slice.+state.+changed )|(ment ac)|(multiple cpu faults)|(system.+state.+changed )|(\[timeout)|(PRM\|1\|D)|(kpr)|(kdp)|(\|lc)|(penalty))" /e /r /s</v>
      </c>
      <c r="AG121" s="1" t="str">
        <f t="shared" si="65"/>
        <v>EC</v>
      </c>
      <c r="AH121" s="92" t="str">
        <f t="shared" si="50"/>
        <v>"%USERPROFILE%\Documents\GitHub\eaglep3\Utilities\RefineRTDCRunTimes.py" --tripid 206-15 --locoid 4030 --swversion DE.1.0.8.0 --startMP 204:232996 --initTime 2016-12-15T17:34:25 --startdatetime 2016-12-15T17:41:23 --delay 1 --endMP 204:169 --enddatetime 2016-12-15T18:22:47 --enforcementcount 0 &gt;&gt;C:\Users\stu\Documents\GitHub\eaglep3-reporting\EC\2016-12-15-refined-times.txt</v>
      </c>
      <c r="AI121" s="119" t="str">
        <f t="shared" si="51"/>
        <v>echo {"issue":{"subject":"","project_id":79,"tracker_id":40,"status_id":1,"priority_id":2,"assigned_to_id":23,"start_date":"2016-12-15","description":"","custom_fields":[{"id":1,"name":"Subdivision","value":"EC"},{"id":4,"name":"Milepost","value":"0.0169"},{"id":17,"name":"Train ID","value":"206-15"},{"id":16,"name":"Locomotive ID","value":"4030"},{"id":130,"name":"Impact","value":""},{"id":150,"name":"Time of Event (Mountain Time)","value":"18:22:47"},{"id":151,"name":"Denver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1" customFormat="1" x14ac:dyDescent="0.25">
      <c r="A122" s="37" t="s">
        <v>717</v>
      </c>
      <c r="B122" s="7">
        <v>4020</v>
      </c>
      <c r="C122" s="22" t="s">
        <v>207</v>
      </c>
      <c r="D122" s="22" t="s">
        <v>194</v>
      </c>
      <c r="E122" s="13">
        <v>42719.703530092593</v>
      </c>
      <c r="F122" s="13">
        <v>42719.708518518521</v>
      </c>
      <c r="G122" s="7">
        <v>6</v>
      </c>
      <c r="H122" s="22" t="s">
        <v>421</v>
      </c>
      <c r="I122" s="13">
        <v>42719.732916666668</v>
      </c>
      <c r="J122" s="7">
        <v>0</v>
      </c>
      <c r="K122" s="109" t="str">
        <f t="shared" si="59"/>
        <v>4019/4020</v>
      </c>
      <c r="L122" s="22" t="str">
        <f>VLOOKUP(A122,'Trips&amp;Operators'!$C$1:$G$99999,5,FALSE)</f>
        <v>MAGEE KENYA</v>
      </c>
      <c r="M122" s="6">
        <f t="shared" si="60"/>
        <v>2.4398148147156462E-2</v>
      </c>
      <c r="N122" s="7">
        <f t="shared" si="66"/>
        <v>35.133333331905305</v>
      </c>
      <c r="O122" s="7"/>
      <c r="P122" s="7"/>
      <c r="Q122" s="23"/>
      <c r="R122" s="23"/>
      <c r="S122" s="35">
        <f t="shared" si="67"/>
        <v>1</v>
      </c>
      <c r="T122" s="50" t="str">
        <f t="shared" si="61"/>
        <v>NorthBound</v>
      </c>
      <c r="U122" s="171">
        <f>IF(AG122="EC",COUNTIFS(Variables!$M$2:$M$19,IF(T122="NorthBound","&gt;=","&lt;=")&amp;Y122,Variables!$M$2:$M$19,IF(T122="NorthBound","&lt;=","&gt;=")&amp;Z122),COUNTIFS(Variables!$P$2:$P$19,IF(T122="NorthBound","&gt;=","&lt;=")&amp;Y122,Variables!$P$2:$P$19,IF(T122="NorthBound","&lt;=","&gt;=")&amp;Z122))</f>
        <v>12</v>
      </c>
      <c r="V122" s="98" t="str">
        <f t="shared" si="43"/>
        <v>https://search-rtdc-monitor-bjffxe2xuh6vdkpspy63sjmuny.us-east-1.es.amazonaws.com/_plugin/kibana/#/discover/Steve-Slow-Train-Analysis-(2080s-and-2083s)?_g=(refreshInterval:(display:Off,section:0,value:0),time:(from:'2016-12-15 15:53:05-700',mode:absolute,to:'2016-12-15 18:35:24-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122" s="52" t="str">
        <f t="shared" si="62"/>
        <v>N</v>
      </c>
      <c r="X122" s="177">
        <f t="shared" si="58"/>
        <v>1</v>
      </c>
      <c r="Y122" s="67">
        <f t="shared" si="56"/>
        <v>4.4699999999999997E-2</v>
      </c>
      <c r="Z122" s="67">
        <f t="shared" si="57"/>
        <v>23.329899999999999</v>
      </c>
      <c r="AA122" s="67">
        <f t="shared" si="63"/>
        <v>23.2852</v>
      </c>
      <c r="AB122" s="64" t="e">
        <f>VLOOKUP(A122,Enforcements!$C$7:$K$18,8,0)</f>
        <v>#N/A</v>
      </c>
      <c r="AC122" s="60" t="e">
        <f>VLOOKUP(A122,Enforcements!$C$7:$E$18,3,0)</f>
        <v>#N/A</v>
      </c>
      <c r="AD122" s="61" t="str">
        <f t="shared" si="64"/>
        <v>0207-15</v>
      </c>
      <c r="AE122" s="91" t="str">
        <f t="shared" si="47"/>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AF122" s="88" t="str">
        <f t="shared" si="48"/>
        <v>"C:\Program Files (x86)\AstroGrep\AstroGrep.exe" /spath="%USERPROFILE%\AppData\Local\Temp\OnboardLogs" /stypes="app*4020*20161216*" /stext=" 00:.+((SYSTEM_STATE.+slice.+state.+changed )|(ment ac)|(multiple cpu faults)|(system.+state.+changed )|(\[timeout)|(PRM\|1\|D)|(kpr)|(kdp)|(\|lc)|(penalty))" /e /r /s</v>
      </c>
      <c r="AG122" s="1" t="str">
        <f t="shared" si="65"/>
        <v>EC</v>
      </c>
      <c r="AH122" s="92" t="str">
        <f t="shared" si="50"/>
        <v>"%USERPROFILE%\Documents\GitHub\eaglep3\Utilities\RefineRTDCRunTimes.py" --tripid 207-15 --locoid 4020 --swversion DE.1.0.8.0 --startMP 204:447 --initTime 2016-12-15T16:53:05 --startdatetime 2016-12-15T17:00:16 --delay 6 --endMP 204:233299 --enddatetime 2016-12-15T17:35:24 --enforcementcount 0 &gt;&gt;C:\Users\stu\Documents\GitHub\eaglep3-reporting\EC\2016-12-15-refined-times.txt</v>
      </c>
      <c r="AI122" s="119" t="str">
        <f t="shared" si="51"/>
        <v>echo {"issue":{"subject":"","project_id":79,"tracker_id":40,"status_id":1,"priority_id":2,"assigned_to_id":23,"start_date":"2016-12-15","description":"","custom_fields":[{"id":1,"name":"Subdivision","value":"EC"},{"id":4,"name":"Milepost","value":"23.3299"},{"id":17,"name":"Train ID","value":"207-15"},{"id":16,"name":"Locomotive ID","value":"4020"},{"id":130,"name":"Impact","value":""},{"id":150,"name":"Time of Event (Mountain Time)","value":"17:35:24"},{"id":151,"name":"Denver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1" customFormat="1" x14ac:dyDescent="0.25">
      <c r="A123" s="37" t="s">
        <v>728</v>
      </c>
      <c r="B123" s="7">
        <v>4019</v>
      </c>
      <c r="C123" s="22" t="s">
        <v>207</v>
      </c>
      <c r="D123" s="22" t="s">
        <v>410</v>
      </c>
      <c r="E123" s="13">
        <v>42719.734143518515</v>
      </c>
      <c r="F123" s="13">
        <v>42719.747465277775</v>
      </c>
      <c r="G123" s="7">
        <v>1</v>
      </c>
      <c r="H123" s="22" t="s">
        <v>253</v>
      </c>
      <c r="I123" s="13">
        <v>42719.777337962965</v>
      </c>
      <c r="J123" s="7">
        <v>0</v>
      </c>
      <c r="K123" s="109" t="str">
        <f t="shared" si="59"/>
        <v>4019/4020</v>
      </c>
      <c r="L123" s="22" t="str">
        <f>VLOOKUP(A123,'Trips&amp;Operators'!$C$1:$G$99999,5,FALSE)</f>
        <v>MAGEE KENYA</v>
      </c>
      <c r="M123" s="6">
        <f t="shared" si="60"/>
        <v>2.9872685190639459E-2</v>
      </c>
      <c r="N123" s="7">
        <f t="shared" si="66"/>
        <v>43.01666667452082</v>
      </c>
      <c r="O123" s="7"/>
      <c r="P123" s="7"/>
      <c r="Q123" s="23"/>
      <c r="R123" s="23"/>
      <c r="S123" s="35">
        <f t="shared" si="67"/>
        <v>1</v>
      </c>
      <c r="T123" s="50" t="str">
        <f t="shared" si="61"/>
        <v>Southbound</v>
      </c>
      <c r="U123" s="171">
        <f>IF(AG123="EC",COUNTIFS(Variables!$M$2:$M$19,IF(T123="NorthBound","&gt;=","&lt;=")&amp;Y123,Variables!$M$2:$M$19,IF(T123="NorthBound","&lt;=","&gt;=")&amp;Z123),COUNTIFS(Variables!$P$2:$P$19,IF(T123="NorthBound","&gt;=","&lt;=")&amp;Y123,Variables!$P$2:$P$19,IF(T123="NorthBound","&lt;=","&gt;=")&amp;Z123))</f>
        <v>12</v>
      </c>
      <c r="V123" s="98" t="str">
        <f t="shared" si="43"/>
        <v>https://search-rtdc-monitor-bjffxe2xuh6vdkpspy63sjmuny.us-east-1.es.amazonaws.com/_plugin/kibana/#/discover/Steve-Slow-Train-Analysis-(2080s-and-2083s)?_g=(refreshInterval:(display:Off,section:0,value:0),time:(from:'2016-12-15 16:37:10-700',mode:absolute,to:'2016-12-15 19:39: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123" s="52" t="str">
        <f t="shared" si="62"/>
        <v>N</v>
      </c>
      <c r="X123" s="177">
        <f t="shared" si="58"/>
        <v>1</v>
      </c>
      <c r="Y123" s="67">
        <f t="shared" si="56"/>
        <v>23.2986</v>
      </c>
      <c r="Z123" s="67">
        <f t="shared" si="57"/>
        <v>1.6299999999999999E-2</v>
      </c>
      <c r="AA123" s="67">
        <f t="shared" si="63"/>
        <v>23.282299999999999</v>
      </c>
      <c r="AB123" s="64" t="e">
        <f>VLOOKUP(A123,Enforcements!$C$7:$K$18,8,0)</f>
        <v>#N/A</v>
      </c>
      <c r="AC123" s="60" t="e">
        <f>VLOOKUP(A123,Enforcements!$C$7:$E$18,3,0)</f>
        <v>#N/A</v>
      </c>
      <c r="AD123" s="61" t="str">
        <f t="shared" si="64"/>
        <v>0208-15</v>
      </c>
      <c r="AE123" s="91" t="str">
        <f t="shared" si="47"/>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123" s="88" t="str">
        <f t="shared" si="48"/>
        <v>"C:\Program Files (x86)\AstroGrep\AstroGrep.exe" /spath="%USERPROFILE%\AppData\Local\Temp\OnboardLogs" /stypes="app*4019*20161216*" /stext=" 01:.+((SYSTEM_STATE.+slice.+state.+changed )|(ment ac)|(multiple cpu faults)|(system.+state.+changed )|(\[timeout)|(PRM\|1\|D)|(kpr)|(kdp)|(\|lc)|(penalty))" /e /r /s</v>
      </c>
      <c r="AG123" s="1" t="str">
        <f t="shared" si="65"/>
        <v>EC</v>
      </c>
      <c r="AH123" s="92" t="str">
        <f t="shared" si="50"/>
        <v>"%USERPROFILE%\Documents\GitHub\eaglep3\Utilities\RefineRTDCRunTimes.py" --tripid 208-15 --locoid 4019 --swversion DE.1.0.8.0 --startMP 204:232986 --initTime 2016-12-15T17:37:10 --startdatetime 2016-12-15T17:56:21 --delay 1 --endMP 204:163 --enddatetime 2016-12-15T18:39:22 --enforcementcount 0 &gt;&gt;C:\Users\stu\Documents\GitHub\eaglep3-reporting\EC\2016-12-15-refined-times.txt</v>
      </c>
      <c r="AI123" s="119" t="str">
        <f t="shared" si="51"/>
        <v>echo {"issue":{"subject":"","project_id":79,"tracker_id":40,"status_id":1,"priority_id":2,"assigned_to_id":23,"start_date":"2016-12-15","description":"","custom_fields":[{"id":1,"name":"Subdivision","value":"EC"},{"id":4,"name":"Milepost","value":"0.0163"},{"id":17,"name":"Train ID","value":"208-15"},{"id":16,"name":"Locomotive ID","value":"4019"},{"id":130,"name":"Impact","value":""},{"id":150,"name":"Time of Event (Mountain Time)","value":"18:39:22"},{"id":151,"name":"Denver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721</v>
      </c>
      <c r="B124" s="7">
        <v>4003</v>
      </c>
      <c r="C124" s="22" t="s">
        <v>207</v>
      </c>
      <c r="D124" s="22" t="s">
        <v>262</v>
      </c>
      <c r="E124" s="13">
        <v>42719.715266203704</v>
      </c>
      <c r="F124" s="13">
        <v>42719.719305555554</v>
      </c>
      <c r="G124" s="7">
        <v>2</v>
      </c>
      <c r="H124" s="22" t="s">
        <v>299</v>
      </c>
      <c r="I124" s="13">
        <v>42719.744421296295</v>
      </c>
      <c r="J124" s="7">
        <v>0</v>
      </c>
      <c r="K124" s="109" t="str">
        <f t="shared" si="59"/>
        <v>4003/4004</v>
      </c>
      <c r="L124" s="22" t="str">
        <f>VLOOKUP(A124,'Trips&amp;Operators'!$C$1:$G$99999,5,FALSE)</f>
        <v>COMELLA JUSTIN</v>
      </c>
      <c r="M124" s="6">
        <f t="shared" si="60"/>
        <v>2.5115740740147885E-2</v>
      </c>
      <c r="N124" s="7">
        <f t="shared" si="66"/>
        <v>36.166666665812954</v>
      </c>
      <c r="O124" s="7"/>
      <c r="P124" s="7"/>
      <c r="Q124" s="23"/>
      <c r="R124" s="23"/>
      <c r="S124" s="35">
        <f t="shared" si="67"/>
        <v>1</v>
      </c>
      <c r="T124" s="50" t="str">
        <f t="shared" si="61"/>
        <v>NorthBound</v>
      </c>
      <c r="U124" s="171">
        <f>IF(AG124="EC",COUNTIFS(Variables!$M$2:$M$19,IF(T124="NorthBound","&gt;=","&lt;=")&amp;Y124,Variables!$M$2:$M$19,IF(T124="NorthBound","&lt;=","&gt;=")&amp;Z124),COUNTIFS(Variables!$P$2:$P$19,IF(T124="NorthBound","&gt;=","&lt;=")&amp;Y124,Variables!$P$2:$P$19,IF(T124="NorthBound","&lt;=","&gt;=")&amp;Z124))</f>
        <v>12</v>
      </c>
      <c r="V124" s="98" t="str">
        <f t="shared" si="43"/>
        <v>https://search-rtdc-monitor-bjffxe2xuh6vdkpspy63sjmuny.us-east-1.es.amazonaws.com/_plugin/kibana/#/discover/Steve-Slow-Train-Analysis-(2080s-and-2083s)?_g=(refreshInterval:(display:Off,section:0,value:0),time:(from:'2016-12-15 16:09:59-700',mode:absolute,to:'2016-12-15 18:51:58-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124" s="52" t="str">
        <f t="shared" si="62"/>
        <v>N</v>
      </c>
      <c r="X124" s="177">
        <f t="shared" si="58"/>
        <v>1</v>
      </c>
      <c r="Y124" s="67">
        <f t="shared" si="56"/>
        <v>4.4600000000000001E-2</v>
      </c>
      <c r="Z124" s="67">
        <f t="shared" si="57"/>
        <v>23.331199999999999</v>
      </c>
      <c r="AA124" s="67">
        <f t="shared" si="63"/>
        <v>23.2866</v>
      </c>
      <c r="AB124" s="64" t="e">
        <f>VLOOKUP(A124,Enforcements!$C$7:$K$18,8,0)</f>
        <v>#N/A</v>
      </c>
      <c r="AC124" s="60" t="e">
        <f>VLOOKUP(A124,Enforcements!$C$7:$E$18,3,0)</f>
        <v>#N/A</v>
      </c>
      <c r="AD124" s="61" t="str">
        <f t="shared" si="64"/>
        <v>0209-15</v>
      </c>
      <c r="AE124" s="91" t="str">
        <f t="shared" si="47"/>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124" s="88" t="str">
        <f t="shared" si="48"/>
        <v>"C:\Program Files (x86)\AstroGrep\AstroGrep.exe" /spath="%USERPROFILE%\AppData\Local\Temp\OnboardLogs" /stypes="app*4003*20161216*" /stext=" 00:.+((SYSTEM_STATE.+slice.+state.+changed )|(ment ac)|(multiple cpu faults)|(system.+state.+changed )|(\[timeout)|(PRM\|1\|D)|(kpr)|(kdp)|(\|lc)|(penalty))" /e /r /s</v>
      </c>
      <c r="AG124" s="1" t="str">
        <f t="shared" si="65"/>
        <v>EC</v>
      </c>
      <c r="AH124" s="92" t="str">
        <f t="shared" si="50"/>
        <v>"%USERPROFILE%\Documents\GitHub\eaglep3\Utilities\RefineRTDCRunTimes.py" --tripid 209-15 --locoid 4003 --swversion DE.1.0.8.0 --startMP 204:446 --initTime 2016-12-15T17:09:59 --startdatetime 2016-12-15T17:15:48 --delay 2 --endMP 204:233312 --enddatetime 2016-12-15T17:51:58 --enforcementcount 0 &gt;&gt;C:\Users\stu\Documents\GitHub\eaglep3-reporting\EC\2016-12-15-refined-times.txt</v>
      </c>
      <c r="AI124" s="119" t="str">
        <f t="shared" si="51"/>
        <v>echo {"issue":{"subject":"","project_id":79,"tracker_id":40,"status_id":1,"priority_id":2,"assigned_to_id":23,"start_date":"2016-12-15","description":"","custom_fields":[{"id":1,"name":"Subdivision","value":"EC"},{"id":4,"name":"Milepost","value":"23.3312"},{"id":17,"name":"Train ID","value":"209-15"},{"id":16,"name":"Locomotive ID","value":"4003"},{"id":130,"name":"Impact","value":""},{"id":150,"name":"Time of Event (Mountain Time)","value":"17:51:58"},{"id":151,"name":"Denver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735</v>
      </c>
      <c r="B125" s="7">
        <v>4004</v>
      </c>
      <c r="C125" s="22" t="s">
        <v>207</v>
      </c>
      <c r="D125" s="22" t="s">
        <v>295</v>
      </c>
      <c r="E125" s="13">
        <v>42719.750416666669</v>
      </c>
      <c r="F125" s="13">
        <v>42719.7578587963</v>
      </c>
      <c r="G125" s="7">
        <v>1</v>
      </c>
      <c r="H125" s="22" t="s">
        <v>205</v>
      </c>
      <c r="I125" s="13">
        <v>42719.786157407405</v>
      </c>
      <c r="J125" s="7">
        <v>0</v>
      </c>
      <c r="K125" s="109" t="str">
        <f t="shared" si="59"/>
        <v>4003/4004</v>
      </c>
      <c r="L125" s="22" t="str">
        <f>VLOOKUP(A125,'Trips&amp;Operators'!$C$1:$G$99999,5,FALSE)</f>
        <v>COMELLA JUSTIN</v>
      </c>
      <c r="M125" s="6">
        <f t="shared" si="60"/>
        <v>2.8298611105128657E-2</v>
      </c>
      <c r="N125" s="7">
        <f t="shared" si="66"/>
        <v>40.749999991385266</v>
      </c>
      <c r="O125" s="7"/>
      <c r="P125" s="7"/>
      <c r="Q125" s="23"/>
      <c r="R125" s="23"/>
      <c r="S125" s="35">
        <f t="shared" si="67"/>
        <v>1</v>
      </c>
      <c r="T125" s="50" t="str">
        <f t="shared" si="61"/>
        <v>Southbound</v>
      </c>
      <c r="U125" s="171">
        <f>IF(AG125="EC",COUNTIFS(Variables!$M$2:$M$19,IF(T125="NorthBound","&gt;=","&lt;=")&amp;Y125,Variables!$M$2:$M$19,IF(T125="NorthBound","&lt;=","&gt;=")&amp;Z125),COUNTIFS(Variables!$P$2:$P$19,IF(T125="NorthBound","&gt;=","&lt;=")&amp;Y125,Variables!$P$2:$P$19,IF(T125="NorthBound","&lt;=","&gt;=")&amp;Z125))</f>
        <v>12</v>
      </c>
      <c r="V125" s="98" t="str">
        <f t="shared" si="43"/>
        <v>https://search-rtdc-monitor-bjffxe2xuh6vdkpspy63sjmuny.us-east-1.es.amazonaws.com/_plugin/kibana/#/discover/Steve-Slow-Train-Analysis-(2080s-and-2083s)?_g=(refreshInterval:(display:Off,section:0,value:0),time:(from:'2016-12-15 17:00:36-700',mode:absolute,to:'2016-12-15 19:52:04-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125" s="52" t="str">
        <f t="shared" si="62"/>
        <v>N</v>
      </c>
      <c r="X125" s="177">
        <f t="shared" si="58"/>
        <v>1</v>
      </c>
      <c r="Y125" s="67">
        <f t="shared" si="56"/>
        <v>23.2987</v>
      </c>
      <c r="Z125" s="67">
        <f t="shared" si="57"/>
        <v>1.5599999999999999E-2</v>
      </c>
      <c r="AA125" s="67">
        <f t="shared" si="63"/>
        <v>23.283100000000001</v>
      </c>
      <c r="AB125" s="64" t="e">
        <f>VLOOKUP(A125,Enforcements!$C$7:$K$18,8,0)</f>
        <v>#N/A</v>
      </c>
      <c r="AC125" s="60" t="e">
        <f>VLOOKUP(A125,Enforcements!$C$7:$E$18,3,0)</f>
        <v>#N/A</v>
      </c>
      <c r="AD125" s="61" t="str">
        <f t="shared" si="64"/>
        <v>0210-15</v>
      </c>
      <c r="AE125" s="91" t="str">
        <f t="shared" si="47"/>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125" s="88" t="str">
        <f t="shared" si="48"/>
        <v>"C:\Program Files (x86)\AstroGrep\AstroGrep.exe" /spath="%USERPROFILE%\AppData\Local\Temp\OnboardLogs" /stypes="app*4004*20161216*" /stext=" 01:.+((SYSTEM_STATE.+slice.+state.+changed )|(ment ac)|(multiple cpu faults)|(system.+state.+changed )|(\[timeout)|(PRM\|1\|D)|(kpr)|(kdp)|(\|lc)|(penalty))" /e /r /s</v>
      </c>
      <c r="AG125" s="1" t="str">
        <f t="shared" si="65"/>
        <v>EC</v>
      </c>
      <c r="AH125" s="92" t="str">
        <f t="shared" si="50"/>
        <v>"%USERPROFILE%\Documents\GitHub\eaglep3\Utilities\RefineRTDCRunTimes.py" --tripid 210-15 --locoid 4004 --swversion DE.1.0.8.0 --startMP 204:232987 --initTime 2016-12-15T18:00:36 --startdatetime 2016-12-15T18:11:19 --delay 1 --endMP 204:156 --enddatetime 2016-12-15T18:52:04 --enforcementcount 0 &gt;&gt;C:\Users\stu\Documents\GitHub\eaglep3-reporting\EC\2016-12-15-refined-times.txt</v>
      </c>
      <c r="AI125" s="119" t="str">
        <f t="shared" si="51"/>
        <v>echo {"issue":{"subject":"","project_id":79,"tracker_id":40,"status_id":1,"priority_id":2,"assigned_to_id":23,"start_date":"2016-12-15","description":"","custom_fields":[{"id":1,"name":"Subdivision","value":"EC"},{"id":4,"name":"Milepost","value":"0.0156"},{"id":17,"name":"Train ID","value":"210-15"},{"id":16,"name":"Locomotive ID","value":"4004"},{"id":130,"name":"Impact","value":""},{"id":150,"name":"Time of Event (Mountain Time)","value":"18:52:04"},{"id":151,"name":"Denver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726</v>
      </c>
      <c r="B126" s="7">
        <v>4018</v>
      </c>
      <c r="C126" s="22" t="s">
        <v>207</v>
      </c>
      <c r="D126" s="22" t="s">
        <v>273</v>
      </c>
      <c r="E126" s="13">
        <v>42719.724999999999</v>
      </c>
      <c r="F126" s="13">
        <v>42719.729490740741</v>
      </c>
      <c r="G126" s="7">
        <v>1</v>
      </c>
      <c r="H126" s="22" t="s">
        <v>350</v>
      </c>
      <c r="I126" s="13">
        <v>42719.758043981485</v>
      </c>
      <c r="J126" s="7">
        <v>0</v>
      </c>
      <c r="K126" s="109" t="str">
        <f t="shared" si="59"/>
        <v>4017/4018</v>
      </c>
      <c r="L126" s="22" t="str">
        <f>VLOOKUP(A126,'Trips&amp;Operators'!$C$1:$G$99999,5,FALSE)</f>
        <v>YOUNG ELIZABETH</v>
      </c>
      <c r="M126" s="6">
        <f t="shared" si="60"/>
        <v>2.8553240743349306E-2</v>
      </c>
      <c r="N126" s="7">
        <f t="shared" si="66"/>
        <v>41.116666670423001</v>
      </c>
      <c r="O126" s="7"/>
      <c r="P126" s="7"/>
      <c r="Q126" s="23"/>
      <c r="R126" s="23"/>
      <c r="S126" s="35">
        <f t="shared" si="67"/>
        <v>1</v>
      </c>
      <c r="T126" s="50" t="str">
        <f t="shared" si="61"/>
        <v>NorthBound</v>
      </c>
      <c r="U126" s="171">
        <f>IF(AG126="EC",COUNTIFS(Variables!$M$2:$M$19,IF(T126="NorthBound","&gt;=","&lt;=")&amp;Y126,Variables!$M$2:$M$19,IF(T126="NorthBound","&lt;=","&gt;=")&amp;Z126),COUNTIFS(Variables!$P$2:$P$19,IF(T126="NorthBound","&gt;=","&lt;=")&amp;Y126,Variables!$P$2:$P$19,IF(T126="NorthBound","&lt;=","&gt;=")&amp;Z126))</f>
        <v>12</v>
      </c>
      <c r="V126" s="98" t="str">
        <f t="shared" si="43"/>
        <v>https://search-rtdc-monitor-bjffxe2xuh6vdkpspy63sjmuny.us-east-1.es.amazonaws.com/_plugin/kibana/#/discover/Steve-Slow-Train-Analysis-(2080s-and-2083s)?_g=(refreshInterval:(display:Off,section:0,value:0),time:(from:'2016-12-15 16:24:00-700',mode:absolute,to:'2016-12-15 19:11:35-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26" s="52" t="str">
        <f t="shared" si="62"/>
        <v>N</v>
      </c>
      <c r="X126" s="177">
        <f t="shared" si="58"/>
        <v>1</v>
      </c>
      <c r="Y126" s="67">
        <f t="shared" si="56"/>
        <v>4.53E-2</v>
      </c>
      <c r="Z126" s="67">
        <f t="shared" si="57"/>
        <v>23.330500000000001</v>
      </c>
      <c r="AA126" s="67">
        <f t="shared" si="63"/>
        <v>23.2852</v>
      </c>
      <c r="AB126" s="64" t="e">
        <f>VLOOKUP(A126,Enforcements!$C$7:$K$18,8,0)</f>
        <v>#N/A</v>
      </c>
      <c r="AC126" s="60" t="e">
        <f>VLOOKUP(A126,Enforcements!$C$7:$E$18,3,0)</f>
        <v>#N/A</v>
      </c>
      <c r="AD126" s="61" t="str">
        <f t="shared" si="64"/>
        <v>0211-15</v>
      </c>
      <c r="AE126" s="91" t="str">
        <f t="shared" si="47"/>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126" s="88" t="str">
        <f t="shared" si="48"/>
        <v>"C:\Program Files (x86)\AstroGrep\AstroGrep.exe" /spath="%USERPROFILE%\AppData\Local\Temp\OnboardLogs" /stypes="app*4018*20161216*" /stext=" 01:.+((SYSTEM_STATE.+slice.+state.+changed )|(ment ac)|(multiple cpu faults)|(system.+state.+changed )|(\[timeout)|(PRM\|1\|D)|(kpr)|(kdp)|(\|lc)|(penalty))" /e /r /s</v>
      </c>
      <c r="AG126" s="1" t="str">
        <f t="shared" si="65"/>
        <v>EC</v>
      </c>
      <c r="AH126" s="92" t="str">
        <f t="shared" si="50"/>
        <v>"%USERPROFILE%\Documents\GitHub\eaglep3\Utilities\RefineRTDCRunTimes.py" --tripid 211-15 --locoid 4018 --swversion DE.1.0.8.0 --startMP 204:453 --initTime 2016-12-15T17:24:00 --startdatetime 2016-12-15T17:30:28 --delay 1 --endMP 204:233305 --enddatetime 2016-12-15T18:11:35 --enforcementcount 0 &gt;&gt;C:\Users\stu\Documents\GitHub\eaglep3-reporting\EC\2016-12-15-refined-times.txt</v>
      </c>
      <c r="AI126" s="119" t="str">
        <f t="shared" si="51"/>
        <v>echo {"issue":{"subject":"","project_id":79,"tracker_id":40,"status_id":1,"priority_id":2,"assigned_to_id":23,"start_date":"2016-12-15","description":"","custom_fields":[{"id":1,"name":"Subdivision","value":"EC"},{"id":4,"name":"Milepost","value":"23.3305"},{"id":17,"name":"Train ID","value":"211-15"},{"id":16,"name":"Locomotive ID","value":"4018"},{"id":130,"name":"Impact","value":""},{"id":150,"name":"Time of Event (Mountain Time)","value":"18:11:35"},{"id":151,"name":"Denver Issue ID","value":""},{"id":178,"name":"Operational Impact","value":"Yes"},{"id":179,"name":"Denver Segment Assigned","value":""}]}} | curl -X POST -H "Content-Type: application/json" -H "X-Redmine-API-Key: d6333d4a04012a730768444271f8ca06482dae87" https://secure.xorail.net/redmine/issues.json --data @-</v>
      </c>
      <c r="AJ126" s="53"/>
      <c r="AK126" s="53"/>
      <c r="AL126" s="53"/>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738</v>
      </c>
      <c r="B127" s="7">
        <v>4017</v>
      </c>
      <c r="C127" s="22" t="s">
        <v>207</v>
      </c>
      <c r="D127" s="22" t="s">
        <v>292</v>
      </c>
      <c r="E127" s="13">
        <v>42719.759837962964</v>
      </c>
      <c r="F127" s="13">
        <v>42719.768368055556</v>
      </c>
      <c r="G127" s="7">
        <v>1</v>
      </c>
      <c r="H127" s="22" t="s">
        <v>420</v>
      </c>
      <c r="I127" s="13">
        <v>42719.79787037037</v>
      </c>
      <c r="J127" s="7">
        <v>0</v>
      </c>
      <c r="K127" s="109" t="str">
        <f t="shared" si="59"/>
        <v>4017/4018</v>
      </c>
      <c r="L127" s="22" t="str">
        <f>VLOOKUP(A127,'Trips&amp;Operators'!$C$1:$G$99999,5,FALSE)</f>
        <v>YOUNG ELIZABETH</v>
      </c>
      <c r="M127" s="6">
        <f t="shared" si="60"/>
        <v>2.9502314813726116E-2</v>
      </c>
      <c r="N127" s="7">
        <f t="shared" si="66"/>
        <v>42.483333331765607</v>
      </c>
      <c r="O127" s="7"/>
      <c r="P127" s="7"/>
      <c r="Q127" s="23"/>
      <c r="R127" s="23"/>
      <c r="S127" s="35">
        <f t="shared" si="67"/>
        <v>1</v>
      </c>
      <c r="T127" s="50" t="str">
        <f t="shared" si="61"/>
        <v>Southbound</v>
      </c>
      <c r="U127" s="171">
        <f>IF(AG127="EC",COUNTIFS(Variables!$M$2:$M$19,IF(T127="NorthBound","&gt;=","&lt;=")&amp;Y127,Variables!$M$2:$M$19,IF(T127="NorthBound","&lt;=","&gt;=")&amp;Z127),COUNTIFS(Variables!$P$2:$P$19,IF(T127="NorthBound","&gt;=","&lt;=")&amp;Y127,Variables!$P$2:$P$19,IF(T127="NorthBound","&lt;=","&gt;=")&amp;Z127))</f>
        <v>12</v>
      </c>
      <c r="V127" s="98" t="str">
        <f t="shared" si="43"/>
        <v>https://search-rtdc-monitor-bjffxe2xuh6vdkpspy63sjmuny.us-east-1.es.amazonaws.com/_plugin/kibana/#/discover/Steve-Slow-Train-Analysis-(2080s-and-2083s)?_g=(refreshInterval:(display:Off,section:0,value:0),time:(from:'2016-12-15 17:14:10-700',mode:absolute,to:'2016-12-15 20:08:56-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27" s="52" t="str">
        <f t="shared" si="62"/>
        <v>N</v>
      </c>
      <c r="X127" s="177">
        <f t="shared" si="58"/>
        <v>1</v>
      </c>
      <c r="Y127" s="67">
        <f t="shared" si="56"/>
        <v>23.298999999999999</v>
      </c>
      <c r="Z127" s="67">
        <f t="shared" si="57"/>
        <v>1.7399999999999999E-2</v>
      </c>
      <c r="AA127" s="67">
        <f t="shared" si="63"/>
        <v>23.281600000000001</v>
      </c>
      <c r="AB127" s="64" t="e">
        <f>VLOOKUP(A127,Enforcements!$C$7:$K$18,8,0)</f>
        <v>#N/A</v>
      </c>
      <c r="AC127" s="60" t="e">
        <f>VLOOKUP(A127,Enforcements!$C$7:$E$18,3,0)</f>
        <v>#N/A</v>
      </c>
      <c r="AD127" s="61" t="str">
        <f t="shared" si="64"/>
        <v>0212-15</v>
      </c>
      <c r="AE127" s="91" t="str">
        <f t="shared" si="47"/>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127" s="88" t="str">
        <f t="shared" si="48"/>
        <v>"C:\Program Files (x86)\AstroGrep\AstroGrep.exe" /spath="%USERPROFILE%\AppData\Local\Temp\OnboardLogs" /stypes="app*4017*20161216*" /stext=" 02:.+((SYSTEM_STATE.+slice.+state.+changed )|(ment ac)|(multiple cpu faults)|(system.+state.+changed )|(\[timeout)|(PRM\|1\|D)|(kpr)|(kdp)|(\|lc)|(penalty))" /e /r /s</v>
      </c>
      <c r="AG127" s="1" t="str">
        <f t="shared" si="65"/>
        <v>EC</v>
      </c>
      <c r="AH127" s="92" t="str">
        <f t="shared" si="50"/>
        <v>"%USERPROFILE%\Documents\GitHub\eaglep3\Utilities\RefineRTDCRunTimes.py" --tripid 212-15 --locoid 4017 --swversion DE.1.0.8.0 --startMP 204:232990 --initTime 2016-12-15T18:14:10 --startdatetime 2016-12-15T18:26:27 --delay 1 --endMP 204:174 --enddatetime 2016-12-15T19:08:56 --enforcementcount 0 &gt;&gt;C:\Users\stu\Documents\GitHub\eaglep3-reporting\EC\2016-12-15-refined-times.txt</v>
      </c>
      <c r="AI127" s="119" t="str">
        <f t="shared" si="51"/>
        <v>echo {"issue":{"subject":"","project_id":79,"tracker_id":40,"status_id":1,"priority_id":2,"assigned_to_id":23,"start_date":"2016-12-15","description":"","custom_fields":[{"id":1,"name":"Subdivision","value":"EC"},{"id":4,"name":"Milepost","value":"0.0174"},{"id":17,"name":"Train ID","value":"212-15"},{"id":16,"name":"Locomotive ID","value":"4017"},{"id":130,"name":"Impact","value":""},{"id":150,"name":"Time of Event (Mountain Time)","value":"19:08:56"},{"id":151,"name":"Denver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729</v>
      </c>
      <c r="B128" s="7">
        <v>4016</v>
      </c>
      <c r="C128" s="22" t="s">
        <v>207</v>
      </c>
      <c r="D128" s="22" t="s">
        <v>787</v>
      </c>
      <c r="E128" s="13">
        <v>42719.735856481479</v>
      </c>
      <c r="F128" s="13">
        <v>42719.740023148152</v>
      </c>
      <c r="G128" s="7">
        <v>1</v>
      </c>
      <c r="H128" s="22" t="s">
        <v>419</v>
      </c>
      <c r="I128" s="13">
        <v>42719.765625</v>
      </c>
      <c r="J128" s="7">
        <v>0</v>
      </c>
      <c r="K128" s="109" t="str">
        <f t="shared" si="59"/>
        <v>4015/4016</v>
      </c>
      <c r="L128" s="22" t="str">
        <f>VLOOKUP(A128,'Trips&amp;Operators'!$C$1:$G$99999,5,FALSE)</f>
        <v>COOLAHAN JOHN</v>
      </c>
      <c r="M128" s="6">
        <f t="shared" si="60"/>
        <v>2.5601851848477963E-2</v>
      </c>
      <c r="N128" s="7">
        <f t="shared" si="66"/>
        <v>36.866666661808267</v>
      </c>
      <c r="O128" s="7"/>
      <c r="P128" s="7"/>
      <c r="Q128" s="23"/>
      <c r="R128" s="23"/>
      <c r="S128" s="35">
        <f t="shared" si="67"/>
        <v>1</v>
      </c>
      <c r="T128" s="50" t="str">
        <f t="shared" si="61"/>
        <v>NorthBound</v>
      </c>
      <c r="U128" s="171">
        <f>IF(AG128="EC",COUNTIFS(Variables!$M$2:$M$19,IF(T128="NorthBound","&gt;=","&lt;=")&amp;Y128,Variables!$M$2:$M$19,IF(T128="NorthBound","&lt;=","&gt;=")&amp;Z128),COUNTIFS(Variables!$P$2:$P$19,IF(T128="NorthBound","&gt;=","&lt;=")&amp;Y128,Variables!$P$2:$P$19,IF(T128="NorthBound","&lt;=","&gt;=")&amp;Z128))</f>
        <v>12</v>
      </c>
      <c r="V128" s="98" t="str">
        <f t="shared" si="43"/>
        <v>https://search-rtdc-monitor-bjffxe2xuh6vdkpspy63sjmuny.us-east-1.es.amazonaws.com/_plugin/kibana/#/discover/Steve-Slow-Train-Analysis-(2080s-and-2083s)?_g=(refreshInterval:(display:Off,section:0,value:0),time:(from:'2016-12-15 16:39:38-700',mode:absolute,to:'2016-12-15 19:22:30-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28" s="52" t="str">
        <f t="shared" si="62"/>
        <v>N</v>
      </c>
      <c r="X128" s="177">
        <f t="shared" si="58"/>
        <v>1</v>
      </c>
      <c r="Y128" s="67">
        <f t="shared" si="56"/>
        <v>4.4200000000000003E-2</v>
      </c>
      <c r="Z128" s="67">
        <f t="shared" si="57"/>
        <v>23.332100000000001</v>
      </c>
      <c r="AA128" s="67">
        <f t="shared" si="63"/>
        <v>23.2879</v>
      </c>
      <c r="AB128" s="64" t="e">
        <f>VLOOKUP(A128,Enforcements!$C$7:$K$18,8,0)</f>
        <v>#N/A</v>
      </c>
      <c r="AC128" s="60" t="e">
        <f>VLOOKUP(A128,Enforcements!$C$7:$E$18,3,0)</f>
        <v>#N/A</v>
      </c>
      <c r="AD128" s="61" t="str">
        <f t="shared" si="64"/>
        <v>0213-15</v>
      </c>
      <c r="AE128" s="91" t="str">
        <f t="shared" si="47"/>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128" s="88" t="str">
        <f t="shared" si="48"/>
        <v>"C:\Program Files (x86)\AstroGrep\AstroGrep.exe" /spath="%USERPROFILE%\AppData\Local\Temp\OnboardLogs" /stypes="app*4016*20161216*" /stext=" 01:.+((SYSTEM_STATE.+slice.+state.+changed )|(ment ac)|(multiple cpu faults)|(system.+state.+changed )|(\[timeout)|(PRM\|1\|D)|(kpr)|(kdp)|(\|lc)|(penalty))" /e /r /s</v>
      </c>
      <c r="AG128" s="1" t="str">
        <f t="shared" si="65"/>
        <v>EC</v>
      </c>
      <c r="AH128" s="92" t="str">
        <f t="shared" si="50"/>
        <v>"%USERPROFILE%\Documents\GitHub\eaglep3\Utilities\RefineRTDCRunTimes.py" --tripid 213-15 --locoid 4016 --swversion DE.1.0.8.0 --startMP 204:442 --initTime 2016-12-15T17:39:38 --startdatetime 2016-12-15T17:45:38 --delay 1 --endMP 204:233321 --enddatetime 2016-12-15T18:22:30 --enforcementcount 0 &gt;&gt;C:\Users\stu\Documents\GitHub\eaglep3-reporting\EC\2016-12-15-refined-times.txt</v>
      </c>
      <c r="AI128" s="119" t="str">
        <f t="shared" si="51"/>
        <v>echo {"issue":{"subject":"","project_id":79,"tracker_id":40,"status_id":1,"priority_id":2,"assigned_to_id":23,"start_date":"2016-12-15","description":"","custom_fields":[{"id":1,"name":"Subdivision","value":"EC"},{"id":4,"name":"Milepost","value":"23.3321"},{"id":17,"name":"Train ID","value":"213-15"},{"id":16,"name":"Locomotive ID","value":"4016"},{"id":130,"name":"Impact","value":""},{"id":150,"name":"Time of Event (Mountain Time)","value":"18:22:30"},{"id":151,"name":"Denver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742</v>
      </c>
      <c r="B129" s="7">
        <v>4015</v>
      </c>
      <c r="C129" s="22" t="s">
        <v>207</v>
      </c>
      <c r="D129" s="22" t="s">
        <v>837</v>
      </c>
      <c r="E129" s="13">
        <v>42719.773321759261</v>
      </c>
      <c r="F129" s="13">
        <v>42719.77888888889</v>
      </c>
      <c r="G129" s="7">
        <v>1</v>
      </c>
      <c r="H129" s="22" t="s">
        <v>212</v>
      </c>
      <c r="I129" s="13">
        <v>42719.805358796293</v>
      </c>
      <c r="J129" s="7">
        <v>0</v>
      </c>
      <c r="K129" s="109" t="str">
        <f t="shared" si="59"/>
        <v>4015/4016</v>
      </c>
      <c r="L129" s="22" t="str">
        <f>VLOOKUP(A129,'Trips&amp;Operators'!$C$1:$G$99999,5,FALSE)</f>
        <v>COOLAHAN JOHN</v>
      </c>
      <c r="M129" s="6">
        <f t="shared" si="60"/>
        <v>2.6469907403225079E-2</v>
      </c>
      <c r="N129" s="7">
        <f t="shared" si="66"/>
        <v>38.116666660644114</v>
      </c>
      <c r="O129" s="7"/>
      <c r="P129" s="7"/>
      <c r="Q129" s="23"/>
      <c r="R129" s="23"/>
      <c r="S129" s="35">
        <f t="shared" si="67"/>
        <v>1</v>
      </c>
      <c r="T129" s="50" t="str">
        <f t="shared" si="61"/>
        <v>Southbound</v>
      </c>
      <c r="U129" s="171">
        <f>IF(AG129="EC",COUNTIFS(Variables!$M$2:$M$19,IF(T129="NorthBound","&gt;=","&lt;=")&amp;Y129,Variables!$M$2:$M$19,IF(T129="NorthBound","&lt;=","&gt;=")&amp;Z129),COUNTIFS(Variables!$P$2:$P$19,IF(T129="NorthBound","&gt;=","&lt;=")&amp;Y129,Variables!$P$2:$P$19,IF(T129="NorthBound","&lt;=","&gt;=")&amp;Z129))</f>
        <v>12</v>
      </c>
      <c r="V129" s="98" t="str">
        <f t="shared" si="43"/>
        <v>https://search-rtdc-monitor-bjffxe2xuh6vdkpspy63sjmuny.us-east-1.es.amazonaws.com/_plugin/kibana/#/discover/Steve-Slow-Train-Analysis-(2080s-and-2083s)?_g=(refreshInterval:(display:Off,section:0,value:0),time:(from:'2016-12-15 17:33:35-700',mode:absolute,to:'2016-12-15 20:19:43-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29" s="52" t="str">
        <f t="shared" si="62"/>
        <v>N</v>
      </c>
      <c r="X129" s="177">
        <f t="shared" si="58"/>
        <v>1</v>
      </c>
      <c r="Y129" s="67">
        <f t="shared" si="56"/>
        <v>23.300999999999998</v>
      </c>
      <c r="Z129" s="67">
        <f t="shared" si="57"/>
        <v>1.4999999999999999E-2</v>
      </c>
      <c r="AA129" s="67">
        <f t="shared" si="63"/>
        <v>23.285999999999998</v>
      </c>
      <c r="AB129" s="64" t="e">
        <f>VLOOKUP(A129,Enforcements!$C$7:$K$18,8,0)</f>
        <v>#N/A</v>
      </c>
      <c r="AC129" s="60" t="e">
        <f>VLOOKUP(A129,Enforcements!$C$7:$E$18,3,0)</f>
        <v>#N/A</v>
      </c>
      <c r="AD129" s="61" t="str">
        <f t="shared" si="64"/>
        <v>0214-15</v>
      </c>
      <c r="AE129" s="91" t="str">
        <f t="shared" si="47"/>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129" s="88" t="str">
        <f t="shared" si="48"/>
        <v>"C:\Program Files (x86)\AstroGrep\AstroGrep.exe" /spath="%USERPROFILE%\AppData\Local\Temp\OnboardLogs" /stypes="app*4015*20161216*" /stext=" 02:.+((SYSTEM_STATE.+slice.+state.+changed )|(ment ac)|(multiple cpu faults)|(system.+state.+changed )|(\[timeout)|(PRM\|1\|D)|(kpr)|(kdp)|(\|lc)|(penalty))" /e /r /s</v>
      </c>
      <c r="AG129" s="1" t="str">
        <f t="shared" si="65"/>
        <v>EC</v>
      </c>
      <c r="AH129" s="92" t="str">
        <f t="shared" si="50"/>
        <v>"%USERPROFILE%\Documents\GitHub\eaglep3\Utilities\RefineRTDCRunTimes.py" --tripid 214-15 --locoid 4015 --swversion DE.1.0.8.0 --startMP 204:233010 --initTime 2016-12-15T18:33:35 --startdatetime 2016-12-15T18:41:36 --delay 1 --endMP 204:150 --enddatetime 2016-12-15T19:19:43 --enforcementcount 0 &gt;&gt;C:\Users\stu\Documents\GitHub\eaglep3-reporting\EC\2016-12-15-refined-times.txt</v>
      </c>
      <c r="AI129" s="119" t="str">
        <f t="shared" si="51"/>
        <v>echo {"issue":{"subject":"","project_id":79,"tracker_id":40,"status_id":1,"priority_id":2,"assigned_to_id":23,"start_date":"2016-12-15","description":"","custom_fields":[{"id":1,"name":"Subdivision","value":"EC"},{"id":4,"name":"Milepost","value":"0.015"},{"id":17,"name":"Train ID","value":"214-15"},{"id":16,"name":"Locomotive ID","value":"4015"},{"id":130,"name":"Impact","value":""},{"id":150,"name":"Time of Event (Mountain Time)","value":"19:19:43"},{"id":151,"name":"Denver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1" customFormat="1" x14ac:dyDescent="0.25">
      <c r="A130" s="37" t="s">
        <v>733</v>
      </c>
      <c r="B130" s="7">
        <v>4009</v>
      </c>
      <c r="C130" s="22" t="s">
        <v>207</v>
      </c>
      <c r="D130" s="22" t="s">
        <v>195</v>
      </c>
      <c r="E130" s="13">
        <v>42719.74554398148</v>
      </c>
      <c r="F130" s="13">
        <v>42719.750347222223</v>
      </c>
      <c r="G130" s="7">
        <v>1</v>
      </c>
      <c r="H130" s="22" t="s">
        <v>304</v>
      </c>
      <c r="I130" s="13">
        <v>42719.775185185186</v>
      </c>
      <c r="J130" s="7">
        <v>0</v>
      </c>
      <c r="K130" s="109" t="str">
        <f t="shared" si="59"/>
        <v>4009/4010</v>
      </c>
      <c r="L130" s="22" t="str">
        <f>VLOOKUP(A130,'Trips&amp;Operators'!$C$1:$G$99999,5,FALSE)</f>
        <v>DELGADO DIANAH</v>
      </c>
      <c r="M130" s="6">
        <f t="shared" si="60"/>
        <v>2.4837962962919846E-2</v>
      </c>
      <c r="N130" s="7">
        <f t="shared" si="66"/>
        <v>35.766666666604578</v>
      </c>
      <c r="O130" s="7"/>
      <c r="P130" s="7"/>
      <c r="Q130" s="23"/>
      <c r="R130" s="23"/>
      <c r="S130" s="35">
        <f t="shared" si="67"/>
        <v>1</v>
      </c>
      <c r="T130" s="50" t="str">
        <f t="shared" si="61"/>
        <v>NorthBound</v>
      </c>
      <c r="U130" s="171">
        <f>IF(AG130="EC",COUNTIFS(Variables!$M$2:$M$19,IF(T130="NorthBound","&gt;=","&lt;=")&amp;Y130,Variables!$M$2:$M$19,IF(T130="NorthBound","&lt;=","&gt;=")&amp;Z130),COUNTIFS(Variables!$P$2:$P$19,IF(T130="NorthBound","&gt;=","&lt;=")&amp;Y130,Variables!$P$2:$P$19,IF(T130="NorthBound","&lt;=","&gt;=")&amp;Z130))</f>
        <v>12</v>
      </c>
      <c r="V130" s="98" t="str">
        <f t="shared" si="43"/>
        <v>https://search-rtdc-monitor-bjffxe2xuh6vdkpspy63sjmuny.us-east-1.es.amazonaws.com/_plugin/kibana/#/discover/Steve-Slow-Train-Analysis-(2080s-and-2083s)?_g=(refreshInterval:(display:Off,section:0,value:0),time:(from:'2016-12-15 16:53:35-700',mode:absolute,to:'2016-12-15 19:36:16-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130" s="52" t="str">
        <f t="shared" si="62"/>
        <v>N</v>
      </c>
      <c r="X130" s="177">
        <f t="shared" si="58"/>
        <v>1</v>
      </c>
      <c r="Y130" s="67">
        <f t="shared" si="56"/>
        <v>4.5100000000000001E-2</v>
      </c>
      <c r="Z130" s="67">
        <f t="shared" si="57"/>
        <v>23.331399999999999</v>
      </c>
      <c r="AA130" s="67">
        <f t="shared" si="63"/>
        <v>23.286299999999997</v>
      </c>
      <c r="AB130" s="64" t="e">
        <f>VLOOKUP(A130,Enforcements!$C$7:$K$18,8,0)</f>
        <v>#N/A</v>
      </c>
      <c r="AC130" s="60" t="e">
        <f>VLOOKUP(A130,Enforcements!$C$7:$E$18,3,0)</f>
        <v>#N/A</v>
      </c>
      <c r="AD130" s="61" t="str">
        <f t="shared" si="64"/>
        <v>0215-15</v>
      </c>
      <c r="AE130" s="91" t="str">
        <f t="shared" si="47"/>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AF130" s="88" t="str">
        <f t="shared" si="48"/>
        <v>"C:\Program Files (x86)\AstroGrep\AstroGrep.exe" /spath="%USERPROFILE%\AppData\Local\Temp\OnboardLogs" /stypes="app*4009*20161216*" /stext=" 01:.+((SYSTEM_STATE.+slice.+state.+changed )|(ment ac)|(multiple cpu faults)|(system.+state.+changed )|(\[timeout)|(PRM\|1\|D)|(kpr)|(kdp)|(\|lc)|(penalty))" /e /r /s</v>
      </c>
      <c r="AG130" s="1" t="str">
        <f t="shared" si="65"/>
        <v>EC</v>
      </c>
      <c r="AH130" s="92" t="str">
        <f t="shared" si="50"/>
        <v>"%USERPROFILE%\Documents\GitHub\eaglep3\Utilities\RefineRTDCRunTimes.py" --tripid 215-15 --locoid 4009 --swversion DE.1.0.8.0 --startMP 204:451 --initTime 2016-12-15T17:53:35 --startdatetime 2016-12-15T18:00:30 --delay 1 --endMP 204:233314 --enddatetime 2016-12-15T18:36:16 --enforcementcount 0 &gt;&gt;C:\Users\stu\Documents\GitHub\eaglep3-reporting\EC\2016-12-15-refined-times.txt</v>
      </c>
      <c r="AI130" s="119" t="str">
        <f t="shared" si="51"/>
        <v>echo {"issue":{"subject":"","project_id":79,"tracker_id":40,"status_id":1,"priority_id":2,"assigned_to_id":23,"start_date":"2016-12-15","description":"","custom_fields":[{"id":1,"name":"Subdivision","value":"EC"},{"id":4,"name":"Milepost","value":"23.3314"},{"id":17,"name":"Train ID","value":"215-15"},{"id":16,"name":"Locomotive ID","value":"4009"},{"id":130,"name":"Impact","value":""},{"id":150,"name":"Time of Event (Mountain Time)","value":"18:36:16"},{"id":151,"name":"Denver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x14ac:dyDescent="0.25">
      <c r="A131" s="37" t="s">
        <v>744</v>
      </c>
      <c r="B131" s="7">
        <v>4010</v>
      </c>
      <c r="C131" s="22" t="s">
        <v>207</v>
      </c>
      <c r="D131" s="22" t="s">
        <v>276</v>
      </c>
      <c r="E131" s="13">
        <v>42719.779143518521</v>
      </c>
      <c r="F131" s="13">
        <v>42719.789189814815</v>
      </c>
      <c r="G131" s="7">
        <v>11</v>
      </c>
      <c r="H131" s="22" t="s">
        <v>239</v>
      </c>
      <c r="I131" s="13">
        <v>42719.81659722222</v>
      </c>
      <c r="J131" s="7">
        <v>0</v>
      </c>
      <c r="K131" s="109" t="str">
        <f t="shared" si="59"/>
        <v>4009/4010</v>
      </c>
      <c r="L131" s="22" t="str">
        <f>VLOOKUP(A131,'Trips&amp;Operators'!$C$1:$G$99999,5,FALSE)</f>
        <v>DELGADO DIANAH</v>
      </c>
      <c r="M131" s="6">
        <f t="shared" si="60"/>
        <v>2.7407407404098194E-2</v>
      </c>
      <c r="N131" s="7">
        <f t="shared" si="66"/>
        <v>39.466666661901399</v>
      </c>
      <c r="O131" s="7"/>
      <c r="P131" s="7"/>
      <c r="Q131" s="23"/>
      <c r="R131" s="23"/>
      <c r="S131" s="35">
        <f t="shared" si="67"/>
        <v>1</v>
      </c>
      <c r="T131" s="50" t="str">
        <f t="shared" si="61"/>
        <v>Southbound</v>
      </c>
      <c r="U131" s="171">
        <f>IF(AG131="EC",COUNTIFS(Variables!$M$2:$M$19,IF(T131="NorthBound","&gt;=","&lt;=")&amp;Y131,Variables!$M$2:$M$19,IF(T131="NorthBound","&lt;=","&gt;=")&amp;Z131),COUNTIFS(Variables!$P$2:$P$19,IF(T131="NorthBound","&gt;=","&lt;=")&amp;Y131,Variables!$P$2:$P$19,IF(T131="NorthBound","&lt;=","&gt;=")&amp;Z131))</f>
        <v>12</v>
      </c>
      <c r="V131" s="98" t="str">
        <f t="shared" si="43"/>
        <v>https://search-rtdc-monitor-bjffxe2xuh6vdkpspy63sjmuny.us-east-1.es.amazonaws.com/_plugin/kibana/#/discover/Steve-Slow-Train-Analysis-(2080s-and-2083s)?_g=(refreshInterval:(display:Off,section:0,value:0),time:(from:'2016-12-15 17:41:58-700',mode:absolute,to:'2016-12-15 20:35:54-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31" s="52" t="str">
        <f t="shared" si="62"/>
        <v>N</v>
      </c>
      <c r="X131" s="177">
        <f t="shared" si="58"/>
        <v>1</v>
      </c>
      <c r="Y131" s="67">
        <f t="shared" si="56"/>
        <v>23.299399999999999</v>
      </c>
      <c r="Z131" s="67">
        <f t="shared" si="57"/>
        <v>1.4500000000000001E-2</v>
      </c>
      <c r="AA131" s="67">
        <f t="shared" si="63"/>
        <v>23.284899999999997</v>
      </c>
      <c r="AB131" s="64" t="e">
        <f>VLOOKUP(A131,Enforcements!$C$7:$K$18,8,0)</f>
        <v>#N/A</v>
      </c>
      <c r="AC131" s="60" t="e">
        <f>VLOOKUP(A131,Enforcements!$C$7:$E$18,3,0)</f>
        <v>#N/A</v>
      </c>
      <c r="AD131" s="61" t="str">
        <f t="shared" si="64"/>
        <v>0216-15</v>
      </c>
      <c r="AE131" s="91" t="str">
        <f t="shared" si="47"/>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131" s="88" t="str">
        <f t="shared" si="48"/>
        <v>"C:\Program Files (x86)\AstroGrep\AstroGrep.exe" /spath="%USERPROFILE%\AppData\Local\Temp\OnboardLogs" /stypes="app*4010*20161216*" /stext=" 02:.+((SYSTEM_STATE.+slice.+state.+changed )|(ment ac)|(multiple cpu faults)|(system.+state.+changed )|(\[timeout)|(PRM\|1\|D)|(kpr)|(kdp)|(\|lc)|(penalty))" /e /r /s</v>
      </c>
      <c r="AG131" s="1" t="str">
        <f t="shared" si="65"/>
        <v>EC</v>
      </c>
      <c r="AH131" s="92" t="str">
        <f t="shared" si="50"/>
        <v>"%USERPROFILE%\Documents\GitHub\eaglep3\Utilities\RefineRTDCRunTimes.py" --tripid 216-15 --locoid 4010 --swversion DE.1.0.8.0 --startMP 204:232994 --initTime 2016-12-15T18:41:58 --startdatetime 2016-12-15T18:56:26 --delay 11 --endMP 204:145 --enddatetime 2016-12-15T19:35:54 --enforcementcount 0 &gt;&gt;C:\Users\stu\Documents\GitHub\eaglep3-reporting\EC\2016-12-15-refined-times.txt</v>
      </c>
      <c r="AI131" s="119" t="str">
        <f t="shared" si="51"/>
        <v>echo {"issue":{"subject":"","project_id":79,"tracker_id":40,"status_id":1,"priority_id":2,"assigned_to_id":23,"start_date":"2016-12-15","description":"","custom_fields":[{"id":1,"name":"Subdivision","value":"EC"},{"id":4,"name":"Milepost","value":"0.0145"},{"id":17,"name":"Train ID","value":"216-15"},{"id":16,"name":"Locomotive ID","value":"4010"},{"id":130,"name":"Impact","value":""},{"id":150,"name":"Time of Event (Mountain Time)","value":"19:35:54"},{"id":151,"name":"Denver Issue ID","value":""},{"id":178,"name":"Operational Impact","value":"Yes"},{"id":179,"name":"Denver Segment Assigned","value":""}]}} | curl -X POST -H "Content-Type: application/json" -H "X-Redmine-API-Key: d6333d4a04012a730768444271f8ca06482dae87" https://secure.xorail.net/redmine/issues.json --data @-</v>
      </c>
      <c r="AJ131" s="53"/>
      <c r="AK131" s="53"/>
      <c r="AL131" s="53"/>
    </row>
    <row r="132" spans="1:91" x14ac:dyDescent="0.25">
      <c r="A132" s="37" t="s">
        <v>737</v>
      </c>
      <c r="B132" s="7">
        <v>4031</v>
      </c>
      <c r="C132" s="22" t="s">
        <v>207</v>
      </c>
      <c r="D132" s="22" t="s">
        <v>838</v>
      </c>
      <c r="E132" s="13">
        <v>42719.757627314815</v>
      </c>
      <c r="F132" s="13">
        <v>42719.760648148149</v>
      </c>
      <c r="G132" s="7">
        <v>2</v>
      </c>
      <c r="H132" s="22" t="s">
        <v>839</v>
      </c>
      <c r="I132" s="13">
        <v>42719.785138888888</v>
      </c>
      <c r="J132" s="7">
        <v>0</v>
      </c>
      <c r="K132" s="109" t="str">
        <f t="shared" si="59"/>
        <v>4031/4032</v>
      </c>
      <c r="L132" s="22" t="str">
        <f>VLOOKUP(A132,'Trips&amp;Operators'!$C$1:$G$99999,5,FALSE)</f>
        <v>LEVIN SCOTT</v>
      </c>
      <c r="M132" s="6">
        <f t="shared" si="60"/>
        <v>2.4490740739565808E-2</v>
      </c>
      <c r="N132" s="7">
        <f t="shared" si="66"/>
        <v>35.266666664974764</v>
      </c>
      <c r="O132" s="7"/>
      <c r="P132" s="7"/>
      <c r="Q132" s="23"/>
      <c r="R132" s="23"/>
      <c r="S132" s="35">
        <f t="shared" si="67"/>
        <v>1</v>
      </c>
      <c r="T132" s="50" t="str">
        <f t="shared" si="61"/>
        <v>NorthBound</v>
      </c>
      <c r="U132" s="171">
        <f>IF(AG132="EC",COUNTIFS(Variables!$M$2:$M$19,IF(T132="NorthBound","&gt;=","&lt;=")&amp;Y132,Variables!$M$2:$M$19,IF(T132="NorthBound","&lt;=","&gt;=")&amp;Z132),COUNTIFS(Variables!$P$2:$P$19,IF(T132="NorthBound","&gt;=","&lt;=")&amp;Y132,Variables!$P$2:$P$19,IF(T132="NorthBound","&lt;=","&gt;=")&amp;Z132))</f>
        <v>12</v>
      </c>
      <c r="V132" s="98" t="str">
        <f t="shared" si="43"/>
        <v>https://search-rtdc-monitor-bjffxe2xuh6vdkpspy63sjmuny.us-east-1.es.amazonaws.com/_plugin/kibana/#/discover/Steve-Slow-Train-Analysis-(2080s-and-2083s)?_g=(refreshInterval:(display:Off,section:0,value:0),time:(from:'2016-12-15 17:10:59-700',mode:absolute,to:'2016-12-15 19:50:36-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32" s="52" t="str">
        <f t="shared" si="62"/>
        <v>N</v>
      </c>
      <c r="X132" s="177">
        <f t="shared" si="58"/>
        <v>1</v>
      </c>
      <c r="Y132" s="67">
        <f t="shared" si="56"/>
        <v>4.07E-2</v>
      </c>
      <c r="Z132" s="67">
        <f t="shared" si="57"/>
        <v>23.334199999999999</v>
      </c>
      <c r="AA132" s="67">
        <f t="shared" si="63"/>
        <v>23.293499999999998</v>
      </c>
      <c r="AB132" s="64" t="e">
        <f>VLOOKUP(A132,Enforcements!$C$7:$K$18,8,0)</f>
        <v>#N/A</v>
      </c>
      <c r="AC132" s="60" t="e">
        <f>VLOOKUP(A132,Enforcements!$C$7:$E$18,3,0)</f>
        <v>#N/A</v>
      </c>
      <c r="AD132" s="61" t="str">
        <f t="shared" si="64"/>
        <v>0217-15</v>
      </c>
      <c r="AE132" s="91" t="str">
        <f t="shared" si="47"/>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132" s="88" t="str">
        <f t="shared" si="48"/>
        <v>"C:\Program Files (x86)\AstroGrep\AstroGrep.exe" /spath="%USERPROFILE%\AppData\Local\Temp\OnboardLogs" /stypes="app*4031*20161216*" /stext=" 01:.+((SYSTEM_STATE.+slice.+state.+changed )|(ment ac)|(multiple cpu faults)|(system.+state.+changed )|(\[timeout)|(PRM\|1\|D)|(kpr)|(kdp)|(\|lc)|(penalty))" /e /r /s</v>
      </c>
      <c r="AG132" s="1" t="str">
        <f t="shared" si="65"/>
        <v>EC</v>
      </c>
      <c r="AH132" s="92" t="str">
        <f t="shared" si="50"/>
        <v>"%USERPROFILE%\Documents\GitHub\eaglep3\Utilities\RefineRTDCRunTimes.py" --tripid 217-15 --locoid 4031 --swversion DE.1.0.8.0 --startMP 204:407 --initTime 2016-12-15T18:10:59 --startdatetime 2016-12-15T18:15:20 --delay 2 --endMP 204:233342 --enddatetime 2016-12-15T18:50:36 --enforcementcount 0 &gt;&gt;C:\Users\stu\Documents\GitHub\eaglep3-reporting\EC\2016-12-15-refined-times.txt</v>
      </c>
      <c r="AI132" s="119" t="str">
        <f t="shared" si="51"/>
        <v>echo {"issue":{"subject":"","project_id":79,"tracker_id":40,"status_id":1,"priority_id":2,"assigned_to_id":23,"start_date":"2016-12-15","description":"","custom_fields":[{"id":1,"name":"Subdivision","value":"EC"},{"id":4,"name":"Milepost","value":"23.3342"},{"id":17,"name":"Train ID","value":"217-15"},{"id":16,"name":"Locomotive ID","value":"4031"},{"id":130,"name":"Impact","value":""},{"id":150,"name":"Time of Event (Mountain Time)","value":"18:50:36"},{"id":151,"name":"Denver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row>
    <row r="133" spans="1:91" s="21" customFormat="1" x14ac:dyDescent="0.25">
      <c r="A133" s="37" t="s">
        <v>747</v>
      </c>
      <c r="B133" s="7">
        <v>4032</v>
      </c>
      <c r="C133" s="22" t="s">
        <v>207</v>
      </c>
      <c r="D133" s="22" t="s">
        <v>840</v>
      </c>
      <c r="E133" s="13">
        <v>42719.792962962965</v>
      </c>
      <c r="F133" s="13">
        <v>42719.799571759257</v>
      </c>
      <c r="G133" s="7">
        <v>1</v>
      </c>
      <c r="H133" s="22" t="s">
        <v>347</v>
      </c>
      <c r="I133" s="13">
        <v>42719.825879629629</v>
      </c>
      <c r="J133" s="7">
        <v>0</v>
      </c>
      <c r="K133" s="109" t="str">
        <f t="shared" si="59"/>
        <v>4031/4032</v>
      </c>
      <c r="L133" s="22" t="str">
        <f>VLOOKUP(A133,'Trips&amp;Operators'!$C$1:$G$99999,5,FALSE)</f>
        <v>LEVIN SCOTT</v>
      </c>
      <c r="M133" s="6">
        <f t="shared" si="60"/>
        <v>2.6307870371965691E-2</v>
      </c>
      <c r="N133" s="7">
        <f t="shared" si="66"/>
        <v>37.883333335630596</v>
      </c>
      <c r="O133" s="7"/>
      <c r="P133" s="7"/>
      <c r="Q133" s="23"/>
      <c r="R133" s="23"/>
      <c r="S133" s="35">
        <f t="shared" si="67"/>
        <v>1</v>
      </c>
      <c r="T133" s="50" t="str">
        <f t="shared" si="61"/>
        <v>Southbound</v>
      </c>
      <c r="U133" s="171">
        <f>IF(AG133="EC",COUNTIFS(Variables!$M$2:$M$19,IF(T133="NorthBound","&gt;=","&lt;=")&amp;Y133,Variables!$M$2:$M$19,IF(T133="NorthBound","&lt;=","&gt;=")&amp;Z133),COUNTIFS(Variables!$P$2:$P$19,IF(T133="NorthBound","&gt;=","&lt;=")&amp;Y133,Variables!$P$2:$P$19,IF(T133="NorthBound","&lt;=","&gt;=")&amp;Z133))</f>
        <v>12</v>
      </c>
      <c r="V133" s="98" t="str">
        <f t="shared" si="43"/>
        <v>https://search-rtdc-monitor-bjffxe2xuh6vdkpspy63sjmuny.us-east-1.es.amazonaws.com/_plugin/kibana/#/discover/Steve-Slow-Train-Analysis-(2080s-and-2083s)?_g=(refreshInterval:(display:Off,section:0,value:0),time:(from:'2016-12-15 18:01:52-700',mode:absolute,to:'2016-12-15 20:49:16-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33" s="52" t="str">
        <f t="shared" si="62"/>
        <v>N</v>
      </c>
      <c r="X133" s="177">
        <f t="shared" si="58"/>
        <v>1</v>
      </c>
      <c r="Y133" s="67">
        <f t="shared" si="56"/>
        <v>23.303000000000001</v>
      </c>
      <c r="Z133" s="67">
        <f t="shared" si="57"/>
        <v>1.38E-2</v>
      </c>
      <c r="AA133" s="67">
        <f t="shared" si="63"/>
        <v>23.289200000000001</v>
      </c>
      <c r="AB133" s="64" t="e">
        <f>VLOOKUP(A133,Enforcements!$C$7:$K$18,8,0)</f>
        <v>#N/A</v>
      </c>
      <c r="AC133" s="60" t="e">
        <f>VLOOKUP(A133,Enforcements!$C$7:$E$18,3,0)</f>
        <v>#N/A</v>
      </c>
      <c r="AD133" s="61" t="str">
        <f t="shared" si="64"/>
        <v>0218-15</v>
      </c>
      <c r="AE133" s="91" t="str">
        <f t="shared" si="47"/>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133" s="88" t="str">
        <f t="shared" si="48"/>
        <v>"C:\Program Files (x86)\AstroGrep\AstroGrep.exe" /spath="%USERPROFILE%\AppData\Local\Temp\OnboardLogs" /stypes="app*4032*20161216*" /stext=" 02:.+((SYSTEM_STATE.+slice.+state.+changed )|(ment ac)|(multiple cpu faults)|(system.+state.+changed )|(\[timeout)|(PRM\|1\|D)|(kpr)|(kdp)|(\|lc)|(penalty))" /e /r /s</v>
      </c>
      <c r="AG133" s="1" t="str">
        <f t="shared" si="65"/>
        <v>EC</v>
      </c>
      <c r="AH133" s="92" t="str">
        <f t="shared" si="50"/>
        <v>"%USERPROFILE%\Documents\GitHub\eaglep3\Utilities\RefineRTDCRunTimes.py" --tripid 218-15 --locoid 4032 --swversion DE.1.0.8.0 --startMP 204:233030 --initTime 2016-12-15T19:01:52 --startdatetime 2016-12-15T19:11:23 --delay 1 --endMP 204:138 --enddatetime 2016-12-15T19:49:16 --enforcementcount 0 &gt;&gt;C:\Users\stu\Documents\GitHub\eaglep3-reporting\EC\2016-12-15-refined-times.txt</v>
      </c>
      <c r="AI133" s="119" t="str">
        <f t="shared" si="51"/>
        <v>echo {"issue":{"subject":"","project_id":79,"tracker_id":40,"status_id":1,"priority_id":2,"assigned_to_id":23,"start_date":"2016-12-15","description":"","custom_fields":[{"id":1,"name":"Subdivision","value":"EC"},{"id":4,"name":"Milepost","value":"0.0138"},{"id":17,"name":"Train ID","value":"218-15"},{"id":16,"name":"Locomotive ID","value":"4032"},{"id":130,"name":"Impact","value":""},{"id":150,"name":"Time of Event (Mountain Time)","value":"19:49:16"},{"id":151,"name":"Denver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1" customFormat="1" x14ac:dyDescent="0.25">
      <c r="A134" s="37" t="s">
        <v>740</v>
      </c>
      <c r="B134" s="7">
        <v>4029</v>
      </c>
      <c r="C134" s="22" t="s">
        <v>207</v>
      </c>
      <c r="D134" s="22" t="s">
        <v>309</v>
      </c>
      <c r="E134" s="13">
        <v>42719.768159722225</v>
      </c>
      <c r="F134" s="13">
        <v>42719.771307870367</v>
      </c>
      <c r="G134" s="7">
        <v>1</v>
      </c>
      <c r="H134" s="22" t="s">
        <v>406</v>
      </c>
      <c r="I134" s="13">
        <v>42719.796018518522</v>
      </c>
      <c r="J134" s="7">
        <v>0</v>
      </c>
      <c r="K134" s="109" t="str">
        <f t="shared" si="59"/>
        <v>4029/4030</v>
      </c>
      <c r="L134" s="22" t="str">
        <f>VLOOKUP(A134,'Trips&amp;Operators'!$C$1:$G$99999,5,FALSE)</f>
        <v>STAMBAUGH JAMES</v>
      </c>
      <c r="M134" s="6">
        <f t="shared" si="60"/>
        <v>2.4710648154723458E-2</v>
      </c>
      <c r="N134" s="7">
        <f t="shared" si="66"/>
        <v>35.58333334280178</v>
      </c>
      <c r="O134" s="7"/>
      <c r="P134" s="7"/>
      <c r="Q134" s="23"/>
      <c r="R134" s="23"/>
      <c r="S134" s="35">
        <f t="shared" si="67"/>
        <v>1</v>
      </c>
      <c r="T134" s="50" t="str">
        <f t="shared" si="61"/>
        <v>NorthBound</v>
      </c>
      <c r="U134" s="171">
        <f>IF(AG134="EC",COUNTIFS(Variables!$M$2:$M$19,IF(T134="NorthBound","&gt;=","&lt;=")&amp;Y134,Variables!$M$2:$M$19,IF(T134="NorthBound","&lt;=","&gt;=")&amp;Z134),COUNTIFS(Variables!$P$2:$P$19,IF(T134="NorthBound","&gt;=","&lt;=")&amp;Y134,Variables!$P$2:$P$19,IF(T134="NorthBound","&lt;=","&gt;=")&amp;Z134))</f>
        <v>12</v>
      </c>
      <c r="V134" s="98" t="str">
        <f t="shared" si="43"/>
        <v>https://search-rtdc-monitor-bjffxe2xuh6vdkpspy63sjmuny.us-east-1.es.amazonaws.com/_plugin/kibana/#/discover/Steve-Slow-Train-Analysis-(2080s-and-2083s)?_g=(refreshInterval:(display:Off,section:0,value:0),time:(from:'2016-12-15 17:26:09-700',mode:absolute,to:'2016-12-15 20:06:16-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134" s="52" t="str">
        <f t="shared" si="62"/>
        <v>N</v>
      </c>
      <c r="X134" s="177">
        <f t="shared" si="58"/>
        <v>1</v>
      </c>
      <c r="Y134" s="67">
        <f t="shared" si="56"/>
        <v>4.7500000000000001E-2</v>
      </c>
      <c r="Z134" s="67">
        <f t="shared" si="57"/>
        <v>23.333200000000001</v>
      </c>
      <c r="AA134" s="67">
        <f t="shared" si="63"/>
        <v>23.285700000000002</v>
      </c>
      <c r="AB134" s="64" t="e">
        <f>VLOOKUP(A134,Enforcements!$C$7:$K$18,8,0)</f>
        <v>#N/A</v>
      </c>
      <c r="AC134" s="60" t="e">
        <f>VLOOKUP(A134,Enforcements!$C$7:$E$18,3,0)</f>
        <v>#N/A</v>
      </c>
      <c r="AD134" s="61" t="str">
        <f t="shared" si="64"/>
        <v>0219-15</v>
      </c>
      <c r="AE134" s="91" t="str">
        <f t="shared" si="47"/>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134" s="88" t="str">
        <f t="shared" si="48"/>
        <v>"C:\Program Files (x86)\AstroGrep\AstroGrep.exe" /spath="%USERPROFILE%\AppData\Local\Temp\OnboardLogs" /stypes="app*4029*20161216*" /stext=" 02:.+((SYSTEM_STATE.+slice.+state.+changed )|(ment ac)|(multiple cpu faults)|(system.+state.+changed )|(\[timeout)|(PRM\|1\|D)|(kpr)|(kdp)|(\|lc)|(penalty))" /e /r /s</v>
      </c>
      <c r="AG134" s="1" t="str">
        <f t="shared" si="65"/>
        <v>EC</v>
      </c>
      <c r="AH134" s="92" t="str">
        <f t="shared" si="50"/>
        <v>"%USERPROFILE%\Documents\GitHub\eaglep3\Utilities\RefineRTDCRunTimes.py" --tripid 219-15 --locoid 4029 --swversion DE.1.0.8.0 --startMP 204:475 --initTime 2016-12-15T18:26:09 --startdatetime 2016-12-15T18:30:41 --delay 1 --endMP 204:233332 --enddatetime 2016-12-15T19:06:16 --enforcementcount 0 &gt;&gt;C:\Users\stu\Documents\GitHub\eaglep3-reporting\EC\2016-12-15-refined-times.txt</v>
      </c>
      <c r="AI134" s="119" t="str">
        <f t="shared" si="51"/>
        <v>echo {"issue":{"subject":"","project_id":79,"tracker_id":40,"status_id":1,"priority_id":2,"assigned_to_id":23,"start_date":"2016-12-15","description":"","custom_fields":[{"id":1,"name":"Subdivision","value":"EC"},{"id":4,"name":"Milepost","value":"23.3332"},{"id":17,"name":"Train ID","value":"219-15"},{"id":16,"name":"Locomotive ID","value":"4029"},{"id":130,"name":"Impact","value":""},{"id":150,"name":"Time of Event (Mountain Time)","value":"19:06:16"},{"id":151,"name":"Denver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749</v>
      </c>
      <c r="B135" s="7">
        <v>4030</v>
      </c>
      <c r="C135" s="22" t="s">
        <v>207</v>
      </c>
      <c r="D135" s="22" t="s">
        <v>840</v>
      </c>
      <c r="E135" s="13">
        <v>42719.798055555555</v>
      </c>
      <c r="F135" s="13">
        <v>42719.81</v>
      </c>
      <c r="G135" s="7">
        <v>14</v>
      </c>
      <c r="H135" s="22" t="s">
        <v>841</v>
      </c>
      <c r="I135" s="13">
        <v>42719.836192129631</v>
      </c>
      <c r="J135" s="7">
        <v>0</v>
      </c>
      <c r="K135" s="109" t="str">
        <f t="shared" si="59"/>
        <v>4029/4030</v>
      </c>
      <c r="L135" s="22" t="str">
        <f>VLOOKUP(A135,'Trips&amp;Operators'!$C$1:$G$99999,5,FALSE)</f>
        <v>STAMBAUGH JAMES</v>
      </c>
      <c r="M135" s="6">
        <f t="shared" si="60"/>
        <v>2.6192129633272998E-2</v>
      </c>
      <c r="N135" s="7">
        <f t="shared" si="66"/>
        <v>37.716666671913117</v>
      </c>
      <c r="O135" s="7"/>
      <c r="P135" s="7"/>
      <c r="Q135" s="23"/>
      <c r="R135" s="23"/>
      <c r="S135" s="35">
        <f t="shared" si="67"/>
        <v>1</v>
      </c>
      <c r="T135" s="50" t="str">
        <f t="shared" si="61"/>
        <v>Southbound</v>
      </c>
      <c r="U135" s="171">
        <f>IF(AG135="EC",COUNTIFS(Variables!$M$2:$M$19,IF(T135="NorthBound","&gt;=","&lt;=")&amp;Y135,Variables!$M$2:$M$19,IF(T135="NorthBound","&lt;=","&gt;=")&amp;Z135),COUNTIFS(Variables!$P$2:$P$19,IF(T135="NorthBound","&gt;=","&lt;=")&amp;Y135,Variables!$P$2:$P$19,IF(T135="NorthBound","&lt;=","&gt;=")&amp;Z135))</f>
        <v>12</v>
      </c>
      <c r="V135" s="98" t="str">
        <f t="shared" si="43"/>
        <v>https://search-rtdc-monitor-bjffxe2xuh6vdkpspy63sjmuny.us-east-1.es.amazonaws.com/_plugin/kibana/#/discover/Steve-Slow-Train-Analysis-(2080s-and-2083s)?_g=(refreshInterval:(display:Off,section:0,value:0),time:(from:'2016-12-15 18:09:12-700',mode:absolute,to:'2016-12-15 21:04:07-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135" s="52" t="str">
        <f t="shared" si="62"/>
        <v>N</v>
      </c>
      <c r="X135" s="177">
        <f t="shared" si="58"/>
        <v>1</v>
      </c>
      <c r="Y135" s="67">
        <f t="shared" si="56"/>
        <v>23.303000000000001</v>
      </c>
      <c r="Z135" s="67">
        <f t="shared" si="57"/>
        <v>1.14E-2</v>
      </c>
      <c r="AA135" s="67">
        <f t="shared" si="63"/>
        <v>23.291600000000003</v>
      </c>
      <c r="AB135" s="64" t="e">
        <f>VLOOKUP(A135,Enforcements!$C$7:$K$18,8,0)</f>
        <v>#N/A</v>
      </c>
      <c r="AC135" s="60" t="e">
        <f>VLOOKUP(A135,Enforcements!$C$7:$E$18,3,0)</f>
        <v>#N/A</v>
      </c>
      <c r="AD135" s="61" t="str">
        <f t="shared" si="64"/>
        <v>0220-15</v>
      </c>
      <c r="AE135" s="91" t="str">
        <f t="shared" si="47"/>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135" s="88" t="str">
        <f t="shared" si="48"/>
        <v>"C:\Program Files (x86)\AstroGrep\AstroGrep.exe" /spath="%USERPROFILE%\AppData\Local\Temp\OnboardLogs" /stypes="app*4030*20161216*" /stext=" 03:.+((SYSTEM_STATE.+slice.+state.+changed )|(ment ac)|(multiple cpu faults)|(system.+state.+changed )|(\[timeout)|(PRM\|1\|D)|(kpr)|(kdp)|(\|lc)|(penalty))" /e /r /s</v>
      </c>
      <c r="AG135" s="1" t="str">
        <f t="shared" si="65"/>
        <v>EC</v>
      </c>
      <c r="AH135" s="92" t="str">
        <f t="shared" si="50"/>
        <v>"%USERPROFILE%\Documents\GitHub\eaglep3\Utilities\RefineRTDCRunTimes.py" --tripid 220-15 --locoid 4030 --swversion DE.1.0.8.0 --startMP 204:233030 --initTime 2016-12-15T19:09:12 --startdatetime 2016-12-15T19:26:24 --delay 14 --endMP 204:114 --enddatetime 2016-12-15T20:04:07 --enforcementcount 0 &gt;&gt;C:\Users\stu\Documents\GitHub\eaglep3-reporting\EC\2016-12-15-refined-times.txt</v>
      </c>
      <c r="AI135" s="119" t="str">
        <f t="shared" si="51"/>
        <v>echo {"issue":{"subject":"","project_id":79,"tracker_id":40,"status_id":1,"priority_id":2,"assigned_to_id":23,"start_date":"2016-12-15","description":"","custom_fields":[{"id":1,"name":"Subdivision","value":"EC"},{"id":4,"name":"Milepost","value":"0.0114"},{"id":17,"name":"Train ID","value":"220-15"},{"id":16,"name":"Locomotive ID","value":"4030"},{"id":130,"name":"Impact","value":""},{"id":150,"name":"Time of Event (Mountain Time)","value":"20:04:07"},{"id":151,"name":"Denver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746</v>
      </c>
      <c r="B136" s="7">
        <v>4003</v>
      </c>
      <c r="C136" s="22" t="s">
        <v>207</v>
      </c>
      <c r="D136" s="22" t="s">
        <v>405</v>
      </c>
      <c r="E136" s="13">
        <v>42719.787523148145</v>
      </c>
      <c r="F136" s="13">
        <v>42719.791898148149</v>
      </c>
      <c r="G136" s="7">
        <v>1</v>
      </c>
      <c r="H136" s="22" t="s">
        <v>300</v>
      </c>
      <c r="I136" s="13">
        <v>42719.817453703705</v>
      </c>
      <c r="J136" s="7">
        <v>0</v>
      </c>
      <c r="K136" s="109" t="str">
        <f t="shared" si="59"/>
        <v>4003/4004</v>
      </c>
      <c r="L136" s="22" t="str">
        <f>VLOOKUP(A136,'Trips&amp;Operators'!$C$1:$G$99999,5,FALSE)</f>
        <v>COMELLA JUSTIN</v>
      </c>
      <c r="M136" s="6">
        <f t="shared" si="60"/>
        <v>2.5555555555911269E-2</v>
      </c>
      <c r="N136" s="7">
        <f t="shared" si="66"/>
        <v>36.800000000512227</v>
      </c>
      <c r="O136" s="7"/>
      <c r="P136" s="7"/>
      <c r="Q136" s="23"/>
      <c r="R136" s="23"/>
      <c r="S136" s="35">
        <f t="shared" si="67"/>
        <v>1</v>
      </c>
      <c r="T136" s="50" t="str">
        <f t="shared" si="61"/>
        <v>NorthBound</v>
      </c>
      <c r="U136" s="171">
        <f>IF(AG136="EC",COUNTIFS(Variables!$M$2:$M$19,IF(T136="NorthBound","&gt;=","&lt;=")&amp;Y136,Variables!$M$2:$M$19,IF(T136="NorthBound","&lt;=","&gt;=")&amp;Z136),COUNTIFS(Variables!$P$2:$P$19,IF(T136="NorthBound","&gt;=","&lt;=")&amp;Y136,Variables!$P$2:$P$19,IF(T136="NorthBound","&lt;=","&gt;=")&amp;Z136))</f>
        <v>12</v>
      </c>
      <c r="V136" s="98" t="str">
        <f t="shared" si="43"/>
        <v>https://search-rtdc-monitor-bjffxe2xuh6vdkpspy63sjmuny.us-east-1.es.amazonaws.com/_plugin/kibana/#/discover/Steve-Slow-Train-Analysis-(2080s-and-2083s)?_g=(refreshInterval:(display:Off,section:0,value:0),time:(from:'2016-12-15 17:54:02-700',mode:absolute,to:'2016-12-15 20:37: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136" s="52" t="str">
        <f t="shared" si="62"/>
        <v>N</v>
      </c>
      <c r="X136" s="177">
        <f t="shared" si="58"/>
        <v>1</v>
      </c>
      <c r="Y136" s="67">
        <f t="shared" si="56"/>
        <v>4.5699999999999998E-2</v>
      </c>
      <c r="Z136" s="67">
        <f t="shared" si="57"/>
        <v>23.3293</v>
      </c>
      <c r="AA136" s="67">
        <f t="shared" si="63"/>
        <v>23.2836</v>
      </c>
      <c r="AB136" s="64" t="e">
        <f>VLOOKUP(A136,Enforcements!$C$7:$K$18,8,0)</f>
        <v>#N/A</v>
      </c>
      <c r="AC136" s="60" t="e">
        <f>VLOOKUP(A136,Enforcements!$C$7:$E$18,3,0)</f>
        <v>#N/A</v>
      </c>
      <c r="AD136" s="61" t="str">
        <f t="shared" si="64"/>
        <v>0221-15</v>
      </c>
      <c r="AE136" s="91" t="str">
        <f t="shared" si="47"/>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136" s="88" t="str">
        <f t="shared" si="48"/>
        <v>"C:\Program Files (x86)\AstroGrep\AstroGrep.exe" /spath="%USERPROFILE%\AppData\Local\Temp\OnboardLogs" /stypes="app*4003*20161216*" /stext=" 02:.+((SYSTEM_STATE.+slice.+state.+changed )|(ment ac)|(multiple cpu faults)|(system.+state.+changed )|(\[timeout)|(PRM\|1\|D)|(kpr)|(kdp)|(\|lc)|(penalty))" /e /r /s</v>
      </c>
      <c r="AG136" s="1" t="str">
        <f t="shared" si="65"/>
        <v>EC</v>
      </c>
      <c r="AH136" s="92" t="str">
        <f t="shared" si="50"/>
        <v>"%USERPROFILE%\Documents\GitHub\eaglep3\Utilities\RefineRTDCRunTimes.py" --tripid 221-15 --locoid 4003 --swversion DE.1.0.8.0 --startMP 204:457 --initTime 2016-12-15T18:54:02 --startdatetime 2016-12-15T19:00:20 --delay 1 --endMP 204:233293 --enddatetime 2016-12-15T19:37:08 --enforcementcount 0 &gt;&gt;C:\Users\stu\Documents\GitHub\eaglep3-reporting\EC\2016-12-15-refined-times.txt</v>
      </c>
      <c r="AI136" s="119" t="str">
        <f t="shared" si="51"/>
        <v>echo {"issue":{"subject":"","project_id":79,"tracker_id":40,"status_id":1,"priority_id":2,"assigned_to_id":23,"start_date":"2016-12-15","description":"","custom_fields":[{"id":1,"name":"Subdivision","value":"EC"},{"id":4,"name":"Milepost","value":"23.3293"},{"id":17,"name":"Train ID","value":"221-15"},{"id":16,"name":"Locomotive ID","value":"4003"},{"id":130,"name":"Impact","value":""},{"id":150,"name":"Time of Event (Mountain Time)","value":"19:37:08"},{"id":151,"name":"Denver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1" customFormat="1" x14ac:dyDescent="0.25">
      <c r="A137" s="37" t="s">
        <v>579</v>
      </c>
      <c r="B137" s="7">
        <v>4004</v>
      </c>
      <c r="C137" s="22" t="s">
        <v>207</v>
      </c>
      <c r="D137" s="22" t="s">
        <v>301</v>
      </c>
      <c r="E137" s="13">
        <v>42719.823113425926</v>
      </c>
      <c r="F137" s="13">
        <v>42719.830810185187</v>
      </c>
      <c r="G137" s="7">
        <v>1</v>
      </c>
      <c r="H137" s="22" t="s">
        <v>291</v>
      </c>
      <c r="I137" s="13">
        <v>42719.859097222223</v>
      </c>
      <c r="J137" s="7">
        <v>0</v>
      </c>
      <c r="K137" s="109" t="str">
        <f t="shared" si="59"/>
        <v>4003/4004</v>
      </c>
      <c r="L137" s="22" t="str">
        <f>VLOOKUP(A137,'Trips&amp;Operators'!$C$1:$G$99999,5,FALSE)</f>
        <v>COMELLA JUSTIN</v>
      </c>
      <c r="M137" s="6">
        <f t="shared" si="60"/>
        <v>2.8287037035624962E-2</v>
      </c>
      <c r="N137" s="7">
        <f t="shared" si="66"/>
        <v>40.733333331299946</v>
      </c>
      <c r="O137" s="7"/>
      <c r="P137" s="7"/>
      <c r="Q137" s="23"/>
      <c r="R137" s="23"/>
      <c r="S137" s="35">
        <f t="shared" si="67"/>
        <v>1</v>
      </c>
      <c r="T137" s="50" t="str">
        <f t="shared" si="61"/>
        <v>Southbound</v>
      </c>
      <c r="U137" s="171">
        <f>IF(AG137="EC",COUNTIFS(Variables!$M$2:$M$19,IF(T137="NorthBound","&gt;=","&lt;=")&amp;Y137,Variables!$M$2:$M$19,IF(T137="NorthBound","&lt;=","&gt;=")&amp;Z137),COUNTIFS(Variables!$P$2:$P$19,IF(T137="NorthBound","&gt;=","&lt;=")&amp;Y137,Variables!$P$2:$P$19,IF(T137="NorthBound","&lt;=","&gt;=")&amp;Z137))</f>
        <v>12</v>
      </c>
      <c r="V137" s="98" t="str">
        <f t="shared" si="43"/>
        <v>https://search-rtdc-monitor-bjffxe2xuh6vdkpspy63sjmuny.us-east-1.es.amazonaws.com/_plugin/kibana/#/discover/Steve-Slow-Train-Analysis-(2080s-and-2083s)?_g=(refreshInterval:(display:Off,section:0,value:0),time:(from:'2016-12-15 18:45:17-700',mode:absolute,to:'2016-12-15 21:37:06-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137" s="52" t="str">
        <f t="shared" si="62"/>
        <v>N</v>
      </c>
      <c r="X137" s="177">
        <f t="shared" si="58"/>
        <v>1</v>
      </c>
      <c r="Y137" s="67">
        <f t="shared" ref="Y137:Y152" si="68">RIGHT(D137,LEN(D137)-4)/10000</f>
        <v>23.299099999999999</v>
      </c>
      <c r="Z137" s="67">
        <f t="shared" ref="Z137:Z152" si="69">RIGHT(H137,LEN(H137)-4)/10000</f>
        <v>1.61E-2</v>
      </c>
      <c r="AA137" s="67">
        <f t="shared" si="63"/>
        <v>23.282999999999998</v>
      </c>
      <c r="AB137" s="64" t="str">
        <f>VLOOKUP(A137,Enforcements!$C$7:$K$18,8,0)</f>
        <v>Speed (6)</v>
      </c>
      <c r="AC137" s="60" t="str">
        <f>VLOOKUP(A137,Enforcements!$C$7:$E$18,3,0)</f>
        <v>PERMANENT SPEED RESTRICTION</v>
      </c>
      <c r="AD137" s="61" t="str">
        <f t="shared" si="64"/>
        <v>0222-15</v>
      </c>
      <c r="AE137" s="91" t="str">
        <f t="shared" si="47"/>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137" s="88" t="str">
        <f t="shared" si="48"/>
        <v>"C:\Program Files (x86)\AstroGrep\AstroGrep.exe" /spath="%USERPROFILE%\AppData\Local\Temp\OnboardLogs" /stypes="app*4004*20161216*" /stext=" 03:.+((SYSTEM_STATE.+slice.+state.+changed )|(ment ac)|(multiple cpu faults)|(system.+state.+changed )|(\[timeout)|(PRM\|1\|D)|(kpr)|(kdp)|(\|lc)|(penalty))" /e /r /s</v>
      </c>
      <c r="AG137" s="1" t="str">
        <f t="shared" si="65"/>
        <v>EC</v>
      </c>
      <c r="AH137" s="92" t="str">
        <f t="shared" si="50"/>
        <v>"%USERPROFILE%\Documents\GitHub\eaglep3\Utilities\RefineRTDCRunTimes.py" --tripid 222-15 --locoid 4004 --swversion DE.1.0.8.0 --startMP 204:232991 --initTime 2016-12-15T19:45:17 --startdatetime 2016-12-15T19:56:22 --delay 1 --endMP 204:161 --enddatetime 2016-12-15T20:37:06 --enforcementcount 0 &gt;&gt;C:\Users\stu\Documents\GitHub\eaglep3-reporting\EC\2016-12-15-refined-times.txt</v>
      </c>
      <c r="AI137" s="119" t="str">
        <f t="shared" si="51"/>
        <v>echo {"issue":{"subject":"","project_id":79,"tracker_id":40,"status_id":1,"priority_id":2,"assigned_to_id":23,"start_date":"2016-12-15","description":"","custom_fields":[{"id":1,"name":"Subdivision","value":"EC"},{"id":4,"name":"Milepost","value":"0.0161"},{"id":17,"name":"Train ID","value":"222-15"},{"id":16,"name":"Locomotive ID","value":"4004"},{"id":130,"name":"Impact","value":""},{"id":150,"name":"Time of Event (Mountain Time)","value":"20:37:06"},{"id":151,"name":"Denver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21" customFormat="1" x14ac:dyDescent="0.25">
      <c r="A138" s="37" t="s">
        <v>752</v>
      </c>
      <c r="B138" s="7">
        <v>4016</v>
      </c>
      <c r="C138" s="22" t="s">
        <v>207</v>
      </c>
      <c r="D138" s="22" t="s">
        <v>235</v>
      </c>
      <c r="E138" s="13">
        <v>42719.807928240742</v>
      </c>
      <c r="F138" s="13">
        <v>42719.8127662037</v>
      </c>
      <c r="G138" s="7">
        <v>1</v>
      </c>
      <c r="H138" s="22" t="s">
        <v>808</v>
      </c>
      <c r="I138" s="13">
        <v>42719.837256944447</v>
      </c>
      <c r="J138" s="7">
        <v>0</v>
      </c>
      <c r="K138" s="109" t="str">
        <f t="shared" si="59"/>
        <v>4015/4016</v>
      </c>
      <c r="L138" s="22" t="str">
        <f>VLOOKUP(A138,'Trips&amp;Operators'!$C$1:$G$99999,5,FALSE)</f>
        <v>COOLAHAN JOHN</v>
      </c>
      <c r="M138" s="6">
        <f t="shared" si="60"/>
        <v>2.4490740746841766E-2</v>
      </c>
      <c r="N138" s="7">
        <f t="shared" si="66"/>
        <v>35.266666675452143</v>
      </c>
      <c r="O138" s="7"/>
      <c r="P138" s="7"/>
      <c r="Q138" s="23"/>
      <c r="R138" s="23"/>
      <c r="S138" s="35">
        <f t="shared" si="67"/>
        <v>1</v>
      </c>
      <c r="T138" s="50" t="str">
        <f t="shared" si="61"/>
        <v>NorthBound</v>
      </c>
      <c r="U138" s="171">
        <f>IF(AG138="EC",COUNTIFS(Variables!$M$2:$M$19,IF(T138="NorthBound","&gt;=","&lt;=")&amp;Y138,Variables!$M$2:$M$19,IF(T138="NorthBound","&lt;=","&gt;=")&amp;Z138),COUNTIFS(Variables!$P$2:$P$19,IF(T138="NorthBound","&gt;=","&lt;=")&amp;Y138,Variables!$P$2:$P$19,IF(T138="NorthBound","&lt;=","&gt;=")&amp;Z138))</f>
        <v>12</v>
      </c>
      <c r="V138" s="98" t="str">
        <f t="shared" si="43"/>
        <v>https://search-rtdc-monitor-bjffxe2xuh6vdkpspy63sjmuny.us-east-1.es.amazonaws.com/_plugin/kibana/#/discover/Steve-Slow-Train-Analysis-(2080s-and-2083s)?_g=(refreshInterval:(display:Off,section:0,value:0),time:(from:'2016-12-15 18:23:25-700',mode:absolute,to:'2016-12-15 21:05:39-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38" s="52" t="str">
        <f t="shared" si="62"/>
        <v>N</v>
      </c>
      <c r="X138" s="177">
        <f t="shared" si="58"/>
        <v>1</v>
      </c>
      <c r="Y138" s="67">
        <f t="shared" si="68"/>
        <v>4.7100000000000003E-2</v>
      </c>
      <c r="Z138" s="67">
        <f t="shared" si="69"/>
        <v>23.3325</v>
      </c>
      <c r="AA138" s="67">
        <f t="shared" si="63"/>
        <v>23.285399999999999</v>
      </c>
      <c r="AB138" s="64" t="e">
        <f>VLOOKUP(A138,Enforcements!$C$7:$K$18,8,0)</f>
        <v>#N/A</v>
      </c>
      <c r="AC138" s="60" t="e">
        <f>VLOOKUP(A138,Enforcements!$C$7:$E$18,3,0)</f>
        <v>#N/A</v>
      </c>
      <c r="AD138" s="61" t="str">
        <f t="shared" si="64"/>
        <v>0223-15</v>
      </c>
      <c r="AE138" s="91" t="str">
        <f t="shared" si="47"/>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138" s="88" t="str">
        <f t="shared" si="48"/>
        <v>"C:\Program Files (x86)\AstroGrep\AstroGrep.exe" /spath="%USERPROFILE%\AppData\Local\Temp\OnboardLogs" /stypes="app*4016*20161216*" /stext=" 03:.+((SYSTEM_STATE.+slice.+state.+changed )|(ment ac)|(multiple cpu faults)|(system.+state.+changed )|(\[timeout)|(PRM\|1\|D)|(kpr)|(kdp)|(\|lc)|(penalty))" /e /r /s</v>
      </c>
      <c r="AG138" s="1" t="str">
        <f t="shared" si="65"/>
        <v>EC</v>
      </c>
      <c r="AH138" s="92" t="str">
        <f t="shared" si="50"/>
        <v>"%USERPROFILE%\Documents\GitHub\eaglep3\Utilities\RefineRTDCRunTimes.py" --tripid 223-15 --locoid 4016 --swversion DE.1.0.8.0 --startMP 204:471 --initTime 2016-12-15T19:23:25 --startdatetime 2016-12-15T19:30:23 --delay 1 --endMP 204:233325 --enddatetime 2016-12-15T20:05:39 --enforcementcount 0 &gt;&gt;C:\Users\stu\Documents\GitHub\eaglep3-reporting\EC\2016-12-15-refined-times.txt</v>
      </c>
      <c r="AI138" s="119" t="str">
        <f t="shared" si="51"/>
        <v>echo {"issue":{"subject":"","project_id":79,"tracker_id":40,"status_id":1,"priority_id":2,"assigned_to_id":23,"start_date":"2016-12-15","description":"","custom_fields":[{"id":1,"name":"Subdivision","value":"EC"},{"id":4,"name":"Milepost","value":"23.3325"},{"id":17,"name":"Train ID","value":"223-15"},{"id":16,"name":"Locomotive ID","value":"4016"},{"id":130,"name":"Impact","value":""},{"id":150,"name":"Time of Event (Mountain Time)","value":"20:05:39"},{"id":151,"name":"Denver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1:91" s="21" customFormat="1" x14ac:dyDescent="0.25">
      <c r="A139" s="37" t="s">
        <v>757</v>
      </c>
      <c r="B139" s="7">
        <v>4015</v>
      </c>
      <c r="C139" s="22" t="s">
        <v>207</v>
      </c>
      <c r="D139" s="22" t="s">
        <v>413</v>
      </c>
      <c r="E139" s="13">
        <v>42719.846250000002</v>
      </c>
      <c r="F139" s="13">
        <v>42719.851770833331</v>
      </c>
      <c r="G139" s="7">
        <v>1</v>
      </c>
      <c r="H139" s="22" t="s">
        <v>280</v>
      </c>
      <c r="I139" s="13">
        <v>42719.878472222219</v>
      </c>
      <c r="J139" s="7">
        <v>0</v>
      </c>
      <c r="K139" s="109" t="str">
        <f t="shared" si="59"/>
        <v>4015/4016</v>
      </c>
      <c r="L139" s="22" t="str">
        <f>VLOOKUP(A139,'Trips&amp;Operators'!$C$1:$G$99999,5,FALSE)</f>
        <v>COOLAHAN JOHN</v>
      </c>
      <c r="M139" s="6">
        <f t="shared" si="60"/>
        <v>2.6701388887886424E-2</v>
      </c>
      <c r="N139" s="7">
        <f t="shared" si="66"/>
        <v>38.44999999855645</v>
      </c>
      <c r="O139" s="7"/>
      <c r="P139" s="7"/>
      <c r="Q139" s="23"/>
      <c r="R139" s="23"/>
      <c r="S139" s="35">
        <f t="shared" si="67"/>
        <v>1</v>
      </c>
      <c r="T139" s="50" t="str">
        <f t="shared" si="61"/>
        <v>Southbound</v>
      </c>
      <c r="U139" s="171">
        <f>IF(AG139="EC",COUNTIFS(Variables!$M$2:$M$19,IF(T139="NorthBound","&gt;=","&lt;=")&amp;Y139,Variables!$M$2:$M$19,IF(T139="NorthBound","&lt;=","&gt;=")&amp;Z139),COUNTIFS(Variables!$P$2:$P$19,IF(T139="NorthBound","&gt;=","&lt;=")&amp;Y139,Variables!$P$2:$P$19,IF(T139="NorthBound","&lt;=","&gt;=")&amp;Z139))</f>
        <v>12</v>
      </c>
      <c r="V139" s="98" t="str">
        <f t="shared" si="43"/>
        <v>https://search-rtdc-monitor-bjffxe2xuh6vdkpspy63sjmuny.us-east-1.es.amazonaws.com/_plugin/kibana/#/discover/Steve-Slow-Train-Analysis-(2080s-and-2083s)?_g=(refreshInterval:(display:Off,section:0,value:0),time:(from:'2016-12-15 19:18:36-700',mode:absolute,to:'2016-12-15 22:05: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39" s="52" t="str">
        <f t="shared" si="62"/>
        <v>N</v>
      </c>
      <c r="X139" s="177">
        <f t="shared" ref="X139:X150" si="70">VALUE(LEFT(AD139,4))-VALUE(LEFT(AD138,4))</f>
        <v>1</v>
      </c>
      <c r="Y139" s="67">
        <f t="shared" si="68"/>
        <v>23.300599999999999</v>
      </c>
      <c r="Z139" s="67">
        <f t="shared" si="69"/>
        <v>1.47E-2</v>
      </c>
      <c r="AA139" s="67">
        <f t="shared" si="63"/>
        <v>23.285899999999998</v>
      </c>
      <c r="AB139" s="64" t="e">
        <f>VLOOKUP(A139,Enforcements!$C$7:$K$18,8,0)</f>
        <v>#N/A</v>
      </c>
      <c r="AC139" s="60" t="e">
        <f>VLOOKUP(A139,Enforcements!$C$7:$E$18,3,0)</f>
        <v>#N/A</v>
      </c>
      <c r="AD139" s="61" t="str">
        <f t="shared" si="64"/>
        <v>0224-15</v>
      </c>
      <c r="AE139" s="91" t="str">
        <f t="shared" si="47"/>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139" s="88" t="str">
        <f t="shared" si="48"/>
        <v>"C:\Program Files (x86)\AstroGrep\AstroGrep.exe" /spath="%USERPROFILE%\AppData\Local\Temp\OnboardLogs" /stypes="app*4015*20161216*" /stext=" 04:.+((SYSTEM_STATE.+slice.+state.+changed )|(ment ac)|(multiple cpu faults)|(system.+state.+changed )|(\[timeout)|(PRM\|1\|D)|(kpr)|(kdp)|(\|lc)|(penalty))" /e /r /s</v>
      </c>
      <c r="AG139" s="1" t="str">
        <f t="shared" si="65"/>
        <v>EC</v>
      </c>
      <c r="AH139" s="92" t="str">
        <f t="shared" si="50"/>
        <v>"%USERPROFILE%\Documents\GitHub\eaglep3\Utilities\RefineRTDCRunTimes.py" --tripid 224-15 --locoid 4015 --swversion DE.1.0.8.0 --startMP 204:233006 --initTime 2016-12-15T20:18:36 --startdatetime 2016-12-15T20:26:33 --delay 1 --endMP 204:147 --enddatetime 2016-12-15T21:05:00 --enforcementcount 0 &gt;&gt;C:\Users\stu\Documents\GitHub\eaglep3-reporting\EC\2016-12-15-refined-times.txt</v>
      </c>
      <c r="AI139" s="119" t="str">
        <f t="shared" si="51"/>
        <v>echo {"issue":{"subject":"","project_id":79,"tracker_id":40,"status_id":1,"priority_id":2,"assigned_to_id":23,"start_date":"2016-12-15","description":"","custom_fields":[{"id":1,"name":"Subdivision","value":"EC"},{"id":4,"name":"Milepost","value":"0.0147"},{"id":17,"name":"Train ID","value":"224-15"},{"id":16,"name":"Locomotive ID","value":"4015"},{"id":130,"name":"Impact","value":""},{"id":150,"name":"Time of Event (Mountain Time)","value":"21:05:00"},{"id":151,"name":"Denver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1" customFormat="1" x14ac:dyDescent="0.25">
      <c r="A140" s="37" t="s">
        <v>755</v>
      </c>
      <c r="B140" s="7">
        <v>4031</v>
      </c>
      <c r="C140" s="22" t="s">
        <v>207</v>
      </c>
      <c r="D140" s="22" t="s">
        <v>262</v>
      </c>
      <c r="E140" s="13">
        <v>42719.83116898148</v>
      </c>
      <c r="F140" s="13">
        <v>42719.833518518521</v>
      </c>
      <c r="G140" s="7">
        <v>1</v>
      </c>
      <c r="H140" s="22" t="s">
        <v>804</v>
      </c>
      <c r="I140" s="13">
        <v>42719.858020833337</v>
      </c>
      <c r="J140" s="7">
        <v>0</v>
      </c>
      <c r="K140" s="109" t="str">
        <f t="shared" si="59"/>
        <v>4031/4032</v>
      </c>
      <c r="L140" s="22" t="str">
        <f>VLOOKUP(A140,'Trips&amp;Operators'!$C$1:$G$99999,5,FALSE)</f>
        <v>LEVIN SCOTT</v>
      </c>
      <c r="M140" s="6">
        <f t="shared" si="60"/>
        <v>2.4502314816345461E-2</v>
      </c>
      <c r="N140" s="7">
        <f t="shared" si="66"/>
        <v>35.283333335537463</v>
      </c>
      <c r="O140" s="7"/>
      <c r="P140" s="7"/>
      <c r="Q140" s="23"/>
      <c r="R140" s="23"/>
      <c r="S140" s="35">
        <f t="shared" si="67"/>
        <v>1</v>
      </c>
      <c r="T140" s="50" t="str">
        <f t="shared" si="61"/>
        <v>NorthBound</v>
      </c>
      <c r="U140" s="171">
        <f>IF(AG140="EC",COUNTIFS(Variables!$M$2:$M$19,IF(T140="NorthBound","&gt;=","&lt;=")&amp;Y140,Variables!$M$2:$M$19,IF(T140="NorthBound","&lt;=","&gt;=")&amp;Z140),COUNTIFS(Variables!$P$2:$P$19,IF(T140="NorthBound","&gt;=","&lt;=")&amp;Y140,Variables!$P$2:$P$19,IF(T140="NorthBound","&lt;=","&gt;=")&amp;Z140))</f>
        <v>12</v>
      </c>
      <c r="V140" s="98" t="str">
        <f t="shared" si="43"/>
        <v>https://search-rtdc-monitor-bjffxe2xuh6vdkpspy63sjmuny.us-east-1.es.amazonaws.com/_plugin/kibana/#/discover/Steve-Slow-Train-Analysis-(2080s-and-2083s)?_g=(refreshInterval:(display:Off,section:0,value:0),time:(from:'2016-12-15 18:56:53-700',mode:absolute,to:'2016-12-15 21:35:33-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40" s="52" t="str">
        <f t="shared" si="62"/>
        <v>N</v>
      </c>
      <c r="X140" s="177">
        <f t="shared" si="70"/>
        <v>1</v>
      </c>
      <c r="Y140" s="67">
        <f t="shared" si="68"/>
        <v>4.4600000000000001E-2</v>
      </c>
      <c r="Z140" s="67">
        <f t="shared" si="69"/>
        <v>23.333100000000002</v>
      </c>
      <c r="AA140" s="67">
        <f t="shared" si="63"/>
        <v>23.288500000000003</v>
      </c>
      <c r="AB140" s="64" t="e">
        <f>VLOOKUP(A140,Enforcements!$C$7:$K$18,8,0)</f>
        <v>#N/A</v>
      </c>
      <c r="AC140" s="60" t="e">
        <f>VLOOKUP(A140,Enforcements!$C$7:$E$18,3,0)</f>
        <v>#N/A</v>
      </c>
      <c r="AD140" s="61" t="str">
        <f t="shared" si="64"/>
        <v>0225-15</v>
      </c>
      <c r="AE140" s="91" t="str">
        <f t="shared" si="47"/>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140" s="88" t="str">
        <f t="shared" si="48"/>
        <v>"C:\Program Files (x86)\AstroGrep\AstroGrep.exe" /spath="%USERPROFILE%\AppData\Local\Temp\OnboardLogs" /stypes="app*4031*20161216*" /stext=" 03:.+((SYSTEM_STATE.+slice.+state.+changed )|(ment ac)|(multiple cpu faults)|(system.+state.+changed )|(\[timeout)|(PRM\|1\|D)|(kpr)|(kdp)|(\|lc)|(penalty))" /e /r /s</v>
      </c>
      <c r="AG140" s="1" t="str">
        <f t="shared" si="65"/>
        <v>EC</v>
      </c>
      <c r="AH140" s="92" t="str">
        <f t="shared" si="50"/>
        <v>"%USERPROFILE%\Documents\GitHub\eaglep3\Utilities\RefineRTDCRunTimes.py" --tripid 225-15 --locoid 4031 --swversion DE.1.0.8.0 --startMP 204:446 --initTime 2016-12-15T19:56:53 --startdatetime 2016-12-15T20:00:16 --delay 1 --endMP 204:233331 --enddatetime 2016-12-15T20:35:33 --enforcementcount 0 &gt;&gt;C:\Users\stu\Documents\GitHub\eaglep3-reporting\EC\2016-12-15-refined-times.txt</v>
      </c>
      <c r="AI140" s="119" t="str">
        <f t="shared" si="51"/>
        <v>echo {"issue":{"subject":"","project_id":79,"tracker_id":40,"status_id":1,"priority_id":2,"assigned_to_id":23,"start_date":"2016-12-15","description":"","custom_fields":[{"id":1,"name":"Subdivision","value":"EC"},{"id":4,"name":"Milepost","value":"23.3331"},{"id":17,"name":"Train ID","value":"225-15"},{"id":16,"name":"Locomotive ID","value":"4031"},{"id":130,"name":"Impact","value":""},{"id":150,"name":"Time of Event (Mountain Time)","value":"20:35:33"},{"id":151,"name":"Denver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762</v>
      </c>
      <c r="B141" s="7">
        <v>4032</v>
      </c>
      <c r="C141" s="22" t="s">
        <v>207</v>
      </c>
      <c r="D141" s="22" t="s">
        <v>409</v>
      </c>
      <c r="E141" s="13">
        <v>42719.87</v>
      </c>
      <c r="F141" s="13">
        <v>42719.872442129628</v>
      </c>
      <c r="G141" s="7">
        <v>1</v>
      </c>
      <c r="H141" s="22" t="s">
        <v>298</v>
      </c>
      <c r="I141" s="13">
        <v>42719.898668981485</v>
      </c>
      <c r="J141" s="7">
        <v>0</v>
      </c>
      <c r="K141" s="109" t="str">
        <f t="shared" ref="K141:K152" si="71">IF(ISEVEN(B141),(B141-1)&amp;"/"&amp;B141,B141&amp;"/"&amp;(B141+1))</f>
        <v>4031/4032</v>
      </c>
      <c r="L141" s="22" t="str">
        <f>VLOOKUP(A141,'Trips&amp;Operators'!$C$1:$G$99999,5,FALSE)</f>
        <v>LEVIN SCOTT</v>
      </c>
      <c r="M141" s="6">
        <f t="shared" ref="M141:M152" si="72">I141-F141</f>
        <v>2.6226851856335998E-2</v>
      </c>
      <c r="N141" s="7">
        <f t="shared" si="66"/>
        <v>37.766666673123837</v>
      </c>
      <c r="O141" s="7"/>
      <c r="P141" s="7"/>
      <c r="Q141" s="23"/>
      <c r="R141" s="23"/>
      <c r="S141" s="35">
        <f t="shared" si="67"/>
        <v>1</v>
      </c>
      <c r="T141" s="50" t="str">
        <f t="shared" ref="T141:T152" si="73">IF(ISEVEN(LEFT(AD141,4)),"Southbound","NorthBound")</f>
        <v>Southbound</v>
      </c>
      <c r="U141" s="171">
        <f>IF(AG141="EC",COUNTIFS(Variables!$M$2:$M$19,IF(T141="NorthBound","&gt;=","&lt;=")&amp;Y141,Variables!$M$2:$M$19,IF(T141="NorthBound","&lt;=","&gt;=")&amp;Z141),COUNTIFS(Variables!$P$2:$P$19,IF(T141="NorthBound","&gt;=","&lt;=")&amp;Y141,Variables!$P$2:$P$19,IF(T141="NorthBound","&lt;=","&gt;=")&amp;Z141))</f>
        <v>12</v>
      </c>
      <c r="V141" s="98" t="str">
        <f t="shared" ref="V141:V204" si="74">"https://search-rtdc-monitor-bjffxe2xuh6vdkpspy63sjmuny.us-east-1.es.amazonaws.com/_plugin/kibana/#/discover/Steve-Slow-Train-Analysis-(2080s-and-2083s)?_g=(refreshInterval:(display:Off,section:0,value:0),time:(from:'"&amp;TEXT(E141-1/24,"yyyy-MM-DD hh:mm:ss")&amp;utc_offset&amp;"00',mode:absolute,to:'"&amp;TEXT(I141+1/24,"yyyy-MM-DD hh:mm:ss")&amp;utc_offset&amp;"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https://search-rtdc-monitor-bjffxe2xuh6vdkpspy63sjmuny.us-east-1.es.amazonaws.com/_plugin/kibana/#/discover/Steve-Slow-Train-Analysis-(2080s-and-2083s)?_g=(refreshInterval:(display:Off,section:0,value:0),time:(from:'2016-12-15 19:52:48-700',mode:absolute,to:'2016-12-15 22:34:05-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41" s="52" t="str">
        <f t="shared" ref="W141:W152" si="75">IF(AA141&lt;IF(AG141="EC",23,5.65),"Y","N")</f>
        <v>N</v>
      </c>
      <c r="X141" s="177">
        <f t="shared" si="70"/>
        <v>1</v>
      </c>
      <c r="Y141" s="67">
        <f t="shared" si="68"/>
        <v>23.3</v>
      </c>
      <c r="Z141" s="67">
        <f t="shared" si="69"/>
        <v>1.5800000000000002E-2</v>
      </c>
      <c r="AA141" s="67">
        <f t="shared" ref="AA141:AA152" si="76">ABS(Z141-Y141)</f>
        <v>23.284200000000002</v>
      </c>
      <c r="AB141" s="64" t="e">
        <f>VLOOKUP(A141,Enforcements!$C$7:$K$18,8,0)</f>
        <v>#N/A</v>
      </c>
      <c r="AC141" s="60" t="e">
        <f>VLOOKUP(A141,Enforcements!$C$7:$E$18,3,0)</f>
        <v>#N/A</v>
      </c>
      <c r="AD141" s="61" t="str">
        <f t="shared" ref="AD141:AD152" si="77">IF(LEN(A141)=6,"0"&amp;A141,A141)</f>
        <v>0226-15</v>
      </c>
      <c r="AE141" s="91" t="str">
        <f t="shared" ref="AE141:AE204" si="78">"aws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141" s="88" t="str">
        <f t="shared" ref="AF141:AF204" si="79">astrogrep_path&amp;" /spath="&amp;search_path&amp;" /stypes=""app*"&amp;B141&amp;"*"&amp;TEXT(I141-utc_offset/24,"YYYYMMDD")&amp;"*"" /stext="" "&amp;TEXT(I141-utc_offset/24,"HH")&amp;search_regexp&amp;""" /e /r /s"</f>
        <v>"C:\Program Files (x86)\AstroGrep\AstroGrep.exe" /spath="%USERPROFILE%\AppData\Local\Temp\OnboardLogs" /stypes="app*4032*20161216*" /stext=" 04:.+((SYSTEM_STATE.+slice.+state.+changed )|(ment ac)|(multiple cpu faults)|(system.+state.+changed )|(\[timeout)|(PRM\|1\|D)|(kpr)|(kdp)|(\|lc)|(penalty))" /e /r /s</v>
      </c>
      <c r="AG141" s="1" t="str">
        <f t="shared" ref="AG141:AG152" si="80">IFERROR(IF(VALUE(LEFT(AD141,2))&lt;=2,"EC",IF(OR(VALUE(LEFT(AD141,2))=8,VALUE(LEFT(AD141,2))=18),"NW","Other")),"Other")</f>
        <v>EC</v>
      </c>
      <c r="AH141" s="92" t="str">
        <f t="shared" si="50"/>
        <v>"%USERPROFILE%\Documents\GitHub\eaglep3\Utilities\RefineRTDCRunTimes.py" --tripid 226-15 --locoid 4032 --swversion DE.1.0.8.0 --startMP 204:233000 --initTime 2016-12-15T20:52:48 --startdatetime 2016-12-15T20:56:19 --delay 1 --endMP 204:158 --enddatetime 2016-12-15T21:34:05 --enforcementcount 0 &gt;&gt;C:\Users\stu\Documents\GitHub\eaglep3-reporting\EC\2016-12-15-refined-times.txt</v>
      </c>
      <c r="AI141" s="119" t="str">
        <f t="shared" si="51"/>
        <v>echo {"issue":{"subject":"","project_id":79,"tracker_id":40,"status_id":1,"priority_id":2,"assigned_to_id":23,"start_date":"2016-12-15","description":"","custom_fields":[{"id":1,"name":"Subdivision","value":"EC"},{"id":4,"name":"Milepost","value":"0.0158"},{"id":17,"name":"Train ID","value":"226-15"},{"id":16,"name":"Locomotive ID","value":"4032"},{"id":130,"name":"Impact","value":""},{"id":150,"name":"Time of Event (Mountain Time)","value":"21:34:05"},{"id":151,"name":"Denver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758</v>
      </c>
      <c r="B142" s="7">
        <v>4029</v>
      </c>
      <c r="C142" s="22" t="s">
        <v>207</v>
      </c>
      <c r="D142" s="22" t="s">
        <v>405</v>
      </c>
      <c r="E142" s="13">
        <v>42719.849004629628</v>
      </c>
      <c r="F142" s="13">
        <v>42719.854386574072</v>
      </c>
      <c r="G142" s="7">
        <v>2</v>
      </c>
      <c r="H142" s="22" t="s">
        <v>401</v>
      </c>
      <c r="I142" s="13">
        <v>42719.879594907405</v>
      </c>
      <c r="J142" s="7">
        <v>0</v>
      </c>
      <c r="K142" s="109" t="str">
        <f t="shared" si="71"/>
        <v>4029/4030</v>
      </c>
      <c r="L142" s="22" t="str">
        <f>VLOOKUP(A142,'Trips&amp;Operators'!$C$1:$G$99999,5,FALSE)</f>
        <v>LALONDE GREGORY</v>
      </c>
      <c r="M142" s="6">
        <f t="shared" si="72"/>
        <v>2.5208333332557231E-2</v>
      </c>
      <c r="N142" s="7">
        <f t="shared" si="66"/>
        <v>36.299999998882413</v>
      </c>
      <c r="O142" s="7"/>
      <c r="P142" s="7"/>
      <c r="Q142" s="23"/>
      <c r="R142" s="23"/>
      <c r="S142" s="35">
        <f t="shared" si="67"/>
        <v>1</v>
      </c>
      <c r="T142" s="50" t="str">
        <f t="shared" si="73"/>
        <v>NorthBound</v>
      </c>
      <c r="U142" s="171">
        <f>IF(AG142="EC",COUNTIFS(Variables!$M$2:$M$19,IF(T142="NorthBound","&gt;=","&lt;=")&amp;Y142,Variables!$M$2:$M$19,IF(T142="NorthBound","&lt;=","&gt;=")&amp;Z142),COUNTIFS(Variables!$P$2:$P$19,IF(T142="NorthBound","&gt;=","&lt;=")&amp;Y142,Variables!$P$2:$P$19,IF(T142="NorthBound","&lt;=","&gt;=")&amp;Z142))</f>
        <v>12</v>
      </c>
      <c r="V142" s="98" t="str">
        <f t="shared" si="74"/>
        <v>https://search-rtdc-monitor-bjffxe2xuh6vdkpspy63sjmuny.us-east-1.es.amazonaws.com/_plugin/kibana/#/discover/Steve-Slow-Train-Analysis-(2080s-and-2083s)?_g=(refreshInterval:(display:Off,section:0,value:0),time:(from:'2016-12-15 19:22:34-700',mode:absolute,to:'2016-12-15 22:06:37-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142" s="52" t="str">
        <f t="shared" si="75"/>
        <v>N</v>
      </c>
      <c r="X142" s="177">
        <f t="shared" si="70"/>
        <v>1</v>
      </c>
      <c r="Y142" s="67">
        <f t="shared" si="68"/>
        <v>4.5699999999999998E-2</v>
      </c>
      <c r="Z142" s="67">
        <f t="shared" si="69"/>
        <v>23.328900000000001</v>
      </c>
      <c r="AA142" s="67">
        <f t="shared" si="76"/>
        <v>23.283200000000001</v>
      </c>
      <c r="AB142" s="64" t="e">
        <f>VLOOKUP(A142,Enforcements!$C$7:$K$18,8,0)</f>
        <v>#N/A</v>
      </c>
      <c r="AC142" s="60" t="e">
        <f>VLOOKUP(A142,Enforcements!$C$7:$E$18,3,0)</f>
        <v>#N/A</v>
      </c>
      <c r="AD142" s="61" t="str">
        <f t="shared" si="77"/>
        <v>0227-15</v>
      </c>
      <c r="AE142" s="91" t="str">
        <f t="shared" si="78"/>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142" s="88" t="str">
        <f t="shared" si="79"/>
        <v>"C:\Program Files (x86)\AstroGrep\AstroGrep.exe" /spath="%USERPROFILE%\AppData\Local\Temp\OnboardLogs" /stypes="app*4029*20161216*" /stext=" 04:.+((SYSTEM_STATE.+slice.+state.+changed )|(ment ac)|(multiple cpu faults)|(system.+state.+changed )|(\[timeout)|(PRM\|1\|D)|(kpr)|(kdp)|(\|lc)|(penalty))" /e /r /s</v>
      </c>
      <c r="AG142" s="1" t="str">
        <f t="shared" si="80"/>
        <v>EC</v>
      </c>
      <c r="AH142" s="92" t="str">
        <f t="shared" si="50"/>
        <v>"%USERPROFILE%\Documents\GitHub\eaglep3\Utilities\RefineRTDCRunTimes.py" --tripid 227-15 --locoid 4029 --swversion DE.1.0.8.0 --startMP 204:457 --initTime 2016-12-15T20:22:34 --startdatetime 2016-12-15T20:30:19 --delay 2 --endMP 204:233289 --enddatetime 2016-12-15T21:06:37 --enforcementcount 0 &gt;&gt;C:\Users\stu\Documents\GitHub\eaglep3-reporting\EC\2016-12-15-refined-times.txt</v>
      </c>
      <c r="AI142" s="119" t="str">
        <f t="shared" si="51"/>
        <v>echo {"issue":{"subject":"","project_id":79,"tracker_id":40,"status_id":1,"priority_id":2,"assigned_to_id":23,"start_date":"2016-12-15","description":"","custom_fields":[{"id":1,"name":"Subdivision","value":"EC"},{"id":4,"name":"Milepost","value":"23.3289"},{"id":17,"name":"Train ID","value":"227-15"},{"id":16,"name":"Locomotive ID","value":"4029"},{"id":130,"name":"Impact","value":""},{"id":150,"name":"Time of Event (Mountain Time)","value":"21:06:37"},{"id":151,"name":"Denver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x14ac:dyDescent="0.25">
      <c r="A143" s="37" t="s">
        <v>764</v>
      </c>
      <c r="B143" s="7">
        <v>4030</v>
      </c>
      <c r="C143" s="22" t="s">
        <v>207</v>
      </c>
      <c r="D143" s="22" t="s">
        <v>423</v>
      </c>
      <c r="E143" s="13">
        <v>42719.881932870368</v>
      </c>
      <c r="F143" s="13">
        <v>42719.893240740741</v>
      </c>
      <c r="G143" s="7">
        <v>1</v>
      </c>
      <c r="H143" s="22" t="s">
        <v>225</v>
      </c>
      <c r="I143" s="13">
        <v>42719.920104166667</v>
      </c>
      <c r="J143" s="7">
        <v>0</v>
      </c>
      <c r="K143" s="109" t="str">
        <f t="shared" si="71"/>
        <v>4029/4030</v>
      </c>
      <c r="L143" s="22" t="str">
        <f>VLOOKUP(A143,'Trips&amp;Operators'!$C$1:$G$99999,5,FALSE)</f>
        <v>LALONDE GREGORY</v>
      </c>
      <c r="M143" s="6">
        <f t="shared" si="72"/>
        <v>2.6863425926421769E-2</v>
      </c>
      <c r="N143" s="7">
        <f t="shared" si="66"/>
        <v>38.683333334047347</v>
      </c>
      <c r="O143" s="7"/>
      <c r="P143" s="7"/>
      <c r="Q143" s="23"/>
      <c r="R143" s="23"/>
      <c r="S143" s="35">
        <f t="shared" si="67"/>
        <v>1</v>
      </c>
      <c r="T143" s="50" t="str">
        <f t="shared" si="73"/>
        <v>Southbound</v>
      </c>
      <c r="U143" s="171">
        <f>IF(AG143="EC",COUNTIFS(Variables!$M$2:$M$19,IF(T143="NorthBound","&gt;=","&lt;=")&amp;Y143,Variables!$M$2:$M$19,IF(T143="NorthBound","&lt;=","&gt;=")&amp;Z143),COUNTIFS(Variables!$P$2:$P$19,IF(T143="NorthBound","&gt;=","&lt;=")&amp;Y143,Variables!$P$2:$P$19,IF(T143="NorthBound","&lt;=","&gt;=")&amp;Z143))</f>
        <v>12</v>
      </c>
      <c r="V143" s="98" t="str">
        <f t="shared" si="74"/>
        <v>https://search-rtdc-monitor-bjffxe2xuh6vdkpspy63sjmuny.us-east-1.es.amazonaws.com/_plugin/kibana/#/discover/Steve-Slow-Train-Analysis-(2080s-and-2083s)?_g=(refreshInterval:(display:Off,section:0,value:0),time:(from:'2016-12-15 20:09:59-700',mode:absolute,to:'2016-12-15 23:04:57-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143" s="52" t="str">
        <f t="shared" si="75"/>
        <v>N</v>
      </c>
      <c r="X143" s="177">
        <f t="shared" si="70"/>
        <v>1</v>
      </c>
      <c r="Y143" s="67">
        <f t="shared" si="68"/>
        <v>23.298100000000002</v>
      </c>
      <c r="Z143" s="67">
        <f t="shared" si="69"/>
        <v>1.54E-2</v>
      </c>
      <c r="AA143" s="67">
        <f t="shared" si="76"/>
        <v>23.282700000000002</v>
      </c>
      <c r="AB143" s="64" t="e">
        <f>VLOOKUP(A143,Enforcements!$C$7:$K$18,8,0)</f>
        <v>#N/A</v>
      </c>
      <c r="AC143" s="60" t="e">
        <f>VLOOKUP(A143,Enforcements!$C$7:$E$18,3,0)</f>
        <v>#N/A</v>
      </c>
      <c r="AD143" s="61" t="str">
        <f t="shared" si="77"/>
        <v>0228-15</v>
      </c>
      <c r="AE143" s="91" t="str">
        <f t="shared" si="78"/>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143" s="88" t="str">
        <f t="shared" si="79"/>
        <v>"C:\Program Files (x86)\AstroGrep\AstroGrep.exe" /spath="%USERPROFILE%\AppData\Local\Temp\OnboardLogs" /stypes="app*4030*20161216*" /stext=" 05:.+((SYSTEM_STATE.+slice.+state.+changed )|(ment ac)|(multiple cpu faults)|(system.+state.+changed )|(\[timeout)|(PRM\|1\|D)|(kpr)|(kdp)|(\|lc)|(penalty))" /e /r /s</v>
      </c>
      <c r="AG143" s="1" t="str">
        <f t="shared" si="80"/>
        <v>EC</v>
      </c>
      <c r="AH143" s="92" t="str">
        <f t="shared" si="50"/>
        <v>"%USERPROFILE%\Documents\GitHub\eaglep3\Utilities\RefineRTDCRunTimes.py" --tripid 228-15 --locoid 4030 --swversion DE.1.0.8.0 --startMP 204:232981 --initTime 2016-12-15T21:09:59 --startdatetime 2016-12-15T21:26:16 --delay 1 --endMP 204:154 --enddatetime 2016-12-15T22:04:57 --enforcementcount 0 &gt;&gt;C:\Users\stu\Documents\GitHub\eaglep3-reporting\EC\2016-12-15-refined-times.txt</v>
      </c>
      <c r="AI143" s="119" t="str">
        <f t="shared" si="51"/>
        <v>echo {"issue":{"subject":"","project_id":79,"tracker_id":40,"status_id":1,"priority_id":2,"assigned_to_id":23,"start_date":"2016-12-15","description":"","custom_fields":[{"id":1,"name":"Subdivision","value":"EC"},{"id":4,"name":"Milepost","value":"0.0154"},{"id":17,"name":"Train ID","value":"228-15"},{"id":16,"name":"Locomotive ID","value":"4030"},{"id":130,"name":"Impact","value":""},{"id":150,"name":"Time of Event (Mountain Time)","value":"22:04:57"},{"id":151,"name":"Denver Issue ID","value":""},{"id":178,"name":"Operational Impact","value":"Yes"},{"id":179,"name":"Denver Segment Assigned","value":""}]}} | curl -X POST -H "Content-Type: application/json" -H "X-Redmine-API-Key: d6333d4a04012a730768444271f8ca06482dae87" https://secure.xorail.net/redmine/issues.json --data @-</v>
      </c>
      <c r="AJ143" s="53"/>
      <c r="AK143" s="53"/>
      <c r="AL143" s="53"/>
    </row>
    <row r="144" spans="1:91" s="21" customFormat="1" x14ac:dyDescent="0.25">
      <c r="A144" s="37" t="s">
        <v>761</v>
      </c>
      <c r="B144" s="7">
        <v>4003</v>
      </c>
      <c r="C144" s="22" t="s">
        <v>207</v>
      </c>
      <c r="D144" s="22" t="s">
        <v>234</v>
      </c>
      <c r="E144" s="13">
        <v>42719.869398148148</v>
      </c>
      <c r="F144" s="13">
        <v>42719.8753125</v>
      </c>
      <c r="G144" s="7">
        <v>1</v>
      </c>
      <c r="H144" s="22" t="s">
        <v>300</v>
      </c>
      <c r="I144" s="13">
        <v>42719.901400462964</v>
      </c>
      <c r="J144" s="7">
        <v>0</v>
      </c>
      <c r="K144" s="109" t="str">
        <f t="shared" si="71"/>
        <v>4003/4004</v>
      </c>
      <c r="L144" s="22" t="str">
        <f>VLOOKUP(A144,'Trips&amp;Operators'!$C$1:$G$99999,5,FALSE)</f>
        <v>COMELLA JUSTIN</v>
      </c>
      <c r="M144" s="6">
        <f t="shared" si="72"/>
        <v>2.6087962964083999E-2</v>
      </c>
      <c r="N144" s="7">
        <f t="shared" si="66"/>
        <v>37.566666668280959</v>
      </c>
      <c r="O144" s="7"/>
      <c r="P144" s="7"/>
      <c r="Q144" s="23"/>
      <c r="R144" s="23"/>
      <c r="S144" s="35">
        <f t="shared" si="67"/>
        <v>1</v>
      </c>
      <c r="T144" s="50" t="str">
        <f t="shared" si="73"/>
        <v>NorthBound</v>
      </c>
      <c r="U144" s="171">
        <f>IF(AG144="EC",COUNTIFS(Variables!$M$2:$M$19,IF(T144="NorthBound","&gt;=","&lt;=")&amp;Y144,Variables!$M$2:$M$19,IF(T144="NorthBound","&lt;=","&gt;=")&amp;Z144),COUNTIFS(Variables!$P$2:$P$19,IF(T144="NorthBound","&gt;=","&lt;=")&amp;Y144,Variables!$P$2:$P$19,IF(T144="NorthBound","&lt;=","&gt;=")&amp;Z144))</f>
        <v>12</v>
      </c>
      <c r="V144" s="98" t="str">
        <f t="shared" si="74"/>
        <v>https://search-rtdc-monitor-bjffxe2xuh6vdkpspy63sjmuny.us-east-1.es.amazonaws.com/_plugin/kibana/#/discover/Steve-Slow-Train-Analysis-(2080s-and-2083s)?_g=(refreshInterval:(display:Off,section:0,value:0),time:(from:'2016-12-15 19:51:56-700',mode:absolute,to:'2016-12-15 22:38:01-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144" s="52" t="str">
        <f t="shared" si="75"/>
        <v>N</v>
      </c>
      <c r="X144" s="177">
        <f t="shared" si="70"/>
        <v>1</v>
      </c>
      <c r="Y144" s="67">
        <f t="shared" si="68"/>
        <v>4.5999999999999999E-2</v>
      </c>
      <c r="Z144" s="67">
        <f t="shared" si="69"/>
        <v>23.3293</v>
      </c>
      <c r="AA144" s="67">
        <f t="shared" si="76"/>
        <v>23.283300000000001</v>
      </c>
      <c r="AB144" s="64" t="e">
        <f>VLOOKUP(A144,Enforcements!$C$7:$K$18,8,0)</f>
        <v>#N/A</v>
      </c>
      <c r="AC144" s="60" t="e">
        <f>VLOOKUP(A144,Enforcements!$C$7:$E$18,3,0)</f>
        <v>#N/A</v>
      </c>
      <c r="AD144" s="61" t="str">
        <f t="shared" si="77"/>
        <v>0229-15</v>
      </c>
      <c r="AE144" s="91" t="str">
        <f t="shared" si="78"/>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144" s="88" t="str">
        <f t="shared" si="79"/>
        <v>"C:\Program Files (x86)\AstroGrep\AstroGrep.exe" /spath="%USERPROFILE%\AppData\Local\Temp\OnboardLogs" /stypes="app*4003*20161216*" /stext=" 04:.+((SYSTEM_STATE.+slice.+state.+changed )|(ment ac)|(multiple cpu faults)|(system.+state.+changed )|(\[timeout)|(PRM\|1\|D)|(kpr)|(kdp)|(\|lc)|(penalty))" /e /r /s</v>
      </c>
      <c r="AG144" s="1" t="str">
        <f t="shared" si="80"/>
        <v>EC</v>
      </c>
      <c r="AH144" s="92" t="str">
        <f t="shared" ref="AH144:AH213" si="81">refinertdcruntimes&amp;" --tripid "&amp;A144&amp;" --locoid "&amp;B144&amp;" --swversion "&amp;C144&amp;" --startMP "&amp;D144&amp;" --initTime "&amp;TEXT(E144,"yyyy-mm-ddTHH:MM:SS")&amp;" --startdatetime "&amp;TEXT(F144,"yyyy-mm-ddTHH:MM:SS")&amp;" --delay "&amp;G144&amp;" --endMP "&amp;H144&amp;" --enddatetime "&amp;TEXT(I144,"yyyy-mm-ddTHH:MM:SS")&amp;" --enforcementcount "&amp;J144&amp;IF(outputrefinedruntimes," &gt;&gt;"&amp;RefinedRTDCRunTimesOutputFile,"")</f>
        <v>"%USERPROFILE%\Documents\GitHub\eaglep3\Utilities\RefineRTDCRunTimes.py" --tripid 229-15 --locoid 4003 --swversion DE.1.0.8.0 --startMP 204:460 --initTime 2016-12-15T20:51:56 --startdatetime 2016-12-15T21:00:27 --delay 1 --endMP 204:233293 --enddatetime 2016-12-15T21:38:01 --enforcementcount 0 &gt;&gt;C:\Users\stu\Documents\GitHub\eaglep3-reporting\EC\2016-12-15-refined-times.txt</v>
      </c>
      <c r="AI144" s="119" t="str">
        <f t="shared" ref="AI144:AI213" si="82">"echo {""issue"":{""subject"":"""&amp;R144&amp;""",""project_id"":79,""tracker_id"":40,""status_id"":"&amp;redmine_status&amp;",""priority_id"":"&amp;redmine_priority&amp;",""assigned_to_id"":"&amp;redmine_assignee&amp;",""start_date"":"""&amp;TEXT(I144,"YYYY-mm-dd")&amp;""",""description"":"""&amp;AJ144&amp;""",""custom_fields"":[{""id"":1,""name"":""Subdivision"",""value"":"""&amp;AG144&amp;"""},{""id"":4,""name"":""Milepost"",""value"":"""&amp;Z144&amp;"""},{""id"":17,""name"":""Train ID"",""value"":"""&amp;A144&amp;"""},{""id"":16,""name"":""Locomotive ID"",""value"":"""&amp;B144&amp;"""},{""id"":130,""name"":""Impact"",""value"":"""&amp;AK144&amp;"""},{""id"":150,""name"":""Time of Event (Mountain Time)"",""value"":"""&amp;TEXT(I144,"hh:mm:ss")&amp;"""},{""id"":151,""name"":""Denver Issue ID"",""value"":"""&amp;"""},{""id"":178,""name"":""Operational Impact"",""value"":"""&amp;redmine_op_impact&amp;"""},{""id"":179,""name"":""Denver Segment Assigned"",""value"":"""&amp;AL144&amp;"""}]}}"&amp;" | curl -X POST -H ""Content-Type: application/json"" -H ""X-Redmine-API-Key: "&amp;redm_api_key&amp;""" "&amp;redm_url&amp;" --data @-"</f>
        <v>echo {"issue":{"subject":"","project_id":79,"tracker_id":40,"status_id":1,"priority_id":2,"assigned_to_id":23,"start_date":"2016-12-15","description":"","custom_fields":[{"id":1,"name":"Subdivision","value":"EC"},{"id":4,"name":"Milepost","value":"23.3293"},{"id":17,"name":"Train ID","value":"229-15"},{"id":16,"name":"Locomotive ID","value":"4003"},{"id":130,"name":"Impact","value":""},{"id":150,"name":"Time of Event (Mountain Time)","value":"21:38:01"},{"id":151,"name":"Denver Issue ID","value":""},{"id":178,"name":"Operational Impact","value":"Yes"},{"id":179,"name":"Denver Segment Assigned","value":""}]}} | curl -X POST -H "Content-Type: application/json" -H "X-Redmine-API-Key: d6333d4a04012a730768444271f8ca06482dae87" https://secure.xorail.net/redmine/issues.json --data @-</v>
      </c>
      <c r="AJ144" s="53"/>
      <c r="AK144" s="53"/>
      <c r="AL144" s="53"/>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x14ac:dyDescent="0.25">
      <c r="A145" s="37" t="s">
        <v>766</v>
      </c>
      <c r="B145" s="7">
        <v>4004</v>
      </c>
      <c r="C145" s="22" t="s">
        <v>207</v>
      </c>
      <c r="D145" s="22" t="s">
        <v>301</v>
      </c>
      <c r="E145" s="13">
        <v>42719.907731481479</v>
      </c>
      <c r="F145" s="13">
        <v>42719.914201388892</v>
      </c>
      <c r="G145" s="7">
        <v>1</v>
      </c>
      <c r="H145" s="22" t="s">
        <v>205</v>
      </c>
      <c r="I145" s="13">
        <v>42719.943518518521</v>
      </c>
      <c r="J145" s="7">
        <v>0</v>
      </c>
      <c r="K145" s="109" t="str">
        <f t="shared" si="71"/>
        <v>4003/4004</v>
      </c>
      <c r="L145" s="22" t="str">
        <f>VLOOKUP(A145,'Trips&amp;Operators'!$C$1:$G$99999,5,FALSE)</f>
        <v>COMELLA JUSTIN</v>
      </c>
      <c r="M145" s="6">
        <f t="shared" si="72"/>
        <v>2.9317129628907423E-2</v>
      </c>
      <c r="N145" s="7">
        <f t="shared" si="66"/>
        <v>42.21666666562669</v>
      </c>
      <c r="O145" s="7"/>
      <c r="P145" s="7"/>
      <c r="Q145" s="23"/>
      <c r="R145" s="23"/>
      <c r="S145" s="35">
        <f t="shared" si="67"/>
        <v>1</v>
      </c>
      <c r="T145" s="50" t="str">
        <f t="shared" si="73"/>
        <v>Southbound</v>
      </c>
      <c r="U145" s="171">
        <f>IF(AG145="EC",COUNTIFS(Variables!$M$2:$M$19,IF(T145="NorthBound","&gt;=","&lt;=")&amp;Y145,Variables!$M$2:$M$19,IF(T145="NorthBound","&lt;=","&gt;=")&amp;Z145),COUNTIFS(Variables!$P$2:$P$19,IF(T145="NorthBound","&gt;=","&lt;=")&amp;Y145,Variables!$P$2:$P$19,IF(T145="NorthBound","&lt;=","&gt;=")&amp;Z145))</f>
        <v>12</v>
      </c>
      <c r="V145" s="98" t="str">
        <f t="shared" si="74"/>
        <v>https://search-rtdc-monitor-bjffxe2xuh6vdkpspy63sjmuny.us-east-1.es.amazonaws.com/_plugin/kibana/#/discover/Steve-Slow-Train-Analysis-(2080s-and-2083s)?_g=(refreshInterval:(display:Off,section:0,value:0),time:(from:'2016-12-15 20:47:08-700',mode:absolute,to:'2016-12-15 23:38: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145" s="52" t="str">
        <f t="shared" si="75"/>
        <v>N</v>
      </c>
      <c r="X145" s="177">
        <f t="shared" si="70"/>
        <v>1</v>
      </c>
      <c r="Y145" s="67">
        <f t="shared" si="68"/>
        <v>23.299099999999999</v>
      </c>
      <c r="Z145" s="67">
        <f t="shared" si="69"/>
        <v>1.5599999999999999E-2</v>
      </c>
      <c r="AA145" s="67">
        <f t="shared" si="76"/>
        <v>23.2835</v>
      </c>
      <c r="AB145" s="64" t="e">
        <f>VLOOKUP(A145,Enforcements!$C$7:$K$18,8,0)</f>
        <v>#N/A</v>
      </c>
      <c r="AC145" s="60" t="e">
        <f>VLOOKUP(A145,Enforcements!$C$7:$E$18,3,0)</f>
        <v>#N/A</v>
      </c>
      <c r="AD145" s="61" t="str">
        <f t="shared" si="77"/>
        <v>0230-15</v>
      </c>
      <c r="AE145" s="91" t="str">
        <f t="shared" si="78"/>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145" s="88" t="str">
        <f t="shared" si="79"/>
        <v>"C:\Program Files (x86)\AstroGrep\AstroGrep.exe" /spath="%USERPROFILE%\AppData\Local\Temp\OnboardLogs" /stypes="app*4004*20161216*" /stext=" 05:.+((SYSTEM_STATE.+slice.+state.+changed )|(ment ac)|(multiple cpu faults)|(system.+state.+changed )|(\[timeout)|(PRM\|1\|D)|(kpr)|(kdp)|(\|lc)|(penalty))" /e /r /s</v>
      </c>
      <c r="AG145" s="1" t="str">
        <f t="shared" si="80"/>
        <v>EC</v>
      </c>
      <c r="AH145" s="92" t="str">
        <f t="shared" si="81"/>
        <v>"%USERPROFILE%\Documents\GitHub\eaglep3\Utilities\RefineRTDCRunTimes.py" --tripid 230-15 --locoid 4004 --swversion DE.1.0.8.0 --startMP 204:232991 --initTime 2016-12-15T21:47:08 --startdatetime 2016-12-15T21:56:27 --delay 1 --endMP 204:156 --enddatetime 2016-12-15T22:38:40 --enforcementcount 0 &gt;&gt;C:\Users\stu\Documents\GitHub\eaglep3-reporting\EC\2016-12-15-refined-times.txt</v>
      </c>
      <c r="AI145" s="119" t="str">
        <f t="shared" si="82"/>
        <v>echo {"issue":{"subject":"","project_id":79,"tracker_id":40,"status_id":1,"priority_id":2,"assigned_to_id":23,"start_date":"2016-12-15","description":"","custom_fields":[{"id":1,"name":"Subdivision","value":"EC"},{"id":4,"name":"Milepost","value":"0.0156"},{"id":17,"name":"Train ID","value":"230-15"},{"id":16,"name":"Locomotive ID","value":"4004"},{"id":130,"name":"Impact","value":""},{"id":150,"name":"Time of Event (Mountain Time)","value":"22:38:40"},{"id":151,"name":"Denver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row>
    <row r="146" spans="1:91" x14ac:dyDescent="0.25">
      <c r="A146" s="37" t="s">
        <v>765</v>
      </c>
      <c r="B146" s="7">
        <v>4016</v>
      </c>
      <c r="C146" s="22" t="s">
        <v>207</v>
      </c>
      <c r="D146" s="22" t="s">
        <v>348</v>
      </c>
      <c r="E146" s="13">
        <v>42719.892858796295</v>
      </c>
      <c r="F146" s="13">
        <v>42719.896296296298</v>
      </c>
      <c r="G146" s="7">
        <v>1</v>
      </c>
      <c r="H146" s="22" t="s">
        <v>404</v>
      </c>
      <c r="I146" s="13">
        <v>42719.920810185184</v>
      </c>
      <c r="J146" s="7">
        <v>0</v>
      </c>
      <c r="K146" s="109" t="str">
        <f t="shared" si="71"/>
        <v>4015/4016</v>
      </c>
      <c r="L146" s="22" t="str">
        <f>VLOOKUP(A146,'Trips&amp;Operators'!$C$1:$G$99999,5,FALSE)</f>
        <v>COOLAHAN JOHN</v>
      </c>
      <c r="M146" s="6">
        <f t="shared" si="72"/>
        <v>2.4513888885849155E-2</v>
      </c>
      <c r="N146" s="7">
        <f t="shared" si="66"/>
        <v>35.299999995622784</v>
      </c>
      <c r="O146" s="7"/>
      <c r="P146" s="7"/>
      <c r="Q146" s="23"/>
      <c r="R146" s="23"/>
      <c r="S146" s="35">
        <f t="shared" si="67"/>
        <v>1</v>
      </c>
      <c r="T146" s="50" t="str">
        <f t="shared" si="73"/>
        <v>NorthBound</v>
      </c>
      <c r="U146" s="171">
        <f>IF(AG146="EC",COUNTIFS(Variables!$M$2:$M$19,IF(T146="NorthBound","&gt;=","&lt;=")&amp;Y146,Variables!$M$2:$M$19,IF(T146="NorthBound","&lt;=","&gt;=")&amp;Z146),COUNTIFS(Variables!$P$2:$P$19,IF(T146="NorthBound","&gt;=","&lt;=")&amp;Y146,Variables!$P$2:$P$19,IF(T146="NorthBound","&lt;=","&gt;=")&amp;Z146))</f>
        <v>12</v>
      </c>
      <c r="V146" s="98" t="str">
        <f t="shared" si="74"/>
        <v>https://search-rtdc-monitor-bjffxe2xuh6vdkpspy63sjmuny.us-east-1.es.amazonaws.com/_plugin/kibana/#/discover/Steve-Slow-Train-Analysis-(2080s-and-2083s)?_g=(refreshInterval:(display:Off,section:0,value:0),time:(from:'2016-12-15 20:25:43-700',mode:absolute,to:'2016-12-15 23:05:58-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46" s="52" t="str">
        <f t="shared" si="75"/>
        <v>N</v>
      </c>
      <c r="X146" s="177">
        <f t="shared" si="70"/>
        <v>1</v>
      </c>
      <c r="Y146" s="67">
        <f t="shared" si="68"/>
        <v>4.4400000000000002E-2</v>
      </c>
      <c r="Z146" s="67">
        <f t="shared" si="69"/>
        <v>23.331499999999998</v>
      </c>
      <c r="AA146" s="67">
        <f t="shared" si="76"/>
        <v>23.287099999999999</v>
      </c>
      <c r="AB146" s="64" t="e">
        <f>VLOOKUP(A146,Enforcements!$C$7:$K$18,8,0)</f>
        <v>#N/A</v>
      </c>
      <c r="AC146" s="60" t="e">
        <f>VLOOKUP(A146,Enforcements!$C$7:$E$18,3,0)</f>
        <v>#N/A</v>
      </c>
      <c r="AD146" s="61" t="str">
        <f t="shared" si="77"/>
        <v>0231-15</v>
      </c>
      <c r="AE146" s="91" t="str">
        <f t="shared" si="78"/>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AF146" s="88" t="str">
        <f t="shared" si="79"/>
        <v>"C:\Program Files (x86)\AstroGrep\AstroGrep.exe" /spath="%USERPROFILE%\AppData\Local\Temp\OnboardLogs" /stypes="app*4016*20161216*" /stext=" 05:.+((SYSTEM_STATE.+slice.+state.+changed )|(ment ac)|(multiple cpu faults)|(system.+state.+changed )|(\[timeout)|(PRM\|1\|D)|(kpr)|(kdp)|(\|lc)|(penalty))" /e /r /s</v>
      </c>
      <c r="AG146" s="1" t="str">
        <f t="shared" si="80"/>
        <v>EC</v>
      </c>
      <c r="AH146" s="92" t="str">
        <f t="shared" si="81"/>
        <v>"%USERPROFILE%\Documents\GitHub\eaglep3\Utilities\RefineRTDCRunTimes.py" --tripid 231-15 --locoid 4016 --swversion DE.1.0.8.0 --startMP 204:444 --initTime 2016-12-15T21:25:43 --startdatetime 2016-12-15T21:30:40 --delay 1 --endMP 204:233315 --enddatetime 2016-12-15T22:05:58 --enforcementcount 0 &gt;&gt;C:\Users\stu\Documents\GitHub\eaglep3-reporting\EC\2016-12-15-refined-times.txt</v>
      </c>
      <c r="AI146" s="119" t="str">
        <f t="shared" si="82"/>
        <v>echo {"issue":{"subject":"","project_id":79,"tracker_id":40,"status_id":1,"priority_id":2,"assigned_to_id":23,"start_date":"2016-12-15","description":"","custom_fields":[{"id":1,"name":"Subdivision","value":"EC"},{"id":4,"name":"Milepost","value":"23.3315"},{"id":17,"name":"Train ID","value":"231-15"},{"id":16,"name":"Locomotive ID","value":"4016"},{"id":130,"name":"Impact","value":""},{"id":150,"name":"Time of Event (Mountain Time)","value":"22:05:58"},{"id":151,"name":"Denver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row>
    <row r="147" spans="1:91" s="21" customFormat="1" x14ac:dyDescent="0.25">
      <c r="A147" s="37" t="s">
        <v>769</v>
      </c>
      <c r="B147" s="7">
        <v>4015</v>
      </c>
      <c r="C147" s="22" t="s">
        <v>207</v>
      </c>
      <c r="D147" s="22" t="s">
        <v>803</v>
      </c>
      <c r="E147" s="13">
        <v>42719.928842592592</v>
      </c>
      <c r="F147" s="13">
        <v>42719.934988425928</v>
      </c>
      <c r="G147" s="7">
        <v>1</v>
      </c>
      <c r="H147" s="22" t="s">
        <v>231</v>
      </c>
      <c r="I147" s="13">
        <v>42719.96601851852</v>
      </c>
      <c r="J147" s="7">
        <v>0</v>
      </c>
      <c r="K147" s="109" t="str">
        <f t="shared" si="71"/>
        <v>4015/4016</v>
      </c>
      <c r="L147" s="22" t="str">
        <f>VLOOKUP(A147,'Trips&amp;Operators'!$C$1:$G$99999,5,FALSE)</f>
        <v>COOLAHAN JOHN</v>
      </c>
      <c r="M147" s="6">
        <f t="shared" si="72"/>
        <v>3.1030092592118308E-2</v>
      </c>
      <c r="N147" s="7">
        <f t="shared" si="66"/>
        <v>44.683333332650363</v>
      </c>
      <c r="O147" s="7"/>
      <c r="P147" s="7"/>
      <c r="Q147" s="23"/>
      <c r="R147" s="23"/>
      <c r="S147" s="35">
        <f t="shared" si="67"/>
        <v>1</v>
      </c>
      <c r="T147" s="50" t="str">
        <f t="shared" si="73"/>
        <v>Southbound</v>
      </c>
      <c r="U147" s="171">
        <f>IF(AG147="EC",COUNTIFS(Variables!$M$2:$M$19,IF(T147="NorthBound","&gt;=","&lt;=")&amp;Y147,Variables!$M$2:$M$19,IF(T147="NorthBound","&lt;=","&gt;=")&amp;Z147),COUNTIFS(Variables!$P$2:$P$19,IF(T147="NorthBound","&gt;=","&lt;=")&amp;Y147,Variables!$P$2:$P$19,IF(T147="NorthBound","&lt;=","&gt;=")&amp;Z147))</f>
        <v>12</v>
      </c>
      <c r="V147" s="98" t="str">
        <f t="shared" si="74"/>
        <v>https://search-rtdc-monitor-bjffxe2xuh6vdkpspy63sjmuny.us-east-1.es.amazonaws.com/_plugin/kibana/#/discover/Steve-Slow-Train-Analysis-(2080s-and-2083s)?_g=(refreshInterval:(display:Off,section:0,value:0),time:(from:'2016-12-15 21:17:32-700',mode:absolute,to:'2016-12-16 00:11:04-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47" s="52" t="str">
        <f t="shared" si="75"/>
        <v>N</v>
      </c>
      <c r="X147" s="177">
        <f t="shared" si="70"/>
        <v>1</v>
      </c>
      <c r="Y147" s="67">
        <f t="shared" si="68"/>
        <v>23.301500000000001</v>
      </c>
      <c r="Z147" s="67">
        <f t="shared" si="69"/>
        <v>4.5499999999999999E-2</v>
      </c>
      <c r="AA147" s="67">
        <f t="shared" si="76"/>
        <v>23.256</v>
      </c>
      <c r="AB147" s="64" t="e">
        <f>VLOOKUP(A147,Enforcements!$C$7:$K$18,8,0)</f>
        <v>#N/A</v>
      </c>
      <c r="AC147" s="60" t="e">
        <f>VLOOKUP(A147,Enforcements!$C$7:$E$18,3,0)</f>
        <v>#N/A</v>
      </c>
      <c r="AD147" s="61" t="str">
        <f t="shared" si="77"/>
        <v>0232-15</v>
      </c>
      <c r="AE147" s="91" t="str">
        <f t="shared" si="78"/>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AF147" s="88" t="str">
        <f t="shared" si="79"/>
        <v>"C:\Program Files (x86)\AstroGrep\AstroGrep.exe" /spath="%USERPROFILE%\AppData\Local\Temp\OnboardLogs" /stypes="app*4015*20161216*" /stext=" 06:.+((SYSTEM_STATE.+slice.+state.+changed )|(ment ac)|(multiple cpu faults)|(system.+state.+changed )|(\[timeout)|(PRM\|1\|D)|(kpr)|(kdp)|(\|lc)|(penalty))" /e /r /s</v>
      </c>
      <c r="AG147" s="1" t="str">
        <f t="shared" si="80"/>
        <v>EC</v>
      </c>
      <c r="AH147" s="92" t="str">
        <f t="shared" si="81"/>
        <v>"%USERPROFILE%\Documents\GitHub\eaglep3\Utilities\RefineRTDCRunTimes.py" --tripid 232-15 --locoid 4015 --swversion DE.1.0.8.0 --startMP 204:233015 --initTime 2016-12-15T22:17:32 --startdatetime 2016-12-15T22:26:23 --delay 1 --endMP 204:455 --enddatetime 2016-12-15T23:11:04 --enforcementcount 0 &gt;&gt;C:\Users\stu\Documents\GitHub\eaglep3-reporting\EC\2016-12-15-refined-times.txt</v>
      </c>
      <c r="AI147" s="119" t="str">
        <f t="shared" si="82"/>
        <v>echo {"issue":{"subject":"","project_id":79,"tracker_id":40,"status_id":1,"priority_id":2,"assigned_to_id":23,"start_date":"2016-12-15","description":"","custom_fields":[{"id":1,"name":"Subdivision","value":"EC"},{"id":4,"name":"Milepost","value":"0.0455"},{"id":17,"name":"Train ID","value":"232-15"},{"id":16,"name":"Locomotive ID","value":"4015"},{"id":130,"name":"Impact","value":""},{"id":150,"name":"Time of Event (Mountain Time)","value":"23:11:04"},{"id":151,"name":"Denver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1" customFormat="1" x14ac:dyDescent="0.25">
      <c r="A148" s="37" t="s">
        <v>768</v>
      </c>
      <c r="B148" s="7">
        <v>4031</v>
      </c>
      <c r="C148" s="22" t="s">
        <v>207</v>
      </c>
      <c r="D148" s="22" t="s">
        <v>842</v>
      </c>
      <c r="E148" s="13">
        <v>42719.914189814815</v>
      </c>
      <c r="F148" s="13">
        <v>42719.91684027778</v>
      </c>
      <c r="G148" s="7">
        <v>1</v>
      </c>
      <c r="H148" s="22" t="s">
        <v>843</v>
      </c>
      <c r="I148" s="13">
        <v>42719.941412037035</v>
      </c>
      <c r="J148" s="7">
        <v>0</v>
      </c>
      <c r="K148" s="109" t="str">
        <f t="shared" si="71"/>
        <v>4031/4032</v>
      </c>
      <c r="L148" s="22" t="str">
        <f>VLOOKUP(A148,'Trips&amp;Operators'!$C$1:$G$99999,5,FALSE)</f>
        <v>LEVIN SCOTT</v>
      </c>
      <c r="M148" s="6">
        <f t="shared" si="72"/>
        <v>2.4571759255195502E-2</v>
      </c>
      <c r="N148" s="7">
        <f t="shared" si="66"/>
        <v>35.383333327481523</v>
      </c>
      <c r="O148" s="7"/>
      <c r="P148" s="7"/>
      <c r="Q148" s="23"/>
      <c r="R148" s="23"/>
      <c r="S148" s="35">
        <f t="shared" si="67"/>
        <v>1</v>
      </c>
      <c r="T148" s="50" t="str">
        <f t="shared" si="73"/>
        <v>NorthBound</v>
      </c>
      <c r="U148" s="171">
        <f>IF(AG148="EC",COUNTIFS(Variables!$M$2:$M$19,IF(T148="NorthBound","&gt;=","&lt;=")&amp;Y148,Variables!$M$2:$M$19,IF(T148="NorthBound","&lt;=","&gt;=")&amp;Z148),COUNTIFS(Variables!$P$2:$P$19,IF(T148="NorthBound","&gt;=","&lt;=")&amp;Y148,Variables!$P$2:$P$19,IF(T148="NorthBound","&lt;=","&gt;=")&amp;Z148))</f>
        <v>12</v>
      </c>
      <c r="V148" s="98" t="str">
        <f t="shared" si="74"/>
        <v>https://search-rtdc-monitor-bjffxe2xuh6vdkpspy63sjmuny.us-east-1.es.amazonaws.com/_plugin/kibana/#/discover/Steve-Slow-Train-Analysis-(2080s-and-2083s)?_g=(refreshInterval:(display:Off,section:0,value:0),time:(from:'2016-12-15 20:56:26-700',mode:absolute,to:'2016-12-15 23:35:38-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48" s="52" t="str">
        <f t="shared" si="75"/>
        <v>N</v>
      </c>
      <c r="X148" s="177">
        <f t="shared" si="70"/>
        <v>1</v>
      </c>
      <c r="Y148" s="67">
        <f t="shared" si="68"/>
        <v>4.3099999999999999E-2</v>
      </c>
      <c r="Z148" s="67">
        <f t="shared" si="69"/>
        <v>23.3324</v>
      </c>
      <c r="AA148" s="67">
        <f t="shared" si="76"/>
        <v>23.289300000000001</v>
      </c>
      <c r="AB148" s="64" t="e">
        <f>VLOOKUP(A148,Enforcements!$C$7:$K$18,8,0)</f>
        <v>#N/A</v>
      </c>
      <c r="AC148" s="60" t="e">
        <f>VLOOKUP(A148,Enforcements!$C$7:$E$18,3,0)</f>
        <v>#N/A</v>
      </c>
      <c r="AD148" s="61" t="str">
        <f t="shared" si="77"/>
        <v>0233-15</v>
      </c>
      <c r="AE148" s="91" t="str">
        <f t="shared" si="78"/>
        <v>aws s3 cp s3://rtdc.mdm.uploadarchive.raw/RTDC4031/ "%USERPROFILE%\AppData\Local\Temp\OnboardLogs"\RTDC4031\2016-12-15 --exclude "*" --recursive --include "*20161215*" &amp; "%USERPROFILE%\Documents\GitHub\mrs-test-scripts\Headless Mode &amp; Sideloading\WalkAndUnGZ.bat" "%USERPROFILE%\AppData\Local\Temp\OnboardLogs"\RTDC4031\2016-12-15 &amp; aws s3 cp s3://rtdc.mdm.uploadarchive.raw/RTDC4031/ "%USERPROFILE%\AppData\Local\Temp\OnboardLogs"\RTDC4031\2016-12-16 --exclude "*" --recursive --include "*20161216*" &amp; "%USERPROFILE%\Documents\GitHub\mrs-test-scripts\Headless Mode &amp; Sideloading\WalkAndUnGZ.bat" "%USERPROFILE%\AppData\Local\Temp\OnboardLogs"\RTDC4031\2016-12-16</v>
      </c>
      <c r="AF148" s="88" t="str">
        <f t="shared" si="79"/>
        <v>"C:\Program Files (x86)\AstroGrep\AstroGrep.exe" /spath="%USERPROFILE%\AppData\Local\Temp\OnboardLogs" /stypes="app*4031*20161216*" /stext=" 05:.+((SYSTEM_STATE.+slice.+state.+changed )|(ment ac)|(multiple cpu faults)|(system.+state.+changed )|(\[timeout)|(PRM\|1\|D)|(kpr)|(kdp)|(\|lc)|(penalty))" /e /r /s</v>
      </c>
      <c r="AG148" s="1" t="str">
        <f t="shared" si="80"/>
        <v>EC</v>
      </c>
      <c r="AH148" s="92" t="str">
        <f t="shared" si="81"/>
        <v>"%USERPROFILE%\Documents\GitHub\eaglep3\Utilities\RefineRTDCRunTimes.py" --tripid 233-15 --locoid 4031 --swversion DE.1.0.8.0 --startMP 204:431 --initTime 2016-12-15T21:56:26 --startdatetime 2016-12-15T22:00:15 --delay 1 --endMP 204:233324 --enddatetime 2016-12-15T22:35:38 --enforcementcount 0 &gt;&gt;C:\Users\stu\Documents\GitHub\eaglep3-reporting\EC\2016-12-15-refined-times.txt</v>
      </c>
      <c r="AI148" s="119" t="str">
        <f t="shared" si="82"/>
        <v>echo {"issue":{"subject":"","project_id":79,"tracker_id":40,"status_id":1,"priority_id":2,"assigned_to_id":23,"start_date":"2016-12-15","description":"","custom_fields":[{"id":1,"name":"Subdivision","value":"EC"},{"id":4,"name":"Milepost","value":"23.3324"},{"id":17,"name":"Train ID","value":"233-15"},{"id":16,"name":"Locomotive ID","value":"4031"},{"id":130,"name":"Impact","value":""},{"id":150,"name":"Time of Event (Mountain Time)","value":"22:35:38"},{"id":151,"name":"Denver Issue ID","value":""},{"id":178,"name":"Operational Impact","value":"Yes"},{"id":179,"name":"Denver Segment Assigned","value":""}]}} | curl -X POST -H "Content-Type: application/json" -H "X-Redmine-API-Key: d6333d4a04012a730768444271f8ca06482dae87" https://secure.xorail.net/redmine/issues.json --data @-</v>
      </c>
      <c r="AJ148" s="53"/>
      <c r="AK148" s="53"/>
      <c r="AL148" s="53"/>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1" customFormat="1" x14ac:dyDescent="0.25">
      <c r="A149" s="37" t="s">
        <v>772</v>
      </c>
      <c r="B149" s="7">
        <v>4032</v>
      </c>
      <c r="C149" s="22" t="s">
        <v>207</v>
      </c>
      <c r="D149" s="22" t="s">
        <v>409</v>
      </c>
      <c r="E149" s="13">
        <v>42719.948923611111</v>
      </c>
      <c r="F149" s="13">
        <v>42719.955775462964</v>
      </c>
      <c r="G149" s="7">
        <v>1</v>
      </c>
      <c r="H149" s="22" t="s">
        <v>352</v>
      </c>
      <c r="I149" s="13">
        <v>42719.982210648152</v>
      </c>
      <c r="J149" s="7">
        <v>0</v>
      </c>
      <c r="K149" s="109" t="str">
        <f t="shared" si="71"/>
        <v>4031/4032</v>
      </c>
      <c r="L149" s="22" t="str">
        <f>VLOOKUP(A149,'Trips&amp;Operators'!$C$1:$G$99999,5,FALSE)</f>
        <v>LEVIN SCOTT</v>
      </c>
      <c r="M149" s="6">
        <f t="shared" si="72"/>
        <v>2.6435185187438037E-2</v>
      </c>
      <c r="N149" s="7">
        <f t="shared" si="66"/>
        <v>38.066666669910774</v>
      </c>
      <c r="O149" s="7"/>
      <c r="P149" s="7"/>
      <c r="Q149" s="23"/>
      <c r="R149" s="23"/>
      <c r="S149" s="35">
        <f t="shared" si="67"/>
        <v>1</v>
      </c>
      <c r="T149" s="50" t="str">
        <f t="shared" si="73"/>
        <v>Southbound</v>
      </c>
      <c r="U149" s="171">
        <f>IF(AG149="EC",COUNTIFS(Variables!$M$2:$M$19,IF(T149="NorthBound","&gt;=","&lt;=")&amp;Y149,Variables!$M$2:$M$19,IF(T149="NorthBound","&lt;=","&gt;=")&amp;Z149),COUNTIFS(Variables!$P$2:$P$19,IF(T149="NorthBound","&gt;=","&lt;=")&amp;Y149,Variables!$P$2:$P$19,IF(T149="NorthBound","&lt;=","&gt;=")&amp;Z149))</f>
        <v>12</v>
      </c>
      <c r="V149" s="98" t="str">
        <f t="shared" si="74"/>
        <v>https://search-rtdc-monitor-bjffxe2xuh6vdkpspy63sjmuny.us-east-1.es.amazonaws.com/_plugin/kibana/#/discover/Steve-Slow-Train-Analysis-(2080s-and-2083s)?_g=(refreshInterval:(display:Off,section:0,value:0),time:(from:'2016-12-15 21:46:27-700',mode:absolute,to:'2016-12-16 00:34:23-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49" s="52" t="str">
        <f t="shared" si="75"/>
        <v>N</v>
      </c>
      <c r="X149" s="177">
        <f t="shared" si="70"/>
        <v>1</v>
      </c>
      <c r="Y149" s="67">
        <f t="shared" si="68"/>
        <v>23.3</v>
      </c>
      <c r="Z149" s="67">
        <f t="shared" si="69"/>
        <v>1.3599999999999999E-2</v>
      </c>
      <c r="AA149" s="67">
        <f t="shared" si="76"/>
        <v>23.2864</v>
      </c>
      <c r="AB149" s="64" t="e">
        <f>VLOOKUP(A149,Enforcements!$C$7:$K$18,8,0)</f>
        <v>#N/A</v>
      </c>
      <c r="AC149" s="60" t="e">
        <f>VLOOKUP(A149,Enforcements!$C$7:$E$18,3,0)</f>
        <v>#N/A</v>
      </c>
      <c r="AD149" s="61" t="str">
        <f t="shared" si="77"/>
        <v>0234-15</v>
      </c>
      <c r="AE149" s="91" t="str">
        <f t="shared" si="78"/>
        <v>aws s3 cp s3://rtdc.mdm.uploadarchive.raw/RTDC4032/ "%USERPROFILE%\AppData\Local\Temp\OnboardLogs"\RTDC4032\2016-12-15 --exclude "*" --recursive --include "*20161215*" &amp; "%USERPROFILE%\Documents\GitHub\mrs-test-scripts\Headless Mode &amp; Sideloading\WalkAndUnGZ.bat" "%USERPROFILE%\AppData\Local\Temp\OnboardLogs"\RTDC4032\2016-12-15 &amp; aws s3 cp s3://rtdc.mdm.uploadarchive.raw/RTDC4032/ "%USERPROFILE%\AppData\Local\Temp\OnboardLogs"\RTDC4032\2016-12-16 --exclude "*" --recursive --include "*20161216*" &amp; "%USERPROFILE%\Documents\GitHub\mrs-test-scripts\Headless Mode &amp; Sideloading\WalkAndUnGZ.bat" "%USERPROFILE%\AppData\Local\Temp\OnboardLogs"\RTDC4032\2016-12-16</v>
      </c>
      <c r="AF149" s="88" t="str">
        <f t="shared" si="79"/>
        <v>"C:\Program Files (x86)\AstroGrep\AstroGrep.exe" /spath="%USERPROFILE%\AppData\Local\Temp\OnboardLogs" /stypes="app*4032*20161216*" /stext=" 06:.+((SYSTEM_STATE.+slice.+state.+changed )|(ment ac)|(multiple cpu faults)|(system.+state.+changed )|(\[timeout)|(PRM\|1\|D)|(kpr)|(kdp)|(\|lc)|(penalty))" /e /r /s</v>
      </c>
      <c r="AG149" s="1" t="str">
        <f t="shared" si="80"/>
        <v>EC</v>
      </c>
      <c r="AH149" s="92" t="str">
        <f t="shared" si="81"/>
        <v>"%USERPROFILE%\Documents\GitHub\eaglep3\Utilities\RefineRTDCRunTimes.py" --tripid 234-15 --locoid 4032 --swversion DE.1.0.8.0 --startMP 204:233000 --initTime 2016-12-15T22:46:27 --startdatetime 2016-12-15T22:56:19 --delay 1 --endMP 204:136 --enddatetime 2016-12-15T23:34:23 --enforcementcount 0 &gt;&gt;C:\Users\stu\Documents\GitHub\eaglep3-reporting\EC\2016-12-15-refined-times.txt</v>
      </c>
      <c r="AI149" s="119" t="str">
        <f t="shared" si="82"/>
        <v>echo {"issue":{"subject":"","project_id":79,"tracker_id":40,"status_id":1,"priority_id":2,"assigned_to_id":23,"start_date":"2016-12-15","description":"","custom_fields":[{"id":1,"name":"Subdivision","value":"EC"},{"id":4,"name":"Milepost","value":"0.0136"},{"id":17,"name":"Train ID","value":"234-15"},{"id":16,"name":"Locomotive ID","value":"4032"},{"id":130,"name":"Impact","value":""},{"id":150,"name":"Time of Event (Mountain Time)","value":"23:34:23"},{"id":151,"name":"Denver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s="21" customFormat="1" x14ac:dyDescent="0.25">
      <c r="A150" s="37" t="s">
        <v>770</v>
      </c>
      <c r="B150" s="7">
        <v>4029</v>
      </c>
      <c r="C150" s="22" t="s">
        <v>207</v>
      </c>
      <c r="D150" s="22" t="s">
        <v>234</v>
      </c>
      <c r="E150" s="13">
        <v>42719.934351851851</v>
      </c>
      <c r="F150" s="13">
        <v>42719.9377662037</v>
      </c>
      <c r="G150" s="7">
        <v>1</v>
      </c>
      <c r="H150" s="22" t="s">
        <v>419</v>
      </c>
      <c r="I150" s="13">
        <v>42719.962256944447</v>
      </c>
      <c r="J150" s="7">
        <v>0</v>
      </c>
      <c r="K150" s="109" t="str">
        <f t="shared" si="71"/>
        <v>4029/4030</v>
      </c>
      <c r="L150" s="22" t="str">
        <f>VLOOKUP(A150,'Trips&amp;Operators'!$C$1:$G$99999,5,FALSE)</f>
        <v>STAMBAUGH JAMES</v>
      </c>
      <c r="M150" s="6">
        <f t="shared" si="72"/>
        <v>2.4490740746841766E-2</v>
      </c>
      <c r="N150" s="7">
        <f t="shared" si="66"/>
        <v>35.266666675452143</v>
      </c>
      <c r="O150" s="7"/>
      <c r="P150" s="7"/>
      <c r="Q150" s="23"/>
      <c r="R150" s="23"/>
      <c r="S150" s="35">
        <f t="shared" si="67"/>
        <v>1</v>
      </c>
      <c r="T150" s="50" t="str">
        <f t="shared" si="73"/>
        <v>NorthBound</v>
      </c>
      <c r="U150" s="171">
        <f>IF(AG150="EC",COUNTIFS(Variables!$M$2:$M$19,IF(T150="NorthBound","&gt;=","&lt;=")&amp;Y150,Variables!$M$2:$M$19,IF(T150="NorthBound","&lt;=","&gt;=")&amp;Z150),COUNTIFS(Variables!$P$2:$P$19,IF(T150="NorthBound","&gt;=","&lt;=")&amp;Y150,Variables!$P$2:$P$19,IF(T150="NorthBound","&lt;=","&gt;=")&amp;Z150))</f>
        <v>12</v>
      </c>
      <c r="V150" s="98" t="str">
        <f t="shared" si="74"/>
        <v>https://search-rtdc-monitor-bjffxe2xuh6vdkpspy63sjmuny.us-east-1.es.amazonaws.com/_plugin/kibana/#/discover/Steve-Slow-Train-Analysis-(2080s-and-2083s)?_g=(refreshInterval:(display:Off,section:0,value:0),time:(from:'2016-12-15 21:25:28-700',mode:absolute,to:'2016-12-16 00:05:39-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150" s="52" t="str">
        <f t="shared" si="75"/>
        <v>N</v>
      </c>
      <c r="X150" s="177">
        <f t="shared" si="70"/>
        <v>1</v>
      </c>
      <c r="Y150" s="67">
        <f t="shared" si="68"/>
        <v>4.5999999999999999E-2</v>
      </c>
      <c r="Z150" s="67">
        <f t="shared" si="69"/>
        <v>23.332100000000001</v>
      </c>
      <c r="AA150" s="67">
        <f t="shared" si="76"/>
        <v>23.286100000000001</v>
      </c>
      <c r="AB150" s="64" t="e">
        <f>VLOOKUP(A150,Enforcements!$C$7:$K$18,8,0)</f>
        <v>#N/A</v>
      </c>
      <c r="AC150" s="60" t="e">
        <f>VLOOKUP(A150,Enforcements!$C$7:$E$18,3,0)</f>
        <v>#N/A</v>
      </c>
      <c r="AD150" s="61" t="str">
        <f t="shared" si="77"/>
        <v>0235-15</v>
      </c>
      <c r="AE150" s="91" t="str">
        <f t="shared" si="78"/>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AF150" s="88" t="str">
        <f t="shared" si="79"/>
        <v>"C:\Program Files (x86)\AstroGrep\AstroGrep.exe" /spath="%USERPROFILE%\AppData\Local\Temp\OnboardLogs" /stypes="app*4029*20161216*" /stext=" 06:.+((SYSTEM_STATE.+slice.+state.+changed )|(ment ac)|(multiple cpu faults)|(system.+state.+changed )|(\[timeout)|(PRM\|1\|D)|(kpr)|(kdp)|(\|lc)|(penalty))" /e /r /s</v>
      </c>
      <c r="AG150" s="1" t="str">
        <f t="shared" si="80"/>
        <v>EC</v>
      </c>
      <c r="AH150" s="92" t="str">
        <f t="shared" si="81"/>
        <v>"%USERPROFILE%\Documents\GitHub\eaglep3\Utilities\RefineRTDCRunTimes.py" --tripid 235-15 --locoid 4029 --swversion DE.1.0.8.0 --startMP 204:460 --initTime 2016-12-15T22:25:28 --startdatetime 2016-12-15T22:30:23 --delay 1 --endMP 204:233321 --enddatetime 2016-12-15T23:05:39 --enforcementcount 0 &gt;&gt;C:\Users\stu\Documents\GitHub\eaglep3-reporting\EC\2016-12-15-refined-times.txt</v>
      </c>
      <c r="AI150" s="119" t="str">
        <f t="shared" si="82"/>
        <v>echo {"issue":{"subject":"","project_id":79,"tracker_id":40,"status_id":1,"priority_id":2,"assigned_to_id":23,"start_date":"2016-12-15","description":"","custom_fields":[{"id":1,"name":"Subdivision","value":"EC"},{"id":4,"name":"Milepost","value":"23.3321"},{"id":17,"name":"Train ID","value":"235-15"},{"id":16,"name":"Locomotive ID","value":"4029"},{"id":130,"name":"Impact","value":""},{"id":150,"name":"Time of Event (Mountain Time)","value":"23:05:39"},{"id":151,"name":"Denver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1" customFormat="1" x14ac:dyDescent="0.25">
      <c r="A151" s="37" t="s">
        <v>969</v>
      </c>
      <c r="B151" s="7"/>
      <c r="C151" s="22" t="s">
        <v>207</v>
      </c>
      <c r="D151" s="22" t="s">
        <v>234</v>
      </c>
      <c r="E151" s="13">
        <v>42719.934351851851</v>
      </c>
      <c r="F151" s="13"/>
      <c r="G151" s="7">
        <v>1</v>
      </c>
      <c r="H151" s="22" t="s">
        <v>419</v>
      </c>
      <c r="I151" s="13"/>
      <c r="J151" s="7">
        <v>0</v>
      </c>
      <c r="K151" s="109" t="str">
        <f t="shared" si="71"/>
        <v>-1/</v>
      </c>
      <c r="L151" s="22" t="e">
        <f>VLOOKUP(A151,'Trips&amp;Operators'!$C$1:$G$99999,5,FALSE)</f>
        <v>#N/A</v>
      </c>
      <c r="M151" s="6">
        <f t="shared" si="72"/>
        <v>0</v>
      </c>
      <c r="N151" s="7"/>
      <c r="O151" s="7"/>
      <c r="P151" s="7">
        <v>1</v>
      </c>
      <c r="Q151" s="23"/>
      <c r="R151" s="23" t="s">
        <v>982</v>
      </c>
      <c r="S151" s="35">
        <f t="shared" si="67"/>
        <v>0</v>
      </c>
      <c r="T151" s="50" t="str">
        <f t="shared" si="73"/>
        <v>Southbound</v>
      </c>
      <c r="U151" s="171">
        <f>IF(AG151="EC",COUNTIFS(Variables!$M$2:$M$19,IF(T151="NorthBound","&gt;=","&lt;=")&amp;Y151,Variables!$M$2:$M$19,IF(T151="NorthBound","&lt;=","&gt;=")&amp;Z151),COUNTIFS(Variables!$P$2:$P$19,IF(T151="NorthBound","&gt;=","&lt;=")&amp;Y151,Variables!$P$2:$P$19,IF(T151="NorthBound","&lt;=","&gt;=")&amp;Z151))</f>
        <v>0</v>
      </c>
      <c r="V151" s="98" t="str">
        <f t="shared" si="74"/>
        <v>https://search-rtdc-monitor-bjffxe2xuh6vdkpspy63sjmuny.us-east-1.es.amazonaws.com/_plugin/kibana/#/discover/Steve-Slow-Train-Analysis-(2080s-and-2083s)?_g=(refreshInterval:(display:Off,section:0,value:0),time:(from:'2016-12-15 21:25:28-700',mode:absolute,to:'1900-01-00 01: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22')),sort:!(Time,asc))</v>
      </c>
      <c r="W151" s="52" t="str">
        <f t="shared" si="75"/>
        <v>N</v>
      </c>
      <c r="X151" s="177">
        <f t="shared" ref="X151:X161" si="83">VALUE(LEFT(AD151,4))-VALUE(LEFT(AD150,4))</f>
        <v>1</v>
      </c>
      <c r="Y151" s="67">
        <f t="shared" si="68"/>
        <v>4.5999999999999999E-2</v>
      </c>
      <c r="Z151" s="67">
        <f t="shared" si="69"/>
        <v>23.332100000000001</v>
      </c>
      <c r="AA151" s="67">
        <f t="shared" si="76"/>
        <v>23.286100000000001</v>
      </c>
      <c r="AB151" s="64" t="e">
        <f>VLOOKUP(A151,Enforcements!$C$7:$K$18,8,0)</f>
        <v>#N/A</v>
      </c>
      <c r="AC151" s="60" t="e">
        <f>VLOOKUP(A151,Enforcements!$C$7:$E$18,3,0)</f>
        <v>#N/A</v>
      </c>
      <c r="AD151" s="61" t="str">
        <f t="shared" si="77"/>
        <v>0236-15</v>
      </c>
      <c r="AE151"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1" s="88" t="str">
        <f t="shared" si="79"/>
        <v>"C:\Program Files (x86)\AstroGrep\AstroGrep.exe" /spath="%USERPROFILE%\AppData\Local\Temp\OnboardLogs" /stypes="app**19000100*" /stext=" 07:.+((SYSTEM_STATE.+slice.+state.+changed )|(ment ac)|(multiple cpu faults)|(system.+state.+changed )|(\[timeout)|(PRM\|1\|D)|(kpr)|(kdp)|(\|lc)|(penalty))" /e /r /s</v>
      </c>
      <c r="AG151" s="1" t="str">
        <f t="shared" si="80"/>
        <v>EC</v>
      </c>
      <c r="AH151" s="92" t="str">
        <f t="shared" ref="AH151" si="84">refinertdcruntimes&amp;" --tripid "&amp;A151&amp;" --locoid "&amp;B151&amp;" --swversion "&amp;C151&amp;" --startMP "&amp;D151&amp;" --initTime "&amp;TEXT(E151,"yyyy-mm-ddTHH:MM:SS")&amp;" --startdatetime "&amp;TEXT(F151,"yyyy-mm-ddTHH:MM:SS")&amp;" --delay "&amp;G151&amp;" --endMP "&amp;H151&amp;" --enddatetime "&amp;TEXT(I151,"yyyy-mm-ddTHH:MM:SS")&amp;" --enforcementcount "&amp;J151&amp;IF(outputrefinedruntimes," &gt;&gt;"&amp;RefinedRTDCRunTimesOutputFile,"")</f>
        <v>"%USERPROFILE%\Documents\GitHub\eaglep3\Utilities\RefineRTDCRunTimes.py" --tripid 236-15 --locoid  --swversion DE.1.0.8.0 --startMP 204:460 --initTime 2016-12-15T22:25:28 --startdatetime 1900-01-00T00:00:00 --delay 1 --endMP 204:233321 --enddatetime 1900-01-00T00:00:00 --enforcementcount 0 &gt;&gt;C:\Users\stu\Documents\GitHub\eaglep3-reporting\EC\2016-12-15-refined-times.txt</v>
      </c>
      <c r="AI151" s="119" t="str">
        <f t="shared" ref="AI151" si="85">"echo {""issue"":{""subject"":"""&amp;R151&amp;""",""project_id"":79,""tracker_id"":40,""status_id"":"&amp;redmine_status&amp;",""priority_id"":"&amp;redmine_priority&amp;",""assigned_to_id"":"&amp;redmine_assignee&amp;",""start_date"":"""&amp;TEXT(I151,"YYYY-mm-dd")&amp;""",""description"":"""&amp;AJ151&amp;""",""custom_fields"":[{""id"":1,""name"":""Subdivision"",""value"":"""&amp;AG151&amp;"""},{""id"":4,""name"":""Milepost"",""value"":"""&amp;Z151&amp;"""},{""id"":17,""name"":""Train ID"",""value"":"""&amp;A151&amp;"""},{""id"":16,""name"":""Locomotive ID"",""value"":"""&amp;B151&amp;"""},{""id"":130,""name"":""Impact"",""value"":"""&amp;AK151&amp;"""},{""id"":150,""name"":""Time of Event (Mountain Time)"",""value"":"""&amp;TEXT(I151,"hh:mm:ss")&amp;"""},{""id"":151,""name"":""Denver Issue ID"",""value"":"""&amp;"""},{""id"":178,""name"":""Operational Impact"",""value"":"""&amp;redmine_op_impact&amp;"""},{""id"":179,""name"":""Denver Segment Assigned"",""value"":"""&amp;AL151&amp;"""}]}}"&amp;" | curl -X POST -H ""Content-Type: application/json"" -H ""X-Redmine-API-Key: "&amp;redm_api_key&amp;""" "&amp;redm_url&amp;" --data @-"</f>
        <v>echo {"issue":{"subject":"Ran ATC to support EC Subdiv 80 cutover","project_id":79,"tracker_id":40,"status_id":1,"priority_id":2,"assigned_to_id":23,"start_date":"1900-01-00","description":"","custom_fields":[{"id":1,"name":"Subdivision","value":"EC"},{"id":4,"name":"Milepost","value":"23.3321"},{"id":17,"name":"Train ID","value":"236-15"},{"id":16,"name":"Locomotive ID","value":""},{"id":130,"name":"Impact","value":""},{"id":150,"name":"Time of Event (Mountain Time)","value":"00:00:00"},{"id":151,"name":"Denver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row>
    <row r="152" spans="1:91" s="21" customFormat="1" x14ac:dyDescent="0.25">
      <c r="A152" s="37" t="s">
        <v>773</v>
      </c>
      <c r="B152" s="7">
        <v>4003</v>
      </c>
      <c r="C152" s="22" t="s">
        <v>207</v>
      </c>
      <c r="D152" s="22" t="s">
        <v>289</v>
      </c>
      <c r="E152" s="13">
        <v>42719.950324074074</v>
      </c>
      <c r="F152" s="13">
        <v>42719.95853009259</v>
      </c>
      <c r="G152" s="7">
        <v>1</v>
      </c>
      <c r="H152" s="22" t="s">
        <v>817</v>
      </c>
      <c r="I152" s="13">
        <v>42719.983923611115</v>
      </c>
      <c r="J152" s="7">
        <v>0</v>
      </c>
      <c r="K152" s="109" t="str">
        <f t="shared" si="71"/>
        <v>4003/4004</v>
      </c>
      <c r="L152" s="22" t="str">
        <f>VLOOKUP(A152,'Trips&amp;Operators'!$C$1:$G$99999,5,FALSE)</f>
        <v>COMELLA JUSTIN</v>
      </c>
      <c r="M152" s="6">
        <f t="shared" si="72"/>
        <v>2.5393518524651881E-2</v>
      </c>
      <c r="N152" s="7">
        <f>24*60*SUM($M152:$M152)</f>
        <v>36.566666675498709</v>
      </c>
      <c r="O152" s="7"/>
      <c r="P152" s="7"/>
      <c r="Q152" s="23"/>
      <c r="R152" s="23"/>
      <c r="S152" s="35">
        <f t="shared" si="67"/>
        <v>1</v>
      </c>
      <c r="T152" s="50" t="str">
        <f t="shared" si="73"/>
        <v>NorthBound</v>
      </c>
      <c r="U152" s="171">
        <f>IF(AG152="EC",COUNTIFS(Variables!$M$2:$M$19,IF(T152="NorthBound","&gt;=","&lt;=")&amp;Y152,Variables!$M$2:$M$19,IF(T152="NorthBound","&lt;=","&gt;=")&amp;Z152),COUNTIFS(Variables!$P$2:$P$19,IF(T152="NorthBound","&gt;=","&lt;=")&amp;Y152,Variables!$P$2:$P$19,IF(T152="NorthBound","&lt;=","&gt;=")&amp;Z152))</f>
        <v>12</v>
      </c>
      <c r="V152" s="98" t="str">
        <f t="shared" si="74"/>
        <v>https://search-rtdc-monitor-bjffxe2xuh6vdkpspy63sjmuny.us-east-1.es.amazonaws.com/_plugin/kibana/#/discover/Steve-Slow-Train-Analysis-(2080s-and-2083s)?_g=(refreshInterval:(display:Off,section:0,value:0),time:(from:'2016-12-15 21:48:28-700',mode:absolute,to:'2016-12-16 00:36:51-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152" s="52" t="str">
        <f t="shared" si="75"/>
        <v>N</v>
      </c>
      <c r="X152" s="177">
        <f t="shared" si="83"/>
        <v>1</v>
      </c>
      <c r="Y152" s="67">
        <f t="shared" si="68"/>
        <v>4.6699999999999998E-2</v>
      </c>
      <c r="Z152" s="67">
        <f t="shared" si="69"/>
        <v>23.3308</v>
      </c>
      <c r="AA152" s="67">
        <f t="shared" si="76"/>
        <v>23.284099999999999</v>
      </c>
      <c r="AB152" s="64" t="e">
        <f>VLOOKUP(A152,Enforcements!$C$7:$K$18,8,0)</f>
        <v>#N/A</v>
      </c>
      <c r="AC152" s="60" t="e">
        <f>VLOOKUP(A152,Enforcements!$C$7:$E$18,3,0)</f>
        <v>#N/A</v>
      </c>
      <c r="AD152" s="61" t="str">
        <f t="shared" si="77"/>
        <v>0237-15</v>
      </c>
      <c r="AE152" s="91" t="str">
        <f t="shared" si="78"/>
        <v>aws s3 cp s3://rtdc.mdm.uploadarchive.raw/RTDC4003/ "%USERPROFILE%\AppData\Local\Temp\OnboardLogs"\RTDC4003\2016-12-15 --exclude "*" --recursive --include "*20161215*" &amp; "%USERPROFILE%\Documents\GitHub\mrs-test-scripts\Headless Mode &amp; Sideloading\WalkAndUnGZ.bat" "%USERPROFILE%\AppData\Local\Temp\OnboardLogs"\RTDC4003\2016-12-15 &amp; aws s3 cp s3://rtdc.mdm.uploadarchive.raw/RTDC4003/ "%USERPROFILE%\AppData\Local\Temp\OnboardLogs"\RTDC4003\2016-12-16 --exclude "*" --recursive --include "*20161216*" &amp; "%USERPROFILE%\Documents\GitHub\mrs-test-scripts\Headless Mode &amp; Sideloading\WalkAndUnGZ.bat" "%USERPROFILE%\AppData\Local\Temp\OnboardLogs"\RTDC4003\2016-12-16</v>
      </c>
      <c r="AF152" s="88" t="str">
        <f t="shared" si="79"/>
        <v>"C:\Program Files (x86)\AstroGrep\AstroGrep.exe" /spath="%USERPROFILE%\AppData\Local\Temp\OnboardLogs" /stypes="app*4003*20161216*" /stext=" 06:.+((SYSTEM_STATE.+slice.+state.+changed )|(ment ac)|(multiple cpu faults)|(system.+state.+changed )|(\[timeout)|(PRM\|1\|D)|(kpr)|(kdp)|(\|lc)|(penalty))" /e /r /s</v>
      </c>
      <c r="AG152" s="1" t="str">
        <f t="shared" si="80"/>
        <v>EC</v>
      </c>
      <c r="AH152" s="92" t="str">
        <f t="shared" si="81"/>
        <v>"%USERPROFILE%\Documents\GitHub\eaglep3\Utilities\RefineRTDCRunTimes.py" --tripid 237-15 --locoid 4003 --swversion DE.1.0.8.0 --startMP 204:467 --initTime 2016-12-15T22:48:28 --startdatetime 2016-12-15T23:00:17 --delay 1 --endMP 204:233308 --enddatetime 2016-12-15T23:36:51 --enforcementcount 0 &gt;&gt;C:\Users\stu\Documents\GitHub\eaglep3-reporting\EC\2016-12-15-refined-times.txt</v>
      </c>
      <c r="AI152" s="119" t="str">
        <f t="shared" si="82"/>
        <v>echo {"issue":{"subject":"","project_id":79,"tracker_id":40,"status_id":1,"priority_id":2,"assigned_to_id":23,"start_date":"2016-12-15","description":"","custom_fields":[{"id":1,"name":"Subdivision","value":"EC"},{"id":4,"name":"Milepost","value":"23.3308"},{"id":17,"name":"Train ID","value":"237-15"},{"id":16,"name":"Locomotive ID","value":"4003"},{"id":130,"name":"Impact","value":""},{"id":150,"name":"Time of Event (Mountain Time)","value":"23:36:51"},{"id":151,"name":"Denver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1:91" s="21" customFormat="1" x14ac:dyDescent="0.25">
      <c r="A153" s="37" t="s">
        <v>970</v>
      </c>
      <c r="B153" s="7"/>
      <c r="C153" s="22"/>
      <c r="D153" s="22"/>
      <c r="E153" s="13"/>
      <c r="F153" s="13"/>
      <c r="G153" s="7"/>
      <c r="H153" s="22"/>
      <c r="I153" s="13"/>
      <c r="J153" s="7"/>
      <c r="K153" s="109" t="str">
        <f t="shared" ref="K153:K156" si="86">IF(ISEVEN(B153),(B153-1)&amp;"/"&amp;B153,B153&amp;"/"&amp;(B153+1))</f>
        <v>-1/</v>
      </c>
      <c r="L153" s="22"/>
      <c r="M153" s="6">
        <f t="shared" ref="M153:M156" si="87">I153-F153</f>
        <v>0</v>
      </c>
      <c r="N153" s="7"/>
      <c r="O153" s="7"/>
      <c r="P153" s="7">
        <v>1</v>
      </c>
      <c r="Q153" s="23"/>
      <c r="R153" s="23" t="s">
        <v>982</v>
      </c>
      <c r="S153" s="35">
        <f t="shared" ref="S153:S156" si="88">SUM(U153:U153)/IF(AG153="EC",12,1)</f>
        <v>0</v>
      </c>
      <c r="T153" s="50" t="str">
        <f t="shared" ref="T153:T156" si="89">IF(ISEVEN(LEFT(AD153,4)),"Southbound","NorthBound")</f>
        <v>Southbound</v>
      </c>
      <c r="U153" s="171">
        <f>IF(AG153="EC",COUNTIFS(Variables!$M$2:$M$19,IF(T153="NorthBound","&gt;=","&lt;=")&amp;Y153,Variables!$M$2:$M$19,IF(T153="NorthBound","&lt;=","&gt;=")&amp;Z153),COUNTIFS(Variables!$P$2:$P$19,IF(T153="NorthBound","&gt;=","&lt;=")&amp;Y153,Variables!$P$2:$P$19,IF(T153="NorthBound","&lt;=","&gt;=")&amp;Z153))</f>
        <v>0</v>
      </c>
      <c r="V153" s="98" t="e">
        <f t="shared" si="74"/>
        <v>#VALUE!</v>
      </c>
      <c r="W153" s="52" t="e">
        <f t="shared" ref="W153:W156" si="90">IF(AA153&lt;IF(AG153="EC",23,5.65),"Y","N")</f>
        <v>#VALUE!</v>
      </c>
      <c r="X153" s="177">
        <f t="shared" si="83"/>
        <v>1</v>
      </c>
      <c r="Y153" s="67" t="e">
        <f t="shared" ref="Y153:Y156" si="91">RIGHT(D153,LEN(D153)-4)/10000</f>
        <v>#VALUE!</v>
      </c>
      <c r="Z153" s="67" t="e">
        <f t="shared" ref="Z153:Z156" si="92">RIGHT(H153,LEN(H153)-4)/10000</f>
        <v>#VALUE!</v>
      </c>
      <c r="AA153" s="67" t="e">
        <f t="shared" ref="AA153:AA156" si="93">ABS(Z153-Y153)</f>
        <v>#VALUE!</v>
      </c>
      <c r="AB153" s="64" t="e">
        <f>VLOOKUP(A153,Enforcements!$C$7:$K$18,8,0)</f>
        <v>#N/A</v>
      </c>
      <c r="AC153" s="60" t="e">
        <f>VLOOKUP(A153,Enforcements!$C$7:$E$18,3,0)</f>
        <v>#N/A</v>
      </c>
      <c r="AD153" s="61" t="str">
        <f t="shared" ref="AD153:AD156" si="94">IF(LEN(A153)=6,"0"&amp;A153,A153)</f>
        <v>0238-15</v>
      </c>
      <c r="AE153"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3" s="88" t="str">
        <f t="shared" si="79"/>
        <v>"C:\Program Files (x86)\AstroGrep\AstroGrep.exe" /spath="%USERPROFILE%\AppData\Local\Temp\OnboardLogs" /stypes="app**19000100*" /stext=" 07:.+((SYSTEM_STATE.+slice.+state.+changed )|(ment ac)|(multiple cpu faults)|(system.+state.+changed )|(\[timeout)|(PRM\|1\|D)|(kpr)|(kdp)|(\|lc)|(penalty))" /e /r /s</v>
      </c>
      <c r="AG153" s="1" t="str">
        <f t="shared" ref="AG153:AG156" si="95">IFERROR(IF(VALUE(LEFT(AD153,2))&lt;=2,"EC",IF(OR(VALUE(LEFT(AD153,2))=8,VALUE(LEFT(AD153,2))=18),"NW","Other")),"Other")</f>
        <v>EC</v>
      </c>
      <c r="AH153" s="92" t="str">
        <f t="shared" ref="AH153:AH156" si="96">refinertdcruntimes&amp;" --tripid "&amp;A153&amp;" --locoid "&amp;B153&amp;" --swversion "&amp;C153&amp;" --startMP "&amp;D153&amp;" --initTime "&amp;TEXT(E153,"yyyy-mm-ddTHH:MM:SS")&amp;" --startdatetime "&amp;TEXT(F153,"yyyy-mm-ddTHH:MM:SS")&amp;" --delay "&amp;G153&amp;" --endMP "&amp;H153&amp;" --enddatetime "&amp;TEXT(I153,"yyyy-mm-ddTHH:MM:SS")&amp;" --enforcementcount "&amp;J153&amp;IF(outputrefinedruntimes," &gt;&gt;"&amp;RefinedRTDCRunTimesOutputFile,"")</f>
        <v>"%USERPROFILE%\Documents\GitHub\eaglep3\Utilities\RefineRTDCRunTimes.py" --tripid 238-15 --locoid  --swversion  --startMP  --initTime 1900-01-00T00:00:00 --startdatetime 1900-01-00T00:00:00 --delay  --endMP  --enddatetime 1900-01-00T00:00:00 --enforcementcount  &gt;&gt;C:\Users\stu\Documents\GitHub\eaglep3-reporting\EC\2016-12-15-refined-times.txt</v>
      </c>
      <c r="AI153" s="119" t="e">
        <f t="shared" ref="AI153:AI156" si="97">"echo {""issue"":{""subject"":"""&amp;R153&amp;""",""project_id"":79,""tracker_id"":40,""status_id"":"&amp;redmine_status&amp;",""priority_id"":"&amp;redmine_priority&amp;",""assigned_to_id"":"&amp;redmine_assignee&amp;",""start_date"":"""&amp;TEXT(I153,"YYYY-mm-dd")&amp;""",""description"":"""&amp;AJ153&amp;""",""custom_fields"":[{""id"":1,""name"":""Subdivision"",""value"":"""&amp;AG153&amp;"""},{""id"":4,""name"":""Milepost"",""value"":"""&amp;Z153&amp;"""},{""id"":17,""name"":""Train ID"",""value"":"""&amp;A153&amp;"""},{""id"":16,""name"":""Locomotive ID"",""value"":"""&amp;B153&amp;"""},{""id"":130,""name"":""Impact"",""value"":"""&amp;AK153&amp;"""},{""id"":150,""name"":""Time of Event (Mountain Time)"",""value"":"""&amp;TEXT(I153,"hh:mm:ss")&amp;"""},{""id"":151,""name"":""Denver Issue ID"",""value"":"""&amp;"""},{""id"":178,""name"":""Operational Impact"",""value"":"""&amp;redmine_op_impact&amp;"""},{""id"":179,""name"":""Denver Segment Assigned"",""value"":"""&amp;AL153&amp;"""}]}}"&amp;" | curl -X POST -H ""Content-Type: application/json"" -H ""X-Redmine-API-Key: "&amp;redm_api_key&amp;""" "&amp;redm_url&amp;" --data @-"</f>
        <v>#VALUE!</v>
      </c>
      <c r="AJ153" s="53"/>
      <c r="AK153" s="53"/>
      <c r="AL153" s="53"/>
    </row>
    <row r="154" spans="1:91" s="21" customFormat="1" x14ac:dyDescent="0.25">
      <c r="A154" s="37" t="s">
        <v>971</v>
      </c>
      <c r="B154" s="7"/>
      <c r="C154" s="22"/>
      <c r="D154" s="22"/>
      <c r="E154" s="13"/>
      <c r="F154" s="13"/>
      <c r="G154" s="7"/>
      <c r="H154" s="22"/>
      <c r="I154" s="13"/>
      <c r="J154" s="7"/>
      <c r="K154" s="109" t="str">
        <f t="shared" si="86"/>
        <v>-1/</v>
      </c>
      <c r="L154" s="22"/>
      <c r="M154" s="6">
        <f t="shared" si="87"/>
        <v>0</v>
      </c>
      <c r="N154" s="7"/>
      <c r="O154" s="7"/>
      <c r="P154" s="7">
        <v>1</v>
      </c>
      <c r="Q154" s="23"/>
      <c r="R154" s="23" t="s">
        <v>982</v>
      </c>
      <c r="S154" s="35">
        <f t="shared" si="88"/>
        <v>0</v>
      </c>
      <c r="T154" s="50" t="str">
        <f t="shared" si="89"/>
        <v>NorthBound</v>
      </c>
      <c r="U154" s="171">
        <f>IF(AG154="EC",COUNTIFS(Variables!$M$2:$M$19,IF(T154="NorthBound","&gt;=","&lt;=")&amp;Y154,Variables!$M$2:$M$19,IF(T154="NorthBound","&lt;=","&gt;=")&amp;Z154),COUNTIFS(Variables!$P$2:$P$19,IF(T154="NorthBound","&gt;=","&lt;=")&amp;Y154,Variables!$P$2:$P$19,IF(T154="NorthBound","&lt;=","&gt;=")&amp;Z154))</f>
        <v>0</v>
      </c>
      <c r="V154" s="98" t="e">
        <f t="shared" si="74"/>
        <v>#VALUE!</v>
      </c>
      <c r="W154" s="52" t="e">
        <f t="shared" si="90"/>
        <v>#VALUE!</v>
      </c>
      <c r="X154" s="177">
        <f t="shared" si="83"/>
        <v>1</v>
      </c>
      <c r="Y154" s="67" t="e">
        <f t="shared" si="91"/>
        <v>#VALUE!</v>
      </c>
      <c r="Z154" s="67" t="e">
        <f t="shared" si="92"/>
        <v>#VALUE!</v>
      </c>
      <c r="AA154" s="67" t="e">
        <f t="shared" si="93"/>
        <v>#VALUE!</v>
      </c>
      <c r="AB154" s="64" t="e">
        <f>VLOOKUP(A154,Enforcements!$C$7:$K$18,8,0)</f>
        <v>#N/A</v>
      </c>
      <c r="AC154" s="60" t="e">
        <f>VLOOKUP(A154,Enforcements!$C$7:$E$18,3,0)</f>
        <v>#N/A</v>
      </c>
      <c r="AD154" s="61" t="str">
        <f t="shared" si="94"/>
        <v>0239-15</v>
      </c>
      <c r="AE154"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4" s="88" t="str">
        <f t="shared" si="79"/>
        <v>"C:\Program Files (x86)\AstroGrep\AstroGrep.exe" /spath="%USERPROFILE%\AppData\Local\Temp\OnboardLogs" /stypes="app**19000100*" /stext=" 07:.+((SYSTEM_STATE.+slice.+state.+changed )|(ment ac)|(multiple cpu faults)|(system.+state.+changed )|(\[timeout)|(PRM\|1\|D)|(kpr)|(kdp)|(\|lc)|(penalty))" /e /r /s</v>
      </c>
      <c r="AG154" s="1" t="str">
        <f t="shared" si="95"/>
        <v>EC</v>
      </c>
      <c r="AH154" s="92" t="str">
        <f t="shared" si="96"/>
        <v>"%USERPROFILE%\Documents\GitHub\eaglep3\Utilities\RefineRTDCRunTimes.py" --tripid 239-15 --locoid  --swversion  --startMP  --initTime 1900-01-00T00:00:00 --startdatetime 1900-01-00T00:00:00 --delay  --endMP  --enddatetime 1900-01-00T00:00:00 --enforcementcount  &gt;&gt;C:\Users\stu\Documents\GitHub\eaglep3-reporting\EC\2016-12-15-refined-times.txt</v>
      </c>
      <c r="AI154" s="119" t="e">
        <f t="shared" si="97"/>
        <v>#VALUE!</v>
      </c>
      <c r="AJ154" s="53"/>
      <c r="AK154" s="53"/>
      <c r="AL154" s="53"/>
    </row>
    <row r="155" spans="1:91" s="21" customFormat="1" x14ac:dyDescent="0.25">
      <c r="A155" s="37" t="s">
        <v>972</v>
      </c>
      <c r="B155" s="7"/>
      <c r="C155" s="22"/>
      <c r="D155" s="22"/>
      <c r="E155" s="13"/>
      <c r="F155" s="13"/>
      <c r="G155" s="7"/>
      <c r="H155" s="22"/>
      <c r="I155" s="13"/>
      <c r="J155" s="7"/>
      <c r="K155" s="109" t="str">
        <f t="shared" si="86"/>
        <v>-1/</v>
      </c>
      <c r="L155" s="22"/>
      <c r="M155" s="6">
        <f t="shared" si="87"/>
        <v>0</v>
      </c>
      <c r="N155" s="7"/>
      <c r="O155" s="7"/>
      <c r="P155" s="7">
        <v>1</v>
      </c>
      <c r="Q155" s="23"/>
      <c r="R155" s="23" t="s">
        <v>982</v>
      </c>
      <c r="S155" s="35">
        <f t="shared" si="88"/>
        <v>0</v>
      </c>
      <c r="T155" s="50" t="str">
        <f t="shared" si="89"/>
        <v>Southbound</v>
      </c>
      <c r="U155" s="171">
        <f>IF(AG155="EC",COUNTIFS(Variables!$M$2:$M$19,IF(T155="NorthBound","&gt;=","&lt;=")&amp;Y155,Variables!$M$2:$M$19,IF(T155="NorthBound","&lt;=","&gt;=")&amp;Z155),COUNTIFS(Variables!$P$2:$P$19,IF(T155="NorthBound","&gt;=","&lt;=")&amp;Y155,Variables!$P$2:$P$19,IF(T155="NorthBound","&lt;=","&gt;=")&amp;Z155))</f>
        <v>0</v>
      </c>
      <c r="V155" s="98" t="e">
        <f t="shared" si="74"/>
        <v>#VALUE!</v>
      </c>
      <c r="W155" s="52" t="e">
        <f t="shared" si="90"/>
        <v>#VALUE!</v>
      </c>
      <c r="X155" s="177">
        <f t="shared" si="83"/>
        <v>1</v>
      </c>
      <c r="Y155" s="67" t="e">
        <f t="shared" si="91"/>
        <v>#VALUE!</v>
      </c>
      <c r="Z155" s="67" t="e">
        <f t="shared" si="92"/>
        <v>#VALUE!</v>
      </c>
      <c r="AA155" s="67" t="e">
        <f t="shared" si="93"/>
        <v>#VALUE!</v>
      </c>
      <c r="AB155" s="64" t="e">
        <f>VLOOKUP(A155,Enforcements!$C$7:$K$18,8,0)</f>
        <v>#N/A</v>
      </c>
      <c r="AC155" s="60" t="e">
        <f>VLOOKUP(A155,Enforcements!$C$7:$E$18,3,0)</f>
        <v>#N/A</v>
      </c>
      <c r="AD155" s="61" t="str">
        <f t="shared" si="94"/>
        <v>0240-15</v>
      </c>
      <c r="AE155"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5" s="88" t="str">
        <f t="shared" si="79"/>
        <v>"C:\Program Files (x86)\AstroGrep\AstroGrep.exe" /spath="%USERPROFILE%\AppData\Local\Temp\OnboardLogs" /stypes="app**19000100*" /stext=" 07:.+((SYSTEM_STATE.+slice.+state.+changed )|(ment ac)|(multiple cpu faults)|(system.+state.+changed )|(\[timeout)|(PRM\|1\|D)|(kpr)|(kdp)|(\|lc)|(penalty))" /e /r /s</v>
      </c>
      <c r="AG155" s="1" t="str">
        <f t="shared" si="95"/>
        <v>EC</v>
      </c>
      <c r="AH155" s="92" t="str">
        <f t="shared" si="96"/>
        <v>"%USERPROFILE%\Documents\GitHub\eaglep3\Utilities\RefineRTDCRunTimes.py" --tripid 240-15 --locoid  --swversion  --startMP  --initTime 1900-01-00T00:00:00 --startdatetime 1900-01-00T00:00:00 --delay  --endMP  --enddatetime 1900-01-00T00:00:00 --enforcementcount  &gt;&gt;C:\Users\stu\Documents\GitHub\eaglep3-reporting\EC\2016-12-15-refined-times.txt</v>
      </c>
      <c r="AI155" s="119" t="e">
        <f t="shared" si="97"/>
        <v>#VALUE!</v>
      </c>
      <c r="AJ155" s="53"/>
      <c r="AK155" s="53"/>
      <c r="AL155" s="53"/>
    </row>
    <row r="156" spans="1:91" s="21" customFormat="1" x14ac:dyDescent="0.25">
      <c r="A156" s="37" t="s">
        <v>973</v>
      </c>
      <c r="B156" s="7"/>
      <c r="C156" s="22"/>
      <c r="D156" s="22"/>
      <c r="E156" s="13"/>
      <c r="F156" s="13"/>
      <c r="G156" s="7"/>
      <c r="H156" s="22"/>
      <c r="I156" s="13"/>
      <c r="J156" s="7"/>
      <c r="K156" s="109" t="str">
        <f t="shared" si="86"/>
        <v>-1/</v>
      </c>
      <c r="L156" s="22"/>
      <c r="M156" s="6">
        <f t="shared" si="87"/>
        <v>0</v>
      </c>
      <c r="N156" s="7"/>
      <c r="O156" s="7"/>
      <c r="P156" s="7">
        <v>1</v>
      </c>
      <c r="Q156" s="23"/>
      <c r="R156" s="23" t="s">
        <v>982</v>
      </c>
      <c r="S156" s="35">
        <f t="shared" si="88"/>
        <v>0</v>
      </c>
      <c r="T156" s="50" t="str">
        <f t="shared" si="89"/>
        <v>NorthBound</v>
      </c>
      <c r="U156" s="171">
        <f>IF(AG156="EC",COUNTIFS(Variables!$M$2:$M$19,IF(T156="NorthBound","&gt;=","&lt;=")&amp;Y156,Variables!$M$2:$M$19,IF(T156="NorthBound","&lt;=","&gt;=")&amp;Z156),COUNTIFS(Variables!$P$2:$P$19,IF(T156="NorthBound","&gt;=","&lt;=")&amp;Y156,Variables!$P$2:$P$19,IF(T156="NorthBound","&lt;=","&gt;=")&amp;Z156))</f>
        <v>0</v>
      </c>
      <c r="V156" s="98" t="e">
        <f t="shared" si="74"/>
        <v>#VALUE!</v>
      </c>
      <c r="W156" s="52" t="e">
        <f t="shared" si="90"/>
        <v>#VALUE!</v>
      </c>
      <c r="X156" s="177">
        <f t="shared" si="83"/>
        <v>1</v>
      </c>
      <c r="Y156" s="67" t="e">
        <f t="shared" si="91"/>
        <v>#VALUE!</v>
      </c>
      <c r="Z156" s="67" t="e">
        <f t="shared" si="92"/>
        <v>#VALUE!</v>
      </c>
      <c r="AA156" s="67" t="e">
        <f t="shared" si="93"/>
        <v>#VALUE!</v>
      </c>
      <c r="AB156" s="64" t="e">
        <f>VLOOKUP(A156,Enforcements!$C$7:$K$18,8,0)</f>
        <v>#N/A</v>
      </c>
      <c r="AC156" s="60" t="e">
        <f>VLOOKUP(A156,Enforcements!$C$7:$E$18,3,0)</f>
        <v>#N/A</v>
      </c>
      <c r="AD156" s="61" t="str">
        <f t="shared" si="94"/>
        <v>0241-15</v>
      </c>
      <c r="AE156"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6" s="88" t="str">
        <f t="shared" si="79"/>
        <v>"C:\Program Files (x86)\AstroGrep\AstroGrep.exe" /spath="%USERPROFILE%\AppData\Local\Temp\OnboardLogs" /stypes="app**19000100*" /stext=" 07:.+((SYSTEM_STATE.+slice.+state.+changed )|(ment ac)|(multiple cpu faults)|(system.+state.+changed )|(\[timeout)|(PRM\|1\|D)|(kpr)|(kdp)|(\|lc)|(penalty))" /e /r /s</v>
      </c>
      <c r="AG156" s="1" t="str">
        <f t="shared" si="95"/>
        <v>EC</v>
      </c>
      <c r="AH156" s="92" t="str">
        <f t="shared" si="96"/>
        <v>"%USERPROFILE%\Documents\GitHub\eaglep3\Utilities\RefineRTDCRunTimes.py" --tripid 241-15 --locoid  --swversion  --startMP  --initTime 1900-01-00T00:00:00 --startdatetime 1900-01-00T00:00:00 --delay  --endMP  --enddatetime 1900-01-00T00:00:00 --enforcementcount  &gt;&gt;C:\Users\stu\Documents\GitHub\eaglep3-reporting\EC\2016-12-15-refined-times.txt</v>
      </c>
      <c r="AI156" s="119" t="e">
        <f t="shared" si="97"/>
        <v>#VALUE!</v>
      </c>
      <c r="AJ156" s="53"/>
      <c r="AK156" s="53"/>
      <c r="AL156" s="53"/>
    </row>
    <row r="157" spans="1:91" s="21" customFormat="1" x14ac:dyDescent="0.25">
      <c r="A157" s="37" t="s">
        <v>974</v>
      </c>
      <c r="B157" s="7"/>
      <c r="C157" s="22"/>
      <c r="D157" s="22"/>
      <c r="E157" s="13"/>
      <c r="F157" s="13"/>
      <c r="G157" s="7"/>
      <c r="H157" s="22"/>
      <c r="I157" s="13"/>
      <c r="J157" s="7"/>
      <c r="K157" s="109" t="str">
        <f t="shared" ref="K157:K159" si="98">IF(ISEVEN(B157),(B157-1)&amp;"/"&amp;B157,B157&amp;"/"&amp;(B157+1))</f>
        <v>-1/</v>
      </c>
      <c r="L157" s="22"/>
      <c r="M157" s="6">
        <f t="shared" ref="M157:M159" si="99">I157-F157</f>
        <v>0</v>
      </c>
      <c r="N157" s="7"/>
      <c r="O157" s="7"/>
      <c r="P157" s="7">
        <v>1</v>
      </c>
      <c r="Q157" s="23"/>
      <c r="R157" s="23" t="s">
        <v>982</v>
      </c>
      <c r="S157" s="35">
        <f t="shared" ref="S157:S159" si="100">SUM(U157:U157)/IF(AG157="EC",12,1)</f>
        <v>0</v>
      </c>
      <c r="T157" s="50" t="str">
        <f t="shared" ref="T157:T159" si="101">IF(ISEVEN(LEFT(AD157,4)),"Southbound","NorthBound")</f>
        <v>Southbound</v>
      </c>
      <c r="U157" s="171">
        <f>IF(AG157="EC",COUNTIFS(Variables!$M$2:$M$19,IF(T157="NorthBound","&gt;=","&lt;=")&amp;Y157,Variables!$M$2:$M$19,IF(T157="NorthBound","&lt;=","&gt;=")&amp;Z157),COUNTIFS(Variables!$P$2:$P$19,IF(T157="NorthBound","&gt;=","&lt;=")&amp;Y157,Variables!$P$2:$P$19,IF(T157="NorthBound","&lt;=","&gt;=")&amp;Z157))</f>
        <v>0</v>
      </c>
      <c r="V157" s="98" t="e">
        <f t="shared" si="74"/>
        <v>#VALUE!</v>
      </c>
      <c r="W157" s="52" t="e">
        <f t="shared" ref="W157:W159" si="102">IF(AA157&lt;IF(AG157="EC",23,5.65),"Y","N")</f>
        <v>#VALUE!</v>
      </c>
      <c r="X157" s="177">
        <f t="shared" si="83"/>
        <v>1</v>
      </c>
      <c r="Y157" s="67" t="e">
        <f t="shared" ref="Y157:Y159" si="103">RIGHT(D157,LEN(D157)-4)/10000</f>
        <v>#VALUE!</v>
      </c>
      <c r="Z157" s="67" t="e">
        <f t="shared" ref="Z157:Z159" si="104">RIGHT(H157,LEN(H157)-4)/10000</f>
        <v>#VALUE!</v>
      </c>
      <c r="AA157" s="67" t="e">
        <f t="shared" ref="AA157:AA159" si="105">ABS(Z157-Y157)</f>
        <v>#VALUE!</v>
      </c>
      <c r="AB157" s="64" t="e">
        <f>VLOOKUP(A157,Enforcements!$C$7:$K$18,8,0)</f>
        <v>#N/A</v>
      </c>
      <c r="AC157" s="60" t="e">
        <f>VLOOKUP(A157,Enforcements!$C$7:$E$18,3,0)</f>
        <v>#N/A</v>
      </c>
      <c r="AD157" s="61" t="str">
        <f t="shared" ref="AD157:AD159" si="106">IF(LEN(A157)=6,"0"&amp;A157,A157)</f>
        <v>0242-15</v>
      </c>
      <c r="AE157"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7" s="88" t="str">
        <f t="shared" si="79"/>
        <v>"C:\Program Files (x86)\AstroGrep\AstroGrep.exe" /spath="%USERPROFILE%\AppData\Local\Temp\OnboardLogs" /stypes="app**19000100*" /stext=" 07:.+((SYSTEM_STATE.+slice.+state.+changed )|(ment ac)|(multiple cpu faults)|(system.+state.+changed )|(\[timeout)|(PRM\|1\|D)|(kpr)|(kdp)|(\|lc)|(penalty))" /e /r /s</v>
      </c>
      <c r="AG157" s="1" t="str">
        <f t="shared" ref="AG157:AG159" si="107">IFERROR(IF(VALUE(LEFT(AD157,2))&lt;=2,"EC",IF(OR(VALUE(LEFT(AD157,2))=8,VALUE(LEFT(AD157,2))=18),"NW","Other")),"Other")</f>
        <v>EC</v>
      </c>
      <c r="AH157" s="92" t="str">
        <f t="shared" ref="AH157:AH159" si="108">refinertdcruntimes&amp;" --tripid "&amp;A157&amp;" --locoid "&amp;B157&amp;" --swversion "&amp;C157&amp;" --startMP "&amp;D157&amp;" --initTime "&amp;TEXT(E157,"yyyy-mm-ddTHH:MM:SS")&amp;" --startdatetime "&amp;TEXT(F157,"yyyy-mm-ddTHH:MM:SS")&amp;" --delay "&amp;G157&amp;" --endMP "&amp;H157&amp;" --enddatetime "&amp;TEXT(I157,"yyyy-mm-ddTHH:MM:SS")&amp;" --enforcementcount "&amp;J157&amp;IF(outputrefinedruntimes," &gt;&gt;"&amp;RefinedRTDCRunTimesOutputFile,"")</f>
        <v>"%USERPROFILE%\Documents\GitHub\eaglep3\Utilities\RefineRTDCRunTimes.py" --tripid 242-15 --locoid  --swversion  --startMP  --initTime 1900-01-00T00:00:00 --startdatetime 1900-01-00T00:00:00 --delay  --endMP  --enddatetime 1900-01-00T00:00:00 --enforcementcount  &gt;&gt;C:\Users\stu\Documents\GitHub\eaglep3-reporting\EC\2016-12-15-refined-times.txt</v>
      </c>
      <c r="AI157" s="119" t="e">
        <f t="shared" ref="AI157:AI159" si="109">"echo {""issue"":{""subject"":"""&amp;R157&amp;""",""project_id"":79,""tracker_id"":40,""status_id"":"&amp;redmine_status&amp;",""priority_id"":"&amp;redmine_priority&amp;",""assigned_to_id"":"&amp;redmine_assignee&amp;",""start_date"":"""&amp;TEXT(I157,"YYYY-mm-dd")&amp;""",""description"":"""&amp;AJ157&amp;""",""custom_fields"":[{""id"":1,""name"":""Subdivision"",""value"":"""&amp;AG157&amp;"""},{""id"":4,""name"":""Milepost"",""value"":"""&amp;Z157&amp;"""},{""id"":17,""name"":""Train ID"",""value"":"""&amp;A157&amp;"""},{""id"":16,""name"":""Locomotive ID"",""value"":"""&amp;B157&amp;"""},{""id"":130,""name"":""Impact"",""value"":"""&amp;AK157&amp;"""},{""id"":150,""name"":""Time of Event (Mountain Time)"",""value"":"""&amp;TEXT(I157,"hh:mm:ss")&amp;"""},{""id"":151,""name"":""Denver Issue ID"",""value"":"""&amp;"""},{""id"":178,""name"":""Operational Impact"",""value"":"""&amp;redmine_op_impact&amp;"""},{""id"":179,""name"":""Denver Segment Assigned"",""value"":"""&amp;AL157&amp;"""}]}}"&amp;" | curl -X POST -H ""Content-Type: application/json"" -H ""X-Redmine-API-Key: "&amp;redm_api_key&amp;""" "&amp;redm_url&amp;" --data @-"</f>
        <v>#VALUE!</v>
      </c>
      <c r="AJ157" s="53"/>
      <c r="AK157" s="53"/>
      <c r="AL157" s="53"/>
    </row>
    <row r="158" spans="1:91" s="21" customFormat="1" x14ac:dyDescent="0.25">
      <c r="A158" s="37" t="s">
        <v>975</v>
      </c>
      <c r="B158" s="7"/>
      <c r="C158" s="22"/>
      <c r="D158" s="22"/>
      <c r="E158" s="13"/>
      <c r="F158" s="13"/>
      <c r="G158" s="7"/>
      <c r="H158" s="22"/>
      <c r="I158" s="13"/>
      <c r="J158" s="7"/>
      <c r="K158" s="109" t="str">
        <f t="shared" si="98"/>
        <v>-1/</v>
      </c>
      <c r="L158" s="22"/>
      <c r="M158" s="6">
        <f t="shared" si="99"/>
        <v>0</v>
      </c>
      <c r="N158" s="7"/>
      <c r="O158" s="7"/>
      <c r="P158" s="7">
        <v>1</v>
      </c>
      <c r="Q158" s="23"/>
      <c r="R158" s="23" t="s">
        <v>982</v>
      </c>
      <c r="S158" s="35">
        <f t="shared" si="100"/>
        <v>0</v>
      </c>
      <c r="T158" s="50" t="str">
        <f t="shared" si="101"/>
        <v>NorthBound</v>
      </c>
      <c r="U158" s="171">
        <f>IF(AG158="EC",COUNTIFS(Variables!$M$2:$M$19,IF(T158="NorthBound","&gt;=","&lt;=")&amp;Y158,Variables!$M$2:$M$19,IF(T158="NorthBound","&lt;=","&gt;=")&amp;Z158),COUNTIFS(Variables!$P$2:$P$19,IF(T158="NorthBound","&gt;=","&lt;=")&amp;Y158,Variables!$P$2:$P$19,IF(T158="NorthBound","&lt;=","&gt;=")&amp;Z158))</f>
        <v>0</v>
      </c>
      <c r="V158" s="98" t="e">
        <f t="shared" si="74"/>
        <v>#VALUE!</v>
      </c>
      <c r="W158" s="52" t="e">
        <f t="shared" si="102"/>
        <v>#VALUE!</v>
      </c>
      <c r="X158" s="177">
        <f t="shared" si="83"/>
        <v>1</v>
      </c>
      <c r="Y158" s="67" t="e">
        <f t="shared" si="103"/>
        <v>#VALUE!</v>
      </c>
      <c r="Z158" s="67" t="e">
        <f t="shared" si="104"/>
        <v>#VALUE!</v>
      </c>
      <c r="AA158" s="67" t="e">
        <f t="shared" si="105"/>
        <v>#VALUE!</v>
      </c>
      <c r="AB158" s="64" t="e">
        <f>VLOOKUP(A158,Enforcements!$C$7:$K$18,8,0)</f>
        <v>#N/A</v>
      </c>
      <c r="AC158" s="60" t="e">
        <f>VLOOKUP(A158,Enforcements!$C$7:$E$18,3,0)</f>
        <v>#N/A</v>
      </c>
      <c r="AD158" s="61" t="str">
        <f t="shared" si="106"/>
        <v>0243-15</v>
      </c>
      <c r="AE158"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8" s="88" t="str">
        <f t="shared" si="79"/>
        <v>"C:\Program Files (x86)\AstroGrep\AstroGrep.exe" /spath="%USERPROFILE%\AppData\Local\Temp\OnboardLogs" /stypes="app**19000100*" /stext=" 07:.+((SYSTEM_STATE.+slice.+state.+changed )|(ment ac)|(multiple cpu faults)|(system.+state.+changed )|(\[timeout)|(PRM\|1\|D)|(kpr)|(kdp)|(\|lc)|(penalty))" /e /r /s</v>
      </c>
      <c r="AG158" s="1" t="str">
        <f t="shared" si="107"/>
        <v>EC</v>
      </c>
      <c r="AH158" s="92" t="str">
        <f t="shared" si="108"/>
        <v>"%USERPROFILE%\Documents\GitHub\eaglep3\Utilities\RefineRTDCRunTimes.py" --tripid 243-15 --locoid  --swversion  --startMP  --initTime 1900-01-00T00:00:00 --startdatetime 1900-01-00T00:00:00 --delay  --endMP  --enddatetime 1900-01-00T00:00:00 --enforcementcount  &gt;&gt;C:\Users\stu\Documents\GitHub\eaglep3-reporting\EC\2016-12-15-refined-times.txt</v>
      </c>
      <c r="AI158" s="119" t="e">
        <f t="shared" si="109"/>
        <v>#VALUE!</v>
      </c>
      <c r="AJ158" s="53"/>
      <c r="AK158" s="53"/>
      <c r="AL158" s="53"/>
    </row>
    <row r="159" spans="1:91" s="21" customFormat="1" x14ac:dyDescent="0.25">
      <c r="A159" s="37" t="s">
        <v>976</v>
      </c>
      <c r="B159" s="7"/>
      <c r="C159" s="22"/>
      <c r="D159" s="22"/>
      <c r="E159" s="13"/>
      <c r="F159" s="13"/>
      <c r="G159" s="7"/>
      <c r="H159" s="22"/>
      <c r="I159" s="13"/>
      <c r="J159" s="7"/>
      <c r="K159" s="109" t="str">
        <f t="shared" si="98"/>
        <v>-1/</v>
      </c>
      <c r="L159" s="22"/>
      <c r="M159" s="6">
        <f t="shared" si="99"/>
        <v>0</v>
      </c>
      <c r="N159" s="7"/>
      <c r="O159" s="7"/>
      <c r="P159" s="7">
        <v>1</v>
      </c>
      <c r="Q159" s="23"/>
      <c r="R159" s="23" t="s">
        <v>982</v>
      </c>
      <c r="S159" s="35">
        <f t="shared" si="100"/>
        <v>0</v>
      </c>
      <c r="T159" s="50" t="str">
        <f t="shared" si="101"/>
        <v>Southbound</v>
      </c>
      <c r="U159" s="171">
        <f>IF(AG159="EC",COUNTIFS(Variables!$M$2:$M$19,IF(T159="NorthBound","&gt;=","&lt;=")&amp;Y159,Variables!$M$2:$M$19,IF(T159="NorthBound","&lt;=","&gt;=")&amp;Z159),COUNTIFS(Variables!$P$2:$P$19,IF(T159="NorthBound","&gt;=","&lt;=")&amp;Y159,Variables!$P$2:$P$19,IF(T159="NorthBound","&lt;=","&gt;=")&amp;Z159))</f>
        <v>0</v>
      </c>
      <c r="V159" s="98" t="e">
        <f t="shared" si="74"/>
        <v>#VALUE!</v>
      </c>
      <c r="W159" s="52" t="e">
        <f t="shared" si="102"/>
        <v>#VALUE!</v>
      </c>
      <c r="X159" s="177">
        <f t="shared" si="83"/>
        <v>1</v>
      </c>
      <c r="Y159" s="67" t="e">
        <f t="shared" si="103"/>
        <v>#VALUE!</v>
      </c>
      <c r="Z159" s="67" t="e">
        <f t="shared" si="104"/>
        <v>#VALUE!</v>
      </c>
      <c r="AA159" s="67" t="e">
        <f t="shared" si="105"/>
        <v>#VALUE!</v>
      </c>
      <c r="AB159" s="64" t="e">
        <f>VLOOKUP(A159,Enforcements!$C$7:$K$18,8,0)</f>
        <v>#N/A</v>
      </c>
      <c r="AC159" s="60" t="e">
        <f>VLOOKUP(A159,Enforcements!$C$7:$E$18,3,0)</f>
        <v>#N/A</v>
      </c>
      <c r="AD159" s="61" t="str">
        <f t="shared" si="106"/>
        <v>0244-15</v>
      </c>
      <c r="AE159" s="91" t="str">
        <f t="shared" si="78"/>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159" s="88" t="str">
        <f t="shared" si="79"/>
        <v>"C:\Program Files (x86)\AstroGrep\AstroGrep.exe" /spath="%USERPROFILE%\AppData\Local\Temp\OnboardLogs" /stypes="app**19000100*" /stext=" 07:.+((SYSTEM_STATE.+slice.+state.+changed )|(ment ac)|(multiple cpu faults)|(system.+state.+changed )|(\[timeout)|(PRM\|1\|D)|(kpr)|(kdp)|(\|lc)|(penalty))" /e /r /s</v>
      </c>
      <c r="AG159" s="1" t="str">
        <f t="shared" si="107"/>
        <v>EC</v>
      </c>
      <c r="AH159" s="92" t="str">
        <f t="shared" si="108"/>
        <v>"%USERPROFILE%\Documents\GitHub\eaglep3\Utilities\RefineRTDCRunTimes.py" --tripid 244-15 --locoid  --swversion  --startMP  --initTime 1900-01-00T00:00:00 --startdatetime 1900-01-00T00:00:00 --delay  --endMP  --enddatetime 1900-01-00T00:00:00 --enforcementcount  &gt;&gt;C:\Users\stu\Documents\GitHub\eaglep3-reporting\EC\2016-12-15-refined-times.txt</v>
      </c>
      <c r="AI159" s="119" t="e">
        <f t="shared" si="109"/>
        <v>#VALUE!</v>
      </c>
      <c r="AJ159" s="53"/>
      <c r="AK159" s="53"/>
      <c r="AL159" s="53"/>
    </row>
    <row r="160" spans="1:91" s="21" customFormat="1" x14ac:dyDescent="0.25">
      <c r="A160" s="37" t="s">
        <v>603</v>
      </c>
      <c r="B160" s="7">
        <v>4052</v>
      </c>
      <c r="C160" s="22" t="s">
        <v>207</v>
      </c>
      <c r="D160" s="22" t="s">
        <v>862</v>
      </c>
      <c r="E160" s="13">
        <v>42719.211354166669</v>
      </c>
      <c r="F160" s="13">
        <v>42719.216145833336</v>
      </c>
      <c r="G160" s="7">
        <v>1</v>
      </c>
      <c r="H160" s="22" t="s">
        <v>399</v>
      </c>
      <c r="I160" s="13">
        <v>42719.225868055553</v>
      </c>
      <c r="J160" s="7">
        <v>0</v>
      </c>
      <c r="K160" s="109" t="str">
        <f t="shared" ref="K160:K191" si="110">IF(ISEVEN(B160),(B160-1)&amp;"/"&amp;B160,B160&amp;"/"&amp;(B160+1))</f>
        <v>4051/4052</v>
      </c>
      <c r="L160" s="22" t="str">
        <f>VLOOKUP(A160,'Trips&amp;Operators'!$C$1:$G$99999,5,FALSE)</f>
        <v>ALEXANDER DONNELL</v>
      </c>
      <c r="M160" s="6">
        <f t="shared" ref="M160:M191" si="111">I160-F160</f>
        <v>9.7222222175332718E-3</v>
      </c>
      <c r="N160" s="7">
        <f t="shared" ref="N160:N183" si="112">24*60*SUM($M160:$M160)</f>
        <v>13.999999993247911</v>
      </c>
      <c r="O160" s="7"/>
      <c r="P160" s="7"/>
      <c r="Q160" s="23"/>
      <c r="R160" s="23"/>
      <c r="S160" s="35">
        <f t="shared" ref="S160:S191" si="113">SUM(U160:U160)/IF(AG160="EC",12,1)</f>
        <v>1</v>
      </c>
      <c r="T160" s="50" t="str">
        <f t="shared" ref="T160:T191" si="114">IF(ISEVEN(LEFT(AD160,4)),"Southbound","NorthBound")</f>
        <v>Southbound</v>
      </c>
      <c r="U160" s="171">
        <f>IF(AG160="EC",COUNTIFS(Variables!$M$2:$M$19,IF(T160="NorthBound","&gt;=","&lt;=")&amp;Y160,Variables!$M$2:$M$19,IF(T160="NorthBound","&lt;=","&gt;=")&amp;Z160),COUNTIFS(Variables!$P$2:$P$19,IF(T160="NorthBound","&gt;=","&lt;=")&amp;Y160,Variables!$P$2:$P$19,IF(T160="NorthBound","&lt;=","&gt;=")&amp;Z160))</f>
        <v>1</v>
      </c>
      <c r="V160" s="98" t="str">
        <f t="shared" si="74"/>
        <v>https://search-rtdc-monitor-bjffxe2xuh6vdkpspy63sjmuny.us-east-1.es.amazonaws.com/_plugin/kibana/#/discover/Steve-Slow-Train-Analysis-(2080s-and-2083s)?_g=(refreshInterval:(display:Off,section:0,value:0),time:(from:'2016-12-15 04:04:21-700',mode:absolute,to:'2016-12-15 06:25:15-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60" s="52" t="str">
        <f t="shared" ref="W160:W191" si="115">IF(AA160&lt;IF(AG160="EC",23,5.65),"Y","N")</f>
        <v>N</v>
      </c>
      <c r="X160" s="177">
        <f t="shared" si="83"/>
        <v>556</v>
      </c>
      <c r="Y160" s="67">
        <f t="shared" ref="Y160:Y191" si="116">RIGHT(D160,LEN(D160)-4)/10000</f>
        <v>5.8619000000000003</v>
      </c>
      <c r="Z160" s="67">
        <f t="shared" ref="Z160:Z183" si="117">RIGHT(H160,LEN(H160)-4)/10000</f>
        <v>7.2599999999999998E-2</v>
      </c>
      <c r="AA160" s="67">
        <f t="shared" ref="AA160:AA191" si="118">ABS(Z160-Y160)</f>
        <v>5.7893000000000008</v>
      </c>
      <c r="AB160" s="64" t="e">
        <f>VLOOKUP(A160,Enforcements!$C$7:$K$18,8,0)</f>
        <v>#N/A</v>
      </c>
      <c r="AC160" s="60" t="e">
        <f>VLOOKUP(A160,Enforcements!$C$7:$E$18,3,0)</f>
        <v>#N/A</v>
      </c>
      <c r="AD160" s="61" t="str">
        <f t="shared" ref="AD160:AD191" si="119">IF(LEN(A160)=6,"0"&amp;A160,A160)</f>
        <v>0800-15</v>
      </c>
      <c r="AE160"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60" s="88" t="str">
        <f t="shared" si="79"/>
        <v>"C:\Program Files (x86)\AstroGrep\AstroGrep.exe" /spath="%USERPROFILE%\AppData\Local\Temp\OnboardLogs" /stypes="app*4052*20161215*" /stext=" 12:.+((SYSTEM_STATE.+slice.+state.+changed )|(ment ac)|(multiple cpu faults)|(system.+state.+changed )|(\[timeout)|(PRM\|1\|D)|(kpr)|(kdp)|(\|lc)|(penalty))" /e /r /s</v>
      </c>
      <c r="AG160" s="1" t="str">
        <f t="shared" ref="AG160:AG191" si="120">IFERROR(IF(VALUE(LEFT(AD160,2))&lt;=2,"EC",IF(OR(VALUE(LEFT(AD160,2))=8,VALUE(LEFT(AD160,2))=18),"NW","Other")),"Other")</f>
        <v>NW</v>
      </c>
      <c r="AH160" s="92" t="str">
        <f t="shared" si="81"/>
        <v>"%USERPROFILE%\Documents\GitHub\eaglep3\Utilities\RefineRTDCRunTimes.py" --tripid 800-15 --locoid 4052 --swversion DE.1.0.8.0 --startMP 300:58619 --initTime 2016-12-15T05:04:21 --startdatetime 2016-12-15T05:11:15 --delay 1 --endMP 204:726 --enddatetime 2016-12-15T05:25:15 --enforcementcount 0 &gt;&gt;C:\Users\stu\Documents\GitHub\eaglep3-reporting\EC\2016-12-15-refined-times.txt</v>
      </c>
      <c r="AI160" s="119" t="str">
        <f t="shared" si="82"/>
        <v>echo {"issue":{"subject":"","project_id":79,"tracker_id":40,"status_id":1,"priority_id":2,"assigned_to_id":23,"start_date":"2016-12-15","description":"","custom_fields":[{"id":1,"name":"Subdivision","value":"NW"},{"id":4,"name":"Milepost","value":"0.0726"},{"id":17,"name":"Train ID","value":"800-15"},{"id":16,"name":"Locomotive ID","value":"4052"},{"id":130,"name":"Impact","value":""},{"id":150,"name":"Time of Event (Mountain Time)","value":"05:25:15"},{"id":151,"name":"Denver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1" customFormat="1" x14ac:dyDescent="0.25">
      <c r="A161" s="37" t="s">
        <v>605</v>
      </c>
      <c r="B161" s="7">
        <v>4051</v>
      </c>
      <c r="C161" s="22" t="s">
        <v>207</v>
      </c>
      <c r="D161" s="22" t="s">
        <v>863</v>
      </c>
      <c r="E161" s="13">
        <v>42719.230127314811</v>
      </c>
      <c r="F161" s="13">
        <v>42719.24417824074</v>
      </c>
      <c r="G161" s="7">
        <v>1</v>
      </c>
      <c r="H161" s="22" t="s">
        <v>317</v>
      </c>
      <c r="I161" s="13">
        <v>42719.253240740742</v>
      </c>
      <c r="J161" s="7">
        <v>0</v>
      </c>
      <c r="K161" s="109" t="str">
        <f t="shared" si="110"/>
        <v>4051/4052</v>
      </c>
      <c r="L161" s="22" t="str">
        <f>VLOOKUP(A161,'Trips&amp;Operators'!$C$1:$G$99999,5,FALSE)</f>
        <v>ALEXANDER DONNELL</v>
      </c>
      <c r="M161" s="6">
        <f t="shared" si="111"/>
        <v>9.0625000011641532E-3</v>
      </c>
      <c r="N161" s="7">
        <f t="shared" si="112"/>
        <v>13.050000001676381</v>
      </c>
      <c r="O161" s="7"/>
      <c r="P161" s="7"/>
      <c r="Q161" s="23"/>
      <c r="R161" s="23"/>
      <c r="S161" s="35">
        <f t="shared" si="113"/>
        <v>1</v>
      </c>
      <c r="T161" s="50" t="str">
        <f t="shared" si="114"/>
        <v>NorthBound</v>
      </c>
      <c r="U161" s="171">
        <f>IF(AG161="EC",COUNTIFS(Variables!$M$2:$M$19,IF(T161="NorthBound","&gt;=","&lt;=")&amp;Y161,Variables!$M$2:$M$19,IF(T161="NorthBound","&lt;=","&gt;=")&amp;Z161),COUNTIFS(Variables!$P$2:$P$19,IF(T161="NorthBound","&gt;=","&lt;=")&amp;Y161,Variables!$P$2:$P$19,IF(T161="NorthBound","&lt;=","&gt;=")&amp;Z161))</f>
        <v>1</v>
      </c>
      <c r="V161" s="98" t="str">
        <f t="shared" si="74"/>
        <v>https://search-rtdc-monitor-bjffxe2xuh6vdkpspy63sjmuny.us-east-1.es.amazonaws.com/_plugin/kibana/#/discover/Steve-Slow-Train-Analysis-(2080s-and-2083s)?_g=(refreshInterval:(display:Off,section:0,value:0),time:(from:'2016-12-15 04:31:23-700',mode:absolute,to:'2016-12-15 07:04: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61" s="52" t="str">
        <f t="shared" si="115"/>
        <v>N</v>
      </c>
      <c r="X161" s="177">
        <f t="shared" si="83"/>
        <v>1</v>
      </c>
      <c r="Y161" s="67">
        <f t="shared" si="116"/>
        <v>0.1023</v>
      </c>
      <c r="Z161" s="67">
        <f t="shared" si="117"/>
        <v>5.8935000000000004</v>
      </c>
      <c r="AA161" s="67">
        <f t="shared" si="118"/>
        <v>5.7912000000000008</v>
      </c>
      <c r="AB161" s="64" t="e">
        <f>VLOOKUP(A161,Enforcements!$C$7:$K$18,8,0)</f>
        <v>#N/A</v>
      </c>
      <c r="AC161" s="60" t="e">
        <f>VLOOKUP(A161,Enforcements!$C$7:$E$18,3,0)</f>
        <v>#N/A</v>
      </c>
      <c r="AD161" s="61" t="str">
        <f t="shared" si="119"/>
        <v>0801-15</v>
      </c>
      <c r="AE161"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61" s="88" t="str">
        <f t="shared" si="79"/>
        <v>"C:\Program Files (x86)\AstroGrep\AstroGrep.exe" /spath="%USERPROFILE%\AppData\Local\Temp\OnboardLogs" /stypes="app*4051*20161215*" /stext=" 13:.+((SYSTEM_STATE.+slice.+state.+changed )|(ment ac)|(multiple cpu faults)|(system.+state.+changed )|(\[timeout)|(PRM\|1\|D)|(kpr)|(kdp)|(\|lc)|(penalty))" /e /r /s</v>
      </c>
      <c r="AG161" s="1" t="str">
        <f t="shared" si="120"/>
        <v>NW</v>
      </c>
      <c r="AH161" s="92" t="str">
        <f t="shared" si="81"/>
        <v>"%USERPROFILE%\Documents\GitHub\eaglep3\Utilities\RefineRTDCRunTimes.py" --tripid 801-15 --locoid 4051 --swversion DE.1.0.8.0 --startMP 204:1023 --initTime 2016-12-15T05:31:23 --startdatetime 2016-12-15T05:51:37 --delay 1 --endMP 300:58935 --enddatetime 2016-12-15T06:04:40 --enforcementcount 0 &gt;&gt;C:\Users\stu\Documents\GitHub\eaglep3-reporting\EC\2016-12-15-refined-times.txt</v>
      </c>
      <c r="AI161" s="119" t="str">
        <f t="shared" si="82"/>
        <v>echo {"issue":{"subject":"","project_id":79,"tracker_id":40,"status_id":1,"priority_id":2,"assigned_to_id":23,"start_date":"2016-12-15","description":"","custom_fields":[{"id":1,"name":"Subdivision","value":"NW"},{"id":4,"name":"Milepost","value":"5.8935"},{"id":17,"name":"Train ID","value":"801-15"},{"id":16,"name":"Locomotive ID","value":"4051"},{"id":130,"name":"Impact","value":""},{"id":150,"name":"Time of Event (Mountain Time)","value":"06:04:40"},{"id":151,"name":"Denver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1" customFormat="1" x14ac:dyDescent="0.25">
      <c r="A162" s="37" t="s">
        <v>612</v>
      </c>
      <c r="B162" s="7">
        <v>4052</v>
      </c>
      <c r="C162" s="22" t="s">
        <v>207</v>
      </c>
      <c r="D162" s="22" t="s">
        <v>427</v>
      </c>
      <c r="E162" s="13">
        <v>42719.254733796297</v>
      </c>
      <c r="F162" s="13">
        <v>42719.257210648146</v>
      </c>
      <c r="G162" s="7">
        <v>1</v>
      </c>
      <c r="H162" s="22" t="s">
        <v>864</v>
      </c>
      <c r="I162" s="13">
        <v>42719.268368055556</v>
      </c>
      <c r="J162" s="7">
        <v>0</v>
      </c>
      <c r="K162" s="109" t="str">
        <f t="shared" si="110"/>
        <v>4051/4052</v>
      </c>
      <c r="L162" s="22" t="str">
        <f>VLOOKUP(A162,'Trips&amp;Operators'!$C$1:$G$99999,5,FALSE)</f>
        <v>ALEXANDER DONNELL</v>
      </c>
      <c r="M162" s="6">
        <f t="shared" si="111"/>
        <v>1.1157407410792075E-2</v>
      </c>
      <c r="N162" s="7">
        <f t="shared" si="112"/>
        <v>16.066666671540588</v>
      </c>
      <c r="O162" s="7"/>
      <c r="P162" s="7"/>
      <c r="Q162" s="23"/>
      <c r="R162" s="23"/>
      <c r="S162" s="35">
        <f t="shared" si="113"/>
        <v>1</v>
      </c>
      <c r="T162" s="50" t="str">
        <f t="shared" si="114"/>
        <v>Southbound</v>
      </c>
      <c r="U162" s="171">
        <f>IF(AG162="EC",COUNTIFS(Variables!$M$2:$M$19,IF(T162="NorthBound","&gt;=","&lt;=")&amp;Y162,Variables!$M$2:$M$19,IF(T162="NorthBound","&lt;=","&gt;=")&amp;Z162),COUNTIFS(Variables!$P$2:$P$19,IF(T162="NorthBound","&gt;=","&lt;=")&amp;Y162,Variables!$P$2:$P$19,IF(T162="NorthBound","&lt;=","&gt;=")&amp;Z162))</f>
        <v>1</v>
      </c>
      <c r="V162" s="98" t="str">
        <f t="shared" si="74"/>
        <v>https://search-rtdc-monitor-bjffxe2xuh6vdkpspy63sjmuny.us-east-1.es.amazonaws.com/_plugin/kibana/#/discover/Steve-Slow-Train-Analysis-(2080s-and-2083s)?_g=(refreshInterval:(display:Off,section:0,value:0),time:(from:'2016-12-15 05:06:49-700',mode:absolute,to:'2016-12-15 07:26:27-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62" s="52" t="str">
        <f t="shared" si="115"/>
        <v>N</v>
      </c>
      <c r="X162" s="177">
        <f t="shared" ref="X162:X175" si="121">VALUE(LEFT(AD162,4))-VALUE(LEFT(AD161,4))</f>
        <v>1</v>
      </c>
      <c r="Y162" s="67">
        <f t="shared" si="116"/>
        <v>5.8624000000000001</v>
      </c>
      <c r="Z162" s="67">
        <f t="shared" si="117"/>
        <v>7.1900000000000006E-2</v>
      </c>
      <c r="AA162" s="67">
        <f t="shared" si="118"/>
        <v>5.7904999999999998</v>
      </c>
      <c r="AB162" s="64" t="e">
        <f>VLOOKUP(A162,Enforcements!$C$7:$K$18,8,0)</f>
        <v>#N/A</v>
      </c>
      <c r="AC162" s="60" t="e">
        <f>VLOOKUP(A162,Enforcements!$C$7:$E$18,3,0)</f>
        <v>#N/A</v>
      </c>
      <c r="AD162" s="61" t="str">
        <f t="shared" si="119"/>
        <v>0802-15</v>
      </c>
      <c r="AE162"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62" s="88" t="str">
        <f t="shared" si="79"/>
        <v>"C:\Program Files (x86)\AstroGrep\AstroGrep.exe" /spath="%USERPROFILE%\AppData\Local\Temp\OnboardLogs" /stypes="app*4052*20161215*" /stext=" 13:.+((SYSTEM_STATE.+slice.+state.+changed )|(ment ac)|(multiple cpu faults)|(system.+state.+changed )|(\[timeout)|(PRM\|1\|D)|(kpr)|(kdp)|(\|lc)|(penalty))" /e /r /s</v>
      </c>
      <c r="AG162" s="1" t="str">
        <f t="shared" si="120"/>
        <v>NW</v>
      </c>
      <c r="AH162" s="92" t="str">
        <f t="shared" si="81"/>
        <v>"%USERPROFILE%\Documents\GitHub\eaglep3\Utilities\RefineRTDCRunTimes.py" --tripid 802-15 --locoid 4052 --swversion DE.1.0.8.0 --startMP 300:58624 --initTime 2016-12-15T06:06:49 --startdatetime 2016-12-15T06:10:23 --delay 1 --endMP 204:719 --enddatetime 2016-12-15T06:26:27 --enforcementcount 0 &gt;&gt;C:\Users\stu\Documents\GitHub\eaglep3-reporting\EC\2016-12-15-refined-times.txt</v>
      </c>
      <c r="AI162" s="119" t="str">
        <f t="shared" si="82"/>
        <v>echo {"issue":{"subject":"","project_id":79,"tracker_id":40,"status_id":1,"priority_id":2,"assigned_to_id":23,"start_date":"2016-12-15","description":"","custom_fields":[{"id":1,"name":"Subdivision","value":"NW"},{"id":4,"name":"Milepost","value":"0.0719"},{"id":17,"name":"Train ID","value":"802-15"},{"id":16,"name":"Locomotive ID","value":"4052"},{"id":130,"name":"Impact","value":""},{"id":150,"name":"Time of Event (Mountain Time)","value":"06:26:27"},{"id":151,"name":"Denver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s="21" customFormat="1" x14ac:dyDescent="0.25">
      <c r="A163" s="37" t="s">
        <v>614</v>
      </c>
      <c r="B163" s="7">
        <v>4042</v>
      </c>
      <c r="C163" s="22" t="s">
        <v>207</v>
      </c>
      <c r="D163" s="22" t="s">
        <v>865</v>
      </c>
      <c r="E163" s="13">
        <v>42719.256458333337</v>
      </c>
      <c r="F163" s="13">
        <v>42719.264791666668</v>
      </c>
      <c r="G163" s="7">
        <v>2</v>
      </c>
      <c r="H163" s="22" t="s">
        <v>866</v>
      </c>
      <c r="I163" s="13">
        <v>42719.273969907408</v>
      </c>
      <c r="J163" s="7">
        <v>0</v>
      </c>
      <c r="K163" s="109" t="str">
        <f t="shared" si="110"/>
        <v>4041/4042</v>
      </c>
      <c r="L163" s="22" t="str">
        <f>VLOOKUP(A163,'Trips&amp;Operators'!$C$1:$G$99999,5,FALSE)</f>
        <v>GEBRETEKLE DAGNEW</v>
      </c>
      <c r="M163" s="6">
        <f t="shared" si="111"/>
        <v>9.1782407398568466E-3</v>
      </c>
      <c r="N163" s="7">
        <f t="shared" si="112"/>
        <v>13.216666665393859</v>
      </c>
      <c r="O163" s="7"/>
      <c r="P163" s="7"/>
      <c r="Q163" s="23"/>
      <c r="R163" s="23"/>
      <c r="S163" s="35">
        <f t="shared" si="113"/>
        <v>1</v>
      </c>
      <c r="T163" s="50" t="str">
        <f t="shared" si="114"/>
        <v>NorthBound</v>
      </c>
      <c r="U163" s="171">
        <f>IF(AG163="EC",COUNTIFS(Variables!$M$2:$M$19,IF(T163="NorthBound","&gt;=","&lt;=")&amp;Y163,Variables!$M$2:$M$19,IF(T163="NorthBound","&lt;=","&gt;=")&amp;Z163),COUNTIFS(Variables!$P$2:$P$19,IF(T163="NorthBound","&gt;=","&lt;=")&amp;Y163,Variables!$P$2:$P$19,IF(T163="NorthBound","&lt;=","&gt;=")&amp;Z163))</f>
        <v>1</v>
      </c>
      <c r="V163" s="98" t="str">
        <f t="shared" si="74"/>
        <v>https://search-rtdc-monitor-bjffxe2xuh6vdkpspy63sjmuny.us-east-1.es.amazonaws.com/_plugin/kibana/#/discover/Steve-Slow-Train-Analysis-(2080s-and-2083s)?_g=(refreshInterval:(display:Off,section:0,value:0),time:(from:'2016-12-15 05:09:18-700',mode:absolute,to:'2016-12-15 07:34:31-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63" s="52" t="str">
        <f t="shared" si="115"/>
        <v>N</v>
      </c>
      <c r="X163" s="177">
        <f t="shared" si="121"/>
        <v>1</v>
      </c>
      <c r="Y163" s="67">
        <f t="shared" si="116"/>
        <v>9.7199999999999995E-2</v>
      </c>
      <c r="Z163" s="67">
        <f t="shared" si="117"/>
        <v>5.9006999999999996</v>
      </c>
      <c r="AA163" s="67">
        <f t="shared" si="118"/>
        <v>5.8034999999999997</v>
      </c>
      <c r="AB163" s="64" t="e">
        <f>VLOOKUP(A163,Enforcements!$C$7:$K$18,8,0)</f>
        <v>#N/A</v>
      </c>
      <c r="AC163" s="60" t="e">
        <f>VLOOKUP(A163,Enforcements!$C$7:$E$18,3,0)</f>
        <v>#N/A</v>
      </c>
      <c r="AD163" s="61" t="str">
        <f t="shared" si="119"/>
        <v>0803-15</v>
      </c>
      <c r="AE163"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63" s="88" t="str">
        <f t="shared" si="79"/>
        <v>"C:\Program Files (x86)\AstroGrep\AstroGrep.exe" /spath="%USERPROFILE%\AppData\Local\Temp\OnboardLogs" /stypes="app*4042*20161215*" /stext=" 13:.+((SYSTEM_STATE.+slice.+state.+changed )|(ment ac)|(multiple cpu faults)|(system.+state.+changed )|(\[timeout)|(PRM\|1\|D)|(kpr)|(kdp)|(\|lc)|(penalty))" /e /r /s</v>
      </c>
      <c r="AG163" s="1" t="str">
        <f t="shared" si="120"/>
        <v>NW</v>
      </c>
      <c r="AH163" s="92" t="str">
        <f t="shared" si="81"/>
        <v>"%USERPROFILE%\Documents\GitHub\eaglep3\Utilities\RefineRTDCRunTimes.py" --tripid 803-15 --locoid 4042 --swversion DE.1.0.8.0 --startMP 204:972 --initTime 2016-12-15T06:09:18 --startdatetime 2016-12-15T06:21:18 --delay 2 --endMP 300:59007 --enddatetime 2016-12-15T06:34:31 --enforcementcount 0 &gt;&gt;C:\Users\stu\Documents\GitHub\eaglep3-reporting\EC\2016-12-15-refined-times.txt</v>
      </c>
      <c r="AI163" s="119" t="str">
        <f t="shared" si="82"/>
        <v>echo {"issue":{"subject":"","project_id":79,"tracker_id":40,"status_id":1,"priority_id":2,"assigned_to_id":23,"start_date":"2016-12-15","description":"","custom_fields":[{"id":1,"name":"Subdivision","value":"NW"},{"id":4,"name":"Milepost","value":"5.9007"},{"id":17,"name":"Train ID","value":"803-15"},{"id":16,"name":"Locomotive ID","value":"4042"},{"id":130,"name":"Impact","value":""},{"id":150,"name":"Time of Event (Mountain Time)","value":"06:34:31"},{"id":151,"name":"Denver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1" customFormat="1" x14ac:dyDescent="0.25">
      <c r="A164" s="37" t="s">
        <v>617</v>
      </c>
      <c r="B164" s="7">
        <v>4041</v>
      </c>
      <c r="C164" s="22" t="s">
        <v>207</v>
      </c>
      <c r="D164" s="22" t="s">
        <v>867</v>
      </c>
      <c r="E164" s="13">
        <v>42719.275439814817</v>
      </c>
      <c r="F164" s="13">
        <v>42719.276886574073</v>
      </c>
      <c r="G164" s="7">
        <v>0</v>
      </c>
      <c r="H164" s="22" t="s">
        <v>868</v>
      </c>
      <c r="I164" s="13">
        <v>42719.288738425923</v>
      </c>
      <c r="J164" s="7">
        <v>0</v>
      </c>
      <c r="K164" s="109" t="str">
        <f t="shared" si="110"/>
        <v>4041/4042</v>
      </c>
      <c r="L164" s="22" t="str">
        <f>VLOOKUP(A164,'Trips&amp;Operators'!$C$1:$G$99999,5,FALSE)</f>
        <v>GEBRETEKLE DAGNEW</v>
      </c>
      <c r="M164" s="6">
        <f t="shared" si="111"/>
        <v>1.1851851850224193E-2</v>
      </c>
      <c r="N164" s="7">
        <f t="shared" si="112"/>
        <v>17.066666664322838</v>
      </c>
      <c r="O164" s="7"/>
      <c r="P164" s="7"/>
      <c r="Q164" s="23"/>
      <c r="R164" s="23"/>
      <c r="S164" s="35">
        <f t="shared" si="113"/>
        <v>1</v>
      </c>
      <c r="T164" s="50" t="str">
        <f t="shared" si="114"/>
        <v>Southbound</v>
      </c>
      <c r="U164" s="171">
        <f>IF(AG164="EC",COUNTIFS(Variables!$M$2:$M$19,IF(T164="NorthBound","&gt;=","&lt;=")&amp;Y164,Variables!$M$2:$M$19,IF(T164="NorthBound","&lt;=","&gt;=")&amp;Z164),COUNTIFS(Variables!$P$2:$P$19,IF(T164="NorthBound","&gt;=","&lt;=")&amp;Y164,Variables!$P$2:$P$19,IF(T164="NorthBound","&lt;=","&gt;=")&amp;Z164))</f>
        <v>1</v>
      </c>
      <c r="V164" s="98" t="str">
        <f t="shared" si="74"/>
        <v>https://search-rtdc-monitor-bjffxe2xuh6vdkpspy63sjmuny.us-east-1.es.amazonaws.com/_plugin/kibana/#/discover/Steve-Slow-Train-Analysis-(2080s-and-2083s)?_g=(refreshInterval:(display:Off,section:0,value:0),time:(from:'2016-12-15 05:36:38-700',mode:absolute,to:'2016-12-15 07:55:47-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4" s="52" t="str">
        <f t="shared" si="115"/>
        <v>N</v>
      </c>
      <c r="X164" s="177">
        <f t="shared" si="121"/>
        <v>1</v>
      </c>
      <c r="Y164" s="67">
        <f t="shared" si="116"/>
        <v>5.8686999999999996</v>
      </c>
      <c r="Z164" s="67">
        <f t="shared" si="117"/>
        <v>7.0300000000000001E-2</v>
      </c>
      <c r="AA164" s="67">
        <f t="shared" si="118"/>
        <v>5.7984</v>
      </c>
      <c r="AB164" s="64" t="e">
        <f>VLOOKUP(A164,Enforcements!$C$7:$K$18,8,0)</f>
        <v>#N/A</v>
      </c>
      <c r="AC164" s="60" t="e">
        <f>VLOOKUP(A164,Enforcements!$C$7:$E$18,3,0)</f>
        <v>#N/A</v>
      </c>
      <c r="AD164" s="61" t="str">
        <f t="shared" si="119"/>
        <v>0804-15</v>
      </c>
      <c r="AE164"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64" s="88" t="str">
        <f t="shared" si="79"/>
        <v>"C:\Program Files (x86)\AstroGrep\AstroGrep.exe" /spath="%USERPROFILE%\AppData\Local\Temp\OnboardLogs" /stypes="app*4041*20161215*" /stext=" 13:.+((SYSTEM_STATE.+slice.+state.+changed )|(ment ac)|(multiple cpu faults)|(system.+state.+changed )|(\[timeout)|(PRM\|1\|D)|(kpr)|(kdp)|(\|lc)|(penalty))" /e /r /s</v>
      </c>
      <c r="AG164" s="1" t="str">
        <f t="shared" si="120"/>
        <v>NW</v>
      </c>
      <c r="AH164" s="92" t="str">
        <f t="shared" si="81"/>
        <v>"%USERPROFILE%\Documents\GitHub\eaglep3\Utilities\RefineRTDCRunTimes.py" --tripid 804-15 --locoid 4041 --swversion DE.1.0.8.0 --startMP 300:58687 --initTime 2016-12-15T06:36:38 --startdatetime 2016-12-15T06:38:43 --delay 0 --endMP 204:703 --enddatetime 2016-12-15T06:55:47 --enforcementcount 0 &gt;&gt;C:\Users\stu\Documents\GitHub\eaglep3-reporting\EC\2016-12-15-refined-times.txt</v>
      </c>
      <c r="AI164" s="119" t="str">
        <f t="shared" si="82"/>
        <v>echo {"issue":{"subject":"","project_id":79,"tracker_id":40,"status_id":1,"priority_id":2,"assigned_to_id":23,"start_date":"2016-12-15","description":"","custom_fields":[{"id":1,"name":"Subdivision","value":"NW"},{"id":4,"name":"Milepost","value":"0.0703"},{"id":17,"name":"Train ID","value":"804-15"},{"id":16,"name":"Locomotive ID","value":"4041"},{"id":130,"name":"Impact","value":""},{"id":150,"name":"Time of Event (Mountain Time)","value":"06:55:47"},{"id":151,"name":"Denver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s="21" customFormat="1" x14ac:dyDescent="0.25">
      <c r="A165" s="37" t="s">
        <v>616</v>
      </c>
      <c r="B165" s="7">
        <v>4051</v>
      </c>
      <c r="C165" s="22" t="s">
        <v>207</v>
      </c>
      <c r="D165" s="22" t="s">
        <v>869</v>
      </c>
      <c r="E165" s="13">
        <v>42719.269618055558</v>
      </c>
      <c r="F165" s="13">
        <v>42719.285636574074</v>
      </c>
      <c r="G165" s="7">
        <v>1</v>
      </c>
      <c r="H165" s="22" t="s">
        <v>870</v>
      </c>
      <c r="I165" s="13">
        <v>42719.294768518521</v>
      </c>
      <c r="J165" s="7">
        <v>0</v>
      </c>
      <c r="K165" s="109" t="str">
        <f t="shared" si="110"/>
        <v>4051/4052</v>
      </c>
      <c r="L165" s="22" t="str">
        <f>VLOOKUP(A165,'Trips&amp;Operators'!$C$1:$G$99999,5,FALSE)</f>
        <v>ALEXANDER DONNELL</v>
      </c>
      <c r="M165" s="6">
        <f t="shared" si="111"/>
        <v>9.1319444472901523E-3</v>
      </c>
      <c r="N165" s="7">
        <f t="shared" si="112"/>
        <v>13.150000004097819</v>
      </c>
      <c r="O165" s="7"/>
      <c r="P165" s="7"/>
      <c r="Q165" s="23"/>
      <c r="R165" s="23"/>
      <c r="S165" s="35">
        <f t="shared" si="113"/>
        <v>1</v>
      </c>
      <c r="T165" s="50" t="str">
        <f t="shared" si="114"/>
        <v>NorthBound</v>
      </c>
      <c r="U165" s="171">
        <f>IF(AG165="EC",COUNTIFS(Variables!$M$2:$M$19,IF(T165="NorthBound","&gt;=","&lt;=")&amp;Y165,Variables!$M$2:$M$19,IF(T165="NorthBound","&lt;=","&gt;=")&amp;Z165),COUNTIFS(Variables!$P$2:$P$19,IF(T165="NorthBound","&gt;=","&lt;=")&amp;Y165,Variables!$P$2:$P$19,IF(T165="NorthBound","&lt;=","&gt;=")&amp;Z165))</f>
        <v>1</v>
      </c>
      <c r="V165" s="98" t="str">
        <f t="shared" si="74"/>
        <v>https://search-rtdc-monitor-bjffxe2xuh6vdkpspy63sjmuny.us-east-1.es.amazonaws.com/_plugin/kibana/#/discover/Steve-Slow-Train-Analysis-(2080s-and-2083s)?_g=(refreshInterval:(display:Off,section:0,value:0),time:(from:'2016-12-15 05:28:15-700',mode:absolute,to:'2016-12-15 08:04:28-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65" s="52" t="str">
        <f t="shared" si="115"/>
        <v>N</v>
      </c>
      <c r="X165" s="177">
        <f t="shared" si="121"/>
        <v>1</v>
      </c>
      <c r="Y165" s="67">
        <f t="shared" si="116"/>
        <v>0.1021</v>
      </c>
      <c r="Z165" s="67">
        <f t="shared" si="117"/>
        <v>5.8920000000000003</v>
      </c>
      <c r="AA165" s="67">
        <f t="shared" si="118"/>
        <v>5.7899000000000003</v>
      </c>
      <c r="AB165" s="64" t="e">
        <f>VLOOKUP(A165,Enforcements!$C$7:$K$18,8,0)</f>
        <v>#N/A</v>
      </c>
      <c r="AC165" s="60" t="e">
        <f>VLOOKUP(A165,Enforcements!$C$7:$E$18,3,0)</f>
        <v>#N/A</v>
      </c>
      <c r="AD165" s="61" t="str">
        <f t="shared" si="119"/>
        <v>0805-15</v>
      </c>
      <c r="AE165"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65" s="88" t="str">
        <f t="shared" si="79"/>
        <v>"C:\Program Files (x86)\AstroGrep\AstroGrep.exe" /spath="%USERPROFILE%\AppData\Local\Temp\OnboardLogs" /stypes="app*4051*20161215*" /stext=" 14:.+((SYSTEM_STATE.+slice.+state.+changed )|(ment ac)|(multiple cpu faults)|(system.+state.+changed )|(\[timeout)|(PRM\|1\|D)|(kpr)|(kdp)|(\|lc)|(penalty))" /e /r /s</v>
      </c>
      <c r="AG165" s="1" t="str">
        <f t="shared" si="120"/>
        <v>NW</v>
      </c>
      <c r="AH165" s="92" t="str">
        <f t="shared" si="81"/>
        <v>"%USERPROFILE%\Documents\GitHub\eaglep3\Utilities\RefineRTDCRunTimes.py" --tripid 805-15 --locoid 4051 --swversion DE.1.0.8.0 --startMP 204:1021 --initTime 2016-12-15T06:28:15 --startdatetime 2016-12-15T06:51:19 --delay 1 --endMP 300:58920 --enddatetime 2016-12-15T07:04:28 --enforcementcount 0 &gt;&gt;C:\Users\stu\Documents\GitHub\eaglep3-reporting\EC\2016-12-15-refined-times.txt</v>
      </c>
      <c r="AI165" s="119" t="str">
        <f t="shared" si="82"/>
        <v>echo {"issue":{"subject":"","project_id":79,"tracker_id":40,"status_id":1,"priority_id":2,"assigned_to_id":23,"start_date":"2016-12-15","description":"","custom_fields":[{"id":1,"name":"Subdivision","value":"NW"},{"id":4,"name":"Milepost","value":"5.892"},{"id":17,"name":"Train ID","value":"805-15"},{"id":16,"name":"Locomotive ID","value":"4051"},{"id":130,"name":"Impact","value":""},{"id":150,"name":"Time of Event (Mountain Time)","value":"07:04:28"},{"id":151,"name":"Denver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spans="1:91" s="21" customFormat="1" x14ac:dyDescent="0.25">
      <c r="A166" s="37" t="s">
        <v>622</v>
      </c>
      <c r="B166" s="7">
        <v>4052</v>
      </c>
      <c r="C166" s="22" t="s">
        <v>207</v>
      </c>
      <c r="D166" s="22" t="s">
        <v>871</v>
      </c>
      <c r="E166" s="13">
        <v>42719.297025462962</v>
      </c>
      <c r="F166" s="13">
        <v>42719.299641203703</v>
      </c>
      <c r="G166" s="7">
        <v>1</v>
      </c>
      <c r="H166" s="22" t="s">
        <v>789</v>
      </c>
      <c r="I166" s="13">
        <v>42719.309444444443</v>
      </c>
      <c r="J166" s="7">
        <v>0</v>
      </c>
      <c r="K166" s="109" t="str">
        <f t="shared" si="110"/>
        <v>4051/4052</v>
      </c>
      <c r="L166" s="22" t="str">
        <f>VLOOKUP(A166,'Trips&amp;Operators'!$C$1:$G$99999,5,FALSE)</f>
        <v>ALEXANDER DONNELL</v>
      </c>
      <c r="M166" s="6">
        <f t="shared" si="111"/>
        <v>9.8032407404389232E-3</v>
      </c>
      <c r="N166" s="7">
        <f t="shared" si="112"/>
        <v>14.116666666232049</v>
      </c>
      <c r="O166" s="7"/>
      <c r="P166" s="7"/>
      <c r="Q166" s="23"/>
      <c r="R166" s="23"/>
      <c r="S166" s="35">
        <f t="shared" si="113"/>
        <v>1</v>
      </c>
      <c r="T166" s="50" t="str">
        <f t="shared" si="114"/>
        <v>Southbound</v>
      </c>
      <c r="U166" s="171">
        <f>IF(AG166="EC",COUNTIFS(Variables!$M$2:$M$19,IF(T166="NorthBound","&gt;=","&lt;=")&amp;Y166,Variables!$M$2:$M$19,IF(T166="NorthBound","&lt;=","&gt;=")&amp;Z166),COUNTIFS(Variables!$P$2:$P$19,IF(T166="NorthBound","&gt;=","&lt;=")&amp;Y166,Variables!$P$2:$P$19,IF(T166="NorthBound","&lt;=","&gt;=")&amp;Z166))</f>
        <v>1</v>
      </c>
      <c r="V166" s="98" t="str">
        <f t="shared" si="74"/>
        <v>https://search-rtdc-monitor-bjffxe2xuh6vdkpspy63sjmuny.us-east-1.es.amazonaws.com/_plugin/kibana/#/discover/Steve-Slow-Train-Analysis-(2080s-and-2083s)?_g=(refreshInterval:(display:Off,section:0,value:0),time:(from:'2016-12-15 06:07:43-700',mode:absolute,to:'2016-12-15 08:25:36-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66" s="52" t="str">
        <f t="shared" si="115"/>
        <v>N</v>
      </c>
      <c r="X166" s="177">
        <f t="shared" si="121"/>
        <v>1</v>
      </c>
      <c r="Y166" s="67">
        <f t="shared" si="116"/>
        <v>5.86</v>
      </c>
      <c r="Z166" s="67">
        <f t="shared" si="117"/>
        <v>7.17E-2</v>
      </c>
      <c r="AA166" s="67">
        <f t="shared" si="118"/>
        <v>5.7883000000000004</v>
      </c>
      <c r="AB166" s="64" t="e">
        <f>VLOOKUP(A166,Enforcements!$C$7:$K$18,8,0)</f>
        <v>#N/A</v>
      </c>
      <c r="AC166" s="60" t="e">
        <f>VLOOKUP(A166,Enforcements!$C$7:$E$18,3,0)</f>
        <v>#N/A</v>
      </c>
      <c r="AD166" s="61" t="str">
        <f t="shared" si="119"/>
        <v>0806-15</v>
      </c>
      <c r="AE166"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66" s="88" t="str">
        <f t="shared" si="79"/>
        <v>"C:\Program Files (x86)\AstroGrep\AstroGrep.exe" /spath="%USERPROFILE%\AppData\Local\Temp\OnboardLogs" /stypes="app*4052*20161215*" /stext=" 14:.+((SYSTEM_STATE.+slice.+state.+changed )|(ment ac)|(multiple cpu faults)|(system.+state.+changed )|(\[timeout)|(PRM\|1\|D)|(kpr)|(kdp)|(\|lc)|(penalty))" /e /r /s</v>
      </c>
      <c r="AG166" s="1" t="str">
        <f t="shared" si="120"/>
        <v>NW</v>
      </c>
      <c r="AH166" s="92" t="str">
        <f t="shared" si="81"/>
        <v>"%USERPROFILE%\Documents\GitHub\eaglep3\Utilities\RefineRTDCRunTimes.py" --tripid 806-15 --locoid 4052 --swversion DE.1.0.8.0 --startMP 300:58600 --initTime 2016-12-15T07:07:43 --startdatetime 2016-12-15T07:11:29 --delay 1 --endMP 204:717 --enddatetime 2016-12-15T07:25:36 --enforcementcount 0 &gt;&gt;C:\Users\stu\Documents\GitHub\eaglep3-reporting\EC\2016-12-15-refined-times.txt</v>
      </c>
      <c r="AI166" s="119" t="str">
        <f t="shared" si="82"/>
        <v>echo {"issue":{"subject":"","project_id":79,"tracker_id":40,"status_id":1,"priority_id":2,"assigned_to_id":23,"start_date":"2016-12-15","description":"","custom_fields":[{"id":1,"name":"Subdivision","value":"NW"},{"id":4,"name":"Milepost","value":"0.0717"},{"id":17,"name":"Train ID","value":"806-15"},{"id":16,"name":"Locomotive ID","value":"4052"},{"id":130,"name":"Impact","value":""},{"id":150,"name":"Time of Event (Mountain Time)","value":"07:25:36"},{"id":151,"name":"Denver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x14ac:dyDescent="0.25">
      <c r="A167" s="37" t="s">
        <v>557</v>
      </c>
      <c r="B167" s="7">
        <v>4042</v>
      </c>
      <c r="C167" s="22" t="s">
        <v>207</v>
      </c>
      <c r="D167" s="22" t="s">
        <v>305</v>
      </c>
      <c r="E167" s="13">
        <v>42719.290902777779</v>
      </c>
      <c r="F167" s="13">
        <v>42719.306423611109</v>
      </c>
      <c r="G167" s="7">
        <v>0</v>
      </c>
      <c r="H167" s="22" t="s">
        <v>433</v>
      </c>
      <c r="I167" s="13">
        <v>42719.315671296295</v>
      </c>
      <c r="J167" s="7">
        <v>0</v>
      </c>
      <c r="K167" s="109" t="str">
        <f t="shared" si="110"/>
        <v>4041/4042</v>
      </c>
      <c r="L167" s="22" t="str">
        <f>VLOOKUP(A167,'Trips&amp;Operators'!$C$1:$G$99999,5,FALSE)</f>
        <v>GEBRETEKLE DAGNEW</v>
      </c>
      <c r="M167" s="6">
        <f t="shared" si="111"/>
        <v>9.2476851859828457E-3</v>
      </c>
      <c r="N167" s="7">
        <f t="shared" si="112"/>
        <v>13.316666667815298</v>
      </c>
      <c r="O167" s="7"/>
      <c r="P167" s="7"/>
      <c r="Q167" s="23"/>
      <c r="R167" s="23"/>
      <c r="S167" s="35">
        <f t="shared" si="113"/>
        <v>1</v>
      </c>
      <c r="T167" s="50" t="str">
        <f t="shared" si="114"/>
        <v>NorthBound</v>
      </c>
      <c r="U167" s="171">
        <f>IF(AG167="EC",COUNTIFS(Variables!$M$2:$M$19,IF(T167="NorthBound","&gt;=","&lt;=")&amp;Y167,Variables!$M$2:$M$19,IF(T167="NorthBound","&lt;=","&gt;=")&amp;Z167),COUNTIFS(Variables!$P$2:$P$19,IF(T167="NorthBound","&gt;=","&lt;=")&amp;Y167,Variables!$P$2:$P$19,IF(T167="NorthBound","&lt;=","&gt;=")&amp;Z167))</f>
        <v>1</v>
      </c>
      <c r="V167" s="98" t="str">
        <f t="shared" si="74"/>
        <v>https://search-rtdc-monitor-bjffxe2xuh6vdkpspy63sjmuny.us-east-1.es.amazonaws.com/_plugin/kibana/#/discover/Steve-Slow-Train-Analysis-(2080s-and-2083s)?_g=(refreshInterval:(display:Off,section:0,value:0),time:(from:'2016-12-15 05:58:54-700',mode:absolute,to:'2016-12-15 08:34:34-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67" s="52" t="str">
        <f t="shared" si="115"/>
        <v>N</v>
      </c>
      <c r="X167" s="177">
        <f t="shared" si="121"/>
        <v>1</v>
      </c>
      <c r="Y167" s="67">
        <f t="shared" si="116"/>
        <v>9.74E-2</v>
      </c>
      <c r="Z167" s="67">
        <f t="shared" si="117"/>
        <v>5.9013999999999998</v>
      </c>
      <c r="AA167" s="67">
        <f t="shared" si="118"/>
        <v>5.8039999999999994</v>
      </c>
      <c r="AB167" s="64" t="e">
        <f>VLOOKUP(A167,Enforcements!$C$7:$K$18,8,0)</f>
        <v>#N/A</v>
      </c>
      <c r="AC167" s="60" t="e">
        <f>VLOOKUP(A167,Enforcements!$C$7:$E$18,3,0)</f>
        <v>#N/A</v>
      </c>
      <c r="AD167" s="61" t="str">
        <f t="shared" si="119"/>
        <v>0807-15</v>
      </c>
      <c r="AE167"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67" s="88" t="str">
        <f t="shared" si="79"/>
        <v>"C:\Program Files (x86)\AstroGrep\AstroGrep.exe" /spath="%USERPROFILE%\AppData\Local\Temp\OnboardLogs" /stypes="app*4042*20161215*" /stext=" 14:.+((SYSTEM_STATE.+slice.+state.+changed )|(ment ac)|(multiple cpu faults)|(system.+state.+changed )|(\[timeout)|(PRM\|1\|D)|(kpr)|(kdp)|(\|lc)|(penalty))" /e /r /s</v>
      </c>
      <c r="AG167" s="1" t="str">
        <f t="shared" si="120"/>
        <v>NW</v>
      </c>
      <c r="AH167" s="92" t="str">
        <f t="shared" si="81"/>
        <v>"%USERPROFILE%\Documents\GitHub\eaglep3\Utilities\RefineRTDCRunTimes.py" --tripid 807-15 --locoid 4042 --swversion DE.1.0.8.0 --startMP 204:974 --initTime 2016-12-15T06:58:54 --startdatetime 2016-12-15T07:21:15 --delay 0 --endMP 300:59014 --enddatetime 2016-12-15T07:34:34 --enforcementcount 0 &gt;&gt;C:\Users\stu\Documents\GitHub\eaglep3-reporting\EC\2016-12-15-refined-times.txt</v>
      </c>
      <c r="AI167" s="119" t="str">
        <f t="shared" si="82"/>
        <v>echo {"issue":{"subject":"","project_id":79,"tracker_id":40,"status_id":1,"priority_id":2,"assigned_to_id":23,"start_date":"2016-12-15","description":"","custom_fields":[{"id":1,"name":"Subdivision","value":"NW"},{"id":4,"name":"Milepost","value":"5.9014"},{"id":17,"name":"Train ID","value":"807-15"},{"id":16,"name":"Locomotive ID","value":"4042"},{"id":130,"name":"Impact","value":""},{"id":150,"name":"Time of Event (Mountain Time)","value":"07:34:34"},{"id":151,"name":"Denver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row>
    <row r="168" spans="1:91" s="21" customFormat="1" x14ac:dyDescent="0.25">
      <c r="A168" s="37" t="s">
        <v>625</v>
      </c>
      <c r="B168" s="7">
        <v>4041</v>
      </c>
      <c r="C168" s="22" t="s">
        <v>207</v>
      </c>
      <c r="D168" s="22" t="s">
        <v>872</v>
      </c>
      <c r="E168" s="13">
        <v>42719.317557870374</v>
      </c>
      <c r="F168" s="13">
        <v>42719.319155092591</v>
      </c>
      <c r="G168" s="7">
        <v>1</v>
      </c>
      <c r="H168" s="22" t="s">
        <v>873</v>
      </c>
      <c r="I168" s="13">
        <v>42719.330462962964</v>
      </c>
      <c r="J168" s="7">
        <v>0</v>
      </c>
      <c r="K168" s="109" t="str">
        <f t="shared" si="110"/>
        <v>4041/4042</v>
      </c>
      <c r="L168" s="22" t="str">
        <f>VLOOKUP(A168,'Trips&amp;Operators'!$C$1:$G$99999,5,FALSE)</f>
        <v>GEBRETEKLE DAGNEW</v>
      </c>
      <c r="M168" s="6">
        <f t="shared" si="111"/>
        <v>1.1307870372547768E-2</v>
      </c>
      <c r="N168" s="7">
        <f t="shared" si="112"/>
        <v>16.283333336468786</v>
      </c>
      <c r="O168" s="7"/>
      <c r="P168" s="7"/>
      <c r="Q168" s="23"/>
      <c r="R168" s="23"/>
      <c r="S168" s="35">
        <f t="shared" si="113"/>
        <v>1</v>
      </c>
      <c r="T168" s="50" t="str">
        <f t="shared" si="114"/>
        <v>Southbound</v>
      </c>
      <c r="U168" s="171">
        <f>IF(AG168="EC",COUNTIFS(Variables!$M$2:$M$19,IF(T168="NorthBound","&gt;=","&lt;=")&amp;Y168,Variables!$M$2:$M$19,IF(T168="NorthBound","&lt;=","&gt;=")&amp;Z168),COUNTIFS(Variables!$P$2:$P$19,IF(T168="NorthBound","&gt;=","&lt;=")&amp;Y168,Variables!$P$2:$P$19,IF(T168="NorthBound","&lt;=","&gt;=")&amp;Z168))</f>
        <v>1</v>
      </c>
      <c r="V168" s="98" t="str">
        <f t="shared" si="74"/>
        <v>https://search-rtdc-monitor-bjffxe2xuh6vdkpspy63sjmuny.us-east-1.es.amazonaws.com/_plugin/kibana/#/discover/Steve-Slow-Train-Analysis-(2080s-and-2083s)?_g=(refreshInterval:(display:Off,section:0,value:0),time:(from:'2016-12-15 06:37:17-700',mode:absolute,to:'2016-12-15 08:55: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8" s="52" t="str">
        <f t="shared" si="115"/>
        <v>N</v>
      </c>
      <c r="X168" s="177">
        <f t="shared" si="121"/>
        <v>1</v>
      </c>
      <c r="Y168" s="67">
        <f t="shared" si="116"/>
        <v>5.8697999999999997</v>
      </c>
      <c r="Z168" s="67">
        <f t="shared" si="117"/>
        <v>6.9599999999999995E-2</v>
      </c>
      <c r="AA168" s="67">
        <f t="shared" si="118"/>
        <v>5.8001999999999994</v>
      </c>
      <c r="AB168" s="64" t="e">
        <f>VLOOKUP(A168,Enforcements!$C$7:$K$18,8,0)</f>
        <v>#N/A</v>
      </c>
      <c r="AC168" s="60" t="e">
        <f>VLOOKUP(A168,Enforcements!$C$7:$E$18,3,0)</f>
        <v>#N/A</v>
      </c>
      <c r="AD168" s="61" t="str">
        <f t="shared" si="119"/>
        <v>0808-15</v>
      </c>
      <c r="AE168"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68" s="88" t="str">
        <f t="shared" si="79"/>
        <v>"C:\Program Files (x86)\AstroGrep\AstroGrep.exe" /spath="%USERPROFILE%\AppData\Local\Temp\OnboardLogs" /stypes="app*4041*20161215*" /stext=" 14:.+((SYSTEM_STATE.+slice.+state.+changed )|(ment ac)|(multiple cpu faults)|(system.+state.+changed )|(\[timeout)|(PRM\|1\|D)|(kpr)|(kdp)|(\|lc)|(penalty))" /e /r /s</v>
      </c>
      <c r="AG168" s="1" t="str">
        <f t="shared" si="120"/>
        <v>NW</v>
      </c>
      <c r="AH168" s="92" t="str">
        <f t="shared" si="81"/>
        <v>"%USERPROFILE%\Documents\GitHub\eaglep3\Utilities\RefineRTDCRunTimes.py" --tripid 808-15 --locoid 4041 --swversion DE.1.0.8.0 --startMP 300:58698 --initTime 2016-12-15T07:37:17 --startdatetime 2016-12-15T07:39:35 --delay 1 --endMP 204:696 --enddatetime 2016-12-15T07:55:52 --enforcementcount 0 &gt;&gt;C:\Users\stu\Documents\GitHub\eaglep3-reporting\EC\2016-12-15-refined-times.txt</v>
      </c>
      <c r="AI168" s="119" t="str">
        <f t="shared" si="82"/>
        <v>echo {"issue":{"subject":"","project_id":79,"tracker_id":40,"status_id":1,"priority_id":2,"assigned_to_id":23,"start_date":"2016-12-15","description":"","custom_fields":[{"id":1,"name":"Subdivision","value":"NW"},{"id":4,"name":"Milepost","value":"0.0696"},{"id":17,"name":"Train ID","value":"808-15"},{"id":16,"name":"Locomotive ID","value":"4041"},{"id":130,"name":"Impact","value":""},{"id":150,"name":"Time of Event (Mountain Time)","value":"07:55:52"},{"id":151,"name":"Denver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x14ac:dyDescent="0.25">
      <c r="A169" s="37" t="s">
        <v>624</v>
      </c>
      <c r="B169" s="7">
        <v>4051</v>
      </c>
      <c r="C169" s="22" t="s">
        <v>207</v>
      </c>
      <c r="D169" s="22" t="s">
        <v>874</v>
      </c>
      <c r="E169" s="13">
        <v>42719.310787037037</v>
      </c>
      <c r="F169" s="13">
        <v>42719.32744212963</v>
      </c>
      <c r="G169" s="7">
        <v>1</v>
      </c>
      <c r="H169" s="22" t="s">
        <v>875</v>
      </c>
      <c r="I169" s="13">
        <v>42719.336921296293</v>
      </c>
      <c r="J169" s="7">
        <v>0</v>
      </c>
      <c r="K169" s="109" t="str">
        <f t="shared" si="110"/>
        <v>4051/4052</v>
      </c>
      <c r="L169" s="22" t="str">
        <f>VLOOKUP(A169,'Trips&amp;Operators'!$C$1:$G$99999,5,FALSE)</f>
        <v>ALEXANDER DONNELL</v>
      </c>
      <c r="M169" s="6">
        <f t="shared" si="111"/>
        <v>9.4791666633682325E-3</v>
      </c>
      <c r="N169" s="7">
        <f t="shared" si="112"/>
        <v>13.649999995250255</v>
      </c>
      <c r="O169" s="7"/>
      <c r="P169" s="7"/>
      <c r="Q169" s="23"/>
      <c r="R169" s="23"/>
      <c r="S169" s="35">
        <f t="shared" si="113"/>
        <v>1</v>
      </c>
      <c r="T169" s="50" t="str">
        <f t="shared" si="114"/>
        <v>NorthBound</v>
      </c>
      <c r="U169" s="171">
        <f>IF(AG169="EC",COUNTIFS(Variables!$M$2:$M$19,IF(T169="NorthBound","&gt;=","&lt;=")&amp;Y169,Variables!$M$2:$M$19,IF(T169="NorthBound","&lt;=","&gt;=")&amp;Z169),COUNTIFS(Variables!$P$2:$P$19,IF(T169="NorthBound","&gt;=","&lt;=")&amp;Y169,Variables!$P$2:$P$19,IF(T169="NorthBound","&lt;=","&gt;=")&amp;Z169))</f>
        <v>1</v>
      </c>
      <c r="V169" s="98" t="str">
        <f t="shared" si="74"/>
        <v>https://search-rtdc-monitor-bjffxe2xuh6vdkpspy63sjmuny.us-east-1.es.amazonaws.com/_plugin/kibana/#/discover/Steve-Slow-Train-Analysis-(2080s-and-2083s)?_g=(refreshInterval:(display:Off,section:0,value:0),time:(from:'2016-12-15 06:27:32-700',mode:absolute,to:'2016-12-15 09:05:10-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69" s="52" t="str">
        <f t="shared" si="115"/>
        <v>N</v>
      </c>
      <c r="X169" s="177">
        <f t="shared" si="121"/>
        <v>1</v>
      </c>
      <c r="Y169" s="67">
        <f t="shared" si="116"/>
        <v>0.1014</v>
      </c>
      <c r="Z169" s="67">
        <f t="shared" si="117"/>
        <v>5.8945999999999996</v>
      </c>
      <c r="AA169" s="67">
        <f t="shared" si="118"/>
        <v>5.7931999999999997</v>
      </c>
      <c r="AB169" s="64" t="e">
        <f>VLOOKUP(A169,Enforcements!$C$7:$K$18,8,0)</f>
        <v>#N/A</v>
      </c>
      <c r="AC169" s="60" t="e">
        <f>VLOOKUP(A169,Enforcements!$C$7:$E$18,3,0)</f>
        <v>#N/A</v>
      </c>
      <c r="AD169" s="61" t="str">
        <f t="shared" si="119"/>
        <v>0809-15</v>
      </c>
      <c r="AE169"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69" s="88" t="str">
        <f t="shared" si="79"/>
        <v>"C:\Program Files (x86)\AstroGrep\AstroGrep.exe" /spath="%USERPROFILE%\AppData\Local\Temp\OnboardLogs" /stypes="app*4051*20161215*" /stext=" 15:.+((SYSTEM_STATE.+slice.+state.+changed )|(ment ac)|(multiple cpu faults)|(system.+state.+changed )|(\[timeout)|(PRM\|1\|D)|(kpr)|(kdp)|(\|lc)|(penalty))" /e /r /s</v>
      </c>
      <c r="AG169" s="1" t="str">
        <f t="shared" si="120"/>
        <v>NW</v>
      </c>
      <c r="AH169" s="92" t="str">
        <f t="shared" si="81"/>
        <v>"%USERPROFILE%\Documents\GitHub\eaglep3\Utilities\RefineRTDCRunTimes.py" --tripid 809-15 --locoid 4051 --swversion DE.1.0.8.0 --startMP 204:1014 --initTime 2016-12-15T07:27:32 --startdatetime 2016-12-15T07:51:31 --delay 1 --endMP 300:58946 --enddatetime 2016-12-15T08:05:10 --enforcementcount 0 &gt;&gt;C:\Users\stu\Documents\GitHub\eaglep3-reporting\EC\2016-12-15-refined-times.txt</v>
      </c>
      <c r="AI169" s="119" t="str">
        <f t="shared" si="82"/>
        <v>echo {"issue":{"subject":"","project_id":79,"tracker_id":40,"status_id":1,"priority_id":2,"assigned_to_id":23,"start_date":"2016-12-15","description":"","custom_fields":[{"id":1,"name":"Subdivision","value":"NW"},{"id":4,"name":"Milepost","value":"5.8946"},{"id":17,"name":"Train ID","value":"809-15"},{"id":16,"name":"Locomotive ID","value":"4051"},{"id":130,"name":"Impact","value":""},{"id":150,"name":"Time of Event (Mountain Time)","value":"08:05:10"},{"id":151,"name":"Denver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row>
    <row r="170" spans="1:91" s="21" customFormat="1" x14ac:dyDescent="0.25">
      <c r="A170" s="37" t="s">
        <v>630</v>
      </c>
      <c r="B170" s="7">
        <v>4052</v>
      </c>
      <c r="C170" s="22" t="s">
        <v>207</v>
      </c>
      <c r="D170" s="22" t="s">
        <v>359</v>
      </c>
      <c r="E170" s="13">
        <v>42719.337997685187</v>
      </c>
      <c r="F170" s="13">
        <v>42719.341307870367</v>
      </c>
      <c r="G170" s="7">
        <v>3</v>
      </c>
      <c r="H170" s="22" t="s">
        <v>876</v>
      </c>
      <c r="I170" s="13">
        <v>42719.351215277777</v>
      </c>
      <c r="J170" s="7">
        <v>0</v>
      </c>
      <c r="K170" s="109" t="str">
        <f t="shared" si="110"/>
        <v>4051/4052</v>
      </c>
      <c r="L170" s="22" t="str">
        <f>VLOOKUP(A170,'Trips&amp;Operators'!$C$1:$G$99999,5,FALSE)</f>
        <v>ALEXANDER DONNELL</v>
      </c>
      <c r="M170" s="6">
        <f t="shared" si="111"/>
        <v>9.9074074096279219E-3</v>
      </c>
      <c r="N170" s="7">
        <f t="shared" si="112"/>
        <v>14.266666669864208</v>
      </c>
      <c r="O170" s="7"/>
      <c r="P170" s="7"/>
      <c r="Q170" s="23"/>
      <c r="R170" s="23"/>
      <c r="S170" s="35">
        <f t="shared" si="113"/>
        <v>1</v>
      </c>
      <c r="T170" s="50" t="str">
        <f t="shared" si="114"/>
        <v>Southbound</v>
      </c>
      <c r="U170" s="171">
        <f>IF(AG170="EC",COUNTIFS(Variables!$M$2:$M$19,IF(T170="NorthBound","&gt;=","&lt;=")&amp;Y170,Variables!$M$2:$M$19,IF(T170="NorthBound","&lt;=","&gt;=")&amp;Z170),COUNTIFS(Variables!$P$2:$P$19,IF(T170="NorthBound","&gt;=","&lt;=")&amp;Y170,Variables!$P$2:$P$19,IF(T170="NorthBound","&lt;=","&gt;=")&amp;Z170))</f>
        <v>1</v>
      </c>
      <c r="V170" s="98" t="str">
        <f t="shared" si="74"/>
        <v>https://search-rtdc-monitor-bjffxe2xuh6vdkpspy63sjmuny.us-east-1.es.amazonaws.com/_plugin/kibana/#/discover/Steve-Slow-Train-Analysis-(2080s-and-2083s)?_g=(refreshInterval:(display:Off,section:0,value:0),time:(from:'2016-12-15 07:06:43-700',mode:absolute,to:'2016-12-15 09:25:45-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70" s="52" t="str">
        <f t="shared" si="115"/>
        <v>N</v>
      </c>
      <c r="X170" s="177">
        <f t="shared" si="121"/>
        <v>1</v>
      </c>
      <c r="Y170" s="67">
        <f t="shared" si="116"/>
        <v>5.8625999999999996</v>
      </c>
      <c r="Z170" s="67">
        <f t="shared" si="117"/>
        <v>7.7100000000000002E-2</v>
      </c>
      <c r="AA170" s="67">
        <f t="shared" si="118"/>
        <v>5.7854999999999999</v>
      </c>
      <c r="AB170" s="64" t="e">
        <f>VLOOKUP(A170,Enforcements!$C$7:$K$18,8,0)</f>
        <v>#N/A</v>
      </c>
      <c r="AC170" s="60" t="e">
        <f>VLOOKUP(A170,Enforcements!$C$7:$E$18,3,0)</f>
        <v>#N/A</v>
      </c>
      <c r="AD170" s="61" t="str">
        <f t="shared" si="119"/>
        <v>0810-15</v>
      </c>
      <c r="AE170"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70" s="88" t="str">
        <f t="shared" si="79"/>
        <v>"C:\Program Files (x86)\AstroGrep\AstroGrep.exe" /spath="%USERPROFILE%\AppData\Local\Temp\OnboardLogs" /stypes="app*4052*20161215*" /stext=" 15:.+((SYSTEM_STATE.+slice.+state.+changed )|(ment ac)|(multiple cpu faults)|(system.+state.+changed )|(\[timeout)|(PRM\|1\|D)|(kpr)|(kdp)|(\|lc)|(penalty))" /e /r /s</v>
      </c>
      <c r="AG170" s="1" t="str">
        <f t="shared" si="120"/>
        <v>NW</v>
      </c>
      <c r="AH170" s="92" t="str">
        <f t="shared" si="81"/>
        <v>"%USERPROFILE%\Documents\GitHub\eaglep3\Utilities\RefineRTDCRunTimes.py" --tripid 810-15 --locoid 4052 --swversion DE.1.0.8.0 --startMP 300:58626 --initTime 2016-12-15T08:06:43 --startdatetime 2016-12-15T08:11:29 --delay 3 --endMP 204:771 --enddatetime 2016-12-15T08:25:45 --enforcementcount 0 &gt;&gt;C:\Users\stu\Documents\GitHub\eaglep3-reporting\EC\2016-12-15-refined-times.txt</v>
      </c>
      <c r="AI170" s="119" t="str">
        <f t="shared" si="82"/>
        <v>echo {"issue":{"subject":"","project_id":79,"tracker_id":40,"status_id":1,"priority_id":2,"assigned_to_id":23,"start_date":"2016-12-15","description":"","custom_fields":[{"id":1,"name":"Subdivision","value":"NW"},{"id":4,"name":"Milepost","value":"0.0771"},{"id":17,"name":"Train ID","value":"810-15"},{"id":16,"name":"Locomotive ID","value":"4052"},{"id":130,"name":"Impact","value":""},{"id":150,"name":"Time of Event (Mountain Time)","value":"08:25:45"},{"id":151,"name":"Denver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1" customFormat="1" x14ac:dyDescent="0.25">
      <c r="A171" s="37" t="s">
        <v>562</v>
      </c>
      <c r="B171" s="7">
        <v>4042</v>
      </c>
      <c r="C171" s="22" t="s">
        <v>207</v>
      </c>
      <c r="D171" s="22" t="s">
        <v>865</v>
      </c>
      <c r="E171" s="13">
        <v>42719.33258101852</v>
      </c>
      <c r="F171" s="13">
        <v>42719.348136574074</v>
      </c>
      <c r="G171" s="7">
        <v>1</v>
      </c>
      <c r="H171" s="22" t="s">
        <v>431</v>
      </c>
      <c r="I171" s="13">
        <v>42719.357187499998</v>
      </c>
      <c r="J171" s="7">
        <v>0</v>
      </c>
      <c r="K171" s="109" t="str">
        <f t="shared" si="110"/>
        <v>4041/4042</v>
      </c>
      <c r="L171" s="22" t="str">
        <f>VLOOKUP(A171,'Trips&amp;Operators'!$C$1:$G$99999,5,FALSE)</f>
        <v>GEBRETEKLE DAGNEW</v>
      </c>
      <c r="M171" s="6">
        <f t="shared" si="111"/>
        <v>9.0509259243845008E-3</v>
      </c>
      <c r="N171" s="7">
        <f t="shared" si="112"/>
        <v>13.033333331113681</v>
      </c>
      <c r="O171" s="7"/>
      <c r="P171" s="7"/>
      <c r="Q171" s="23"/>
      <c r="R171" s="23"/>
      <c r="S171" s="35">
        <f t="shared" si="113"/>
        <v>1</v>
      </c>
      <c r="T171" s="50" t="str">
        <f t="shared" si="114"/>
        <v>NorthBound</v>
      </c>
      <c r="U171" s="171">
        <f>IF(AG171="EC",COUNTIFS(Variables!$M$2:$M$19,IF(T171="NorthBound","&gt;=","&lt;=")&amp;Y171,Variables!$M$2:$M$19,IF(T171="NorthBound","&lt;=","&gt;=")&amp;Z171),COUNTIFS(Variables!$P$2:$P$19,IF(T171="NorthBound","&gt;=","&lt;=")&amp;Y171,Variables!$P$2:$P$19,IF(T171="NorthBound","&lt;=","&gt;=")&amp;Z171))</f>
        <v>1</v>
      </c>
      <c r="V171" s="98" t="str">
        <f t="shared" si="74"/>
        <v>https://search-rtdc-monitor-bjffxe2xuh6vdkpspy63sjmuny.us-east-1.es.amazonaws.com/_plugin/kibana/#/discover/Steve-Slow-Train-Analysis-(2080s-and-2083s)?_g=(refreshInterval:(display:Off,section:0,value:0),time:(from:'2016-12-15 06:58:55-700',mode:absolute,to:'2016-12-15 09:34:21-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71" s="52" t="str">
        <f t="shared" si="115"/>
        <v>N</v>
      </c>
      <c r="X171" s="177">
        <f t="shared" si="121"/>
        <v>1</v>
      </c>
      <c r="Y171" s="67">
        <f t="shared" si="116"/>
        <v>9.7199999999999995E-2</v>
      </c>
      <c r="Z171" s="67">
        <f t="shared" si="117"/>
        <v>5.8993000000000002</v>
      </c>
      <c r="AA171" s="67">
        <f t="shared" si="118"/>
        <v>5.8021000000000003</v>
      </c>
      <c r="AB171" s="64" t="e">
        <f>VLOOKUP(A171,Enforcements!$C$7:$K$18,8,0)</f>
        <v>#N/A</v>
      </c>
      <c r="AC171" s="60" t="e">
        <f>VLOOKUP(A171,Enforcements!$C$7:$E$18,3,0)</f>
        <v>#N/A</v>
      </c>
      <c r="AD171" s="61" t="str">
        <f t="shared" si="119"/>
        <v>0811-15</v>
      </c>
      <c r="AE171"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71" s="88" t="str">
        <f t="shared" si="79"/>
        <v>"C:\Program Files (x86)\AstroGrep\AstroGrep.exe" /spath="%USERPROFILE%\AppData\Local\Temp\OnboardLogs" /stypes="app*4042*20161215*" /stext=" 15:.+((SYSTEM_STATE.+slice.+state.+changed )|(ment ac)|(multiple cpu faults)|(system.+state.+changed )|(\[timeout)|(PRM\|1\|D)|(kpr)|(kdp)|(\|lc)|(penalty))" /e /r /s</v>
      </c>
      <c r="AG171" s="1" t="str">
        <f t="shared" si="120"/>
        <v>NW</v>
      </c>
      <c r="AH171" s="92" t="str">
        <f t="shared" si="81"/>
        <v>"%USERPROFILE%\Documents\GitHub\eaglep3\Utilities\RefineRTDCRunTimes.py" --tripid 811-15 --locoid 4042 --swversion DE.1.0.8.0 --startMP 204:972 --initTime 2016-12-15T07:58:55 --startdatetime 2016-12-15T08:21:19 --delay 1 --endMP 300:58993 --enddatetime 2016-12-15T08:34:21 --enforcementcount 0 &gt;&gt;C:\Users\stu\Documents\GitHub\eaglep3-reporting\EC\2016-12-15-refined-times.txt</v>
      </c>
      <c r="AI171" s="119" t="str">
        <f t="shared" si="82"/>
        <v>echo {"issue":{"subject":"","project_id":79,"tracker_id":40,"status_id":1,"priority_id":2,"assigned_to_id":23,"start_date":"2016-12-15","description":"","custom_fields":[{"id":1,"name":"Subdivision","value":"NW"},{"id":4,"name":"Milepost","value":"5.8993"},{"id":17,"name":"Train ID","value":"811-15"},{"id":16,"name":"Locomotive ID","value":"4042"},{"id":130,"name":"Impact","value":""},{"id":150,"name":"Time of Event (Mountain Time)","value":"08:34:21"},{"id":151,"name":"Denver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x14ac:dyDescent="0.25">
      <c r="A172" s="37" t="s">
        <v>635</v>
      </c>
      <c r="B172" s="7">
        <v>4041</v>
      </c>
      <c r="C172" s="22" t="s">
        <v>207</v>
      </c>
      <c r="D172" s="22" t="s">
        <v>877</v>
      </c>
      <c r="E172" s="13">
        <v>42719.358425925922</v>
      </c>
      <c r="F172" s="13">
        <v>42719.360312500001</v>
      </c>
      <c r="G172" s="7">
        <v>1</v>
      </c>
      <c r="H172" s="22" t="s">
        <v>878</v>
      </c>
      <c r="I172" s="13">
        <v>42719.370995370373</v>
      </c>
      <c r="J172" s="7">
        <v>0</v>
      </c>
      <c r="K172" s="109" t="str">
        <f t="shared" si="110"/>
        <v>4041/4042</v>
      </c>
      <c r="L172" s="22" t="str">
        <f>VLOOKUP(A172,'Trips&amp;Operators'!$C$1:$G$99999,5,FALSE)</f>
        <v>GEBRETEKLE DAGNEW</v>
      </c>
      <c r="M172" s="6">
        <f t="shared" si="111"/>
        <v>1.0682870371965691E-2</v>
      </c>
      <c r="N172" s="7">
        <f t="shared" si="112"/>
        <v>15.383333335630596</v>
      </c>
      <c r="O172" s="7"/>
      <c r="P172" s="7"/>
      <c r="Q172" s="23"/>
      <c r="R172" s="23"/>
      <c r="S172" s="35">
        <f t="shared" si="113"/>
        <v>1</v>
      </c>
      <c r="T172" s="50" t="str">
        <f t="shared" si="114"/>
        <v>Southbound</v>
      </c>
      <c r="U172" s="171">
        <f>IF(AG172="EC",COUNTIFS(Variables!$M$2:$M$19,IF(T172="NorthBound","&gt;=","&lt;=")&amp;Y172,Variables!$M$2:$M$19,IF(T172="NorthBound","&lt;=","&gt;=")&amp;Z172),COUNTIFS(Variables!$P$2:$P$19,IF(T172="NorthBound","&gt;=","&lt;=")&amp;Y172,Variables!$P$2:$P$19,IF(T172="NorthBound","&lt;=","&gt;=")&amp;Z172))</f>
        <v>1</v>
      </c>
      <c r="V172" s="98" t="str">
        <f t="shared" si="74"/>
        <v>https://search-rtdc-monitor-bjffxe2xuh6vdkpspy63sjmuny.us-east-1.es.amazonaws.com/_plugin/kibana/#/discover/Steve-Slow-Train-Analysis-(2080s-and-2083s)?_g=(refreshInterval:(display:Off,section:0,value:0),time:(from:'2016-12-15 07:36:08-700',mode:absolute,to:'2016-12-15 09:54:14-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72" s="52" t="str">
        <f t="shared" si="115"/>
        <v>N</v>
      </c>
      <c r="X172" s="177">
        <f t="shared" si="121"/>
        <v>1</v>
      </c>
      <c r="Y172" s="67">
        <f t="shared" si="116"/>
        <v>5.8673000000000002</v>
      </c>
      <c r="Z172" s="67">
        <f t="shared" si="117"/>
        <v>7.0499999999999993E-2</v>
      </c>
      <c r="AA172" s="67">
        <f t="shared" si="118"/>
        <v>5.7968000000000002</v>
      </c>
      <c r="AB172" s="64" t="e">
        <f>VLOOKUP(A172,Enforcements!$C$7:$K$18,8,0)</f>
        <v>#N/A</v>
      </c>
      <c r="AC172" s="60" t="e">
        <f>VLOOKUP(A172,Enforcements!$C$7:$E$18,3,0)</f>
        <v>#N/A</v>
      </c>
      <c r="AD172" s="61" t="str">
        <f t="shared" si="119"/>
        <v>0812-15</v>
      </c>
      <c r="AE172"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72" s="88" t="str">
        <f t="shared" si="79"/>
        <v>"C:\Program Files (x86)\AstroGrep\AstroGrep.exe" /spath="%USERPROFILE%\AppData\Local\Temp\OnboardLogs" /stypes="app*4041*20161215*" /stext=" 15:.+((SYSTEM_STATE.+slice.+state.+changed )|(ment ac)|(multiple cpu faults)|(system.+state.+changed )|(\[timeout)|(PRM\|1\|D)|(kpr)|(kdp)|(\|lc)|(penalty))" /e /r /s</v>
      </c>
      <c r="AG172" s="1" t="str">
        <f t="shared" si="120"/>
        <v>NW</v>
      </c>
      <c r="AH172" s="92" t="str">
        <f t="shared" si="81"/>
        <v>"%USERPROFILE%\Documents\GitHub\eaglep3\Utilities\RefineRTDCRunTimes.py" --tripid 812-15 --locoid 4041 --swversion DE.1.0.8.0 --startMP 300:58673 --initTime 2016-12-15T08:36:08 --startdatetime 2016-12-15T08:38:51 --delay 1 --endMP 204:705 --enddatetime 2016-12-15T08:54:14 --enforcementcount 0 &gt;&gt;C:\Users\stu\Documents\GitHub\eaglep3-reporting\EC\2016-12-15-refined-times.txt</v>
      </c>
      <c r="AI172" s="119" t="str">
        <f t="shared" si="82"/>
        <v>echo {"issue":{"subject":"","project_id":79,"tracker_id":40,"status_id":1,"priority_id":2,"assigned_to_id":23,"start_date":"2016-12-15","description":"","custom_fields":[{"id":1,"name":"Subdivision","value":"NW"},{"id":4,"name":"Milepost","value":"0.0705"},{"id":17,"name":"Train ID","value":"812-15"},{"id":16,"name":"Locomotive ID","value":"4041"},{"id":130,"name":"Impact","value":""},{"id":150,"name":"Time of Event (Mountain Time)","value":"08:54:14"},{"id":151,"name":"Denver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row>
    <row r="173" spans="1:91" s="21" customFormat="1" x14ac:dyDescent="0.25">
      <c r="A173" s="37" t="s">
        <v>638</v>
      </c>
      <c r="B173" s="7">
        <v>4042</v>
      </c>
      <c r="C173" s="22" t="s">
        <v>207</v>
      </c>
      <c r="D173" s="22" t="s">
        <v>429</v>
      </c>
      <c r="E173" s="13">
        <v>42719.372858796298</v>
      </c>
      <c r="F173" s="13">
        <v>42719.389768518522</v>
      </c>
      <c r="G173" s="7">
        <v>1</v>
      </c>
      <c r="H173" s="22" t="s">
        <v>879</v>
      </c>
      <c r="I173" s="13">
        <v>42719.399097222224</v>
      </c>
      <c r="J173" s="7">
        <v>0</v>
      </c>
      <c r="K173" s="109" t="str">
        <f t="shared" si="110"/>
        <v>4041/4042</v>
      </c>
      <c r="L173" s="22" t="str">
        <f>VLOOKUP(A173,'Trips&amp;Operators'!$C$1:$G$99999,5,FALSE)</f>
        <v>GEBRETEKLE DAGNEW</v>
      </c>
      <c r="M173" s="6">
        <f t="shared" si="111"/>
        <v>9.3287037016125396E-3</v>
      </c>
      <c r="N173" s="7">
        <f t="shared" si="112"/>
        <v>13.433333330322057</v>
      </c>
      <c r="O173" s="7"/>
      <c r="P173" s="7"/>
      <c r="Q173" s="23"/>
      <c r="R173" s="23"/>
      <c r="S173" s="35">
        <f t="shared" si="113"/>
        <v>1</v>
      </c>
      <c r="T173" s="50" t="str">
        <f t="shared" si="114"/>
        <v>NorthBound</v>
      </c>
      <c r="U173" s="171">
        <f>IF(AG173="EC",COUNTIFS(Variables!$M$2:$M$19,IF(T173="NorthBound","&gt;=","&lt;=")&amp;Y173,Variables!$M$2:$M$19,IF(T173="NorthBound","&lt;=","&gt;=")&amp;Z173),COUNTIFS(Variables!$P$2:$P$19,IF(T173="NorthBound","&gt;=","&lt;=")&amp;Y173,Variables!$P$2:$P$19,IF(T173="NorthBound","&lt;=","&gt;=")&amp;Z173))</f>
        <v>1</v>
      </c>
      <c r="V173" s="98" t="str">
        <f t="shared" si="74"/>
        <v>https://search-rtdc-monitor-bjffxe2xuh6vdkpspy63sjmuny.us-east-1.es.amazonaws.com/_plugin/kibana/#/discover/Steve-Slow-Train-Analysis-(2080s-and-2083s)?_g=(refreshInterval:(display:Off,section:0,value:0),time:(from:'2016-12-15 07:56:55-700',mode:absolute,to:'2016-12-15 10:34:42-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73" s="52" t="str">
        <f t="shared" si="115"/>
        <v>N</v>
      </c>
      <c r="X173" s="177">
        <f t="shared" si="121"/>
        <v>1</v>
      </c>
      <c r="Y173" s="67">
        <f t="shared" si="116"/>
        <v>9.8799999999999999E-2</v>
      </c>
      <c r="Z173" s="67">
        <f t="shared" si="117"/>
        <v>5.8992000000000004</v>
      </c>
      <c r="AA173" s="67">
        <f t="shared" si="118"/>
        <v>5.8004000000000007</v>
      </c>
      <c r="AB173" s="64" t="e">
        <f>VLOOKUP(A173,Enforcements!$C$7:$K$18,8,0)</f>
        <v>#N/A</v>
      </c>
      <c r="AC173" s="60" t="e">
        <f>VLOOKUP(A173,Enforcements!$C$7:$E$18,3,0)</f>
        <v>#N/A</v>
      </c>
      <c r="AD173" s="61" t="str">
        <f t="shared" si="119"/>
        <v>0813-15</v>
      </c>
      <c r="AE173"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73" s="88" t="str">
        <f t="shared" si="79"/>
        <v>"C:\Program Files (x86)\AstroGrep\AstroGrep.exe" /spath="%USERPROFILE%\AppData\Local\Temp\OnboardLogs" /stypes="app*4042*20161215*" /stext=" 16:.+((SYSTEM_STATE.+slice.+state.+changed )|(ment ac)|(multiple cpu faults)|(system.+state.+changed )|(\[timeout)|(PRM\|1\|D)|(kpr)|(kdp)|(\|lc)|(penalty))" /e /r /s</v>
      </c>
      <c r="AG173" s="1" t="str">
        <f t="shared" si="120"/>
        <v>NW</v>
      </c>
      <c r="AH173" s="92" t="str">
        <f t="shared" si="81"/>
        <v>"%USERPROFILE%\Documents\GitHub\eaglep3\Utilities\RefineRTDCRunTimes.py" --tripid 813-15 --locoid 4042 --swversion DE.1.0.8.0 --startMP 204:988 --initTime 2016-12-15T08:56:55 --startdatetime 2016-12-15T09:21:16 --delay 1 --endMP 300:58992 --enddatetime 2016-12-15T09:34:42 --enforcementcount 0 &gt;&gt;C:\Users\stu\Documents\GitHub\eaglep3-reporting\EC\2016-12-15-refined-times.txt</v>
      </c>
      <c r="AI173" s="119" t="str">
        <f t="shared" si="82"/>
        <v>echo {"issue":{"subject":"","project_id":79,"tracker_id":40,"status_id":1,"priority_id":2,"assigned_to_id":23,"start_date":"2016-12-15","description":"","custom_fields":[{"id":1,"name":"Subdivision","value":"NW"},{"id":4,"name":"Milepost","value":"5.8992"},{"id":17,"name":"Train ID","value":"813-15"},{"id":16,"name":"Locomotive ID","value":"4042"},{"id":130,"name":"Impact","value":""},{"id":150,"name":"Time of Event (Mountain Time)","value":"09:34:42"},{"id":151,"name":"Denver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1" customFormat="1" x14ac:dyDescent="0.25">
      <c r="A174" s="37" t="s">
        <v>644</v>
      </c>
      <c r="B174" s="7">
        <v>4041</v>
      </c>
      <c r="C174" s="22" t="s">
        <v>207</v>
      </c>
      <c r="D174" s="22" t="s">
        <v>880</v>
      </c>
      <c r="E174" s="13">
        <v>42719.40053240741</v>
      </c>
      <c r="F174" s="13">
        <v>42719.401967592596</v>
      </c>
      <c r="G174" s="7">
        <v>1</v>
      </c>
      <c r="H174" s="22" t="s">
        <v>881</v>
      </c>
      <c r="I174" s="13">
        <v>42719.412847222222</v>
      </c>
      <c r="J174" s="7">
        <v>0</v>
      </c>
      <c r="K174" s="109" t="str">
        <f t="shared" si="110"/>
        <v>4041/4042</v>
      </c>
      <c r="L174" s="22" t="str">
        <f>VLOOKUP(A174,'Trips&amp;Operators'!$C$1:$G$99999,5,FALSE)</f>
        <v>GEBRETEKLE DAGNEW</v>
      </c>
      <c r="M174" s="6">
        <f t="shared" si="111"/>
        <v>1.0879629626288079E-2</v>
      </c>
      <c r="N174" s="7">
        <f t="shared" si="112"/>
        <v>15.666666661854833</v>
      </c>
      <c r="O174" s="7"/>
      <c r="P174" s="7"/>
      <c r="Q174" s="23"/>
      <c r="R174" s="23"/>
      <c r="S174" s="35">
        <f t="shared" si="113"/>
        <v>1</v>
      </c>
      <c r="T174" s="50" t="str">
        <f t="shared" si="114"/>
        <v>Southbound</v>
      </c>
      <c r="U174" s="171">
        <f>IF(AG174="EC",COUNTIFS(Variables!$M$2:$M$19,IF(T174="NorthBound","&gt;=","&lt;=")&amp;Y174,Variables!$M$2:$M$19,IF(T174="NorthBound","&lt;=","&gt;=")&amp;Z174),COUNTIFS(Variables!$P$2:$P$19,IF(T174="NorthBound","&gt;=","&lt;=")&amp;Y174,Variables!$P$2:$P$19,IF(T174="NorthBound","&lt;=","&gt;=")&amp;Z174))</f>
        <v>1</v>
      </c>
      <c r="V174" s="98" t="str">
        <f t="shared" si="74"/>
        <v>https://search-rtdc-monitor-bjffxe2xuh6vdkpspy63sjmuny.us-east-1.es.amazonaws.com/_plugin/kibana/#/discover/Steve-Slow-Train-Analysis-(2080s-and-2083s)?_g=(refreshInterval:(display:Off,section:0,value:0),time:(from:'2016-12-15 08:36:46-700',mode:absolute,to:'2016-12-15 10:54:30-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74" s="52" t="str">
        <f t="shared" si="115"/>
        <v>N</v>
      </c>
      <c r="X174" s="177">
        <f t="shared" si="121"/>
        <v>1</v>
      </c>
      <c r="Y174" s="67">
        <f t="shared" si="116"/>
        <v>5.8678999999999997</v>
      </c>
      <c r="Z174" s="67">
        <f t="shared" si="117"/>
        <v>6.9199999999999998E-2</v>
      </c>
      <c r="AA174" s="67">
        <f t="shared" si="118"/>
        <v>5.7986999999999993</v>
      </c>
      <c r="AB174" s="64" t="e">
        <f>VLOOKUP(A174,Enforcements!$C$7:$K$18,8,0)</f>
        <v>#N/A</v>
      </c>
      <c r="AC174" s="60" t="e">
        <f>VLOOKUP(A174,Enforcements!$C$7:$E$18,3,0)</f>
        <v>#N/A</v>
      </c>
      <c r="AD174" s="61" t="str">
        <f t="shared" si="119"/>
        <v>0814-15</v>
      </c>
      <c r="AE174"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74" s="88" t="str">
        <f t="shared" si="79"/>
        <v>"C:\Program Files (x86)\AstroGrep\AstroGrep.exe" /spath="%USERPROFILE%\AppData\Local\Temp\OnboardLogs" /stypes="app*4041*20161215*" /stext=" 16:.+((SYSTEM_STATE.+slice.+state.+changed )|(ment ac)|(multiple cpu faults)|(system.+state.+changed )|(\[timeout)|(PRM\|1\|D)|(kpr)|(kdp)|(\|lc)|(penalty))" /e /r /s</v>
      </c>
      <c r="AG174" s="1" t="str">
        <f t="shared" si="120"/>
        <v>NW</v>
      </c>
      <c r="AH174" s="92" t="str">
        <f t="shared" si="81"/>
        <v>"%USERPROFILE%\Documents\GitHub\eaglep3\Utilities\RefineRTDCRunTimes.py" --tripid 814-15 --locoid 4041 --swversion DE.1.0.8.0 --startMP 300:58679 --initTime 2016-12-15T09:36:46 --startdatetime 2016-12-15T09:38:50 --delay 1 --endMP 204:692 --enddatetime 2016-12-15T09:54:30 --enforcementcount 0 &gt;&gt;C:\Users\stu\Documents\GitHub\eaglep3-reporting\EC\2016-12-15-refined-times.txt</v>
      </c>
      <c r="AI174" s="119" t="str">
        <f t="shared" si="82"/>
        <v>echo {"issue":{"subject":"","project_id":79,"tracker_id":40,"status_id":1,"priority_id":2,"assigned_to_id":23,"start_date":"2016-12-15","description":"","custom_fields":[{"id":1,"name":"Subdivision","value":"NW"},{"id":4,"name":"Milepost","value":"0.0692"},{"id":17,"name":"Train ID","value":"814-15"},{"id":16,"name":"Locomotive ID","value":"4041"},{"id":130,"name":"Impact","value":""},{"id":150,"name":"Time of Event (Mountain Time)","value":"09:54:30"},{"id":151,"name":"Denver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647</v>
      </c>
      <c r="B175" s="7">
        <v>4042</v>
      </c>
      <c r="C175" s="22" t="s">
        <v>207</v>
      </c>
      <c r="D175" s="22" t="s">
        <v>432</v>
      </c>
      <c r="E175" s="13">
        <v>42719.414780092593</v>
      </c>
      <c r="F175" s="13">
        <v>42719.431423611109</v>
      </c>
      <c r="G175" s="7">
        <v>1</v>
      </c>
      <c r="H175" s="22" t="s">
        <v>882</v>
      </c>
      <c r="I175" s="13">
        <v>42719.440486111111</v>
      </c>
      <c r="J175" s="7">
        <v>0</v>
      </c>
      <c r="K175" s="109" t="str">
        <f t="shared" si="110"/>
        <v>4041/4042</v>
      </c>
      <c r="L175" s="22" t="str">
        <f>VLOOKUP(A175,'Trips&amp;Operators'!$C$1:$G$99999,5,FALSE)</f>
        <v>GEBRETEKLE DAGNEW</v>
      </c>
      <c r="M175" s="6">
        <f t="shared" si="111"/>
        <v>9.0625000011641532E-3</v>
      </c>
      <c r="N175" s="7">
        <f t="shared" si="112"/>
        <v>13.050000001676381</v>
      </c>
      <c r="O175" s="7"/>
      <c r="P175" s="7"/>
      <c r="Q175" s="23"/>
      <c r="R175" s="23"/>
      <c r="S175" s="35">
        <f t="shared" si="113"/>
        <v>1</v>
      </c>
      <c r="T175" s="50" t="str">
        <f t="shared" si="114"/>
        <v>NorthBound</v>
      </c>
      <c r="U175" s="171">
        <f>IF(AG175="EC",COUNTIFS(Variables!$M$2:$M$19,IF(T175="NorthBound","&gt;=","&lt;=")&amp;Y175,Variables!$M$2:$M$19,IF(T175="NorthBound","&lt;=","&gt;=")&amp;Z175),COUNTIFS(Variables!$P$2:$P$19,IF(T175="NorthBound","&gt;=","&lt;=")&amp;Y175,Variables!$P$2:$P$19,IF(T175="NorthBound","&lt;=","&gt;=")&amp;Z175))</f>
        <v>1</v>
      </c>
      <c r="V175" s="98" t="str">
        <f t="shared" si="74"/>
        <v>https://search-rtdc-monitor-bjffxe2xuh6vdkpspy63sjmuny.us-east-1.es.amazonaws.com/_plugin/kibana/#/discover/Steve-Slow-Train-Analysis-(2080s-and-2083s)?_g=(refreshInterval:(display:Off,section:0,value:0),time:(from:'2016-12-15 08:57:17-700',mode:absolute,to:'2016-12-15 11:34:18-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75" s="52" t="str">
        <f t="shared" si="115"/>
        <v>N</v>
      </c>
      <c r="X175" s="177">
        <f t="shared" si="121"/>
        <v>1</v>
      </c>
      <c r="Y175" s="67">
        <f t="shared" si="116"/>
        <v>9.7600000000000006E-2</v>
      </c>
      <c r="Z175" s="67">
        <f t="shared" si="117"/>
        <v>5.8997000000000002</v>
      </c>
      <c r="AA175" s="67">
        <f t="shared" si="118"/>
        <v>5.8021000000000003</v>
      </c>
      <c r="AB175" s="64" t="e">
        <f>VLOOKUP(A175,Enforcements!$C$7:$K$18,8,0)</f>
        <v>#N/A</v>
      </c>
      <c r="AC175" s="60" t="e">
        <f>VLOOKUP(A175,Enforcements!$C$7:$E$18,3,0)</f>
        <v>#N/A</v>
      </c>
      <c r="AD175" s="61" t="str">
        <f t="shared" si="119"/>
        <v>0815-15</v>
      </c>
      <c r="AE175"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75" s="88" t="str">
        <f t="shared" si="79"/>
        <v>"C:\Program Files (x86)\AstroGrep\AstroGrep.exe" /spath="%USERPROFILE%\AppData\Local\Temp\OnboardLogs" /stypes="app*4042*20161215*" /stext=" 17:.+((SYSTEM_STATE.+slice.+state.+changed )|(ment ac)|(multiple cpu faults)|(system.+state.+changed )|(\[timeout)|(PRM\|1\|D)|(kpr)|(kdp)|(\|lc)|(penalty))" /e /r /s</v>
      </c>
      <c r="AG175" s="1" t="str">
        <f t="shared" si="120"/>
        <v>NW</v>
      </c>
      <c r="AH175" s="92" t="str">
        <f t="shared" si="81"/>
        <v>"%USERPROFILE%\Documents\GitHub\eaglep3\Utilities\RefineRTDCRunTimes.py" --tripid 815-15 --locoid 4042 --swversion DE.1.0.8.0 --startMP 204:976 --initTime 2016-12-15T09:57:17 --startdatetime 2016-12-15T10:21:15 --delay 1 --endMP 300:58997 --enddatetime 2016-12-15T10:34:18 --enforcementcount 0 &gt;&gt;C:\Users\stu\Documents\GitHub\eaglep3-reporting\EC\2016-12-15-refined-times.txt</v>
      </c>
      <c r="AI175" s="119" t="str">
        <f t="shared" si="82"/>
        <v>echo {"issue":{"subject":"","project_id":79,"tracker_id":40,"status_id":1,"priority_id":2,"assigned_to_id":23,"start_date":"2016-12-15","description":"","custom_fields":[{"id":1,"name":"Subdivision","value":"NW"},{"id":4,"name":"Milepost","value":"5.8997"},{"id":17,"name":"Train ID","value":"815-15"},{"id":16,"name":"Locomotive ID","value":"4042"},{"id":130,"name":"Impact","value":""},{"id":150,"name":"Time of Event (Mountain Time)","value":"10:34:18"},{"id":151,"name":"Denver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x14ac:dyDescent="0.25">
      <c r="A176" s="37" t="s">
        <v>655</v>
      </c>
      <c r="B176" s="7">
        <v>4041</v>
      </c>
      <c r="C176" s="22" t="s">
        <v>207</v>
      </c>
      <c r="D176" s="22" t="s">
        <v>883</v>
      </c>
      <c r="E176" s="13">
        <v>42719.441770833335</v>
      </c>
      <c r="F176" s="13">
        <v>42719.443287037036</v>
      </c>
      <c r="G176" s="7">
        <v>1</v>
      </c>
      <c r="H176" s="22" t="s">
        <v>440</v>
      </c>
      <c r="I176" s="13">
        <v>42719.454444444447</v>
      </c>
      <c r="J176" s="7">
        <v>0</v>
      </c>
      <c r="K176" s="109" t="str">
        <f t="shared" si="110"/>
        <v>4041/4042</v>
      </c>
      <c r="L176" s="22" t="str">
        <f>VLOOKUP(A176,'Trips&amp;Operators'!$C$1:$G$99999,5,FALSE)</f>
        <v>GEBRETEKLE DAGNEW</v>
      </c>
      <c r="M176" s="6">
        <f t="shared" si="111"/>
        <v>1.1157407410792075E-2</v>
      </c>
      <c r="N176" s="7">
        <f t="shared" si="112"/>
        <v>16.066666671540588</v>
      </c>
      <c r="O176" s="7"/>
      <c r="P176" s="7"/>
      <c r="Q176" s="23"/>
      <c r="R176" s="23"/>
      <c r="S176" s="35">
        <f t="shared" si="113"/>
        <v>1</v>
      </c>
      <c r="T176" s="50" t="str">
        <f t="shared" si="114"/>
        <v>Southbound</v>
      </c>
      <c r="U176" s="171">
        <f>IF(AG176="EC",COUNTIFS(Variables!$M$2:$M$19,IF(T176="NorthBound","&gt;=","&lt;=")&amp;Y176,Variables!$M$2:$M$19,IF(T176="NorthBound","&lt;=","&gt;=")&amp;Z176),COUNTIFS(Variables!$P$2:$P$19,IF(T176="NorthBound","&gt;=","&lt;=")&amp;Y176,Variables!$P$2:$P$19,IF(T176="NorthBound","&lt;=","&gt;=")&amp;Z176))</f>
        <v>1</v>
      </c>
      <c r="V176" s="98" t="str">
        <f t="shared" si="74"/>
        <v>https://search-rtdc-monitor-bjffxe2xuh6vdkpspy63sjmuny.us-east-1.es.amazonaws.com/_plugin/kibana/#/discover/Steve-Slow-Train-Analysis-(2080s-and-2083s)?_g=(refreshInterval:(display:Off,section:0,value:0),time:(from:'2016-12-15 09:36:09-700',mode:absolute,to:'2016-12-15 11:54:24-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76" s="52" t="str">
        <f t="shared" si="115"/>
        <v>N</v>
      </c>
      <c r="X176" s="177">
        <f t="shared" ref="X176:X180" si="122">VALUE(LEFT(AD176,4))-VALUE(LEFT(AD175,4))</f>
        <v>1</v>
      </c>
      <c r="Y176" s="67">
        <f t="shared" si="116"/>
        <v>5.8672000000000004</v>
      </c>
      <c r="Z176" s="67">
        <f t="shared" si="117"/>
        <v>6.9800000000000001E-2</v>
      </c>
      <c r="AA176" s="67">
        <f t="shared" si="118"/>
        <v>5.7974000000000006</v>
      </c>
      <c r="AB176" s="64" t="e">
        <f>VLOOKUP(A176,Enforcements!$C$7:$K$18,8,0)</f>
        <v>#N/A</v>
      </c>
      <c r="AC176" s="60" t="e">
        <f>VLOOKUP(A176,Enforcements!$C$7:$E$18,3,0)</f>
        <v>#N/A</v>
      </c>
      <c r="AD176" s="61" t="str">
        <f t="shared" si="119"/>
        <v>0816-15</v>
      </c>
      <c r="AE176"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76" s="88" t="str">
        <f t="shared" si="79"/>
        <v>"C:\Program Files (x86)\AstroGrep\AstroGrep.exe" /spath="%USERPROFILE%\AppData\Local\Temp\OnboardLogs" /stypes="app*4041*20161215*" /stext=" 17:.+((SYSTEM_STATE.+slice.+state.+changed )|(ment ac)|(multiple cpu faults)|(system.+state.+changed )|(\[timeout)|(PRM\|1\|D)|(kpr)|(kdp)|(\|lc)|(penalty))" /e /r /s</v>
      </c>
      <c r="AG176" s="1" t="str">
        <f t="shared" si="120"/>
        <v>NW</v>
      </c>
      <c r="AH176" s="92" t="str">
        <f t="shared" si="81"/>
        <v>"%USERPROFILE%\Documents\GitHub\eaglep3\Utilities\RefineRTDCRunTimes.py" --tripid 816-15 --locoid 4041 --swversion DE.1.0.8.0 --startMP 300:58672 --initTime 2016-12-15T10:36:09 --startdatetime 2016-12-15T10:38:20 --delay 1 --endMP 204:698 --enddatetime 2016-12-15T10:54:24 --enforcementcount 0 &gt;&gt;C:\Users\stu\Documents\GitHub\eaglep3-reporting\EC\2016-12-15-refined-times.txt</v>
      </c>
      <c r="AI176" s="119" t="str">
        <f t="shared" si="82"/>
        <v>echo {"issue":{"subject":"","project_id":79,"tracker_id":40,"status_id":1,"priority_id":2,"assigned_to_id":23,"start_date":"2016-12-15","description":"","custom_fields":[{"id":1,"name":"Subdivision","value":"NW"},{"id":4,"name":"Milepost","value":"0.0698"},{"id":17,"name":"Train ID","value":"816-15"},{"id":16,"name":"Locomotive ID","value":"4041"},{"id":130,"name":"Impact","value":""},{"id":150,"name":"Time of Event (Mountain Time)","value":"10:54:24"},{"id":151,"name":"Denver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row>
    <row r="177" spans="1:91" s="21" customFormat="1" x14ac:dyDescent="0.25">
      <c r="A177" s="37" t="s">
        <v>659</v>
      </c>
      <c r="B177" s="7">
        <v>4042</v>
      </c>
      <c r="C177" s="22" t="s">
        <v>207</v>
      </c>
      <c r="D177" s="22" t="s">
        <v>357</v>
      </c>
      <c r="E177" s="13">
        <v>42719.463506944441</v>
      </c>
      <c r="F177" s="13">
        <v>42719.473252314812</v>
      </c>
      <c r="G177" s="7">
        <v>2</v>
      </c>
      <c r="H177" s="22" t="s">
        <v>436</v>
      </c>
      <c r="I177" s="13">
        <v>42719.484490740739</v>
      </c>
      <c r="J177" s="7">
        <v>0</v>
      </c>
      <c r="K177" s="109" t="str">
        <f t="shared" si="110"/>
        <v>4041/4042</v>
      </c>
      <c r="L177" s="22" t="str">
        <f>VLOOKUP(A177,'Trips&amp;Operators'!$C$1:$G$99999,5,FALSE)</f>
        <v>GEBRETEKLE DAGNEW</v>
      </c>
      <c r="M177" s="6">
        <f t="shared" si="111"/>
        <v>1.1238425926421769E-2</v>
      </c>
      <c r="N177" s="7">
        <f t="shared" si="112"/>
        <v>16.183333334047347</v>
      </c>
      <c r="O177" s="7"/>
      <c r="P177" s="7"/>
      <c r="Q177" s="23"/>
      <c r="R177" s="23"/>
      <c r="S177" s="35">
        <f t="shared" si="113"/>
        <v>1</v>
      </c>
      <c r="T177" s="50" t="str">
        <f t="shared" si="114"/>
        <v>NorthBound</v>
      </c>
      <c r="U177" s="171">
        <f>IF(AG177="EC",COUNTIFS(Variables!$M$2:$M$19,IF(T177="NorthBound","&gt;=","&lt;=")&amp;Y177,Variables!$M$2:$M$19,IF(T177="NorthBound","&lt;=","&gt;=")&amp;Z177),COUNTIFS(Variables!$P$2:$P$19,IF(T177="NorthBound","&gt;=","&lt;=")&amp;Y177,Variables!$P$2:$P$19,IF(T177="NorthBound","&lt;=","&gt;=")&amp;Z177))</f>
        <v>1</v>
      </c>
      <c r="V177" s="98" t="str">
        <f t="shared" si="74"/>
        <v>https://search-rtdc-monitor-bjffxe2xuh6vdkpspy63sjmuny.us-east-1.es.amazonaws.com/_plugin/kibana/#/discover/Steve-Slow-Train-Analysis-(2080s-and-2083s)?_g=(refreshInterval:(display:Off,section:0,value:0),time:(from:'2016-12-15 10:07:27-700',mode:absolute,to:'2016-12-15 12:37: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77" s="52" t="str">
        <f t="shared" si="115"/>
        <v>N</v>
      </c>
      <c r="X177" s="177">
        <f t="shared" si="122"/>
        <v>1</v>
      </c>
      <c r="Y177" s="67">
        <f t="shared" si="116"/>
        <v>9.7799999999999998E-2</v>
      </c>
      <c r="Z177" s="67">
        <f t="shared" si="117"/>
        <v>5.8956</v>
      </c>
      <c r="AA177" s="67">
        <f t="shared" si="118"/>
        <v>5.7977999999999996</v>
      </c>
      <c r="AB177" s="64" t="e">
        <f>VLOOKUP(A177,Enforcements!$C$7:$K$18,8,0)</f>
        <v>#N/A</v>
      </c>
      <c r="AC177" s="60" t="e">
        <f>VLOOKUP(A177,Enforcements!$C$7:$E$18,3,0)</f>
        <v>#N/A</v>
      </c>
      <c r="AD177" s="61" t="str">
        <f t="shared" si="119"/>
        <v>0817-15</v>
      </c>
      <c r="AE177"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77" s="88" t="str">
        <f t="shared" si="79"/>
        <v>"C:\Program Files (x86)\AstroGrep\AstroGrep.exe" /spath="%USERPROFILE%\AppData\Local\Temp\OnboardLogs" /stypes="app*4042*20161215*" /stext=" 18:.+((SYSTEM_STATE.+slice.+state.+changed )|(ment ac)|(multiple cpu faults)|(system.+state.+changed )|(\[timeout)|(PRM\|1\|D)|(kpr)|(kdp)|(\|lc)|(penalty))" /e /r /s</v>
      </c>
      <c r="AG177" s="1" t="str">
        <f t="shared" si="120"/>
        <v>NW</v>
      </c>
      <c r="AH177" s="92" t="str">
        <f t="shared" si="81"/>
        <v>"%USERPROFILE%\Documents\GitHub\eaglep3\Utilities\RefineRTDCRunTimes.py" --tripid 817-15 --locoid 4042 --swversion DE.1.0.8.0 --startMP 204:978 --initTime 2016-12-15T11:07:27 --startdatetime 2016-12-15T11:21:29 --delay 2 --endMP 300:58956 --enddatetime 2016-12-15T11:37:40 --enforcementcount 0 &gt;&gt;C:\Users\stu\Documents\GitHub\eaglep3-reporting\EC\2016-12-15-refined-times.txt</v>
      </c>
      <c r="AI177" s="119" t="str">
        <f t="shared" si="82"/>
        <v>echo {"issue":{"subject":"","project_id":79,"tracker_id":40,"status_id":1,"priority_id":2,"assigned_to_id":23,"start_date":"2016-12-15","description":"","custom_fields":[{"id":1,"name":"Subdivision","value":"NW"},{"id":4,"name":"Milepost","value":"5.8956"},{"id":17,"name":"Train ID","value":"817-15"},{"id":16,"name":"Locomotive ID","value":"4042"},{"id":130,"name":"Impact","value":""},{"id":150,"name":"Time of Event (Mountain Time)","value":"11:37:40"},{"id":151,"name":"Denver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spans="1:91" s="21" customFormat="1" x14ac:dyDescent="0.25">
      <c r="A178" s="37" t="s">
        <v>668</v>
      </c>
      <c r="B178" s="7">
        <v>4041</v>
      </c>
      <c r="C178" s="22" t="s">
        <v>207</v>
      </c>
      <c r="D178" s="22" t="s">
        <v>884</v>
      </c>
      <c r="E178" s="13">
        <v>42719.486180555556</v>
      </c>
      <c r="F178" s="13">
        <v>42719.488402777781</v>
      </c>
      <c r="G178" s="7">
        <v>2</v>
      </c>
      <c r="H178" s="22" t="s">
        <v>435</v>
      </c>
      <c r="I178" s="13">
        <v>42719.499513888892</v>
      </c>
      <c r="J178" s="7">
        <v>0</v>
      </c>
      <c r="K178" s="109" t="str">
        <f t="shared" si="110"/>
        <v>4041/4042</v>
      </c>
      <c r="L178" s="22" t="str">
        <f>VLOOKUP(A178,'Trips&amp;Operators'!$C$1:$G$99999,5,FALSE)</f>
        <v>DAVIS MICHAEL</v>
      </c>
      <c r="M178" s="6">
        <f t="shared" si="111"/>
        <v>1.1111111110949423E-2</v>
      </c>
      <c r="N178" s="7">
        <f t="shared" si="112"/>
        <v>15.999999999767169</v>
      </c>
      <c r="O178" s="7"/>
      <c r="P178" s="7"/>
      <c r="Q178" s="23"/>
      <c r="R178" s="23"/>
      <c r="S178" s="35">
        <f t="shared" si="113"/>
        <v>1</v>
      </c>
      <c r="T178" s="50" t="str">
        <f t="shared" si="114"/>
        <v>Southbound</v>
      </c>
      <c r="U178" s="171">
        <f>IF(AG178="EC",COUNTIFS(Variables!$M$2:$M$19,IF(T178="NorthBound","&gt;=","&lt;=")&amp;Y178,Variables!$M$2:$M$19,IF(T178="NorthBound","&lt;=","&gt;=")&amp;Z178),COUNTIFS(Variables!$P$2:$P$19,IF(T178="NorthBound","&gt;=","&lt;=")&amp;Y178,Variables!$P$2:$P$19,IF(T178="NorthBound","&lt;=","&gt;=")&amp;Z178))</f>
        <v>1</v>
      </c>
      <c r="V178" s="98" t="str">
        <f t="shared" si="74"/>
        <v>https://search-rtdc-monitor-bjffxe2xuh6vdkpspy63sjmuny.us-east-1.es.amazonaws.com/_plugin/kibana/#/discover/Steve-Slow-Train-Analysis-(2080s-and-2083s)?_g=(refreshInterval:(display:Off,section:0,value:0),time:(from:'2016-12-15 10:40:06-700',mode:absolute,to:'2016-12-15 12:59:18-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78" s="52" t="str">
        <f t="shared" si="115"/>
        <v>N</v>
      </c>
      <c r="X178" s="177">
        <f t="shared" si="122"/>
        <v>1</v>
      </c>
      <c r="Y178" s="67">
        <f t="shared" si="116"/>
        <v>5.8635999999999999</v>
      </c>
      <c r="Z178" s="67">
        <f t="shared" si="117"/>
        <v>6.7500000000000004E-2</v>
      </c>
      <c r="AA178" s="67">
        <f t="shared" si="118"/>
        <v>5.7961</v>
      </c>
      <c r="AB178" s="64" t="e">
        <f>VLOOKUP(A178,Enforcements!$C$7:$K$18,8,0)</f>
        <v>#N/A</v>
      </c>
      <c r="AC178" s="60" t="e">
        <f>VLOOKUP(A178,Enforcements!$C$7:$E$18,3,0)</f>
        <v>#N/A</v>
      </c>
      <c r="AD178" s="61" t="str">
        <f t="shared" si="119"/>
        <v>0818-15</v>
      </c>
      <c r="AE178"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78" s="88" t="str">
        <f t="shared" si="79"/>
        <v>"C:\Program Files (x86)\AstroGrep\AstroGrep.exe" /spath="%USERPROFILE%\AppData\Local\Temp\OnboardLogs" /stypes="app*4041*20161215*" /stext=" 18:.+((SYSTEM_STATE.+slice.+state.+changed )|(ment ac)|(multiple cpu faults)|(system.+state.+changed )|(\[timeout)|(PRM\|1\|D)|(kpr)|(kdp)|(\|lc)|(penalty))" /e /r /s</v>
      </c>
      <c r="AG178" s="1" t="str">
        <f t="shared" si="120"/>
        <v>NW</v>
      </c>
      <c r="AH178" s="92" t="str">
        <f t="shared" si="81"/>
        <v>"%USERPROFILE%\Documents\GitHub\eaglep3\Utilities\RefineRTDCRunTimes.py" --tripid 818-15 --locoid 4041 --swversion DE.1.0.8.0 --startMP 300:58636 --initTime 2016-12-15T11:40:06 --startdatetime 2016-12-15T11:43:18 --delay 2 --endMP 204:675 --enddatetime 2016-12-15T11:59:18 --enforcementcount 0 &gt;&gt;C:\Users\stu\Documents\GitHub\eaglep3-reporting\EC\2016-12-15-refined-times.txt</v>
      </c>
      <c r="AI178" s="119" t="str">
        <f t="shared" si="82"/>
        <v>echo {"issue":{"subject":"","project_id":79,"tracker_id":40,"status_id":1,"priority_id":2,"assigned_to_id":23,"start_date":"2016-12-15","description":"","custom_fields":[{"id":1,"name":"Subdivision","value":"NW"},{"id":4,"name":"Milepost","value":"0.0675"},{"id":17,"name":"Train ID","value":"818-15"},{"id":16,"name":"Locomotive ID","value":"4041"},{"id":130,"name":"Impact","value":""},{"id":150,"name":"Time of Event (Mountain Time)","value":"11:59:18"},{"id":151,"name":"Denver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s="21" customFormat="1" x14ac:dyDescent="0.25">
      <c r="A179" s="37" t="s">
        <v>566</v>
      </c>
      <c r="B179" s="7">
        <v>4042</v>
      </c>
      <c r="C179" s="22" t="s">
        <v>207</v>
      </c>
      <c r="D179" s="22" t="s">
        <v>885</v>
      </c>
      <c r="E179" s="13">
        <v>42719.501805555556</v>
      </c>
      <c r="F179" s="13">
        <v>42719.514756944445</v>
      </c>
      <c r="G179" s="7">
        <v>1</v>
      </c>
      <c r="H179" s="22" t="s">
        <v>866</v>
      </c>
      <c r="I179" s="13">
        <v>42719.523969907408</v>
      </c>
      <c r="J179" s="7">
        <v>0</v>
      </c>
      <c r="K179" s="109" t="str">
        <f t="shared" si="110"/>
        <v>4041/4042</v>
      </c>
      <c r="L179" s="22" t="str">
        <f>VLOOKUP(A179,'Trips&amp;Operators'!$C$1:$G$99999,5,FALSE)</f>
        <v>GEBRETEKLE DAGNEW</v>
      </c>
      <c r="M179" s="6">
        <f t="shared" si="111"/>
        <v>9.2129629629198462E-3</v>
      </c>
      <c r="N179" s="7">
        <f t="shared" si="112"/>
        <v>13.266666666604578</v>
      </c>
      <c r="O179" s="7"/>
      <c r="P179" s="7"/>
      <c r="Q179" s="23"/>
      <c r="R179" s="23"/>
      <c r="S179" s="35">
        <f t="shared" si="113"/>
        <v>1</v>
      </c>
      <c r="T179" s="50" t="str">
        <f t="shared" si="114"/>
        <v>NorthBound</v>
      </c>
      <c r="U179" s="171">
        <f>IF(AG179="EC",COUNTIFS(Variables!$M$2:$M$19,IF(T179="NorthBound","&gt;=","&lt;=")&amp;Y179,Variables!$M$2:$M$19,IF(T179="NorthBound","&lt;=","&gt;=")&amp;Z179),COUNTIFS(Variables!$P$2:$P$19,IF(T179="NorthBound","&gt;=","&lt;=")&amp;Y179,Variables!$P$2:$P$19,IF(T179="NorthBound","&lt;=","&gt;=")&amp;Z179))</f>
        <v>1</v>
      </c>
      <c r="V179" s="98" t="str">
        <f t="shared" si="74"/>
        <v>https://search-rtdc-monitor-bjffxe2xuh6vdkpspy63sjmuny.us-east-1.es.amazonaws.com/_plugin/kibana/#/discover/Steve-Slow-Train-Analysis-(2080s-and-2083s)?_g=(refreshInterval:(display:Off,section:0,value:0),time:(from:'2016-12-15 11:02:36-700',mode:absolute,to:'2016-12-15 13:34:31-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79" s="52" t="str">
        <f t="shared" si="115"/>
        <v>N</v>
      </c>
      <c r="X179" s="177">
        <f t="shared" si="122"/>
        <v>1</v>
      </c>
      <c r="Y179" s="67">
        <f t="shared" si="116"/>
        <v>9.64E-2</v>
      </c>
      <c r="Z179" s="67">
        <f t="shared" si="117"/>
        <v>5.9006999999999996</v>
      </c>
      <c r="AA179" s="67">
        <f t="shared" si="118"/>
        <v>5.8042999999999996</v>
      </c>
      <c r="AB179" s="64" t="e">
        <f>VLOOKUP(A179,Enforcements!$C$7:$K$18,8,0)</f>
        <v>#N/A</v>
      </c>
      <c r="AC179" s="60" t="e">
        <f>VLOOKUP(A179,Enforcements!$C$7:$E$18,3,0)</f>
        <v>#N/A</v>
      </c>
      <c r="AD179" s="61" t="str">
        <f t="shared" si="119"/>
        <v>0819-15</v>
      </c>
      <c r="AE179"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79" s="88" t="str">
        <f t="shared" si="79"/>
        <v>"C:\Program Files (x86)\AstroGrep\AstroGrep.exe" /spath="%USERPROFILE%\AppData\Local\Temp\OnboardLogs" /stypes="app*4042*20161215*" /stext=" 19:.+((SYSTEM_STATE.+slice.+state.+changed )|(ment ac)|(multiple cpu faults)|(system.+state.+changed )|(\[timeout)|(PRM\|1\|D)|(kpr)|(kdp)|(\|lc)|(penalty))" /e /r /s</v>
      </c>
      <c r="AG179" s="1" t="str">
        <f t="shared" si="120"/>
        <v>NW</v>
      </c>
      <c r="AH179" s="92" t="str">
        <f t="shared" si="81"/>
        <v>"%USERPROFILE%\Documents\GitHub\eaglep3\Utilities\RefineRTDCRunTimes.py" --tripid 819-15 --locoid 4042 --swversion DE.1.0.8.0 --startMP 204:964 --initTime 2016-12-15T12:02:36 --startdatetime 2016-12-15T12:21:15 --delay 1 --endMP 300:59007 --enddatetime 2016-12-15T12:34:31 --enforcementcount 0 &gt;&gt;C:\Users\stu\Documents\GitHub\eaglep3-reporting\EC\2016-12-15-refined-times.txt</v>
      </c>
      <c r="AI179" s="119" t="str">
        <f t="shared" si="82"/>
        <v>echo {"issue":{"subject":"","project_id":79,"tracker_id":40,"status_id":1,"priority_id":2,"assigned_to_id":23,"start_date":"2016-12-15","description":"","custom_fields":[{"id":1,"name":"Subdivision","value":"NW"},{"id":4,"name":"Milepost","value":"5.9007"},{"id":17,"name":"Train ID","value":"819-15"},{"id":16,"name":"Locomotive ID","value":"4042"},{"id":130,"name":"Impact","value":""},{"id":150,"name":"Time of Event (Mountain Time)","value":"12:34:31"},{"id":151,"name":"Denver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s="21" customFormat="1" x14ac:dyDescent="0.25">
      <c r="A180" s="37" t="s">
        <v>676</v>
      </c>
      <c r="B180" s="7">
        <v>4041</v>
      </c>
      <c r="C180" s="22" t="s">
        <v>207</v>
      </c>
      <c r="D180" s="22" t="s">
        <v>898</v>
      </c>
      <c r="E180" s="13">
        <v>42719.525011574071</v>
      </c>
      <c r="F180" s="13">
        <v>42719.526562500003</v>
      </c>
      <c r="G180" s="7">
        <v>1</v>
      </c>
      <c r="H180" s="22" t="s">
        <v>868</v>
      </c>
      <c r="I180" s="13">
        <v>42719.537673611114</v>
      </c>
      <c r="J180" s="7">
        <v>0</v>
      </c>
      <c r="K180" s="109" t="str">
        <f t="shared" si="110"/>
        <v>4041/4042</v>
      </c>
      <c r="L180" s="22" t="str">
        <f>VLOOKUP(A180,'Trips&amp;Operators'!$C$1:$G$99999,5,FALSE)</f>
        <v>GEBRETEKLE DAGNEW</v>
      </c>
      <c r="M180" s="6">
        <f t="shared" si="111"/>
        <v>1.1111111110949423E-2</v>
      </c>
      <c r="N180" s="7">
        <f t="shared" si="112"/>
        <v>15.999999999767169</v>
      </c>
      <c r="O180" s="7"/>
      <c r="P180" s="7"/>
      <c r="Q180" s="23"/>
      <c r="R180" s="23"/>
      <c r="S180" s="35">
        <f t="shared" si="113"/>
        <v>1</v>
      </c>
      <c r="T180" s="50" t="str">
        <f t="shared" si="114"/>
        <v>Southbound</v>
      </c>
      <c r="U180" s="171">
        <f>IF(AG180="EC",COUNTIFS(Variables!$M$2:$M$19,IF(T180="NorthBound","&gt;=","&lt;=")&amp;Y180,Variables!$M$2:$M$19,IF(T180="NorthBound","&lt;=","&gt;=")&amp;Z180),COUNTIFS(Variables!$P$2:$P$19,IF(T180="NorthBound","&gt;=","&lt;=")&amp;Y180,Variables!$P$2:$P$19,IF(T180="NorthBound","&lt;=","&gt;=")&amp;Z180))</f>
        <v>1</v>
      </c>
      <c r="V180" s="98" t="str">
        <f t="shared" si="74"/>
        <v>https://search-rtdc-monitor-bjffxe2xuh6vdkpspy63sjmuny.us-east-1.es.amazonaws.com/_plugin/kibana/#/discover/Steve-Slow-Train-Analysis-(2080s-and-2083s)?_g=(refreshInterval:(display:Off,section:0,value:0),time:(from:'2016-12-15 11:36:01-700',mode:absolute,to:'2016-12-15 13:54:15-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80" s="52" t="str">
        <f t="shared" si="115"/>
        <v>N</v>
      </c>
      <c r="X180" s="177">
        <f t="shared" si="122"/>
        <v>1</v>
      </c>
      <c r="Y180" s="67">
        <f t="shared" si="116"/>
        <v>5.8701999999999996</v>
      </c>
      <c r="Z180" s="67">
        <f t="shared" si="117"/>
        <v>7.0300000000000001E-2</v>
      </c>
      <c r="AA180" s="67">
        <f t="shared" si="118"/>
        <v>5.7999000000000001</v>
      </c>
      <c r="AB180" s="64" t="e">
        <f>VLOOKUP(A180,Enforcements!$C$7:$K$18,8,0)</f>
        <v>#N/A</v>
      </c>
      <c r="AC180" s="60" t="e">
        <f>VLOOKUP(A180,Enforcements!$C$7:$E$18,3,0)</f>
        <v>#N/A</v>
      </c>
      <c r="AD180" s="61" t="str">
        <f t="shared" si="119"/>
        <v>0820-15</v>
      </c>
      <c r="AE180"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80" s="88" t="str">
        <f t="shared" si="79"/>
        <v>"C:\Program Files (x86)\AstroGrep\AstroGrep.exe" /spath="%USERPROFILE%\AppData\Local\Temp\OnboardLogs" /stypes="app*4041*20161215*" /stext=" 19:.+((SYSTEM_STATE.+slice.+state.+changed )|(ment ac)|(multiple cpu faults)|(system.+state.+changed )|(\[timeout)|(PRM\|1\|D)|(kpr)|(kdp)|(\|lc)|(penalty))" /e /r /s</v>
      </c>
      <c r="AG180" s="1" t="str">
        <f t="shared" si="120"/>
        <v>NW</v>
      </c>
      <c r="AH180" s="92" t="str">
        <f t="shared" si="81"/>
        <v>"%USERPROFILE%\Documents\GitHub\eaglep3\Utilities\RefineRTDCRunTimes.py" --tripid 820-15 --locoid 4041 --swversion DE.1.0.8.0 --startMP 300:58702 --initTime 2016-12-15T12:36:01 --startdatetime 2016-12-15T12:38:15 --delay 1 --endMP 204:703 --enddatetime 2016-12-15T12:54:15 --enforcementcount 0 &gt;&gt;C:\Users\stu\Documents\GitHub\eaglep3-reporting\EC\2016-12-15-refined-times.txt</v>
      </c>
      <c r="AI180" s="119" t="str">
        <f t="shared" si="82"/>
        <v>echo {"issue":{"subject":"","project_id":79,"tracker_id":40,"status_id":1,"priority_id":2,"assigned_to_id":23,"start_date":"2016-12-15","description":"","custom_fields":[{"id":1,"name":"Subdivision","value":"NW"},{"id":4,"name":"Milepost","value":"0.0703"},{"id":17,"name":"Train ID","value":"820-15"},{"id":16,"name":"Locomotive ID","value":"4041"},{"id":130,"name":"Impact","value":""},{"id":150,"name":"Time of Event (Mountain Time)","value":"12:54:15"},{"id":151,"name":"Denver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spans="1:91" x14ac:dyDescent="0.25">
      <c r="A181" s="37" t="s">
        <v>567</v>
      </c>
      <c r="B181" s="7">
        <v>4042</v>
      </c>
      <c r="C181" s="22" t="s">
        <v>207</v>
      </c>
      <c r="D181" s="22" t="s">
        <v>899</v>
      </c>
      <c r="E181" s="13">
        <v>42719.545775462961</v>
      </c>
      <c r="F181" s="13">
        <v>42719.556469907409</v>
      </c>
      <c r="G181" s="7">
        <v>2</v>
      </c>
      <c r="H181" s="22" t="s">
        <v>430</v>
      </c>
      <c r="I181" s="13">
        <v>42719.566099537034</v>
      </c>
      <c r="J181" s="7">
        <v>0</v>
      </c>
      <c r="K181" s="109" t="str">
        <f t="shared" si="110"/>
        <v>4041/4042</v>
      </c>
      <c r="L181" s="22" t="str">
        <f>VLOOKUP(A181,'Trips&amp;Operators'!$C$1:$G$99999,5,FALSE)</f>
        <v>DUNCAN SHEILA</v>
      </c>
      <c r="M181" s="6">
        <f t="shared" si="111"/>
        <v>9.6296296251239255E-3</v>
      </c>
      <c r="N181" s="7">
        <f t="shared" si="112"/>
        <v>13.866666660178453</v>
      </c>
      <c r="O181" s="7"/>
      <c r="P181" s="7"/>
      <c r="Q181" s="23"/>
      <c r="R181" s="23"/>
      <c r="S181" s="35">
        <f t="shared" si="113"/>
        <v>1</v>
      </c>
      <c r="T181" s="50" t="str">
        <f t="shared" si="114"/>
        <v>NorthBound</v>
      </c>
      <c r="U181" s="171">
        <f>IF(AG181="EC",COUNTIFS(Variables!$M$2:$M$19,IF(T181="NorthBound","&gt;=","&lt;=")&amp;Y181,Variables!$M$2:$M$19,IF(T181="NorthBound","&lt;=","&gt;=")&amp;Z181),COUNTIFS(Variables!$P$2:$P$19,IF(T181="NorthBound","&gt;=","&lt;=")&amp;Y181,Variables!$P$2:$P$19,IF(T181="NorthBound","&lt;=","&gt;=")&amp;Z181))</f>
        <v>1</v>
      </c>
      <c r="V181" s="98" t="str">
        <f t="shared" si="74"/>
        <v>https://search-rtdc-monitor-bjffxe2xuh6vdkpspy63sjmuny.us-east-1.es.amazonaws.com/_plugin/kibana/#/discover/Steve-Slow-Train-Analysis-(2080s-and-2083s)?_g=(refreshInterval:(display:Off,section:0,value:0),time:(from:'2016-12-15 12:05:55-700',mode:absolute,to:'2016-12-15 14:35: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81" s="52" t="str">
        <f t="shared" si="115"/>
        <v>N</v>
      </c>
      <c r="X181" s="177">
        <f>VALUE(LEFT(AD181,4))-VALUE(LEFT(AD180,4))</f>
        <v>1</v>
      </c>
      <c r="Y181" s="67">
        <f t="shared" si="116"/>
        <v>9.8299999999999998E-2</v>
      </c>
      <c r="Z181" s="67">
        <f t="shared" si="117"/>
        <v>5.8933</v>
      </c>
      <c r="AA181" s="67">
        <f t="shared" si="118"/>
        <v>5.7949999999999999</v>
      </c>
      <c r="AB181" s="64" t="e">
        <f>VLOOKUP(A181,Enforcements!$C$7:$K$18,8,0)</f>
        <v>#N/A</v>
      </c>
      <c r="AC181" s="60" t="e">
        <f>VLOOKUP(A181,Enforcements!$C$7:$E$18,3,0)</f>
        <v>#N/A</v>
      </c>
      <c r="AD181" s="61" t="str">
        <f t="shared" si="119"/>
        <v>0821-15</v>
      </c>
      <c r="AE181"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81" s="88" t="str">
        <f t="shared" si="79"/>
        <v>"C:\Program Files (x86)\AstroGrep\AstroGrep.exe" /spath="%USERPROFILE%\AppData\Local\Temp\OnboardLogs" /stypes="app*4042*20161215*" /stext=" 20:.+((SYSTEM_STATE.+slice.+state.+changed )|(ment ac)|(multiple cpu faults)|(system.+state.+changed )|(\[timeout)|(PRM\|1\|D)|(kpr)|(kdp)|(\|lc)|(penalty))" /e /r /s</v>
      </c>
      <c r="AG181" s="1" t="str">
        <f t="shared" si="120"/>
        <v>NW</v>
      </c>
      <c r="AH181" s="92" t="str">
        <f t="shared" si="81"/>
        <v>"%USERPROFILE%\Documents\GitHub\eaglep3\Utilities\RefineRTDCRunTimes.py" --tripid 821-15 --locoid 4042 --swversion DE.1.0.8.0 --startMP 204:983 --initTime 2016-12-15T13:05:55 --startdatetime 2016-12-15T13:21:19 --delay 2 --endMP 300:58933 --enddatetime 2016-12-15T13:35:11 --enforcementcount 0 &gt;&gt;C:\Users\stu\Documents\GitHub\eaglep3-reporting\EC\2016-12-15-refined-times.txt</v>
      </c>
      <c r="AI181" s="119" t="str">
        <f t="shared" si="82"/>
        <v>echo {"issue":{"subject":"","project_id":79,"tracker_id":40,"status_id":1,"priority_id":2,"assigned_to_id":23,"start_date":"2016-12-15","description":"","custom_fields":[{"id":1,"name":"Subdivision","value":"NW"},{"id":4,"name":"Milepost","value":"5.8933"},{"id":17,"name":"Train ID","value":"821-15"},{"id":16,"name":"Locomotive ID","value":"4042"},{"id":130,"name":"Impact","value":""},{"id":150,"name":"Time of Event (Mountain Time)","value":"13:35:11"},{"id":151,"name":"Denver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row>
    <row r="182" spans="1:91" x14ac:dyDescent="0.25">
      <c r="A182" s="37" t="s">
        <v>683</v>
      </c>
      <c r="B182" s="7">
        <v>4041</v>
      </c>
      <c r="C182" s="22" t="s">
        <v>207</v>
      </c>
      <c r="D182" s="22" t="s">
        <v>900</v>
      </c>
      <c r="E182" s="13">
        <v>42719.567627314813</v>
      </c>
      <c r="F182" s="13">
        <v>42719.569155092591</v>
      </c>
      <c r="G182" s="7">
        <v>1</v>
      </c>
      <c r="H182" s="22" t="s">
        <v>901</v>
      </c>
      <c r="I182" s="13">
        <v>42719.579652777778</v>
      </c>
      <c r="J182" s="7">
        <v>0</v>
      </c>
      <c r="K182" s="109" t="str">
        <f t="shared" si="110"/>
        <v>4041/4042</v>
      </c>
      <c r="L182" s="22" t="str">
        <f>VLOOKUP(A182,'Trips&amp;Operators'!$C$1:$G$99999,5,FALSE)</f>
        <v>DUNCAN SHEILA</v>
      </c>
      <c r="M182" s="6">
        <f t="shared" si="111"/>
        <v>1.0497685187146999E-2</v>
      </c>
      <c r="N182" s="7">
        <f t="shared" si="112"/>
        <v>15.116666669491678</v>
      </c>
      <c r="O182" s="7"/>
      <c r="P182" s="7"/>
      <c r="Q182" s="23"/>
      <c r="R182" s="23"/>
      <c r="S182" s="35">
        <f t="shared" si="113"/>
        <v>1</v>
      </c>
      <c r="T182" s="50" t="str">
        <f t="shared" si="114"/>
        <v>Southbound</v>
      </c>
      <c r="U182" s="171">
        <f>IF(AG182="EC",COUNTIFS(Variables!$M$2:$M$19,IF(T182="NorthBound","&gt;=","&lt;=")&amp;Y182,Variables!$M$2:$M$19,IF(T182="NorthBound","&lt;=","&gt;=")&amp;Z182),COUNTIFS(Variables!$P$2:$P$19,IF(T182="NorthBound","&gt;=","&lt;=")&amp;Y182,Variables!$P$2:$P$19,IF(T182="NorthBound","&lt;=","&gt;=")&amp;Z182))</f>
        <v>1</v>
      </c>
      <c r="V182" s="98" t="str">
        <f t="shared" si="74"/>
        <v>https://search-rtdc-monitor-bjffxe2xuh6vdkpspy63sjmuny.us-east-1.es.amazonaws.com/_plugin/kibana/#/discover/Steve-Slow-Train-Analysis-(2080s-and-2083s)?_g=(refreshInterval:(display:Off,section:0,value:0),time:(from:'2016-12-15 12:37:23-700',mode:absolute,to:'2016-12-15 14:54:42-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82" s="52" t="str">
        <f t="shared" si="115"/>
        <v>N</v>
      </c>
      <c r="X182" s="177">
        <f>VALUE(LEFT(AD182,4))-VALUE(LEFT(AD181,4))</f>
        <v>1</v>
      </c>
      <c r="Y182" s="67">
        <f t="shared" si="116"/>
        <v>5.8620999999999999</v>
      </c>
      <c r="Z182" s="67">
        <f t="shared" si="117"/>
        <v>7.6600000000000001E-2</v>
      </c>
      <c r="AA182" s="67">
        <f t="shared" si="118"/>
        <v>5.7854999999999999</v>
      </c>
      <c r="AB182" s="64" t="e">
        <f>VLOOKUP(A182,Enforcements!$C$7:$K$18,8,0)</f>
        <v>#N/A</v>
      </c>
      <c r="AC182" s="60" t="e">
        <f>VLOOKUP(A182,Enforcements!$C$7:$E$18,3,0)</f>
        <v>#N/A</v>
      </c>
      <c r="AD182" s="61" t="str">
        <f t="shared" si="119"/>
        <v>0822-15</v>
      </c>
      <c r="AE182"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82" s="88" t="str">
        <f t="shared" si="79"/>
        <v>"C:\Program Files (x86)\AstroGrep\AstroGrep.exe" /spath="%USERPROFILE%\AppData\Local\Temp\OnboardLogs" /stypes="app*4041*20161215*" /stext=" 20:.+((SYSTEM_STATE.+slice.+state.+changed )|(ment ac)|(multiple cpu faults)|(system.+state.+changed )|(\[timeout)|(PRM\|1\|D)|(kpr)|(kdp)|(\|lc)|(penalty))" /e /r /s</v>
      </c>
      <c r="AG182" s="1" t="str">
        <f t="shared" si="120"/>
        <v>NW</v>
      </c>
      <c r="AH182" s="92" t="str">
        <f t="shared" si="81"/>
        <v>"%USERPROFILE%\Documents\GitHub\eaglep3\Utilities\RefineRTDCRunTimes.py" --tripid 822-15 --locoid 4041 --swversion DE.1.0.8.0 --startMP 300:58621 --initTime 2016-12-15T13:37:23 --startdatetime 2016-12-15T13:39:35 --delay 1 --endMP 204:766 --enddatetime 2016-12-15T13:54:42 --enforcementcount 0 &gt;&gt;C:\Users\stu\Documents\GitHub\eaglep3-reporting\EC\2016-12-15-refined-times.txt</v>
      </c>
      <c r="AI182" s="119" t="str">
        <f t="shared" si="82"/>
        <v>echo {"issue":{"subject":"","project_id":79,"tracker_id":40,"status_id":1,"priority_id":2,"assigned_to_id":23,"start_date":"2016-12-15","description":"","custom_fields":[{"id":1,"name":"Subdivision","value":"NW"},{"id":4,"name":"Milepost","value":"0.0766"},{"id":17,"name":"Train ID","value":"822-15"},{"id":16,"name":"Locomotive ID","value":"4041"},{"id":130,"name":"Impact","value":""},{"id":150,"name":"Time of Event (Mountain Time)","value":"13:54:42"},{"id":151,"name":"Denver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row>
    <row r="183" spans="1:91" x14ac:dyDescent="0.25">
      <c r="A183" s="37" t="s">
        <v>689</v>
      </c>
      <c r="B183" s="7">
        <v>4042</v>
      </c>
      <c r="C183" s="22" t="s">
        <v>207</v>
      </c>
      <c r="D183" s="22" t="s">
        <v>902</v>
      </c>
      <c r="E183" s="13">
        <v>42719.59447916667</v>
      </c>
      <c r="F183" s="13">
        <v>42719.598298611112</v>
      </c>
      <c r="G183" s="7">
        <v>1</v>
      </c>
      <c r="H183" s="22" t="s">
        <v>875</v>
      </c>
      <c r="I183" s="13">
        <v>42719.607418981483</v>
      </c>
      <c r="J183" s="7">
        <v>0</v>
      </c>
      <c r="K183" s="109" t="str">
        <f t="shared" si="110"/>
        <v>4041/4042</v>
      </c>
      <c r="L183" s="22" t="str">
        <f>VLOOKUP(A183,'Trips&amp;Operators'!$C$1:$G$99999,5,FALSE)</f>
        <v>DUNCAN SHEILA</v>
      </c>
      <c r="M183" s="6">
        <f t="shared" si="111"/>
        <v>9.1203703705104999E-3</v>
      </c>
      <c r="N183" s="7">
        <f t="shared" si="112"/>
        <v>13.13333333353512</v>
      </c>
      <c r="O183" s="7"/>
      <c r="P183" s="7"/>
      <c r="Q183" s="23"/>
      <c r="R183" s="23"/>
      <c r="S183" s="35">
        <f t="shared" si="113"/>
        <v>1</v>
      </c>
      <c r="T183" s="50" t="str">
        <f t="shared" si="114"/>
        <v>NorthBound</v>
      </c>
      <c r="U183" s="171">
        <f>IF(AG183="EC",COUNTIFS(Variables!$M$2:$M$19,IF(T183="NorthBound","&gt;=","&lt;=")&amp;Y183,Variables!$M$2:$M$19,IF(T183="NorthBound","&lt;=","&gt;=")&amp;Z183),COUNTIFS(Variables!$P$2:$P$19,IF(T183="NorthBound","&gt;=","&lt;=")&amp;Y183,Variables!$P$2:$P$19,IF(T183="NorthBound","&lt;=","&gt;=")&amp;Z183))</f>
        <v>1</v>
      </c>
      <c r="V183" s="98" t="str">
        <f t="shared" si="74"/>
        <v>https://search-rtdc-monitor-bjffxe2xuh6vdkpspy63sjmuny.us-east-1.es.amazonaws.com/_plugin/kibana/#/discover/Steve-Slow-Train-Analysis-(2080s-and-2083s)?_g=(refreshInterval:(display:Off,section:0,value:0),time:(from:'2016-12-15 13:16:03-700',mode:absolute,to:'2016-12-15 15:34:41-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83" s="52" t="str">
        <f t="shared" si="115"/>
        <v>N</v>
      </c>
      <c r="X183" s="177">
        <f>VALUE(LEFT(AD183,4))-VALUE(LEFT(AD182,4))</f>
        <v>1</v>
      </c>
      <c r="Y183" s="67">
        <f t="shared" si="116"/>
        <v>0.10349999999999999</v>
      </c>
      <c r="Z183" s="67">
        <f t="shared" si="117"/>
        <v>5.8945999999999996</v>
      </c>
      <c r="AA183" s="67">
        <f t="shared" si="118"/>
        <v>5.7910999999999992</v>
      </c>
      <c r="AB183" s="64" t="e">
        <f>VLOOKUP(A183,Enforcements!$C$7:$K$18,8,0)</f>
        <v>#N/A</v>
      </c>
      <c r="AC183" s="60" t="e">
        <f>VLOOKUP(A183,Enforcements!$C$7:$E$18,3,0)</f>
        <v>#N/A</v>
      </c>
      <c r="AD183" s="61" t="str">
        <f t="shared" si="119"/>
        <v>0823-15</v>
      </c>
      <c r="AE183"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83" s="88" t="str">
        <f t="shared" si="79"/>
        <v>"C:\Program Files (x86)\AstroGrep\AstroGrep.exe" /spath="%USERPROFILE%\AppData\Local\Temp\OnboardLogs" /stypes="app*4042*20161215*" /stext=" 21:.+((SYSTEM_STATE.+slice.+state.+changed )|(ment ac)|(multiple cpu faults)|(system.+state.+changed )|(\[timeout)|(PRM\|1\|D)|(kpr)|(kdp)|(\|lc)|(penalty))" /e /r /s</v>
      </c>
      <c r="AG183" s="1" t="str">
        <f t="shared" si="120"/>
        <v>NW</v>
      </c>
      <c r="AH183" s="92" t="str">
        <f t="shared" si="81"/>
        <v>"%USERPROFILE%\Documents\GitHub\eaglep3\Utilities\RefineRTDCRunTimes.py" --tripid 823-15 --locoid 4042 --swversion DE.1.0.8.0 --startMP 204:1035 --initTime 2016-12-15T14:16:03 --startdatetime 2016-12-15T14:21:33 --delay 1 --endMP 300:58946 --enddatetime 2016-12-15T14:34:41 --enforcementcount 0 &gt;&gt;C:\Users\stu\Documents\GitHub\eaglep3-reporting\EC\2016-12-15-refined-times.txt</v>
      </c>
      <c r="AI183" s="119" t="str">
        <f t="shared" si="82"/>
        <v>echo {"issue":{"subject":"","project_id":79,"tracker_id":40,"status_id":1,"priority_id":2,"assigned_to_id":23,"start_date":"2016-12-15","description":"","custom_fields":[{"id":1,"name":"Subdivision","value":"NW"},{"id":4,"name":"Milepost","value":"5.8946"},{"id":17,"name":"Train ID","value":"823-15"},{"id":16,"name":"Locomotive ID","value":"4042"},{"id":130,"name":"Impact","value":""},{"id":150,"name":"Time of Event (Mountain Time)","value":"14:34:41"},{"id":151,"name":"Denver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row>
    <row r="184" spans="1:91" x14ac:dyDescent="0.25">
      <c r="A184" s="37" t="s">
        <v>693</v>
      </c>
      <c r="B184" s="7">
        <v>4041</v>
      </c>
      <c r="C184" s="22" t="s">
        <v>207</v>
      </c>
      <c r="D184" s="22" t="s">
        <v>900</v>
      </c>
      <c r="E184" s="13">
        <v>42719.608738425923</v>
      </c>
      <c r="F184" s="13">
        <v>42719.653171296297</v>
      </c>
      <c r="G184" s="7">
        <v>1</v>
      </c>
      <c r="H184" s="22" t="s">
        <v>903</v>
      </c>
      <c r="I184" s="13">
        <v>42719.663645833331</v>
      </c>
      <c r="J184" s="7">
        <v>0</v>
      </c>
      <c r="K184" s="109" t="str">
        <f t="shared" si="110"/>
        <v>4041/4042</v>
      </c>
      <c r="L184" s="22" t="str">
        <f>VLOOKUP(A184,'Trips&amp;Operators'!$C$1:$G$99999,5,FALSE)</f>
        <v>DUNCAN SHEILA</v>
      </c>
      <c r="M184" s="6">
        <f t="shared" si="111"/>
        <v>1.0474537033587694E-2</v>
      </c>
      <c r="N184" s="7"/>
      <c r="O184" s="7"/>
      <c r="P184" s="7">
        <v>1</v>
      </c>
      <c r="Q184" s="23"/>
      <c r="R184" s="23" t="s">
        <v>968</v>
      </c>
      <c r="S184" s="35">
        <f t="shared" si="113"/>
        <v>0</v>
      </c>
      <c r="T184" s="50" t="str">
        <f t="shared" si="114"/>
        <v>Southbound</v>
      </c>
      <c r="U184" s="171">
        <f>IF(AG184="EC",COUNTIFS(Variables!$M$2:$M$19,IF(T184="NorthBound","&gt;=","&lt;=")&amp;Y184,Variables!$M$2:$M$19,IF(T184="NorthBound","&lt;=","&gt;=")&amp;Z184),COUNTIFS(Variables!$P$2:$P$19,IF(T184="NorthBound","&gt;=","&lt;=")&amp;Y184,Variables!$P$2:$P$19,IF(T184="NorthBound","&lt;=","&gt;=")&amp;Z184))</f>
        <v>0</v>
      </c>
      <c r="V184" s="98" t="str">
        <f t="shared" si="74"/>
        <v>https://search-rtdc-monitor-bjffxe2xuh6vdkpspy63sjmuny.us-east-1.es.amazonaws.com/_plugin/kibana/#/discover/Steve-Slow-Train-Analysis-(2080s-and-2083s)?_g=(refreshInterval:(display:Off,section:0,value:0),time:(from:'2016-12-15 13:36:35-700',mode:absolute,to:'2016-12-15 16:55:39-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84" s="52" t="str">
        <f t="shared" si="115"/>
        <v>Y</v>
      </c>
      <c r="X184" s="177">
        <f t="shared" ref="X184:X188" si="123">VALUE(LEFT(AD184,4))-VALUE(LEFT(AD183,4))</f>
        <v>1</v>
      </c>
      <c r="Y184" s="67">
        <f t="shared" si="116"/>
        <v>5.8620999999999999</v>
      </c>
      <c r="Z184" s="67">
        <v>5.8620999999999999</v>
      </c>
      <c r="AA184" s="67">
        <f t="shared" si="118"/>
        <v>0</v>
      </c>
      <c r="AB184" s="64" t="e">
        <f>VLOOKUP(A184,Enforcements!$C$7:$K$18,8,0)</f>
        <v>#N/A</v>
      </c>
      <c r="AC184" s="60" t="e">
        <f>VLOOKUP(A184,Enforcements!$C$7:$E$18,3,0)</f>
        <v>#N/A</v>
      </c>
      <c r="AD184" s="61" t="str">
        <f t="shared" si="119"/>
        <v>0824-15</v>
      </c>
      <c r="AE184"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84" s="88" t="str">
        <f t="shared" si="79"/>
        <v>"C:\Program Files (x86)\AstroGrep\AstroGrep.exe" /spath="%USERPROFILE%\AppData\Local\Temp\OnboardLogs" /stypes="app*4041*20161215*" /stext=" 22:.+((SYSTEM_STATE.+slice.+state.+changed )|(ment ac)|(multiple cpu faults)|(system.+state.+changed )|(\[timeout)|(PRM\|1\|D)|(kpr)|(kdp)|(\|lc)|(penalty))" /e /r /s</v>
      </c>
      <c r="AG184" s="1" t="str">
        <f t="shared" si="120"/>
        <v>NW</v>
      </c>
      <c r="AH184" s="92" t="str">
        <f t="shared" si="81"/>
        <v>"%USERPROFILE%\Documents\GitHub\eaglep3\Utilities\RefineRTDCRunTimes.py" --tripid 824-15 --locoid 4041 --swversion DE.1.0.8.0 --startMP 300:58621 --initTime 2016-12-15T14:36:35 --startdatetime 2016-12-15T15:40:34 --delay 1 --endMP 204:617 --enddatetime 2016-12-15T15:55:39 --enforcementcount 0 &gt;&gt;C:\Users\stu\Documents\GitHub\eaglep3-reporting\EC\2016-12-15-refined-times.txt</v>
      </c>
      <c r="AI184" s="119" t="str">
        <f t="shared" si="82"/>
        <v>echo {"issue":{"subject":"Onboard in-route failure","project_id":79,"tracker_id":40,"status_id":1,"priority_id":2,"assigned_to_id":23,"start_date":"2016-12-15","description":"","custom_fields":[{"id":1,"name":"Subdivision","value":"NW"},{"id":4,"name":"Milepost","value":"5.8621"},{"id":17,"name":"Train ID","value":"824-15"},{"id":16,"name":"Locomotive ID","value":"4041"},{"id":130,"name":"Impact","value":""},{"id":150,"name":"Time of Event (Mountain Time)","value":"15:55:39"},{"id":151,"name":"Denver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row>
    <row r="185" spans="1:91" s="21" customFormat="1" x14ac:dyDescent="0.25">
      <c r="A185" s="37" t="s">
        <v>700</v>
      </c>
      <c r="B185" s="7">
        <v>4042</v>
      </c>
      <c r="C185" s="22" t="s">
        <v>207</v>
      </c>
      <c r="D185" s="22" t="s">
        <v>904</v>
      </c>
      <c r="E185" s="13">
        <v>42719.636145833334</v>
      </c>
      <c r="F185" s="13">
        <v>42719.639814814815</v>
      </c>
      <c r="G185" s="7">
        <v>1</v>
      </c>
      <c r="H185" s="22" t="s">
        <v>905</v>
      </c>
      <c r="I185" s="13">
        <v>42719.650243055556</v>
      </c>
      <c r="J185" s="7">
        <v>0</v>
      </c>
      <c r="K185" s="109" t="str">
        <f t="shared" si="110"/>
        <v>4041/4042</v>
      </c>
      <c r="L185" s="22" t="str">
        <f>VLOOKUP(A185,'Trips&amp;Operators'!$C$1:$G$99999,5,FALSE)</f>
        <v>DUNCAN SHEILA</v>
      </c>
      <c r="M185" s="6">
        <f t="shared" si="111"/>
        <v>1.0428240741021E-2</v>
      </c>
      <c r="N185" s="7">
        <f t="shared" ref="N185:N216" si="124">24*60*SUM($M185:$M185)</f>
        <v>15.01666666707024</v>
      </c>
      <c r="O185" s="7"/>
      <c r="P185" s="7"/>
      <c r="Q185" s="23"/>
      <c r="R185" s="23"/>
      <c r="S185" s="35">
        <f t="shared" si="113"/>
        <v>1</v>
      </c>
      <c r="T185" s="50" t="str">
        <f t="shared" si="114"/>
        <v>NorthBound</v>
      </c>
      <c r="U185" s="171">
        <f>IF(AG185="EC",COUNTIFS(Variables!$M$2:$M$19,IF(T185="NorthBound","&gt;=","&lt;=")&amp;Y185,Variables!$M$2:$M$19,IF(T185="NorthBound","&lt;=","&gt;=")&amp;Z185),COUNTIFS(Variables!$P$2:$P$19,IF(T185="NorthBound","&gt;=","&lt;=")&amp;Y185,Variables!$P$2:$P$19,IF(T185="NorthBound","&lt;=","&gt;=")&amp;Z185))</f>
        <v>1</v>
      </c>
      <c r="V185" s="98" t="str">
        <f t="shared" si="74"/>
        <v>https://search-rtdc-monitor-bjffxe2xuh6vdkpspy63sjmuny.us-east-1.es.amazonaws.com/_plugin/kibana/#/discover/Steve-Slow-Train-Analysis-(2080s-and-2083s)?_g=(refreshInterval:(display:Off,section:0,value:0),time:(from:'2016-12-15 14:16:03-700',mode:absolute,to:'2016-12-15 16:36:21-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85" s="52" t="str">
        <f t="shared" si="115"/>
        <v>N</v>
      </c>
      <c r="X185" s="177">
        <f t="shared" si="123"/>
        <v>1</v>
      </c>
      <c r="Y185" s="67">
        <f t="shared" si="116"/>
        <v>9.3700000000000006E-2</v>
      </c>
      <c r="Z185" s="67">
        <f t="shared" ref="Z185:Z216" si="125">RIGHT(H185,LEN(H185)-4)/10000</f>
        <v>5.8914</v>
      </c>
      <c r="AA185" s="67">
        <f t="shared" si="118"/>
        <v>5.7976999999999999</v>
      </c>
      <c r="AB185" s="64" t="e">
        <f>VLOOKUP(A185,Enforcements!$C$7:$K$18,8,0)</f>
        <v>#N/A</v>
      </c>
      <c r="AC185" s="60" t="e">
        <f>VLOOKUP(A185,Enforcements!$C$7:$E$18,3,0)</f>
        <v>#N/A</v>
      </c>
      <c r="AD185" s="61" t="str">
        <f t="shared" si="119"/>
        <v>0825-15</v>
      </c>
      <c r="AE185"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85" s="88" t="str">
        <f t="shared" si="79"/>
        <v>"C:\Program Files (x86)\AstroGrep\AstroGrep.exe" /spath="%USERPROFILE%\AppData\Local\Temp\OnboardLogs" /stypes="app*4042*20161215*" /stext=" 22:.+((SYSTEM_STATE.+slice.+state.+changed )|(ment ac)|(multiple cpu faults)|(system.+state.+changed )|(\[timeout)|(PRM\|1\|D)|(kpr)|(kdp)|(\|lc)|(penalty))" /e /r /s</v>
      </c>
      <c r="AG185" s="1" t="str">
        <f t="shared" si="120"/>
        <v>NW</v>
      </c>
      <c r="AH185" s="92" t="str">
        <f t="shared" si="81"/>
        <v>"%USERPROFILE%\Documents\GitHub\eaglep3\Utilities\RefineRTDCRunTimes.py" --tripid 825-15 --locoid 4042 --swversion DE.1.0.8.0 --startMP 204:937 --initTime 2016-12-15T15:16:03 --startdatetime 2016-12-15T15:21:20 --delay 1 --endMP 300:58914 --enddatetime 2016-12-15T15:36:21 --enforcementcount 0 &gt;&gt;C:\Users\stu\Documents\GitHub\eaglep3-reporting\EC\2016-12-15-refined-times.txt</v>
      </c>
      <c r="AI185" s="119" t="str">
        <f t="shared" si="82"/>
        <v>echo {"issue":{"subject":"","project_id":79,"tracker_id":40,"status_id":1,"priority_id":2,"assigned_to_id":23,"start_date":"2016-12-15","description":"","custom_fields":[{"id":1,"name":"Subdivision","value":"NW"},{"id":4,"name":"Milepost","value":"5.8914"},{"id":17,"name":"Train ID","value":"825-15"},{"id":16,"name":"Locomotive ID","value":"4042"},{"id":130,"name":"Impact","value":""},{"id":150,"name":"Time of Event (Mountain Time)","value":"15:36:21"},{"id":151,"name":"Denver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x14ac:dyDescent="0.25">
      <c r="A186" s="37" t="s">
        <v>706</v>
      </c>
      <c r="B186" s="7">
        <v>4041</v>
      </c>
      <c r="C186" s="22" t="s">
        <v>207</v>
      </c>
      <c r="D186" s="22" t="s">
        <v>906</v>
      </c>
      <c r="E186" s="13">
        <v>42719.651412037034</v>
      </c>
      <c r="F186" s="13">
        <v>42719.653171296297</v>
      </c>
      <c r="G186" s="7">
        <v>1</v>
      </c>
      <c r="H186" s="22" t="s">
        <v>907</v>
      </c>
      <c r="I186" s="13">
        <v>42719.663645833331</v>
      </c>
      <c r="J186" s="7">
        <v>0</v>
      </c>
      <c r="K186" s="109" t="str">
        <f t="shared" si="110"/>
        <v>4041/4042</v>
      </c>
      <c r="L186" s="22" t="str">
        <f>VLOOKUP(A186,'Trips&amp;Operators'!$C$1:$G$99999,5,FALSE)</f>
        <v>DUNCAN SHEILA</v>
      </c>
      <c r="M186" s="6">
        <f t="shared" si="111"/>
        <v>1.0474537033587694E-2</v>
      </c>
      <c r="N186" s="7">
        <f t="shared" si="124"/>
        <v>15.08333332836628</v>
      </c>
      <c r="O186" s="7"/>
      <c r="P186" s="7"/>
      <c r="Q186" s="23"/>
      <c r="R186" s="23"/>
      <c r="S186" s="35">
        <f t="shared" si="113"/>
        <v>1</v>
      </c>
      <c r="T186" s="50" t="str">
        <f t="shared" si="114"/>
        <v>Southbound</v>
      </c>
      <c r="U186" s="171">
        <f>IF(AG186="EC",COUNTIFS(Variables!$M$2:$M$19,IF(T186="NorthBound","&gt;=","&lt;=")&amp;Y186,Variables!$M$2:$M$19,IF(T186="NorthBound","&lt;=","&gt;=")&amp;Z186),COUNTIFS(Variables!$P$2:$P$19,IF(T186="NorthBound","&gt;=","&lt;=")&amp;Y186,Variables!$P$2:$P$19,IF(T186="NorthBound","&lt;=","&gt;=")&amp;Z186))</f>
        <v>1</v>
      </c>
      <c r="V186" s="98" t="str">
        <f t="shared" si="74"/>
        <v>https://search-rtdc-monitor-bjffxe2xuh6vdkpspy63sjmuny.us-east-1.es.amazonaws.com/_plugin/kibana/#/discover/Steve-Slow-Train-Analysis-(2080s-and-2083s)?_g=(refreshInterval:(display:Off,section:0,value:0),time:(from:'2016-12-15 14:38:02-700',mode:absolute,to:'2016-12-15 16:55:39-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86" s="52" t="str">
        <f t="shared" si="115"/>
        <v>N</v>
      </c>
      <c r="X186" s="177">
        <f t="shared" si="123"/>
        <v>1</v>
      </c>
      <c r="Y186" s="67">
        <f t="shared" si="116"/>
        <v>5.8601999999999999</v>
      </c>
      <c r="Z186" s="67">
        <f t="shared" si="125"/>
        <v>7.6399999999999996E-2</v>
      </c>
      <c r="AA186" s="67">
        <f t="shared" si="118"/>
        <v>5.7838000000000003</v>
      </c>
      <c r="AB186" s="64" t="e">
        <f>VLOOKUP(A186,Enforcements!$C$7:$K$18,8,0)</f>
        <v>#N/A</v>
      </c>
      <c r="AC186" s="60" t="e">
        <f>VLOOKUP(A186,Enforcements!$C$7:$E$18,3,0)</f>
        <v>#N/A</v>
      </c>
      <c r="AD186" s="61" t="str">
        <f t="shared" si="119"/>
        <v>0826-15</v>
      </c>
      <c r="AE186"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86" s="88" t="str">
        <f t="shared" si="79"/>
        <v>"C:\Program Files (x86)\AstroGrep\AstroGrep.exe" /spath="%USERPROFILE%\AppData\Local\Temp\OnboardLogs" /stypes="app*4041*20161215*" /stext=" 22:.+((SYSTEM_STATE.+slice.+state.+changed )|(ment ac)|(multiple cpu faults)|(system.+state.+changed )|(\[timeout)|(PRM\|1\|D)|(kpr)|(kdp)|(\|lc)|(penalty))" /e /r /s</v>
      </c>
      <c r="AG186" s="1" t="str">
        <f t="shared" si="120"/>
        <v>NW</v>
      </c>
      <c r="AH186" s="92" t="str">
        <f t="shared" si="81"/>
        <v>"%USERPROFILE%\Documents\GitHub\eaglep3\Utilities\RefineRTDCRunTimes.py" --tripid 826-15 --locoid 4041 --swversion DE.1.0.8.0 --startMP 300:58602 --initTime 2016-12-15T15:38:02 --startdatetime 2016-12-15T15:40:34 --delay 1 --endMP 204:764 --enddatetime 2016-12-15T15:55:39 --enforcementcount 0 &gt;&gt;C:\Users\stu\Documents\GitHub\eaglep3-reporting\EC\2016-12-15-refined-times.txt</v>
      </c>
      <c r="AI186" s="119" t="str">
        <f t="shared" si="82"/>
        <v>echo {"issue":{"subject":"","project_id":79,"tracker_id":40,"status_id":1,"priority_id":2,"assigned_to_id":23,"start_date":"2016-12-15","description":"","custom_fields":[{"id":1,"name":"Subdivision","value":"NW"},{"id":4,"name":"Milepost","value":"0.0764"},{"id":17,"name":"Train ID","value":"826-15"},{"id":16,"name":"Locomotive ID","value":"4041"},{"id":130,"name":"Impact","value":""},{"id":150,"name":"Time of Event (Mountain Time)","value":"15:55:39"},{"id":151,"name":"Denver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row>
    <row r="187" spans="1:91" x14ac:dyDescent="0.25">
      <c r="A187" s="37" t="s">
        <v>705</v>
      </c>
      <c r="B187" s="7">
        <v>4051</v>
      </c>
      <c r="C187" s="22" t="s">
        <v>207</v>
      </c>
      <c r="D187" s="22" t="s">
        <v>426</v>
      </c>
      <c r="E187" s="13">
        <v>42719.649224537039</v>
      </c>
      <c r="F187" s="13">
        <v>42719.660821759258</v>
      </c>
      <c r="G187" s="7">
        <v>3</v>
      </c>
      <c r="H187" s="22" t="s">
        <v>316</v>
      </c>
      <c r="I187" s="13">
        <v>42719.670590277776</v>
      </c>
      <c r="J187" s="7">
        <v>0</v>
      </c>
      <c r="K187" s="109" t="str">
        <f t="shared" si="110"/>
        <v>4051/4052</v>
      </c>
      <c r="L187" s="22" t="str">
        <f>VLOOKUP(A187,'Trips&amp;Operators'!$C$1:$G$99999,5,FALSE)</f>
        <v>SIMMONS SHYHESHA</v>
      </c>
      <c r="M187" s="6">
        <f t="shared" si="111"/>
        <v>9.7685185173759237E-3</v>
      </c>
      <c r="N187" s="7">
        <f t="shared" si="124"/>
        <v>14.06666666502133</v>
      </c>
      <c r="O187" s="7"/>
      <c r="P187" s="7"/>
      <c r="Q187" s="23"/>
      <c r="R187" s="23"/>
      <c r="S187" s="35">
        <f t="shared" si="113"/>
        <v>1</v>
      </c>
      <c r="T187" s="50" t="str">
        <f t="shared" si="114"/>
        <v>NorthBound</v>
      </c>
      <c r="U187" s="171">
        <f>IF(AG187="EC",COUNTIFS(Variables!$M$2:$M$19,IF(T187="NorthBound","&gt;=","&lt;=")&amp;Y187,Variables!$M$2:$M$19,IF(T187="NorthBound","&lt;=","&gt;=")&amp;Z187),COUNTIFS(Variables!$P$2:$P$19,IF(T187="NorthBound","&gt;=","&lt;=")&amp;Y187,Variables!$P$2:$P$19,IF(T187="NorthBound","&lt;=","&gt;=")&amp;Z187))</f>
        <v>1</v>
      </c>
      <c r="V187" s="98" t="str">
        <f t="shared" si="74"/>
        <v>https://search-rtdc-monitor-bjffxe2xuh6vdkpspy63sjmuny.us-east-1.es.amazonaws.com/_plugin/kibana/#/discover/Steve-Slow-Train-Analysis-(2080s-and-2083s)?_g=(refreshInterval:(display:Off,section:0,value:0),time:(from:'2016-12-15 14:34:53-700',mode:absolute,to:'2016-12-15 17:05:39-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87" s="52" t="str">
        <f t="shared" si="115"/>
        <v>N</v>
      </c>
      <c r="X187" s="177">
        <f t="shared" si="123"/>
        <v>1</v>
      </c>
      <c r="Y187" s="67">
        <f t="shared" si="116"/>
        <v>9.5799999999999996E-2</v>
      </c>
      <c r="Z187" s="67">
        <f t="shared" si="125"/>
        <v>5.8930999999999996</v>
      </c>
      <c r="AA187" s="67">
        <f t="shared" si="118"/>
        <v>5.7972999999999999</v>
      </c>
      <c r="AB187" s="64" t="e">
        <f>VLOOKUP(A187,Enforcements!$C$7:$K$18,8,0)</f>
        <v>#N/A</v>
      </c>
      <c r="AC187" s="60" t="e">
        <f>VLOOKUP(A187,Enforcements!$C$7:$E$18,3,0)</f>
        <v>#N/A</v>
      </c>
      <c r="AD187" s="61" t="str">
        <f t="shared" si="119"/>
        <v>0827-15</v>
      </c>
      <c r="AE187"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87" s="88" t="str">
        <f t="shared" si="79"/>
        <v>"C:\Program Files (x86)\AstroGrep\AstroGrep.exe" /spath="%USERPROFILE%\AppData\Local\Temp\OnboardLogs" /stypes="app*4051*20161215*" /stext=" 23:.+((SYSTEM_STATE.+slice.+state.+changed )|(ment ac)|(multiple cpu faults)|(system.+state.+changed )|(\[timeout)|(PRM\|1\|D)|(kpr)|(kdp)|(\|lc)|(penalty))" /e /r /s</v>
      </c>
      <c r="AG187" s="1" t="str">
        <f t="shared" si="120"/>
        <v>NW</v>
      </c>
      <c r="AH187" s="92" t="str">
        <f t="shared" si="81"/>
        <v>"%USERPROFILE%\Documents\GitHub\eaglep3\Utilities\RefineRTDCRunTimes.py" --tripid 827-15 --locoid 4051 --swversion DE.1.0.8.0 --startMP 204:958 --initTime 2016-12-15T15:34:53 --startdatetime 2016-12-15T15:51:35 --delay 3 --endMP 300:58931 --enddatetime 2016-12-15T16:05:39 --enforcementcount 0 &gt;&gt;C:\Users\stu\Documents\GitHub\eaglep3-reporting\EC\2016-12-15-refined-times.txt</v>
      </c>
      <c r="AI187" s="119" t="str">
        <f t="shared" si="82"/>
        <v>echo {"issue":{"subject":"","project_id":79,"tracker_id":40,"status_id":1,"priority_id":2,"assigned_to_id":23,"start_date":"2016-12-15","description":"","custom_fields":[{"id":1,"name":"Subdivision","value":"NW"},{"id":4,"name":"Milepost","value":"5.8931"},{"id":17,"name":"Train ID","value":"827-15"},{"id":16,"name":"Locomotive ID","value":"4051"},{"id":130,"name":"Impact","value":""},{"id":150,"name":"Time of Event (Mountain Time)","value":"16:05:39"},{"id":151,"name":"Denver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row>
    <row r="188" spans="1:91" x14ac:dyDescent="0.25">
      <c r="A188" s="37" t="s">
        <v>573</v>
      </c>
      <c r="B188" s="7">
        <v>4052</v>
      </c>
      <c r="C188" s="22" t="s">
        <v>207</v>
      </c>
      <c r="D188" s="22" t="s">
        <v>318</v>
      </c>
      <c r="E188" s="13">
        <v>42719.672303240739</v>
      </c>
      <c r="F188" s="13">
        <v>42719.674166666664</v>
      </c>
      <c r="G188" s="7">
        <v>1</v>
      </c>
      <c r="H188" s="22" t="s">
        <v>356</v>
      </c>
      <c r="I188" s="13">
        <v>42719.684942129628</v>
      </c>
      <c r="J188" s="7">
        <v>0</v>
      </c>
      <c r="K188" s="109" t="str">
        <f t="shared" si="110"/>
        <v>4051/4052</v>
      </c>
      <c r="L188" s="22" t="str">
        <f>VLOOKUP(A188,'Trips&amp;Operators'!$C$1:$G$99999,5,FALSE)</f>
        <v>SIMMONS SHYHESHA</v>
      </c>
      <c r="M188" s="6">
        <f t="shared" si="111"/>
        <v>1.0775462964375038E-2</v>
      </c>
      <c r="N188" s="7">
        <f t="shared" si="124"/>
        <v>15.516666668700054</v>
      </c>
      <c r="O188" s="7"/>
      <c r="P188" s="7"/>
      <c r="Q188" s="23"/>
      <c r="R188" s="23"/>
      <c r="S188" s="35">
        <f t="shared" si="113"/>
        <v>1</v>
      </c>
      <c r="T188" s="50" t="str">
        <f t="shared" si="114"/>
        <v>Southbound</v>
      </c>
      <c r="U188" s="171">
        <f>IF(AG188="EC",COUNTIFS(Variables!$M$2:$M$19,IF(T188="NorthBound","&gt;=","&lt;=")&amp;Y188,Variables!$M$2:$M$19,IF(T188="NorthBound","&lt;=","&gt;=")&amp;Z188),COUNTIFS(Variables!$P$2:$P$19,IF(T188="NorthBound","&gt;=","&lt;=")&amp;Y188,Variables!$P$2:$P$19,IF(T188="NorthBound","&lt;=","&gt;=")&amp;Z188))</f>
        <v>1</v>
      </c>
      <c r="V188" s="98" t="str">
        <f t="shared" si="74"/>
        <v>https://search-rtdc-monitor-bjffxe2xuh6vdkpspy63sjmuny.us-east-1.es.amazonaws.com/_plugin/kibana/#/discover/Steve-Slow-Train-Analysis-(2080s-and-2083s)?_g=(refreshInterval:(display:Off,section:0,value:0),time:(from:'2016-12-15 15:08:07-700',mode:absolute,to:'2016-12-15 17:26:19-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88" s="52" t="str">
        <f t="shared" si="115"/>
        <v>N</v>
      </c>
      <c r="X188" s="177">
        <f t="shared" si="123"/>
        <v>1</v>
      </c>
      <c r="Y188" s="67">
        <f t="shared" si="116"/>
        <v>5.8613</v>
      </c>
      <c r="Z188" s="67">
        <f t="shared" si="125"/>
        <v>7.3300000000000004E-2</v>
      </c>
      <c r="AA188" s="67">
        <f t="shared" si="118"/>
        <v>5.7880000000000003</v>
      </c>
      <c r="AB188" s="64" t="e">
        <f>VLOOKUP(A188,Enforcements!$C$7:$K$18,8,0)</f>
        <v>#N/A</v>
      </c>
      <c r="AC188" s="60" t="e">
        <f>VLOOKUP(A188,Enforcements!$C$7:$E$18,3,0)</f>
        <v>#N/A</v>
      </c>
      <c r="AD188" s="61" t="str">
        <f t="shared" si="119"/>
        <v>0828-15</v>
      </c>
      <c r="AE188"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88" s="88" t="str">
        <f t="shared" si="79"/>
        <v>"C:\Program Files (x86)\AstroGrep\AstroGrep.exe" /spath="%USERPROFILE%\AppData\Local\Temp\OnboardLogs" /stypes="app*4052*20161215*" /stext=" 23:.+((SYSTEM_STATE.+slice.+state.+changed )|(ment ac)|(multiple cpu faults)|(system.+state.+changed )|(\[timeout)|(PRM\|1\|D)|(kpr)|(kdp)|(\|lc)|(penalty))" /e /r /s</v>
      </c>
      <c r="AG188" s="1" t="str">
        <f t="shared" si="120"/>
        <v>NW</v>
      </c>
      <c r="AH188" s="92" t="str">
        <f t="shared" si="81"/>
        <v>"%USERPROFILE%\Documents\GitHub\eaglep3\Utilities\RefineRTDCRunTimes.py" --tripid 828-15 --locoid 4052 --swversion DE.1.0.8.0 --startMP 300:58613 --initTime 2016-12-15T16:08:07 --startdatetime 2016-12-15T16:10:48 --delay 1 --endMP 204:733 --enddatetime 2016-12-15T16:26:19 --enforcementcount 0 &gt;&gt;C:\Users\stu\Documents\GitHub\eaglep3-reporting\EC\2016-12-15-refined-times.txt</v>
      </c>
      <c r="AI188" s="119" t="str">
        <f t="shared" si="82"/>
        <v>echo {"issue":{"subject":"","project_id":79,"tracker_id":40,"status_id":1,"priority_id":2,"assigned_to_id":23,"start_date":"2016-12-15","description":"","custom_fields":[{"id":1,"name":"Subdivision","value":"NW"},{"id":4,"name":"Milepost","value":"0.0733"},{"id":17,"name":"Train ID","value":"828-15"},{"id":16,"name":"Locomotive ID","value":"4052"},{"id":130,"name":"Impact","value":""},{"id":150,"name":"Time of Event (Mountain Time)","value":"16:26:19"},{"id":151,"name":"Denver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row>
    <row r="189" spans="1:91" x14ac:dyDescent="0.25">
      <c r="A189" s="37" t="s">
        <v>712</v>
      </c>
      <c r="B189" s="7">
        <v>4042</v>
      </c>
      <c r="C189" s="22" t="s">
        <v>207</v>
      </c>
      <c r="D189" s="22" t="s">
        <v>908</v>
      </c>
      <c r="E189" s="13">
        <v>42719.677106481482</v>
      </c>
      <c r="F189" s="13">
        <v>42719.681539351855</v>
      </c>
      <c r="G189" s="7">
        <v>1</v>
      </c>
      <c r="H189" s="22" t="s">
        <v>316</v>
      </c>
      <c r="I189" s="13">
        <v>42719.690763888888</v>
      </c>
      <c r="J189" s="7">
        <v>0</v>
      </c>
      <c r="K189" s="109" t="str">
        <f t="shared" si="110"/>
        <v>4041/4042</v>
      </c>
      <c r="L189" s="22" t="str">
        <f>VLOOKUP(A189,'Trips&amp;Operators'!$C$1:$G$99999,5,FALSE)</f>
        <v>DUNCAN SHEILA</v>
      </c>
      <c r="M189" s="6">
        <f t="shared" si="111"/>
        <v>9.2245370324235409E-3</v>
      </c>
      <c r="N189" s="7">
        <f t="shared" si="124"/>
        <v>13.283333326689899</v>
      </c>
      <c r="O189" s="7"/>
      <c r="P189" s="7"/>
      <c r="Q189" s="23"/>
      <c r="R189" s="23"/>
      <c r="S189" s="35">
        <f t="shared" si="113"/>
        <v>1</v>
      </c>
      <c r="T189" s="50" t="str">
        <f t="shared" si="114"/>
        <v>NorthBound</v>
      </c>
      <c r="U189" s="171">
        <f>IF(AG189="EC",COUNTIFS(Variables!$M$2:$M$19,IF(T189="NorthBound","&gt;=","&lt;=")&amp;Y189,Variables!$M$2:$M$19,IF(T189="NorthBound","&lt;=","&gt;=")&amp;Z189),COUNTIFS(Variables!$P$2:$P$19,IF(T189="NorthBound","&gt;=","&lt;=")&amp;Y189,Variables!$P$2:$P$19,IF(T189="NorthBound","&lt;=","&gt;=")&amp;Z189))</f>
        <v>1</v>
      </c>
      <c r="V189" s="98" t="str">
        <f t="shared" si="74"/>
        <v>https://search-rtdc-monitor-bjffxe2xuh6vdkpspy63sjmuny.us-east-1.es.amazonaws.com/_plugin/kibana/#/discover/Steve-Slow-Train-Analysis-(2080s-and-2083s)?_g=(refreshInterval:(display:Off,section:0,value:0),time:(from:'2016-12-15 15:15:02-700',mode:absolute,to:'2016-12-15 17:34:42-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89" s="52" t="str">
        <f t="shared" si="115"/>
        <v>N</v>
      </c>
      <c r="X189" s="177">
        <f t="shared" ref="X189:X220" si="126">VALUE(LEFT(AD189,4))-VALUE(LEFT(AD188,4))</f>
        <v>1</v>
      </c>
      <c r="Y189" s="67">
        <f t="shared" si="116"/>
        <v>0.10489999999999999</v>
      </c>
      <c r="Z189" s="67">
        <f t="shared" si="125"/>
        <v>5.8930999999999996</v>
      </c>
      <c r="AA189" s="67">
        <f t="shared" si="118"/>
        <v>5.7881999999999998</v>
      </c>
      <c r="AB189" s="64" t="e">
        <f>VLOOKUP(A189,Enforcements!$C$7:$K$18,8,0)</f>
        <v>#N/A</v>
      </c>
      <c r="AC189" s="60" t="e">
        <f>VLOOKUP(A189,Enforcements!$C$7:$E$18,3,0)</f>
        <v>#N/A</v>
      </c>
      <c r="AD189" s="61" t="str">
        <f t="shared" si="119"/>
        <v>0829-15</v>
      </c>
      <c r="AE189"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89" s="88" t="str">
        <f t="shared" si="79"/>
        <v>"C:\Program Files (x86)\AstroGrep\AstroGrep.exe" /spath="%USERPROFILE%\AppData\Local\Temp\OnboardLogs" /stypes="app*4042*20161215*" /stext=" 23:.+((SYSTEM_STATE.+slice.+state.+changed )|(ment ac)|(multiple cpu faults)|(system.+state.+changed )|(\[timeout)|(PRM\|1\|D)|(kpr)|(kdp)|(\|lc)|(penalty))" /e /r /s</v>
      </c>
      <c r="AG189" s="1" t="str">
        <f t="shared" si="120"/>
        <v>NW</v>
      </c>
      <c r="AH189" s="92" t="str">
        <f t="shared" si="81"/>
        <v>"%USERPROFILE%\Documents\GitHub\eaglep3\Utilities\RefineRTDCRunTimes.py" --tripid 829-15 --locoid 4042 --swversion DE.1.0.8.0 --startMP 204:1049 --initTime 2016-12-15T16:15:02 --startdatetime 2016-12-15T16:21:25 --delay 1 --endMP 300:58931 --enddatetime 2016-12-15T16:34:42 --enforcementcount 0 &gt;&gt;C:\Users\stu\Documents\GitHub\eaglep3-reporting\EC\2016-12-15-refined-times.txt</v>
      </c>
      <c r="AI189" s="119" t="str">
        <f t="shared" si="82"/>
        <v>echo {"issue":{"subject":"","project_id":79,"tracker_id":40,"status_id":1,"priority_id":2,"assigned_to_id":23,"start_date":"2016-12-15","description":"","custom_fields":[{"id":1,"name":"Subdivision","value":"NW"},{"id":4,"name":"Milepost","value":"5.8931"},{"id":17,"name":"Train ID","value":"829-15"},{"id":16,"name":"Locomotive ID","value":"4042"},{"id":130,"name":"Impact","value":""},{"id":150,"name":"Time of Event (Mountain Time)","value":"16:34:42"},{"id":151,"name":"Denver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row>
    <row r="190" spans="1:91" x14ac:dyDescent="0.25">
      <c r="A190" s="37" t="s">
        <v>714</v>
      </c>
      <c r="B190" s="7">
        <v>4041</v>
      </c>
      <c r="C190" s="22" t="s">
        <v>207</v>
      </c>
      <c r="D190" s="22" t="s">
        <v>909</v>
      </c>
      <c r="E190" s="13">
        <v>42719.692650462966</v>
      </c>
      <c r="F190" s="13">
        <v>42719.693912037037</v>
      </c>
      <c r="G190" s="7">
        <v>1</v>
      </c>
      <c r="H190" s="22" t="s">
        <v>910</v>
      </c>
      <c r="I190" s="13">
        <v>42719.705636574072</v>
      </c>
      <c r="J190" s="7">
        <v>0</v>
      </c>
      <c r="K190" s="109" t="str">
        <f t="shared" si="110"/>
        <v>4041/4042</v>
      </c>
      <c r="L190" s="22" t="str">
        <f>VLOOKUP(A190,'Trips&amp;Operators'!$C$1:$G$99999,5,FALSE)</f>
        <v>DUNCAN SHEILA</v>
      </c>
      <c r="M190" s="6">
        <f t="shared" si="111"/>
        <v>1.1724537034751847E-2</v>
      </c>
      <c r="N190" s="7">
        <f t="shared" si="124"/>
        <v>16.88333333004266</v>
      </c>
      <c r="O190" s="7"/>
      <c r="P190" s="7"/>
      <c r="Q190" s="23"/>
      <c r="R190" s="23"/>
      <c r="S190" s="35">
        <f t="shared" si="113"/>
        <v>1</v>
      </c>
      <c r="T190" s="50" t="str">
        <f t="shared" si="114"/>
        <v>Southbound</v>
      </c>
      <c r="U190" s="171">
        <f>IF(AG190="EC",COUNTIFS(Variables!$M$2:$M$19,IF(T190="NorthBound","&gt;=","&lt;=")&amp;Y190,Variables!$M$2:$M$19,IF(T190="NorthBound","&lt;=","&gt;=")&amp;Z190),COUNTIFS(Variables!$P$2:$P$19,IF(T190="NorthBound","&gt;=","&lt;=")&amp;Y190,Variables!$P$2:$P$19,IF(T190="NorthBound","&lt;=","&gt;=")&amp;Z190))</f>
        <v>1</v>
      </c>
      <c r="V190" s="98" t="str">
        <f t="shared" si="74"/>
        <v>https://search-rtdc-monitor-bjffxe2xuh6vdkpspy63sjmuny.us-east-1.es.amazonaws.com/_plugin/kibana/#/discover/Steve-Slow-Train-Analysis-(2080s-and-2083s)?_g=(refreshInterval:(display:Off,section:0,value:0),time:(from:'2016-12-15 15:37:25-700',mode:absolute,to:'2016-12-15 17:56:07-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90" s="52" t="str">
        <f t="shared" si="115"/>
        <v>N</v>
      </c>
      <c r="X190" s="177">
        <f t="shared" si="126"/>
        <v>1</v>
      </c>
      <c r="Y190" s="67">
        <f t="shared" si="116"/>
        <v>5.8616999999999999</v>
      </c>
      <c r="Z190" s="67">
        <f t="shared" si="125"/>
        <v>7.3400000000000007E-2</v>
      </c>
      <c r="AA190" s="67">
        <f t="shared" si="118"/>
        <v>5.7882999999999996</v>
      </c>
      <c r="AB190" s="64" t="e">
        <f>VLOOKUP(A190,Enforcements!$C$7:$K$18,8,0)</f>
        <v>#N/A</v>
      </c>
      <c r="AC190" s="60" t="e">
        <f>VLOOKUP(A190,Enforcements!$C$7:$E$18,3,0)</f>
        <v>#N/A</v>
      </c>
      <c r="AD190" s="61" t="str">
        <f t="shared" si="119"/>
        <v>0830-15</v>
      </c>
      <c r="AE190"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90" s="88" t="str">
        <f t="shared" si="79"/>
        <v>"C:\Program Files (x86)\AstroGrep\AstroGrep.exe" /spath="%USERPROFILE%\AppData\Local\Temp\OnboardLogs" /stypes="app*4041*20161215*" /stext=" 23:.+((SYSTEM_STATE.+slice.+state.+changed )|(ment ac)|(multiple cpu faults)|(system.+state.+changed )|(\[timeout)|(PRM\|1\|D)|(kpr)|(kdp)|(\|lc)|(penalty))" /e /r /s</v>
      </c>
      <c r="AG190" s="1" t="str">
        <f t="shared" si="120"/>
        <v>NW</v>
      </c>
      <c r="AH190" s="92" t="str">
        <f t="shared" si="81"/>
        <v>"%USERPROFILE%\Documents\GitHub\eaglep3\Utilities\RefineRTDCRunTimes.py" --tripid 830-15 --locoid 4041 --swversion DE.1.0.8.0 --startMP 300:58617 --initTime 2016-12-15T16:37:25 --startdatetime 2016-12-15T16:39:14 --delay 1 --endMP 204:734 --enddatetime 2016-12-15T16:56:07 --enforcementcount 0 &gt;&gt;C:\Users\stu\Documents\GitHub\eaglep3-reporting\EC\2016-12-15-refined-times.txt</v>
      </c>
      <c r="AI190" s="119" t="str">
        <f t="shared" si="82"/>
        <v>echo {"issue":{"subject":"","project_id":79,"tracker_id":40,"status_id":1,"priority_id":2,"assigned_to_id":23,"start_date":"2016-12-15","description":"","custom_fields":[{"id":1,"name":"Subdivision","value":"NW"},{"id":4,"name":"Milepost","value":"0.0734"},{"id":17,"name":"Train ID","value":"830-15"},{"id":16,"name":"Locomotive ID","value":"4041"},{"id":130,"name":"Impact","value":""},{"id":150,"name":"Time of Event (Mountain Time)","value":"16:56:07"},{"id":151,"name":"Denver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row>
    <row r="191" spans="1:91" s="21" customFormat="1" x14ac:dyDescent="0.25">
      <c r="A191" s="37" t="s">
        <v>575</v>
      </c>
      <c r="B191" s="7">
        <v>4051</v>
      </c>
      <c r="C191" s="22" t="s">
        <v>207</v>
      </c>
      <c r="D191" s="22" t="s">
        <v>911</v>
      </c>
      <c r="E191" s="13">
        <v>42719.697962962964</v>
      </c>
      <c r="F191" s="13">
        <v>42719.702314814815</v>
      </c>
      <c r="G191" s="7">
        <v>4</v>
      </c>
      <c r="H191" s="22" t="s">
        <v>319</v>
      </c>
      <c r="I191" s="13">
        <v>42719.713252314818</v>
      </c>
      <c r="J191" s="7">
        <v>0</v>
      </c>
      <c r="K191" s="109" t="str">
        <f t="shared" si="110"/>
        <v>4051/4052</v>
      </c>
      <c r="L191" s="22" t="str">
        <f>VLOOKUP(A191,'Trips&amp;Operators'!$C$1:$G$99999,5,FALSE)</f>
        <v>SIMMONS SHYHESHA</v>
      </c>
      <c r="M191" s="6">
        <f t="shared" si="111"/>
        <v>1.0937500002910383E-2</v>
      </c>
      <c r="N191" s="7">
        <f t="shared" si="124"/>
        <v>15.750000004190952</v>
      </c>
      <c r="O191" s="7"/>
      <c r="P191" s="7"/>
      <c r="Q191" s="23"/>
      <c r="R191" s="23"/>
      <c r="S191" s="35">
        <f t="shared" si="113"/>
        <v>1</v>
      </c>
      <c r="T191" s="50" t="str">
        <f t="shared" si="114"/>
        <v>NorthBound</v>
      </c>
      <c r="U191" s="171">
        <f>IF(AG191="EC",COUNTIFS(Variables!$M$2:$M$19,IF(T191="NorthBound","&gt;=","&lt;=")&amp;Y191,Variables!$M$2:$M$19,IF(T191="NorthBound","&lt;=","&gt;=")&amp;Z191),COUNTIFS(Variables!$P$2:$P$19,IF(T191="NorthBound","&gt;=","&lt;=")&amp;Y191,Variables!$P$2:$P$19,IF(T191="NorthBound","&lt;=","&gt;=")&amp;Z191))</f>
        <v>1</v>
      </c>
      <c r="V191" s="98" t="str">
        <f t="shared" si="74"/>
        <v>https://search-rtdc-monitor-bjffxe2xuh6vdkpspy63sjmuny.us-east-1.es.amazonaws.com/_plugin/kibana/#/discover/Steve-Slow-Train-Analysis-(2080s-and-2083s)?_g=(refreshInterval:(display:Off,section:0,value:0),time:(from:'2016-12-15 15:45:04-700',mode:absolute,to:'2016-12-15 18:07:05-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91" s="52" t="str">
        <f t="shared" si="115"/>
        <v>N</v>
      </c>
      <c r="X191" s="177">
        <f t="shared" si="126"/>
        <v>1</v>
      </c>
      <c r="Y191" s="67">
        <f t="shared" si="116"/>
        <v>0.1027</v>
      </c>
      <c r="Z191" s="67">
        <f t="shared" si="125"/>
        <v>5.8936999999999999</v>
      </c>
      <c r="AA191" s="67">
        <f t="shared" si="118"/>
        <v>5.7910000000000004</v>
      </c>
      <c r="AB191" s="64" t="e">
        <f>VLOOKUP(A191,Enforcements!$C$7:$K$18,8,0)</f>
        <v>#N/A</v>
      </c>
      <c r="AC191" s="60" t="e">
        <f>VLOOKUP(A191,Enforcements!$C$7:$E$18,3,0)</f>
        <v>#N/A</v>
      </c>
      <c r="AD191" s="61" t="str">
        <f t="shared" si="119"/>
        <v>0831-15</v>
      </c>
      <c r="AE191"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91" s="88" t="str">
        <f t="shared" si="79"/>
        <v>"C:\Program Files (x86)\AstroGrep\AstroGrep.exe" /spath="%USERPROFILE%\AppData\Local\Temp\OnboardLogs" /stypes="app*4051*20161216*" /stext=" 00:.+((SYSTEM_STATE.+slice.+state.+changed )|(ment ac)|(multiple cpu faults)|(system.+state.+changed )|(\[timeout)|(PRM\|1\|D)|(kpr)|(kdp)|(\|lc)|(penalty))" /e /r /s</v>
      </c>
      <c r="AG191" s="1" t="str">
        <f t="shared" si="120"/>
        <v>NW</v>
      </c>
      <c r="AH191" s="92" t="str">
        <f t="shared" si="81"/>
        <v>"%USERPROFILE%\Documents\GitHub\eaglep3\Utilities\RefineRTDCRunTimes.py" --tripid 831-15 --locoid 4051 --swversion DE.1.0.8.0 --startMP 204:1027 --initTime 2016-12-15T16:45:04 --startdatetime 2016-12-15T16:51:20 --delay 4 --endMP 300:58937 --enddatetime 2016-12-15T17:07:05 --enforcementcount 0 &gt;&gt;C:\Users\stu\Documents\GitHub\eaglep3-reporting\EC\2016-12-15-refined-times.txt</v>
      </c>
      <c r="AI191" s="119" t="str">
        <f t="shared" si="82"/>
        <v>echo {"issue":{"subject":"","project_id":79,"tracker_id":40,"status_id":1,"priority_id":2,"assigned_to_id":23,"start_date":"2016-12-15","description":"","custom_fields":[{"id":1,"name":"Subdivision","value":"NW"},{"id":4,"name":"Milepost","value":"5.8937"},{"id":17,"name":"Train ID","value":"831-15"},{"id":16,"name":"Locomotive ID","value":"4051"},{"id":130,"name":"Impact","value":""},{"id":150,"name":"Time of Event (Mountain Time)","value":"17:07:05"},{"id":151,"name":"Denver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spans="1:91" s="21" customFormat="1" x14ac:dyDescent="0.25">
      <c r="A192" s="37" t="s">
        <v>720</v>
      </c>
      <c r="B192" s="7">
        <v>4052</v>
      </c>
      <c r="C192" s="22" t="s">
        <v>207</v>
      </c>
      <c r="D192" s="22" t="s">
        <v>909</v>
      </c>
      <c r="E192" s="13">
        <v>42719.714398148149</v>
      </c>
      <c r="F192" s="13">
        <v>42719.716180555559</v>
      </c>
      <c r="G192" s="7">
        <v>1</v>
      </c>
      <c r="H192" s="22" t="s">
        <v>358</v>
      </c>
      <c r="I192" s="13">
        <v>42719.726585648146</v>
      </c>
      <c r="J192" s="7">
        <v>0</v>
      </c>
      <c r="K192" s="109" t="str">
        <f t="shared" ref="K192:K223" si="127">IF(ISEVEN(B192),(B192-1)&amp;"/"&amp;B192,B192&amp;"/"&amp;(B192+1))</f>
        <v>4051/4052</v>
      </c>
      <c r="L192" s="22" t="str">
        <f>VLOOKUP(A192,'Trips&amp;Operators'!$C$1:$G$99999,5,FALSE)</f>
        <v>SIMMONS SHYHESHA</v>
      </c>
      <c r="M192" s="6">
        <f t="shared" ref="M192:M223" si="128">I192-F192</f>
        <v>1.0405092587461695E-2</v>
      </c>
      <c r="N192" s="7">
        <f t="shared" si="124"/>
        <v>14.983333325944841</v>
      </c>
      <c r="O192" s="7"/>
      <c r="P192" s="7"/>
      <c r="Q192" s="23"/>
      <c r="R192" s="23"/>
      <c r="S192" s="35">
        <f t="shared" ref="S192:S223" si="129">SUM(U192:U192)/IF(AG192="EC",12,1)</f>
        <v>1</v>
      </c>
      <c r="T192" s="50" t="str">
        <f t="shared" ref="T192:T223" si="130">IF(ISEVEN(LEFT(AD192,4)),"Southbound","NorthBound")</f>
        <v>Southbound</v>
      </c>
      <c r="U192" s="171">
        <f>IF(AG192="EC",COUNTIFS(Variables!$M$2:$M$19,IF(T192="NorthBound","&gt;=","&lt;=")&amp;Y192,Variables!$M$2:$M$19,IF(T192="NorthBound","&lt;=","&gt;=")&amp;Z192),COUNTIFS(Variables!$P$2:$P$19,IF(T192="NorthBound","&gt;=","&lt;=")&amp;Y192,Variables!$P$2:$P$19,IF(T192="NorthBound","&lt;=","&gt;=")&amp;Z192))</f>
        <v>1</v>
      </c>
      <c r="V192" s="98" t="str">
        <f t="shared" si="74"/>
        <v>https://search-rtdc-monitor-bjffxe2xuh6vdkpspy63sjmuny.us-east-1.es.amazonaws.com/_plugin/kibana/#/discover/Steve-Slow-Train-Analysis-(2080s-and-2083s)?_g=(refreshInterval:(display:Off,section:0,value:0),time:(from:'2016-12-15 16:08:44-700',mode:absolute,to:'2016-12-15 18:26:17-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92" s="52" t="str">
        <f t="shared" ref="W192:W223" si="131">IF(AA192&lt;IF(AG192="EC",23,5.65),"Y","N")</f>
        <v>N</v>
      </c>
      <c r="X192" s="177">
        <f t="shared" si="126"/>
        <v>1</v>
      </c>
      <c r="Y192" s="67">
        <f t="shared" ref="Y192:Y223" si="132">RIGHT(D192,LEN(D192)-4)/10000</f>
        <v>5.8616999999999999</v>
      </c>
      <c r="Z192" s="67">
        <f t="shared" si="125"/>
        <v>6.8400000000000002E-2</v>
      </c>
      <c r="AA192" s="67">
        <f t="shared" ref="AA192:AA223" si="133">ABS(Z192-Y192)</f>
        <v>5.7933000000000003</v>
      </c>
      <c r="AB192" s="64" t="e">
        <f>VLOOKUP(A192,Enforcements!$C$7:$K$18,8,0)</f>
        <v>#N/A</v>
      </c>
      <c r="AC192" s="60" t="e">
        <f>VLOOKUP(A192,Enforcements!$C$7:$E$18,3,0)</f>
        <v>#N/A</v>
      </c>
      <c r="AD192" s="61" t="str">
        <f t="shared" ref="AD192:AD223" si="134">IF(LEN(A192)=6,"0"&amp;A192,A192)</f>
        <v>0832-15</v>
      </c>
      <c r="AE192"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92" s="88" t="str">
        <f t="shared" si="79"/>
        <v>"C:\Program Files (x86)\AstroGrep\AstroGrep.exe" /spath="%USERPROFILE%\AppData\Local\Temp\OnboardLogs" /stypes="app*4052*20161216*" /stext=" 00:.+((SYSTEM_STATE.+slice.+state.+changed )|(ment ac)|(multiple cpu faults)|(system.+state.+changed )|(\[timeout)|(PRM\|1\|D)|(kpr)|(kdp)|(\|lc)|(penalty))" /e /r /s</v>
      </c>
      <c r="AG192" s="1" t="str">
        <f t="shared" ref="AG192:AG223" si="135">IFERROR(IF(VALUE(LEFT(AD192,2))&lt;=2,"EC",IF(OR(VALUE(LEFT(AD192,2))=8,VALUE(LEFT(AD192,2))=18),"NW","Other")),"Other")</f>
        <v>NW</v>
      </c>
      <c r="AH192" s="92" t="str">
        <f t="shared" si="81"/>
        <v>"%USERPROFILE%\Documents\GitHub\eaglep3\Utilities\RefineRTDCRunTimes.py" --tripid 832-15 --locoid 4052 --swversion DE.1.0.8.0 --startMP 300:58617 --initTime 2016-12-15T17:08:44 --startdatetime 2016-12-15T17:11:18 --delay 1 --endMP 204:684 --enddatetime 2016-12-15T17:26:17 --enforcementcount 0 &gt;&gt;C:\Users\stu\Documents\GitHub\eaglep3-reporting\EC\2016-12-15-refined-times.txt</v>
      </c>
      <c r="AI192" s="119" t="str">
        <f t="shared" si="82"/>
        <v>echo {"issue":{"subject":"","project_id":79,"tracker_id":40,"status_id":1,"priority_id":2,"assigned_to_id":23,"start_date":"2016-12-15","description":"","custom_fields":[{"id":1,"name":"Subdivision","value":"NW"},{"id":4,"name":"Milepost","value":"0.0684"},{"id":17,"name":"Train ID","value":"832-15"},{"id":16,"name":"Locomotive ID","value":"4052"},{"id":130,"name":"Impact","value":""},{"id":150,"name":"Time of Event (Mountain Time)","value":"17:26:17"},{"id":151,"name":"Denver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spans="1:91" s="21" customFormat="1" x14ac:dyDescent="0.25">
      <c r="A193" s="37" t="s">
        <v>723</v>
      </c>
      <c r="B193" s="7">
        <v>4042</v>
      </c>
      <c r="C193" s="22" t="s">
        <v>207</v>
      </c>
      <c r="D193" s="22" t="s">
        <v>902</v>
      </c>
      <c r="E193" s="13">
        <v>42719.720208333332</v>
      </c>
      <c r="F193" s="13">
        <v>42719.72320601852</v>
      </c>
      <c r="G193" s="7">
        <v>2</v>
      </c>
      <c r="H193" s="22" t="s">
        <v>438</v>
      </c>
      <c r="I193" s="13">
        <v>42719.733460648145</v>
      </c>
      <c r="J193" s="7">
        <v>0</v>
      </c>
      <c r="K193" s="109" t="str">
        <f t="shared" si="127"/>
        <v>4041/4042</v>
      </c>
      <c r="L193" s="22" t="str">
        <f>VLOOKUP(A193,'Trips&amp;Operators'!$C$1:$G$99999,5,FALSE)</f>
        <v>STORY SAMANTHA</v>
      </c>
      <c r="M193" s="6">
        <f t="shared" si="128"/>
        <v>1.0254629625706002E-2</v>
      </c>
      <c r="N193" s="7">
        <f t="shared" si="124"/>
        <v>14.766666661016643</v>
      </c>
      <c r="O193" s="7"/>
      <c r="P193" s="7"/>
      <c r="Q193" s="23"/>
      <c r="R193" s="23"/>
      <c r="S193" s="35">
        <f t="shared" si="129"/>
        <v>1</v>
      </c>
      <c r="T193" s="50" t="str">
        <f t="shared" si="130"/>
        <v>NorthBound</v>
      </c>
      <c r="U193" s="171">
        <f>IF(AG193="EC",COUNTIFS(Variables!$M$2:$M$19,IF(T193="NorthBound","&gt;=","&lt;=")&amp;Y193,Variables!$M$2:$M$19,IF(T193="NorthBound","&lt;=","&gt;=")&amp;Z193),COUNTIFS(Variables!$P$2:$P$19,IF(T193="NorthBound","&gt;=","&lt;=")&amp;Y193,Variables!$P$2:$P$19,IF(T193="NorthBound","&lt;=","&gt;=")&amp;Z193))</f>
        <v>1</v>
      </c>
      <c r="V193" s="98" t="str">
        <f t="shared" si="74"/>
        <v>https://search-rtdc-monitor-bjffxe2xuh6vdkpspy63sjmuny.us-east-1.es.amazonaws.com/_plugin/kibana/#/discover/Steve-Slow-Train-Analysis-(2080s-and-2083s)?_g=(refreshInterval:(display:Off,section:0,value:0),time:(from:'2016-12-15 16:17:06-700',mode:absolute,to:'2016-12-15 18:36: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93" s="52" t="str">
        <f t="shared" si="131"/>
        <v>N</v>
      </c>
      <c r="X193" s="177">
        <f t="shared" si="126"/>
        <v>1</v>
      </c>
      <c r="Y193" s="67">
        <f t="shared" si="132"/>
        <v>0.10349999999999999</v>
      </c>
      <c r="Z193" s="67">
        <f t="shared" si="125"/>
        <v>5.8958000000000004</v>
      </c>
      <c r="AA193" s="67">
        <f t="shared" si="133"/>
        <v>5.7923</v>
      </c>
      <c r="AB193" s="64" t="e">
        <f>VLOOKUP(A193,Enforcements!$C$7:$K$18,8,0)</f>
        <v>#N/A</v>
      </c>
      <c r="AC193" s="60" t="e">
        <f>VLOOKUP(A193,Enforcements!$C$7:$E$18,3,0)</f>
        <v>#N/A</v>
      </c>
      <c r="AD193" s="61" t="str">
        <f t="shared" si="134"/>
        <v>0833-15</v>
      </c>
      <c r="AE193"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93" s="88" t="str">
        <f t="shared" si="79"/>
        <v>"C:\Program Files (x86)\AstroGrep\AstroGrep.exe" /spath="%USERPROFILE%\AppData\Local\Temp\OnboardLogs" /stypes="app*4042*20161216*" /stext=" 00:.+((SYSTEM_STATE.+slice.+state.+changed )|(ment ac)|(multiple cpu faults)|(system.+state.+changed )|(\[timeout)|(PRM\|1\|D)|(kpr)|(kdp)|(\|lc)|(penalty))" /e /r /s</v>
      </c>
      <c r="AG193" s="1" t="str">
        <f t="shared" si="135"/>
        <v>NW</v>
      </c>
      <c r="AH193" s="92" t="str">
        <f t="shared" si="81"/>
        <v>"%USERPROFILE%\Documents\GitHub\eaglep3\Utilities\RefineRTDCRunTimes.py" --tripid 833-15 --locoid 4042 --swversion DE.1.0.8.0 --startMP 204:1035 --initTime 2016-12-15T17:17:06 --startdatetime 2016-12-15T17:21:25 --delay 2 --endMP 300:58958 --enddatetime 2016-12-15T17:36:11 --enforcementcount 0 &gt;&gt;C:\Users\stu\Documents\GitHub\eaglep3-reporting\EC\2016-12-15-refined-times.txt</v>
      </c>
      <c r="AI193" s="119" t="str">
        <f t="shared" si="82"/>
        <v>echo {"issue":{"subject":"","project_id":79,"tracker_id":40,"status_id":1,"priority_id":2,"assigned_to_id":23,"start_date":"2016-12-15","description":"","custom_fields":[{"id":1,"name":"Subdivision","value":"NW"},{"id":4,"name":"Milepost","value":"5.8958"},{"id":17,"name":"Train ID","value":"833-15"},{"id":16,"name":"Locomotive ID","value":"4042"},{"id":130,"name":"Impact","value":""},{"id":150,"name":"Time of Event (Mountain Time)","value":"17:36:11"},{"id":151,"name":"Denver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7" t="s">
        <v>577</v>
      </c>
      <c r="B194" s="7">
        <v>4041</v>
      </c>
      <c r="C194" s="22" t="s">
        <v>207</v>
      </c>
      <c r="D194" s="22" t="s">
        <v>284</v>
      </c>
      <c r="E194" s="13">
        <v>42719.734293981484</v>
      </c>
      <c r="F194" s="13">
        <v>42719.735856481479</v>
      </c>
      <c r="G194" s="7">
        <v>1</v>
      </c>
      <c r="H194" s="22" t="s">
        <v>912</v>
      </c>
      <c r="I194" s="13">
        <v>42719.747314814813</v>
      </c>
      <c r="J194" s="7">
        <v>0</v>
      </c>
      <c r="K194" s="109" t="str">
        <f t="shared" si="127"/>
        <v>4041/4042</v>
      </c>
      <c r="L194" s="22" t="str">
        <f>VLOOKUP(A194,'Trips&amp;Operators'!$C$1:$G$99999,5,FALSE)</f>
        <v>STORY SAMANTHA</v>
      </c>
      <c r="M194" s="6">
        <f t="shared" si="128"/>
        <v>1.1458333334303461E-2</v>
      </c>
      <c r="N194" s="7">
        <f t="shared" si="124"/>
        <v>16.500000001396984</v>
      </c>
      <c r="O194" s="7"/>
      <c r="P194" s="7"/>
      <c r="Q194" s="23"/>
      <c r="R194" s="23"/>
      <c r="S194" s="35">
        <f t="shared" si="129"/>
        <v>1</v>
      </c>
      <c r="T194" s="50" t="str">
        <f t="shared" si="130"/>
        <v>Southbound</v>
      </c>
      <c r="U194" s="171">
        <f>IF(AG194="EC",COUNTIFS(Variables!$M$2:$M$19,IF(T194="NorthBound","&gt;=","&lt;=")&amp;Y194,Variables!$M$2:$M$19,IF(T194="NorthBound","&lt;=","&gt;=")&amp;Z194),COUNTIFS(Variables!$P$2:$P$19,IF(T194="NorthBound","&gt;=","&lt;=")&amp;Y194,Variables!$P$2:$P$19,IF(T194="NorthBound","&lt;=","&gt;=")&amp;Z194))</f>
        <v>1</v>
      </c>
      <c r="V194" s="98" t="str">
        <f t="shared" si="74"/>
        <v>https://search-rtdc-monitor-bjffxe2xuh6vdkpspy63sjmuny.us-east-1.es.amazonaws.com/_plugin/kibana/#/discover/Steve-Slow-Train-Analysis-(2080s-and-2083s)?_g=(refreshInterval:(display:Off,section:0,value:0),time:(from:'2016-12-15 16:37:23-700',mode:absolute,to:'2016-12-15 18:56: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94" s="52" t="str">
        <f t="shared" si="131"/>
        <v>N</v>
      </c>
      <c r="X194" s="177">
        <f t="shared" si="126"/>
        <v>1</v>
      </c>
      <c r="Y194" s="67">
        <f t="shared" si="132"/>
        <v>5.8632</v>
      </c>
      <c r="Z194" s="67">
        <f t="shared" si="125"/>
        <v>7.9399999999999998E-2</v>
      </c>
      <c r="AA194" s="67">
        <f t="shared" si="133"/>
        <v>5.7838000000000003</v>
      </c>
      <c r="AB194" s="64" t="e">
        <f>VLOOKUP(A194,Enforcements!$C$7:$K$18,8,0)</f>
        <v>#N/A</v>
      </c>
      <c r="AC194" s="60" t="e">
        <f>VLOOKUP(A194,Enforcements!$C$7:$E$18,3,0)</f>
        <v>#N/A</v>
      </c>
      <c r="AD194" s="61" t="str">
        <f t="shared" si="134"/>
        <v>0834-15</v>
      </c>
      <c r="AE194"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94" s="88" t="str">
        <f t="shared" si="79"/>
        <v>"C:\Program Files (x86)\AstroGrep\AstroGrep.exe" /spath="%USERPROFILE%\AppData\Local\Temp\OnboardLogs" /stypes="app*4041*20161216*" /stext=" 00:.+((SYSTEM_STATE.+slice.+state.+changed )|(ment ac)|(multiple cpu faults)|(system.+state.+changed )|(\[timeout)|(PRM\|1\|D)|(kpr)|(kdp)|(\|lc)|(penalty))" /e /r /s</v>
      </c>
      <c r="AG194" s="1" t="str">
        <f t="shared" si="135"/>
        <v>NW</v>
      </c>
      <c r="AH194" s="92" t="str">
        <f t="shared" si="81"/>
        <v>"%USERPROFILE%\Documents\GitHub\eaglep3\Utilities\RefineRTDCRunTimes.py" --tripid 834-15 --locoid 4041 --swversion DE.1.0.8.0 --startMP 300:58632 --initTime 2016-12-15T17:37:23 --startdatetime 2016-12-15T17:39:38 --delay 1 --endMP 204:794 --enddatetime 2016-12-15T17:56:08 --enforcementcount 0 &gt;&gt;C:\Users\stu\Documents\GitHub\eaglep3-reporting\EC\2016-12-15-refined-times.txt</v>
      </c>
      <c r="AI194" s="119" t="str">
        <f t="shared" si="82"/>
        <v>echo {"issue":{"subject":"","project_id":79,"tracker_id":40,"status_id":1,"priority_id":2,"assigned_to_id":23,"start_date":"2016-12-15","description":"","custom_fields":[{"id":1,"name":"Subdivision","value":"NW"},{"id":4,"name":"Milepost","value":"0.0794"},{"id":17,"name":"Train ID","value":"834-15"},{"id":16,"name":"Locomotive ID","value":"4041"},{"id":130,"name":"Impact","value":""},{"id":150,"name":"Time of Event (Mountain Time)","value":"17:56:08"},{"id":151,"name":"Denver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x14ac:dyDescent="0.25">
      <c r="A195" s="37" t="s">
        <v>578</v>
      </c>
      <c r="B195" s="7">
        <v>4051</v>
      </c>
      <c r="C195" s="22" t="s">
        <v>207</v>
      </c>
      <c r="D195" s="22" t="s">
        <v>913</v>
      </c>
      <c r="E195" s="13">
        <v>42719.738645833335</v>
      </c>
      <c r="F195" s="13">
        <v>42719.743935185186</v>
      </c>
      <c r="G195" s="7">
        <v>1</v>
      </c>
      <c r="H195" s="22" t="s">
        <v>914</v>
      </c>
      <c r="I195" s="13">
        <v>42719.75377314815</v>
      </c>
      <c r="J195" s="7">
        <v>0</v>
      </c>
      <c r="K195" s="109" t="str">
        <f t="shared" si="127"/>
        <v>4051/4052</v>
      </c>
      <c r="L195" s="22" t="str">
        <f>VLOOKUP(A195,'Trips&amp;Operators'!$C$1:$G$99999,5,FALSE)</f>
        <v>SIMMONS SHYHESHA</v>
      </c>
      <c r="M195" s="6">
        <f t="shared" si="128"/>
        <v>9.8379629635019228E-3</v>
      </c>
      <c r="N195" s="7">
        <f t="shared" si="124"/>
        <v>14.166666667442769</v>
      </c>
      <c r="O195" s="7"/>
      <c r="P195" s="7"/>
      <c r="Q195" s="23"/>
      <c r="R195" s="23"/>
      <c r="S195" s="35">
        <f t="shared" si="129"/>
        <v>1</v>
      </c>
      <c r="T195" s="50" t="str">
        <f t="shared" si="130"/>
        <v>NorthBound</v>
      </c>
      <c r="U195" s="171">
        <f>IF(AG195="EC",COUNTIFS(Variables!$M$2:$M$19,IF(T195="NorthBound","&gt;=","&lt;=")&amp;Y195,Variables!$M$2:$M$19,IF(T195="NorthBound","&lt;=","&gt;=")&amp;Z195),COUNTIFS(Variables!$P$2:$P$19,IF(T195="NorthBound","&gt;=","&lt;=")&amp;Y195,Variables!$P$2:$P$19,IF(T195="NorthBound","&lt;=","&gt;=")&amp;Z195))</f>
        <v>1</v>
      </c>
      <c r="V195" s="98" t="str">
        <f t="shared" si="74"/>
        <v>https://search-rtdc-monitor-bjffxe2xuh6vdkpspy63sjmuny.us-east-1.es.amazonaws.com/_plugin/kibana/#/discover/Steve-Slow-Train-Analysis-(2080s-and-2083s)?_g=(refreshInterval:(display:Off,section:0,value:0),time:(from:'2016-12-15 16:43:39-700',mode:absolute,to:'2016-12-15 19:05:26-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95" s="52" t="str">
        <f t="shared" si="131"/>
        <v>N</v>
      </c>
      <c r="X195" s="177">
        <f t="shared" si="126"/>
        <v>1</v>
      </c>
      <c r="Y195" s="67">
        <f t="shared" si="132"/>
        <v>9.8500000000000004E-2</v>
      </c>
      <c r="Z195" s="67">
        <f t="shared" si="125"/>
        <v>5.8810000000000002</v>
      </c>
      <c r="AA195" s="67">
        <f t="shared" si="133"/>
        <v>5.7825000000000006</v>
      </c>
      <c r="AB195" s="64" t="e">
        <f>VLOOKUP(A195,Enforcements!$C$7:$K$18,8,0)</f>
        <v>#N/A</v>
      </c>
      <c r="AC195" s="60" t="e">
        <f>VLOOKUP(A195,Enforcements!$C$7:$E$18,3,0)</f>
        <v>#N/A</v>
      </c>
      <c r="AD195" s="61" t="str">
        <f t="shared" si="134"/>
        <v>0835-15</v>
      </c>
      <c r="AE195"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95" s="88" t="str">
        <f t="shared" si="79"/>
        <v>"C:\Program Files (x86)\AstroGrep\AstroGrep.exe" /spath="%USERPROFILE%\AppData\Local\Temp\OnboardLogs" /stypes="app*4051*20161216*" /stext=" 01:.+((SYSTEM_STATE.+slice.+state.+changed )|(ment ac)|(multiple cpu faults)|(system.+state.+changed )|(\[timeout)|(PRM\|1\|D)|(kpr)|(kdp)|(\|lc)|(penalty))" /e /r /s</v>
      </c>
      <c r="AG195" s="1" t="str">
        <f t="shared" si="135"/>
        <v>NW</v>
      </c>
      <c r="AH195" s="92" t="str">
        <f t="shared" si="81"/>
        <v>"%USERPROFILE%\Documents\GitHub\eaglep3\Utilities\RefineRTDCRunTimes.py" --tripid 835-15 --locoid 4051 --swversion DE.1.0.8.0 --startMP 204:985 --initTime 2016-12-15T17:43:39 --startdatetime 2016-12-15T17:51:16 --delay 1 --endMP 300:58810 --enddatetime 2016-12-15T18:05:26 --enforcementcount 0 &gt;&gt;C:\Users\stu\Documents\GitHub\eaglep3-reporting\EC\2016-12-15-refined-times.txt</v>
      </c>
      <c r="AI195" s="119" t="str">
        <f t="shared" si="82"/>
        <v>echo {"issue":{"subject":"","project_id":79,"tracker_id":40,"status_id":1,"priority_id":2,"assigned_to_id":23,"start_date":"2016-12-15","description":"","custom_fields":[{"id":1,"name":"Subdivision","value":"NW"},{"id":4,"name":"Milepost","value":"5.881"},{"id":17,"name":"Train ID","value":"835-15"},{"id":16,"name":"Locomotive ID","value":"4051"},{"id":130,"name":"Impact","value":""},{"id":150,"name":"Time of Event (Mountain Time)","value":"18:05:26"},{"id":151,"name":"Denver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row>
    <row r="196" spans="1:91" x14ac:dyDescent="0.25">
      <c r="A196" s="37" t="s">
        <v>736</v>
      </c>
      <c r="B196" s="7">
        <v>4052</v>
      </c>
      <c r="C196" s="22" t="s">
        <v>207</v>
      </c>
      <c r="D196" s="22" t="s">
        <v>915</v>
      </c>
      <c r="E196" s="13">
        <v>42719.75577546296</v>
      </c>
      <c r="F196" s="13">
        <v>42719.757511574076</v>
      </c>
      <c r="G196" s="7">
        <v>1</v>
      </c>
      <c r="H196" s="22" t="s">
        <v>881</v>
      </c>
      <c r="I196" s="13">
        <v>42719.768182870372</v>
      </c>
      <c r="J196" s="7">
        <v>0</v>
      </c>
      <c r="K196" s="109" t="str">
        <f t="shared" si="127"/>
        <v>4051/4052</v>
      </c>
      <c r="L196" s="22" t="str">
        <f>VLOOKUP(A196,'Trips&amp;Operators'!$C$1:$G$99999,5,FALSE)</f>
        <v>SIMMONS SHYHESHA</v>
      </c>
      <c r="M196" s="6">
        <f t="shared" si="128"/>
        <v>1.0671296295186039E-2</v>
      </c>
      <c r="N196" s="7">
        <f t="shared" si="124"/>
        <v>15.366666665067896</v>
      </c>
      <c r="O196" s="7"/>
      <c r="P196" s="7"/>
      <c r="Q196" s="23"/>
      <c r="R196" s="23"/>
      <c r="S196" s="35">
        <f t="shared" si="129"/>
        <v>1</v>
      </c>
      <c r="T196" s="50" t="str">
        <f t="shared" si="130"/>
        <v>Southbound</v>
      </c>
      <c r="U196" s="171">
        <f>IF(AG196="EC",COUNTIFS(Variables!$M$2:$M$19,IF(T196="NorthBound","&gt;=","&lt;=")&amp;Y196,Variables!$M$2:$M$19,IF(T196="NorthBound","&lt;=","&gt;=")&amp;Z196),COUNTIFS(Variables!$P$2:$P$19,IF(T196="NorthBound","&gt;=","&lt;=")&amp;Y196,Variables!$P$2:$P$19,IF(T196="NorthBound","&lt;=","&gt;=")&amp;Z196))</f>
        <v>1</v>
      </c>
      <c r="V196" s="98" t="str">
        <f t="shared" si="74"/>
        <v>https://search-rtdc-monitor-bjffxe2xuh6vdkpspy63sjmuny.us-east-1.es.amazonaws.com/_plugin/kibana/#/discover/Steve-Slow-Train-Analysis-(2080s-and-2083s)?_g=(refreshInterval:(display:Off,section:0,value:0),time:(from:'2016-12-15 17:08:19-700',mode:absolute,to:'2016-12-15 19:26: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196" s="52" t="str">
        <f t="shared" si="131"/>
        <v>N</v>
      </c>
      <c r="X196" s="177">
        <f t="shared" si="126"/>
        <v>1</v>
      </c>
      <c r="Y196" s="67">
        <f t="shared" si="132"/>
        <v>5.8609</v>
      </c>
      <c r="Z196" s="67">
        <f t="shared" si="125"/>
        <v>6.9199999999999998E-2</v>
      </c>
      <c r="AA196" s="67">
        <f t="shared" si="133"/>
        <v>5.7916999999999996</v>
      </c>
      <c r="AB196" s="64" t="e">
        <f>VLOOKUP(A196,Enforcements!$C$7:$K$18,8,0)</f>
        <v>#N/A</v>
      </c>
      <c r="AC196" s="60" t="e">
        <f>VLOOKUP(A196,Enforcements!$C$7:$E$18,3,0)</f>
        <v>#N/A</v>
      </c>
      <c r="AD196" s="61" t="str">
        <f t="shared" si="134"/>
        <v>0836-15</v>
      </c>
      <c r="AE196" s="91" t="str">
        <f t="shared" si="78"/>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196" s="88" t="str">
        <f t="shared" si="79"/>
        <v>"C:\Program Files (x86)\AstroGrep\AstroGrep.exe" /spath="%USERPROFILE%\AppData\Local\Temp\OnboardLogs" /stypes="app*4052*20161216*" /stext=" 01:.+((SYSTEM_STATE.+slice.+state.+changed )|(ment ac)|(multiple cpu faults)|(system.+state.+changed )|(\[timeout)|(PRM\|1\|D)|(kpr)|(kdp)|(\|lc)|(penalty))" /e /r /s</v>
      </c>
      <c r="AG196" s="1" t="str">
        <f t="shared" si="135"/>
        <v>NW</v>
      </c>
      <c r="AH196" s="92" t="str">
        <f t="shared" si="81"/>
        <v>"%USERPROFILE%\Documents\GitHub\eaglep3\Utilities\RefineRTDCRunTimes.py" --tripid 836-15 --locoid 4052 --swversion DE.1.0.8.0 --startMP 300:58609 --initTime 2016-12-15T18:08:19 --startdatetime 2016-12-15T18:10:49 --delay 1 --endMP 204:692 --enddatetime 2016-12-15T18:26:11 --enforcementcount 0 &gt;&gt;C:\Users\stu\Documents\GitHub\eaglep3-reporting\EC\2016-12-15-refined-times.txt</v>
      </c>
      <c r="AI196" s="119" t="str">
        <f t="shared" si="82"/>
        <v>echo {"issue":{"subject":"","project_id":79,"tracker_id":40,"status_id":1,"priority_id":2,"assigned_to_id":23,"start_date":"2016-12-15","description":"","custom_fields":[{"id":1,"name":"Subdivision","value":"NW"},{"id":4,"name":"Milepost","value":"0.0692"},{"id":17,"name":"Train ID","value":"836-15"},{"id":16,"name":"Locomotive ID","value":"4052"},{"id":130,"name":"Impact","value":""},{"id":150,"name":"Time of Event (Mountain Time)","value":"18:26:11"},{"id":151,"name":"Denver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row>
    <row r="197" spans="1:91" x14ac:dyDescent="0.25">
      <c r="A197" s="37" t="s">
        <v>739</v>
      </c>
      <c r="B197" s="7">
        <v>4042</v>
      </c>
      <c r="C197" s="22" t="s">
        <v>207</v>
      </c>
      <c r="D197" s="22" t="s">
        <v>916</v>
      </c>
      <c r="E197" s="13">
        <v>42719.763310185182</v>
      </c>
      <c r="F197" s="13">
        <v>42719.764780092592</v>
      </c>
      <c r="G197" s="7">
        <v>1</v>
      </c>
      <c r="H197" s="22" t="s">
        <v>917</v>
      </c>
      <c r="I197" s="13">
        <v>42719.775648148148</v>
      </c>
      <c r="J197" s="7">
        <v>0</v>
      </c>
      <c r="K197" s="109" t="str">
        <f t="shared" si="127"/>
        <v>4041/4042</v>
      </c>
      <c r="L197" s="22" t="str">
        <f>VLOOKUP(A197,'Trips&amp;Operators'!$C$1:$G$99999,5,FALSE)</f>
        <v>STORY SAMANTHA</v>
      </c>
      <c r="M197" s="6">
        <f t="shared" si="128"/>
        <v>1.0868055556784384E-2</v>
      </c>
      <c r="N197" s="7">
        <f t="shared" si="124"/>
        <v>15.650000001769513</v>
      </c>
      <c r="O197" s="7"/>
      <c r="P197" s="7"/>
      <c r="Q197" s="23"/>
      <c r="R197" s="23"/>
      <c r="S197" s="35">
        <f t="shared" si="129"/>
        <v>1</v>
      </c>
      <c r="T197" s="50" t="str">
        <f t="shared" si="130"/>
        <v>NorthBound</v>
      </c>
      <c r="U197" s="171">
        <f>IF(AG197="EC",COUNTIFS(Variables!$M$2:$M$19,IF(T197="NorthBound","&gt;=","&lt;=")&amp;Y197,Variables!$M$2:$M$19,IF(T197="NorthBound","&lt;=","&gt;=")&amp;Z197),COUNTIFS(Variables!$P$2:$P$19,IF(T197="NorthBound","&gt;=","&lt;=")&amp;Y197,Variables!$P$2:$P$19,IF(T197="NorthBound","&lt;=","&gt;=")&amp;Z197))</f>
        <v>1</v>
      </c>
      <c r="V197" s="98" t="str">
        <f t="shared" si="74"/>
        <v>https://search-rtdc-monitor-bjffxe2xuh6vdkpspy63sjmuny.us-east-1.es.amazonaws.com/_plugin/kibana/#/discover/Steve-Slow-Train-Analysis-(2080s-and-2083s)?_g=(refreshInterval:(display:Off,section:0,value:0),time:(from:'2016-12-15 17:19:10-700',mode:absolute,to:'2016-12-15 19:36:56-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97" s="52" t="str">
        <f t="shared" si="131"/>
        <v>N</v>
      </c>
      <c r="X197" s="177">
        <f t="shared" si="126"/>
        <v>1</v>
      </c>
      <c r="Y197" s="67">
        <f t="shared" si="132"/>
        <v>0.1077</v>
      </c>
      <c r="Z197" s="67">
        <f t="shared" si="125"/>
        <v>5.8975999999999997</v>
      </c>
      <c r="AA197" s="67">
        <f t="shared" si="133"/>
        <v>5.7898999999999994</v>
      </c>
      <c r="AB197" s="64" t="e">
        <f>VLOOKUP(A197,Enforcements!$C$7:$K$18,8,0)</f>
        <v>#N/A</v>
      </c>
      <c r="AC197" s="60" t="e">
        <f>VLOOKUP(A197,Enforcements!$C$7:$E$18,3,0)</f>
        <v>#N/A</v>
      </c>
      <c r="AD197" s="61" t="str">
        <f t="shared" si="134"/>
        <v>0837-15</v>
      </c>
      <c r="AE197"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197" s="88" t="str">
        <f t="shared" si="79"/>
        <v>"C:\Program Files (x86)\AstroGrep\AstroGrep.exe" /spath="%USERPROFILE%\AppData\Local\Temp\OnboardLogs" /stypes="app*4042*20161216*" /stext=" 01:.+((SYSTEM_STATE.+slice.+state.+changed )|(ment ac)|(multiple cpu faults)|(system.+state.+changed )|(\[timeout)|(PRM\|1\|D)|(kpr)|(kdp)|(\|lc)|(penalty))" /e /r /s</v>
      </c>
      <c r="AG197" s="1" t="str">
        <f t="shared" si="135"/>
        <v>NW</v>
      </c>
      <c r="AH197" s="92" t="str">
        <f t="shared" si="81"/>
        <v>"%USERPROFILE%\Documents\GitHub\eaglep3\Utilities\RefineRTDCRunTimes.py" --tripid 837-15 --locoid 4042 --swversion DE.1.0.8.0 --startMP 204:1077 --initTime 2016-12-15T18:19:10 --startdatetime 2016-12-15T18:21:17 --delay 1 --endMP 300:58976 --enddatetime 2016-12-15T18:36:56 --enforcementcount 0 &gt;&gt;C:\Users\stu\Documents\GitHub\eaglep3-reporting\EC\2016-12-15-refined-times.txt</v>
      </c>
      <c r="AI197" s="119" t="str">
        <f t="shared" si="82"/>
        <v>echo {"issue":{"subject":"","project_id":79,"tracker_id":40,"status_id":1,"priority_id":2,"assigned_to_id":23,"start_date":"2016-12-15","description":"","custom_fields":[{"id":1,"name":"Subdivision","value":"NW"},{"id":4,"name":"Milepost","value":"5.8976"},{"id":17,"name":"Train ID","value":"837-15"},{"id":16,"name":"Locomotive ID","value":"4042"},{"id":130,"name":"Impact","value":""},{"id":150,"name":"Time of Event (Mountain Time)","value":"18:36:56"},{"id":151,"name":"Denver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row>
    <row r="198" spans="1:91" x14ac:dyDescent="0.25">
      <c r="A198" s="37" t="s">
        <v>743</v>
      </c>
      <c r="B198" s="7">
        <v>4041</v>
      </c>
      <c r="C198" s="22" t="s">
        <v>207</v>
      </c>
      <c r="D198" s="22" t="s">
        <v>425</v>
      </c>
      <c r="E198" s="13">
        <v>42719.776759259257</v>
      </c>
      <c r="F198" s="13">
        <v>42719.778287037036</v>
      </c>
      <c r="G198" s="7">
        <v>1</v>
      </c>
      <c r="H198" s="22" t="s">
        <v>918</v>
      </c>
      <c r="I198" s="13">
        <v>42719.7893287037</v>
      </c>
      <c r="J198" s="7">
        <v>0</v>
      </c>
      <c r="K198" s="109" t="str">
        <f t="shared" si="127"/>
        <v>4041/4042</v>
      </c>
      <c r="L198" s="22" t="str">
        <f>VLOOKUP(A198,'Trips&amp;Operators'!$C$1:$G$99999,5,FALSE)</f>
        <v>STORY SAMANTHA</v>
      </c>
      <c r="M198" s="6">
        <f t="shared" si="128"/>
        <v>1.1041666664823424E-2</v>
      </c>
      <c r="N198" s="7">
        <f t="shared" si="124"/>
        <v>15.899999997345731</v>
      </c>
      <c r="O198" s="7"/>
      <c r="P198" s="7"/>
      <c r="Q198" s="23"/>
      <c r="R198" s="23"/>
      <c r="S198" s="35">
        <f t="shared" si="129"/>
        <v>1</v>
      </c>
      <c r="T198" s="50" t="str">
        <f t="shared" si="130"/>
        <v>Southbound</v>
      </c>
      <c r="U198" s="171">
        <f>IF(AG198="EC",COUNTIFS(Variables!$M$2:$M$19,IF(T198="NorthBound","&gt;=","&lt;=")&amp;Y198,Variables!$M$2:$M$19,IF(T198="NorthBound","&lt;=","&gt;=")&amp;Z198),COUNTIFS(Variables!$P$2:$P$19,IF(T198="NorthBound","&gt;=","&lt;=")&amp;Y198,Variables!$P$2:$P$19,IF(T198="NorthBound","&lt;=","&gt;=")&amp;Z198))</f>
        <v>1</v>
      </c>
      <c r="V198" s="98" t="str">
        <f t="shared" si="74"/>
        <v>https://search-rtdc-monitor-bjffxe2xuh6vdkpspy63sjmuny.us-east-1.es.amazonaws.com/_plugin/kibana/#/discover/Steve-Slow-Train-Analysis-(2080s-and-2083s)?_g=(refreshInterval:(display:Off,section:0,value:0),time:(from:'2016-12-15 17:38:32-700',mode:absolute,to:'2016-12-15 19:56:38-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98" s="52" t="str">
        <f t="shared" si="131"/>
        <v>N</v>
      </c>
      <c r="X198" s="177">
        <f t="shared" si="126"/>
        <v>1</v>
      </c>
      <c r="Y198" s="67">
        <f t="shared" si="132"/>
        <v>5.8654999999999999</v>
      </c>
      <c r="Z198" s="67">
        <f t="shared" si="125"/>
        <v>6.0999999999999999E-2</v>
      </c>
      <c r="AA198" s="67">
        <f t="shared" si="133"/>
        <v>5.8045</v>
      </c>
      <c r="AB198" s="64" t="e">
        <f>VLOOKUP(A198,Enforcements!$C$7:$K$18,8,0)</f>
        <v>#N/A</v>
      </c>
      <c r="AC198" s="60" t="e">
        <f>VLOOKUP(A198,Enforcements!$C$7:$E$18,3,0)</f>
        <v>#N/A</v>
      </c>
      <c r="AD198" s="61" t="str">
        <f t="shared" si="134"/>
        <v>0838-15</v>
      </c>
      <c r="AE198"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198" s="88" t="str">
        <f t="shared" si="79"/>
        <v>"C:\Program Files (x86)\AstroGrep\AstroGrep.exe" /spath="%USERPROFILE%\AppData\Local\Temp\OnboardLogs" /stypes="app*4041*20161216*" /stext=" 01:.+((SYSTEM_STATE.+slice.+state.+changed )|(ment ac)|(multiple cpu faults)|(system.+state.+changed )|(\[timeout)|(PRM\|1\|D)|(kpr)|(kdp)|(\|lc)|(penalty))" /e /r /s</v>
      </c>
      <c r="AG198" s="1" t="str">
        <f t="shared" si="135"/>
        <v>NW</v>
      </c>
      <c r="AH198" s="92" t="str">
        <f t="shared" si="81"/>
        <v>"%USERPROFILE%\Documents\GitHub\eaglep3\Utilities\RefineRTDCRunTimes.py" --tripid 838-15 --locoid 4041 --swversion DE.1.0.8.0 --startMP 300:58655 --initTime 2016-12-15T18:38:32 --startdatetime 2016-12-15T18:40:44 --delay 1 --endMP 204:610 --enddatetime 2016-12-15T18:56:38 --enforcementcount 0 &gt;&gt;C:\Users\stu\Documents\GitHub\eaglep3-reporting\EC\2016-12-15-refined-times.txt</v>
      </c>
      <c r="AI198" s="119" t="str">
        <f t="shared" si="82"/>
        <v>echo {"issue":{"subject":"","project_id":79,"tracker_id":40,"status_id":1,"priority_id":2,"assigned_to_id":23,"start_date":"2016-12-15","description":"","custom_fields":[{"id":1,"name":"Subdivision","value":"NW"},{"id":4,"name":"Milepost","value":"0.061"},{"id":17,"name":"Train ID","value":"838-15"},{"id":16,"name":"Locomotive ID","value":"4041"},{"id":130,"name":"Impact","value":""},{"id":150,"name":"Time of Event (Mountain Time)","value":"18:56:38"},{"id":151,"name":"Denver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row>
    <row r="199" spans="1:91" x14ac:dyDescent="0.25">
      <c r="A199" s="37" t="s">
        <v>741</v>
      </c>
      <c r="B199" s="7">
        <v>4051</v>
      </c>
      <c r="C199" s="22" t="s">
        <v>207</v>
      </c>
      <c r="D199" s="22" t="s">
        <v>919</v>
      </c>
      <c r="E199" s="13">
        <v>42719.769305555557</v>
      </c>
      <c r="F199" s="13">
        <v>42719.785578703704</v>
      </c>
      <c r="G199" s="7">
        <v>0</v>
      </c>
      <c r="H199" s="22" t="s">
        <v>920</v>
      </c>
      <c r="I199" s="13">
        <v>42719.794502314813</v>
      </c>
      <c r="J199" s="7">
        <v>0</v>
      </c>
      <c r="K199" s="109" t="str">
        <f t="shared" si="127"/>
        <v>4051/4052</v>
      </c>
      <c r="L199" s="22" t="str">
        <f>VLOOKUP(A199,'Trips&amp;Operators'!$C$1:$G$99999,5,FALSE)</f>
        <v>SIMMONS SHYHESHA</v>
      </c>
      <c r="M199" s="6">
        <f t="shared" si="128"/>
        <v>8.923611108912155E-3</v>
      </c>
      <c r="N199" s="7">
        <f t="shared" si="124"/>
        <v>12.849999996833503</v>
      </c>
      <c r="O199" s="7"/>
      <c r="P199" s="7"/>
      <c r="Q199" s="23"/>
      <c r="R199" s="23"/>
      <c r="S199" s="35">
        <f t="shared" si="129"/>
        <v>1</v>
      </c>
      <c r="T199" s="50" t="str">
        <f t="shared" si="130"/>
        <v>NorthBound</v>
      </c>
      <c r="U199" s="171">
        <f>IF(AG199="EC",COUNTIFS(Variables!$M$2:$M$19,IF(T199="NorthBound","&gt;=","&lt;=")&amp;Y199,Variables!$M$2:$M$19,IF(T199="NorthBound","&lt;=","&gt;=")&amp;Z199),COUNTIFS(Variables!$P$2:$P$19,IF(T199="NorthBound","&gt;=","&lt;=")&amp;Y199,Variables!$P$2:$P$19,IF(T199="NorthBound","&lt;=","&gt;=")&amp;Z199))</f>
        <v>1</v>
      </c>
      <c r="V199" s="98" t="str">
        <f t="shared" si="74"/>
        <v>https://search-rtdc-monitor-bjffxe2xuh6vdkpspy63sjmuny.us-east-1.es.amazonaws.com/_plugin/kibana/#/discover/Steve-Slow-Train-Analysis-(2080s-and-2083s)?_g=(refreshInterval:(display:Off,section:0,value:0),time:(from:'2016-12-15 17:27:48-700',mode:absolute,to:'2016-12-15 20:04:05-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199" s="52" t="str">
        <f t="shared" si="131"/>
        <v>N</v>
      </c>
      <c r="X199" s="177">
        <f t="shared" si="126"/>
        <v>1</v>
      </c>
      <c r="Y199" s="67">
        <f t="shared" si="132"/>
        <v>0.1</v>
      </c>
      <c r="Z199" s="67">
        <f t="shared" si="125"/>
        <v>5.8925999999999998</v>
      </c>
      <c r="AA199" s="67">
        <f t="shared" si="133"/>
        <v>5.7926000000000002</v>
      </c>
      <c r="AB199" s="64" t="e">
        <f>VLOOKUP(A199,Enforcements!$C$7:$K$18,8,0)</f>
        <v>#N/A</v>
      </c>
      <c r="AC199" s="60" t="e">
        <f>VLOOKUP(A199,Enforcements!$C$7:$E$18,3,0)</f>
        <v>#N/A</v>
      </c>
      <c r="AD199" s="61" t="str">
        <f t="shared" si="134"/>
        <v>0839-15</v>
      </c>
      <c r="AE199" s="91" t="str">
        <f t="shared" si="78"/>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199" s="88" t="str">
        <f t="shared" si="79"/>
        <v>"C:\Program Files (x86)\AstroGrep\AstroGrep.exe" /spath="%USERPROFILE%\AppData\Local\Temp\OnboardLogs" /stypes="app*4051*20161216*" /stext=" 02:.+((SYSTEM_STATE.+slice.+state.+changed )|(ment ac)|(multiple cpu faults)|(system.+state.+changed )|(\[timeout)|(PRM\|1\|D)|(kpr)|(kdp)|(\|lc)|(penalty))" /e /r /s</v>
      </c>
      <c r="AG199" s="1" t="str">
        <f t="shared" si="135"/>
        <v>NW</v>
      </c>
      <c r="AH199" s="92" t="str">
        <f t="shared" si="81"/>
        <v>"%USERPROFILE%\Documents\GitHub\eaglep3\Utilities\RefineRTDCRunTimes.py" --tripid 839-15 --locoid 4051 --swversion DE.1.0.8.0 --startMP 204:1000 --initTime 2016-12-15T18:27:48 --startdatetime 2016-12-15T18:51:14 --delay 0 --endMP 300:58926 --enddatetime 2016-12-15T19:04:05 --enforcementcount 0 &gt;&gt;C:\Users\stu\Documents\GitHub\eaglep3-reporting\EC\2016-12-15-refined-times.txt</v>
      </c>
      <c r="AI199" s="119" t="str">
        <f t="shared" si="82"/>
        <v>echo {"issue":{"subject":"","project_id":79,"tracker_id":40,"status_id":1,"priority_id":2,"assigned_to_id":23,"start_date":"2016-12-15","description":"","custom_fields":[{"id":1,"name":"Subdivision","value":"NW"},{"id":4,"name":"Milepost","value":"5.8926"},{"id":17,"name":"Train ID","value":"839-15"},{"id":16,"name":"Locomotive ID","value":"4051"},{"id":130,"name":"Impact","value":""},{"id":150,"name":"Time of Event (Mountain Time)","value":"19:04:05"},{"id":151,"name":"Denver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row>
    <row r="200" spans="1:91" x14ac:dyDescent="0.25">
      <c r="A200" s="37" t="s">
        <v>753</v>
      </c>
      <c r="B200" s="7">
        <v>4041</v>
      </c>
      <c r="C200" s="22" t="s">
        <v>207</v>
      </c>
      <c r="D200" s="22" t="s">
        <v>921</v>
      </c>
      <c r="E200" s="13">
        <v>42719.817627314813</v>
      </c>
      <c r="F200" s="13">
        <v>42719.8200462963</v>
      </c>
      <c r="G200" s="7">
        <v>1</v>
      </c>
      <c r="H200" s="22" t="s">
        <v>428</v>
      </c>
      <c r="I200" s="13">
        <v>42719.831018518518</v>
      </c>
      <c r="J200" s="7">
        <v>0</v>
      </c>
      <c r="K200" s="109" t="str">
        <f t="shared" si="127"/>
        <v>4041/4042</v>
      </c>
      <c r="L200" s="22" t="str">
        <f>VLOOKUP(A200,'Trips&amp;Operators'!$C$1:$G$99999,5,FALSE)</f>
        <v>DUNCAN SHEILA</v>
      </c>
      <c r="M200" s="6">
        <f t="shared" si="128"/>
        <v>1.0972222218697425E-2</v>
      </c>
      <c r="N200" s="7">
        <f t="shared" si="124"/>
        <v>15.799999994924292</v>
      </c>
      <c r="O200" s="7"/>
      <c r="P200" s="7"/>
      <c r="Q200" s="23"/>
      <c r="R200" s="23"/>
      <c r="S200" s="35">
        <f t="shared" si="129"/>
        <v>1</v>
      </c>
      <c r="T200" s="50" t="str">
        <f t="shared" si="130"/>
        <v>Southbound</v>
      </c>
      <c r="U200" s="171">
        <f>IF(AG200="EC",COUNTIFS(Variables!$M$2:$M$19,IF(T200="NorthBound","&gt;=","&lt;=")&amp;Y200,Variables!$M$2:$M$19,IF(T200="NorthBound","&lt;=","&gt;=")&amp;Z200),COUNTIFS(Variables!$P$2:$P$19,IF(T200="NorthBound","&gt;=","&lt;=")&amp;Y200,Variables!$P$2:$P$19,IF(T200="NorthBound","&lt;=","&gt;=")&amp;Z200))</f>
        <v>1</v>
      </c>
      <c r="V200" s="98" t="str">
        <f t="shared" si="74"/>
        <v>https://search-rtdc-monitor-bjffxe2xuh6vdkpspy63sjmuny.us-east-1.es.amazonaws.com/_plugin/kibana/#/discover/Steve-Slow-Train-Analysis-(2080s-and-2083s)?_g=(refreshInterval:(display:Off,section:0,value:0),time:(from:'2016-12-15 18:37:23-700',mode:absolute,to:'2016-12-15 20:56: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0" s="52" t="str">
        <f t="shared" si="131"/>
        <v>N</v>
      </c>
      <c r="X200" s="177">
        <f t="shared" si="126"/>
        <v>1</v>
      </c>
      <c r="Y200" s="67">
        <f t="shared" si="132"/>
        <v>5.8608000000000002</v>
      </c>
      <c r="Z200" s="67">
        <f t="shared" si="125"/>
        <v>7.0599999999999996E-2</v>
      </c>
      <c r="AA200" s="67">
        <f t="shared" si="133"/>
        <v>5.7902000000000005</v>
      </c>
      <c r="AB200" s="64" t="e">
        <f>VLOOKUP(A200,Enforcements!$C$7:$K$18,8,0)</f>
        <v>#N/A</v>
      </c>
      <c r="AC200" s="60" t="e">
        <f>VLOOKUP(A200,Enforcements!$C$7:$E$18,3,0)</f>
        <v>#N/A</v>
      </c>
      <c r="AD200" s="61" t="str">
        <f t="shared" si="134"/>
        <v>0840-15</v>
      </c>
      <c r="AE200"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200" s="88" t="str">
        <f t="shared" si="79"/>
        <v>"C:\Program Files (x86)\AstroGrep\AstroGrep.exe" /spath="%USERPROFILE%\AppData\Local\Temp\OnboardLogs" /stypes="app*4041*20161216*" /stext=" 02:.+((SYSTEM_STATE.+slice.+state.+changed )|(ment ac)|(multiple cpu faults)|(system.+state.+changed )|(\[timeout)|(PRM\|1\|D)|(kpr)|(kdp)|(\|lc)|(penalty))" /e /r /s</v>
      </c>
      <c r="AG200" s="1" t="str">
        <f t="shared" si="135"/>
        <v>NW</v>
      </c>
      <c r="AH200" s="92" t="str">
        <f t="shared" si="81"/>
        <v>"%USERPROFILE%\Documents\GitHub\eaglep3\Utilities\RefineRTDCRunTimes.py" --tripid 840-15 --locoid 4041 --swversion DE.1.0.8.0 --startMP 300:58608 --initTime 2016-12-15T19:37:23 --startdatetime 2016-12-15T19:40:52 --delay 1 --endMP 204:706 --enddatetime 2016-12-15T19:56:40 --enforcementcount 0 &gt;&gt;C:\Users\stu\Documents\GitHub\eaglep3-reporting\EC\2016-12-15-refined-times.txt</v>
      </c>
      <c r="AI200" s="119" t="str">
        <f t="shared" si="82"/>
        <v>echo {"issue":{"subject":"","project_id":79,"tracker_id":40,"status_id":1,"priority_id":2,"assigned_to_id":23,"start_date":"2016-12-15","description":"","custom_fields":[{"id":1,"name":"Subdivision","value":"NW"},{"id":4,"name":"Milepost","value":"0.0706"},{"id":17,"name":"Train ID","value":"840-15"},{"id":16,"name":"Locomotive ID","value":"4041"},{"id":130,"name":"Impact","value":""},{"id":150,"name":"Time of Event (Mountain Time)","value":"19:56:40"},{"id":151,"name":"Denver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row>
    <row r="201" spans="1:91" s="21" customFormat="1" x14ac:dyDescent="0.25">
      <c r="A201" s="37" t="s">
        <v>751</v>
      </c>
      <c r="B201" s="7">
        <v>4042</v>
      </c>
      <c r="C201" s="22" t="s">
        <v>207</v>
      </c>
      <c r="D201" s="22" t="s">
        <v>922</v>
      </c>
      <c r="E201" s="13">
        <v>42719.801030092596</v>
      </c>
      <c r="F201" s="13">
        <v>42719.80641203704</v>
      </c>
      <c r="G201" s="7">
        <v>1</v>
      </c>
      <c r="H201" s="22" t="s">
        <v>430</v>
      </c>
      <c r="I201" s="13">
        <v>42719.815937500003</v>
      </c>
      <c r="J201" s="7">
        <v>0</v>
      </c>
      <c r="K201" s="109" t="str">
        <f t="shared" si="127"/>
        <v>4041/4042</v>
      </c>
      <c r="L201" s="22" t="str">
        <f>VLOOKUP(A201,'Trips&amp;Operators'!$C$1:$G$99999,5,FALSE)</f>
        <v>DUNCAN SHEILA</v>
      </c>
      <c r="M201" s="6">
        <f t="shared" si="128"/>
        <v>9.5254629632108845E-3</v>
      </c>
      <c r="N201" s="7">
        <f t="shared" si="124"/>
        <v>13.716666667023674</v>
      </c>
      <c r="O201" s="7"/>
      <c r="P201" s="7"/>
      <c r="Q201" s="23"/>
      <c r="R201" s="23"/>
      <c r="S201" s="35">
        <f t="shared" si="129"/>
        <v>1</v>
      </c>
      <c r="T201" s="50" t="str">
        <f t="shared" si="130"/>
        <v>NorthBound</v>
      </c>
      <c r="U201" s="171">
        <f>IF(AG201="EC",COUNTIFS(Variables!$M$2:$M$19,IF(T201="NorthBound","&gt;=","&lt;=")&amp;Y201,Variables!$M$2:$M$19,IF(T201="NorthBound","&lt;=","&gt;=")&amp;Z201),COUNTIFS(Variables!$P$2:$P$19,IF(T201="NorthBound","&gt;=","&lt;=")&amp;Y201,Variables!$P$2:$P$19,IF(T201="NorthBound","&lt;=","&gt;=")&amp;Z201))</f>
        <v>1</v>
      </c>
      <c r="V201" s="98" t="str">
        <f t="shared" si="74"/>
        <v>https://search-rtdc-monitor-bjffxe2xuh6vdkpspy63sjmuny.us-east-1.es.amazonaws.com/_plugin/kibana/#/discover/Steve-Slow-Train-Analysis-(2080s-and-2083s)?_g=(refreshInterval:(display:Off,section:0,value:0),time:(from:'2016-12-15 18:13:29-700',mode:absolute,to:'2016-12-15 20:34:57-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1" s="52" t="str">
        <f t="shared" si="131"/>
        <v>N</v>
      </c>
      <c r="X201" s="177">
        <f t="shared" si="126"/>
        <v>1</v>
      </c>
      <c r="Y201" s="67">
        <f t="shared" si="132"/>
        <v>9.06E-2</v>
      </c>
      <c r="Z201" s="67">
        <f t="shared" si="125"/>
        <v>5.8933</v>
      </c>
      <c r="AA201" s="67">
        <f t="shared" si="133"/>
        <v>5.8026999999999997</v>
      </c>
      <c r="AB201" s="64" t="e">
        <f>VLOOKUP(A201,Enforcements!$C$7:$K$18,8,0)</f>
        <v>#N/A</v>
      </c>
      <c r="AC201" s="60" t="e">
        <f>VLOOKUP(A201,Enforcements!$C$7:$E$18,3,0)</f>
        <v>#N/A</v>
      </c>
      <c r="AD201" s="61" t="str">
        <f t="shared" si="134"/>
        <v>0841-15</v>
      </c>
      <c r="AE201"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201" s="88" t="str">
        <f t="shared" si="79"/>
        <v>"C:\Program Files (x86)\AstroGrep\AstroGrep.exe" /spath="%USERPROFILE%\AppData\Local\Temp\OnboardLogs" /stypes="app*4042*20161216*" /stext=" 02:.+((SYSTEM_STATE.+slice.+state.+changed )|(ment ac)|(multiple cpu faults)|(system.+state.+changed )|(\[timeout)|(PRM\|1\|D)|(kpr)|(kdp)|(\|lc)|(penalty))" /e /r /s</v>
      </c>
      <c r="AG201" s="1" t="str">
        <f t="shared" si="135"/>
        <v>NW</v>
      </c>
      <c r="AH201" s="92" t="str">
        <f t="shared" si="81"/>
        <v>"%USERPROFILE%\Documents\GitHub\eaglep3\Utilities\RefineRTDCRunTimes.py" --tripid 841-15 --locoid 4042 --swversion DE.1.0.8.0 --startMP 204:906 --initTime 2016-12-15T19:13:29 --startdatetime 2016-12-15T19:21:14 --delay 1 --endMP 300:58933 --enddatetime 2016-12-15T19:34:57 --enforcementcount 0 &gt;&gt;C:\Users\stu\Documents\GitHub\eaglep3-reporting\EC\2016-12-15-refined-times.txt</v>
      </c>
      <c r="AI201" s="119" t="str">
        <f t="shared" si="82"/>
        <v>echo {"issue":{"subject":"","project_id":79,"tracker_id":40,"status_id":1,"priority_id":2,"assigned_to_id":23,"start_date":"2016-12-15","description":"","custom_fields":[{"id":1,"name":"Subdivision","value":"NW"},{"id":4,"name":"Milepost","value":"5.8933"},{"id":17,"name":"Train ID","value":"841-15"},{"id":16,"name":"Locomotive ID","value":"4042"},{"id":130,"name":"Impact","value":""},{"id":150,"name":"Time of Event (Mountain Time)","value":"19:34:57"},{"id":151,"name":"Denver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x14ac:dyDescent="0.25">
      <c r="A202" s="37" t="s">
        <v>760</v>
      </c>
      <c r="B202" s="7">
        <v>4041</v>
      </c>
      <c r="C202" s="22" t="s">
        <v>207</v>
      </c>
      <c r="D202" s="22" t="s">
        <v>900</v>
      </c>
      <c r="E202" s="13">
        <v>42719.860891203702</v>
      </c>
      <c r="F202" s="13">
        <v>42719.862581018519</v>
      </c>
      <c r="G202" s="7">
        <v>1</v>
      </c>
      <c r="H202" s="22" t="s">
        <v>782</v>
      </c>
      <c r="I202" s="13">
        <v>42719.871944444443</v>
      </c>
      <c r="J202" s="7">
        <v>0</v>
      </c>
      <c r="K202" s="109" t="str">
        <f t="shared" si="127"/>
        <v>4041/4042</v>
      </c>
      <c r="L202" s="22" t="str">
        <f>VLOOKUP(A202,'Trips&amp;Operators'!$C$1:$G$99999,5,FALSE)</f>
        <v>DUNCAN SHEILA</v>
      </c>
      <c r="M202" s="6">
        <f t="shared" si="128"/>
        <v>9.3634259246755391E-3</v>
      </c>
      <c r="N202" s="7">
        <f t="shared" si="124"/>
        <v>13.483333331532776</v>
      </c>
      <c r="O202" s="7"/>
      <c r="P202" s="7"/>
      <c r="Q202" s="23"/>
      <c r="R202" s="23"/>
      <c r="S202" s="35">
        <f t="shared" si="129"/>
        <v>1</v>
      </c>
      <c r="T202" s="50" t="str">
        <f t="shared" si="130"/>
        <v>Southbound</v>
      </c>
      <c r="U202" s="171">
        <f>IF(AG202="EC",COUNTIFS(Variables!$M$2:$M$19,IF(T202="NorthBound","&gt;=","&lt;=")&amp;Y202,Variables!$M$2:$M$19,IF(T202="NorthBound","&lt;=","&gt;=")&amp;Z202),COUNTIFS(Variables!$P$2:$P$19,IF(T202="NorthBound","&gt;=","&lt;=")&amp;Y202,Variables!$P$2:$P$19,IF(T202="NorthBound","&lt;=","&gt;=")&amp;Z202))</f>
        <v>1</v>
      </c>
      <c r="V202" s="98" t="str">
        <f t="shared" si="74"/>
        <v>https://search-rtdc-monitor-bjffxe2xuh6vdkpspy63sjmuny.us-east-1.es.amazonaws.com/_plugin/kibana/#/discover/Steve-Slow-Train-Analysis-(2080s-and-2083s)?_g=(refreshInterval:(display:Off,section:0,value:0),time:(from:'2016-12-15 19:39:41-700',mode:absolute,to:'2016-12-15 21:55:36-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2" s="52" t="str">
        <f t="shared" si="131"/>
        <v>N</v>
      </c>
      <c r="X202" s="177">
        <f t="shared" si="126"/>
        <v>1</v>
      </c>
      <c r="Y202" s="67">
        <f t="shared" si="132"/>
        <v>5.8620999999999999</v>
      </c>
      <c r="Z202" s="67">
        <f t="shared" si="125"/>
        <v>7.5399999999999995E-2</v>
      </c>
      <c r="AA202" s="67">
        <f t="shared" si="133"/>
        <v>5.7866999999999997</v>
      </c>
      <c r="AB202" s="64" t="e">
        <f>VLOOKUP(A202,Enforcements!$C$7:$K$18,8,0)</f>
        <v>#N/A</v>
      </c>
      <c r="AC202" s="60" t="e">
        <f>VLOOKUP(A202,Enforcements!$C$7:$E$18,3,0)</f>
        <v>#N/A</v>
      </c>
      <c r="AD202" s="61" t="str">
        <f t="shared" si="134"/>
        <v>0842-15</v>
      </c>
      <c r="AE202"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202" s="88" t="str">
        <f t="shared" si="79"/>
        <v>"C:\Program Files (x86)\AstroGrep\AstroGrep.exe" /spath="%USERPROFILE%\AppData\Local\Temp\OnboardLogs" /stypes="app*4041*20161216*" /stext=" 03:.+((SYSTEM_STATE.+slice.+state.+changed )|(ment ac)|(multiple cpu faults)|(system.+state.+changed )|(\[timeout)|(PRM\|1\|D)|(kpr)|(kdp)|(\|lc)|(penalty))" /e /r /s</v>
      </c>
      <c r="AG202" s="1" t="str">
        <f t="shared" si="135"/>
        <v>NW</v>
      </c>
      <c r="AH202" s="92" t="str">
        <f t="shared" si="81"/>
        <v>"%USERPROFILE%\Documents\GitHub\eaglep3\Utilities\RefineRTDCRunTimes.py" --tripid 842-15 --locoid 4041 --swversion DE.1.0.8.0 --startMP 300:58621 --initTime 2016-12-15T20:39:41 --startdatetime 2016-12-15T20:42:07 --delay 1 --endMP 204:754 --enddatetime 2016-12-15T20:55:36 --enforcementcount 0 &gt;&gt;C:\Users\stu\Documents\GitHub\eaglep3-reporting\EC\2016-12-15-refined-times.txt</v>
      </c>
      <c r="AI202" s="119" t="str">
        <f t="shared" si="82"/>
        <v>echo {"issue":{"subject":"","project_id":79,"tracker_id":40,"status_id":1,"priority_id":2,"assigned_to_id":23,"start_date":"2016-12-15","description":"","custom_fields":[{"id":1,"name":"Subdivision","value":"NW"},{"id":4,"name":"Milepost","value":"0.0754"},{"id":17,"name":"Train ID","value":"842-15"},{"id":16,"name":"Locomotive ID","value":"4041"},{"id":130,"name":"Impact","value":""},{"id":150,"name":"Time of Event (Mountain Time)","value":"20:55:36"},{"id":151,"name":"Denver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row>
    <row r="203" spans="1:91" s="21" customFormat="1" x14ac:dyDescent="0.25">
      <c r="A203" s="37" t="s">
        <v>756</v>
      </c>
      <c r="B203" s="7">
        <v>4042</v>
      </c>
      <c r="C203" s="22" t="s">
        <v>207</v>
      </c>
      <c r="D203" s="22" t="s">
        <v>923</v>
      </c>
      <c r="E203" s="13">
        <v>42719.846041666664</v>
      </c>
      <c r="F203" s="13">
        <v>42719.848078703704</v>
      </c>
      <c r="G203" s="7">
        <v>1</v>
      </c>
      <c r="H203" s="22" t="s">
        <v>434</v>
      </c>
      <c r="I203" s="13">
        <v>42719.857986111114</v>
      </c>
      <c r="J203" s="7">
        <v>0</v>
      </c>
      <c r="K203" s="109" t="str">
        <f t="shared" si="127"/>
        <v>4041/4042</v>
      </c>
      <c r="L203" s="22" t="str">
        <f>VLOOKUP(A203,'Trips&amp;Operators'!$C$1:$G$99999,5,FALSE)</f>
        <v>DUNCAN SHEILA</v>
      </c>
      <c r="M203" s="6">
        <f t="shared" si="128"/>
        <v>9.9074074096279219E-3</v>
      </c>
      <c r="N203" s="7">
        <f t="shared" si="124"/>
        <v>14.266666669864208</v>
      </c>
      <c r="O203" s="7"/>
      <c r="P203" s="7"/>
      <c r="Q203" s="23"/>
      <c r="R203" s="23"/>
      <c r="S203" s="35">
        <f t="shared" si="129"/>
        <v>1</v>
      </c>
      <c r="T203" s="50" t="str">
        <f t="shared" si="130"/>
        <v>NorthBound</v>
      </c>
      <c r="U203" s="171">
        <f>IF(AG203="EC",COUNTIFS(Variables!$M$2:$M$19,IF(T203="NorthBound","&gt;=","&lt;=")&amp;Y203,Variables!$M$2:$M$19,IF(T203="NorthBound","&lt;=","&gt;=")&amp;Z203),COUNTIFS(Variables!$P$2:$P$19,IF(T203="NorthBound","&gt;=","&lt;=")&amp;Y203,Variables!$P$2:$P$19,IF(T203="NorthBound","&lt;=","&gt;=")&amp;Z203))</f>
        <v>1</v>
      </c>
      <c r="V203" s="98" t="str">
        <f t="shared" si="74"/>
        <v>https://search-rtdc-monitor-bjffxe2xuh6vdkpspy63sjmuny.us-east-1.es.amazonaws.com/_plugin/kibana/#/discover/Steve-Slow-Train-Analysis-(2080s-and-2083s)?_g=(refreshInterval:(display:Off,section:0,value:0),time:(from:'2016-12-15 19:18:18-700',mode:absolute,to:'2016-12-15 21:35:30-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3" s="52" t="str">
        <f t="shared" si="131"/>
        <v>N</v>
      </c>
      <c r="X203" s="177">
        <f t="shared" si="126"/>
        <v>1</v>
      </c>
      <c r="Y203" s="67">
        <f t="shared" si="132"/>
        <v>9.9000000000000005E-2</v>
      </c>
      <c r="Z203" s="67">
        <f t="shared" si="125"/>
        <v>5.8939000000000004</v>
      </c>
      <c r="AA203" s="67">
        <f t="shared" si="133"/>
        <v>5.7949000000000002</v>
      </c>
      <c r="AB203" s="64" t="e">
        <f>VLOOKUP(A203,Enforcements!$C$7:$K$18,8,0)</f>
        <v>#N/A</v>
      </c>
      <c r="AC203" s="60" t="e">
        <f>VLOOKUP(A203,Enforcements!$C$7:$E$18,3,0)</f>
        <v>#N/A</v>
      </c>
      <c r="AD203" s="61" t="str">
        <f t="shared" si="134"/>
        <v>0843-15</v>
      </c>
      <c r="AE203" s="91" t="str">
        <f t="shared" si="78"/>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203" s="88" t="str">
        <f t="shared" si="79"/>
        <v>"C:\Program Files (x86)\AstroGrep\AstroGrep.exe" /spath="%USERPROFILE%\AppData\Local\Temp\OnboardLogs" /stypes="app*4042*20161216*" /stext=" 03:.+((SYSTEM_STATE.+slice.+state.+changed )|(ment ac)|(multiple cpu faults)|(system.+state.+changed )|(\[timeout)|(PRM\|1\|D)|(kpr)|(kdp)|(\|lc)|(penalty))" /e /r /s</v>
      </c>
      <c r="AG203" s="1" t="str">
        <f t="shared" si="135"/>
        <v>NW</v>
      </c>
      <c r="AH203" s="92" t="str">
        <f t="shared" si="81"/>
        <v>"%USERPROFILE%\Documents\GitHub\eaglep3\Utilities\RefineRTDCRunTimes.py" --tripid 843-15 --locoid 4042 --swversion DE.1.0.8.0 --startMP 204:990 --initTime 2016-12-15T20:18:18 --startdatetime 2016-12-15T20:21:14 --delay 1 --endMP 300:58939 --enddatetime 2016-12-15T20:35:30 --enforcementcount 0 &gt;&gt;C:\Users\stu\Documents\GitHub\eaglep3-reporting\EC\2016-12-15-refined-times.txt</v>
      </c>
      <c r="AI203" s="119" t="str">
        <f t="shared" si="82"/>
        <v>echo {"issue":{"subject":"","project_id":79,"tracker_id":40,"status_id":1,"priority_id":2,"assigned_to_id":23,"start_date":"2016-12-15","description":"","custom_fields":[{"id":1,"name":"Subdivision","value":"NW"},{"id":4,"name":"Milepost","value":"5.8939"},{"id":17,"name":"Train ID","value":"843-15"},{"id":16,"name":"Locomotive ID","value":"4042"},{"id":130,"name":"Impact","value":""},{"id":150,"name":"Time of Event (Mountain Time)","value":"20:35:30"},{"id":151,"name":"Denver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x14ac:dyDescent="0.25">
      <c r="A204" s="37" t="s">
        <v>580</v>
      </c>
      <c r="B204" s="7">
        <v>4041</v>
      </c>
      <c r="C204" s="22" t="s">
        <v>207</v>
      </c>
      <c r="D204" s="22" t="s">
        <v>924</v>
      </c>
      <c r="E204" s="13">
        <v>42719.899421296293</v>
      </c>
      <c r="F204" s="13">
        <v>42719.901018518518</v>
      </c>
      <c r="G204" s="7">
        <v>2</v>
      </c>
      <c r="H204" s="22" t="s">
        <v>925</v>
      </c>
      <c r="I204" s="13">
        <v>42719.91265046296</v>
      </c>
      <c r="J204" s="7">
        <v>0</v>
      </c>
      <c r="K204" s="109" t="str">
        <f t="shared" si="127"/>
        <v>4041/4042</v>
      </c>
      <c r="L204" s="22" t="str">
        <f>VLOOKUP(A204,'Trips&amp;Operators'!$C$1:$G$99999,5,FALSE)</f>
        <v>SIMMONS SHYHESHA</v>
      </c>
      <c r="M204" s="6">
        <f t="shared" si="128"/>
        <v>1.1631944442342501E-2</v>
      </c>
      <c r="N204" s="7">
        <f t="shared" si="124"/>
        <v>16.749999996973202</v>
      </c>
      <c r="O204" s="7"/>
      <c r="P204" s="7"/>
      <c r="Q204" s="23"/>
      <c r="R204" s="23"/>
      <c r="S204" s="35">
        <f t="shared" si="129"/>
        <v>1</v>
      </c>
      <c r="T204" s="50" t="str">
        <f t="shared" si="130"/>
        <v>Southbound</v>
      </c>
      <c r="U204" s="171">
        <f>IF(AG204="EC",COUNTIFS(Variables!$M$2:$M$19,IF(T204="NorthBound","&gt;=","&lt;=")&amp;Y204,Variables!$M$2:$M$19,IF(T204="NorthBound","&lt;=","&gt;=")&amp;Z204),COUNTIFS(Variables!$P$2:$P$19,IF(T204="NorthBound","&gt;=","&lt;=")&amp;Y204,Variables!$P$2:$P$19,IF(T204="NorthBound","&lt;=","&gt;=")&amp;Z204))</f>
        <v>1</v>
      </c>
      <c r="V204" s="98" t="str">
        <f t="shared" si="74"/>
        <v>https://search-rtdc-monitor-bjffxe2xuh6vdkpspy63sjmuny.us-east-1.es.amazonaws.com/_plugin/kibana/#/discover/Steve-Slow-Train-Analysis-(2080s-and-2083s)?_g=(refreshInterval:(display:Off,section:0,value:0),time:(from:'2016-12-15 20:35:10-700',mode:absolute,to:'2016-12-15 22:54:13-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4" s="52" t="str">
        <f t="shared" si="131"/>
        <v>N</v>
      </c>
      <c r="X204" s="177">
        <f t="shared" si="126"/>
        <v>1</v>
      </c>
      <c r="Y204" s="67">
        <f t="shared" si="132"/>
        <v>5.8517000000000001</v>
      </c>
      <c r="Z204" s="67">
        <f t="shared" si="125"/>
        <v>6.5600000000000006E-2</v>
      </c>
      <c r="AA204" s="67">
        <f t="shared" si="133"/>
        <v>5.7861000000000002</v>
      </c>
      <c r="AB204" s="64" t="e">
        <f>VLOOKUP(A204,Enforcements!$C$7:$K$18,8,0)</f>
        <v>#N/A</v>
      </c>
      <c r="AC204" s="60" t="e">
        <f>VLOOKUP(A204,Enforcements!$C$7:$E$18,3,0)</f>
        <v>#N/A</v>
      </c>
      <c r="AD204" s="61" t="str">
        <f t="shared" si="134"/>
        <v>0844-15</v>
      </c>
      <c r="AE204" s="91" t="str">
        <f t="shared" si="78"/>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204" s="88" t="str">
        <f t="shared" si="79"/>
        <v>"C:\Program Files (x86)\AstroGrep\AstroGrep.exe" /spath="%USERPROFILE%\AppData\Local\Temp\OnboardLogs" /stypes="app*4041*20161216*" /stext=" 04:.+((SYSTEM_STATE.+slice.+state.+changed )|(ment ac)|(multiple cpu faults)|(system.+state.+changed )|(\[timeout)|(PRM\|1\|D)|(kpr)|(kdp)|(\|lc)|(penalty))" /e /r /s</v>
      </c>
      <c r="AG204" s="1" t="str">
        <f t="shared" si="135"/>
        <v>NW</v>
      </c>
      <c r="AH204" s="92" t="str">
        <f t="shared" si="81"/>
        <v>"%USERPROFILE%\Documents\GitHub\eaglep3\Utilities\RefineRTDCRunTimes.py" --tripid 844-15 --locoid 4041 --swversion DE.1.0.8.0 --startMP 300:58517 --initTime 2016-12-15T21:35:10 --startdatetime 2016-12-15T21:37:28 --delay 2 --endMP 204:656 --enddatetime 2016-12-15T21:54:13 --enforcementcount 0 &gt;&gt;C:\Users\stu\Documents\GitHub\eaglep3-reporting\EC\2016-12-15-refined-times.txt</v>
      </c>
      <c r="AI204" s="119" t="str">
        <f t="shared" si="82"/>
        <v>echo {"issue":{"subject":"","project_id":79,"tracker_id":40,"status_id":1,"priority_id":2,"assigned_to_id":23,"start_date":"2016-12-15","description":"","custom_fields":[{"id":1,"name":"Subdivision","value":"NW"},{"id":4,"name":"Milepost","value":"0.0656"},{"id":17,"name":"Train ID","value":"844-15"},{"id":16,"name":"Locomotive ID","value":"4041"},{"id":130,"name":"Impact","value":""},{"id":150,"name":"Time of Event (Mountain Time)","value":"21:54:13"},{"id":151,"name":"Denver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row>
    <row r="205" spans="1:91" x14ac:dyDescent="0.25">
      <c r="A205" s="37" t="s">
        <v>763</v>
      </c>
      <c r="B205" s="7">
        <v>4042</v>
      </c>
      <c r="C205" s="22" t="s">
        <v>207</v>
      </c>
      <c r="D205" s="22" t="s">
        <v>926</v>
      </c>
      <c r="E205" s="13">
        <v>42719.874606481484</v>
      </c>
      <c r="F205" s="13">
        <v>42719.889733796299</v>
      </c>
      <c r="G205" s="7">
        <v>1</v>
      </c>
      <c r="H205" s="22" t="s">
        <v>927</v>
      </c>
      <c r="I205" s="13">
        <v>42719.898622685185</v>
      </c>
      <c r="J205" s="7">
        <v>0</v>
      </c>
      <c r="K205" s="109" t="str">
        <f t="shared" si="127"/>
        <v>4041/4042</v>
      </c>
      <c r="L205" s="22" t="str">
        <f>VLOOKUP(A205,'Trips&amp;Operators'!$C$1:$G$99999,5,FALSE)</f>
        <v>SIMMONS SHYHESHA</v>
      </c>
      <c r="M205" s="6">
        <f t="shared" si="128"/>
        <v>8.8888888858491555E-3</v>
      </c>
      <c r="N205" s="7">
        <f t="shared" si="124"/>
        <v>12.799999995622784</v>
      </c>
      <c r="O205" s="7"/>
      <c r="P205" s="7"/>
      <c r="Q205" s="23"/>
      <c r="R205" s="23"/>
      <c r="S205" s="35">
        <f t="shared" si="129"/>
        <v>1</v>
      </c>
      <c r="T205" s="50" t="str">
        <f t="shared" si="130"/>
        <v>NorthBound</v>
      </c>
      <c r="U205" s="171">
        <f>IF(AG205="EC",COUNTIFS(Variables!$M$2:$M$19,IF(T205="NorthBound","&gt;=","&lt;=")&amp;Y205,Variables!$M$2:$M$19,IF(T205="NorthBound","&lt;=","&gt;=")&amp;Z205),COUNTIFS(Variables!$P$2:$P$19,IF(T205="NorthBound","&gt;=","&lt;=")&amp;Y205,Variables!$P$2:$P$19,IF(T205="NorthBound","&lt;=","&gt;=")&amp;Z205))</f>
        <v>1</v>
      </c>
      <c r="V205" s="98" t="str">
        <f t="shared" ref="V205:V238" si="136">"https://search-rtdc-monitor-bjffxe2xuh6vdkpspy63sjmuny.us-east-1.es.amazonaws.com/_plugin/kibana/#/discover/Steve-Slow-Train-Analysis-(2080s-and-2083s)?_g=(refreshInterval:(display:Off,section:0,value:0),time:(from:'"&amp;TEXT(E205-1/24,"yyyy-MM-DD hh:mm:ss")&amp;utc_offset&amp;"00',mode:absolute,to:'"&amp;TEXT(I205+1/24,"yyyy-MM-DD hh:mm:ss")&amp;utc_offset&amp;"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https://search-rtdc-monitor-bjffxe2xuh6vdkpspy63sjmuny.us-east-1.es.amazonaws.com/_plugin/kibana/#/discover/Steve-Slow-Train-Analysis-(2080s-and-2083s)?_g=(refreshInterval:(display:Off,section:0,value:0),time:(from:'2016-12-15 19:59:26-700',mode:absolute,to:'2016-12-15 22:34:01-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5" s="52" t="str">
        <f t="shared" si="131"/>
        <v>N</v>
      </c>
      <c r="X205" s="177">
        <f t="shared" si="126"/>
        <v>1</v>
      </c>
      <c r="Y205" s="67">
        <f t="shared" si="132"/>
        <v>0.1032</v>
      </c>
      <c r="Z205" s="67">
        <f t="shared" si="125"/>
        <v>5.8929</v>
      </c>
      <c r="AA205" s="67">
        <f t="shared" si="133"/>
        <v>5.7896999999999998</v>
      </c>
      <c r="AB205" s="64" t="e">
        <f>VLOOKUP(A205,Enforcements!$C$7:$K$18,8,0)</f>
        <v>#N/A</v>
      </c>
      <c r="AC205" s="60" t="e">
        <f>VLOOKUP(A205,Enforcements!$C$7:$E$18,3,0)</f>
        <v>#N/A</v>
      </c>
      <c r="AD205" s="61" t="str">
        <f t="shared" si="134"/>
        <v>0845-15</v>
      </c>
      <c r="AE205" s="91" t="str">
        <f t="shared" ref="AE205:AE238" si="137">"aws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205" s="88" t="str">
        <f t="shared" ref="AF205:AF238" si="138">astrogrep_path&amp;" /spath="&amp;search_path&amp;" /stypes=""app*"&amp;B205&amp;"*"&amp;TEXT(I205-utc_offset/24,"YYYYMMDD")&amp;"*"" /stext="" "&amp;TEXT(I205-utc_offset/24,"HH")&amp;search_regexp&amp;""" /e /r /s"</f>
        <v>"C:\Program Files (x86)\AstroGrep\AstroGrep.exe" /spath="%USERPROFILE%\AppData\Local\Temp\OnboardLogs" /stypes="app*4042*20161216*" /stext=" 04:.+((SYSTEM_STATE.+slice.+state.+changed )|(ment ac)|(multiple cpu faults)|(system.+state.+changed )|(\[timeout)|(PRM\|1\|D)|(kpr)|(kdp)|(\|lc)|(penalty))" /e /r /s</v>
      </c>
      <c r="AG205" s="1" t="str">
        <f t="shared" si="135"/>
        <v>NW</v>
      </c>
      <c r="AH205" s="92" t="str">
        <f t="shared" si="81"/>
        <v>"%USERPROFILE%\Documents\GitHub\eaglep3\Utilities\RefineRTDCRunTimes.py" --tripid 845-15 --locoid 4042 --swversion DE.1.0.8.0 --startMP 204:1032 --initTime 2016-12-15T20:59:26 --startdatetime 2016-12-15T21:21:13 --delay 1 --endMP 300:58929 --enddatetime 2016-12-15T21:34:01 --enforcementcount 0 &gt;&gt;C:\Users\stu\Documents\GitHub\eaglep3-reporting\EC\2016-12-15-refined-times.txt</v>
      </c>
      <c r="AI205" s="119" t="str">
        <f t="shared" si="82"/>
        <v>echo {"issue":{"subject":"","project_id":79,"tracker_id":40,"status_id":1,"priority_id":2,"assigned_to_id":23,"start_date":"2016-12-15","description":"","custom_fields":[{"id":1,"name":"Subdivision","value":"NW"},{"id":4,"name":"Milepost","value":"5.8929"},{"id":17,"name":"Train ID","value":"845-15"},{"id":16,"name":"Locomotive ID","value":"4042"},{"id":130,"name":"Impact","value":""},{"id":150,"name":"Time of Event (Mountain Time)","value":"21:34:01"},{"id":151,"name":"Denver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x14ac:dyDescent="0.25">
      <c r="A206" s="37" t="s">
        <v>767</v>
      </c>
      <c r="B206" s="7">
        <v>4042</v>
      </c>
      <c r="C206" s="22" t="s">
        <v>207</v>
      </c>
      <c r="D206" s="22" t="s">
        <v>928</v>
      </c>
      <c r="E206" s="13">
        <v>42719.914050925923</v>
      </c>
      <c r="F206" s="13">
        <v>42719.93141203704</v>
      </c>
      <c r="G206" s="7">
        <v>1</v>
      </c>
      <c r="H206" s="22" t="s">
        <v>927</v>
      </c>
      <c r="I206" s="13">
        <v>42719.940104166664</v>
      </c>
      <c r="J206" s="7">
        <v>0</v>
      </c>
      <c r="K206" s="109" t="str">
        <f t="shared" si="127"/>
        <v>4041/4042</v>
      </c>
      <c r="L206" s="22" t="str">
        <f>VLOOKUP(A206,'Trips&amp;Operators'!$C$1:$G$99999,5,FALSE)</f>
        <v>SIMMONS SHYHESHA</v>
      </c>
      <c r="M206" s="6">
        <f t="shared" si="128"/>
        <v>8.6921296242508106E-3</v>
      </c>
      <c r="N206" s="7">
        <f t="shared" si="124"/>
        <v>12.516666658921167</v>
      </c>
      <c r="O206" s="7"/>
      <c r="P206" s="7"/>
      <c r="Q206" s="23"/>
      <c r="R206" s="23"/>
      <c r="S206" s="35">
        <f t="shared" si="129"/>
        <v>1</v>
      </c>
      <c r="T206" s="50" t="str">
        <f t="shared" si="130"/>
        <v>NorthBound</v>
      </c>
      <c r="U206" s="171">
        <f>IF(AG206="EC",COUNTIFS(Variables!$M$2:$M$19,IF(T206="NorthBound","&gt;=","&lt;=")&amp;Y206,Variables!$M$2:$M$19,IF(T206="NorthBound","&lt;=","&gt;=")&amp;Z206),COUNTIFS(Variables!$P$2:$P$19,IF(T206="NorthBound","&gt;=","&lt;=")&amp;Y206,Variables!$P$2:$P$19,IF(T206="NorthBound","&lt;=","&gt;=")&amp;Z206))</f>
        <v>1</v>
      </c>
      <c r="V206" s="98" t="str">
        <f t="shared" si="136"/>
        <v>https://search-rtdc-monitor-bjffxe2xuh6vdkpspy63sjmuny.us-east-1.es.amazonaws.com/_plugin/kibana/#/discover/Steve-Slow-Train-Analysis-(2080s-and-2083s)?_g=(refreshInterval:(display:Off,section:0,value:0),time:(from:'2016-12-15 20:56:14-700',mode:absolute,to:'2016-12-15 23:33:45-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6" s="52" t="str">
        <f t="shared" si="131"/>
        <v>N</v>
      </c>
      <c r="X206" s="177">
        <f t="shared" si="126"/>
        <v>2</v>
      </c>
      <c r="Y206" s="67">
        <f t="shared" si="132"/>
        <v>9.5100000000000004E-2</v>
      </c>
      <c r="Z206" s="67">
        <f t="shared" si="125"/>
        <v>5.8929</v>
      </c>
      <c r="AA206" s="67">
        <f t="shared" si="133"/>
        <v>5.7977999999999996</v>
      </c>
      <c r="AB206" s="64" t="e">
        <f>VLOOKUP(A206,Enforcements!$C$7:$K$18,8,0)</f>
        <v>#N/A</v>
      </c>
      <c r="AC206" s="60" t="e">
        <f>VLOOKUP(A206,Enforcements!$C$7:$E$18,3,0)</f>
        <v>#N/A</v>
      </c>
      <c r="AD206" s="61" t="str">
        <f t="shared" si="134"/>
        <v>0847-15</v>
      </c>
      <c r="AE206" s="91" t="str">
        <f t="shared" si="137"/>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AF206" s="88" t="str">
        <f t="shared" si="138"/>
        <v>"C:\Program Files (x86)\AstroGrep\AstroGrep.exe" /spath="%USERPROFILE%\AppData\Local\Temp\OnboardLogs" /stypes="app*4042*20161216*" /stext=" 05:.+((SYSTEM_STATE.+slice.+state.+changed )|(ment ac)|(multiple cpu faults)|(system.+state.+changed )|(\[timeout)|(PRM\|1\|D)|(kpr)|(kdp)|(\|lc)|(penalty))" /e /r /s</v>
      </c>
      <c r="AG206" s="1" t="str">
        <f t="shared" si="135"/>
        <v>NW</v>
      </c>
      <c r="AH206" s="92" t="str">
        <f t="shared" si="81"/>
        <v>"%USERPROFILE%\Documents\GitHub\eaglep3\Utilities\RefineRTDCRunTimes.py" --tripid 847-15 --locoid 4042 --swversion DE.1.0.8.0 --startMP 204:951 --initTime 2016-12-15T21:56:14 --startdatetime 2016-12-15T22:21:14 --delay 1 --endMP 300:58929 --enddatetime 2016-12-15T22:33:45 --enforcementcount 0 &gt;&gt;C:\Users\stu\Documents\GitHub\eaglep3-reporting\EC\2016-12-15-refined-times.txt</v>
      </c>
      <c r="AI206" s="119" t="str">
        <f t="shared" si="82"/>
        <v>echo {"issue":{"subject":"","project_id":79,"tracker_id":40,"status_id":1,"priority_id":2,"assigned_to_id":23,"start_date":"2016-12-15","description":"","custom_fields":[{"id":1,"name":"Subdivision","value":"NW"},{"id":4,"name":"Milepost","value":"5.8929"},{"id":17,"name":"Train ID","value":"847-15"},{"id":16,"name":"Locomotive ID","value":"4042"},{"id":130,"name":"Impact","value":""},{"id":150,"name":"Time of Event (Mountain Time)","value":"22:33:45"},{"id":151,"name":"Denver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row>
    <row r="207" spans="1:91" x14ac:dyDescent="0.25">
      <c r="A207" s="37" t="s">
        <v>581</v>
      </c>
      <c r="B207" s="7">
        <v>4017</v>
      </c>
      <c r="C207" s="22" t="s">
        <v>207</v>
      </c>
      <c r="D207" s="22" t="s">
        <v>844</v>
      </c>
      <c r="E207" s="13">
        <v>42719.120578703703</v>
      </c>
      <c r="F207" s="13">
        <v>42719.122129629628</v>
      </c>
      <c r="G207" s="7">
        <v>1</v>
      </c>
      <c r="H207" s="22" t="s">
        <v>845</v>
      </c>
      <c r="I207" s="13">
        <v>42719.127800925926</v>
      </c>
      <c r="J207" s="7">
        <v>0</v>
      </c>
      <c r="K207" s="109" t="str">
        <f t="shared" si="127"/>
        <v>4017/4018</v>
      </c>
      <c r="L207" s="22" t="str">
        <f>VLOOKUP(A207,'Trips&amp;Operators'!$C$1:$G$99999,5,FALSE)</f>
        <v>MAELZER KURT</v>
      </c>
      <c r="M207" s="6">
        <f t="shared" si="128"/>
        <v>5.6712962978053838E-3</v>
      </c>
      <c r="N207" s="7">
        <f t="shared" si="124"/>
        <v>8.1666666688397527</v>
      </c>
      <c r="O207" s="7"/>
      <c r="P207" s="7"/>
      <c r="Q207" s="23"/>
      <c r="R207" s="23"/>
      <c r="S207" s="35">
        <f t="shared" si="129"/>
        <v>1</v>
      </c>
      <c r="T207" s="50" t="str">
        <f t="shared" si="130"/>
        <v>Southbound</v>
      </c>
      <c r="U207" s="171">
        <f>IF(AG207="EC",COUNTIFS(Variables!$M$2:$M$19,IF(T207="NorthBound","&gt;=","&lt;=")&amp;Y207,Variables!$M$2:$M$19,IF(T207="NorthBound","&lt;=","&gt;=")&amp;Z207),COUNTIFS(Variables!$P$2:$P$19,IF(T207="NorthBound","&gt;=","&lt;=")&amp;Y207,Variables!$P$2:$P$19,IF(T207="NorthBound","&lt;=","&gt;=")&amp;Z207))</f>
        <v>1</v>
      </c>
      <c r="V207" s="98" t="str">
        <f t="shared" si="136"/>
        <v>https://search-rtdc-monitor-bjffxe2xuh6vdkpspy63sjmuny.us-east-1.es.amazonaws.com/_plugin/kibana/#/discover/Steve-Slow-Train-Analysis-(2080s-and-2083s)?_g=(refreshInterval:(display:Off,section:0,value:0),time:(from:'2016-12-15 01:53:38-700',mode:absolute,to:'2016-12-15 04:04: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7" s="52" t="str">
        <f t="shared" si="131"/>
        <v>Y</v>
      </c>
      <c r="X207" s="177">
        <f t="shared" si="126"/>
        <v>-545</v>
      </c>
      <c r="Y207" s="67">
        <f t="shared" si="132"/>
        <v>1.9893000000000001</v>
      </c>
      <c r="Z207" s="67">
        <f t="shared" si="125"/>
        <v>1.29E-2</v>
      </c>
      <c r="AA207" s="67">
        <f t="shared" si="133"/>
        <v>1.9764000000000002</v>
      </c>
      <c r="AB207" s="64" t="e">
        <f>VLOOKUP(A207,Enforcements!$C$7:$K$18,8,0)</f>
        <v>#N/A</v>
      </c>
      <c r="AC207" s="60" t="e">
        <f>VLOOKUP(A207,Enforcements!$C$7:$E$18,3,0)</f>
        <v>#N/A</v>
      </c>
      <c r="AD207" s="61" t="str">
        <f t="shared" si="134"/>
        <v>0302-15</v>
      </c>
      <c r="AE207" s="91" t="str">
        <f t="shared" si="137"/>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AF207" s="88" t="str">
        <f t="shared" si="138"/>
        <v>"C:\Program Files (x86)\AstroGrep\AstroGrep.exe" /spath="%USERPROFILE%\AppData\Local\Temp\OnboardLogs" /stypes="app*4017*20161215*" /stext=" 10:.+((SYSTEM_STATE.+slice.+state.+changed )|(ment ac)|(multiple cpu faults)|(system.+state.+changed )|(\[timeout)|(PRM\|1\|D)|(kpr)|(kdp)|(\|lc)|(penalty))" /e /r /s</v>
      </c>
      <c r="AG207" s="1" t="str">
        <f t="shared" si="135"/>
        <v>Other</v>
      </c>
      <c r="AH207" s="92" t="str">
        <f t="shared" si="81"/>
        <v>"%USERPROFILE%\Documents\GitHub\eaglep3\Utilities\RefineRTDCRunTimes.py" --tripid 302-15 --locoid 4017 --swversion DE.1.0.8.0 --startMP 300:19893 --initTime 2016-12-15T02:53:38 --startdatetime 2016-12-15T02:55:52 --delay 1 --endMP 204:129 --enddatetime 2016-12-15T03:04:02 --enforcementcount 0 &gt;&gt;C:\Users\stu\Documents\GitHub\eaglep3-reporting\EC\2016-12-15-refined-times.txt</v>
      </c>
      <c r="AI207" s="119" t="str">
        <f t="shared" si="82"/>
        <v>echo {"issue":{"subject":"","project_id":79,"tracker_id":40,"status_id":1,"priority_id":2,"assigned_to_id":23,"start_date":"2016-12-15","description":"","custom_fields":[{"id":1,"name":"Subdivision","value":"Other"},{"id":4,"name":"Milepost","value":"0.0129"},{"id":17,"name":"Train ID","value":"302-15"},{"id":16,"name":"Locomotive ID","value":"4017"},{"id":130,"name":"Impact","value":""},{"id":150,"name":"Time of Event (Mountain Time)","value":"03:04:02"},{"id":151,"name":"Denver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x14ac:dyDescent="0.25">
      <c r="A208" s="37" t="s">
        <v>745</v>
      </c>
      <c r="B208" s="7">
        <v>4020</v>
      </c>
      <c r="C208" s="22" t="s">
        <v>207</v>
      </c>
      <c r="D208" s="22" t="s">
        <v>312</v>
      </c>
      <c r="E208" s="13">
        <v>42719.779270833336</v>
      </c>
      <c r="F208" s="13">
        <v>25568.708333333332</v>
      </c>
      <c r="G208" s="7">
        <v>1</v>
      </c>
      <c r="H208" s="22" t="s">
        <v>846</v>
      </c>
      <c r="I208" s="13">
        <v>25568.708333333332</v>
      </c>
      <c r="J208" s="7">
        <v>0</v>
      </c>
      <c r="K208" s="109" t="str">
        <f t="shared" si="127"/>
        <v>4019/4020</v>
      </c>
      <c r="L208" s="22" t="str">
        <f>VLOOKUP(A208,'Trips&amp;Operators'!$C$1:$G$99999,5,FALSE)</f>
        <v>MAGEE KENYA</v>
      </c>
      <c r="M208" s="6">
        <f t="shared" si="128"/>
        <v>0</v>
      </c>
      <c r="N208" s="7">
        <f t="shared" si="124"/>
        <v>0</v>
      </c>
      <c r="O208" s="7"/>
      <c r="P208" s="7"/>
      <c r="Q208" s="23"/>
      <c r="R208" s="23"/>
      <c r="S208" s="35">
        <f t="shared" si="129"/>
        <v>1</v>
      </c>
      <c r="T208" s="50" t="str">
        <f t="shared" si="130"/>
        <v>NorthBound</v>
      </c>
      <c r="U208" s="171">
        <f>IF(AG208="EC",COUNTIFS(Variables!$M$2:$M$19,IF(T208="NorthBound","&gt;=","&lt;=")&amp;Y208,Variables!$M$2:$M$19,IF(T208="NorthBound","&lt;=","&gt;=")&amp;Z208),COUNTIFS(Variables!$P$2:$P$19,IF(T208="NorthBound","&gt;=","&lt;=")&amp;Y208,Variables!$P$2:$P$19,IF(T208="NorthBound","&lt;=","&gt;=")&amp;Z208))</f>
        <v>1</v>
      </c>
      <c r="V208" s="98" t="str">
        <f t="shared" si="136"/>
        <v>https://search-rtdc-monitor-bjffxe2xuh6vdkpspy63sjmuny.us-east-1.es.amazonaws.com/_plugin/kibana/#/discover/Steve-Slow-Train-Analysis-(2080s-and-2083s)?_g=(refreshInterval:(display:Off,section:0,value:0),time:(from:'2016-12-15 17:42:09-700',mode:absolute,to:'1969-12-31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208" s="52" t="str">
        <f t="shared" si="131"/>
        <v>Y</v>
      </c>
      <c r="X208" s="177">
        <f t="shared" si="126"/>
        <v>1</v>
      </c>
      <c r="Y208" s="67">
        <f t="shared" si="132"/>
        <v>4.8599999999999997E-2</v>
      </c>
      <c r="Z208" s="67">
        <f t="shared" si="125"/>
        <v>2.3298999999999999</v>
      </c>
      <c r="AA208" s="67">
        <f t="shared" si="133"/>
        <v>2.2812999999999999</v>
      </c>
      <c r="AB208" s="64" t="e">
        <f>VLOOKUP(A208,Enforcements!$C$7:$K$18,8,0)</f>
        <v>#N/A</v>
      </c>
      <c r="AC208" s="60" t="e">
        <f>VLOOKUP(A208,Enforcements!$C$7:$E$18,3,0)</f>
        <v>#N/A</v>
      </c>
      <c r="AD208" s="61" t="str">
        <f t="shared" si="134"/>
        <v>0303-15</v>
      </c>
      <c r="AE208" s="91" t="str">
        <f t="shared" si="137"/>
        <v>aws s3 cp s3://rtdc.mdm.uploadarchive.raw/RTDC4020/ "%USERPROFILE%\AppData\Local\Temp\OnboardLogs"\RTDC4020\1969-12-31 --exclude "*" --recursive --include "*19691231*" &amp; "%USERPROFILE%\Documents\GitHub\mrs-test-scripts\Headless Mode &amp; Sideloading\WalkAndUnGZ.bat" "%USERPROFILE%\AppData\Local\Temp\OnboardLogs"\RTDC4020\1969-12-31 &amp; aws s3 cp s3://rtdc.mdm.uploadarchive.raw/RTDC4020/ "%USERPROFILE%\AppData\Local\Temp\OnboardLogs"\RTDC4020\1970-01-01 --exclude "*" --recursive --include "*19700101*" &amp; "%USERPROFILE%\Documents\GitHub\mrs-test-scripts\Headless Mode &amp; Sideloading\WalkAndUnGZ.bat" "%USERPROFILE%\AppData\Local\Temp\OnboardLogs"\RTDC4020\1970-01-01</v>
      </c>
      <c r="AF208" s="88" t="str">
        <f t="shared" si="138"/>
        <v>"C:\Program Files (x86)\AstroGrep\AstroGrep.exe" /spath="%USERPROFILE%\AppData\Local\Temp\OnboardLogs" /stypes="app*4020*19700101*" /stext=" 00:.+((SYSTEM_STATE.+slice.+state.+changed )|(ment ac)|(multiple cpu faults)|(system.+state.+changed )|(\[timeout)|(PRM\|1\|D)|(kpr)|(kdp)|(\|lc)|(penalty))" /e /r /s</v>
      </c>
      <c r="AG208" s="1" t="str">
        <f t="shared" si="135"/>
        <v>Other</v>
      </c>
      <c r="AH208" s="92" t="str">
        <f t="shared" si="81"/>
        <v>"%USERPROFILE%\Documents\GitHub\eaglep3\Utilities\RefineRTDCRunTimes.py" --tripid 303-15 --locoid 4020 --swversion DE.1.0.8.0 --startMP 204:486 --initTime 2016-12-15T18:42:09 --startdatetime 1969-12-31T17:00:00 --delay 1 --endMP 300:23299 --enddatetime 1969-12-31T17:00:00 --enforcementcount 0 &gt;&gt;C:\Users\stu\Documents\GitHub\eaglep3-reporting\EC\2016-12-15-refined-times.txt</v>
      </c>
      <c r="AI208" s="119" t="str">
        <f t="shared" si="82"/>
        <v>echo {"issue":{"subject":"","project_id":79,"tracker_id":40,"status_id":1,"priority_id":2,"assigned_to_id":23,"start_date":"1969-12-31","description":"","custom_fields":[{"id":1,"name":"Subdivision","value":"Other"},{"id":4,"name":"Milepost","value":"2.3299"},{"id":17,"name":"Train ID","value":"303-15"},{"id":16,"name":"Locomotive ID","value":"4020"},{"id":130,"name":"Impact","value":""},{"id":150,"name":"Time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row>
    <row r="209" spans="1:91" x14ac:dyDescent="0.25">
      <c r="A209" s="37" t="s">
        <v>583</v>
      </c>
      <c r="B209" s="7">
        <v>4010</v>
      </c>
      <c r="C209" s="22" t="s">
        <v>207</v>
      </c>
      <c r="D209" s="22" t="s">
        <v>847</v>
      </c>
      <c r="E209" s="13">
        <v>42719.138449074075</v>
      </c>
      <c r="F209" s="13">
        <v>42719.140011574076</v>
      </c>
      <c r="G209" s="7">
        <v>1</v>
      </c>
      <c r="H209" s="22" t="s">
        <v>239</v>
      </c>
      <c r="I209" s="13">
        <v>42719.145995370367</v>
      </c>
      <c r="J209" s="7">
        <v>0</v>
      </c>
      <c r="K209" s="109" t="str">
        <f t="shared" si="127"/>
        <v>4009/4010</v>
      </c>
      <c r="L209" s="22" t="str">
        <f>VLOOKUP(A209,'Trips&amp;Operators'!$C$1:$G$99999,5,FALSE)</f>
        <v>SPECTOR MICHAEL</v>
      </c>
      <c r="M209" s="6">
        <f t="shared" si="128"/>
        <v>5.9837962908204645E-3</v>
      </c>
      <c r="N209" s="7">
        <f t="shared" si="124"/>
        <v>8.6166666587814689</v>
      </c>
      <c r="O209" s="7"/>
      <c r="P209" s="7"/>
      <c r="Q209" s="23"/>
      <c r="R209" s="23"/>
      <c r="S209" s="35">
        <f t="shared" si="129"/>
        <v>1</v>
      </c>
      <c r="T209" s="50" t="str">
        <f t="shared" si="130"/>
        <v>Southbound</v>
      </c>
      <c r="U209" s="171">
        <f>IF(AG209="EC",COUNTIFS(Variables!$M$2:$M$19,IF(T209="NorthBound","&gt;=","&lt;=")&amp;Y209,Variables!$M$2:$M$19,IF(T209="NorthBound","&lt;=","&gt;=")&amp;Z209),COUNTIFS(Variables!$P$2:$P$19,IF(T209="NorthBound","&gt;=","&lt;=")&amp;Y209,Variables!$P$2:$P$19,IF(T209="NorthBound","&lt;=","&gt;=")&amp;Z209))</f>
        <v>1</v>
      </c>
      <c r="V209" s="98" t="str">
        <f t="shared" si="136"/>
        <v>https://search-rtdc-monitor-bjffxe2xuh6vdkpspy63sjmuny.us-east-1.es.amazonaws.com/_plugin/kibana/#/discover/Steve-Slow-Train-Analysis-(2080s-and-2083s)?_g=(refreshInterval:(display:Off,section:0,value:0),time:(from:'2016-12-15 02:19:22-700',mode:absolute,to:'2016-12-15 04:30:14-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209" s="52" t="str">
        <f t="shared" si="131"/>
        <v>Y</v>
      </c>
      <c r="X209" s="177">
        <f t="shared" si="126"/>
        <v>1</v>
      </c>
      <c r="Y209" s="67">
        <f t="shared" si="132"/>
        <v>2.3212999999999999</v>
      </c>
      <c r="Z209" s="67">
        <f t="shared" si="125"/>
        <v>1.4500000000000001E-2</v>
      </c>
      <c r="AA209" s="67">
        <f t="shared" si="133"/>
        <v>2.3068</v>
      </c>
      <c r="AB209" s="64" t="e">
        <f>VLOOKUP(A209,Enforcements!$C$7:$K$18,8,0)</f>
        <v>#N/A</v>
      </c>
      <c r="AC209" s="60" t="e">
        <f>VLOOKUP(A209,Enforcements!$C$7:$E$18,3,0)</f>
        <v>#N/A</v>
      </c>
      <c r="AD209" s="61" t="str">
        <f t="shared" si="134"/>
        <v>0304-15</v>
      </c>
      <c r="AE209" s="91" t="str">
        <f t="shared" si="137"/>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AF209" s="88" t="str">
        <f t="shared" si="138"/>
        <v>"C:\Program Files (x86)\AstroGrep\AstroGrep.exe" /spath="%USERPROFILE%\AppData\Local\Temp\OnboardLogs" /stypes="app*4010*20161215*" /stext=" 10:.+((SYSTEM_STATE.+slice.+state.+changed )|(ment ac)|(multiple cpu faults)|(system.+state.+changed )|(\[timeout)|(PRM\|1\|D)|(kpr)|(kdp)|(\|lc)|(penalty))" /e /r /s</v>
      </c>
      <c r="AG209" s="1" t="str">
        <f t="shared" si="135"/>
        <v>Other</v>
      </c>
      <c r="AH209" s="92" t="str">
        <f t="shared" si="81"/>
        <v>"%USERPROFILE%\Documents\GitHub\eaglep3\Utilities\RefineRTDCRunTimes.py" --tripid 304-15 --locoid 4010 --swversion DE.1.0.8.0 --startMP 300:23213 --initTime 2016-12-15T03:19:22 --startdatetime 2016-12-15T03:21:37 --delay 1 --endMP 204:145 --enddatetime 2016-12-15T03:30:14 --enforcementcount 0 &gt;&gt;C:\Users\stu\Documents\GitHub\eaglep3-reporting\EC\2016-12-15-refined-times.txt</v>
      </c>
      <c r="AI209" s="119" t="str">
        <f t="shared" si="82"/>
        <v>echo {"issue":{"subject":"","project_id":79,"tracker_id":40,"status_id":1,"priority_id":2,"assigned_to_id":23,"start_date":"2016-12-15","description":"","custom_fields":[{"id":1,"name":"Subdivision","value":"Other"},{"id":4,"name":"Milepost","value":"0.0145"},{"id":17,"name":"Train ID","value":"304-15"},{"id":16,"name":"Locomotive ID","value":"4010"},{"id":130,"name":"Impact","value":""},{"id":150,"name":"Time of Event (Mountain Time)","value":"03:30:14"},{"id":151,"name":"Denver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row>
    <row r="210" spans="1:91" x14ac:dyDescent="0.25">
      <c r="A210" s="37" t="s">
        <v>750</v>
      </c>
      <c r="B210" s="7">
        <v>4018</v>
      </c>
      <c r="C210" s="22" t="s">
        <v>207</v>
      </c>
      <c r="D210" s="22" t="s">
        <v>414</v>
      </c>
      <c r="E210" s="13">
        <v>42719.799895833334</v>
      </c>
      <c r="F210" s="13">
        <v>42719.801145833335</v>
      </c>
      <c r="G210" s="7">
        <v>1</v>
      </c>
      <c r="H210" s="22" t="s">
        <v>848</v>
      </c>
      <c r="I210" s="13">
        <v>42719.805185185185</v>
      </c>
      <c r="J210" s="7">
        <v>0</v>
      </c>
      <c r="K210" s="109" t="str">
        <f t="shared" si="127"/>
        <v>4017/4018</v>
      </c>
      <c r="L210" s="22" t="str">
        <f>VLOOKUP(A210,'Trips&amp;Operators'!$C$1:$G$99999,5,FALSE)</f>
        <v>YOUNG ELIZABETH</v>
      </c>
      <c r="M210" s="6">
        <f t="shared" si="128"/>
        <v>4.0393518502241932E-3</v>
      </c>
      <c r="N210" s="7">
        <f t="shared" si="124"/>
        <v>5.8166666643228382</v>
      </c>
      <c r="O210" s="7"/>
      <c r="P210" s="7"/>
      <c r="Q210" s="23"/>
      <c r="R210" s="23"/>
      <c r="S210" s="35">
        <f t="shared" si="129"/>
        <v>1</v>
      </c>
      <c r="T210" s="50" t="str">
        <f t="shared" si="130"/>
        <v>NorthBound</v>
      </c>
      <c r="U210" s="171">
        <f>IF(AG210="EC",COUNTIFS(Variables!$M$2:$M$19,IF(T210="NorthBound","&gt;=","&lt;=")&amp;Y210,Variables!$M$2:$M$19,IF(T210="NorthBound","&lt;=","&gt;=")&amp;Z210),COUNTIFS(Variables!$P$2:$P$19,IF(T210="NorthBound","&gt;=","&lt;=")&amp;Y210,Variables!$P$2:$P$19,IF(T210="NorthBound","&lt;=","&gt;=")&amp;Z210))</f>
        <v>1</v>
      </c>
      <c r="V210" s="98" t="str">
        <f t="shared" si="136"/>
        <v>https://search-rtdc-monitor-bjffxe2xuh6vdkpspy63sjmuny.us-east-1.es.amazonaws.com/_plugin/kibana/#/discover/Steve-Slow-Train-Analysis-(2080s-and-2083s)?_g=(refreshInterval:(display:Off,section:0,value:0),time:(from:'2016-12-15 18:11:51-700',mode:absolute,to:'2016-12-15 20:19:28-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10" s="52" t="str">
        <f t="shared" si="131"/>
        <v>Y</v>
      </c>
      <c r="X210" s="177">
        <f t="shared" si="126"/>
        <v>1</v>
      </c>
      <c r="Y210" s="67">
        <f t="shared" si="132"/>
        <v>4.7800000000000002E-2</v>
      </c>
      <c r="Z210" s="67">
        <f t="shared" si="125"/>
        <v>1.3130999999999999</v>
      </c>
      <c r="AA210" s="67">
        <f t="shared" si="133"/>
        <v>1.2652999999999999</v>
      </c>
      <c r="AB210" s="64" t="e">
        <f>VLOOKUP(A210,Enforcements!$C$7:$K$18,8,0)</f>
        <v>#N/A</v>
      </c>
      <c r="AC210" s="60" t="e">
        <f>VLOOKUP(A210,Enforcements!$C$7:$E$18,3,0)</f>
        <v>#N/A</v>
      </c>
      <c r="AD210" s="61" t="str">
        <f t="shared" si="134"/>
        <v>0305-15</v>
      </c>
      <c r="AE210" s="91" t="str">
        <f t="shared" si="137"/>
        <v>aws s3 cp s3://rtdc.mdm.uploadarchive.raw/RTDC4018/ "%USERPROFILE%\AppData\Local\Temp\OnboardLogs"\RTDC4018\2016-12-15 --exclude "*" --recursive --include "*20161215*" &amp; "%USERPROFILE%\Documents\GitHub\mrs-test-scripts\Headless Mode &amp; Sideloading\WalkAndUnGZ.bat" "%USERPROFILE%\AppData\Local\Temp\OnboardLogs"\RTDC4018\2016-12-15 &amp; aws s3 cp s3://rtdc.mdm.uploadarchive.raw/RTDC4018/ "%USERPROFILE%\AppData\Local\Temp\OnboardLogs"\RTDC4018\2016-12-16 --exclude "*" --recursive --include "*20161216*" &amp; "%USERPROFILE%\Documents\GitHub\mrs-test-scripts\Headless Mode &amp; Sideloading\WalkAndUnGZ.bat" "%USERPROFILE%\AppData\Local\Temp\OnboardLogs"\RTDC4018\2016-12-16</v>
      </c>
      <c r="AF210" s="88" t="str">
        <f t="shared" si="138"/>
        <v>"C:\Program Files (x86)\AstroGrep\AstroGrep.exe" /spath="%USERPROFILE%\AppData\Local\Temp\OnboardLogs" /stypes="app*4018*20161216*" /stext=" 02:.+((SYSTEM_STATE.+slice.+state.+changed )|(ment ac)|(multiple cpu faults)|(system.+state.+changed )|(\[timeout)|(PRM\|1\|D)|(kpr)|(kdp)|(\|lc)|(penalty))" /e /r /s</v>
      </c>
      <c r="AG210" s="1" t="str">
        <f t="shared" si="135"/>
        <v>Other</v>
      </c>
      <c r="AH210" s="92" t="str">
        <f t="shared" si="81"/>
        <v>"%USERPROFILE%\Documents\GitHub\eaglep3\Utilities\RefineRTDCRunTimes.py" --tripid 305-15 --locoid 4018 --swversion DE.1.0.8.0 --startMP 204:478 --initTime 2016-12-15T19:11:51 --startdatetime 2016-12-15T19:13:39 --delay 1 --endMP 300:13131 --enddatetime 2016-12-15T19:19:28 --enforcementcount 0 &gt;&gt;C:\Users\stu\Documents\GitHub\eaglep3-reporting\EC\2016-12-15-refined-times.txt</v>
      </c>
      <c r="AI210" s="119" t="str">
        <f t="shared" si="82"/>
        <v>echo {"issue":{"subject":"","project_id":79,"tracker_id":40,"status_id":1,"priority_id":2,"assigned_to_id":23,"start_date":"2016-12-15","description":"","custom_fields":[{"id":1,"name":"Subdivision","value":"Other"},{"id":4,"name":"Milepost","value":"1.3131"},{"id":17,"name":"Train ID","value":"305-15"},{"id":16,"name":"Locomotive ID","value":"4018"},{"id":130,"name":"Impact","value":""},{"id":150,"name":"Time of Event (Mountain Time)","value":"19:19:28"},{"id":151,"name":"Denver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91" s="21" customFormat="1" x14ac:dyDescent="0.25">
      <c r="A211" s="37" t="s">
        <v>584</v>
      </c>
      <c r="B211" s="7">
        <v>4019</v>
      </c>
      <c r="C211" s="22" t="s">
        <v>207</v>
      </c>
      <c r="D211" s="22" t="s">
        <v>849</v>
      </c>
      <c r="E211" s="13">
        <v>42719.159108796295</v>
      </c>
      <c r="F211" s="13">
        <v>42719.160208333335</v>
      </c>
      <c r="G211" s="7">
        <v>1</v>
      </c>
      <c r="H211" s="22" t="s">
        <v>192</v>
      </c>
      <c r="I211" s="13">
        <v>42719.167071759257</v>
      </c>
      <c r="J211" s="7">
        <v>0</v>
      </c>
      <c r="K211" s="109" t="str">
        <f t="shared" si="127"/>
        <v>4019/4020</v>
      </c>
      <c r="L211" s="22" t="str">
        <f>VLOOKUP(A211,'Trips&amp;Operators'!$C$1:$G$99999,5,FALSE)</f>
        <v>ROBINSON KADDIBA</v>
      </c>
      <c r="M211" s="6">
        <f t="shared" si="128"/>
        <v>6.8634259223472327E-3</v>
      </c>
      <c r="N211" s="7">
        <f t="shared" si="124"/>
        <v>9.8833333281800151</v>
      </c>
      <c r="O211" s="7"/>
      <c r="P211" s="7"/>
      <c r="Q211" s="23"/>
      <c r="R211" s="23"/>
      <c r="S211" s="35">
        <f t="shared" si="129"/>
        <v>1</v>
      </c>
      <c r="T211" s="50" t="str">
        <f t="shared" si="130"/>
        <v>Southbound</v>
      </c>
      <c r="U211" s="171">
        <f>IF(AG211="EC",COUNTIFS(Variables!$M$2:$M$19,IF(T211="NorthBound","&gt;=","&lt;=")&amp;Y211,Variables!$M$2:$M$19,IF(T211="NorthBound","&lt;=","&gt;=")&amp;Z211),COUNTIFS(Variables!$P$2:$P$19,IF(T211="NorthBound","&gt;=","&lt;=")&amp;Y211,Variables!$P$2:$P$19,IF(T211="NorthBound","&lt;=","&gt;=")&amp;Z211))</f>
        <v>1</v>
      </c>
      <c r="V211" s="98" t="str">
        <f t="shared" si="136"/>
        <v>https://search-rtdc-monitor-bjffxe2xuh6vdkpspy63sjmuny.us-east-1.es.amazonaws.com/_plugin/kibana/#/discover/Steve-Slow-Train-Analysis-(2080s-and-2083s)?_g=(refreshInterval:(display:Off,section:0,value:0),time:(from:'2016-12-15 02:49:07-700',mode:absolute,to:'2016-12-15 05:00:35-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211" s="52" t="str">
        <f t="shared" si="131"/>
        <v>Y</v>
      </c>
      <c r="X211" s="177">
        <f t="shared" si="126"/>
        <v>1</v>
      </c>
      <c r="Y211" s="67">
        <f t="shared" si="132"/>
        <v>2.3239000000000001</v>
      </c>
      <c r="Z211" s="67">
        <f t="shared" si="125"/>
        <v>1.49E-2</v>
      </c>
      <c r="AA211" s="67">
        <f t="shared" si="133"/>
        <v>2.3090000000000002</v>
      </c>
      <c r="AB211" s="64" t="e">
        <f>VLOOKUP(A211,Enforcements!$C$7:$K$18,8,0)</f>
        <v>#N/A</v>
      </c>
      <c r="AC211" s="60" t="e">
        <f>VLOOKUP(A211,Enforcements!$C$7:$E$18,3,0)</f>
        <v>#N/A</v>
      </c>
      <c r="AD211" s="61" t="str">
        <f t="shared" si="134"/>
        <v>0306-15</v>
      </c>
      <c r="AE211" s="91" t="str">
        <f t="shared" si="137"/>
        <v>aws s3 cp s3://rtdc.mdm.uploadarchive.raw/RTDC4019/ "%USERPROFILE%\AppData\Local\Temp\OnboardLogs"\RTDC4019\2016-12-15 --exclude "*" --recursive --include "*20161215*" &amp; "%USERPROFILE%\Documents\GitHub\mrs-test-scripts\Headless Mode &amp; Sideloading\WalkAndUnGZ.bat" "%USERPROFILE%\AppData\Local\Temp\OnboardLogs"\RTDC4019\2016-12-15 &amp; aws s3 cp s3://rtdc.mdm.uploadarchive.raw/RTDC4019/ "%USERPROFILE%\AppData\Local\Temp\OnboardLogs"\RTDC4019\2016-12-16 --exclude "*" --recursive --include "*20161216*" &amp; "%USERPROFILE%\Documents\GitHub\mrs-test-scripts\Headless Mode &amp; Sideloading\WalkAndUnGZ.bat" "%USERPROFILE%\AppData\Local\Temp\OnboardLogs"\RTDC4019\2016-12-16</v>
      </c>
      <c r="AF211" s="88" t="str">
        <f t="shared" si="138"/>
        <v>"C:\Program Files (x86)\AstroGrep\AstroGrep.exe" /spath="%USERPROFILE%\AppData\Local\Temp\OnboardLogs" /stypes="app*4019*20161215*" /stext=" 11:.+((SYSTEM_STATE.+slice.+state.+changed )|(ment ac)|(multiple cpu faults)|(system.+state.+changed )|(\[timeout)|(PRM\|1\|D)|(kpr)|(kdp)|(\|lc)|(penalty))" /e /r /s</v>
      </c>
      <c r="AG211" s="1" t="str">
        <f t="shared" si="135"/>
        <v>Other</v>
      </c>
      <c r="AH211" s="92" t="str">
        <f t="shared" si="81"/>
        <v>"%USERPROFILE%\Documents\GitHub\eaglep3\Utilities\RefineRTDCRunTimes.py" --tripid 306-15 --locoid 4019 --swversion DE.1.0.8.0 --startMP 300:23239 --initTime 2016-12-15T03:49:07 --startdatetime 2016-12-15T03:50:42 --delay 1 --endMP 204:149 --enddatetime 2016-12-15T04:00:35 --enforcementcount 0 &gt;&gt;C:\Users\stu\Documents\GitHub\eaglep3-reporting\EC\2016-12-15-refined-times.txt</v>
      </c>
      <c r="AI211" s="119" t="str">
        <f t="shared" si="82"/>
        <v>echo {"issue":{"subject":"","project_id":79,"tracker_id":40,"status_id":1,"priority_id":2,"assigned_to_id":23,"start_date":"2016-12-15","description":"","custom_fields":[{"id":1,"name":"Subdivision","value":"Other"},{"id":4,"name":"Milepost","value":"0.0149"},{"id":17,"name":"Train ID","value":"306-15"},{"id":16,"name":"Locomotive ID","value":"4019"},{"id":130,"name":"Impact","value":""},{"id":150,"name":"Time of Event (Mountain Time)","value":"04:00:35"},{"id":151,"name":"Denver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spans="1:91" ht="16.5" customHeight="1" x14ac:dyDescent="0.25">
      <c r="A212" s="37" t="s">
        <v>754</v>
      </c>
      <c r="B212" s="7">
        <v>4009</v>
      </c>
      <c r="C212" s="22" t="s">
        <v>207</v>
      </c>
      <c r="D212" s="22" t="s">
        <v>234</v>
      </c>
      <c r="E212" s="13">
        <v>42719.819189814814</v>
      </c>
      <c r="F212" s="13">
        <v>25568.708333333332</v>
      </c>
      <c r="G212" s="7">
        <v>2</v>
      </c>
      <c r="H212" s="22" t="s">
        <v>850</v>
      </c>
      <c r="I212" s="13">
        <v>25568.708333333332</v>
      </c>
      <c r="J212" s="7">
        <v>0</v>
      </c>
      <c r="K212" s="109" t="str">
        <f t="shared" si="127"/>
        <v>4009/4010</v>
      </c>
      <c r="L212" s="22" t="str">
        <f>VLOOKUP(A212,'Trips&amp;Operators'!$C$1:$G$99999,5,FALSE)</f>
        <v>DELGADO DIANAH</v>
      </c>
      <c r="M212" s="6">
        <f t="shared" si="128"/>
        <v>0</v>
      </c>
      <c r="N212" s="7">
        <f t="shared" si="124"/>
        <v>0</v>
      </c>
      <c r="O212" s="7"/>
      <c r="P212" s="7"/>
      <c r="Q212" s="23"/>
      <c r="R212" s="23"/>
      <c r="S212" s="35">
        <f t="shared" si="129"/>
        <v>1</v>
      </c>
      <c r="T212" s="50" t="str">
        <f t="shared" si="130"/>
        <v>NorthBound</v>
      </c>
      <c r="U212" s="171">
        <f>IF(AG212="EC",COUNTIFS(Variables!$M$2:$M$19,IF(T212="NorthBound","&gt;=","&lt;=")&amp;Y212,Variables!$M$2:$M$19,IF(T212="NorthBound","&lt;=","&gt;=")&amp;Z212),COUNTIFS(Variables!$P$2:$P$19,IF(T212="NorthBound","&gt;=","&lt;=")&amp;Y212,Variables!$P$2:$P$19,IF(T212="NorthBound","&lt;=","&gt;=")&amp;Z212))</f>
        <v>1</v>
      </c>
      <c r="V212" s="98" t="str">
        <f t="shared" si="136"/>
        <v>https://search-rtdc-monitor-bjffxe2xuh6vdkpspy63sjmuny.us-east-1.es.amazonaws.com/_plugin/kibana/#/discover/Steve-Slow-Train-Analysis-(2080s-and-2083s)?_g=(refreshInterval:(display:Off,section:0,value:0),time:(from:'2016-12-15 18:39:38-700',mode:absolute,to:'1969-12-31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212" s="52" t="str">
        <f t="shared" si="131"/>
        <v>Y</v>
      </c>
      <c r="X212" s="177">
        <f t="shared" si="126"/>
        <v>1</v>
      </c>
      <c r="Y212" s="67">
        <f t="shared" si="132"/>
        <v>4.5999999999999999E-2</v>
      </c>
      <c r="Z212" s="67">
        <f t="shared" si="125"/>
        <v>2.3306</v>
      </c>
      <c r="AA212" s="67">
        <f t="shared" si="133"/>
        <v>2.2846000000000002</v>
      </c>
      <c r="AB212" s="64" t="e">
        <f>VLOOKUP(A212,Enforcements!$C$7:$K$18,8,0)</f>
        <v>#N/A</v>
      </c>
      <c r="AC212" s="60" t="e">
        <f>VLOOKUP(A212,Enforcements!$C$7:$E$18,3,0)</f>
        <v>#N/A</v>
      </c>
      <c r="AD212" s="61" t="str">
        <f t="shared" si="134"/>
        <v>0307-15</v>
      </c>
      <c r="AE212" s="91" t="str">
        <f t="shared" si="137"/>
        <v>aws s3 cp s3://rtdc.mdm.uploadarchive.raw/RTDC4009/ "%USERPROFILE%\AppData\Local\Temp\OnboardLogs"\RTDC4009\1969-12-31 --exclude "*" --recursive --include "*19691231*" &amp; "%USERPROFILE%\Documents\GitHub\mrs-test-scripts\Headless Mode &amp; Sideloading\WalkAndUnGZ.bat" "%USERPROFILE%\AppData\Local\Temp\OnboardLogs"\RTDC4009\1969-12-31 &amp; aws s3 cp s3://rtdc.mdm.uploadarchive.raw/RTDC4009/ "%USERPROFILE%\AppData\Local\Temp\OnboardLogs"\RTDC4009\1970-01-01 --exclude "*" --recursive --include "*19700101*" &amp; "%USERPROFILE%\Documents\GitHub\mrs-test-scripts\Headless Mode &amp; Sideloading\WalkAndUnGZ.bat" "%USERPROFILE%\AppData\Local\Temp\OnboardLogs"\RTDC4009\1970-01-01</v>
      </c>
      <c r="AF212" s="88" t="str">
        <f t="shared" si="138"/>
        <v>"C:\Program Files (x86)\AstroGrep\AstroGrep.exe" /spath="%USERPROFILE%\AppData\Local\Temp\OnboardLogs" /stypes="app*4009*19700101*" /stext=" 00:.+((SYSTEM_STATE.+slice.+state.+changed )|(ment ac)|(multiple cpu faults)|(system.+state.+changed )|(\[timeout)|(PRM\|1\|D)|(kpr)|(kdp)|(\|lc)|(penalty))" /e /r /s</v>
      </c>
      <c r="AG212" s="1" t="str">
        <f t="shared" si="135"/>
        <v>Other</v>
      </c>
      <c r="AH212" s="92" t="str">
        <f t="shared" si="81"/>
        <v>"%USERPROFILE%\Documents\GitHub\eaglep3\Utilities\RefineRTDCRunTimes.py" --tripid 307-15 --locoid 4009 --swversion DE.1.0.8.0 --startMP 204:460 --initTime 2016-12-15T19:39:38 --startdatetime 1969-12-31T17:00:00 --delay 2 --endMP 300:23306 --enddatetime 1969-12-31T17:00:00 --enforcementcount 0 &gt;&gt;C:\Users\stu\Documents\GitHub\eaglep3-reporting\EC\2016-12-15-refined-times.txt</v>
      </c>
      <c r="AI212" s="119" t="str">
        <f t="shared" si="82"/>
        <v>echo {"issue":{"subject":"","project_id":79,"tracker_id":40,"status_id":1,"priority_id":2,"assigned_to_id":23,"start_date":"1969-12-31","description":"","custom_fields":[{"id":1,"name":"Subdivision","value":"Other"},{"id":4,"name":"Milepost","value":"2.3306"},{"id":17,"name":"Train ID","value":"307-15"},{"id":16,"name":"Locomotive ID","value":"4009"},{"id":130,"name":"Impact","value":""},{"id":150,"name":"Time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row>
    <row r="213" spans="1:91" s="21" customFormat="1" x14ac:dyDescent="0.25">
      <c r="A213" s="37" t="s">
        <v>589</v>
      </c>
      <c r="B213" s="7">
        <v>4030</v>
      </c>
      <c r="C213" s="22" t="s">
        <v>207</v>
      </c>
      <c r="D213" s="22" t="s">
        <v>851</v>
      </c>
      <c r="E213" s="13">
        <v>42719.176018518519</v>
      </c>
      <c r="F213" s="13">
        <v>42719.177129629628</v>
      </c>
      <c r="G213" s="7">
        <v>1</v>
      </c>
      <c r="H213" s="22" t="s">
        <v>212</v>
      </c>
      <c r="I213" s="13">
        <v>42719.183472222219</v>
      </c>
      <c r="J213" s="7">
        <v>0</v>
      </c>
      <c r="K213" s="109" t="str">
        <f t="shared" si="127"/>
        <v>4029/4030</v>
      </c>
      <c r="L213" s="22" t="str">
        <f>VLOOKUP(A213,'Trips&amp;Operators'!$C$1:$G$99999,5,FALSE)</f>
        <v>STRICKLAND EVAN</v>
      </c>
      <c r="M213" s="6">
        <f t="shared" si="128"/>
        <v>6.3425925909541547E-3</v>
      </c>
      <c r="N213" s="7">
        <f t="shared" si="124"/>
        <v>9.1333333309739828</v>
      </c>
      <c r="O213" s="7"/>
      <c r="P213" s="7"/>
      <c r="Q213" s="23"/>
      <c r="R213" s="23"/>
      <c r="S213" s="35">
        <f t="shared" si="129"/>
        <v>1</v>
      </c>
      <c r="T213" s="50" t="str">
        <f t="shared" si="130"/>
        <v>Southbound</v>
      </c>
      <c r="U213" s="171">
        <f>IF(AG213="EC",COUNTIFS(Variables!$M$2:$M$19,IF(T213="NorthBound","&gt;=","&lt;=")&amp;Y213,Variables!$M$2:$M$19,IF(T213="NorthBound","&lt;=","&gt;=")&amp;Z213),COUNTIFS(Variables!$P$2:$P$19,IF(T213="NorthBound","&gt;=","&lt;=")&amp;Y213,Variables!$P$2:$P$19,IF(T213="NorthBound","&lt;=","&gt;=")&amp;Z213))</f>
        <v>1</v>
      </c>
      <c r="V213" s="98" t="str">
        <f t="shared" si="136"/>
        <v>https://search-rtdc-monitor-bjffxe2xuh6vdkpspy63sjmuny.us-east-1.es.amazonaws.com/_plugin/kibana/#/discover/Steve-Slow-Train-Analysis-(2080s-and-2083s)?_g=(refreshInterval:(display:Off,section:0,value:0),time:(from:'2016-12-15 03:13:28-700',mode:absolute,to:'2016-12-15 05:24:12-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W213" s="52" t="str">
        <f t="shared" si="131"/>
        <v>Y</v>
      </c>
      <c r="X213" s="177">
        <f t="shared" si="126"/>
        <v>1</v>
      </c>
      <c r="Y213" s="67">
        <f t="shared" si="132"/>
        <v>2.15</v>
      </c>
      <c r="Z213" s="67">
        <f t="shared" si="125"/>
        <v>1.4999999999999999E-2</v>
      </c>
      <c r="AA213" s="67">
        <f t="shared" si="133"/>
        <v>2.1349999999999998</v>
      </c>
      <c r="AB213" s="64" t="e">
        <f>VLOOKUP(A213,Enforcements!$C$7:$K$18,8,0)</f>
        <v>#N/A</v>
      </c>
      <c r="AC213" s="60" t="e">
        <f>VLOOKUP(A213,Enforcements!$C$7:$E$18,3,0)</f>
        <v>#N/A</v>
      </c>
      <c r="AD213" s="61" t="str">
        <f t="shared" si="134"/>
        <v>0308-15</v>
      </c>
      <c r="AE213" s="91" t="str">
        <f t="shared" si="137"/>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AF213" s="88" t="str">
        <f t="shared" si="138"/>
        <v>"C:\Program Files (x86)\AstroGrep\AstroGrep.exe" /spath="%USERPROFILE%\AppData\Local\Temp\OnboardLogs" /stypes="app*4030*20161215*" /stext=" 11:.+((SYSTEM_STATE.+slice.+state.+changed )|(ment ac)|(multiple cpu faults)|(system.+state.+changed )|(\[timeout)|(PRM\|1\|D)|(kpr)|(kdp)|(\|lc)|(penalty))" /e /r /s</v>
      </c>
      <c r="AG213" s="1" t="str">
        <f t="shared" si="135"/>
        <v>Other</v>
      </c>
      <c r="AH213" s="92" t="str">
        <f t="shared" si="81"/>
        <v>"%USERPROFILE%\Documents\GitHub\eaglep3\Utilities\RefineRTDCRunTimes.py" --tripid 308-15 --locoid 4030 --swversion DE.1.0.8.0 --startMP 300:21500 --initTime 2016-12-15T04:13:28 --startdatetime 2016-12-15T04:15:04 --delay 1 --endMP 204:150 --enddatetime 2016-12-15T04:24:12 --enforcementcount 0 &gt;&gt;C:\Users\stu\Documents\GitHub\eaglep3-reporting\EC\2016-12-15-refined-times.txt</v>
      </c>
      <c r="AI213" s="119" t="str">
        <f t="shared" si="82"/>
        <v>echo {"issue":{"subject":"","project_id":79,"tracker_id":40,"status_id":1,"priority_id":2,"assigned_to_id":23,"start_date":"2016-12-15","description":"","custom_fields":[{"id":1,"name":"Subdivision","value":"Other"},{"id":4,"name":"Milepost","value":"0.015"},{"id":17,"name":"Train ID","value":"308-15"},{"id":16,"name":"Locomotive ID","value":"4030"},{"id":130,"name":"Impact","value":""},{"id":150,"name":"Time of Event (Mountain Time)","value":"04:24:12"},{"id":151,"name":"Denver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spans="1:91" x14ac:dyDescent="0.25">
      <c r="A214" s="37" t="s">
        <v>592</v>
      </c>
      <c r="B214" s="7">
        <v>4004</v>
      </c>
      <c r="C214" s="22" t="s">
        <v>207</v>
      </c>
      <c r="D214" s="22" t="s">
        <v>852</v>
      </c>
      <c r="E214" s="13">
        <v>42719.184930555559</v>
      </c>
      <c r="F214" s="13">
        <v>42719.186435185184</v>
      </c>
      <c r="G214" s="7">
        <v>1</v>
      </c>
      <c r="H214" s="22" t="s">
        <v>280</v>
      </c>
      <c r="I214" s="13">
        <v>42719.192129629628</v>
      </c>
      <c r="J214" s="7">
        <v>0</v>
      </c>
      <c r="K214" s="109" t="str">
        <f t="shared" si="127"/>
        <v>4003/4004</v>
      </c>
      <c r="L214" s="22" t="str">
        <f>VLOOKUP(A214,'Trips&amp;Operators'!$C$1:$G$99999,5,FALSE)</f>
        <v>SIMONEAUX TERA</v>
      </c>
      <c r="M214" s="6">
        <f t="shared" si="128"/>
        <v>5.694444444088731E-3</v>
      </c>
      <c r="N214" s="7">
        <f t="shared" si="124"/>
        <v>8.1999999994877726</v>
      </c>
      <c r="O214" s="7"/>
      <c r="P214" s="7"/>
      <c r="Q214" s="23"/>
      <c r="R214" s="23"/>
      <c r="S214" s="35">
        <f t="shared" si="129"/>
        <v>1</v>
      </c>
      <c r="T214" s="50" t="str">
        <f t="shared" si="130"/>
        <v>Southbound</v>
      </c>
      <c r="U214" s="171">
        <f>IF(AG214="EC",COUNTIFS(Variables!$M$2:$M$19,IF(T214="NorthBound","&gt;=","&lt;=")&amp;Y214,Variables!$M$2:$M$19,IF(T214="NorthBound","&lt;=","&gt;=")&amp;Z214),COUNTIFS(Variables!$P$2:$P$19,IF(T214="NorthBound","&gt;=","&lt;=")&amp;Y214,Variables!$P$2:$P$19,IF(T214="NorthBound","&lt;=","&gt;=")&amp;Z214))</f>
        <v>1</v>
      </c>
      <c r="V214" s="98" t="str">
        <f t="shared" si="136"/>
        <v>https://search-rtdc-monitor-bjffxe2xuh6vdkpspy63sjmuny.us-east-1.es.amazonaws.com/_plugin/kibana/#/discover/Steve-Slow-Train-Analysis-(2080s-and-2083s)?_g=(refreshInterval:(display:Off,section:0,value:0),time:(from:'2016-12-15 03:26:18-700',mode:absolute,to:'2016-12-15 05:36: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14" s="52" t="str">
        <f t="shared" si="131"/>
        <v>Y</v>
      </c>
      <c r="X214" s="177">
        <f t="shared" si="126"/>
        <v>2</v>
      </c>
      <c r="Y214" s="67">
        <f t="shared" si="132"/>
        <v>2.2063999999999999</v>
      </c>
      <c r="Z214" s="67">
        <f t="shared" si="125"/>
        <v>1.47E-2</v>
      </c>
      <c r="AA214" s="67">
        <f t="shared" si="133"/>
        <v>2.1917</v>
      </c>
      <c r="AB214" s="64" t="e">
        <f>VLOOKUP(A214,Enforcements!$C$7:$K$18,8,0)</f>
        <v>#N/A</v>
      </c>
      <c r="AC214" s="60" t="e">
        <f>VLOOKUP(A214,Enforcements!$C$7:$E$18,3,0)</f>
        <v>#N/A</v>
      </c>
      <c r="AD214" s="61" t="str">
        <f t="shared" si="134"/>
        <v>0310-15</v>
      </c>
      <c r="AE214" s="91" t="str">
        <f t="shared" si="137"/>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AF214" s="88" t="str">
        <f t="shared" si="138"/>
        <v>"C:\Program Files (x86)\AstroGrep\AstroGrep.exe" /spath="%USERPROFILE%\AppData\Local\Temp\OnboardLogs" /stypes="app*4004*20161215*" /stext=" 11:.+((SYSTEM_STATE.+slice.+state.+changed )|(ment ac)|(multiple cpu faults)|(system.+state.+changed )|(\[timeout)|(PRM\|1\|D)|(kpr)|(kdp)|(\|lc)|(penalty))" /e /r /s</v>
      </c>
      <c r="AG214" s="1" t="str">
        <f t="shared" si="135"/>
        <v>Other</v>
      </c>
      <c r="AH214" s="92" t="str">
        <f t="shared" ref="AH214:AH238" si="139">refinertdcruntimes&amp;" --tripid "&amp;A214&amp;" --locoid "&amp;B214&amp;" --swversion "&amp;C214&amp;" --startMP "&amp;D214&amp;" --initTime "&amp;TEXT(E214,"yyyy-mm-ddTHH:MM:SS")&amp;" --startdatetime "&amp;TEXT(F214,"yyyy-mm-ddTHH:MM:SS")&amp;" --delay "&amp;G214&amp;" --endMP "&amp;H214&amp;" --enddatetime "&amp;TEXT(I214,"yyyy-mm-ddTHH:MM:SS")&amp;" --enforcementcount "&amp;J214&amp;IF(outputrefinedruntimes," &gt;&gt;"&amp;RefinedRTDCRunTimesOutputFile,"")</f>
        <v>"%USERPROFILE%\Documents\GitHub\eaglep3\Utilities\RefineRTDCRunTimes.py" --tripid 310-15 --locoid 4004 --swversion DE.1.0.8.0 --startMP 300:22064 --initTime 2016-12-15T04:26:18 --startdatetime 2016-12-15T04:28:28 --delay 1 --endMP 204:147 --enddatetime 2016-12-15T04:36:40 --enforcementcount 0 &gt;&gt;C:\Users\stu\Documents\GitHub\eaglep3-reporting\EC\2016-12-15-refined-times.txt</v>
      </c>
      <c r="AI214" s="119" t="str">
        <f t="shared" ref="AI214:AI238" si="140">"echo {""issue"":{""subject"":"""&amp;R214&amp;""",""project_id"":79,""tracker_id"":40,""status_id"":"&amp;redmine_status&amp;",""priority_id"":"&amp;redmine_priority&amp;",""assigned_to_id"":"&amp;redmine_assignee&amp;",""start_date"":"""&amp;TEXT(I214,"YYYY-mm-dd")&amp;""",""description"":"""&amp;AJ214&amp;""",""custom_fields"":[{""id"":1,""name"":""Subdivision"",""value"":"""&amp;AG214&amp;"""},{""id"":4,""name"":""Milepost"",""value"":"""&amp;Z214&amp;"""},{""id"":17,""name"":""Train ID"",""value"":"""&amp;A214&amp;"""},{""id"":16,""name"":""Locomotive ID"",""value"":"""&amp;B214&amp;"""},{""id"":130,""name"":""Impact"",""value"":"""&amp;AK214&amp;"""},{""id"":150,""name"":""Time of Event (Mountain Time)"",""value"":"""&amp;TEXT(I214,"hh:mm:ss")&amp;"""},{""id"":151,""name"":""Denver Issue ID"",""value"":"""&amp;"""},{""id"":178,""name"":""Operational Impact"",""value"":"""&amp;redmine_op_impact&amp;"""},{""id"":179,""name"":""Denver Segment Assigned"",""value"":"""&amp;AL214&amp;"""}]}}"&amp;" | curl -X POST -H ""Content-Type: application/json"" -H ""X-Redmine-API-Key: "&amp;redm_api_key&amp;""" "&amp;redm_url&amp;" --data @-"</f>
        <v>echo {"issue":{"subject":"","project_id":79,"tracker_id":40,"status_id":1,"priority_id":2,"assigned_to_id":23,"start_date":"2016-12-15","description":"","custom_fields":[{"id":1,"name":"Subdivision","value":"Other"},{"id":4,"name":"Milepost","value":"0.0147"},{"id":17,"name":"Train ID","value":"310-15"},{"id":16,"name":"Locomotive ID","value":"4004"},{"id":130,"name":"Impact","value":""},{"id":150,"name":"Time of Event (Mountain Time)","value":"04:36:40"},{"id":151,"name":"Denver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row>
    <row r="215" spans="1:91" x14ac:dyDescent="0.25">
      <c r="A215" s="37" t="s">
        <v>394</v>
      </c>
      <c r="B215" s="7">
        <v>4044</v>
      </c>
      <c r="C215" s="22" t="s">
        <v>207</v>
      </c>
      <c r="D215" s="22" t="s">
        <v>275</v>
      </c>
      <c r="E215" s="13">
        <v>42719.092662037037</v>
      </c>
      <c r="F215" s="13">
        <v>25568.708333333332</v>
      </c>
      <c r="G215" s="7">
        <v>1</v>
      </c>
      <c r="H215" s="22" t="s">
        <v>424</v>
      </c>
      <c r="I215" s="13">
        <v>25568.708333333332</v>
      </c>
      <c r="J215" s="7">
        <v>0</v>
      </c>
      <c r="K215" s="109" t="str">
        <f t="shared" si="127"/>
        <v>4043/4044</v>
      </c>
      <c r="L215" s="22" t="str">
        <f>VLOOKUP(A215,'Trips&amp;Operators'!$C$1:$G$99999,5,FALSE)</f>
        <v>PERKINS DARREN</v>
      </c>
      <c r="M215" s="6">
        <f t="shared" si="128"/>
        <v>0</v>
      </c>
      <c r="N215" s="7">
        <f t="shared" si="124"/>
        <v>0</v>
      </c>
      <c r="O215" s="7"/>
      <c r="P215" s="7"/>
      <c r="Q215" s="23"/>
      <c r="R215" s="23"/>
      <c r="S215" s="35">
        <f t="shared" si="129"/>
        <v>1</v>
      </c>
      <c r="T215" s="50" t="str">
        <f t="shared" si="130"/>
        <v>NorthBound</v>
      </c>
      <c r="U215" s="171">
        <f>IF(AG215="EC",COUNTIFS(Variables!$M$2:$M$19,IF(T215="NorthBound","&gt;=","&lt;=")&amp;Y215,Variables!$M$2:$M$19,IF(T215="NorthBound","&lt;=","&gt;=")&amp;Z215),COUNTIFS(Variables!$P$2:$P$19,IF(T215="NorthBound","&gt;=","&lt;=")&amp;Y215,Variables!$P$2:$P$19,IF(T215="NorthBound","&lt;=","&gt;=")&amp;Z215))</f>
        <v>1</v>
      </c>
      <c r="V215" s="98" t="str">
        <f t="shared" si="136"/>
        <v>https://search-rtdc-monitor-bjffxe2xuh6vdkpspy63sjmuny.us-east-1.es.amazonaws.com/_plugin/kibana/#/discover/Steve-Slow-Train-Analysis-(2080s-and-2083s)?_g=(refreshInterval:(display:Off,section:0,value:0),time:(from:'2016-12-15 01:13:26-700',mode:absolute,to:'1969-12-31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215" s="52" t="str">
        <f t="shared" si="131"/>
        <v>Y</v>
      </c>
      <c r="X215" s="177">
        <f t="shared" si="126"/>
        <v>5</v>
      </c>
      <c r="Y215" s="67">
        <f t="shared" si="132"/>
        <v>4.6399999999999997E-2</v>
      </c>
      <c r="Z215" s="67">
        <f t="shared" si="125"/>
        <v>2.331</v>
      </c>
      <c r="AA215" s="67">
        <f t="shared" si="133"/>
        <v>2.2846000000000002</v>
      </c>
      <c r="AB215" s="64" t="e">
        <f>VLOOKUP(A215,Enforcements!$C$7:$K$18,8,0)</f>
        <v>#N/A</v>
      </c>
      <c r="AC215" s="60" t="e">
        <f>VLOOKUP(A215,Enforcements!$C$7:$E$18,3,0)</f>
        <v>#N/A</v>
      </c>
      <c r="AD215" s="61" t="str">
        <f t="shared" si="134"/>
        <v>0315-14</v>
      </c>
      <c r="AE215" s="91" t="str">
        <f t="shared" si="137"/>
        <v>aws s3 cp s3://rtdc.mdm.uploadarchive.raw/RTDC4044/ "%USERPROFILE%\AppData\Local\Temp\OnboardLogs"\RTDC4044\1969-12-31 --exclude "*" --recursive --include "*19691231*" &amp; "%USERPROFILE%\Documents\GitHub\mrs-test-scripts\Headless Mode &amp; Sideloading\WalkAndUnGZ.bat" "%USERPROFILE%\AppData\Local\Temp\OnboardLogs"\RTDC4044\1969-12-31 &amp; aws s3 cp s3://rtdc.mdm.uploadarchive.raw/RTDC4044/ "%USERPROFILE%\AppData\Local\Temp\OnboardLogs"\RTDC4044\1970-01-01 --exclude "*" --recursive --include "*19700101*" &amp; "%USERPROFILE%\Documents\GitHub\mrs-test-scripts\Headless Mode &amp; Sideloading\WalkAndUnGZ.bat" "%USERPROFILE%\AppData\Local\Temp\OnboardLogs"\RTDC4044\1970-01-01</v>
      </c>
      <c r="AF215" s="88" t="str">
        <f t="shared" si="138"/>
        <v>"C:\Program Files (x86)\AstroGrep\AstroGrep.exe" /spath="%USERPROFILE%\AppData\Local\Temp\OnboardLogs" /stypes="app*4044*19700101*" /stext=" 00:.+((SYSTEM_STATE.+slice.+state.+changed )|(ment ac)|(multiple cpu faults)|(system.+state.+changed )|(\[timeout)|(PRM\|1\|D)|(kpr)|(kdp)|(\|lc)|(penalty))" /e /r /s</v>
      </c>
      <c r="AG215" s="1" t="str">
        <f t="shared" si="135"/>
        <v>Other</v>
      </c>
      <c r="AH215" s="92" t="str">
        <f t="shared" si="139"/>
        <v>"%USERPROFILE%\Documents\GitHub\eaglep3\Utilities\RefineRTDCRunTimes.py" --tripid 315-14 --locoid 4044 --swversion DE.1.0.8.0 --startMP 204:464 --initTime 2016-12-15T02:13:26 --startdatetime 1969-12-31T17:00:00 --delay 1 --endMP 300:23310 --enddatetime 1969-12-31T17:00:00 --enforcementcount 0 &gt;&gt;C:\Users\stu\Documents\GitHub\eaglep3-reporting\EC\2016-12-15-refined-times.txt</v>
      </c>
      <c r="AI215" s="119" t="str">
        <f t="shared" si="140"/>
        <v>echo {"issue":{"subject":"","project_id":79,"tracker_id":40,"status_id":1,"priority_id":2,"assigned_to_id":23,"start_date":"1969-12-31","description":"","custom_fields":[{"id":1,"name":"Subdivision","value":"Other"},{"id":4,"name":"Milepost","value":"2.331"},{"id":17,"name":"Train ID","value":"315-14"},{"id":16,"name":"Locomotive ID","value":"4044"},{"id":130,"name":"Impact","value":""},{"id":150,"name":"Time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row>
    <row r="216" spans="1:91" x14ac:dyDescent="0.25">
      <c r="A216" s="37" t="s">
        <v>633</v>
      </c>
      <c r="B216" s="7">
        <v>4051</v>
      </c>
      <c r="C216" s="22" t="s">
        <v>207</v>
      </c>
      <c r="D216" s="22" t="s">
        <v>932</v>
      </c>
      <c r="E216" s="13">
        <v>42719.352361111109</v>
      </c>
      <c r="F216" s="13">
        <v>25568.708333333332</v>
      </c>
      <c r="G216" s="7">
        <v>0</v>
      </c>
      <c r="H216" s="22" t="s">
        <v>933</v>
      </c>
      <c r="I216" s="13">
        <v>25568.708333333332</v>
      </c>
      <c r="J216" s="7">
        <v>0</v>
      </c>
      <c r="K216" s="109" t="str">
        <f t="shared" si="127"/>
        <v>4051/4052</v>
      </c>
      <c r="L216" s="22" t="str">
        <f>VLOOKUP(A216,'Trips&amp;Operators'!$C$1:$G$99999,5,FALSE)</f>
        <v>ALEXANDER DONNELL</v>
      </c>
      <c r="M216" s="6">
        <f t="shared" si="128"/>
        <v>0</v>
      </c>
      <c r="N216" s="7">
        <f t="shared" si="124"/>
        <v>0</v>
      </c>
      <c r="O216" s="7"/>
      <c r="P216" s="7"/>
      <c r="Q216" s="23"/>
      <c r="R216" s="23"/>
      <c r="S216" s="35">
        <f t="shared" si="129"/>
        <v>1</v>
      </c>
      <c r="T216" s="50" t="str">
        <f t="shared" si="130"/>
        <v>NorthBound</v>
      </c>
      <c r="U216" s="171">
        <f>IF(AG216="EC",COUNTIFS(Variables!$M$2:$M$19,IF(T216="NorthBound","&gt;=","&lt;=")&amp;Y216,Variables!$M$2:$M$19,IF(T216="NorthBound","&lt;=","&gt;=")&amp;Z216),COUNTIFS(Variables!$P$2:$P$19,IF(T216="NorthBound","&gt;=","&lt;=")&amp;Y216,Variables!$P$2:$P$19,IF(T216="NorthBound","&lt;=","&gt;=")&amp;Z216))</f>
        <v>1</v>
      </c>
      <c r="V216" s="98" t="str">
        <f t="shared" si="136"/>
        <v>https://search-rtdc-monitor-bjffxe2xuh6vdkpspy63sjmuny.us-east-1.es.amazonaws.com/_plugin/kibana/#/discover/Steve-Slow-Train-Analysis-(2080s-and-2083s)?_g=(refreshInterval:(display:Off,section:0,value:0),time:(from:'2016-12-15 07:27:24-700',mode:absolute,to:'1969-12-31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216" s="52" t="str">
        <f t="shared" si="131"/>
        <v>Y</v>
      </c>
      <c r="X216" s="177">
        <f t="shared" si="126"/>
        <v>588</v>
      </c>
      <c r="Y216" s="67">
        <f t="shared" si="132"/>
        <v>0.1076</v>
      </c>
      <c r="Z216" s="67">
        <f t="shared" si="125"/>
        <v>2.4256000000000002</v>
      </c>
      <c r="AA216" s="67">
        <f t="shared" si="133"/>
        <v>2.3180000000000001</v>
      </c>
      <c r="AB216" s="64" t="e">
        <f>VLOOKUP(A216,Enforcements!$C$7:$K$18,8,0)</f>
        <v>#N/A</v>
      </c>
      <c r="AC216" s="60" t="e">
        <f>VLOOKUP(A216,Enforcements!$C$7:$E$18,3,0)</f>
        <v>#N/A</v>
      </c>
      <c r="AD216" s="61" t="str">
        <f t="shared" si="134"/>
        <v>0903-15</v>
      </c>
      <c r="AE216" s="91" t="str">
        <f t="shared" si="137"/>
        <v>aws s3 cp s3://rtdc.mdm.uploadarchive.raw/RTDC4051/ "%USERPROFILE%\AppData\Local\Temp\OnboardLogs"\RTDC4051\1969-12-31 --exclude "*" --recursive --include "*19691231*" &amp; "%USERPROFILE%\Documents\GitHub\mrs-test-scripts\Headless Mode &amp; Sideloading\WalkAndUnGZ.bat" "%USERPROFILE%\AppData\Local\Temp\OnboardLogs"\RTDC4051\1969-12-31 &amp; aws s3 cp s3://rtdc.mdm.uploadarchive.raw/RTDC4051/ "%USERPROFILE%\AppData\Local\Temp\OnboardLogs"\RTDC4051\1970-01-01 --exclude "*" --recursive --include "*19700101*" &amp; "%USERPROFILE%\Documents\GitHub\mrs-test-scripts\Headless Mode &amp; Sideloading\WalkAndUnGZ.bat" "%USERPROFILE%\AppData\Local\Temp\OnboardLogs"\RTDC4051\1970-01-01</v>
      </c>
      <c r="AF216" s="88" t="str">
        <f t="shared" si="138"/>
        <v>"C:\Program Files (x86)\AstroGrep\AstroGrep.exe" /spath="%USERPROFILE%\AppData\Local\Temp\OnboardLogs" /stypes="app*4051*19700101*" /stext=" 00:.+((SYSTEM_STATE.+slice.+state.+changed )|(ment ac)|(multiple cpu faults)|(system.+state.+changed )|(\[timeout)|(PRM\|1\|D)|(kpr)|(kdp)|(\|lc)|(penalty))" /e /r /s</v>
      </c>
      <c r="AG216" s="1" t="str">
        <f t="shared" si="135"/>
        <v>Other</v>
      </c>
      <c r="AH216" s="92" t="str">
        <f t="shared" si="139"/>
        <v>"%USERPROFILE%\Documents\GitHub\eaglep3\Utilities\RefineRTDCRunTimes.py" --tripid 903-15 --locoid 4051 --swversion DE.1.0.8.0 --startMP 204:1076 --initTime 2016-12-15T08:27:24 --startdatetime 1969-12-31T17:00:00 --delay 0 --endMP 300:24256 --enddatetime 1969-12-31T17:00:00 --enforcementcount 0 &gt;&gt;C:\Users\stu\Documents\GitHub\eaglep3-reporting\EC\2016-12-15-refined-times.txt</v>
      </c>
      <c r="AI216" s="119" t="str">
        <f t="shared" si="140"/>
        <v>echo {"issue":{"subject":"","project_id":79,"tracker_id":40,"status_id":1,"priority_id":2,"assigned_to_id":23,"start_date":"1969-12-31","description":"","custom_fields":[{"id":1,"name":"Subdivision","value":"Other"},{"id":4,"name":"Milepost","value":"2.4256"},{"id":17,"name":"Train ID","value":"903-15"},{"id":16,"name":"Locomotive ID","value":"4051"},{"id":130,"name":"Impact","value":""},{"id":150,"name":"Time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row>
    <row r="217" spans="1:91" x14ac:dyDescent="0.25">
      <c r="A217" s="37" t="s">
        <v>571</v>
      </c>
      <c r="B217" s="7">
        <v>4052</v>
      </c>
      <c r="C217" s="22" t="s">
        <v>207</v>
      </c>
      <c r="D217" s="22" t="s">
        <v>934</v>
      </c>
      <c r="E217" s="13">
        <v>42719.638067129628</v>
      </c>
      <c r="F217" s="13">
        <v>42719.639884259261</v>
      </c>
      <c r="G217" s="7">
        <v>2</v>
      </c>
      <c r="H217" s="22" t="s">
        <v>935</v>
      </c>
      <c r="I217" s="13">
        <v>42719.647685185184</v>
      </c>
      <c r="J217" s="7">
        <v>0</v>
      </c>
      <c r="K217" s="109" t="str">
        <f t="shared" si="127"/>
        <v>4051/4052</v>
      </c>
      <c r="L217" s="22" t="str">
        <f>VLOOKUP(A217,'Trips&amp;Operators'!$C$1:$G$99999,5,FALSE)</f>
        <v>SIMMONS SHYHESHA</v>
      </c>
      <c r="M217" s="6">
        <f t="shared" si="128"/>
        <v>7.8009259232203476E-3</v>
      </c>
      <c r="N217" s="7">
        <f t="shared" ref="N217:N238" si="141">24*60*SUM($M217:$M217)</f>
        <v>11.233333329437301</v>
      </c>
      <c r="O217" s="7"/>
      <c r="P217" s="7"/>
      <c r="Q217" s="23"/>
      <c r="R217" s="23"/>
      <c r="S217" s="35">
        <f t="shared" si="129"/>
        <v>1</v>
      </c>
      <c r="T217" s="50" t="str">
        <f t="shared" si="130"/>
        <v>Southbound</v>
      </c>
      <c r="U217" s="171">
        <f>IF(AG217="EC",COUNTIFS(Variables!$M$2:$M$19,IF(T217="NorthBound","&gt;=","&lt;=")&amp;Y217,Variables!$M$2:$M$19,IF(T217="NorthBound","&lt;=","&gt;=")&amp;Z217),COUNTIFS(Variables!$P$2:$P$19,IF(T217="NorthBound","&gt;=","&lt;=")&amp;Y217,Variables!$P$2:$P$19,IF(T217="NorthBound","&lt;=","&gt;=")&amp;Z217))</f>
        <v>1</v>
      </c>
      <c r="V217" s="98" t="str">
        <f t="shared" si="136"/>
        <v>https://search-rtdc-monitor-bjffxe2xuh6vdkpspy63sjmuny.us-east-1.es.amazonaws.com/_plugin/kibana/#/discover/Steve-Slow-Train-Analysis-(2080s-and-2083s)?_g=(refreshInterval:(display:Off,section:0,value:0),time:(from:'2016-12-15 14:18:49-700',mode:absolute,to:'2016-12-15 16:32: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217" s="52" t="str">
        <f t="shared" si="131"/>
        <v>Y</v>
      </c>
      <c r="X217" s="177">
        <f t="shared" si="126"/>
        <v>1</v>
      </c>
      <c r="Y217" s="67">
        <f t="shared" si="132"/>
        <v>2.3368000000000002</v>
      </c>
      <c r="Z217" s="67">
        <f t="shared" ref="Z217:Z238" si="142">RIGHT(H217,LEN(H217)-4)/10000</f>
        <v>6.7100000000000007E-2</v>
      </c>
      <c r="AA217" s="67">
        <f t="shared" si="133"/>
        <v>2.2697000000000003</v>
      </c>
      <c r="AB217" s="64" t="e">
        <f>VLOOKUP(A217,Enforcements!$C$7:$K$18,8,0)</f>
        <v>#N/A</v>
      </c>
      <c r="AC217" s="60" t="e">
        <f>VLOOKUP(A217,Enforcements!$C$7:$E$18,3,0)</f>
        <v>#N/A</v>
      </c>
      <c r="AD217" s="61" t="str">
        <f t="shared" si="134"/>
        <v>0904-15</v>
      </c>
      <c r="AE217" s="91" t="str">
        <f t="shared" si="137"/>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AF217" s="88" t="str">
        <f t="shared" si="138"/>
        <v>"C:\Program Files (x86)\AstroGrep\AstroGrep.exe" /spath="%USERPROFILE%\AppData\Local\Temp\OnboardLogs" /stypes="app*4052*20161215*" /stext=" 22:.+((SYSTEM_STATE.+slice.+state.+changed )|(ment ac)|(multiple cpu faults)|(system.+state.+changed )|(\[timeout)|(PRM\|1\|D)|(kpr)|(kdp)|(\|lc)|(penalty))" /e /r /s</v>
      </c>
      <c r="AG217" s="1" t="str">
        <f t="shared" si="135"/>
        <v>Other</v>
      </c>
      <c r="AH217" s="92" t="str">
        <f t="shared" si="139"/>
        <v>"%USERPROFILE%\Documents\GitHub\eaglep3\Utilities\RefineRTDCRunTimes.py" --tripid 904-15 --locoid 4052 --swversion DE.1.0.8.0 --startMP 300:23368 --initTime 2016-12-15T15:18:49 --startdatetime 2016-12-15T15:21:26 --delay 2 --endMP 204:671 --enddatetime 2016-12-15T15:32:40 --enforcementcount 0 &gt;&gt;C:\Users\stu\Documents\GitHub\eaglep3-reporting\EC\2016-12-15-refined-times.txt</v>
      </c>
      <c r="AI217" s="119" t="str">
        <f t="shared" si="140"/>
        <v>echo {"issue":{"subject":"","project_id":79,"tracker_id":40,"status_id":1,"priority_id":2,"assigned_to_id":23,"start_date":"2016-12-15","description":"","custom_fields":[{"id":1,"name":"Subdivision","value":"Other"},{"id":4,"name":"Milepost","value":"0.0671"},{"id":17,"name":"Train ID","value":"904-15"},{"id":16,"name":"Locomotive ID","value":"4052"},{"id":130,"name":"Impact","value":""},{"id":150,"name":"Time of Event (Mountain Time)","value":"15:32:40"},{"id":151,"name":"Denver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row>
    <row r="218" spans="1:91" x14ac:dyDescent="0.25">
      <c r="A218" s="37" t="s">
        <v>748</v>
      </c>
      <c r="B218" s="7">
        <v>4052</v>
      </c>
      <c r="C218" s="22" t="s">
        <v>207</v>
      </c>
      <c r="D218" s="22" t="s">
        <v>915</v>
      </c>
      <c r="E218" s="13">
        <v>42719.795532407406</v>
      </c>
      <c r="F218" s="13">
        <v>25568.708333333332</v>
      </c>
      <c r="G218" s="7">
        <v>1</v>
      </c>
      <c r="H218" s="22" t="s">
        <v>936</v>
      </c>
      <c r="I218" s="13">
        <v>25568.708333333332</v>
      </c>
      <c r="J218" s="7">
        <v>0</v>
      </c>
      <c r="K218" s="109" t="str">
        <f t="shared" si="127"/>
        <v>4051/4052</v>
      </c>
      <c r="L218" s="22" t="str">
        <f>VLOOKUP(A218,'Trips&amp;Operators'!$C$1:$G$99999,5,FALSE)</f>
        <v>SIMMONS SHYHESHA</v>
      </c>
      <c r="M218" s="6">
        <f t="shared" si="128"/>
        <v>0</v>
      </c>
      <c r="N218" s="7">
        <f t="shared" si="141"/>
        <v>0</v>
      </c>
      <c r="O218" s="7"/>
      <c r="P218" s="7"/>
      <c r="Q218" s="23"/>
      <c r="R218" s="23"/>
      <c r="S218" s="35">
        <f t="shared" si="129"/>
        <v>0</v>
      </c>
      <c r="T218" s="50" t="str">
        <f t="shared" si="130"/>
        <v>Southbound</v>
      </c>
      <c r="U218" s="171">
        <f>IF(AG218="EC",COUNTIFS(Variables!$M$2:$M$19,IF(T218="NorthBound","&gt;=","&lt;=")&amp;Y218,Variables!$M$2:$M$19,IF(T218="NorthBound","&lt;=","&gt;=")&amp;Z218),COUNTIFS(Variables!$P$2:$P$19,IF(T218="NorthBound","&gt;=","&lt;=")&amp;Y218,Variables!$P$2:$P$19,IF(T218="NorthBound","&lt;=","&gt;=")&amp;Z218))</f>
        <v>0</v>
      </c>
      <c r="V218" s="98" t="str">
        <f t="shared" si="136"/>
        <v>https://search-rtdc-monitor-bjffxe2xuh6vdkpspy63sjmuny.us-east-1.es.amazonaws.com/_plugin/kibana/#/discover/Steve-Slow-Train-Analysis-(2080s-and-2083s)?_g=(refreshInterval:(display:Off,section:0,value:0),time:(from:'2016-12-15 18:05:34-700',mode:absolute,to:'1969-12-31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W218" s="52" t="str">
        <f t="shared" si="131"/>
        <v>Y</v>
      </c>
      <c r="X218" s="177">
        <f t="shared" si="126"/>
        <v>2</v>
      </c>
      <c r="Y218" s="67">
        <f t="shared" si="132"/>
        <v>5.8609</v>
      </c>
      <c r="Z218" s="67">
        <f t="shared" si="142"/>
        <v>2.8788999999999998</v>
      </c>
      <c r="AA218" s="67">
        <f t="shared" si="133"/>
        <v>2.9820000000000002</v>
      </c>
      <c r="AB218" s="64" t="e">
        <f>VLOOKUP(A218,Enforcements!$C$7:$K$18,8,0)</f>
        <v>#N/A</v>
      </c>
      <c r="AC218" s="60" t="e">
        <f>VLOOKUP(A218,Enforcements!$C$7:$E$18,3,0)</f>
        <v>#N/A</v>
      </c>
      <c r="AD218" s="61" t="str">
        <f t="shared" si="134"/>
        <v>0906-15</v>
      </c>
      <c r="AE218" s="91" t="str">
        <f t="shared" si="137"/>
        <v>aws s3 cp s3://rtdc.mdm.uploadarchive.raw/RTDC4052/ "%USERPROFILE%\AppData\Local\Temp\OnboardLogs"\RTDC4052\1969-12-31 --exclude "*" --recursive --include "*19691231*" &amp; "%USERPROFILE%\Documents\GitHub\mrs-test-scripts\Headless Mode &amp; Sideloading\WalkAndUnGZ.bat" "%USERPROFILE%\AppData\Local\Temp\OnboardLogs"\RTDC4052\1969-12-31 &amp; aws s3 cp s3://rtdc.mdm.uploadarchive.raw/RTDC4052/ "%USERPROFILE%\AppData\Local\Temp\OnboardLogs"\RTDC4052\1970-01-01 --exclude "*" --recursive --include "*19700101*" &amp; "%USERPROFILE%\Documents\GitHub\mrs-test-scripts\Headless Mode &amp; Sideloading\WalkAndUnGZ.bat" "%USERPROFILE%\AppData\Local\Temp\OnboardLogs"\RTDC4052\1970-01-01</v>
      </c>
      <c r="AF218" s="88" t="str">
        <f t="shared" si="138"/>
        <v>"C:\Program Files (x86)\AstroGrep\AstroGrep.exe" /spath="%USERPROFILE%\AppData\Local\Temp\OnboardLogs" /stypes="app*4052*19700101*" /stext=" 00:.+((SYSTEM_STATE.+slice.+state.+changed )|(ment ac)|(multiple cpu faults)|(system.+state.+changed )|(\[timeout)|(PRM\|1\|D)|(kpr)|(kdp)|(\|lc)|(penalty))" /e /r /s</v>
      </c>
      <c r="AG218" s="1" t="str">
        <f t="shared" si="135"/>
        <v>Other</v>
      </c>
      <c r="AH218" s="92" t="str">
        <f t="shared" si="139"/>
        <v>"%USERPROFILE%\Documents\GitHub\eaglep3\Utilities\RefineRTDCRunTimes.py" --tripid 906-15 --locoid 4052 --swversion DE.1.0.8.0 --startMP 300:58609 --initTime 2016-12-15T19:05:34 --startdatetime 1969-12-31T17:00:00 --delay 1 --endMP 300:28789 --enddatetime 1969-12-31T17:00:00 --enforcementcount 0 &gt;&gt;C:\Users\stu\Documents\GitHub\eaglep3-reporting\EC\2016-12-15-refined-times.txt</v>
      </c>
      <c r="AI218" s="119" t="str">
        <f t="shared" si="140"/>
        <v>echo {"issue":{"subject":"","project_id":79,"tracker_id":40,"status_id":1,"priority_id":2,"assigned_to_id":23,"start_date":"1969-12-31","description":"","custom_fields":[{"id":1,"name":"Subdivision","value":"Other"},{"id":4,"name":"Milepost","value":"2.8789"},{"id":17,"name":"Train ID","value":"906-15"},{"id":16,"name":"Locomotive ID","value":"4052"},{"id":130,"name":"Impact","value":""},{"id":150,"name":"Time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91" x14ac:dyDescent="0.25">
      <c r="A219" s="37" t="s">
        <v>771</v>
      </c>
      <c r="B219" s="7">
        <v>4041</v>
      </c>
      <c r="C219" s="22" t="s">
        <v>207</v>
      </c>
      <c r="D219" s="22" t="s">
        <v>439</v>
      </c>
      <c r="E219" s="13">
        <v>42719.940787037034</v>
      </c>
      <c r="F219" s="13">
        <v>42719.94190972222</v>
      </c>
      <c r="G219" s="7">
        <v>1</v>
      </c>
      <c r="H219" s="22" t="s">
        <v>937</v>
      </c>
      <c r="I219" s="13">
        <v>42719.946076388886</v>
      </c>
      <c r="J219" s="7">
        <v>0</v>
      </c>
      <c r="K219" s="109" t="str">
        <f t="shared" si="127"/>
        <v>4041/4042</v>
      </c>
      <c r="L219" s="22" t="str">
        <f>VLOOKUP(A219,'Trips&amp;Operators'!$C$1:$G$99999,5,FALSE)</f>
        <v>SIMMONS SHYHESHA</v>
      </c>
      <c r="M219" s="6">
        <f t="shared" si="128"/>
        <v>4.166666665696539E-3</v>
      </c>
      <c r="N219" s="7">
        <f t="shared" si="141"/>
        <v>5.9999999986030161</v>
      </c>
      <c r="O219" s="7"/>
      <c r="P219" s="7"/>
      <c r="Q219" s="23"/>
      <c r="R219" s="23"/>
      <c r="S219" s="35">
        <f t="shared" si="129"/>
        <v>0</v>
      </c>
      <c r="T219" s="50" t="str">
        <f t="shared" si="130"/>
        <v>Southbound</v>
      </c>
      <c r="U219" s="171">
        <f>IF(AG219="EC",COUNTIFS(Variables!$M$2:$M$19,IF(T219="NorthBound","&gt;=","&lt;=")&amp;Y219,Variables!$M$2:$M$19,IF(T219="NorthBound","&lt;=","&gt;=")&amp;Z219),COUNTIFS(Variables!$P$2:$P$19,IF(T219="NorthBound","&gt;=","&lt;=")&amp;Y219,Variables!$P$2:$P$19,IF(T219="NorthBound","&lt;=","&gt;=")&amp;Z219))</f>
        <v>0</v>
      </c>
      <c r="V219" s="98" t="str">
        <f t="shared" si="136"/>
        <v>https://search-rtdc-monitor-bjffxe2xuh6vdkpspy63sjmuny.us-east-1.es.amazonaws.com/_plugin/kibana/#/discover/Steve-Slow-Train-Analysis-(2080s-and-2083s)?_g=(refreshInterval:(display:Off,section:0,value:0),time:(from:'2016-12-15 21:34:44-700',mode:absolute,to:'2016-12-15 23:42:21-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19" s="52" t="str">
        <f t="shared" si="131"/>
        <v>Y</v>
      </c>
      <c r="X219" s="177">
        <f t="shared" si="126"/>
        <v>2</v>
      </c>
      <c r="Y219" s="67">
        <f t="shared" si="132"/>
        <v>5.8615000000000004</v>
      </c>
      <c r="Z219" s="67">
        <f t="shared" si="142"/>
        <v>2.1562000000000001</v>
      </c>
      <c r="AA219" s="67">
        <f t="shared" si="133"/>
        <v>3.7053000000000003</v>
      </c>
      <c r="AB219" s="64" t="e">
        <f>VLOOKUP(A219,Enforcements!$C$7:$K$18,8,0)</f>
        <v>#N/A</v>
      </c>
      <c r="AC219" s="60" t="e">
        <f>VLOOKUP(A219,Enforcements!$C$7:$E$18,3,0)</f>
        <v>#N/A</v>
      </c>
      <c r="AD219" s="61" t="str">
        <f t="shared" si="134"/>
        <v>0908-15</v>
      </c>
      <c r="AE219" s="91" t="str">
        <f t="shared" si="137"/>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219" s="88" t="str">
        <f t="shared" si="138"/>
        <v>"C:\Program Files (x86)\AstroGrep\AstroGrep.exe" /spath="%USERPROFILE%\AppData\Local\Temp\OnboardLogs" /stypes="app*4041*20161216*" /stext=" 05:.+((SYSTEM_STATE.+slice.+state.+changed )|(ment ac)|(multiple cpu faults)|(system.+state.+changed )|(\[timeout)|(PRM\|1\|D)|(kpr)|(kdp)|(\|lc)|(penalty))" /e /r /s</v>
      </c>
      <c r="AG219" s="1" t="str">
        <f t="shared" si="135"/>
        <v>Other</v>
      </c>
      <c r="AH219" s="92" t="str">
        <f t="shared" si="139"/>
        <v>"%USERPROFILE%\Documents\GitHub\eaglep3\Utilities\RefineRTDCRunTimes.py" --tripid 908-15 --locoid 4041 --swversion DE.1.0.8.0 --startMP 300:58615 --initTime 2016-12-15T22:34:44 --startdatetime 2016-12-15T22:36:21 --delay 1 --endMP 300:21562 --enddatetime 2016-12-15T22:42:21 --enforcementcount 0 &gt;&gt;C:\Users\stu\Documents\GitHub\eaglep3-reporting\EC\2016-12-15-refined-times.txt</v>
      </c>
      <c r="AI219" s="119" t="str">
        <f t="shared" si="140"/>
        <v>echo {"issue":{"subject":"","project_id":79,"tracker_id":40,"status_id":1,"priority_id":2,"assigned_to_id":23,"start_date":"2016-12-15","description":"","custom_fields":[{"id":1,"name":"Subdivision","value":"Other"},{"id":4,"name":"Milepost","value":"2.1562"},{"id":17,"name":"Train ID","value":"908-15"},{"id":16,"name":"Locomotive ID","value":"4041"},{"id":130,"name":"Impact","value":""},{"id":150,"name":"Time of Event (Mountain Time)","value":"22:42:21"},{"id":151,"name":"Denver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91" x14ac:dyDescent="0.25">
      <c r="A220" s="37" t="s">
        <v>597</v>
      </c>
      <c r="B220" s="7">
        <v>4051</v>
      </c>
      <c r="C220" s="22" t="s">
        <v>207</v>
      </c>
      <c r="D220" s="22" t="s">
        <v>938</v>
      </c>
      <c r="E220" s="13">
        <v>42719.202349537038</v>
      </c>
      <c r="F220" s="13">
        <v>42719.203726851854</v>
      </c>
      <c r="G220" s="7">
        <v>1</v>
      </c>
      <c r="H220" s="22" t="s">
        <v>316</v>
      </c>
      <c r="I220" s="13">
        <v>42719.208993055552</v>
      </c>
      <c r="J220" s="7">
        <v>0</v>
      </c>
      <c r="K220" s="109" t="str">
        <f t="shared" si="127"/>
        <v>4051/4052</v>
      </c>
      <c r="L220" s="22" t="str">
        <f>VLOOKUP(A220,'Trips&amp;Operators'!$C$1:$G$99999,5,FALSE)</f>
        <v>ALEXANDER DONNELL</v>
      </c>
      <c r="M220" s="6">
        <f t="shared" si="128"/>
        <v>5.2662036978290416E-3</v>
      </c>
      <c r="N220" s="7">
        <f t="shared" si="141"/>
        <v>7.5833333248738199</v>
      </c>
      <c r="O220" s="7"/>
      <c r="P220" s="7"/>
      <c r="Q220" s="23"/>
      <c r="R220" s="23"/>
      <c r="S220" s="35">
        <f t="shared" si="129"/>
        <v>0</v>
      </c>
      <c r="T220" s="50" t="str">
        <f t="shared" si="130"/>
        <v>NorthBound</v>
      </c>
      <c r="U220" s="171">
        <f>IF(AG220="EC",COUNTIFS(Variables!$M$2:$M$19,IF(T220="NorthBound","&gt;=","&lt;=")&amp;Y220,Variables!$M$2:$M$19,IF(T220="NorthBound","&lt;=","&gt;=")&amp;Z220),COUNTIFS(Variables!$P$2:$P$19,IF(T220="NorthBound","&gt;=","&lt;=")&amp;Y220,Variables!$P$2:$P$19,IF(T220="NorthBound","&lt;=","&gt;=")&amp;Z220))</f>
        <v>0</v>
      </c>
      <c r="V220" s="98" t="str">
        <f t="shared" si="136"/>
        <v>https://search-rtdc-monitor-bjffxe2xuh6vdkpspy63sjmuny.us-east-1.es.amazonaws.com/_plugin/kibana/#/discover/Steve-Slow-Train-Analysis-(2080s-and-2083s)?_g=(refreshInterval:(display:Off,section:0,value:0),time:(from:'2016-12-15 03:51:23-700',mode:absolute,to:'2016-12-15 06:00:57-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W220" s="52" t="str">
        <f t="shared" si="131"/>
        <v>Y</v>
      </c>
      <c r="X220" s="177">
        <f t="shared" si="126"/>
        <v>3</v>
      </c>
      <c r="Y220" s="67">
        <f t="shared" si="132"/>
        <v>3.0099</v>
      </c>
      <c r="Z220" s="67">
        <f t="shared" si="142"/>
        <v>5.8930999999999996</v>
      </c>
      <c r="AA220" s="67">
        <f t="shared" si="133"/>
        <v>2.8831999999999995</v>
      </c>
      <c r="AB220" s="64" t="e">
        <f>VLOOKUP(A220,Enforcements!$C$7:$K$18,8,0)</f>
        <v>#N/A</v>
      </c>
      <c r="AC220" s="60" t="e">
        <f>VLOOKUP(A220,Enforcements!$C$7:$E$18,3,0)</f>
        <v>#N/A</v>
      </c>
      <c r="AD220" s="61" t="str">
        <f t="shared" si="134"/>
        <v>0911-15</v>
      </c>
      <c r="AE220" s="91" t="str">
        <f t="shared" si="137"/>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AF220" s="88" t="str">
        <f t="shared" si="138"/>
        <v>"C:\Program Files (x86)\AstroGrep\AstroGrep.exe" /spath="%USERPROFILE%\AppData\Local\Temp\OnboardLogs" /stypes="app*4051*20161215*" /stext=" 12:.+((SYSTEM_STATE.+slice.+state.+changed )|(ment ac)|(multiple cpu faults)|(system.+state.+changed )|(\[timeout)|(PRM\|1\|D)|(kpr)|(kdp)|(\|lc)|(penalty))" /e /r /s</v>
      </c>
      <c r="AG220" s="1" t="str">
        <f t="shared" si="135"/>
        <v>Other</v>
      </c>
      <c r="AH220" s="92" t="str">
        <f t="shared" si="139"/>
        <v>"%USERPROFILE%\Documents\GitHub\eaglep3\Utilities\RefineRTDCRunTimes.py" --tripid 911-15 --locoid 4051 --swversion DE.1.0.8.0 --startMP 300:30099 --initTime 2016-12-15T04:51:23 --startdatetime 2016-12-15T04:53:22 --delay 1 --endMP 300:58931 --enddatetime 2016-12-15T05:00:57 --enforcementcount 0 &gt;&gt;C:\Users\stu\Documents\GitHub\eaglep3-reporting\EC\2016-12-15-refined-times.txt</v>
      </c>
      <c r="AI220" s="119" t="str">
        <f t="shared" si="140"/>
        <v>echo {"issue":{"subject":"","project_id":79,"tracker_id":40,"status_id":1,"priority_id":2,"assigned_to_id":23,"start_date":"2016-12-15","description":"","custom_fields":[{"id":1,"name":"Subdivision","value":"Other"},{"id":4,"name":"Milepost","value":"5.8931"},{"id":17,"name":"Train ID","value":"911-15"},{"id":16,"name":"Locomotive ID","value":"4051"},{"id":130,"name":"Impact","value":""},{"id":150,"name":"Time of Event (Mountain Time)","value":"05:00:57"},{"id":151,"name":"Denver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91" x14ac:dyDescent="0.25">
      <c r="A221" s="37" t="s">
        <v>609</v>
      </c>
      <c r="B221" s="7">
        <v>4041</v>
      </c>
      <c r="C221" s="22" t="s">
        <v>207</v>
      </c>
      <c r="D221" s="22" t="s">
        <v>939</v>
      </c>
      <c r="E221" s="13">
        <v>42719.247013888889</v>
      </c>
      <c r="F221" s="13">
        <v>42719.248344907406</v>
      </c>
      <c r="G221" s="7">
        <v>1</v>
      </c>
      <c r="H221" s="22" t="s">
        <v>437</v>
      </c>
      <c r="I221" s="13">
        <v>42719.253541666665</v>
      </c>
      <c r="J221" s="7">
        <v>0</v>
      </c>
      <c r="K221" s="109" t="str">
        <f t="shared" si="127"/>
        <v>4041/4042</v>
      </c>
      <c r="L221" s="22" t="str">
        <f>VLOOKUP(A221,'Trips&amp;Operators'!$C$1:$G$99999,5,FALSE)</f>
        <v>GEBRETEKLE DAGNEW</v>
      </c>
      <c r="M221" s="6">
        <f t="shared" si="128"/>
        <v>5.1967592589790002E-3</v>
      </c>
      <c r="N221" s="7">
        <f t="shared" si="141"/>
        <v>7.4833333329297602</v>
      </c>
      <c r="O221" s="7"/>
      <c r="P221" s="7"/>
      <c r="Q221" s="23"/>
      <c r="R221" s="23"/>
      <c r="S221" s="35">
        <f t="shared" si="129"/>
        <v>1</v>
      </c>
      <c r="T221" s="50" t="str">
        <f t="shared" si="130"/>
        <v>Southbound</v>
      </c>
      <c r="U221" s="171">
        <f>IF(AG221="EC",COUNTIFS(Variables!$M$2:$M$19,IF(T221="NorthBound","&gt;=","&lt;=")&amp;Y221,Variables!$M$2:$M$19,IF(T221="NorthBound","&lt;=","&gt;=")&amp;Z221),COUNTIFS(Variables!$P$2:$P$19,IF(T221="NorthBound","&gt;=","&lt;=")&amp;Y221,Variables!$P$2:$P$19,IF(T221="NorthBound","&lt;=","&gt;=")&amp;Z221))</f>
        <v>1</v>
      </c>
      <c r="V221" s="98" t="str">
        <f t="shared" si="136"/>
        <v>https://search-rtdc-monitor-bjffxe2xuh6vdkpspy63sjmuny.us-east-1.es.amazonaws.com/_plugin/kibana/#/discover/Steve-Slow-Train-Analysis-(2080s-and-2083s)?_g=(refreshInterval:(display:Off,section:0,value:0),time:(from:'2016-12-15 04:55:42-700',mode:absolute,to:'2016-12-15 07:05:06-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21" s="52" t="str">
        <f t="shared" si="131"/>
        <v>Y</v>
      </c>
      <c r="X221" s="177">
        <f t="shared" ref="X221:X238" si="143">VALUE(LEFT(AD221,4))-VALUE(LEFT(AD220,4))</f>
        <v>1</v>
      </c>
      <c r="Y221" s="67">
        <f t="shared" si="132"/>
        <v>2.3458999999999999</v>
      </c>
      <c r="Z221" s="67">
        <f t="shared" si="142"/>
        <v>6.9400000000000003E-2</v>
      </c>
      <c r="AA221" s="67">
        <f t="shared" si="133"/>
        <v>2.2765</v>
      </c>
      <c r="AB221" s="64" t="e">
        <f>VLOOKUP(A221,Enforcements!$C$7:$K$18,8,0)</f>
        <v>#N/A</v>
      </c>
      <c r="AC221" s="60" t="e">
        <f>VLOOKUP(A221,Enforcements!$C$7:$E$18,3,0)</f>
        <v>#N/A</v>
      </c>
      <c r="AD221" s="61" t="str">
        <f t="shared" si="134"/>
        <v>0912-15</v>
      </c>
      <c r="AE221" s="91" t="str">
        <f t="shared" si="137"/>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221" s="88" t="str">
        <f t="shared" si="138"/>
        <v>"C:\Program Files (x86)\AstroGrep\AstroGrep.exe" /spath="%USERPROFILE%\AppData\Local\Temp\OnboardLogs" /stypes="app*4041*20161215*" /stext=" 13:.+((SYSTEM_STATE.+slice.+state.+changed )|(ment ac)|(multiple cpu faults)|(system.+state.+changed )|(\[timeout)|(PRM\|1\|D)|(kpr)|(kdp)|(\|lc)|(penalty))" /e /r /s</v>
      </c>
      <c r="AG221" s="1" t="str">
        <f t="shared" si="135"/>
        <v>Other</v>
      </c>
      <c r="AH221" s="92" t="str">
        <f t="shared" si="139"/>
        <v>"%USERPROFILE%\Documents\GitHub\eaglep3\Utilities\RefineRTDCRunTimes.py" --tripid 912-15 --locoid 4041 --swversion DE.1.0.8.0 --startMP 300:23459 --initTime 2016-12-15T05:55:42 --startdatetime 2016-12-15T05:57:37 --delay 1 --endMP 204:694 --enddatetime 2016-12-15T06:05:06 --enforcementcount 0 &gt;&gt;C:\Users\stu\Documents\GitHub\eaglep3-reporting\EC\2016-12-15-refined-times.txt</v>
      </c>
      <c r="AI221" s="119" t="str">
        <f t="shared" si="140"/>
        <v>echo {"issue":{"subject":"","project_id":79,"tracker_id":40,"status_id":1,"priority_id":2,"assigned_to_id":23,"start_date":"2016-12-15","description":"","custom_fields":[{"id":1,"name":"Subdivision","value":"Other"},{"id":4,"name":"Milepost","value":"0.0694"},{"id":17,"name":"Train ID","value":"912-15"},{"id":16,"name":"Locomotive ID","value":"4041"},{"id":130,"name":"Impact","value":""},{"id":150,"name":"Time of Event (Mountain Time)","value":"06:05:06"},{"id":151,"name":"Denver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91" x14ac:dyDescent="0.25">
      <c r="A222" s="37" t="s">
        <v>775</v>
      </c>
      <c r="B222" s="7">
        <v>4015</v>
      </c>
      <c r="C222" s="22" t="s">
        <v>207</v>
      </c>
      <c r="D222" s="22" t="s">
        <v>940</v>
      </c>
      <c r="E222" s="13">
        <v>42720.091817129629</v>
      </c>
      <c r="F222" s="13">
        <v>25568.708333333332</v>
      </c>
      <c r="G222" s="7">
        <v>1</v>
      </c>
      <c r="H222" s="22" t="s">
        <v>941</v>
      </c>
      <c r="I222" s="13">
        <v>25568.708333333332</v>
      </c>
      <c r="J222" s="7">
        <v>0</v>
      </c>
      <c r="K222" s="109" t="str">
        <f t="shared" si="127"/>
        <v>4015/4016</v>
      </c>
      <c r="L222" s="22" t="str">
        <f>VLOOKUP(A222,'Trips&amp;Operators'!$C$1:$G$99999,5,FALSE)</f>
        <v>SAFIEF AEIMEN</v>
      </c>
      <c r="M222" s="6">
        <f t="shared" si="128"/>
        <v>0</v>
      </c>
      <c r="N222" s="7">
        <f t="shared" si="141"/>
        <v>0</v>
      </c>
      <c r="O222" s="7"/>
      <c r="P222" s="7"/>
      <c r="Q222" s="23"/>
      <c r="R222" s="23"/>
      <c r="S222" s="35">
        <f t="shared" si="129"/>
        <v>0</v>
      </c>
      <c r="T222" s="50" t="e">
        <f t="shared" si="130"/>
        <v>#VALUE!</v>
      </c>
      <c r="U222" s="171">
        <f>IF(AG222="EC",COUNTIFS(Variables!$M$2:$M$19,IF(T222="NorthBound","&gt;=","&lt;=")&amp;Y222,Variables!$M$2:$M$19,IF(T222="NorthBound","&lt;=","&gt;=")&amp;Z222),COUNTIFS(Variables!$P$2:$P$19,IF(T222="NorthBound","&gt;=","&lt;=")&amp;Y222,Variables!$P$2:$P$19,IF(T222="NorthBound","&lt;=","&gt;=")&amp;Z222))</f>
        <v>0</v>
      </c>
      <c r="V222" s="98" t="str">
        <f t="shared" si="136"/>
        <v>https://search-rtdc-monitor-bjffxe2xuh6vdkpspy63sjmuny.us-east-1.es.amazonaws.com/_plugin/kibana/#/discover/Steve-Slow-Train-Analysis-(2080s-and-2083s)?_g=(refreshInterval:(display:Off,section:0,value:0),time:(from:'2016-12-16 01:12:13-700',mode:absolute,to:'1969-12-31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2" s="52" t="str">
        <f t="shared" si="131"/>
        <v>N</v>
      </c>
      <c r="X222" s="177" t="e">
        <f t="shared" si="143"/>
        <v>#VALUE!</v>
      </c>
      <c r="Y222" s="67">
        <f t="shared" si="132"/>
        <v>12.800800000000001</v>
      </c>
      <c r="Z222" s="67">
        <f t="shared" si="142"/>
        <v>6.7355</v>
      </c>
      <c r="AA222" s="67">
        <f t="shared" si="133"/>
        <v>6.0653000000000006</v>
      </c>
      <c r="AB222" s="64" t="e">
        <f>VLOOKUP(A222,Enforcements!$C$7:$K$18,8,0)</f>
        <v>#N/A</v>
      </c>
      <c r="AC222" s="60" t="e">
        <f>VLOOKUP(A222,Enforcements!$C$7:$E$18,3,0)</f>
        <v>#N/A</v>
      </c>
      <c r="AD222" s="61" t="str">
        <f t="shared" si="134"/>
        <v>0SAF-16</v>
      </c>
      <c r="AE222" s="91" t="str">
        <f t="shared" si="137"/>
        <v>aws s3 cp s3://rtdc.mdm.uploadarchive.raw/RTDC4015/ "%USERPROFILE%\AppData\Local\Temp\OnboardLogs"\RTDC4015\1969-12-31 --exclude "*" --recursive --include "*19691231*" &amp; "%USERPROFILE%\Documents\GitHub\mrs-test-scripts\Headless Mode &amp; Sideloading\WalkAndUnGZ.bat" "%USERPROFILE%\AppData\Local\Temp\OnboardLogs"\RTDC4015\1969-12-31 &amp; aws s3 cp s3://rtdc.mdm.uploadarchive.raw/RTDC4015/ "%USERPROFILE%\AppData\Local\Temp\OnboardLogs"\RTDC4015\1970-01-01 --exclude "*" --recursive --include "*19700101*" &amp; "%USERPROFILE%\Documents\GitHub\mrs-test-scripts\Headless Mode &amp; Sideloading\WalkAndUnGZ.bat" "%USERPROFILE%\AppData\Local\Temp\OnboardLogs"\RTDC4015\1970-01-01</v>
      </c>
      <c r="AF222" s="88" t="str">
        <f t="shared" si="138"/>
        <v>"C:\Program Files (x86)\AstroGrep\AstroGrep.exe" /spath="%USERPROFILE%\AppData\Local\Temp\OnboardLogs" /stypes="app*4015*19700101*" /stext=" 00:.+((SYSTEM_STATE.+slice.+state.+changed )|(ment ac)|(multiple cpu faults)|(system.+state.+changed )|(\[timeout)|(PRM\|1\|D)|(kpr)|(kdp)|(\|lc)|(penalty))" /e /r /s</v>
      </c>
      <c r="AG222" s="1" t="str">
        <f t="shared" si="135"/>
        <v>Other</v>
      </c>
      <c r="AH222" s="92" t="str">
        <f t="shared" si="139"/>
        <v>"%USERPROFILE%\Documents\GitHub\eaglep3\Utilities\RefineRTDCRunTimes.py" --tripid SAF-16 --locoid 4015 --swversion DE.1.0.8.0 --startMP 204:128008 --initTime 2016-12-16T02:12:13 --startdatetime 1969-12-31T17:00:00 --delay 1 --endMP 204:67355 --enddatetime 1969-12-31T17:00:00 --enforcementcount 0 &gt;&gt;C:\Users\stu\Documents\GitHub\eaglep3-reporting\EC\2016-12-15-refined-times.txt</v>
      </c>
      <c r="AI222" s="119" t="str">
        <f t="shared" si="140"/>
        <v>echo {"issue":{"subject":"","project_id":79,"tracker_id":40,"status_id":1,"priority_id":2,"assigned_to_id":23,"start_date":"1969-12-31","description":"","custom_fields":[{"id":1,"name":"Subdivision","value":"Other"},{"id":4,"name":"Milepost","value":"6.7355"},{"id":17,"name":"Train ID","value":"SAF-16"},{"id":16,"name":"Locomotive ID","value":"4015"},{"id":130,"name":"Impact","value":""},{"id":150,"name":"Time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91" x14ac:dyDescent="0.25">
      <c r="A223" s="37" t="s">
        <v>775</v>
      </c>
      <c r="B223" s="7">
        <v>4015</v>
      </c>
      <c r="C223" s="22" t="s">
        <v>207</v>
      </c>
      <c r="D223" s="22" t="s">
        <v>800</v>
      </c>
      <c r="E223" s="13">
        <v>42720.030312499999</v>
      </c>
      <c r="F223" s="13">
        <v>42720.096030092594</v>
      </c>
      <c r="G223" s="7">
        <v>25</v>
      </c>
      <c r="H223" s="22" t="s">
        <v>942</v>
      </c>
      <c r="I223" s="13">
        <v>42720.102546296293</v>
      </c>
      <c r="J223" s="7">
        <v>0</v>
      </c>
      <c r="K223" s="109" t="str">
        <f t="shared" si="127"/>
        <v>4015/4016</v>
      </c>
      <c r="L223" s="22" t="str">
        <f>VLOOKUP(A223,'Trips&amp;Operators'!$C$1:$G$99999,5,FALSE)</f>
        <v>SAFIEF AEIMEN</v>
      </c>
      <c r="M223" s="6">
        <f t="shared" si="128"/>
        <v>6.5162036989931948E-3</v>
      </c>
      <c r="N223" s="7">
        <f t="shared" si="141"/>
        <v>9.3833333265502006</v>
      </c>
      <c r="O223" s="7"/>
      <c r="P223" s="7"/>
      <c r="Q223" s="23"/>
      <c r="R223" s="23"/>
      <c r="S223" s="35">
        <f t="shared" si="129"/>
        <v>0</v>
      </c>
      <c r="T223" s="50" t="e">
        <f t="shared" si="130"/>
        <v>#VALUE!</v>
      </c>
      <c r="U223" s="171">
        <f>IF(AG223="EC",COUNTIFS(Variables!$M$2:$M$19,IF(T223="NorthBound","&gt;=","&lt;=")&amp;Y223,Variables!$M$2:$M$19,IF(T223="NorthBound","&lt;=","&gt;=")&amp;Z223),COUNTIFS(Variables!$P$2:$P$19,IF(T223="NorthBound","&gt;=","&lt;=")&amp;Y223,Variables!$P$2:$P$19,IF(T223="NorthBound","&lt;=","&gt;=")&amp;Z223))</f>
        <v>0</v>
      </c>
      <c r="V223" s="98" t="str">
        <f t="shared" si="136"/>
        <v>https://search-rtdc-monitor-bjffxe2xuh6vdkpspy63sjmuny.us-east-1.es.amazonaws.com/_plugin/kibana/#/discover/Steve-Slow-Train-Analysis-(2080s-and-2083s)?_g=(refreshInterval:(display:Off,section:0,value:0),time:(from:'2016-12-15 23:43:39-700',mode:absolute,to:'2016-12-16 03:27: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3" s="52" t="str">
        <f t="shared" si="131"/>
        <v>N</v>
      </c>
      <c r="X223" s="177" t="e">
        <f t="shared" si="143"/>
        <v>#VALUE!</v>
      </c>
      <c r="Y223" s="67">
        <f t="shared" si="132"/>
        <v>23.2988</v>
      </c>
      <c r="Z223" s="67">
        <f t="shared" si="142"/>
        <v>6.7182000000000004</v>
      </c>
      <c r="AA223" s="67">
        <f t="shared" si="133"/>
        <v>16.5806</v>
      </c>
      <c r="AB223" s="64" t="e">
        <f>VLOOKUP(A223,Enforcements!$C$7:$K$18,8,0)</f>
        <v>#N/A</v>
      </c>
      <c r="AC223" s="60" t="e">
        <f>VLOOKUP(A223,Enforcements!$C$7:$E$18,3,0)</f>
        <v>#N/A</v>
      </c>
      <c r="AD223" s="61" t="str">
        <f t="shared" si="134"/>
        <v>0SAF-16</v>
      </c>
      <c r="AE223" s="91" t="str">
        <f t="shared" si="137"/>
        <v>aws s3 cp s3://rtdc.mdm.uploadarchive.raw/RTDC4015/ "%USERPROFILE%\AppData\Local\Temp\OnboardLogs"\RTDC4015\2016-12-16 --exclude "*" --recursive --include "*20161216*" &amp; "%USERPROFILE%\Documents\GitHub\mrs-test-scripts\Headless Mode &amp; Sideloading\WalkAndUnGZ.bat" "%USERPROFILE%\AppData\Local\Temp\OnboardLogs"\RTDC4015\2016-12-16 &amp; aws s3 cp s3://rtdc.mdm.uploadarchive.raw/RTDC4015/ "%USERPROFILE%\AppData\Local\Temp\OnboardLogs"\RTDC4015\2016-12-17 --exclude "*" --recursive --include "*20161217*" &amp; "%USERPROFILE%\Documents\GitHub\mrs-test-scripts\Headless Mode &amp; Sideloading\WalkAndUnGZ.bat" "%USERPROFILE%\AppData\Local\Temp\OnboardLogs"\RTDC4015\2016-12-17</v>
      </c>
      <c r="AF223" s="88" t="str">
        <f t="shared" si="138"/>
        <v>"C:\Program Files (x86)\AstroGrep\AstroGrep.exe" /spath="%USERPROFILE%\AppData\Local\Temp\OnboardLogs" /stypes="app*4015*20161216*" /stext=" 09:.+((SYSTEM_STATE.+slice.+state.+changed )|(ment ac)|(multiple cpu faults)|(system.+state.+changed )|(\[timeout)|(PRM\|1\|D)|(kpr)|(kdp)|(\|lc)|(penalty))" /e /r /s</v>
      </c>
      <c r="AG223" s="1" t="str">
        <f t="shared" si="135"/>
        <v>Other</v>
      </c>
      <c r="AH223" s="92" t="str">
        <f t="shared" si="139"/>
        <v>"%USERPROFILE%\Documents\GitHub\eaglep3\Utilities\RefineRTDCRunTimes.py" --tripid SAF-16 --locoid 4015 --swversion DE.1.0.8.0 --startMP 204:232988 --initTime 2016-12-16T00:43:39 --startdatetime 2016-12-16T02:18:17 --delay 25 --endMP 204:67182 --enddatetime 2016-12-16T02:27:40 --enforcementcount 0 &gt;&gt;C:\Users\stu\Documents\GitHub\eaglep3-reporting\EC\2016-12-15-refined-times.txt</v>
      </c>
      <c r="AI223" s="119" t="str">
        <f t="shared" si="140"/>
        <v>echo {"issue":{"subject":"","project_id":79,"tracker_id":40,"status_id":1,"priority_id":2,"assigned_to_id":23,"start_date":"2016-12-16","description":"","custom_fields":[{"id":1,"name":"Subdivision","value":"Other"},{"id":4,"name":"Milepost","value":"6.7182"},{"id":17,"name":"Train ID","value":"SAF-16"},{"id":16,"name":"Locomotive ID","value":"4015"},{"id":130,"name":"Impact","value":""},{"id":150,"name":"Time of Event (Mountain Time)","value":"02:27:40"},{"id":151,"name":"Denver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91" x14ac:dyDescent="0.25">
      <c r="A224" s="37" t="s">
        <v>775</v>
      </c>
      <c r="B224" s="7">
        <v>4016</v>
      </c>
      <c r="C224" s="22" t="s">
        <v>207</v>
      </c>
      <c r="D224" s="22" t="s">
        <v>943</v>
      </c>
      <c r="E224" s="13">
        <v>42720.081631944442</v>
      </c>
      <c r="F224" s="13">
        <v>42720.106493055559</v>
      </c>
      <c r="G224" s="7">
        <v>3</v>
      </c>
      <c r="H224" s="22" t="s">
        <v>944</v>
      </c>
      <c r="I224" s="13">
        <v>42720.112870370373</v>
      </c>
      <c r="J224" s="7">
        <v>0</v>
      </c>
      <c r="K224" s="109" t="str">
        <f t="shared" ref="K224:K238" si="144">IF(ISEVEN(B224),(B224-1)&amp;"/"&amp;B224,B224&amp;"/"&amp;(B224+1))</f>
        <v>4015/4016</v>
      </c>
      <c r="L224" s="22" t="str">
        <f>VLOOKUP(A224,'Trips&amp;Operators'!$C$1:$G$99999,5,FALSE)</f>
        <v>SAFIEF AEIMEN</v>
      </c>
      <c r="M224" s="6">
        <f t="shared" ref="M224:M238" si="145">I224-F224</f>
        <v>6.3773148140171543E-3</v>
      </c>
      <c r="N224" s="7">
        <f t="shared" si="141"/>
        <v>9.1833333321847022</v>
      </c>
      <c r="O224" s="7"/>
      <c r="P224" s="7"/>
      <c r="Q224" s="23"/>
      <c r="R224" s="23"/>
      <c r="S224" s="35">
        <f t="shared" ref="S224:S238" si="146">SUM(U224:U224)/IF(AG224="EC",12,1)</f>
        <v>0</v>
      </c>
      <c r="T224" s="50" t="e">
        <f t="shared" ref="T224:T238" si="147">IF(ISEVEN(LEFT(AD224,4)),"Southbound","NorthBound")</f>
        <v>#VALUE!</v>
      </c>
      <c r="U224" s="171">
        <f>IF(AG224="EC",COUNTIFS(Variables!$M$2:$M$19,IF(T224="NorthBound","&gt;=","&lt;=")&amp;Y224,Variables!$M$2:$M$19,IF(T224="NorthBound","&lt;=","&gt;=")&amp;Z224),COUNTIFS(Variables!$P$2:$P$19,IF(T224="NorthBound","&gt;=","&lt;=")&amp;Y224,Variables!$P$2:$P$19,IF(T224="NorthBound","&lt;=","&gt;=")&amp;Z224))</f>
        <v>0</v>
      </c>
      <c r="V224" s="98" t="str">
        <f t="shared" si="136"/>
        <v>https://search-rtdc-monitor-bjffxe2xuh6vdkpspy63sjmuny.us-east-1.es.amazonaws.com/_plugin/kibana/#/discover/Steve-Slow-Train-Analysis-(2080s-and-2083s)?_g=(refreshInterval:(display:Off,section:0,value:0),time:(from:'2016-12-16 00:57:33-700',mode:absolute,to:'2016-12-16 03:42:32-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224" s="52" t="str">
        <f t="shared" ref="W224:W238" si="148">IF(AA224&lt;IF(AG224="EC",23,5.65),"Y","N")</f>
        <v>N</v>
      </c>
      <c r="X224" s="177" t="e">
        <f t="shared" si="143"/>
        <v>#VALUE!</v>
      </c>
      <c r="Y224" s="67">
        <f t="shared" ref="Y224:Y238" si="149">RIGHT(D224,LEN(D224)-4)/10000</f>
        <v>6.7558999999999996</v>
      </c>
      <c r="Z224" s="67">
        <f t="shared" si="142"/>
        <v>12.8269</v>
      </c>
      <c r="AA224" s="67">
        <f t="shared" ref="AA224:AA238" si="150">ABS(Z224-Y224)</f>
        <v>6.0710000000000006</v>
      </c>
      <c r="AB224" s="64" t="e">
        <f>VLOOKUP(A224,Enforcements!$C$7:$K$18,8,0)</f>
        <v>#N/A</v>
      </c>
      <c r="AC224" s="60" t="e">
        <f>VLOOKUP(A224,Enforcements!$C$7:$E$18,3,0)</f>
        <v>#N/A</v>
      </c>
      <c r="AD224" s="61" t="str">
        <f t="shared" ref="AD224:AD238" si="151">IF(LEN(A224)=6,"0"&amp;A224,A224)</f>
        <v>0SAF-16</v>
      </c>
      <c r="AE224" s="91" t="str">
        <f t="shared" si="137"/>
        <v>aws s3 cp s3://rtdc.mdm.uploadarchive.raw/RTDC4016/ "%USERPROFILE%\AppData\Local\Temp\OnboardLogs"\RTDC4016\2016-12-16 --exclude "*" --recursive --include "*20161216*" &amp; "%USERPROFILE%\Documents\GitHub\mrs-test-scripts\Headless Mode &amp; Sideloading\WalkAndUnGZ.bat" "%USERPROFILE%\AppData\Local\Temp\OnboardLogs"\RTDC4016\2016-12-16 &amp; aws s3 cp s3://rtdc.mdm.uploadarchive.raw/RTDC4016/ "%USERPROFILE%\AppData\Local\Temp\OnboardLogs"\RTDC4016\2016-12-17 --exclude "*" --recursive --include "*20161217*" &amp; "%USERPROFILE%\Documents\GitHub\mrs-test-scripts\Headless Mode &amp; Sideloading\WalkAndUnGZ.bat" "%USERPROFILE%\AppData\Local\Temp\OnboardLogs"\RTDC4016\2016-12-17</v>
      </c>
      <c r="AF224" s="88" t="str">
        <f t="shared" si="138"/>
        <v>"C:\Program Files (x86)\AstroGrep\AstroGrep.exe" /spath="%USERPROFILE%\AppData\Local\Temp\OnboardLogs" /stypes="app*4016*20161216*" /stext=" 09:.+((SYSTEM_STATE.+slice.+state.+changed )|(ment ac)|(multiple cpu faults)|(system.+state.+changed )|(\[timeout)|(PRM\|1\|D)|(kpr)|(kdp)|(\|lc)|(penalty))" /e /r /s</v>
      </c>
      <c r="AG224" s="1" t="str">
        <f t="shared" ref="AG224:AG238" si="152">IFERROR(IF(VALUE(LEFT(AD224,2))&lt;=2,"EC",IF(OR(VALUE(LEFT(AD224,2))=8,VALUE(LEFT(AD224,2))=18),"NW","Other")),"Other")</f>
        <v>Other</v>
      </c>
      <c r="AH224" s="92" t="str">
        <f t="shared" si="139"/>
        <v>"%USERPROFILE%\Documents\GitHub\eaglep3\Utilities\RefineRTDCRunTimes.py" --tripid SAF-16 --locoid 4016 --swversion DE.1.0.8.0 --startMP 204:67559 --initTime 2016-12-16T01:57:33 --startdatetime 2016-12-16T02:33:21 --delay 3 --endMP 204:128269 --enddatetime 2016-12-16T02:42:32 --enforcementcount 0 &gt;&gt;C:\Users\stu\Documents\GitHub\eaglep3-reporting\EC\2016-12-15-refined-times.txt</v>
      </c>
      <c r="AI224" s="119" t="str">
        <f t="shared" si="140"/>
        <v>echo {"issue":{"subject":"","project_id":79,"tracker_id":40,"status_id":1,"priority_id":2,"assigned_to_id":23,"start_date":"2016-12-16","description":"","custom_fields":[{"id":1,"name":"Subdivision","value":"Other"},{"id":4,"name":"Milepost","value":"12.8269"},{"id":17,"name":"Train ID","value":"SAF-16"},{"id":16,"name":"Locomotive ID","value":"4016"},{"id":130,"name":"Impact","value":""},{"id":150,"name":"Time of Event (Mountain Time)","value":"02:42:32"},{"id":151,"name":"Denver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775</v>
      </c>
      <c r="B225" s="7">
        <v>4016</v>
      </c>
      <c r="C225" s="22" t="s">
        <v>207</v>
      </c>
      <c r="D225" s="22" t="s">
        <v>945</v>
      </c>
      <c r="E225" s="13">
        <v>42720.103587962964</v>
      </c>
      <c r="F225" s="13">
        <v>25568.708333333332</v>
      </c>
      <c r="G225" s="7">
        <v>1</v>
      </c>
      <c r="H225" s="22" t="s">
        <v>946</v>
      </c>
      <c r="I225" s="13">
        <v>25568.708333333332</v>
      </c>
      <c r="J225" s="7">
        <v>0</v>
      </c>
      <c r="K225" s="109" t="str">
        <f t="shared" si="144"/>
        <v>4015/4016</v>
      </c>
      <c r="L225" s="22" t="str">
        <f>VLOOKUP(A225,'Trips&amp;Operators'!$C$1:$G$99999,5,FALSE)</f>
        <v>SAFIEF AEIMEN</v>
      </c>
      <c r="M225" s="6">
        <f t="shared" si="145"/>
        <v>0</v>
      </c>
      <c r="N225" s="7">
        <f t="shared" si="141"/>
        <v>0</v>
      </c>
      <c r="O225" s="7"/>
      <c r="P225" s="7"/>
      <c r="Q225" s="23"/>
      <c r="R225" s="23"/>
      <c r="S225" s="35">
        <f t="shared" si="146"/>
        <v>0</v>
      </c>
      <c r="T225" s="50" t="e">
        <f t="shared" si="147"/>
        <v>#VALUE!</v>
      </c>
      <c r="U225" s="171">
        <f>IF(AG225="EC",COUNTIFS(Variables!$M$2:$M$19,IF(T225="NorthBound","&gt;=","&lt;=")&amp;Y225,Variables!$M$2:$M$19,IF(T225="NorthBound","&lt;=","&gt;=")&amp;Z225),COUNTIFS(Variables!$P$2:$P$19,IF(T225="NorthBound","&gt;=","&lt;=")&amp;Y225,Variables!$P$2:$P$19,IF(T225="NorthBound","&lt;=","&gt;=")&amp;Z225))</f>
        <v>0</v>
      </c>
      <c r="V225" s="98" t="str">
        <f t="shared" si="136"/>
        <v>https://search-rtdc-monitor-bjffxe2xuh6vdkpspy63sjmuny.us-east-1.es.amazonaws.com/_plugin/kibana/#/discover/Steve-Slow-Train-Analysis-(2080s-and-2083s)?_g=(refreshInterval:(display:Off,section:0,value:0),time:(from:'2016-12-16 01:29:10-700',mode:absolute,to:'1969-12-31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225" s="52" t="str">
        <f t="shared" si="148"/>
        <v>N</v>
      </c>
      <c r="X225" s="177" t="e">
        <f t="shared" si="143"/>
        <v>#VALUE!</v>
      </c>
      <c r="Y225" s="67">
        <f t="shared" si="149"/>
        <v>6.7680999999999996</v>
      </c>
      <c r="Z225" s="67">
        <f t="shared" si="142"/>
        <v>12.827199999999999</v>
      </c>
      <c r="AA225" s="67">
        <f t="shared" si="150"/>
        <v>6.0590999999999999</v>
      </c>
      <c r="AB225" s="64" t="e">
        <f>VLOOKUP(A225,Enforcements!$C$7:$K$18,8,0)</f>
        <v>#N/A</v>
      </c>
      <c r="AC225" s="60" t="e">
        <f>VLOOKUP(A225,Enforcements!$C$7:$E$18,3,0)</f>
        <v>#N/A</v>
      </c>
      <c r="AD225" s="61" t="str">
        <f t="shared" si="151"/>
        <v>0SAF-16</v>
      </c>
      <c r="AE225" s="91" t="str">
        <f t="shared" si="137"/>
        <v>aws s3 cp s3://rtdc.mdm.uploadarchive.raw/RTDC4016/ "%USERPROFILE%\AppData\Local\Temp\OnboardLogs"\RTDC4016\1969-12-31 --exclude "*" --recursive --include "*19691231*" &amp; "%USERPROFILE%\Documents\GitHub\mrs-test-scripts\Headless Mode &amp; Sideloading\WalkAndUnGZ.bat" "%USERPROFILE%\AppData\Local\Temp\OnboardLogs"\RTDC4016\1969-12-31 &amp; aws s3 cp s3://rtdc.mdm.uploadarchive.raw/RTDC4016/ "%USERPROFILE%\AppData\Local\Temp\OnboardLogs"\RTDC4016\1970-01-01 --exclude "*" --recursive --include "*19700101*" &amp; "%USERPROFILE%\Documents\GitHub\mrs-test-scripts\Headless Mode &amp; Sideloading\WalkAndUnGZ.bat" "%USERPROFILE%\AppData\Local\Temp\OnboardLogs"\RTDC4016\1970-01-01</v>
      </c>
      <c r="AF225" s="88" t="str">
        <f t="shared" si="138"/>
        <v>"C:\Program Files (x86)\AstroGrep\AstroGrep.exe" /spath="%USERPROFILE%\AppData\Local\Temp\OnboardLogs" /stypes="app*4016*19700101*" /stext=" 00:.+((SYSTEM_STATE.+slice.+state.+changed )|(ment ac)|(multiple cpu faults)|(system.+state.+changed )|(\[timeout)|(PRM\|1\|D)|(kpr)|(kdp)|(\|lc)|(penalty))" /e /r /s</v>
      </c>
      <c r="AG225" s="1" t="str">
        <f t="shared" si="152"/>
        <v>Other</v>
      </c>
      <c r="AH225" s="92" t="str">
        <f t="shared" si="139"/>
        <v>"%USERPROFILE%\Documents\GitHub\eaglep3\Utilities\RefineRTDCRunTimes.py" --tripid SAF-16 --locoid 4016 --swversion DE.1.0.8.0 --startMP 204:67681 --initTime 2016-12-16T02:29:10 --startdatetime 1969-12-31T17:00:00 --delay 1 --endMP 204:128272 --enddatetime 1969-12-31T17:00:00 --enforcementcount 0 &gt;&gt;C:\Users\stu\Documents\GitHub\eaglep3-reporting\EC\2016-12-15-refined-times.txt</v>
      </c>
      <c r="AI225" s="119" t="str">
        <f t="shared" si="140"/>
        <v>echo {"issue":{"subject":"","project_id":79,"tracker_id":40,"status_id":1,"priority_id":2,"assigned_to_id":23,"start_date":"1969-12-31","description":"","custom_fields":[{"id":1,"name":"Subdivision","value":"Other"},{"id":4,"name":"Milepost","value":"12.8272"},{"id":17,"name":"Train ID","value":"SAF-16"},{"id":16,"name":"Locomotive ID","value":"4016"},{"id":130,"name":"Impact","value":""},{"id":150,"name":"Time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652</v>
      </c>
      <c r="B226" s="7">
        <v>4026</v>
      </c>
      <c r="C226" s="22" t="s">
        <v>207</v>
      </c>
      <c r="D226" s="22" t="s">
        <v>853</v>
      </c>
      <c r="E226" s="13">
        <v>42719.427245370367</v>
      </c>
      <c r="F226" s="13">
        <v>42719.433356481481</v>
      </c>
      <c r="G226" s="7">
        <v>8</v>
      </c>
      <c r="H226" s="22" t="s">
        <v>854</v>
      </c>
      <c r="I226" s="13">
        <v>42719.438993055555</v>
      </c>
      <c r="J226" s="7">
        <v>0</v>
      </c>
      <c r="K226" s="109" t="str">
        <f t="shared" si="144"/>
        <v>4025/4026</v>
      </c>
      <c r="L226" s="22" t="str">
        <f>VLOOKUP(A226,'Trips&amp;Operators'!$C$1:$G$99999,5,FALSE)</f>
        <v>BROWN JACOB</v>
      </c>
      <c r="M226" s="6">
        <f t="shared" si="145"/>
        <v>5.6365740747423843E-3</v>
      </c>
      <c r="N226" s="7">
        <f t="shared" si="141"/>
        <v>8.1166666676290333</v>
      </c>
      <c r="O226" s="7"/>
      <c r="P226" s="7"/>
      <c r="Q226" s="23"/>
      <c r="R226" s="23"/>
      <c r="S226" s="35">
        <f t="shared" si="146"/>
        <v>0</v>
      </c>
      <c r="T226" s="50" t="e">
        <f t="shared" si="147"/>
        <v>#VALUE!</v>
      </c>
      <c r="U226" s="171">
        <f>IF(AG226="EC",COUNTIFS(Variables!$M$2:$M$19,IF(T226="NorthBound","&gt;=","&lt;=")&amp;Y226,Variables!$M$2:$M$19,IF(T226="NorthBound","&lt;=","&gt;=")&amp;Z226),COUNTIFS(Variables!$P$2:$P$19,IF(T226="NorthBound","&gt;=","&lt;=")&amp;Y226,Variables!$P$2:$P$19,IF(T226="NorthBound","&lt;=","&gt;=")&amp;Z226))</f>
        <v>0</v>
      </c>
      <c r="V226" s="98" t="str">
        <f t="shared" si="136"/>
        <v>https://search-rtdc-monitor-bjffxe2xuh6vdkpspy63sjmuny.us-east-1.es.amazonaws.com/_plugin/kibana/#/discover/Steve-Slow-Train-Analysis-(2080s-and-2083s)?_g=(refreshInterval:(display:Off,section:0,value:0),time:(from:'2016-12-15 09:15:14-700',mode:absolute,to:'2016-12-15 11:32:09-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26" s="52" t="str">
        <f t="shared" si="148"/>
        <v>Y</v>
      </c>
      <c r="X226" s="177" t="e">
        <f t="shared" si="143"/>
        <v>#VALUE!</v>
      </c>
      <c r="Y226" s="67">
        <f t="shared" si="149"/>
        <v>2.1766999999999999</v>
      </c>
      <c r="Z226" s="67">
        <f t="shared" si="142"/>
        <v>1.26E-2</v>
      </c>
      <c r="AA226" s="67">
        <f t="shared" si="150"/>
        <v>2.1640999999999999</v>
      </c>
      <c r="AB226" s="64" t="e">
        <f>VLOOKUP(A226,Enforcements!$C$7:$K$18,8,0)</f>
        <v>#N/A</v>
      </c>
      <c r="AC226" s="60" t="e">
        <f>VLOOKUP(A226,Enforcements!$C$7:$E$18,3,0)</f>
        <v>#N/A</v>
      </c>
      <c r="AD226" s="61" t="str">
        <f t="shared" si="151"/>
        <v>50-15</v>
      </c>
      <c r="AE226" s="91" t="str">
        <f t="shared" si="137"/>
        <v>aws s3 cp s3://rtdc.mdm.uploadarchive.raw/RTDC4026/ "%USERPROFILE%\AppData\Local\Temp\OnboardLogs"\RTDC4026\2016-12-15 --exclude "*" --recursive --include "*20161215*" &amp; "%USERPROFILE%\Documents\GitHub\mrs-test-scripts\Headless Mode &amp; Sideloading\WalkAndUnGZ.bat" "%USERPROFILE%\AppData\Local\Temp\OnboardLogs"\RTDC4026\2016-12-15 &amp; aws s3 cp s3://rtdc.mdm.uploadarchive.raw/RTDC4026/ "%USERPROFILE%\AppData\Local\Temp\OnboardLogs"\RTDC4026\2016-12-16 --exclude "*" --recursive --include "*20161216*" &amp; "%USERPROFILE%\Documents\GitHub\mrs-test-scripts\Headless Mode &amp; Sideloading\WalkAndUnGZ.bat" "%USERPROFILE%\AppData\Local\Temp\OnboardLogs"\RTDC4026\2016-12-16</v>
      </c>
      <c r="AF226" s="88" t="str">
        <f t="shared" si="138"/>
        <v>"C:\Program Files (x86)\AstroGrep\AstroGrep.exe" /spath="%USERPROFILE%\AppData\Local\Temp\OnboardLogs" /stypes="app*4026*20161215*" /stext=" 17:.+((SYSTEM_STATE.+slice.+state.+changed )|(ment ac)|(multiple cpu faults)|(system.+state.+changed )|(\[timeout)|(PRM\|1\|D)|(kpr)|(kdp)|(\|lc)|(penalty))" /e /r /s</v>
      </c>
      <c r="AG226" s="1" t="str">
        <f t="shared" si="152"/>
        <v>Other</v>
      </c>
      <c r="AH226" s="92" t="str">
        <f t="shared" si="139"/>
        <v>"%USERPROFILE%\Documents\GitHub\eaglep3\Utilities\RefineRTDCRunTimes.py" --tripid 50-15 --locoid 4026 --swversion DE.1.0.8.0 --startMP 300:21767 --initTime 2016-12-15T10:15:14 --startdatetime 2016-12-15T10:24:02 --delay 8 --endMP 204:126 --enddatetime 2016-12-15T10:32:09 --enforcementcount 0 &gt;&gt;C:\Users\stu\Documents\GitHub\eaglep3-reporting\EC\2016-12-15-refined-times.txt</v>
      </c>
      <c r="AI226" s="119" t="str">
        <f t="shared" si="140"/>
        <v>echo {"issue":{"subject":"","project_id":79,"tracker_id":40,"status_id":1,"priority_id":2,"assigned_to_id":23,"start_date":"2016-12-15","description":"","custom_fields":[{"id":1,"name":"Subdivision","value":"Other"},{"id":4,"name":"Milepost","value":"0.0126"},{"id":17,"name":"Train ID","value":"50-15"},{"id":16,"name":"Locomotive ID","value":"4026"},{"id":130,"name":"Impact","value":""},{"id":150,"name":"Time of Event (Mountain Time)","value":"10:32:09"},{"id":151,"name":"Denver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s="37" t="s">
        <v>664</v>
      </c>
      <c r="B227" s="7">
        <v>4025</v>
      </c>
      <c r="C227" s="22" t="s">
        <v>207</v>
      </c>
      <c r="D227" s="22" t="s">
        <v>855</v>
      </c>
      <c r="E227" s="13">
        <v>42719.467581018522</v>
      </c>
      <c r="F227" s="13">
        <v>42719.468715277777</v>
      </c>
      <c r="G227" s="7">
        <v>0</v>
      </c>
      <c r="H227" s="22" t="s">
        <v>856</v>
      </c>
      <c r="I227" s="13">
        <v>42719.473483796297</v>
      </c>
      <c r="J227" s="7">
        <v>0</v>
      </c>
      <c r="K227" s="109" t="str">
        <f t="shared" si="144"/>
        <v>4025/4026</v>
      </c>
      <c r="L227" s="22" t="str">
        <f>VLOOKUP(A227,'Trips&amp;Operators'!$C$1:$G$99999,5,FALSE)</f>
        <v>GRASTON MATHEU</v>
      </c>
      <c r="M227" s="6">
        <f t="shared" si="145"/>
        <v>4.7685185199952684E-3</v>
      </c>
      <c r="N227" s="7">
        <f t="shared" si="141"/>
        <v>6.8666666687931865</v>
      </c>
      <c r="O227" s="7"/>
      <c r="P227" s="7"/>
      <c r="Q227" s="23"/>
      <c r="R227" s="23"/>
      <c r="S227" s="35">
        <f t="shared" si="146"/>
        <v>0</v>
      </c>
      <c r="T227" s="50" t="e">
        <f t="shared" si="147"/>
        <v>#VALUE!</v>
      </c>
      <c r="U227" s="171">
        <f>IF(AG227="EC",COUNTIFS(Variables!$M$2:$M$19,IF(T227="NorthBound","&gt;=","&lt;=")&amp;Y227,Variables!$M$2:$M$19,IF(T227="NorthBound","&lt;=","&gt;=")&amp;Z227),COUNTIFS(Variables!$P$2:$P$19,IF(T227="NorthBound","&gt;=","&lt;=")&amp;Y227,Variables!$P$2:$P$19,IF(T227="NorthBound","&lt;=","&gt;=")&amp;Z227))</f>
        <v>0</v>
      </c>
      <c r="V227" s="98" t="str">
        <f t="shared" si="136"/>
        <v>https://search-rtdc-monitor-bjffxe2xuh6vdkpspy63sjmuny.us-east-1.es.amazonaws.com/_plugin/kibana/#/discover/Steve-Slow-Train-Analysis-(2080s-and-2083s)?_g=(refreshInterval:(display:Off,section:0,value:0),time:(from:'2016-12-15 10:13:19-700',mode:absolute,to:'2016-12-15 12:21:49-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27" s="52" t="str">
        <f t="shared" si="148"/>
        <v>Y</v>
      </c>
      <c r="X227" s="177" t="e">
        <f t="shared" si="143"/>
        <v>#VALUE!</v>
      </c>
      <c r="Y227" s="67">
        <f t="shared" si="149"/>
        <v>4.24E-2</v>
      </c>
      <c r="Z227" s="67">
        <f t="shared" si="142"/>
        <v>2.4230999999999998</v>
      </c>
      <c r="AA227" s="67">
        <f t="shared" si="150"/>
        <v>2.3806999999999996</v>
      </c>
      <c r="AB227" s="64" t="e">
        <f>VLOOKUP(A227,Enforcements!$C$7:$K$18,8,0)</f>
        <v>#N/A</v>
      </c>
      <c r="AC227" s="60" t="e">
        <f>VLOOKUP(A227,Enforcements!$C$7:$E$18,3,0)</f>
        <v>#N/A</v>
      </c>
      <c r="AD227" s="61" t="str">
        <f t="shared" si="151"/>
        <v>51-15</v>
      </c>
      <c r="AE227" s="91" t="str">
        <f t="shared" si="137"/>
        <v>aws s3 cp s3://rtdc.mdm.uploadarchive.raw/RTDC4025/ "%USERPROFILE%\AppData\Local\Temp\OnboardLogs"\RTDC4025\2016-12-15 --exclude "*" --recursive --include "*20161215*" &amp; "%USERPROFILE%\Documents\GitHub\mrs-test-scripts\Headless Mode &amp; Sideloading\WalkAndUnGZ.bat" "%USERPROFILE%\AppData\Local\Temp\OnboardLogs"\RTDC4025\2016-12-15 &amp; aws s3 cp s3://rtdc.mdm.uploadarchive.raw/RTDC4025/ "%USERPROFILE%\AppData\Local\Temp\OnboardLogs"\RTDC4025\2016-12-16 --exclude "*" --recursive --include "*20161216*" &amp; "%USERPROFILE%\Documents\GitHub\mrs-test-scripts\Headless Mode &amp; Sideloading\WalkAndUnGZ.bat" "%USERPROFILE%\AppData\Local\Temp\OnboardLogs"\RTDC4025\2016-12-16</v>
      </c>
      <c r="AF227" s="88" t="str">
        <f t="shared" si="138"/>
        <v>"C:\Program Files (x86)\AstroGrep\AstroGrep.exe" /spath="%USERPROFILE%\AppData\Local\Temp\OnboardLogs" /stypes="app*4025*20161215*" /stext=" 18:.+((SYSTEM_STATE.+slice.+state.+changed )|(ment ac)|(multiple cpu faults)|(system.+state.+changed )|(\[timeout)|(PRM\|1\|D)|(kpr)|(kdp)|(\|lc)|(penalty))" /e /r /s</v>
      </c>
      <c r="AG227" s="1" t="str">
        <f t="shared" si="152"/>
        <v>Other</v>
      </c>
      <c r="AH227" s="92" t="str">
        <f t="shared" si="139"/>
        <v>"%USERPROFILE%\Documents\GitHub\eaglep3\Utilities\RefineRTDCRunTimes.py" --tripid 51-15 --locoid 4025 --swversion DE.1.0.8.0 --startMP 204:424 --initTime 2016-12-15T11:13:19 --startdatetime 2016-12-15T11:14:57 --delay 0 --endMP 300:24231 --enddatetime 2016-12-15T11:21:49 --enforcementcount 0 &gt;&gt;C:\Users\stu\Documents\GitHub\eaglep3-reporting\EC\2016-12-15-refined-times.txt</v>
      </c>
      <c r="AI227" s="119" t="str">
        <f t="shared" si="140"/>
        <v>echo {"issue":{"subject":"","project_id":79,"tracker_id":40,"status_id":1,"priority_id":2,"assigned_to_id":23,"start_date":"2016-12-15","description":"","custom_fields":[{"id":1,"name":"Subdivision","value":"Other"},{"id":4,"name":"Milepost","value":"2.4231"},{"id":17,"name":"Train ID","value":"51-15"},{"id":16,"name":"Locomotive ID","value":"4025"},{"id":130,"name":"Impact","value":""},{"id":150,"name":"Time of Event (Mountain Time)","value":"11:21:49"},{"id":151,"name":"Denver Issue ID","value":""},{"id":178,"name":"Operational Impact","value":"Yes"},{"id":179,"name":"Denver Segment Assigned","value":""}]}} | curl -X POST -H "Content-Type: application/json" -H "X-Redmine-API-Key: d6333d4a04012a730768444271f8ca06482dae87" https://secure.xorail.net/redmine/issues.json --data @-</v>
      </c>
      <c r="AJ227" s="53"/>
      <c r="AK227" s="53"/>
      <c r="AL227" s="53"/>
    </row>
    <row r="228" spans="1:38" x14ac:dyDescent="0.25">
      <c r="A228" s="37" t="s">
        <v>719</v>
      </c>
      <c r="B228" s="7">
        <v>4026</v>
      </c>
      <c r="C228" s="22" t="s">
        <v>207</v>
      </c>
      <c r="D228" s="22" t="s">
        <v>857</v>
      </c>
      <c r="E228" s="13">
        <v>42719.712442129632</v>
      </c>
      <c r="F228" s="13">
        <v>42719.714675925927</v>
      </c>
      <c r="G228" s="7">
        <v>3</v>
      </c>
      <c r="H228" s="22" t="s">
        <v>858</v>
      </c>
      <c r="I228" s="13">
        <v>42719.720775462964</v>
      </c>
      <c r="J228" s="7">
        <v>0</v>
      </c>
      <c r="K228" s="109" t="str">
        <f t="shared" si="144"/>
        <v>4025/4026</v>
      </c>
      <c r="L228" s="22" t="str">
        <f>VLOOKUP(A228,'Trips&amp;Operators'!$C$1:$G$99999,5,FALSE)</f>
        <v>COOLAHAN JOHN</v>
      </c>
      <c r="M228" s="6">
        <f t="shared" si="145"/>
        <v>6.0995370367891155E-3</v>
      </c>
      <c r="N228" s="7">
        <f t="shared" si="141"/>
        <v>8.7833333329763263</v>
      </c>
      <c r="O228" s="7"/>
      <c r="P228" s="7"/>
      <c r="Q228" s="23"/>
      <c r="R228" s="23"/>
      <c r="S228" s="35">
        <f t="shared" si="146"/>
        <v>0</v>
      </c>
      <c r="T228" s="50" t="e">
        <f t="shared" si="147"/>
        <v>#VALUE!</v>
      </c>
      <c r="U228" s="171">
        <f>IF(AG228="EC",COUNTIFS(Variables!$M$2:$M$19,IF(T228="NorthBound","&gt;=","&lt;=")&amp;Y228,Variables!$M$2:$M$19,IF(T228="NorthBound","&lt;=","&gt;=")&amp;Z228),COUNTIFS(Variables!$P$2:$P$19,IF(T228="NorthBound","&gt;=","&lt;=")&amp;Y228,Variables!$P$2:$P$19,IF(T228="NorthBound","&lt;=","&gt;=")&amp;Z228))</f>
        <v>0</v>
      </c>
      <c r="V228" s="98" t="str">
        <f t="shared" si="136"/>
        <v>https://search-rtdc-monitor-bjffxe2xuh6vdkpspy63sjmuny.us-east-1.es.amazonaws.com/_plugin/kibana/#/discover/Steve-Slow-Train-Analysis-(2080s-and-2083s)?_g=(refreshInterval:(display:Off,section:0,value:0),time:(from:'2016-12-15 16:05:55-700',mode:absolute,to:'2016-12-15 18:17:55-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28" s="52" t="str">
        <f t="shared" si="148"/>
        <v>Y</v>
      </c>
      <c r="X228" s="177" t="e">
        <f t="shared" si="143"/>
        <v>#VALUE!</v>
      </c>
      <c r="Y228" s="67">
        <f t="shared" si="149"/>
        <v>2.3548</v>
      </c>
      <c r="Z228" s="67">
        <f t="shared" si="142"/>
        <v>8.8000000000000005E-3</v>
      </c>
      <c r="AA228" s="67">
        <f t="shared" si="150"/>
        <v>2.3460000000000001</v>
      </c>
      <c r="AB228" s="64" t="e">
        <f>VLOOKUP(A228,Enforcements!$C$7:$K$18,8,0)</f>
        <v>#N/A</v>
      </c>
      <c r="AC228" s="60" t="e">
        <f>VLOOKUP(A228,Enforcements!$C$7:$E$18,3,0)</f>
        <v>#N/A</v>
      </c>
      <c r="AD228" s="61" t="str">
        <f t="shared" si="151"/>
        <v>72-15</v>
      </c>
      <c r="AE228" s="91" t="str">
        <f t="shared" si="137"/>
        <v>aws s3 cp s3://rtdc.mdm.uploadarchive.raw/RTDC4026/ "%USERPROFILE%\AppData\Local\Temp\OnboardLogs"\RTDC4026\2016-12-15 --exclude "*" --recursive --include "*20161215*" &amp; "%USERPROFILE%\Documents\GitHub\mrs-test-scripts\Headless Mode &amp; Sideloading\WalkAndUnGZ.bat" "%USERPROFILE%\AppData\Local\Temp\OnboardLogs"\RTDC4026\2016-12-15 &amp; aws s3 cp s3://rtdc.mdm.uploadarchive.raw/RTDC4026/ "%USERPROFILE%\AppData\Local\Temp\OnboardLogs"\RTDC4026\2016-12-16 --exclude "*" --recursive --include "*20161216*" &amp; "%USERPROFILE%\Documents\GitHub\mrs-test-scripts\Headless Mode &amp; Sideloading\WalkAndUnGZ.bat" "%USERPROFILE%\AppData\Local\Temp\OnboardLogs"\RTDC4026\2016-12-16</v>
      </c>
      <c r="AF228" s="88" t="str">
        <f t="shared" si="138"/>
        <v>"C:\Program Files (x86)\AstroGrep\AstroGrep.exe" /spath="%USERPROFILE%\AppData\Local\Temp\OnboardLogs" /stypes="app*4026*20161216*" /stext=" 00:.+((SYSTEM_STATE.+slice.+state.+changed )|(ment ac)|(multiple cpu faults)|(system.+state.+changed )|(\[timeout)|(PRM\|1\|D)|(kpr)|(kdp)|(\|lc)|(penalty))" /e /r /s</v>
      </c>
      <c r="AG228" s="1" t="str">
        <f t="shared" si="152"/>
        <v>Other</v>
      </c>
      <c r="AH228" s="92" t="str">
        <f t="shared" si="139"/>
        <v>"%USERPROFILE%\Documents\GitHub\eaglep3\Utilities\RefineRTDCRunTimes.py" --tripid 72-15 --locoid 4026 --swversion DE.1.0.8.0 --startMP 300:23548 --initTime 2016-12-15T17:05:55 --startdatetime 2016-12-15T17:09:08 --delay 3 --endMP 204:88 --enddatetime 2016-12-15T17:17:55 --enforcementcount 0 &gt;&gt;C:\Users\stu\Documents\GitHub\eaglep3-reporting\EC\2016-12-15-refined-times.txt</v>
      </c>
      <c r="AI228" s="119" t="str">
        <f t="shared" si="140"/>
        <v>echo {"issue":{"subject":"","project_id":79,"tracker_id":40,"status_id":1,"priority_id":2,"assigned_to_id":23,"start_date":"2016-12-15","description":"","custom_fields":[{"id":1,"name":"Subdivision","value":"Other"},{"id":4,"name":"Milepost","value":"0.0088"},{"id":17,"name":"Train ID","value":"72-15"},{"id":16,"name":"Locomotive ID","value":"4026"},{"id":130,"name":"Impact","value":""},{"id":150,"name":"Time of Event (Mountain Time)","value":"17:17:55"},{"id":151,"name":"Denver Issue ID","value":""},{"id":178,"name":"Operational Impact","value":"Yes"},{"id":179,"name":"Denver Segment Assigned","value":""}]}} | curl -X POST -H "Content-Type: application/json" -H "X-Redmine-API-Key: d6333d4a04012a730768444271f8ca06482dae87" https://secure.xorail.net/redmine/issues.json --data @-</v>
      </c>
      <c r="AJ228" s="53"/>
      <c r="AK228" s="53"/>
      <c r="AL228" s="53"/>
    </row>
    <row r="229" spans="1:38" x14ac:dyDescent="0.25">
      <c r="A229" s="37" t="s">
        <v>734</v>
      </c>
      <c r="B229" s="7">
        <v>4025</v>
      </c>
      <c r="C229" s="22" t="s">
        <v>207</v>
      </c>
      <c r="D229" s="22" t="s">
        <v>859</v>
      </c>
      <c r="E229" s="13">
        <v>42719.746701388889</v>
      </c>
      <c r="F229" s="13">
        <v>25568.708333333332</v>
      </c>
      <c r="G229" s="7">
        <v>2</v>
      </c>
      <c r="H229" s="22" t="s">
        <v>424</v>
      </c>
      <c r="I229" s="13">
        <v>25568.708333333332</v>
      </c>
      <c r="J229" s="7">
        <v>0</v>
      </c>
      <c r="K229" s="109" t="str">
        <f t="shared" si="144"/>
        <v>4025/4026</v>
      </c>
      <c r="L229" s="22" t="str">
        <f>VLOOKUP(A229,'Trips&amp;Operators'!$C$1:$G$99999,5,FALSE)</f>
        <v>HILLS DUSTIN</v>
      </c>
      <c r="M229" s="6">
        <f t="shared" si="145"/>
        <v>0</v>
      </c>
      <c r="N229" s="7">
        <f t="shared" si="141"/>
        <v>0</v>
      </c>
      <c r="O229" s="7"/>
      <c r="P229" s="7"/>
      <c r="Q229" s="23"/>
      <c r="R229" s="23"/>
      <c r="S229" s="35">
        <f t="shared" si="146"/>
        <v>0</v>
      </c>
      <c r="T229" s="50" t="e">
        <f t="shared" si="147"/>
        <v>#VALUE!</v>
      </c>
      <c r="U229" s="171">
        <f>IF(AG229="EC",COUNTIFS(Variables!$M$2:$M$19,IF(T229="NorthBound","&gt;=","&lt;=")&amp;Y229,Variables!$M$2:$M$19,IF(T229="NorthBound","&lt;=","&gt;=")&amp;Z229),COUNTIFS(Variables!$P$2:$P$19,IF(T229="NorthBound","&gt;=","&lt;=")&amp;Y229,Variables!$P$2:$P$19,IF(T229="NorthBound","&lt;=","&gt;=")&amp;Z229))</f>
        <v>0</v>
      </c>
      <c r="V229" s="98" t="str">
        <f t="shared" si="136"/>
        <v>https://search-rtdc-monitor-bjffxe2xuh6vdkpspy63sjmuny.us-east-1.es.amazonaws.com/_plugin/kibana/#/discover/Steve-Slow-Train-Analysis-(2080s-and-2083s)?_g=(refreshInterval:(display:Off,section:0,value:0),time:(from:'2016-12-15 16:55:15-700',mode:absolute,to:'1969-12-31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29" s="52" t="str">
        <f t="shared" si="148"/>
        <v>Y</v>
      </c>
      <c r="X229" s="177" t="e">
        <f t="shared" si="143"/>
        <v>#VALUE!</v>
      </c>
      <c r="Y229" s="67">
        <f t="shared" si="149"/>
        <v>4.0300000000000002E-2</v>
      </c>
      <c r="Z229" s="67">
        <f t="shared" si="142"/>
        <v>2.331</v>
      </c>
      <c r="AA229" s="67">
        <f t="shared" si="150"/>
        <v>2.2907000000000002</v>
      </c>
      <c r="AB229" s="64" t="e">
        <f>VLOOKUP(A229,Enforcements!$C$7:$K$18,8,0)</f>
        <v>#N/A</v>
      </c>
      <c r="AC229" s="60" t="e">
        <f>VLOOKUP(A229,Enforcements!$C$7:$E$18,3,0)</f>
        <v>#N/A</v>
      </c>
      <c r="AD229" s="61" t="str">
        <f t="shared" si="151"/>
        <v>75-15</v>
      </c>
      <c r="AE229" s="91" t="str">
        <f t="shared" si="137"/>
        <v>aws s3 cp s3://rtdc.mdm.uploadarchive.raw/RTDC4025/ "%USERPROFILE%\AppData\Local\Temp\OnboardLogs"\RTDC4025\1969-12-31 --exclude "*" --recursive --include "*19691231*" &amp; "%USERPROFILE%\Documents\GitHub\mrs-test-scripts\Headless Mode &amp; Sideloading\WalkAndUnGZ.bat" "%USERPROFILE%\AppData\Local\Temp\OnboardLogs"\RTDC4025\1969-12-31 &amp; aws s3 cp s3://rtdc.mdm.uploadarchive.raw/RTDC4025/ "%USERPROFILE%\AppData\Local\Temp\OnboardLogs"\RTDC4025\1970-01-01 --exclude "*" --recursive --include "*19700101*" &amp; "%USERPROFILE%\Documents\GitHub\mrs-test-scripts\Headless Mode &amp; Sideloading\WalkAndUnGZ.bat" "%USERPROFILE%\AppData\Local\Temp\OnboardLogs"\RTDC4025\1970-01-01</v>
      </c>
      <c r="AF229" s="88" t="str">
        <f t="shared" si="138"/>
        <v>"C:\Program Files (x86)\AstroGrep\AstroGrep.exe" /spath="%USERPROFILE%\AppData\Local\Temp\OnboardLogs" /stypes="app*4025*19700101*" /stext=" 00:.+((SYSTEM_STATE.+slice.+state.+changed )|(ment ac)|(multiple cpu faults)|(system.+state.+changed )|(\[timeout)|(PRM\|1\|D)|(kpr)|(kdp)|(\|lc)|(penalty))" /e /r /s</v>
      </c>
      <c r="AG229" s="1" t="str">
        <f t="shared" si="152"/>
        <v>Other</v>
      </c>
      <c r="AH229" s="92" t="str">
        <f t="shared" si="139"/>
        <v>"%USERPROFILE%\Documents\GitHub\eaglep3\Utilities\RefineRTDCRunTimes.py" --tripid 75-15 --locoid 4025 --swversion DE.1.0.8.0 --startMP 204:403 --initTime 2016-12-15T17:55:15 --startdatetime 1969-12-31T17:00:00 --delay 2 --endMP 300:23310 --enddatetime 1969-12-31T17:00:00 --enforcementcount 0 &gt;&gt;C:\Users\stu\Documents\GitHub\eaglep3-reporting\EC\2016-12-15-refined-times.txt</v>
      </c>
      <c r="AI229" s="119" t="str">
        <f t="shared" si="140"/>
        <v>echo {"issue":{"subject":"","project_id":79,"tracker_id":40,"status_id":1,"priority_id":2,"assigned_to_id":23,"start_date":"1969-12-31","description":"","custom_fields":[{"id":1,"name":"Subdivision","value":"Other"},{"id":4,"name":"Milepost","value":"2.331"},{"id":17,"name":"Train ID","value":"75-15"},{"id":16,"name":"Locomotive ID","value":"4025"},{"id":130,"name":"Impact","value":""},{"id":150,"name":"Time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9" s="53"/>
      <c r="AK229" s="53"/>
      <c r="AL229" s="53"/>
    </row>
    <row r="230" spans="1:38" x14ac:dyDescent="0.25">
      <c r="A230" s="37" t="s">
        <v>576</v>
      </c>
      <c r="B230" s="7">
        <v>4011</v>
      </c>
      <c r="C230" s="22" t="s">
        <v>207</v>
      </c>
      <c r="D230" s="22" t="s">
        <v>860</v>
      </c>
      <c r="E230" s="13">
        <v>42719.719768518517</v>
      </c>
      <c r="F230" s="13">
        <v>42719.726655092592</v>
      </c>
      <c r="G230" s="7">
        <v>1</v>
      </c>
      <c r="H230" s="22" t="s">
        <v>861</v>
      </c>
      <c r="I230" s="13">
        <v>42719.731932870367</v>
      </c>
      <c r="J230" s="7">
        <v>0</v>
      </c>
      <c r="K230" s="109" t="str">
        <f t="shared" si="144"/>
        <v>4011/4012</v>
      </c>
      <c r="L230" s="22" t="str">
        <f>VLOOKUP(A230,'Trips&amp;Operators'!$C$1:$G$99999,5,FALSE)</f>
        <v>CRAYTON QUNTRELL</v>
      </c>
      <c r="M230" s="6">
        <f t="shared" si="145"/>
        <v>5.277777774608694E-3</v>
      </c>
      <c r="N230" s="7">
        <f t="shared" si="141"/>
        <v>7.5999999954365194</v>
      </c>
      <c r="O230" s="7"/>
      <c r="P230" s="7"/>
      <c r="Q230" s="23"/>
      <c r="R230" s="23"/>
      <c r="S230" s="35">
        <f t="shared" si="146"/>
        <v>0</v>
      </c>
      <c r="T230" s="50" t="e">
        <f t="shared" si="147"/>
        <v>#VALUE!</v>
      </c>
      <c r="U230" s="171">
        <f>IF(AG230="EC",COUNTIFS(Variables!$M$2:$M$19,IF(T230="NorthBound","&gt;=","&lt;=")&amp;Y230,Variables!$M$2:$M$19,IF(T230="NorthBound","&lt;=","&gt;=")&amp;Z230),COUNTIFS(Variables!$P$2:$P$19,IF(T230="NorthBound","&gt;=","&lt;=")&amp;Y230,Variables!$P$2:$P$19,IF(T230="NorthBound","&lt;=","&gt;=")&amp;Z230))</f>
        <v>0</v>
      </c>
      <c r="V230" s="98" t="str">
        <f t="shared" si="136"/>
        <v>https://search-rtdc-monitor-bjffxe2xuh6vdkpspy63sjmuny.us-east-1.es.amazonaws.com/_plugin/kibana/#/discover/Steve-Slow-Train-Analysis-(2080s-and-2083s)?_g=(refreshInterval:(display:Off,section:0,value:0),time:(from:'2016-12-15 16:16:28-700',mode:absolute,to:'2016-12-15 18:33: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230" s="52" t="str">
        <f t="shared" si="148"/>
        <v>Y</v>
      </c>
      <c r="X230" s="177" t="e">
        <f t="shared" si="143"/>
        <v>#VALUE!</v>
      </c>
      <c r="Y230" s="67">
        <f t="shared" si="149"/>
        <v>0.1532</v>
      </c>
      <c r="Z230" s="67">
        <f t="shared" si="142"/>
        <v>2.2635000000000001</v>
      </c>
      <c r="AA230" s="67">
        <f t="shared" si="150"/>
        <v>2.1103000000000001</v>
      </c>
      <c r="AB230" s="64" t="e">
        <f>VLOOKUP(A230,Enforcements!$C$7:$K$18,8,0)</f>
        <v>#N/A</v>
      </c>
      <c r="AC230" s="60" t="e">
        <f>VLOOKUP(A230,Enforcements!$C$7:$E$18,3,0)</f>
        <v>#N/A</v>
      </c>
      <c r="AD230" s="61" t="str">
        <f t="shared" si="151"/>
        <v>77-15</v>
      </c>
      <c r="AE230" s="91" t="str">
        <f t="shared" si="137"/>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AF230" s="88" t="str">
        <f t="shared" si="138"/>
        <v>"C:\Program Files (x86)\AstroGrep\AstroGrep.exe" /spath="%USERPROFILE%\AppData\Local\Temp\OnboardLogs" /stypes="app*4011*20161216*" /stext=" 00:.+((SYSTEM_STATE.+slice.+state.+changed )|(ment ac)|(multiple cpu faults)|(system.+state.+changed )|(\[timeout)|(PRM\|1\|D)|(kpr)|(kdp)|(\|lc)|(penalty))" /e /r /s</v>
      </c>
      <c r="AG230" s="1" t="str">
        <f t="shared" si="152"/>
        <v>Other</v>
      </c>
      <c r="AH230" s="92" t="str">
        <f t="shared" si="139"/>
        <v>"%USERPROFILE%\Documents\GitHub\eaglep3\Utilities\RefineRTDCRunTimes.py" --tripid 77-15 --locoid 4011 --swversion DE.1.0.8.0 --startMP 204:1532 --initTime 2016-12-15T17:16:28 --startdatetime 2016-12-15T17:26:23 --delay 1 --endMP 300:22635 --enddatetime 2016-12-15T17:33:59 --enforcementcount 0 &gt;&gt;C:\Users\stu\Documents\GitHub\eaglep3-reporting\EC\2016-12-15-refined-times.txt</v>
      </c>
      <c r="AI230" s="119" t="str">
        <f t="shared" si="140"/>
        <v>echo {"issue":{"subject":"","project_id":79,"tracker_id":40,"status_id":1,"priority_id":2,"assigned_to_id":23,"start_date":"2016-12-15","description":"","custom_fields":[{"id":1,"name":"Subdivision","value":"Other"},{"id":4,"name":"Milepost","value":"2.2635"},{"id":17,"name":"Train ID","value":"77-15"},{"id":16,"name":"Locomotive ID","value":"4011"},{"id":130,"name":"Impact","value":""},{"id":150,"name":"Time of Event (Mountain Time)","value":"17:33:59"},{"id":151,"name":"Denver Issue ID","value":""},{"id":178,"name":"Operational Impact","value":"Yes"},{"id":179,"name":"Denver Segment Assigned","value":""}]}} | curl -X POST -H "Content-Type: application/json" -H "X-Redmine-API-Key: d6333d4a04012a730768444271f8ca06482dae87" https://secure.xorail.net/redmine/issues.json --data @-</v>
      </c>
      <c r="AJ230" s="53"/>
      <c r="AK230" s="53"/>
      <c r="AL230" s="53"/>
    </row>
    <row r="231" spans="1:38" x14ac:dyDescent="0.25">
      <c r="A231" s="37" t="s">
        <v>774</v>
      </c>
      <c r="B231" s="7">
        <v>4045</v>
      </c>
      <c r="C231" s="22" t="s">
        <v>207</v>
      </c>
      <c r="D231" s="22" t="s">
        <v>886</v>
      </c>
      <c r="E231" s="13">
        <v>42720.099791666667</v>
      </c>
      <c r="F231" s="13">
        <v>25568.708333333332</v>
      </c>
      <c r="G231" s="7">
        <v>1</v>
      </c>
      <c r="H231" s="22" t="s">
        <v>887</v>
      </c>
      <c r="I231" s="13">
        <v>25568.708333333332</v>
      </c>
      <c r="J231" s="7">
        <v>0</v>
      </c>
      <c r="K231" s="109" t="str">
        <f t="shared" si="144"/>
        <v>4045/4046</v>
      </c>
      <c r="L231" s="22" t="str">
        <f>VLOOKUP(A231,'Trips&amp;Operators'!$C$1:$G$99999,5,FALSE)</f>
        <v>PERKINS DARREN</v>
      </c>
      <c r="M231" s="6">
        <f t="shared" si="145"/>
        <v>0</v>
      </c>
      <c r="N231" s="7">
        <f t="shared" si="141"/>
        <v>0</v>
      </c>
      <c r="O231" s="7"/>
      <c r="P231" s="7"/>
      <c r="Q231" s="23"/>
      <c r="R231" s="23"/>
      <c r="S231" s="35">
        <f t="shared" si="146"/>
        <v>0</v>
      </c>
      <c r="T231" s="50" t="e">
        <f t="shared" si="147"/>
        <v>#VALUE!</v>
      </c>
      <c r="U231" s="171">
        <f>IF(AG231="EC",COUNTIFS(Variables!$M$2:$M$19,IF(T231="NorthBound","&gt;=","&lt;=")&amp;Y231,Variables!$M$2:$M$19,IF(T231="NorthBound","&lt;=","&gt;=")&amp;Z231),COUNTIFS(Variables!$P$2:$P$19,IF(T231="NorthBound","&gt;=","&lt;=")&amp;Y231,Variables!$P$2:$P$19,IF(T231="NorthBound","&lt;=","&gt;=")&amp;Z231))</f>
        <v>0</v>
      </c>
      <c r="V231" s="98" t="str">
        <f t="shared" si="136"/>
        <v>https://search-rtdc-monitor-bjffxe2xuh6vdkpspy63sjmuny.us-east-1.es.amazonaws.com/_plugin/kibana/#/discover/Steve-Slow-Train-Analysis-(2080s-and-2083s)?_g=(refreshInterval:(display:Off,section:0,value:0),time:(from:'2016-12-16 01:23:42-700',mode:absolute,to:'1969-12-31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31" s="52" t="str">
        <f t="shared" si="148"/>
        <v>N</v>
      </c>
      <c r="X231" s="177" t="e">
        <f t="shared" si="143"/>
        <v>#VALUE!</v>
      </c>
      <c r="Y231" s="67">
        <f t="shared" si="149"/>
        <v>12.8011</v>
      </c>
      <c r="Z231" s="67">
        <f t="shared" si="142"/>
        <v>6.7256</v>
      </c>
      <c r="AA231" s="67">
        <f t="shared" si="150"/>
        <v>6.0754999999999999</v>
      </c>
      <c r="AB231" s="64" t="e">
        <f>VLOOKUP(A231,Enforcements!$C$7:$K$18,8,0)</f>
        <v>#N/A</v>
      </c>
      <c r="AC231" s="60" t="e">
        <f>VLOOKUP(A231,Enforcements!$C$7:$E$18,3,0)</f>
        <v>#N/A</v>
      </c>
      <c r="AD231" s="61" t="str">
        <f t="shared" si="151"/>
        <v>82-15</v>
      </c>
      <c r="AE231" s="91" t="str">
        <f t="shared" si="137"/>
        <v>aws s3 cp s3://rtdc.mdm.uploadarchive.raw/RTDC4045/ "%USERPROFILE%\AppData\Local\Temp\OnboardLogs"\RTDC4045\1969-12-31 --exclude "*" --recursive --include "*19691231*" &amp; "%USERPROFILE%\Documents\GitHub\mrs-test-scripts\Headless Mode &amp; Sideloading\WalkAndUnGZ.bat" "%USERPROFILE%\AppData\Local\Temp\OnboardLogs"\RTDC4045\1969-12-31 &amp; aws s3 cp s3://rtdc.mdm.uploadarchive.raw/RTDC4045/ "%USERPROFILE%\AppData\Local\Temp\OnboardLogs"\RTDC4045\1970-01-01 --exclude "*" --recursive --include "*19700101*" &amp; "%USERPROFILE%\Documents\GitHub\mrs-test-scripts\Headless Mode &amp; Sideloading\WalkAndUnGZ.bat" "%USERPROFILE%\AppData\Local\Temp\OnboardLogs"\RTDC4045\1970-01-01</v>
      </c>
      <c r="AF231" s="88" t="str">
        <f t="shared" si="138"/>
        <v>"C:\Program Files (x86)\AstroGrep\AstroGrep.exe" /spath="%USERPROFILE%\AppData\Local\Temp\OnboardLogs" /stypes="app*4045*19700101*" /stext=" 00:.+((SYSTEM_STATE.+slice.+state.+changed )|(ment ac)|(multiple cpu faults)|(system.+state.+changed )|(\[timeout)|(PRM\|1\|D)|(kpr)|(kdp)|(\|lc)|(penalty))" /e /r /s</v>
      </c>
      <c r="AG231" s="1" t="str">
        <f t="shared" si="152"/>
        <v>Other</v>
      </c>
      <c r="AH231" s="92" t="str">
        <f t="shared" si="139"/>
        <v>"%USERPROFILE%\Documents\GitHub\eaglep3\Utilities\RefineRTDCRunTimes.py" --tripid 82-15 --locoid 4045 --swversion DE.1.0.8.0 --startMP 204:128011 --initTime 2016-12-16T02:23:42 --startdatetime 1969-12-31T17:00:00 --delay 1 --endMP 204:67256 --enddatetime 1969-12-31T17:00:00 --enforcementcount 0 &gt;&gt;C:\Users\stu\Documents\GitHub\eaglep3-reporting\EC\2016-12-15-refined-times.txt</v>
      </c>
      <c r="AI231" s="119" t="str">
        <f t="shared" si="140"/>
        <v>echo {"issue":{"subject":"","project_id":79,"tracker_id":40,"status_id":1,"priority_id":2,"assigned_to_id":23,"start_date":"1969-12-31","description":"","custom_fields":[{"id":1,"name":"Subdivision","value":"Other"},{"id":4,"name":"Milepost","value":"6.7256"},{"id":17,"name":"Train ID","value":"82-15"},{"id":16,"name":"Locomotive ID","value":"4045"},{"id":130,"name":"Impact","value":""},{"id":150,"name":"Time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31" s="53"/>
      <c r="AK231" s="53"/>
      <c r="AL231" s="53"/>
    </row>
    <row r="232" spans="1:38" x14ac:dyDescent="0.25">
      <c r="A232" s="37" t="s">
        <v>774</v>
      </c>
      <c r="B232" s="7">
        <v>4045</v>
      </c>
      <c r="C232" s="22" t="s">
        <v>207</v>
      </c>
      <c r="D232" s="22" t="s">
        <v>888</v>
      </c>
      <c r="E232" s="13">
        <v>42720.072372685187</v>
      </c>
      <c r="F232" s="13">
        <v>42720.101689814815</v>
      </c>
      <c r="G232" s="7">
        <v>1</v>
      </c>
      <c r="H232" s="22" t="s">
        <v>889</v>
      </c>
      <c r="I232" s="13">
        <v>42720.108252314814</v>
      </c>
      <c r="J232" s="7">
        <v>0</v>
      </c>
      <c r="K232" s="109" t="str">
        <f t="shared" si="144"/>
        <v>4045/4046</v>
      </c>
      <c r="L232" s="22" t="str">
        <f>VLOOKUP(A232,'Trips&amp;Operators'!$C$1:$G$99999,5,FALSE)</f>
        <v>PERKINS DARREN</v>
      </c>
      <c r="M232" s="6">
        <f t="shared" si="145"/>
        <v>6.5624999988358468E-3</v>
      </c>
      <c r="N232" s="7">
        <f t="shared" si="141"/>
        <v>9.4499999983236194</v>
      </c>
      <c r="O232" s="7"/>
      <c r="P232" s="7"/>
      <c r="Q232" s="23"/>
      <c r="R232" s="23"/>
      <c r="S232" s="35">
        <f t="shared" si="146"/>
        <v>0</v>
      </c>
      <c r="T232" s="50" t="e">
        <f t="shared" si="147"/>
        <v>#VALUE!</v>
      </c>
      <c r="U232" s="171">
        <f>IF(AG232="EC",COUNTIFS(Variables!$M$2:$M$19,IF(T232="NorthBound","&gt;=","&lt;=")&amp;Y232,Variables!$M$2:$M$19,IF(T232="NorthBound","&lt;=","&gt;=")&amp;Z232),COUNTIFS(Variables!$P$2:$P$19,IF(T232="NorthBound","&gt;=","&lt;=")&amp;Y232,Variables!$P$2:$P$19,IF(T232="NorthBound","&lt;=","&gt;=")&amp;Z232))</f>
        <v>0</v>
      </c>
      <c r="V232" s="98" t="str">
        <f t="shared" si="136"/>
        <v>https://search-rtdc-monitor-bjffxe2xuh6vdkpspy63sjmuny.us-east-1.es.amazonaws.com/_plugin/kibana/#/discover/Steve-Slow-Train-Analysis-(2080s-and-2083s)?_g=(refreshInterval:(display:Off,section:0,value:0),time:(from:'2016-12-16 00:44:13-700',mode:absolute,to:'2016-12-16 03:35:53-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32" s="52" t="str">
        <f t="shared" si="148"/>
        <v>N</v>
      </c>
      <c r="X232" s="177" t="e">
        <f t="shared" si="143"/>
        <v>#VALUE!</v>
      </c>
      <c r="Y232" s="67">
        <f t="shared" si="149"/>
        <v>12.801500000000001</v>
      </c>
      <c r="Z232" s="67">
        <f t="shared" si="142"/>
        <v>6.7169999999999996</v>
      </c>
      <c r="AA232" s="67">
        <f t="shared" si="150"/>
        <v>6.0845000000000011</v>
      </c>
      <c r="AB232" s="64" t="e">
        <f>VLOOKUP(A232,Enforcements!$C$7:$K$18,8,0)</f>
        <v>#N/A</v>
      </c>
      <c r="AC232" s="60" t="e">
        <f>VLOOKUP(A232,Enforcements!$C$7:$E$18,3,0)</f>
        <v>#N/A</v>
      </c>
      <c r="AD232" s="61" t="str">
        <f t="shared" si="151"/>
        <v>82-15</v>
      </c>
      <c r="AE232" s="91" t="str">
        <f t="shared" si="137"/>
        <v>aws s3 cp s3://rtdc.mdm.uploadarchive.raw/RTDC4045/ "%USERPROFILE%\AppData\Local\Temp\OnboardLogs"\RTDC4045\2016-12-16 --exclude "*" --recursive --include "*20161216*" &amp; "%USERPROFILE%\Documents\GitHub\mrs-test-scripts\Headless Mode &amp; Sideloading\WalkAndUnGZ.bat" "%USERPROFILE%\AppData\Local\Temp\OnboardLogs"\RTDC4045\2016-12-16 &amp; aws s3 cp s3://rtdc.mdm.uploadarchive.raw/RTDC4045/ "%USERPROFILE%\AppData\Local\Temp\OnboardLogs"\RTDC4045\2016-12-17 --exclude "*" --recursive --include "*20161217*" &amp; "%USERPROFILE%\Documents\GitHub\mrs-test-scripts\Headless Mode &amp; Sideloading\WalkAndUnGZ.bat" "%USERPROFILE%\AppData\Local\Temp\OnboardLogs"\RTDC4045\2016-12-17</v>
      </c>
      <c r="AF232" s="88" t="str">
        <f t="shared" si="138"/>
        <v>"C:\Program Files (x86)\AstroGrep\AstroGrep.exe" /spath="%USERPROFILE%\AppData\Local\Temp\OnboardLogs" /stypes="app*4045*20161216*" /stext=" 09:.+((SYSTEM_STATE.+slice.+state.+changed )|(ment ac)|(multiple cpu faults)|(system.+state.+changed )|(\[timeout)|(PRM\|1\|D)|(kpr)|(kdp)|(\|lc)|(penalty))" /e /r /s</v>
      </c>
      <c r="AG232" s="1" t="str">
        <f t="shared" si="152"/>
        <v>Other</v>
      </c>
      <c r="AH232" s="92" t="str">
        <f t="shared" si="139"/>
        <v>"%USERPROFILE%\Documents\GitHub\eaglep3\Utilities\RefineRTDCRunTimes.py" --tripid 82-15 --locoid 4045 --swversion DE.1.0.8.0 --startMP 204:128015 --initTime 2016-12-16T01:44:13 --startdatetime 2016-12-16T02:26:26 --delay 1 --endMP 204:67170 --enddatetime 2016-12-16T02:35:53 --enforcementcount 0 &gt;&gt;C:\Users\stu\Documents\GitHub\eaglep3-reporting\EC\2016-12-15-refined-times.txt</v>
      </c>
      <c r="AI232" s="119" t="str">
        <f t="shared" si="140"/>
        <v>echo {"issue":{"subject":"","project_id":79,"tracker_id":40,"status_id":1,"priority_id":2,"assigned_to_id":23,"start_date":"2016-12-16","description":"","custom_fields":[{"id":1,"name":"Subdivision","value":"Other"},{"id":4,"name":"Milepost","value":"6.717"},{"id":17,"name":"Train ID","value":"82-15"},{"id":16,"name":"Locomotive ID","value":"4045"},{"id":130,"name":"Impact","value":""},{"id":150,"name":"Time of Event (Mountain Time)","value":"02:35:53"},{"id":151,"name":"Denver Issue ID","value":""},{"id":178,"name":"Operational Impact","value":"Yes"},{"id":179,"name":"Denver Segment Assigned","value":""}]}} | curl -X POST -H "Content-Type: application/json" -H "X-Redmine-API-Key: d6333d4a04012a730768444271f8ca06482dae87" https://secure.xorail.net/redmine/issues.json --data @-</v>
      </c>
      <c r="AJ232" s="53"/>
      <c r="AK232" s="53"/>
      <c r="AL232" s="53"/>
    </row>
    <row r="233" spans="1:38" x14ac:dyDescent="0.25">
      <c r="A233" s="37" t="s">
        <v>774</v>
      </c>
      <c r="B233" s="7">
        <v>4045</v>
      </c>
      <c r="C233" s="22" t="s">
        <v>207</v>
      </c>
      <c r="D233" s="22" t="s">
        <v>890</v>
      </c>
      <c r="E233" s="13">
        <v>42720.025625000002</v>
      </c>
      <c r="F233" s="13">
        <v>42720.076273148145</v>
      </c>
      <c r="G233" s="7">
        <v>5</v>
      </c>
      <c r="H233" s="22" t="s">
        <v>891</v>
      </c>
      <c r="I233" s="13">
        <v>42720.083738425928</v>
      </c>
      <c r="J233" s="7">
        <v>0</v>
      </c>
      <c r="K233" s="109" t="str">
        <f t="shared" si="144"/>
        <v>4045/4046</v>
      </c>
      <c r="L233" s="22" t="str">
        <f>VLOOKUP(A233,'Trips&amp;Operators'!$C$1:$G$99999,5,FALSE)</f>
        <v>PERKINS DARREN</v>
      </c>
      <c r="M233" s="6">
        <f t="shared" si="145"/>
        <v>7.4652777839219198E-3</v>
      </c>
      <c r="N233" s="7">
        <f t="shared" si="141"/>
        <v>10.750000008847564</v>
      </c>
      <c r="O233" s="7"/>
      <c r="P233" s="7"/>
      <c r="Q233" s="23"/>
      <c r="R233" s="23"/>
      <c r="S233" s="35">
        <f t="shared" si="146"/>
        <v>0</v>
      </c>
      <c r="T233" s="50" t="e">
        <f t="shared" si="147"/>
        <v>#VALUE!</v>
      </c>
      <c r="U233" s="171">
        <f>IF(AG233="EC",COUNTIFS(Variables!$M$2:$M$19,IF(T233="NorthBound","&gt;=","&lt;=")&amp;Y233,Variables!$M$2:$M$19,IF(T233="NorthBound","&lt;=","&gt;=")&amp;Z233),COUNTIFS(Variables!$P$2:$P$19,IF(T233="NorthBound","&gt;=","&lt;=")&amp;Y233,Variables!$P$2:$P$19,IF(T233="NorthBound","&lt;=","&gt;=")&amp;Z233))</f>
        <v>0</v>
      </c>
      <c r="V233" s="98" t="str">
        <f t="shared" si="136"/>
        <v>https://search-rtdc-monitor-bjffxe2xuh6vdkpspy63sjmuny.us-east-1.es.amazonaws.com/_plugin/kibana/#/discover/Steve-Slow-Train-Analysis-(2080s-and-2083s)?_g=(refreshInterval:(display:Off,section:0,value:0),time:(from:'2016-12-15 23:36:54-700',mode:absolute,to:'2016-12-16 03:00:35-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33" s="52" t="str">
        <f t="shared" si="148"/>
        <v>N</v>
      </c>
      <c r="X233" s="177" t="e">
        <f t="shared" si="143"/>
        <v>#VALUE!</v>
      </c>
      <c r="Y233" s="67">
        <f t="shared" si="149"/>
        <v>23.2654</v>
      </c>
      <c r="Z233" s="67">
        <f t="shared" si="142"/>
        <v>6.7355999999999998</v>
      </c>
      <c r="AA233" s="67">
        <f t="shared" si="150"/>
        <v>16.529800000000002</v>
      </c>
      <c r="AB233" s="64" t="e">
        <f>VLOOKUP(A233,Enforcements!$C$7:$K$18,8,0)</f>
        <v>#N/A</v>
      </c>
      <c r="AC233" s="60" t="e">
        <f>VLOOKUP(A233,Enforcements!$C$7:$E$18,3,0)</f>
        <v>#N/A</v>
      </c>
      <c r="AD233" s="61" t="str">
        <f t="shared" si="151"/>
        <v>82-15</v>
      </c>
      <c r="AE233" s="91" t="str">
        <f t="shared" si="137"/>
        <v>aws s3 cp s3://rtdc.mdm.uploadarchive.raw/RTDC4045/ "%USERPROFILE%\AppData\Local\Temp\OnboardLogs"\RTDC4045\2016-12-16 --exclude "*" --recursive --include "*20161216*" &amp; "%USERPROFILE%\Documents\GitHub\mrs-test-scripts\Headless Mode &amp; Sideloading\WalkAndUnGZ.bat" "%USERPROFILE%\AppData\Local\Temp\OnboardLogs"\RTDC4045\2016-12-16 &amp; aws s3 cp s3://rtdc.mdm.uploadarchive.raw/RTDC4045/ "%USERPROFILE%\AppData\Local\Temp\OnboardLogs"\RTDC4045\2016-12-17 --exclude "*" --recursive --include "*20161217*" &amp; "%USERPROFILE%\Documents\GitHub\mrs-test-scripts\Headless Mode &amp; Sideloading\WalkAndUnGZ.bat" "%USERPROFILE%\AppData\Local\Temp\OnboardLogs"\RTDC4045\2016-12-17</v>
      </c>
      <c r="AF233" s="88" t="str">
        <f t="shared" si="138"/>
        <v>"C:\Program Files (x86)\AstroGrep\AstroGrep.exe" /spath="%USERPROFILE%\AppData\Local\Temp\OnboardLogs" /stypes="app*4045*20161216*" /stext=" 09:.+((SYSTEM_STATE.+slice.+state.+changed )|(ment ac)|(multiple cpu faults)|(system.+state.+changed )|(\[timeout)|(PRM\|1\|D)|(kpr)|(kdp)|(\|lc)|(penalty))" /e /r /s</v>
      </c>
      <c r="AG233" s="1" t="str">
        <f t="shared" si="152"/>
        <v>Other</v>
      </c>
      <c r="AH233" s="92" t="str">
        <f t="shared" si="139"/>
        <v>"%USERPROFILE%\Documents\GitHub\eaglep3\Utilities\RefineRTDCRunTimes.py" --tripid 82-15 --locoid 4045 --swversion DE.1.0.8.0 --startMP 204:232654 --initTime 2016-12-16T00:36:54 --startdatetime 2016-12-16T01:49:50 --delay 5 --endMP 204:67356 --enddatetime 2016-12-16T02:00:35 --enforcementcount 0 &gt;&gt;C:\Users\stu\Documents\GitHub\eaglep3-reporting\EC\2016-12-15-refined-times.txt</v>
      </c>
      <c r="AI233" s="119" t="str">
        <f t="shared" si="140"/>
        <v>echo {"issue":{"subject":"","project_id":79,"tracker_id":40,"status_id":1,"priority_id":2,"assigned_to_id":23,"start_date":"2016-12-16","description":"","custom_fields":[{"id":1,"name":"Subdivision","value":"Other"},{"id":4,"name":"Milepost","value":"6.7356"},{"id":17,"name":"Train ID","value":"82-15"},{"id":16,"name":"Locomotive ID","value":"4045"},{"id":130,"name":"Impact","value":""},{"id":150,"name":"Time of Event (Mountain Time)","value":"02:00:35"},{"id":151,"name":"Denver Issue ID","value":""},{"id":178,"name":"Operational Impact","value":"Yes"},{"id":179,"name":"Denver Segment Assigned","value":""}]}} | curl -X POST -H "Content-Type: application/json" -H "X-Redmine-API-Key: d6333d4a04012a730768444271f8ca06482dae87" https://secure.xorail.net/redmine/issues.json --data @-</v>
      </c>
      <c r="AJ233" s="53"/>
      <c r="AK233" s="53"/>
      <c r="AL233" s="53"/>
    </row>
    <row r="234" spans="1:38" x14ac:dyDescent="0.25">
      <c r="A234" s="37" t="s">
        <v>774</v>
      </c>
      <c r="B234" s="7">
        <v>4046</v>
      </c>
      <c r="C234" s="22" t="s">
        <v>207</v>
      </c>
      <c r="D234" s="22" t="s">
        <v>892</v>
      </c>
      <c r="E234" s="13">
        <v>42720.085115740738</v>
      </c>
      <c r="F234" s="13">
        <v>42720.113159722219</v>
      </c>
      <c r="G234" s="7">
        <v>1</v>
      </c>
      <c r="H234" s="22" t="s">
        <v>893</v>
      </c>
      <c r="I234" s="13">
        <v>42720.119004629632</v>
      </c>
      <c r="J234" s="7">
        <v>0</v>
      </c>
      <c r="K234" s="109" t="str">
        <f t="shared" si="144"/>
        <v>4045/4046</v>
      </c>
      <c r="L234" s="22" t="str">
        <f>VLOOKUP(A234,'Trips&amp;Operators'!$C$1:$G$99999,5,FALSE)</f>
        <v>PERKINS DARREN</v>
      </c>
      <c r="M234" s="6">
        <f t="shared" si="145"/>
        <v>5.8449074131203815E-3</v>
      </c>
      <c r="N234" s="7">
        <f t="shared" si="141"/>
        <v>8.4166666748933494</v>
      </c>
      <c r="O234" s="7"/>
      <c r="P234" s="7"/>
      <c r="Q234" s="23"/>
      <c r="R234" s="23"/>
      <c r="S234" s="35">
        <f t="shared" si="146"/>
        <v>0</v>
      </c>
      <c r="T234" s="50" t="e">
        <f t="shared" si="147"/>
        <v>#VALUE!</v>
      </c>
      <c r="U234" s="171">
        <f>IF(AG234="EC",COUNTIFS(Variables!$M$2:$M$19,IF(T234="NorthBound","&gt;=","&lt;=")&amp;Y234,Variables!$M$2:$M$19,IF(T234="NorthBound","&lt;=","&gt;=")&amp;Z234),COUNTIFS(Variables!$P$2:$P$19,IF(T234="NorthBound","&gt;=","&lt;=")&amp;Y234,Variables!$P$2:$P$19,IF(T234="NorthBound","&lt;=","&gt;=")&amp;Z234))</f>
        <v>0</v>
      </c>
      <c r="V234" s="98" t="str">
        <f t="shared" si="136"/>
        <v>https://search-rtdc-monitor-bjffxe2xuh6vdkpspy63sjmuny.us-east-1.es.amazonaws.com/_plugin/kibana/#/discover/Steve-Slow-Train-Analysis-(2080s-and-2083s)?_g=(refreshInterval:(display:Off,section:0,value:0),time:(from:'2016-12-16 01:02:34-700',mode:absolute,to:'2016-12-16 03:51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34" s="52" t="str">
        <f t="shared" si="148"/>
        <v>N</v>
      </c>
      <c r="X234" s="177" t="e">
        <f t="shared" si="143"/>
        <v>#VALUE!</v>
      </c>
      <c r="Y234" s="67">
        <f t="shared" si="149"/>
        <v>6.7502000000000004</v>
      </c>
      <c r="Z234" s="67">
        <f t="shared" si="142"/>
        <v>12.827</v>
      </c>
      <c r="AA234" s="67">
        <f t="shared" si="150"/>
        <v>6.0767999999999995</v>
      </c>
      <c r="AB234" s="64" t="e">
        <f>VLOOKUP(A234,Enforcements!$C$7:$K$18,8,0)</f>
        <v>#N/A</v>
      </c>
      <c r="AC234" s="60" t="e">
        <f>VLOOKUP(A234,Enforcements!$C$7:$E$18,3,0)</f>
        <v>#N/A</v>
      </c>
      <c r="AD234" s="61" t="str">
        <f t="shared" si="151"/>
        <v>82-15</v>
      </c>
      <c r="AE234" s="91" t="str">
        <f t="shared" si="137"/>
        <v>aws s3 cp s3://rtdc.mdm.uploadarchive.raw/RTDC4046/ "%USERPROFILE%\AppData\Local\Temp\OnboardLogs"\RTDC4046\2016-12-16 --exclude "*" --recursive --include "*20161216*" &amp; "%USERPROFILE%\Documents\GitHub\mrs-test-scripts\Headless Mode &amp; Sideloading\WalkAndUnGZ.bat" "%USERPROFILE%\AppData\Local\Temp\OnboardLogs"\RTDC4046\2016-12-16 &amp; aws s3 cp s3://rtdc.mdm.uploadarchive.raw/RTDC4046/ "%USERPROFILE%\AppData\Local\Temp\OnboardLogs"\RTDC4046\2016-12-17 --exclude "*" --recursive --include "*20161217*" &amp; "%USERPROFILE%\Documents\GitHub\mrs-test-scripts\Headless Mode &amp; Sideloading\WalkAndUnGZ.bat" "%USERPROFILE%\AppData\Local\Temp\OnboardLogs"\RTDC4046\2016-12-17</v>
      </c>
      <c r="AF234" s="88" t="str">
        <f t="shared" si="138"/>
        <v>"C:\Program Files (x86)\AstroGrep\AstroGrep.exe" /spath="%USERPROFILE%\AppData\Local\Temp\OnboardLogs" /stypes="app*4046*20161216*" /stext=" 09:.+((SYSTEM_STATE.+slice.+state.+changed )|(ment ac)|(multiple cpu faults)|(system.+state.+changed )|(\[timeout)|(PRM\|1\|D)|(kpr)|(kdp)|(\|lc)|(penalty))" /e /r /s</v>
      </c>
      <c r="AG234" s="1" t="str">
        <f t="shared" si="152"/>
        <v>Other</v>
      </c>
      <c r="AH234" s="92" t="str">
        <f t="shared" si="139"/>
        <v>"%USERPROFILE%\Documents\GitHub\eaglep3\Utilities\RefineRTDCRunTimes.py" --tripid 82-15 --locoid 4046 --swversion DE.1.0.8.0 --startMP 204:67502 --initTime 2016-12-16T02:02:34 --startdatetime 2016-12-16T02:42:57 --delay 1 --endMP 204:128270 --enddatetime 2016-12-16T02:51:22 --enforcementcount 0 &gt;&gt;C:\Users\stu\Documents\GitHub\eaglep3-reporting\EC\2016-12-15-refined-times.txt</v>
      </c>
      <c r="AI234" s="119" t="str">
        <f t="shared" si="140"/>
        <v>echo {"issue":{"subject":"","project_id":79,"tracker_id":40,"status_id":1,"priority_id":2,"assigned_to_id":23,"start_date":"2016-12-16","description":"","custom_fields":[{"id":1,"name":"Subdivision","value":"Other"},{"id":4,"name":"Milepost","value":"12.827"},{"id":17,"name":"Train ID","value":"82-15"},{"id":16,"name":"Locomotive ID","value":"4046"},{"id":130,"name":"Impact","value":""},{"id":150,"name":"Time of Event (Mountain Time)","value":"02:51:22"},{"id":151,"name":"Denver Issue ID","value":""},{"id":178,"name":"Operational Impact","value":"Yes"},{"id":179,"name":"Denver Segment Assigned","value":""}]}} | curl -X POST -H "Content-Type: application/json" -H "X-Redmine-API-Key: d6333d4a04012a730768444271f8ca06482dae87" https://secure.xorail.net/redmine/issues.json --data @-</v>
      </c>
      <c r="AJ234" s="53"/>
      <c r="AK234" s="53"/>
      <c r="AL234" s="53"/>
    </row>
    <row r="235" spans="1:38" x14ac:dyDescent="0.25">
      <c r="A235" s="37" t="s">
        <v>774</v>
      </c>
      <c r="B235" s="7">
        <v>4046</v>
      </c>
      <c r="C235" s="22" t="s">
        <v>207</v>
      </c>
      <c r="D235" s="22" t="s">
        <v>894</v>
      </c>
      <c r="E235" s="13">
        <v>42720.111157407409</v>
      </c>
      <c r="F235" s="13">
        <v>25568.708333333332</v>
      </c>
      <c r="G235" s="7">
        <v>1</v>
      </c>
      <c r="H235" s="22" t="s">
        <v>895</v>
      </c>
      <c r="I235" s="13">
        <v>25568.708333333332</v>
      </c>
      <c r="J235" s="7">
        <v>0</v>
      </c>
      <c r="K235" s="109" t="str">
        <f t="shared" si="144"/>
        <v>4045/4046</v>
      </c>
      <c r="L235" s="22" t="str">
        <f>VLOOKUP(A235,'Trips&amp;Operators'!$C$1:$G$99999,5,FALSE)</f>
        <v>PERKINS DARREN</v>
      </c>
      <c r="M235" s="6">
        <f t="shared" si="145"/>
        <v>0</v>
      </c>
      <c r="N235" s="7">
        <f t="shared" si="141"/>
        <v>0</v>
      </c>
      <c r="O235" s="7"/>
      <c r="P235" s="7"/>
      <c r="Q235" s="23"/>
      <c r="R235" s="23"/>
      <c r="S235" s="35">
        <f t="shared" si="146"/>
        <v>0</v>
      </c>
      <c r="T235" s="50" t="e">
        <f t="shared" si="147"/>
        <v>#VALUE!</v>
      </c>
      <c r="U235" s="171">
        <f>IF(AG235="EC",COUNTIFS(Variables!$M$2:$M$19,IF(T235="NorthBound","&gt;=","&lt;=")&amp;Y235,Variables!$M$2:$M$19,IF(T235="NorthBound","&lt;=","&gt;=")&amp;Z235),COUNTIFS(Variables!$P$2:$P$19,IF(T235="NorthBound","&gt;=","&lt;=")&amp;Y235,Variables!$P$2:$P$19,IF(T235="NorthBound","&lt;=","&gt;=")&amp;Z235))</f>
        <v>0</v>
      </c>
      <c r="V235" s="98" t="str">
        <f t="shared" si="136"/>
        <v>https://search-rtdc-monitor-bjffxe2xuh6vdkpspy63sjmuny.us-east-1.es.amazonaws.com/_plugin/kibana/#/discover/Steve-Slow-Train-Analysis-(2080s-and-2083s)?_g=(refreshInterval:(display:Off,section:0,value:0),time:(from:'2016-12-16 01:40:04-700',mode:absolute,to:'1969-12-31 18:00: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35" s="52" t="str">
        <f t="shared" si="148"/>
        <v>N</v>
      </c>
      <c r="X235" s="177" t="e">
        <f t="shared" si="143"/>
        <v>#VALUE!</v>
      </c>
      <c r="Y235" s="67">
        <f t="shared" si="149"/>
        <v>6.7584999999999997</v>
      </c>
      <c r="Z235" s="67">
        <f t="shared" si="142"/>
        <v>12.8276</v>
      </c>
      <c r="AA235" s="67">
        <f t="shared" si="150"/>
        <v>6.0691000000000006</v>
      </c>
      <c r="AB235" s="64" t="e">
        <f>VLOOKUP(A235,Enforcements!$C$7:$K$18,8,0)</f>
        <v>#N/A</v>
      </c>
      <c r="AC235" s="60" t="e">
        <f>VLOOKUP(A235,Enforcements!$C$7:$E$18,3,0)</f>
        <v>#N/A</v>
      </c>
      <c r="AD235" s="61" t="str">
        <f t="shared" si="151"/>
        <v>82-15</v>
      </c>
      <c r="AE235" s="91" t="str">
        <f t="shared" si="137"/>
        <v>aws s3 cp s3://rtdc.mdm.uploadarchive.raw/RTDC4046/ "%USERPROFILE%\AppData\Local\Temp\OnboardLogs"\RTDC4046\1969-12-31 --exclude "*" --recursive --include "*19691231*" &amp; "%USERPROFILE%\Documents\GitHub\mrs-test-scripts\Headless Mode &amp; Sideloading\WalkAndUnGZ.bat" "%USERPROFILE%\AppData\Local\Temp\OnboardLogs"\RTDC4046\1969-12-31 &amp; aws s3 cp s3://rtdc.mdm.uploadarchive.raw/RTDC4046/ "%USERPROFILE%\AppData\Local\Temp\OnboardLogs"\RTDC4046\1970-01-01 --exclude "*" --recursive --include "*19700101*" &amp; "%USERPROFILE%\Documents\GitHub\mrs-test-scripts\Headless Mode &amp; Sideloading\WalkAndUnGZ.bat" "%USERPROFILE%\AppData\Local\Temp\OnboardLogs"\RTDC4046\1970-01-01</v>
      </c>
      <c r="AF235" s="88" t="str">
        <f t="shared" si="138"/>
        <v>"C:\Program Files (x86)\AstroGrep\AstroGrep.exe" /spath="%USERPROFILE%\AppData\Local\Temp\OnboardLogs" /stypes="app*4046*19700101*" /stext=" 00:.+((SYSTEM_STATE.+slice.+state.+changed )|(ment ac)|(multiple cpu faults)|(system.+state.+changed )|(\[timeout)|(PRM\|1\|D)|(kpr)|(kdp)|(\|lc)|(penalty))" /e /r /s</v>
      </c>
      <c r="AG235" s="1" t="str">
        <f t="shared" si="152"/>
        <v>Other</v>
      </c>
      <c r="AH235" s="92" t="str">
        <f t="shared" si="139"/>
        <v>"%USERPROFILE%\Documents\GitHub\eaglep3\Utilities\RefineRTDCRunTimes.py" --tripid 82-15 --locoid 4046 --swversion DE.1.0.8.0 --startMP 204:67585 --initTime 2016-12-16T02:40:04 --startdatetime 1969-12-31T17:00:00 --delay 1 --endMP 204:128276 --enddatetime 1969-12-31T17:00:00 --enforcementcount 0 &gt;&gt;C:\Users\stu\Documents\GitHub\eaglep3-reporting\EC\2016-12-15-refined-times.txt</v>
      </c>
      <c r="AI235" s="119" t="str">
        <f t="shared" si="140"/>
        <v>echo {"issue":{"subject":"","project_id":79,"tracker_id":40,"status_id":1,"priority_id":2,"assigned_to_id":23,"start_date":"1969-12-31","description":"","custom_fields":[{"id":1,"name":"Subdivision","value":"Other"},{"id":4,"name":"Milepost","value":"12.8276"},{"id":17,"name":"Train ID","value":"82-15"},{"id":16,"name":"Locomotive ID","value":"4046"},{"id":130,"name":"Impact","value":""},{"id":150,"name":"Time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35" s="53"/>
      <c r="AK235" s="53"/>
      <c r="AL235" s="53"/>
    </row>
    <row r="236" spans="1:38" x14ac:dyDescent="0.25">
      <c r="A236" s="37" t="s">
        <v>774</v>
      </c>
      <c r="B236" s="7">
        <v>4046</v>
      </c>
      <c r="C236" s="22" t="s">
        <v>207</v>
      </c>
      <c r="D236" s="22" t="s">
        <v>896</v>
      </c>
      <c r="E236" s="13">
        <v>42720.057569444441</v>
      </c>
      <c r="F236" s="13">
        <v>42720.089236111111</v>
      </c>
      <c r="G236" s="7">
        <v>1</v>
      </c>
      <c r="H236" s="22" t="s">
        <v>897</v>
      </c>
      <c r="I236" s="13">
        <v>42720.095486111109</v>
      </c>
      <c r="J236" s="7">
        <v>0</v>
      </c>
      <c r="K236" s="109" t="str">
        <f t="shared" si="144"/>
        <v>4045/4046</v>
      </c>
      <c r="L236" s="22" t="str">
        <f>VLOOKUP(A236,'Trips&amp;Operators'!$C$1:$G$99999,5,FALSE)</f>
        <v>PERKINS DARREN</v>
      </c>
      <c r="M236" s="6">
        <f t="shared" si="145"/>
        <v>6.2499999985448085E-3</v>
      </c>
      <c r="N236" s="7">
        <f t="shared" si="141"/>
        <v>8.9999999979045242</v>
      </c>
      <c r="O236" s="7"/>
      <c r="P236" s="7"/>
      <c r="Q236" s="23"/>
      <c r="R236" s="23"/>
      <c r="S236" s="35">
        <f t="shared" si="146"/>
        <v>0</v>
      </c>
      <c r="T236" s="50" t="e">
        <f t="shared" si="147"/>
        <v>#VALUE!</v>
      </c>
      <c r="U236" s="171">
        <f>IF(AG236="EC",COUNTIFS(Variables!$M$2:$M$19,IF(T236="NorthBound","&gt;=","&lt;=")&amp;Y236,Variables!$M$2:$M$19,IF(T236="NorthBound","&lt;=","&gt;=")&amp;Z236),COUNTIFS(Variables!$P$2:$P$19,IF(T236="NorthBound","&gt;=","&lt;=")&amp;Y236,Variables!$P$2:$P$19,IF(T236="NorthBound","&lt;=","&gt;=")&amp;Z236))</f>
        <v>0</v>
      </c>
      <c r="V236" s="98" t="str">
        <f t="shared" si="136"/>
        <v>https://search-rtdc-monitor-bjffxe2xuh6vdkpspy63sjmuny.us-east-1.es.amazonaws.com/_plugin/kibana/#/discover/Steve-Slow-Train-Analysis-(2080s-and-2083s)?_g=(refreshInterval:(display:Off,section:0,value:0),time:(from:'2016-12-16 00:22:54-700',mode:absolute,to:'2016-12-16 03:17:30-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36" s="52" t="str">
        <f t="shared" si="148"/>
        <v>N</v>
      </c>
      <c r="X236" s="177" t="e">
        <f t="shared" si="143"/>
        <v>#VALUE!</v>
      </c>
      <c r="Y236" s="67">
        <f t="shared" si="149"/>
        <v>6.8320999999999996</v>
      </c>
      <c r="Z236" s="67">
        <f t="shared" si="142"/>
        <v>12.8278</v>
      </c>
      <c r="AA236" s="67">
        <f t="shared" si="150"/>
        <v>5.9957000000000003</v>
      </c>
      <c r="AB236" s="64" t="e">
        <f>VLOOKUP(A236,Enforcements!$C$7:$K$18,8,0)</f>
        <v>#N/A</v>
      </c>
      <c r="AC236" s="60" t="e">
        <f>VLOOKUP(A236,Enforcements!$C$7:$E$18,3,0)</f>
        <v>#N/A</v>
      </c>
      <c r="AD236" s="61" t="str">
        <f t="shared" si="151"/>
        <v>82-15</v>
      </c>
      <c r="AE236" s="91" t="str">
        <f t="shared" si="137"/>
        <v>aws s3 cp s3://rtdc.mdm.uploadarchive.raw/RTDC4046/ "%USERPROFILE%\AppData\Local\Temp\OnboardLogs"\RTDC4046\2016-12-16 --exclude "*" --recursive --include "*20161216*" &amp; "%USERPROFILE%\Documents\GitHub\mrs-test-scripts\Headless Mode &amp; Sideloading\WalkAndUnGZ.bat" "%USERPROFILE%\AppData\Local\Temp\OnboardLogs"\RTDC4046\2016-12-16 &amp; aws s3 cp s3://rtdc.mdm.uploadarchive.raw/RTDC4046/ "%USERPROFILE%\AppData\Local\Temp\OnboardLogs"\RTDC4046\2016-12-17 --exclude "*" --recursive --include "*20161217*" &amp; "%USERPROFILE%\Documents\GitHub\mrs-test-scripts\Headless Mode &amp; Sideloading\WalkAndUnGZ.bat" "%USERPROFILE%\AppData\Local\Temp\OnboardLogs"\RTDC4046\2016-12-17</v>
      </c>
      <c r="AF236" s="88" t="str">
        <f t="shared" si="138"/>
        <v>"C:\Program Files (x86)\AstroGrep\AstroGrep.exe" /spath="%USERPROFILE%\AppData\Local\Temp\OnboardLogs" /stypes="app*4046*20161216*" /stext=" 09:.+((SYSTEM_STATE.+slice.+state.+changed )|(ment ac)|(multiple cpu faults)|(system.+state.+changed )|(\[timeout)|(PRM\|1\|D)|(kpr)|(kdp)|(\|lc)|(penalty))" /e /r /s</v>
      </c>
      <c r="AG236" s="1" t="str">
        <f t="shared" si="152"/>
        <v>Other</v>
      </c>
      <c r="AH236" s="92" t="str">
        <f t="shared" si="139"/>
        <v>"%USERPROFILE%\Documents\GitHub\eaglep3\Utilities\RefineRTDCRunTimes.py" --tripid 82-15 --locoid 4046 --swversion DE.1.0.8.0 --startMP 204:68321 --initTime 2016-12-16T01:22:54 --startdatetime 2016-12-16T02:08:30 --delay 1 --endMP 204:128278 --enddatetime 2016-12-16T02:17:30 --enforcementcount 0 &gt;&gt;C:\Users\stu\Documents\GitHub\eaglep3-reporting\EC\2016-12-15-refined-times.txt</v>
      </c>
      <c r="AI236" s="119" t="str">
        <f t="shared" si="140"/>
        <v>echo {"issue":{"subject":"","project_id":79,"tracker_id":40,"status_id":1,"priority_id":2,"assigned_to_id":23,"start_date":"2016-12-16","description":"","custom_fields":[{"id":1,"name":"Subdivision","value":"Other"},{"id":4,"name":"Milepost","value":"12.8278"},{"id":17,"name":"Train ID","value":"82-15"},{"id":16,"name":"Locomotive ID","value":"4046"},{"id":130,"name":"Impact","value":""},{"id":150,"name":"Time of Event (Mountain Time)","value":"02:17:30"},{"id":151,"name":"Denver Issue ID","value":""},{"id":178,"name":"Operational Impact","value":"Yes"},{"id":179,"name":"Denver Segment Assigned","value":""}]}} | curl -X POST -H "Content-Type: application/json" -H "X-Redmine-API-Key: d6333d4a04012a730768444271f8ca06482dae87" https://secure.xorail.net/redmine/issues.json --data @-</v>
      </c>
      <c r="AJ236" s="53"/>
      <c r="AK236" s="53"/>
      <c r="AL236" s="53"/>
    </row>
    <row r="237" spans="1:38" x14ac:dyDescent="0.25">
      <c r="A237" s="37" t="s">
        <v>730</v>
      </c>
      <c r="B237" s="7">
        <v>4045</v>
      </c>
      <c r="C237" s="22" t="s">
        <v>207</v>
      </c>
      <c r="D237" s="22" t="s">
        <v>929</v>
      </c>
      <c r="E237" s="13">
        <v>42719.744097222225</v>
      </c>
      <c r="F237" s="13">
        <v>42719.745497685188</v>
      </c>
      <c r="G237" s="7">
        <v>1</v>
      </c>
      <c r="H237" s="22" t="s">
        <v>930</v>
      </c>
      <c r="I237" s="13">
        <v>42719.751481481479</v>
      </c>
      <c r="J237" s="7">
        <v>0</v>
      </c>
      <c r="K237" s="109" t="str">
        <f t="shared" si="144"/>
        <v>4045/4046</v>
      </c>
      <c r="L237" s="22" t="str">
        <f>VLOOKUP(A237,'Trips&amp;Operators'!$C$1:$G$99999,5,FALSE)</f>
        <v>MACDONALD THOMAS</v>
      </c>
      <c r="M237" s="6">
        <f t="shared" si="145"/>
        <v>5.9837962908204645E-3</v>
      </c>
      <c r="N237" s="7">
        <f t="shared" si="141"/>
        <v>8.6166666587814689</v>
      </c>
      <c r="O237" s="7"/>
      <c r="P237" s="7"/>
      <c r="Q237" s="23"/>
      <c r="R237" s="23"/>
      <c r="S237" s="35">
        <f t="shared" si="146"/>
        <v>0</v>
      </c>
      <c r="T237" s="50" t="e">
        <f t="shared" si="147"/>
        <v>#VALUE!</v>
      </c>
      <c r="U237" s="171">
        <f>IF(AG237="EC",COUNTIFS(Variables!$M$2:$M$19,IF(T237="NorthBound","&gt;=","&lt;=")&amp;Y237,Variables!$M$2:$M$19,IF(T237="NorthBound","&lt;=","&gt;=")&amp;Z237),COUNTIFS(Variables!$P$2:$P$19,IF(T237="NorthBound","&gt;=","&lt;=")&amp;Y237,Variables!$P$2:$P$19,IF(T237="NorthBound","&lt;=","&gt;=")&amp;Z237))</f>
        <v>0</v>
      </c>
      <c r="V237" s="98" t="str">
        <f t="shared" si="136"/>
        <v>https://search-rtdc-monitor-bjffxe2xuh6vdkpspy63sjmuny.us-east-1.es.amazonaws.com/_plugin/kibana/#/discover/Steve-Slow-Train-Analysis-(2080s-and-2083s)?_g=(refreshInterval:(display:Off,section:0,value:0),time:(from:'2016-12-15 16:51:30-700',mode:absolute,to:'2016-12-15 19:02: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37" s="52" t="str">
        <f t="shared" si="148"/>
        <v>Y</v>
      </c>
      <c r="X237" s="177" t="e">
        <f t="shared" si="143"/>
        <v>#VALUE!</v>
      </c>
      <c r="Y237" s="67">
        <f t="shared" si="149"/>
        <v>2.1787999999999998</v>
      </c>
      <c r="Z237" s="67">
        <f t="shared" si="142"/>
        <v>0.2009</v>
      </c>
      <c r="AA237" s="67">
        <f t="shared" si="150"/>
        <v>1.9778999999999998</v>
      </c>
      <c r="AB237" s="64" t="e">
        <f>VLOOKUP(A237,Enforcements!$C$7:$K$18,8,0)</f>
        <v>#N/A</v>
      </c>
      <c r="AC237" s="60" t="e">
        <f>VLOOKUP(A237,Enforcements!$C$7:$E$18,3,0)</f>
        <v>#N/A</v>
      </c>
      <c r="AD237" s="61" t="str">
        <f t="shared" si="151"/>
        <v>86-15</v>
      </c>
      <c r="AE237" s="91" t="str">
        <f t="shared" si="137"/>
        <v>aws s3 cp s3://rtdc.mdm.uploadarchive.raw/RTDC4045/ "%USERPROFILE%\AppData\Local\Temp\OnboardLogs"\RTDC4045\2016-12-15 --exclude "*" --recursive --include "*20161215*" &amp; "%USERPROFILE%\Documents\GitHub\mrs-test-scripts\Headless Mode &amp; Sideloading\WalkAndUnGZ.bat" "%USERPROFILE%\AppData\Local\Temp\OnboardLogs"\RTDC4045\2016-12-15 &amp; aws s3 cp s3://rtdc.mdm.uploadarchive.raw/RTDC4045/ "%USERPROFILE%\AppData\Local\Temp\OnboardLogs"\RTDC4045\2016-12-16 --exclude "*" --recursive --include "*20161216*" &amp; "%USERPROFILE%\Documents\GitHub\mrs-test-scripts\Headless Mode &amp; Sideloading\WalkAndUnGZ.bat" "%USERPROFILE%\AppData\Local\Temp\OnboardLogs"\RTDC4045\2016-12-16</v>
      </c>
      <c r="AF237" s="88" t="str">
        <f t="shared" si="138"/>
        <v>"C:\Program Files (x86)\AstroGrep\AstroGrep.exe" /spath="%USERPROFILE%\AppData\Local\Temp\OnboardLogs" /stypes="app*4045*20161216*" /stext=" 01:.+((SYSTEM_STATE.+slice.+state.+changed )|(ment ac)|(multiple cpu faults)|(system.+state.+changed )|(\[timeout)|(PRM\|1\|D)|(kpr)|(kdp)|(\|lc)|(penalty))" /e /r /s</v>
      </c>
      <c r="AG237" s="1" t="str">
        <f t="shared" si="152"/>
        <v>Other</v>
      </c>
      <c r="AH237" s="92" t="str">
        <f t="shared" si="139"/>
        <v>"%USERPROFILE%\Documents\GitHub\eaglep3\Utilities\RefineRTDCRunTimes.py" --tripid 86-15 --locoid 4045 --swversion DE.1.0.8.0 --startMP 300:21788 --initTime 2016-12-15T17:51:30 --startdatetime 2016-12-15T17:53:31 --delay 1 --endMP 204:2009 --enddatetime 2016-12-15T18:02:08 --enforcementcount 0 &gt;&gt;C:\Users\stu\Documents\GitHub\eaglep3-reporting\EC\2016-12-15-refined-times.txt</v>
      </c>
      <c r="AI237" s="119" t="str">
        <f t="shared" si="140"/>
        <v>echo {"issue":{"subject":"","project_id":79,"tracker_id":40,"status_id":1,"priority_id":2,"assigned_to_id":23,"start_date":"2016-12-15","description":"","custom_fields":[{"id":1,"name":"Subdivision","value":"Other"},{"id":4,"name":"Milepost","value":"0.2009"},{"id":17,"name":"Train ID","value":"86-15"},{"id":16,"name":"Locomotive ID","value":"4045"},{"id":130,"name":"Impact","value":""},{"id":150,"name":"Time of Event (Mountain Time)","value":"18:02:08"},{"id":151,"name":"Denver Issue ID","value":""},{"id":178,"name":"Operational Impact","value":"Yes"},{"id":179,"name":"Denver Segment Assigned","value":""}]}} | curl -X POST -H "Content-Type: application/json" -H "X-Redmine-API-Key: d6333d4a04012a730768444271f8ca06482dae87" https://secure.xorail.net/redmine/issues.json --data @-</v>
      </c>
      <c r="AJ237" s="53"/>
      <c r="AK237" s="53"/>
      <c r="AL237" s="53"/>
    </row>
    <row r="238" spans="1:38" x14ac:dyDescent="0.25">
      <c r="A238" s="37" t="s">
        <v>696</v>
      </c>
      <c r="B238" s="7">
        <v>4041</v>
      </c>
      <c r="C238" s="22" t="s">
        <v>207</v>
      </c>
      <c r="D238" s="22" t="s">
        <v>931</v>
      </c>
      <c r="E238" s="13">
        <v>42719.624849537038</v>
      </c>
      <c r="F238" s="13">
        <v>42719.653171296297</v>
      </c>
      <c r="G238" s="7">
        <v>1</v>
      </c>
      <c r="H238" s="22" t="s">
        <v>903</v>
      </c>
      <c r="I238" s="13">
        <v>42719.663645833331</v>
      </c>
      <c r="J238" s="7">
        <v>0</v>
      </c>
      <c r="K238" s="109" t="str">
        <f t="shared" si="144"/>
        <v>4041/4042</v>
      </c>
      <c r="L238" s="22" t="str">
        <f>VLOOKUP(A238,'Trips&amp;Operators'!$C$1:$G$99999,5,FALSE)</f>
        <v>HELVIE ADAM</v>
      </c>
      <c r="M238" s="6">
        <f t="shared" si="145"/>
        <v>1.0474537033587694E-2</v>
      </c>
      <c r="N238" s="7">
        <f t="shared" si="141"/>
        <v>15.08333332836628</v>
      </c>
      <c r="O238" s="7"/>
      <c r="P238" s="7"/>
      <c r="Q238" s="23"/>
      <c r="R238" s="23"/>
      <c r="S238" s="35">
        <f t="shared" si="146"/>
        <v>0</v>
      </c>
      <c r="T238" s="50" t="e">
        <f t="shared" si="147"/>
        <v>#VALUE!</v>
      </c>
      <c r="U238" s="171">
        <f>IF(AG238="EC",COUNTIFS(Variables!$M$2:$M$19,IF(T238="NorthBound","&gt;=","&lt;=")&amp;Y238,Variables!$M$2:$M$19,IF(T238="NorthBound","&lt;=","&gt;=")&amp;Z238),COUNTIFS(Variables!$P$2:$P$19,IF(T238="NorthBound","&gt;=","&lt;=")&amp;Y238,Variables!$P$2:$P$19,IF(T238="NorthBound","&lt;=","&gt;=")&amp;Z238))</f>
        <v>0</v>
      </c>
      <c r="V238" s="98" t="str">
        <f t="shared" si="136"/>
        <v>https://search-rtdc-monitor-bjffxe2xuh6vdkpspy63sjmuny.us-east-1.es.amazonaws.com/_plugin/kibana/#/discover/Steve-Slow-Train-Analysis-(2080s-and-2083s)?_g=(refreshInterval:(display:Off,section:0,value:0),time:(from:'2016-12-15 13:59:47-700',mode:absolute,to:'2016-12-15 16:55:39-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38" s="52" t="str">
        <f t="shared" si="148"/>
        <v>Y</v>
      </c>
      <c r="X238" s="177" t="e">
        <f t="shared" si="143"/>
        <v>#VALUE!</v>
      </c>
      <c r="Y238" s="67">
        <f t="shared" si="149"/>
        <v>6.1499999999999999E-2</v>
      </c>
      <c r="Z238" s="67">
        <f t="shared" si="142"/>
        <v>6.1699999999999998E-2</v>
      </c>
      <c r="AA238" s="67">
        <f t="shared" si="150"/>
        <v>1.9999999999999879E-4</v>
      </c>
      <c r="AB238" s="64" t="e">
        <f>VLOOKUP(A238,Enforcements!$C$7:$K$18,8,0)</f>
        <v>#N/A</v>
      </c>
      <c r="AC238" s="60" t="e">
        <f>VLOOKUP(A238,Enforcements!$C$7:$E$18,3,0)</f>
        <v>#N/A</v>
      </c>
      <c r="AD238" s="61" t="str">
        <f t="shared" si="151"/>
        <v>88-15</v>
      </c>
      <c r="AE238" s="91" t="str">
        <f t="shared" si="137"/>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AF238" s="88" t="str">
        <f t="shared" si="138"/>
        <v>"C:\Program Files (x86)\AstroGrep\AstroGrep.exe" /spath="%USERPROFILE%\AppData\Local\Temp\OnboardLogs" /stypes="app*4041*20161215*" /stext=" 22:.+((SYSTEM_STATE.+slice.+state.+changed )|(ment ac)|(multiple cpu faults)|(system.+state.+changed )|(\[timeout)|(PRM\|1\|D)|(kpr)|(kdp)|(\|lc)|(penalty))" /e /r /s</v>
      </c>
      <c r="AG238" s="1" t="str">
        <f t="shared" si="152"/>
        <v>Other</v>
      </c>
      <c r="AH238" s="92" t="str">
        <f t="shared" si="139"/>
        <v>"%USERPROFILE%\Documents\GitHub\eaglep3\Utilities\RefineRTDCRunTimes.py" --tripid 88-15 --locoid 4041 --swversion DE.1.0.8.0 --startMP 204:615 --initTime 2016-12-15T14:59:47 --startdatetime 2016-12-15T15:40:34 --delay 1 --endMP 204:617 --enddatetime 2016-12-15T15:55:39 --enforcementcount 0 &gt;&gt;C:\Users\stu\Documents\GitHub\eaglep3-reporting\EC\2016-12-15-refined-times.txt</v>
      </c>
      <c r="AI238" s="119" t="str">
        <f t="shared" si="140"/>
        <v>echo {"issue":{"subject":"","project_id":79,"tracker_id":40,"status_id":1,"priority_id":2,"assigned_to_id":23,"start_date":"2016-12-15","description":"","custom_fields":[{"id":1,"name":"Subdivision","value":"Other"},{"id":4,"name":"Milepost","value":"0.0617"},{"id":17,"name":"Train ID","value":"88-15"},{"id":16,"name":"Locomotive ID","value":"4041"},{"id":130,"name":"Impact","value":""},{"id":150,"name":"Time of Event (Mountain Time)","value":"15:55:39"},{"id":151,"name":"Denver Issue ID","value":""},{"id":178,"name":"Operational Impact","value":"Yes"},{"id":179,"name":"Denver Segment Assigned","value":""}]}} | curl -X POST -H "Content-Type: application/json" -H "X-Redmine-API-Key: d6333d4a04012a730768444271f8ca06482dae87" https://secure.xorail.net/redmine/issues.json --data @-</v>
      </c>
      <c r="AJ238" s="53"/>
      <c r="AK238" s="53"/>
      <c r="AL238" s="53"/>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sheetData>
  <autoFilter ref="A12:AG236">
    <sortState ref="A13:AG230">
      <sortCondition ref="AG13:AG230"/>
      <sortCondition ref="AD13:AD230"/>
    </sortState>
  </autoFilter>
  <sortState ref="A13:AH200">
    <sortCondition ref="AG13:AG200"/>
    <sortCondition ref="AD13:AD200"/>
  </sortState>
  <mergeCells count="1">
    <mergeCell ref="A11:P11"/>
  </mergeCells>
  <conditionalFormatting sqref="W11:W12 W249:X1048576 W13:X238">
    <cfRule type="cellIs" dxfId="10" priority="344" operator="equal">
      <formula>"Y"</formula>
    </cfRule>
  </conditionalFormatting>
  <conditionalFormatting sqref="X249:X1048576 X13:X238">
    <cfRule type="cellIs" dxfId="9" priority="327" operator="greaterThan">
      <formula>1</formula>
    </cfRule>
  </conditionalFormatting>
  <conditionalFormatting sqref="X249:X1048576 X12:X238">
    <cfRule type="cellIs" dxfId="8" priority="324" operator="equal">
      <formula>0</formula>
    </cfRule>
  </conditionalFormatting>
  <conditionalFormatting sqref="A13:S238">
    <cfRule type="expression" dxfId="7" priority="318" stopIfTrue="1">
      <formula>$P13&gt;0</formula>
    </cfRule>
    <cfRule type="expression" dxfId="6"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A13:S238</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A13:S238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AK13:AK238</xm:sqref>
        </x14:dataValidation>
        <x14:dataValidation type="list" allowBlank="1" showInputMessage="1" showErrorMessage="1">
          <x14:formula1>
            <xm:f>'Redmine List Values'!$C$2:$C$15</xm:f>
          </x14:formula1>
          <xm:sqref>AL13:AL238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72"/>
  <sheetViews>
    <sheetView topLeftCell="A2" zoomScaleNormal="100" workbookViewId="0">
      <selection activeCell="A2" sqref="A2"/>
    </sheetView>
  </sheetViews>
  <sheetFormatPr defaultRowHeight="15" x14ac:dyDescent="0.25"/>
  <cols>
    <col min="1" max="1" width="18.28515625" style="8" bestFit="1" customWidth="1"/>
    <col min="2" max="2" width="15" customWidth="1"/>
    <col min="3" max="3" width="8.28515625" customWidth="1"/>
    <col min="4" max="4" width="13.140625" style="136" customWidth="1"/>
    <col min="5" max="5" width="18.5703125" style="136" customWidth="1"/>
    <col min="6" max="6" width="5.7109375" style="136" customWidth="1"/>
    <col min="7" max="7" width="5.85546875" style="136" customWidth="1"/>
    <col min="8" max="8" width="7.85546875" style="136" customWidth="1"/>
    <col min="9" max="9" width="9" style="136" customWidth="1"/>
    <col min="10" max="10" width="11.5703125" style="136" hidden="1" customWidth="1"/>
    <col min="11" max="11" width="9.140625" style="136" customWidth="1"/>
    <col min="12" max="12" width="7.85546875" style="136" customWidth="1"/>
    <col min="13" max="13" width="7.85546875" style="2" customWidth="1"/>
    <col min="14" max="14" width="12.140625" style="135" customWidth="1"/>
    <col min="15" max="15" width="5.140625" style="165" customWidth="1"/>
    <col min="16" max="16" width="31" style="136" customWidth="1"/>
    <col min="17" max="17" width="5" hidden="1" customWidth="1"/>
    <col min="18" max="18" width="5.5703125" style="89" customWidth="1"/>
    <col min="19" max="19" width="5.5703125" style="101" customWidth="1"/>
    <col min="20" max="20" width="6" style="86" customWidth="1"/>
    <col min="21" max="21" width="5.140625" customWidth="1"/>
    <col min="22" max="22" width="21.425781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38" customWidth="1"/>
  </cols>
  <sheetData>
    <row r="1" spans="1:30" s="21" customFormat="1" ht="15.75" hidden="1" thickBot="1" x14ac:dyDescent="0.3">
      <c r="A1" s="8"/>
      <c r="D1" s="136"/>
      <c r="E1" s="136"/>
      <c r="F1" s="136"/>
      <c r="G1" s="136"/>
      <c r="H1" s="136"/>
      <c r="I1" s="136"/>
      <c r="J1" s="136"/>
      <c r="K1" s="136"/>
      <c r="L1" s="136"/>
      <c r="M1" s="2"/>
      <c r="N1" s="135"/>
      <c r="O1" s="165"/>
      <c r="P1" s="136"/>
      <c r="R1" s="89"/>
      <c r="S1" s="101"/>
      <c r="T1" s="86"/>
      <c r="V1" s="48"/>
      <c r="AC1" s="138"/>
    </row>
    <row r="2" spans="1:30" s="21" customFormat="1" x14ac:dyDescent="0.25">
      <c r="A2" s="8"/>
      <c r="D2" s="136"/>
      <c r="E2" s="136"/>
      <c r="F2" s="136"/>
      <c r="G2" s="136"/>
      <c r="H2" s="136"/>
      <c r="I2" s="136"/>
      <c r="J2" s="136"/>
      <c r="K2" s="136"/>
      <c r="L2" s="147" t="s">
        <v>80</v>
      </c>
      <c r="M2" s="131"/>
      <c r="N2" s="148"/>
      <c r="O2" s="179">
        <f>COUNTIF($O$7:$O$331,"=Y")</f>
        <v>1</v>
      </c>
      <c r="P2" s="133"/>
      <c r="R2" s="89"/>
      <c r="S2" s="101"/>
      <c r="T2" s="86"/>
      <c r="V2" s="48"/>
      <c r="AC2" s="139"/>
    </row>
    <row r="3" spans="1:30" s="21" customFormat="1" ht="15.75" thickBot="1" x14ac:dyDescent="0.3">
      <c r="A3" s="8"/>
      <c r="D3" s="136"/>
      <c r="E3" s="136"/>
      <c r="F3" s="136"/>
      <c r="G3" s="136"/>
      <c r="H3" s="136"/>
      <c r="I3" s="136"/>
      <c r="J3" s="136"/>
      <c r="K3" s="136"/>
      <c r="L3" s="149" t="s">
        <v>81</v>
      </c>
      <c r="M3" s="132"/>
      <c r="N3" s="150"/>
      <c r="O3" s="180">
        <f>COUNTA($O$7:$O$331)-O2</f>
        <v>33</v>
      </c>
      <c r="P3" s="133"/>
      <c r="R3" s="89"/>
      <c r="S3" s="101"/>
      <c r="T3" s="86"/>
      <c r="V3" s="48"/>
      <c r="AC3" s="139"/>
    </row>
    <row r="4" spans="1:30" s="21" customFormat="1" x14ac:dyDescent="0.25">
      <c r="A4" s="8"/>
      <c r="D4" s="136"/>
      <c r="E4" s="136"/>
      <c r="F4" s="136"/>
      <c r="G4" s="136"/>
      <c r="H4" s="136"/>
      <c r="I4" s="136"/>
      <c r="J4" s="136"/>
      <c r="K4" s="136"/>
      <c r="L4" s="136"/>
      <c r="M4" s="2"/>
      <c r="N4" s="135"/>
      <c r="O4" s="165"/>
      <c r="P4" s="136"/>
      <c r="R4" s="89"/>
      <c r="S4" s="101"/>
      <c r="T4" s="86"/>
      <c r="V4" s="48"/>
      <c r="AC4" s="139"/>
    </row>
    <row r="5" spans="1:30" s="10" customFormat="1" ht="15" customHeight="1" x14ac:dyDescent="0.25">
      <c r="A5" s="183" t="str">
        <f>"Eagle P3 Braking Events - "&amp;TEXT(Variables!$A$2,"YYYY-mm-dd")</f>
        <v>Eagle P3 Braking Events - 2016-12-15</v>
      </c>
      <c r="B5" s="183"/>
      <c r="C5" s="183"/>
      <c r="D5" s="183"/>
      <c r="E5" s="183"/>
      <c r="F5" s="183"/>
      <c r="G5" s="183"/>
      <c r="H5" s="183"/>
      <c r="I5" s="183"/>
      <c r="J5" s="183"/>
      <c r="K5" s="183"/>
      <c r="L5" s="183"/>
      <c r="M5" s="183"/>
      <c r="N5" s="183"/>
      <c r="O5" s="183"/>
      <c r="P5" s="151"/>
      <c r="R5" s="99"/>
      <c r="S5" s="102"/>
      <c r="T5" s="104"/>
      <c r="V5" s="49"/>
      <c r="AC5" s="140"/>
    </row>
    <row r="6" spans="1:30" s="130" customFormat="1" ht="69.75" customHeight="1" x14ac:dyDescent="0.2">
      <c r="A6" s="120" t="s">
        <v>38</v>
      </c>
      <c r="B6" s="121" t="s">
        <v>37</v>
      </c>
      <c r="C6" s="121" t="s">
        <v>36</v>
      </c>
      <c r="D6" s="137" t="s">
        <v>35</v>
      </c>
      <c r="E6" s="137" t="s">
        <v>34</v>
      </c>
      <c r="F6" s="137" t="s">
        <v>33</v>
      </c>
      <c r="G6" s="137" t="s">
        <v>32</v>
      </c>
      <c r="H6" s="137" t="s">
        <v>31</v>
      </c>
      <c r="I6" s="137" t="s">
        <v>156</v>
      </c>
      <c r="J6" s="137" t="s">
        <v>30</v>
      </c>
      <c r="K6" s="137" t="s">
        <v>29</v>
      </c>
      <c r="L6" s="137" t="s">
        <v>28</v>
      </c>
      <c r="M6" s="122" t="s">
        <v>157</v>
      </c>
      <c r="N6" s="152" t="s">
        <v>47</v>
      </c>
      <c r="O6" s="181" t="s">
        <v>27</v>
      </c>
      <c r="P6" s="137" t="s">
        <v>24</v>
      </c>
      <c r="Q6" s="123"/>
      <c r="R6" s="124" t="s">
        <v>89</v>
      </c>
      <c r="S6" s="125" t="s">
        <v>55</v>
      </c>
      <c r="T6" s="126" t="s">
        <v>88</v>
      </c>
      <c r="U6" s="121" t="s">
        <v>83</v>
      </c>
      <c r="V6" s="127" t="s">
        <v>84</v>
      </c>
      <c r="W6" s="123" t="s">
        <v>96</v>
      </c>
      <c r="X6" s="123" t="s">
        <v>97</v>
      </c>
      <c r="Y6" s="128" t="s">
        <v>148</v>
      </c>
      <c r="Z6" s="129" t="s">
        <v>149</v>
      </c>
      <c r="AA6" s="129" t="s">
        <v>122</v>
      </c>
      <c r="AB6" s="129" t="s">
        <v>150</v>
      </c>
      <c r="AC6" s="141" t="s">
        <v>176</v>
      </c>
      <c r="AD6" s="130" t="s">
        <v>228</v>
      </c>
    </row>
    <row r="7" spans="1:30" s="1" customFormat="1" x14ac:dyDescent="0.25">
      <c r="A7" s="36">
        <v>42719.672118055554</v>
      </c>
      <c r="B7" s="31" t="s">
        <v>250</v>
      </c>
      <c r="C7" s="31" t="s">
        <v>572</v>
      </c>
      <c r="D7" s="31" t="s">
        <v>49</v>
      </c>
      <c r="E7" s="31" t="s">
        <v>258</v>
      </c>
      <c r="F7" s="47">
        <v>0</v>
      </c>
      <c r="G7" s="47">
        <v>242</v>
      </c>
      <c r="H7" s="47">
        <v>26872</v>
      </c>
      <c r="I7" s="47">
        <v>27187</v>
      </c>
      <c r="J7" s="31" t="s">
        <v>259</v>
      </c>
      <c r="K7" s="47">
        <v>27053</v>
      </c>
      <c r="L7" s="154" t="s">
        <v>50</v>
      </c>
      <c r="M7" s="155">
        <f t="shared" ref="M7:M40" si="0">CONVERT((I7-K7)/10000,"mi","ft")*IF(L7="Increasing Mileposts (1)",-1,1)</f>
        <v>-70.751999999999995</v>
      </c>
      <c r="N7" s="156" t="str">
        <f>VLOOKUP(C7,'Trips&amp;Operators'!$C$1:$G$99999,5,FALSE)</f>
        <v>HILLS DUSTIN</v>
      </c>
      <c r="O7" s="182" t="s">
        <v>196</v>
      </c>
      <c r="P7" s="157" t="s">
        <v>979</v>
      </c>
      <c r="Q7" s="31"/>
      <c r="R7" s="100" t="str">
        <f>VLOOKUP(C7,'Train Runs'!$A$13:$AE$9980,31,0)</f>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S7" s="103" t="str">
        <f>VLOOKUP(C7,'Train Runs'!$A$13:$AE$9980,22,0)</f>
        <v>https://search-rtdc-monitor-bjffxe2xuh6vdkpspy63sjmuny.us-east-1.es.amazonaws.com/_plugin/kibana/#/discover/Steve-Slow-Train-Analysis-(2080s-and-2083s)?_g=(refreshInterval:(display:Off,section:0,value:0),time:(from:'2016-12-15 14:56:52-700',mode:absolute,to:'2016-12-15 17:37: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T7" s="105" t="str">
        <f t="shared" ref="T7:T40" si="1">astrogrep_path&amp;" /spath="&amp;search_path&amp;" /stypes=""*"&amp;U7&amp;"*"&amp;TEXT(A7-utc_offset/24,"YYYYMMDD")&amp;LEFT(TEXT(A7-utc_offset/24,"HH"),1)&amp;"*"" /stext="" "&amp;TEXT(A7-utc_offset/24,"HH")&amp;search_regexp&amp;""" /e /r /s"</f>
        <v>"C:\Program Files (x86)\AstroGrep\AstroGrep.exe" /spath="%USERPROFILE%\AppData\Local\Temp\OnboardLogs" /stypes="*4016*201612152*" /stext=" 23:.+((SYSTEM_STATE.+slice.+state.+changed )|(ment ac)|(multiple cpu faults)|(system.+state.+changed )|(\[timeout)|(PRM\|1\|D)|(kpr)|(kdp)|(\|lc)|(penalty))" /e /r /s</v>
      </c>
      <c r="U7" s="9" t="str">
        <f t="shared" ref="U7:U40" si="2">MID(B7,13,4)</f>
        <v>4016</v>
      </c>
      <c r="V7" s="36">
        <f t="shared" ref="V7:V40" si="3">A7-utc_offset/24</f>
        <v>42719.963784722218</v>
      </c>
      <c r="W7" s="50" t="str">
        <f t="shared" ref="W7:W40" si="4">IF(VALUE(LEFT(IF(LEN(C7)=6,"0"&amp;C7,C7),2))&lt;=2,"EC",IF(OR(VALUE(LEFT(IF(LEN(C7)=6,"0"&amp;C7,C7),2))=8,VALUE(LEFT(IF(LEN(C7)=6,"0"&amp;C7,C7),2))=18),"NW","Other"))</f>
        <v>EC</v>
      </c>
      <c r="X7" s="50" t="str">
        <f t="shared" ref="X7:X40" si="5">IF(AND(E7="TRACK WARRANT AUTHORITY",G7&lt;10),"OMIT","KEEP")</f>
        <v>KEEP</v>
      </c>
      <c r="Y7" s="119" t="str">
        <f t="shared" ref="Y7:Y40"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arrival","project_id":79,"tracker_id":40,"status_id":1,"priority_id":2,"assigned_to_id":23,"start_date":"2016-12-15","description":"","custom_fields":[{"id":1,"name":"Subdivision","value":"EC"},{"id":4,"name":"Milepost","value":"2.7053"},{"id":17,"name":"Train ID","value":"199-15"},{"id":16,"name":"Locomotive ID","value":"4016"},{"id":130,"name":"Impact","value":""},{"id":150,"name":"Time of Event (Mountain Time)","value":"16:07:51"},{"id":151,"name":"Denver Issue ID","value":""},{"id":178,"name":"Operational Impact","value":"Yes"},{"id":179,"name":"Denver Segment Assigned","value":""}]}} | curl -X POST -H "Content-Type: application/json" -H "X-Redmine-API-Key: d6333d4a04012a730768444271f8ca06482dae87" https://secure.xorail.net/redmine/issues.json --data @-</v>
      </c>
      <c r="Z7" s="53"/>
      <c r="AA7" s="53"/>
      <c r="AB7" s="53"/>
      <c r="AC7" s="138" t="str">
        <f t="shared" ref="AC7:AC40" si="7">"grep -hSE -A100 ""Enforcement Action"" "&amp;search_path&amp;"\RTDC"&amp;U7&amp;"\*"&amp;U7&amp;"*"&amp;TEXT(A7-utc_offset/24,"YYYYMMDD")&amp;LEFT(TEXT(A7-utc_offset/24,"HH"),1)&amp;"* | grep -SE ""((Enforcement Ac)|(PRM))"" -"</f>
        <v>grep -hSE -A100 "Enforcement Action" "%USERPROFILE%\AppData\Local\Temp\OnboardLogs"\RTDC4016\*4016*201612152* | grep -SE "((Enforcement Ac)|(PRM))" -</v>
      </c>
      <c r="AD7" s="1" t="str">
        <f>"grep -hSE ""Enforcement Action"" "&amp;search_path&amp;"\RTDC"&amp;U7&amp;"\*"&amp;U7&amp;"*"&amp;TEXT(A7-utc_offset/24,"YYYYMMDD")&amp;LEFT(TEXT(A7-utc_offset/24,"HH"),1)&amp;"* &gt;&gt; "&amp;Variables!$A$2&amp;"-slicedisagreementcheck.txt"</f>
        <v>grep -hSE "Enforcement Action" "%USERPROFILE%\AppData\Local\Temp\OnboardLogs"\RTDC4016\*4016*201612152* &gt;&gt; 42719-slicedisagreementcheck.txt</v>
      </c>
    </row>
    <row r="8" spans="1:30" s="1" customFormat="1" x14ac:dyDescent="0.25">
      <c r="A8" s="36">
        <v>42719.583518518521</v>
      </c>
      <c r="B8" s="31" t="s">
        <v>277</v>
      </c>
      <c r="C8" s="31" t="s">
        <v>569</v>
      </c>
      <c r="D8" s="31" t="s">
        <v>98</v>
      </c>
      <c r="E8" s="31" t="s">
        <v>258</v>
      </c>
      <c r="F8" s="47">
        <v>0</v>
      </c>
      <c r="G8" s="47">
        <v>77</v>
      </c>
      <c r="H8" s="47">
        <v>27331</v>
      </c>
      <c r="I8" s="47">
        <v>27180</v>
      </c>
      <c r="J8" s="31" t="s">
        <v>259</v>
      </c>
      <c r="K8" s="47">
        <v>27350</v>
      </c>
      <c r="L8" s="154" t="s">
        <v>51</v>
      </c>
      <c r="M8" s="155">
        <f t="shared" si="0"/>
        <v>-89.76</v>
      </c>
      <c r="N8" s="156" t="str">
        <f>VLOOKUP(C8,'Trips&amp;Operators'!$C$1:$G$99999,5,FALSE)</f>
        <v>YANG JAN</v>
      </c>
      <c r="O8" s="182" t="s">
        <v>196</v>
      </c>
      <c r="P8" s="157" t="s">
        <v>979</v>
      </c>
      <c r="Q8" s="31"/>
      <c r="R8" s="100" t="str">
        <f>VLOOKUP(C8,'Train Runs'!$A$13:$AE$9980,31,0)</f>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S8" s="103" t="str">
        <f>VLOOKUP(C8,'Train Runs'!$A$13:$AE$9980,22,0)</f>
        <v>https://search-rtdc-monitor-bjffxe2xuh6vdkpspy63sjmuny.us-east-1.es.amazonaws.com/_plugin/kibana/#/discover/Steve-Slow-Train-Analysis-(2080s-and-2083s)?_g=(refreshInterval:(display:Off,section:0,value:0),time:(from:'2016-12-15 12:14:35-700',mode:absolute,to:'2016-12-15 15:08:56-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8" s="105" t="str">
        <f t="shared" si="1"/>
        <v>"C:\Program Files (x86)\AstroGrep\AstroGrep.exe" /spath="%USERPROFILE%\AppData\Local\Temp\OnboardLogs" /stypes="*4015*201612152*" /stext=" 21:.+((SYSTEM_STATE.+slice.+state.+changed )|(ment ac)|(multiple cpu faults)|(system.+state.+changed )|(\[timeout)|(PRM\|1\|D)|(kpr)|(kdp)|(\|lc)|(penalty))" /e /r /s</v>
      </c>
      <c r="U8" s="9" t="str">
        <f t="shared" si="2"/>
        <v>4015</v>
      </c>
      <c r="V8" s="36">
        <f t="shared" si="3"/>
        <v>42719.875185185185</v>
      </c>
      <c r="W8" s="50" t="str">
        <f t="shared" si="4"/>
        <v>EC</v>
      </c>
      <c r="X8" s="50" t="str">
        <f t="shared" si="5"/>
        <v>KEEP</v>
      </c>
      <c r="Y8" s="119" t="str">
        <f t="shared" si="6"/>
        <v>echo {"issue":{"subject":"Early arrival","project_id":79,"tracker_id":40,"status_id":1,"priority_id":2,"assigned_to_id":23,"start_date":"2016-12-15","description":"","custom_fields":[{"id":1,"name":"Subdivision","value":"EC"},{"id":4,"name":"Milepost","value":"2.735"},{"id":17,"name":"Train ID","value":"172-15"},{"id":16,"name":"Locomotive ID","value":"4015"},{"id":130,"name":"Impact","value":""},{"id":150,"name":"Time of Event (Mountain Time)","value":"14:00:16"},{"id":151,"name":"Denver Issue ID","value":""},{"id":178,"name":"Operational Impact","value":"Yes"},{"id":179,"name":"Denver Segment Assigned","value":""}]}} | curl -X POST -H "Content-Type: application/json" -H "X-Redmine-API-Key: d6333d4a04012a730768444271f8ca06482dae87" https://secure.xorail.net/redmine/issues.json --data @-</v>
      </c>
      <c r="Z8" s="53"/>
      <c r="AA8" s="53"/>
      <c r="AB8" s="53"/>
      <c r="AC8" s="138" t="str">
        <f t="shared" si="7"/>
        <v>grep -hSE -A100 "Enforcement Action" "%USERPROFILE%\AppData\Local\Temp\OnboardLogs"\RTDC4015\*4015*201612152* | grep -SE "((Enforcement Ac)|(PRM))" -</v>
      </c>
      <c r="AD8" s="1" t="str">
        <f>"grep -hSE ""Enforcement Action"" "&amp;search_path&amp;"\RTDC"&amp;U8&amp;"\*"&amp;U8&amp;"*"&amp;TEXT(A8-utc_offset/24,"YYYYMMDD")&amp;LEFT(TEXT(A8-utc_offset/24,"HH"),1)&amp;"* &gt;&gt; "&amp;Variables!$A$2&amp;"-slicedisagreementcheck.txt"</f>
        <v>grep -hSE "Enforcement Action" "%USERPROFILE%\AppData\Local\Temp\OnboardLogs"\RTDC4015\*4015*201612152* &gt;&gt; 42719-slicedisagreementcheck.txt</v>
      </c>
    </row>
    <row r="9" spans="1:30" s="1" customFormat="1" x14ac:dyDescent="0.25">
      <c r="A9" s="36">
        <v>42719.582962962966</v>
      </c>
      <c r="B9" s="31" t="s">
        <v>277</v>
      </c>
      <c r="C9" s="31" t="s">
        <v>569</v>
      </c>
      <c r="D9" s="31" t="s">
        <v>49</v>
      </c>
      <c r="E9" s="31" t="s">
        <v>258</v>
      </c>
      <c r="F9" s="47">
        <v>100</v>
      </c>
      <c r="G9" s="47">
        <v>152</v>
      </c>
      <c r="H9" s="47">
        <v>27498</v>
      </c>
      <c r="I9" s="47">
        <v>27374</v>
      </c>
      <c r="J9" s="31" t="s">
        <v>259</v>
      </c>
      <c r="K9" s="47">
        <v>27350</v>
      </c>
      <c r="L9" s="154" t="s">
        <v>51</v>
      </c>
      <c r="M9" s="155">
        <f t="shared" si="0"/>
        <v>12.672000000000001</v>
      </c>
      <c r="N9" s="156" t="str">
        <f>VLOOKUP(C9,'Trips&amp;Operators'!$C$1:$G$99999,5,FALSE)</f>
        <v>YANG JAN</v>
      </c>
      <c r="O9" s="182" t="s">
        <v>196</v>
      </c>
      <c r="P9" s="157" t="s">
        <v>979</v>
      </c>
      <c r="Q9" s="31"/>
      <c r="R9" s="100" t="str">
        <f>VLOOKUP(C9,'Train Runs'!$A$13:$AE$9980,31,0)</f>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S9" s="103" t="str">
        <f>VLOOKUP(C9,'Train Runs'!$A$13:$AE$9980,22,0)</f>
        <v>https://search-rtdc-monitor-bjffxe2xuh6vdkpspy63sjmuny.us-east-1.es.amazonaws.com/_plugin/kibana/#/discover/Steve-Slow-Train-Analysis-(2080s-and-2083s)?_g=(refreshInterval:(display:Off,section:0,value:0),time:(from:'2016-12-15 12:14:35-700',mode:absolute,to:'2016-12-15 15:08:56-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9" s="105" t="str">
        <f t="shared" si="1"/>
        <v>"C:\Program Files (x86)\AstroGrep\AstroGrep.exe" /spath="%USERPROFILE%\AppData\Local\Temp\OnboardLogs" /stypes="*4015*201612152*" /stext=" 20:.+((SYSTEM_STATE.+slice.+state.+changed )|(ment ac)|(multiple cpu faults)|(system.+state.+changed )|(\[timeout)|(PRM\|1\|D)|(kpr)|(kdp)|(\|lc)|(penalty))" /e /r /s</v>
      </c>
      <c r="U9" s="9" t="str">
        <f t="shared" si="2"/>
        <v>4015</v>
      </c>
      <c r="V9" s="36">
        <f t="shared" si="3"/>
        <v>42719.87462962963</v>
      </c>
      <c r="W9" s="50" t="str">
        <f t="shared" si="4"/>
        <v>EC</v>
      </c>
      <c r="X9" s="50" t="str">
        <f t="shared" si="5"/>
        <v>KEEP</v>
      </c>
      <c r="Y9" s="119" t="str">
        <f t="shared" si="6"/>
        <v>echo {"issue":{"subject":"Early arrival","project_id":79,"tracker_id":40,"status_id":1,"priority_id":2,"assigned_to_id":23,"start_date":"2016-12-15","description":"","custom_fields":[{"id":1,"name":"Subdivision","value":"EC"},{"id":4,"name":"Milepost","value":"2.735"},{"id":17,"name":"Train ID","value":"172-15"},{"id":16,"name":"Locomotive ID","value":"4015"},{"id":130,"name":"Impact","value":""},{"id":150,"name":"Time of Event (Mountain Time)","value":"13:59:28"},{"id":151,"name":"Denver Issue ID","value":""},{"id":178,"name":"Operational Impact","value":"Yes"},{"id":179,"name":"Denver Segment Assigned","value":""}]}} | curl -X POST -H "Content-Type: application/json" -H "X-Redmine-API-Key: d6333d4a04012a730768444271f8ca06482dae87" https://secure.xorail.net/redmine/issues.json --data @-</v>
      </c>
      <c r="Z9" s="53"/>
      <c r="AA9" s="53"/>
      <c r="AB9" s="53"/>
      <c r="AC9" s="138" t="str">
        <f t="shared" si="7"/>
        <v>grep -hSE -A100 "Enforcement Action" "%USERPROFILE%\AppData\Local\Temp\OnboardLogs"\RTDC4015\*4015*201612152* | grep -SE "((Enforcement Ac)|(PRM))" -</v>
      </c>
      <c r="AD9" s="1" t="str">
        <f>"grep -hSE ""Enforcement Action"" "&amp;search_path&amp;"\RTDC"&amp;U9&amp;"\*"&amp;U9&amp;"*"&amp;TEXT(A9-utc_offset/24,"YYYYMMDD")&amp;LEFT(TEXT(A9-utc_offset/24,"HH"),1)&amp;"* &gt;&gt; "&amp;Variables!$A$2&amp;"-slicedisagreementcheck.txt"</f>
        <v>grep -hSE "Enforcement Action" "%USERPROFILE%\AppData\Local\Temp\OnboardLogs"\RTDC4015\*4015*201612152* &gt;&gt; 42719-slicedisagreementcheck.txt</v>
      </c>
    </row>
    <row r="10" spans="1:30" s="1" customFormat="1" x14ac:dyDescent="0.25">
      <c r="A10" s="36">
        <v>42719.17150462963</v>
      </c>
      <c r="B10" s="31" t="s">
        <v>250</v>
      </c>
      <c r="C10" s="31" t="s">
        <v>552</v>
      </c>
      <c r="D10" s="31" t="s">
        <v>49</v>
      </c>
      <c r="E10" s="31" t="s">
        <v>258</v>
      </c>
      <c r="F10" s="47">
        <v>670</v>
      </c>
      <c r="G10" s="47">
        <v>765</v>
      </c>
      <c r="H10" s="47">
        <v>76322</v>
      </c>
      <c r="I10" s="47">
        <v>79957</v>
      </c>
      <c r="J10" s="31" t="s">
        <v>259</v>
      </c>
      <c r="K10" s="47">
        <v>78349</v>
      </c>
      <c r="L10" s="154" t="s">
        <v>50</v>
      </c>
      <c r="M10" s="155">
        <f t="shared" si="0"/>
        <v>-849.024</v>
      </c>
      <c r="N10" s="156" t="str">
        <f>VLOOKUP(C10,'Trips&amp;Operators'!$C$1:$G$99999,5,FALSE)</f>
        <v>SPECTOR MICHAEL</v>
      </c>
      <c r="O10" s="182" t="s">
        <v>196</v>
      </c>
      <c r="P10" s="157" t="s">
        <v>979</v>
      </c>
      <c r="Q10" s="31"/>
      <c r="R10" s="100" t="str">
        <f>VLOOKUP(C10,'Train Runs'!$A$13:$AE$9980,31,0)</f>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S10" s="103" t="str">
        <f>VLOOKUP(C10,'Train Runs'!$A$13:$AE$9980,22,0)</f>
        <v>https://search-rtdc-monitor-bjffxe2xuh6vdkpspy63sjmuny.us-east-1.es.amazonaws.com/_plugin/kibana/#/discover/Steve-Slow-Train-Analysis-(2080s-and-2083s)?_g=(refreshInterval:(display:Off,section:0,value:0),time:(from:'2016-12-15 02:52:21-700',mode:absolute,to:'2016-12-15 05:08:57-700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T10" s="105" t="str">
        <f t="shared" si="1"/>
        <v>"C:\Program Files (x86)\AstroGrep\AstroGrep.exe" /spath="%USERPROFILE%\AppData\Local\Temp\OnboardLogs" /stypes="*4016*201612151*" /stext=" 11:.+((SYSTEM_STATE.+slice.+state.+changed )|(ment ac)|(multiple cpu faults)|(system.+state.+changed )|(\[timeout)|(PRM\|1\|D)|(kpr)|(kdp)|(\|lc)|(penalty))" /e /r /s</v>
      </c>
      <c r="U10" s="9" t="str">
        <f t="shared" si="2"/>
        <v>4016</v>
      </c>
      <c r="V10" s="36">
        <f t="shared" si="3"/>
        <v>42719.463171296295</v>
      </c>
      <c r="W10" s="50" t="str">
        <f t="shared" si="4"/>
        <v>EC</v>
      </c>
      <c r="X10" s="50" t="str">
        <f t="shared" si="5"/>
        <v>KEEP</v>
      </c>
      <c r="Y10" s="119" t="str">
        <f t="shared" si="6"/>
        <v>echo {"issue":{"subject":"Early arrival","project_id":79,"tracker_id":40,"status_id":1,"priority_id":2,"assigned_to_id":23,"start_date":"2016-12-15","description":"","custom_fields":[{"id":1,"name":"Subdivision","value":"EC"},{"id":4,"name":"Milepost","value":"7.8349"},{"id":17,"name":"Train ID","value":"103-15"},{"id":16,"name":"Locomotive ID","value":"4016"},{"id":130,"name":"Impact","value":""},{"id":150,"name":"Time of Event (Mountain Time)","value":"04:06:58"},{"id":151,"name":"Denver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53"/>
      <c r="AC10" s="138" t="str">
        <f t="shared" si="7"/>
        <v>grep -hSE -A100 "Enforcement Action" "%USERPROFILE%\AppData\Local\Temp\OnboardLogs"\RTDC4016\*4016*201612151* | grep -SE "((Enforcement Ac)|(PRM))" -</v>
      </c>
      <c r="AD10" s="1" t="str">
        <f>"grep -hSE ""Enforcement Action"" "&amp;search_path&amp;"\RTDC"&amp;U10&amp;"\*"&amp;U10&amp;"*"&amp;TEXT(A10-utc_offset/24,"YYYYMMDD")&amp;LEFT(TEXT(A10-utc_offset/24,"HH"),1)&amp;"* &gt;&gt; "&amp;Variables!$A$2&amp;"-slicedisagreementcheck.txt"</f>
        <v>grep -hSE "Enforcement Action" "%USERPROFILE%\AppData\Local\Temp\OnboardLogs"\RTDC4016\*4016*201612151* &gt;&gt; 42719-slicedisagreementcheck.txt</v>
      </c>
    </row>
    <row r="11" spans="1:30" s="1" customFormat="1" x14ac:dyDescent="0.25">
      <c r="A11" s="36">
        <v>42719.856620370374</v>
      </c>
      <c r="B11" s="31" t="s">
        <v>321</v>
      </c>
      <c r="C11" s="31" t="s">
        <v>579</v>
      </c>
      <c r="D11" s="31" t="s">
        <v>49</v>
      </c>
      <c r="E11" s="31" t="s">
        <v>197</v>
      </c>
      <c r="F11" s="47">
        <v>200</v>
      </c>
      <c r="G11" s="47">
        <v>291</v>
      </c>
      <c r="H11" s="47">
        <v>6321</v>
      </c>
      <c r="I11" s="47">
        <v>5734</v>
      </c>
      <c r="J11" s="31" t="s">
        <v>198</v>
      </c>
      <c r="K11" s="47">
        <v>5439</v>
      </c>
      <c r="L11" s="154" t="s">
        <v>51</v>
      </c>
      <c r="M11" s="155">
        <f t="shared" si="0"/>
        <v>155.76</v>
      </c>
      <c r="N11" s="156" t="str">
        <f>VLOOKUP(C11,'Trips&amp;Operators'!$C$1:$G$99999,5,FALSE)</f>
        <v>COMELLA JUSTIN</v>
      </c>
      <c r="O11" s="182" t="s">
        <v>196</v>
      </c>
      <c r="P11" s="157"/>
      <c r="Q11" s="31"/>
      <c r="R11" s="100" t="str">
        <f>VLOOKUP(C11,'Train Runs'!$A$13:$AE$9980,31,0)</f>
        <v>aws s3 cp s3://rtdc.mdm.uploadarchive.raw/RTDC4004/ "%USERPROFILE%\AppData\Local\Temp\OnboardLogs"\RTDC4004\2016-12-15 --exclude "*" --recursive --include "*20161215*" &amp; "%USERPROFILE%\Documents\GitHub\mrs-test-scripts\Headless Mode &amp; Sideloading\WalkAndUnGZ.bat" "%USERPROFILE%\AppData\Local\Temp\OnboardLogs"\RTDC4004\2016-12-15 &amp; aws s3 cp s3://rtdc.mdm.uploadarchive.raw/RTDC4004/ "%USERPROFILE%\AppData\Local\Temp\OnboardLogs"\RTDC4004\2016-12-16 --exclude "*" --recursive --include "*20161216*" &amp; "%USERPROFILE%\Documents\GitHub\mrs-test-scripts\Headless Mode &amp; Sideloading\WalkAndUnGZ.bat" "%USERPROFILE%\AppData\Local\Temp\OnboardLogs"\RTDC4004\2016-12-16</v>
      </c>
      <c r="S11" s="103" t="str">
        <f>VLOOKUP(C11,'Train Runs'!$A$13:$AE$9980,22,0)</f>
        <v>https://search-rtdc-monitor-bjffxe2xuh6vdkpspy63sjmuny.us-east-1.es.amazonaws.com/_plugin/kibana/#/discover/Steve-Slow-Train-Analysis-(2080s-and-2083s)?_g=(refreshInterval:(display:Off,section:0,value:0),time:(from:'2016-12-15 18:45:17-700',mode:absolute,to:'2016-12-15 21:37:06-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T11" s="105" t="str">
        <f t="shared" si="1"/>
        <v>"C:\Program Files (x86)\AstroGrep\AstroGrep.exe" /spath="%USERPROFILE%\AppData\Local\Temp\OnboardLogs" /stypes="*4004*201612160*" /stext=" 03:.+((SYSTEM_STATE.+slice.+state.+changed )|(ment ac)|(multiple cpu faults)|(system.+state.+changed )|(\[timeout)|(PRM\|1\|D)|(kpr)|(kdp)|(\|lc)|(penalty))" /e /r /s</v>
      </c>
      <c r="U11" s="9" t="str">
        <f t="shared" si="2"/>
        <v>4004</v>
      </c>
      <c r="V11" s="36">
        <f t="shared" si="3"/>
        <v>42720.148287037038</v>
      </c>
      <c r="W11" s="50" t="str">
        <f t="shared" si="4"/>
        <v>EC</v>
      </c>
      <c r="X11" s="50" t="str">
        <f t="shared" si="5"/>
        <v>KEEP</v>
      </c>
      <c r="Y11" s="119" t="str">
        <f t="shared" si="6"/>
        <v>echo {"issue":{"subject":"","project_id":79,"tracker_id":40,"status_id":1,"priority_id":2,"assigned_to_id":23,"start_date":"2016-12-15","description":"","custom_fields":[{"id":1,"name":"Subdivision","value":"EC"},{"id":4,"name":"Milepost","value":"0.5439"},{"id":17,"name":"Train ID","value":"222-15"},{"id":16,"name":"Locomotive ID","value":"4004"},{"id":130,"name":"Impact","value":""},{"id":150,"name":"Time of Event (Mountain Time)","value":"20:33:32"},{"id":151,"name":"Denver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53"/>
      <c r="AC11" s="138" t="str">
        <f t="shared" si="7"/>
        <v>grep -hSE -A100 "Enforcement Action" "%USERPROFILE%\AppData\Local\Temp\OnboardLogs"\RTDC4004\*4004*201612160* | grep -SE "((Enforcement Ac)|(PRM))" -</v>
      </c>
      <c r="AD11" s="1" t="str">
        <f>"grep -hSE ""Enforcement Action"" "&amp;search_path&amp;"\RTDC"&amp;U11&amp;"\*"&amp;U11&amp;"*"&amp;TEXT(A11-utc_offset/24,"YYYYMMDD")&amp;LEFT(TEXT(A11-utc_offset/24,"HH"),1)&amp;"* &gt;&gt; "&amp;Variables!$A$2&amp;"-slicedisagreementcheck.txt"</f>
        <v>grep -hSE "Enforcement Action" "%USERPROFILE%\AppData\Local\Temp\OnboardLogs"\RTDC4004\*4004*201612160* &gt;&gt; 42719-slicedisagreementcheck.txt</v>
      </c>
    </row>
    <row r="12" spans="1:30" s="1" customFormat="1" x14ac:dyDescent="0.25">
      <c r="A12" s="36">
        <v>42719.347326388888</v>
      </c>
      <c r="B12" s="31" t="s">
        <v>271</v>
      </c>
      <c r="C12" s="31" t="s">
        <v>561</v>
      </c>
      <c r="D12" s="31" t="s">
        <v>49</v>
      </c>
      <c r="E12" s="31" t="s">
        <v>197</v>
      </c>
      <c r="F12" s="47">
        <v>400</v>
      </c>
      <c r="G12" s="47">
        <v>589</v>
      </c>
      <c r="H12" s="47">
        <v>14336</v>
      </c>
      <c r="I12" s="47">
        <v>17585</v>
      </c>
      <c r="J12" s="31" t="s">
        <v>198</v>
      </c>
      <c r="K12" s="47">
        <v>17867</v>
      </c>
      <c r="L12" s="154" t="s">
        <v>50</v>
      </c>
      <c r="M12" s="155">
        <f t="shared" si="0"/>
        <v>148.89599999999999</v>
      </c>
      <c r="N12" s="156" t="str">
        <f>VLOOKUP(C12,'Trips&amp;Operators'!$C$1:$G$99999,5,FALSE)</f>
        <v>SIMONEAUX TERA</v>
      </c>
      <c r="O12" s="182" t="s">
        <v>196</v>
      </c>
      <c r="P12" s="157"/>
      <c r="Q12" s="31"/>
      <c r="R12" s="100" t="str">
        <f>VLOOKUP(C12,'Train Runs'!$A$13:$AE$9980,31,0)</f>
        <v>aws s3 cp s3://rtdc.mdm.uploadarchive.raw/RTDC4020/ "%USERPROFILE%\AppData\Local\Temp\OnboardLogs"\RTDC4020\2016-12-15 --exclude "*" --recursive --include "*20161215*" &amp; "%USERPROFILE%\Documents\GitHub\mrs-test-scripts\Headless Mode &amp; Sideloading\WalkAndUnGZ.bat" "%USERPROFILE%\AppData\Local\Temp\OnboardLogs"\RTDC4020\2016-12-15 &amp; aws s3 cp s3://rtdc.mdm.uploadarchive.raw/RTDC4020/ "%USERPROFILE%\AppData\Local\Temp\OnboardLogs"\RTDC4020\2016-12-16 --exclude "*" --recursive --include "*20161216*" &amp; "%USERPROFILE%\Documents\GitHub\mrs-test-scripts\Headless Mode &amp; Sideloading\WalkAndUnGZ.bat" "%USERPROFILE%\AppData\Local\Temp\OnboardLogs"\RTDC4020\2016-12-16</v>
      </c>
      <c r="S12" s="103" t="str">
        <f>VLOOKUP(C12,'Train Runs'!$A$13:$AE$9980,22,0)</f>
        <v>https://search-rtdc-monitor-bjffxe2xuh6vdkpspy63sjmuny.us-east-1.es.amazonaws.com/_plugin/kibana/#/discover/Steve-Slow-Train-Analysis-(2080s-and-2083s)?_g=(refreshInterval:(display:Off,section:0,value:0),time:(from:'2016-12-15 07:13:15-700',mode:absolute,to:'2016-12-15 09:53: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T12" s="105" t="str">
        <f t="shared" si="1"/>
        <v>"C:\Program Files (x86)\AstroGrep\AstroGrep.exe" /spath="%USERPROFILE%\AppData\Local\Temp\OnboardLogs" /stypes="*4020*201612151*" /stext=" 15:.+((SYSTEM_STATE.+slice.+state.+changed )|(ment ac)|(multiple cpu faults)|(system.+state.+changed )|(\[timeout)|(PRM\|1\|D)|(kpr)|(kdp)|(\|lc)|(penalty))" /e /r /s</v>
      </c>
      <c r="U12" s="9" t="str">
        <f t="shared" si="2"/>
        <v>4020</v>
      </c>
      <c r="V12" s="36">
        <f t="shared" si="3"/>
        <v>42719.638993055552</v>
      </c>
      <c r="W12" s="50" t="str">
        <f t="shared" si="4"/>
        <v>EC</v>
      </c>
      <c r="X12" s="50" t="str">
        <f t="shared" si="5"/>
        <v>KEEP</v>
      </c>
      <c r="Y12" s="119" t="str">
        <f t="shared" si="6"/>
        <v>echo {"issue":{"subject":"","project_id":79,"tracker_id":40,"status_id":1,"priority_id":2,"assigned_to_id":23,"start_date":"2016-12-15","description":"","custom_fields":[{"id":1,"name":"Subdivision","value":"EC"},{"id":4,"name":"Milepost","value":"1.7867"},{"id":17,"name":"Train ID","value":"137-15"},{"id":16,"name":"Locomotive ID","value":"4020"},{"id":130,"name":"Impact","value":""},{"id":150,"name":"Time of Event (Mountain Time)","value":"08:20:09"},{"id":151,"name":"Denver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53"/>
      <c r="AC12" s="138" t="str">
        <f t="shared" si="7"/>
        <v>grep -hSE -A100 "Enforcement Action" "%USERPROFILE%\AppData\Local\Temp\OnboardLogs"\RTDC4020\*4020*201612151* | grep -SE "((Enforcement Ac)|(PRM))" -</v>
      </c>
      <c r="AD12" s="1" t="str">
        <f>"grep -hSE ""Enforcement Action"" "&amp;search_path&amp;"\RTDC"&amp;U12&amp;"\*"&amp;U12&amp;"*"&amp;TEXT(A12-utc_offset/24,"YYYYMMDD")&amp;LEFT(TEXT(A12-utc_offset/24,"HH"),1)&amp;"* &gt;&gt; "&amp;Variables!$A$2&amp;"-slicedisagreementcheck.txt"</f>
        <v>grep -hSE "Enforcement Action" "%USERPROFILE%\AppData\Local\Temp\OnboardLogs"\RTDC4020\*4020*201612151* &gt;&gt; 42719-slicedisagreementcheck.txt</v>
      </c>
    </row>
    <row r="13" spans="1:30" s="1" customFormat="1" x14ac:dyDescent="0.25">
      <c r="A13" s="36">
        <v>42719.343333333331</v>
      </c>
      <c r="B13" s="31" t="s">
        <v>211</v>
      </c>
      <c r="C13" s="31" t="s">
        <v>560</v>
      </c>
      <c r="D13" s="31" t="s">
        <v>49</v>
      </c>
      <c r="E13" s="31" t="s">
        <v>197</v>
      </c>
      <c r="F13" s="47">
        <v>300</v>
      </c>
      <c r="G13" s="47">
        <v>389</v>
      </c>
      <c r="H13" s="47">
        <v>22591</v>
      </c>
      <c r="I13" s="47">
        <v>21627</v>
      </c>
      <c r="J13" s="31" t="s">
        <v>198</v>
      </c>
      <c r="K13" s="47">
        <v>21848</v>
      </c>
      <c r="L13" s="154" t="s">
        <v>51</v>
      </c>
      <c r="M13" s="155">
        <f t="shared" si="0"/>
        <v>-116.688</v>
      </c>
      <c r="N13" s="156" t="str">
        <f>VLOOKUP(C13,'Trips&amp;Operators'!$C$1:$G$99999,5,FALSE)</f>
        <v>STARKS ANGELINA</v>
      </c>
      <c r="O13" s="182" t="s">
        <v>196</v>
      </c>
      <c r="P13" s="157"/>
      <c r="Q13" s="31"/>
      <c r="R13" s="100" t="str">
        <f>VLOOKUP(C13,'Train Runs'!$A$13:$AE$9980,31,0)</f>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S13" s="103" t="str">
        <f>VLOOKUP(C13,'Train Runs'!$A$13:$AE$9980,22,0)</f>
        <v>https://search-rtdc-monitor-bjffxe2xuh6vdkpspy63sjmuny.us-east-1.es.amazonaws.com/_plugin/kibana/#/discover/Steve-Slow-Train-Analysis-(2080s-and-2083s)?_g=(refreshInterval:(display:Off,section:0,value:0),time:(from:'2016-12-15 06:37:50-700',mode:absolute,to:'2016-12-15 09:21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13" s="105" t="str">
        <f t="shared" si="1"/>
        <v>"C:\Program Files (x86)\AstroGrep\AstroGrep.exe" /spath="%USERPROFILE%\AppData\Local\Temp\OnboardLogs" /stypes="*4012*201612151*" /stext=" 15:.+((SYSTEM_STATE.+slice.+state.+changed )|(ment ac)|(multiple cpu faults)|(system.+state.+changed )|(\[timeout)|(PRM\|1\|D)|(kpr)|(kdp)|(\|lc)|(penalty))" /e /r /s</v>
      </c>
      <c r="U13" s="9" t="str">
        <f t="shared" si="2"/>
        <v>4012</v>
      </c>
      <c r="V13" s="36">
        <f t="shared" si="3"/>
        <v>42719.634999999995</v>
      </c>
      <c r="W13" s="50" t="str">
        <f t="shared" si="4"/>
        <v>EC</v>
      </c>
      <c r="X13" s="50" t="str">
        <f t="shared" si="5"/>
        <v>KEEP</v>
      </c>
      <c r="Y13" s="119" t="str">
        <f t="shared" si="6"/>
        <v>echo {"issue":{"subject":"","project_id":79,"tracker_id":40,"status_id":1,"priority_id":2,"assigned_to_id":23,"start_date":"2016-12-15","description":"","custom_fields":[{"id":1,"name":"Subdivision","value":"EC"},{"id":4,"name":"Milepost","value":"2.1848"},{"id":17,"name":"Train ID","value":"126-15"},{"id":16,"name":"Locomotive ID","value":"4012"},{"id":130,"name":"Impact","value":""},{"id":150,"name":"Time of Event (Mountain Time)","value":"08:14:24"},{"id":151,"name":"Denver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53"/>
      <c r="AC13" s="138" t="str">
        <f t="shared" si="7"/>
        <v>grep -hSE -A100 "Enforcement Action" "%USERPROFILE%\AppData\Local\Temp\OnboardLogs"\RTDC4012\*4012*201612151* | grep -SE "((Enforcement Ac)|(PRM))" -</v>
      </c>
      <c r="AD13" s="1" t="str">
        <f>"grep -hSE ""Enforcement Action"" "&amp;search_path&amp;"\RTDC"&amp;U13&amp;"\*"&amp;U13&amp;"*"&amp;TEXT(A13-utc_offset/24,"YYYYMMDD")&amp;LEFT(TEXT(A13-utc_offset/24,"HH"),1)&amp;"* &gt;&gt; "&amp;Variables!$A$2&amp;"-slicedisagreementcheck.txt"</f>
        <v>grep -hSE "Enforcement Action" "%USERPROFILE%\AppData\Local\Temp\OnboardLogs"\RTDC4012\*4012*201612151* &gt;&gt; 42719-slicedisagreementcheck.txt</v>
      </c>
    </row>
    <row r="14" spans="1:30" s="1" customFormat="1" x14ac:dyDescent="0.25">
      <c r="A14" s="36">
        <v>42719.335335648146</v>
      </c>
      <c r="B14" s="31" t="s">
        <v>183</v>
      </c>
      <c r="C14" s="31" t="s">
        <v>559</v>
      </c>
      <c r="D14" s="31" t="s">
        <v>98</v>
      </c>
      <c r="E14" s="31" t="s">
        <v>197</v>
      </c>
      <c r="F14" s="47">
        <v>350</v>
      </c>
      <c r="G14" s="47">
        <v>400</v>
      </c>
      <c r="H14" s="47">
        <v>225072</v>
      </c>
      <c r="I14" s="47">
        <v>226037</v>
      </c>
      <c r="J14" s="31" t="s">
        <v>198</v>
      </c>
      <c r="K14" s="47">
        <v>224578</v>
      </c>
      <c r="L14" s="154" t="s">
        <v>50</v>
      </c>
      <c r="M14" s="155">
        <f t="shared" si="0"/>
        <v>-770.35199999999998</v>
      </c>
      <c r="N14" s="156" t="str">
        <f>VLOOKUP(C14,'Trips&amp;Operators'!$C$1:$G$99999,5,FALSE)</f>
        <v>SPECTOR MICHAEL</v>
      </c>
      <c r="O14" s="182" t="s">
        <v>196</v>
      </c>
      <c r="P14" s="157"/>
      <c r="Q14" s="31"/>
      <c r="R14" s="100" t="str">
        <f>VLOOKUP(C14,'Train Runs'!$A$13:$AE$9980,31,0)</f>
        <v>aws s3 cp s3://rtdc.mdm.uploadarchive.raw/RTDC4009/ "%USERPROFILE%\AppData\Local\Temp\OnboardLogs"\RTDC4009\2016-12-15 --exclude "*" --recursive --include "*20161215*" &amp; "%USERPROFILE%\Documents\GitHub\mrs-test-scripts\Headless Mode &amp; Sideloading\WalkAndUnGZ.bat" "%USERPROFILE%\AppData\Local\Temp\OnboardLogs"\RTDC4009\2016-12-15 &amp; aws s3 cp s3://rtdc.mdm.uploadarchive.raw/RTDC4009/ "%USERPROFILE%\AppData\Local\Temp\OnboardLogs"\RTDC4009\2016-12-16 --exclude "*" --recursive --include "*20161216*" &amp; "%USERPROFILE%\Documents\GitHub\mrs-test-scripts\Headless Mode &amp; Sideloading\WalkAndUnGZ.bat" "%USERPROFILE%\AppData\Local\Temp\OnboardLogs"\RTDC4009\2016-12-16</v>
      </c>
      <c r="S14" s="103" t="str">
        <f>VLOOKUP(C14,'Train Runs'!$A$13:$AE$9980,22,0)</f>
        <v>https://search-rtdc-monitor-bjffxe2xuh6vdkpspy63sjmuny.us-east-1.es.amazonaws.com/_plugin/kibana/#/discover/Steve-Slow-Train-Analysis-(2080s-and-2083s)?_g=(refreshInterval:(display:Off,section:0,value:0),time:(from:'2016-12-15 06:25:05-700',mode:absolute,to:'2016-12-15 09:06: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T14" s="105" t="str">
        <f t="shared" si="1"/>
        <v>"C:\Program Files (x86)\AstroGrep\AstroGrep.exe" /spath="%USERPROFILE%\AppData\Local\Temp\OnboardLogs" /stypes="*4009*201612151*" /stext=" 15:.+((SYSTEM_STATE.+slice.+state.+changed )|(ment ac)|(multiple cpu faults)|(system.+state.+changed )|(\[timeout)|(PRM\|1\|D)|(kpr)|(kdp)|(\|lc)|(penalty))" /e /r /s</v>
      </c>
      <c r="U14" s="9" t="str">
        <f t="shared" si="2"/>
        <v>4009</v>
      </c>
      <c r="V14" s="36">
        <f t="shared" si="3"/>
        <v>42719.62700231481</v>
      </c>
      <c r="W14" s="50" t="str">
        <f t="shared" si="4"/>
        <v>EC</v>
      </c>
      <c r="X14" s="50" t="str">
        <f t="shared" si="5"/>
        <v>KEEP</v>
      </c>
      <c r="Y14" s="119" t="str">
        <f t="shared" si="6"/>
        <v>echo {"issue":{"subject":"","project_id":79,"tracker_id":40,"status_id":1,"priority_id":2,"assigned_to_id":23,"start_date":"2016-12-15","description":"","custom_fields":[{"id":1,"name":"Subdivision","value":"EC"},{"id":4,"name":"Milepost","value":"22.4578"},{"id":17,"name":"Train ID","value":"131-15"},{"id":16,"name":"Locomotive ID","value":"4009"},{"id":130,"name":"Impact","value":""},{"id":150,"name":"Time of Event (Mountain Time)","value":"08:02:53"},{"id":151,"name":"Denver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53"/>
      <c r="AC14" s="138" t="str">
        <f t="shared" si="7"/>
        <v>grep -hSE -A100 "Enforcement Action" "%USERPROFILE%\AppData\Local\Temp\OnboardLogs"\RTDC4009\*4009*201612151* | grep -SE "((Enforcement Ac)|(PRM))" -</v>
      </c>
      <c r="AD14" s="1" t="str">
        <f>"grep -hSE ""Enforcement Action"" "&amp;search_path&amp;"\RTDC"&amp;U14&amp;"\*"&amp;U14&amp;"*"&amp;TEXT(A14-utc_offset/24,"YYYYMMDD")&amp;LEFT(TEXT(A14-utc_offset/24,"HH"),1)&amp;"* &gt;&gt; "&amp;Variables!$A$2&amp;"-slicedisagreementcheck.txt"</f>
        <v>grep -hSE "Enforcement Action" "%USERPROFILE%\AppData\Local\Temp\OnboardLogs"\RTDC4009\*4009*201612151* &gt;&gt; 42719-slicedisagreementcheck.txt</v>
      </c>
    </row>
    <row r="15" spans="1:30" s="1" customFormat="1" x14ac:dyDescent="0.25">
      <c r="A15" s="36">
        <v>42719.47828703704</v>
      </c>
      <c r="B15" s="31" t="s">
        <v>364</v>
      </c>
      <c r="C15" s="31" t="s">
        <v>565</v>
      </c>
      <c r="D15" s="31" t="s">
        <v>98</v>
      </c>
      <c r="E15" s="31" t="s">
        <v>197</v>
      </c>
      <c r="F15" s="47">
        <v>150</v>
      </c>
      <c r="G15" s="47">
        <v>203</v>
      </c>
      <c r="H15" s="47">
        <v>228621</v>
      </c>
      <c r="I15" s="47">
        <v>228288</v>
      </c>
      <c r="J15" s="31" t="s">
        <v>198</v>
      </c>
      <c r="K15" s="47">
        <v>229055</v>
      </c>
      <c r="L15" s="154" t="s">
        <v>51</v>
      </c>
      <c r="M15" s="155">
        <f t="shared" si="0"/>
        <v>-404.976</v>
      </c>
      <c r="N15" s="156" t="str">
        <f>VLOOKUP(C15,'Trips&amp;Operators'!$C$1:$G$99999,5,FALSE)</f>
        <v>ALEXANDER DONNELL</v>
      </c>
      <c r="O15" s="182" t="s">
        <v>196</v>
      </c>
      <c r="P15" s="157"/>
      <c r="Q15" s="31"/>
      <c r="R15" s="100" t="str">
        <f>VLOOKUP(C15,'Train Runs'!$A$13:$AE$9980,31,0)</f>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S15" s="103" t="str">
        <f>VLOOKUP(C15,'Train Runs'!$A$13:$AE$9980,22,0)</f>
        <v>https://search-rtdc-monitor-bjffxe2xuh6vdkpspy63sjmuny.us-east-1.es.amazonaws.com/_plugin/kibana/#/discover/Steve-Slow-Train-Analysis-(2080s-and-2083s)?_g=(refreshInterval:(display:Off,section:0,value:0),time:(from:'2016-12-15 10:07:20-700',mode:absolute,to:'2016-12-15 13:05:00-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5" s="105" t="str">
        <f t="shared" si="1"/>
        <v>"C:\Program Files (x86)\AstroGrep\AstroGrep.exe" /spath="%USERPROFILE%\AppData\Local\Temp\OnboardLogs" /stypes="*4017*201612151*" /stext=" 18:.+((SYSTEM_STATE.+slice.+state.+changed )|(ment ac)|(multiple cpu faults)|(system.+state.+changed )|(\[timeout)|(PRM\|1\|D)|(kpr)|(kdp)|(\|lc)|(penalty))" /e /r /s</v>
      </c>
      <c r="U15" s="9" t="str">
        <f t="shared" si="2"/>
        <v>4017</v>
      </c>
      <c r="V15" s="36">
        <f t="shared" si="3"/>
        <v>42719.769953703704</v>
      </c>
      <c r="W15" s="50" t="str">
        <f t="shared" si="4"/>
        <v>EC</v>
      </c>
      <c r="X15" s="50" t="str">
        <f t="shared" si="5"/>
        <v>KEEP</v>
      </c>
      <c r="Y15" s="119" t="str">
        <f t="shared" si="6"/>
        <v>echo {"issue":{"subject":"","project_id":79,"tracker_id":40,"status_id":1,"priority_id":2,"assigned_to_id":23,"start_date":"2016-12-15","description":"","custom_fields":[{"id":1,"name":"Subdivision","value":"EC"},{"id":4,"name":"Milepost","value":"22.9055"},{"id":17,"name":"Train ID","value":"156-15"},{"id":16,"name":"Locomotive ID","value":"4017"},{"id":130,"name":"Impact","value":""},{"id":150,"name":"Time of Event (Mountain Time)","value":"11:28:44"},{"id":151,"name":"Denver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53"/>
      <c r="AC15" s="138" t="str">
        <f t="shared" si="7"/>
        <v>grep -hSE -A100 "Enforcement Action" "%USERPROFILE%\AppData\Local\Temp\OnboardLogs"\RTDC4017\*4017*201612151* | grep -SE "((Enforcement Ac)|(PRM))" -</v>
      </c>
      <c r="AD15" s="1" t="str">
        <f>"grep -hSE ""Enforcement Action"" "&amp;search_path&amp;"\RTDC"&amp;U15&amp;"\*"&amp;U15&amp;"*"&amp;TEXT(A15-utc_offset/24,"YYYYMMDD")&amp;LEFT(TEXT(A15-utc_offset/24,"HH"),1)&amp;"* &gt;&gt; "&amp;Variables!$A$2&amp;"-slicedisagreementcheck.txt"</f>
        <v>grep -hSE "Enforcement Action" "%USERPROFILE%\AppData\Local\Temp\OnboardLogs"\RTDC4017\*4017*201612151* &gt;&gt; 42719-slicedisagreementcheck.txt</v>
      </c>
    </row>
    <row r="16" spans="1:30" s="1" customFormat="1" x14ac:dyDescent="0.25">
      <c r="A16" s="36">
        <v>42719.623854166668</v>
      </c>
      <c r="B16" s="31" t="s">
        <v>364</v>
      </c>
      <c r="C16" s="31" t="s">
        <v>570</v>
      </c>
      <c r="D16" s="31" t="s">
        <v>49</v>
      </c>
      <c r="E16" s="31" t="s">
        <v>197</v>
      </c>
      <c r="F16" s="47">
        <v>150</v>
      </c>
      <c r="G16" s="47">
        <v>201</v>
      </c>
      <c r="H16" s="47">
        <v>229250</v>
      </c>
      <c r="I16" s="47">
        <v>228869</v>
      </c>
      <c r="J16" s="31" t="s">
        <v>198</v>
      </c>
      <c r="K16" s="47">
        <v>229055</v>
      </c>
      <c r="L16" s="154" t="s">
        <v>51</v>
      </c>
      <c r="M16" s="155">
        <f t="shared" si="0"/>
        <v>-98.207999999999998</v>
      </c>
      <c r="N16" s="156" t="str">
        <f>VLOOKUP(C16,'Trips&amp;Operators'!$C$1:$G$99999,5,FALSE)</f>
        <v>ADANE ELSHADAY</v>
      </c>
      <c r="O16" s="182" t="s">
        <v>196</v>
      </c>
      <c r="P16" s="157"/>
      <c r="Q16" s="31"/>
      <c r="R16" s="100" t="str">
        <f>VLOOKUP(C16,'Train Runs'!$A$13:$AE$9980,31,0)</f>
        <v>aws s3 cp s3://rtdc.mdm.uploadarchive.raw/RTDC4017/ "%USERPROFILE%\AppData\Local\Temp\OnboardLogs"\RTDC4017\2016-12-15 --exclude "*" --recursive --include "*20161215*" &amp; "%USERPROFILE%\Documents\GitHub\mrs-test-scripts\Headless Mode &amp; Sideloading\WalkAndUnGZ.bat" "%USERPROFILE%\AppData\Local\Temp\OnboardLogs"\RTDC4017\2016-12-15 &amp; aws s3 cp s3://rtdc.mdm.uploadarchive.raw/RTDC4017/ "%USERPROFILE%\AppData\Local\Temp\OnboardLogs"\RTDC4017\2016-12-16 --exclude "*" --recursive --include "*20161216*" &amp; "%USERPROFILE%\Documents\GitHub\mrs-test-scripts\Headless Mode &amp; Sideloading\WalkAndUnGZ.bat" "%USERPROFILE%\AppData\Local\Temp\OnboardLogs"\RTDC4017\2016-12-16</v>
      </c>
      <c r="S16" s="103" t="str">
        <f>VLOOKUP(C16,'Train Runs'!$A$13:$AE$9980,22,0)</f>
        <v>https://search-rtdc-monitor-bjffxe2xuh6vdkpspy63sjmuny.us-east-1.es.amazonaws.com/_plugin/kibana/#/discover/Steve-Slow-Train-Analysis-(2080s-and-2083s)?_g=(refreshInterval:(display:Off,section:0,value:0),time:(from:'2016-12-15 13:37:48-700',mode:absolute,to:'2016-12-15 16:42:46-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6" s="105" t="str">
        <f t="shared" si="1"/>
        <v>"C:\Program Files (x86)\AstroGrep\AstroGrep.exe" /spath="%USERPROFILE%\AppData\Local\Temp\OnboardLogs" /stypes="*4017*201612152*" /stext=" 21:.+((SYSTEM_STATE.+slice.+state.+changed )|(ment ac)|(multiple cpu faults)|(system.+state.+changed )|(\[timeout)|(PRM\|1\|D)|(kpr)|(kdp)|(\|lc)|(penalty))" /e /r /s</v>
      </c>
      <c r="U16" s="9" t="str">
        <f t="shared" si="2"/>
        <v>4017</v>
      </c>
      <c r="V16" s="36">
        <f t="shared" si="3"/>
        <v>42719.915520833332</v>
      </c>
      <c r="W16" s="50" t="str">
        <f t="shared" si="4"/>
        <v>EC</v>
      </c>
      <c r="X16" s="50" t="str">
        <f t="shared" si="5"/>
        <v>KEEP</v>
      </c>
      <c r="Y16" s="119" t="str">
        <f t="shared" si="6"/>
        <v>echo {"issue":{"subject":"","project_id":79,"tracker_id":40,"status_id":1,"priority_id":2,"assigned_to_id":23,"start_date":"2016-12-15","description":"","custom_fields":[{"id":1,"name":"Subdivision","value":"EC"},{"id":4,"name":"Milepost","value":"22.9055"},{"id":17,"name":"Train ID","value":"184-15"},{"id":16,"name":"Locomotive ID","value":"4017"},{"id":130,"name":"Impact","value":""},{"id":150,"name":"Time of Event (Mountain Time)","value":"14:58:21"},{"id":151,"name":"Denver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53"/>
      <c r="AC16" s="138" t="str">
        <f t="shared" si="7"/>
        <v>grep -hSE -A100 "Enforcement Action" "%USERPROFILE%\AppData\Local\Temp\OnboardLogs"\RTDC4017\*4017*201612152* | grep -SE "((Enforcement Ac)|(PRM))" -</v>
      </c>
      <c r="AD16" s="1" t="str">
        <f>"grep -hSE ""Enforcement Action"" "&amp;search_path&amp;"\RTDC"&amp;U16&amp;"\*"&amp;U16&amp;"*"&amp;TEXT(A16-utc_offset/24,"YYYYMMDD")&amp;LEFT(TEXT(A16-utc_offset/24,"HH"),1)&amp;"* &gt;&gt; "&amp;Variables!$A$2&amp;"-slicedisagreementcheck.txt"</f>
        <v>grep -hSE "Enforcement Action" "%USERPROFILE%\AppData\Local\Temp\OnboardLogs"\RTDC4017\*4017*201612152* &gt;&gt; 42719-slicedisagreementcheck.txt</v>
      </c>
    </row>
    <row r="17" spans="1:30" s="1" customFormat="1" x14ac:dyDescent="0.25">
      <c r="A17" s="36">
        <v>42719.567743055559</v>
      </c>
      <c r="B17" s="31" t="s">
        <v>260</v>
      </c>
      <c r="C17" s="31" t="s">
        <v>568</v>
      </c>
      <c r="D17" s="31" t="s">
        <v>98</v>
      </c>
      <c r="E17" s="31" t="s">
        <v>199</v>
      </c>
      <c r="F17" s="47">
        <v>0</v>
      </c>
      <c r="G17" s="47">
        <v>426</v>
      </c>
      <c r="H17" s="47">
        <v>126641</v>
      </c>
      <c r="I17" s="47">
        <v>127633</v>
      </c>
      <c r="J17" s="31" t="s">
        <v>200</v>
      </c>
      <c r="K17" s="47">
        <v>126585</v>
      </c>
      <c r="L17" s="154" t="s">
        <v>50</v>
      </c>
      <c r="M17" s="155">
        <f t="shared" si="0"/>
        <v>-553.34400000000005</v>
      </c>
      <c r="N17" s="156" t="str">
        <f>VLOOKUP(C17,'Trips&amp;Operators'!$C$1:$G$99999,5,FALSE)</f>
        <v>MOSES BRADLEY</v>
      </c>
      <c r="O17" s="182" t="s">
        <v>229</v>
      </c>
      <c r="P17" s="157" t="s">
        <v>963</v>
      </c>
      <c r="Q17" s="31"/>
      <c r="R17" s="100" t="str">
        <f>VLOOKUP(C17,'Train Runs'!$A$13:$AE$9980,31,0)</f>
        <v>aws s3 cp s3://rtdc.mdm.uploadarchive.raw/RTDC4029/ "%USERPROFILE%\AppData\Local\Temp\OnboardLogs"\RTDC4029\2016-12-15 --exclude "*" --recursive --include "*20161215*" &amp; "%USERPROFILE%\Documents\GitHub\mrs-test-scripts\Headless Mode &amp; Sideloading\WalkAndUnGZ.bat" "%USERPROFILE%\AppData\Local\Temp\OnboardLogs"\RTDC4029\2016-12-15 &amp; aws s3 cp s3://rtdc.mdm.uploadarchive.raw/RTDC4029/ "%USERPROFILE%\AppData\Local\Temp\OnboardLogs"\RTDC4029\2016-12-16 --exclude "*" --recursive --include "*20161216*" &amp; "%USERPROFILE%\Documents\GitHub\mrs-test-scripts\Headless Mode &amp; Sideloading\WalkAndUnGZ.bat" "%USERPROFILE%\AppData\Local\Temp\OnboardLogs"\RTDC4029\2016-12-16</v>
      </c>
      <c r="S17" s="103" t="str">
        <f>VLOOKUP(C17,'Train Runs'!$A$13:$AE$9980,22,0)</f>
        <v>https://search-rtdc-monitor-bjffxe2xuh6vdkpspy63sjmuny.us-east-1.es.amazonaws.com/_plugin/kibana/#/discover/Steve-Slow-Train-Analysis-(2080s-and-2083s)?_g=(refreshInterval:(display:Off,section:0,value:0),time:(from:'2016-12-15 12:13:27-700',mode:absolute,to:'2016-12-15 14:38:02-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T17" s="105" t="str">
        <f t="shared" si="1"/>
        <v>"C:\Program Files (x86)\AstroGrep\AstroGrep.exe" /spath="%USERPROFILE%\AppData\Local\Temp\OnboardLogs" /stypes="*4029*201612152*" /stext=" 20:.+((SYSTEM_STATE.+slice.+state.+changed )|(ment ac)|(multiple cpu faults)|(system.+state.+changed )|(\[timeout)|(PRM\|1\|D)|(kpr)|(kdp)|(\|lc)|(penalty))" /e /r /s</v>
      </c>
      <c r="U17" s="9" t="str">
        <f t="shared" si="2"/>
        <v>4029</v>
      </c>
      <c r="V17" s="36">
        <f t="shared" si="3"/>
        <v>42719.859409722223</v>
      </c>
      <c r="W17" s="50" t="str">
        <f t="shared" si="4"/>
        <v>EC</v>
      </c>
      <c r="X17" s="50" t="str">
        <f t="shared" si="5"/>
        <v>KEEP</v>
      </c>
      <c r="Y17" s="119" t="str">
        <f t="shared" si="6"/>
        <v>echo {"issue":{"subject":"Premature downgrade at 40th 2N","project_id":79,"tracker_id":40,"status_id":1,"priority_id":2,"assigned_to_id":23,"start_date":"2016-12-15","description":"","custom_fields":[{"id":1,"name":"Subdivision","value":"EC"},{"id":4,"name":"Milepost","value":"12.6585"},{"id":17,"name":"Train ID","value":"177-15"},{"id":16,"name":"Locomotive ID","value":"4029"},{"id":130,"name":"Impact","value":""},{"id":150,"name":"Time of Event (Mountain Time)","value":"13:37:33"},{"id":151,"name":"Denver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53"/>
      <c r="AC17" s="138" t="str">
        <f t="shared" si="7"/>
        <v>grep -hSE -A100 "Enforcement Action" "%USERPROFILE%\AppData\Local\Temp\OnboardLogs"\RTDC4029\*4029*201612152* | grep -SE "((Enforcement Ac)|(PRM))" -</v>
      </c>
      <c r="AD17" s="1" t="str">
        <f>"grep -hSE ""Enforcement Action"" "&amp;search_path&amp;"\RTDC"&amp;U17&amp;"\*"&amp;U17&amp;"*"&amp;TEXT(A17-utc_offset/24,"YYYYMMDD")&amp;LEFT(TEXT(A17-utc_offset/24,"HH"),1)&amp;"* &gt;&gt; "&amp;Variables!$A$2&amp;"-slicedisagreementcheck.txt"</f>
        <v>grep -hSE "Enforcement Action" "%USERPROFILE%\AppData\Local\Temp\OnboardLogs"\RTDC4029\*4029*201612152* &gt;&gt; 42719-slicedisagreementcheck.txt</v>
      </c>
    </row>
    <row r="18" spans="1:30" s="1" customFormat="1" x14ac:dyDescent="0.25">
      <c r="A18" s="36">
        <v>42719.70957175926</v>
      </c>
      <c r="B18" s="31" t="s">
        <v>277</v>
      </c>
      <c r="C18" s="31" t="s">
        <v>574</v>
      </c>
      <c r="D18" s="31" t="s">
        <v>49</v>
      </c>
      <c r="E18" s="31" t="s">
        <v>199</v>
      </c>
      <c r="F18" s="47">
        <v>0</v>
      </c>
      <c r="G18" s="47">
        <v>426</v>
      </c>
      <c r="H18" s="47">
        <v>194405</v>
      </c>
      <c r="I18" s="47">
        <v>193099</v>
      </c>
      <c r="J18" s="31" t="s">
        <v>200</v>
      </c>
      <c r="K18" s="47">
        <v>191723</v>
      </c>
      <c r="L18" s="154" t="s">
        <v>51</v>
      </c>
      <c r="M18" s="155">
        <f t="shared" si="0"/>
        <v>726.52800000000002</v>
      </c>
      <c r="N18" s="156" t="str">
        <f>VLOOKUP(C18,'Trips&amp;Operators'!$C$1:$G$99999,5,FALSE)</f>
        <v>HILLS DUSTIN</v>
      </c>
      <c r="O18" s="182" t="s">
        <v>196</v>
      </c>
      <c r="P18" s="157" t="s">
        <v>980</v>
      </c>
      <c r="Q18" s="31"/>
      <c r="R18" s="100" t="str">
        <f>VLOOKUP(C18,'Train Runs'!$A$13:$AE$9980,31,0)</f>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S18" s="103" t="str">
        <f>VLOOKUP(C18,'Train Runs'!$A$13:$AE$9980,22,0)</f>
        <v>https://search-rtdc-monitor-bjffxe2xuh6vdkpspy63sjmuny.us-east-1.es.amazonaws.com/_plugin/kibana/#/discover/Steve-Slow-Train-Analysis-(2080s-and-2083s)?_g=(refreshInterval:(display:Off,section:0,value:0),time:(from:'2016-12-15 15:40:05-700',mode:absolute,to:'2016-12-15 18:36:33-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18" s="105" t="str">
        <f t="shared" si="1"/>
        <v>"C:\Program Files (x86)\AstroGrep\AstroGrep.exe" /spath="%USERPROFILE%\AppData\Local\Temp\OnboardLogs" /stypes="*4015*201612160*" /stext=" 00:.+((SYSTEM_STATE.+slice.+state.+changed )|(ment ac)|(multiple cpu faults)|(system.+state.+changed )|(\[timeout)|(PRM\|1\|D)|(kpr)|(kdp)|(\|lc)|(penalty))" /e /r /s</v>
      </c>
      <c r="U18" s="9" t="str">
        <f t="shared" si="2"/>
        <v>4015</v>
      </c>
      <c r="V18" s="36">
        <f t="shared" si="3"/>
        <v>42720.001238425924</v>
      </c>
      <c r="W18" s="50" t="str">
        <f t="shared" si="4"/>
        <v>EC</v>
      </c>
      <c r="X18" s="50" t="str">
        <f t="shared" si="5"/>
        <v>KEEP</v>
      </c>
      <c r="Y18" s="119" t="str">
        <f t="shared" si="6"/>
        <v>echo {"issue":{"subject":"Pena 4S STOP","project_id":79,"tracker_id":40,"status_id":1,"priority_id":2,"assigned_to_id":23,"start_date":"2016-12-15","description":"","custom_fields":[{"id":1,"name":"Subdivision","value":"EC"},{"id":4,"name":"Milepost","value":"19.1723"},{"id":17,"name":"Train ID","value":"200-15"},{"id":16,"name":"Locomotive ID","value":"4015"},{"id":130,"name":"Impact","value":""},{"id":150,"name":"Time of Event (Mountain Time)","value":"17:01:47"},{"id":151,"name":"Denver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53"/>
      <c r="AC18" s="138" t="str">
        <f t="shared" si="7"/>
        <v>grep -hSE -A100 "Enforcement Action" "%USERPROFILE%\AppData\Local\Temp\OnboardLogs"\RTDC4015\*4015*201612160* | grep -SE "((Enforcement Ac)|(PRM))" -</v>
      </c>
      <c r="AD18" s="1" t="str">
        <f>"grep -hSE ""Enforcement Action"" "&amp;search_path&amp;"\RTDC"&amp;U18&amp;"\*"&amp;U18&amp;"*"&amp;TEXT(A18-utc_offset/24,"YYYYMMDD")&amp;LEFT(TEXT(A18-utc_offset/24,"HH"),1)&amp;"* &gt;&gt; "&amp;Variables!$A$2&amp;"-slicedisagreementcheck.txt"</f>
        <v>grep -hSE "Enforcement Action" "%USERPROFILE%\AppData\Local\Temp\OnboardLogs"\RTDC4015\*4015*201612160* &gt;&gt; 42719-slicedisagreementcheck.txt</v>
      </c>
    </row>
    <row r="19" spans="1:30" x14ac:dyDescent="0.25">
      <c r="A19" s="36">
        <v>42719.242372685185</v>
      </c>
      <c r="B19" s="31" t="s">
        <v>257</v>
      </c>
      <c r="C19" s="31" t="s">
        <v>553</v>
      </c>
      <c r="D19" s="31" t="s">
        <v>49</v>
      </c>
      <c r="E19" s="31" t="s">
        <v>278</v>
      </c>
      <c r="F19" s="47">
        <v>100</v>
      </c>
      <c r="G19" s="47">
        <v>228</v>
      </c>
      <c r="H19" s="47">
        <v>67210</v>
      </c>
      <c r="I19" s="47">
        <v>66711</v>
      </c>
      <c r="J19" s="31" t="s">
        <v>259</v>
      </c>
      <c r="K19" s="47">
        <v>66500</v>
      </c>
      <c r="L19" s="154" t="s">
        <v>51</v>
      </c>
      <c r="M19" s="155">
        <f t="shared" si="0"/>
        <v>111.408</v>
      </c>
      <c r="N19" s="156" t="str">
        <f>VLOOKUP(C19,'Trips&amp;Operators'!$C$1:$G$99999,5,FALSE)</f>
        <v>STRICKLAND EVAN</v>
      </c>
      <c r="O19" s="182" t="s">
        <v>196</v>
      </c>
      <c r="P19" s="157"/>
      <c r="Q19" s="31"/>
      <c r="R19" s="100" t="str">
        <f>VLOOKUP(C19,'Train Runs'!$A$13:$AE$9980,31,0)</f>
        <v>aws s3 cp s3://rtdc.mdm.uploadarchive.raw/RTDC4030/ "%USERPROFILE%\AppData\Local\Temp\OnboardLogs"\RTDC4030\2016-12-15 --exclude "*" --recursive --include "*20161215*" &amp; "%USERPROFILE%\Documents\GitHub\mrs-test-scripts\Headless Mode &amp; Sideloading\WalkAndUnGZ.bat" "%USERPROFILE%\AppData\Local\Temp\OnboardLogs"\RTDC4030\2016-12-15 &amp; aws s3 cp s3://rtdc.mdm.uploadarchive.raw/RTDC4030/ "%USERPROFILE%\AppData\Local\Temp\OnboardLogs"\RTDC4030\2016-12-16 --exclude "*" --recursive --include "*20161216*" &amp; "%USERPROFILE%\Documents\GitHub\mrs-test-scripts\Headless Mode &amp; Sideloading\WalkAndUnGZ.bat" "%USERPROFILE%\AppData\Local\Temp\OnboardLogs"\RTDC4030\2016-12-16</v>
      </c>
      <c r="S19" s="103" t="str">
        <f>VLOOKUP(C19,'Train Runs'!$A$13:$AE$9980,22,0)</f>
        <v>https://search-rtdc-monitor-bjffxe2xuh6vdkpspy63sjmuny.us-east-1.es.amazonaws.com/_plugin/kibana/#/discover/Steve-Slow-Train-Analysis-(2080s-and-2083s)?_g=(refreshInterval:(display:Off,section:0,value:0),time:(from:'2016-12-15 04:19:38-700',mode:absolute,to:'2016-12-15 07:06:50-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4030%22')),sort:!(Time,asc))</v>
      </c>
      <c r="T19" s="105" t="str">
        <f t="shared" si="1"/>
        <v>"C:\Program Files (x86)\AstroGrep\AstroGrep.exe" /spath="%USERPROFILE%\AppData\Local\Temp\OnboardLogs" /stypes="*4030*201612151*" /stext=" 12:.+((SYSTEM_STATE.+slice.+state.+changed )|(ment ac)|(multiple cpu faults)|(system.+state.+changed )|(\[timeout)|(PRM\|1\|D)|(kpr)|(kdp)|(\|lc)|(penalty))" /e /r /s</v>
      </c>
      <c r="U19" s="9" t="str">
        <f t="shared" si="2"/>
        <v>4030</v>
      </c>
      <c r="V19" s="36">
        <f t="shared" si="3"/>
        <v>42719.534039351849</v>
      </c>
      <c r="W19" s="50" t="str">
        <f t="shared" si="4"/>
        <v>EC</v>
      </c>
      <c r="X19" s="50" t="str">
        <f t="shared" si="5"/>
        <v>KEEP</v>
      </c>
      <c r="Y19" s="119" t="str">
        <f t="shared" si="6"/>
        <v>echo {"issue":{"subject":"","project_id":79,"tracker_id":40,"status_id":1,"priority_id":2,"assigned_to_id":23,"start_date":"2016-12-15","description":"","custom_fields":[{"id":1,"name":"Subdivision","value":"EC"},{"id":4,"name":"Milepost","value":"6.65"},{"id":17,"name":"Train ID","value":"108-15"},{"id":16,"name":"Locomotive ID","value":"4030"},{"id":130,"name":"Impact","value":""},{"id":150,"name":"Time of Event (Mountain Time)","value":"05:49:01"},{"id":151,"name":"Denver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53"/>
      <c r="AC19" s="138" t="str">
        <f t="shared" si="7"/>
        <v>grep -hSE -A100 "Enforcement Action" "%USERPROFILE%\AppData\Local\Temp\OnboardLogs"\RTDC4030\*4030*201612151* | grep -SE "((Enforcement Ac)|(PRM))" -</v>
      </c>
      <c r="AD19" s="1" t="str">
        <f>"grep -hSE ""Enforcement Action"" "&amp;search_path&amp;"\RTDC"&amp;U19&amp;"\*"&amp;U19&amp;"*"&amp;TEXT(A19-utc_offset/24,"YYYYMMDD")&amp;LEFT(TEXT(A19-utc_offset/24,"HH"),1)&amp;"* &gt;&gt; "&amp;Variables!$A$2&amp;"-slicedisagreementcheck.txt"</f>
        <v>grep -hSE "Enforcement Action" "%USERPROFILE%\AppData\Local\Temp\OnboardLogs"\RTDC4030\*4030*201612151* &gt;&gt; 42719-slicedisagreementcheck.txt</v>
      </c>
    </row>
    <row r="20" spans="1:30" x14ac:dyDescent="0.25">
      <c r="A20" s="36">
        <v>42719.283831018518</v>
      </c>
      <c r="B20" s="31" t="s">
        <v>277</v>
      </c>
      <c r="C20" s="31" t="s">
        <v>554</v>
      </c>
      <c r="D20" s="31" t="s">
        <v>49</v>
      </c>
      <c r="E20" s="31" t="s">
        <v>278</v>
      </c>
      <c r="F20" s="47">
        <v>100</v>
      </c>
      <c r="G20" s="47">
        <v>173</v>
      </c>
      <c r="H20" s="47">
        <v>66920</v>
      </c>
      <c r="I20" s="47">
        <v>66641</v>
      </c>
      <c r="J20" s="31" t="s">
        <v>259</v>
      </c>
      <c r="K20" s="47">
        <v>66500</v>
      </c>
      <c r="L20" s="154" t="s">
        <v>51</v>
      </c>
      <c r="M20" s="155">
        <f t="shared" si="0"/>
        <v>74.447999999999993</v>
      </c>
      <c r="N20" s="156" t="str">
        <f>VLOOKUP(C20,'Trips&amp;Operators'!$C$1:$G$99999,5,FALSE)</f>
        <v>SANTIZO D. EDY</v>
      </c>
      <c r="O20" s="182" t="s">
        <v>196</v>
      </c>
      <c r="P20" s="157"/>
      <c r="Q20" s="31"/>
      <c r="R20" s="100" t="str">
        <f>VLOOKUP(C20,'Train Runs'!$A$13:$AE$9980,31,0)</f>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S20" s="103" t="str">
        <f>VLOOKUP(C20,'Train Runs'!$A$13:$AE$9980,22,0)</f>
        <v>https://search-rtdc-monitor-bjffxe2xuh6vdkpspy63sjmuny.us-east-1.es.amazonaws.com/_plugin/kibana/#/discover/Steve-Slow-Train-Analysis-(2080s-and-2083s)?_g=(refreshInterval:(display:Off,section:0,value:0),time:(from:'2016-12-15 05:08:39-700',mode:absolute,to:'2016-12-15 08:05:52-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20" s="105" t="str">
        <f t="shared" si="1"/>
        <v>"C:\Program Files (x86)\AstroGrep\AstroGrep.exe" /spath="%USERPROFILE%\AppData\Local\Temp\OnboardLogs" /stypes="*4015*201612151*" /stext=" 13:.+((SYSTEM_STATE.+slice.+state.+changed )|(ment ac)|(multiple cpu faults)|(system.+state.+changed )|(\[timeout)|(PRM\|1\|D)|(kpr)|(kdp)|(\|lc)|(penalty))" /e /r /s</v>
      </c>
      <c r="U20" s="9" t="str">
        <f t="shared" si="2"/>
        <v>4015</v>
      </c>
      <c r="V20" s="36">
        <f t="shared" si="3"/>
        <v>42719.575497685182</v>
      </c>
      <c r="W20" s="50" t="str">
        <f t="shared" si="4"/>
        <v>EC</v>
      </c>
      <c r="X20" s="50" t="str">
        <f t="shared" si="5"/>
        <v>KEEP</v>
      </c>
      <c r="Y20" s="119" t="str">
        <f t="shared" si="6"/>
        <v>echo {"issue":{"subject":"","project_id":79,"tracker_id":40,"status_id":1,"priority_id":2,"assigned_to_id":23,"start_date":"2016-12-15","description":"","custom_fields":[{"id":1,"name":"Subdivision","value":"EC"},{"id":4,"name":"Milepost","value":"6.65"},{"id":17,"name":"Train ID","value":"116-15"},{"id":16,"name":"Locomotive ID","value":"4015"},{"id":130,"name":"Impact","value":""},{"id":150,"name":"Time of Event (Mountain Time)","value":"06:48:43"},{"id":151,"name":"Denver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53"/>
      <c r="AC20" s="138" t="str">
        <f t="shared" si="7"/>
        <v>grep -hSE -A100 "Enforcement Action" "%USERPROFILE%\AppData\Local\Temp\OnboardLogs"\RTDC4015\*4015*201612151* | grep -SE "((Enforcement Ac)|(PRM))" -</v>
      </c>
      <c r="AD20" s="1" t="str">
        <f>"grep -hSE ""Enforcement Action"" "&amp;search_path&amp;"\RTDC"&amp;U20&amp;"\*"&amp;U20&amp;"*"&amp;TEXT(A20-utc_offset/24,"YYYYMMDD")&amp;LEFT(TEXT(A20-utc_offset/24,"HH"),1)&amp;"* &gt;&gt; "&amp;Variables!$A$2&amp;"-slicedisagreementcheck.txt"</f>
        <v>grep -hSE "Enforcement Action" "%USERPROFILE%\AppData\Local\Temp\OnboardLogs"\RTDC4015\*4015*201612151* &gt;&gt; 42719-slicedisagreementcheck.txt</v>
      </c>
    </row>
    <row r="21" spans="1:30" ht="15" customHeight="1" x14ac:dyDescent="0.25">
      <c r="A21" s="36">
        <v>42719.411296296297</v>
      </c>
      <c r="B21" s="31" t="s">
        <v>211</v>
      </c>
      <c r="C21" s="31" t="s">
        <v>563</v>
      </c>
      <c r="D21" s="31" t="s">
        <v>49</v>
      </c>
      <c r="E21" s="31" t="s">
        <v>278</v>
      </c>
      <c r="F21" s="47">
        <v>100</v>
      </c>
      <c r="G21" s="47">
        <v>469</v>
      </c>
      <c r="H21" s="47">
        <v>68709</v>
      </c>
      <c r="I21" s="47">
        <v>67303</v>
      </c>
      <c r="J21" s="31" t="s">
        <v>259</v>
      </c>
      <c r="K21" s="47">
        <v>66500</v>
      </c>
      <c r="L21" s="154" t="s">
        <v>51</v>
      </c>
      <c r="M21" s="155">
        <f t="shared" si="0"/>
        <v>423.98399999999998</v>
      </c>
      <c r="N21" s="156" t="str">
        <f>VLOOKUP(C21,'Trips&amp;Operators'!$C$1:$G$99999,5,FALSE)</f>
        <v>STARKS ANGELINA</v>
      </c>
      <c r="O21" s="182" t="s">
        <v>196</v>
      </c>
      <c r="P21" s="157"/>
      <c r="Q21" s="31"/>
      <c r="R21" s="100" t="str">
        <f>VLOOKUP(C21,'Train Runs'!$A$13:$AE$9980,31,0)</f>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S21" s="103" t="str">
        <f>VLOOKUP(C21,'Train Runs'!$A$13:$AE$9980,22,0)</f>
        <v>https://search-rtdc-monitor-bjffxe2xuh6vdkpspy63sjmuny.us-east-1.es.amazonaws.com/_plugin/kibana/#/discover/Steve-Slow-Train-Analysis-(2080s-and-2083s)?_g=(refreshInterval:(display:Off,section:0,value:0),time:(from:'2016-12-15 08:20:22-700',mode:absolute,to:'2016-12-15 11:10: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21" s="105" t="str">
        <f t="shared" si="1"/>
        <v>"C:\Program Files (x86)\AstroGrep\AstroGrep.exe" /spath="%USERPROFILE%\AppData\Local\Temp\OnboardLogs" /stypes="*4012*201612151*" /stext=" 16:.+((SYSTEM_STATE.+slice.+state.+changed )|(ment ac)|(multiple cpu faults)|(system.+state.+changed )|(\[timeout)|(PRM\|1\|D)|(kpr)|(kdp)|(\|lc)|(penalty))" /e /r /s</v>
      </c>
      <c r="U21" s="9" t="str">
        <f t="shared" si="2"/>
        <v>4012</v>
      </c>
      <c r="V21" s="36">
        <f t="shared" si="3"/>
        <v>42719.702962962961</v>
      </c>
      <c r="W21" s="50" t="str">
        <f t="shared" si="4"/>
        <v>EC</v>
      </c>
      <c r="X21" s="50" t="str">
        <f t="shared" si="5"/>
        <v>KEEP</v>
      </c>
      <c r="Y21" s="119" t="str">
        <f t="shared" si="6"/>
        <v>echo {"issue":{"subject":"","project_id":79,"tracker_id":40,"status_id":1,"priority_id":2,"assigned_to_id":23,"start_date":"2016-12-15","description":"","custom_fields":[{"id":1,"name":"Subdivision","value":"EC"},{"id":4,"name":"Milepost","value":"6.65"},{"id":17,"name":"Train ID","value":"140-15"},{"id":16,"name":"Locomotive ID","value":"4012"},{"id":130,"name":"Impact","value":""},{"id":150,"name":"Time of Event (Mountain Time)","value":"09:52:16"},{"id":151,"name":"Denver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53"/>
      <c r="AC21" s="138" t="str">
        <f t="shared" si="7"/>
        <v>grep -hSE -A100 "Enforcement Action" "%USERPROFILE%\AppData\Local\Temp\OnboardLogs"\RTDC4012\*4012*201612151* | grep -SE "((Enforcement Ac)|(PRM))" -</v>
      </c>
      <c r="AD21" s="1" t="str">
        <f>"grep -hSE ""Enforcement Action"" "&amp;search_path&amp;"\RTDC"&amp;U21&amp;"\*"&amp;U21&amp;"*"&amp;TEXT(A21-utc_offset/24,"YYYYMMDD")&amp;LEFT(TEXT(A21-utc_offset/24,"HH"),1)&amp;"* &gt;&gt; "&amp;Variables!$A$2&amp;"-slicedisagreementcheck.txt"</f>
        <v>grep -hSE "Enforcement Action" "%USERPROFILE%\AppData\Local\Temp\OnboardLogs"\RTDC4012\*4012*201612151* &gt;&gt; 42719-slicedisagreementcheck.txt</v>
      </c>
    </row>
    <row r="22" spans="1:30" x14ac:dyDescent="0.25">
      <c r="A22" s="36">
        <v>42719.306226851855</v>
      </c>
      <c r="B22" s="31" t="s">
        <v>555</v>
      </c>
      <c r="C22" s="31" t="s">
        <v>556</v>
      </c>
      <c r="D22" s="31" t="s">
        <v>49</v>
      </c>
      <c r="E22" s="31" t="s">
        <v>201</v>
      </c>
      <c r="F22" s="47">
        <v>0</v>
      </c>
      <c r="G22" s="47">
        <v>62</v>
      </c>
      <c r="H22" s="47">
        <v>221</v>
      </c>
      <c r="I22" s="47">
        <v>156</v>
      </c>
      <c r="J22" s="31" t="s">
        <v>202</v>
      </c>
      <c r="K22" s="47">
        <v>1</v>
      </c>
      <c r="L22" s="154" t="s">
        <v>51</v>
      </c>
      <c r="M22" s="155">
        <f t="shared" si="0"/>
        <v>81.84</v>
      </c>
      <c r="N22" s="156" t="str">
        <f>VLOOKUP(C22,'Trips&amp;Operators'!$C$1:$G$99999,5,FALSE)</f>
        <v>SPECTOR MICHAEL</v>
      </c>
      <c r="O22" s="182" t="s">
        <v>196</v>
      </c>
      <c r="P22" s="157"/>
      <c r="Q22" s="31"/>
      <c r="R22" s="100" t="str">
        <f>VLOOKUP(C22,'Train Runs'!$A$13:$AE$9980,31,0)</f>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S22" s="103" t="str">
        <f>VLOOKUP(C22,'Train Runs'!$A$13:$AE$9980,22,0)</f>
        <v>https://search-rtdc-monitor-bjffxe2xuh6vdkpspy63sjmuny.us-east-1.es.amazonaws.com/_plugin/kibana/#/discover/Steve-Slow-Train-Analysis-(2080s-and-2083s)?_g=(refreshInterval:(display:Off,section:0,value:0),time:(from:'2016-12-15 05:31:30-700',mode:absolute,to:'2016-12-15 08:20: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T22" s="105" t="str">
        <f t="shared" si="1"/>
        <v>"C:\Program Files (x86)\AstroGrep\AstroGrep.exe" /spath="%USERPROFILE%\AppData\Local\Temp\OnboardLogs" /stypes="*4010*201612151*" /stext=" 14:.+((SYSTEM_STATE.+slice.+state.+changed )|(ment ac)|(multiple cpu faults)|(system.+state.+changed )|(\[timeout)|(PRM\|1\|D)|(kpr)|(kdp)|(\|lc)|(penalty))" /e /r /s</v>
      </c>
      <c r="U22" s="9" t="str">
        <f t="shared" si="2"/>
        <v>4010</v>
      </c>
      <c r="V22" s="36">
        <f t="shared" si="3"/>
        <v>42719.597893518519</v>
      </c>
      <c r="W22" s="50" t="str">
        <f t="shared" si="4"/>
        <v>EC</v>
      </c>
      <c r="X22" s="50" t="str">
        <f t="shared" si="5"/>
        <v>KEEP</v>
      </c>
      <c r="Y22" s="119" t="str">
        <f t="shared" si="6"/>
        <v>echo {"issue":{"subject":"","project_id":79,"tracker_id":40,"status_id":1,"priority_id":2,"assigned_to_id":23,"start_date":"2016-12-15","description":"","custom_fields":[{"id":1,"name":"Subdivision","value":"EC"},{"id":4,"name":"Milepost","value":"0.0001"},{"id":17,"name":"Train ID","value":"118-15"},{"id":16,"name":"Locomotive ID","value":"4010"},{"id":130,"name":"Impact","value":""},{"id":150,"name":"Time of Event (Mountain Time)","value":"07:20:58"},{"id":151,"name":"Denver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53"/>
      <c r="AC22" s="138" t="str">
        <f t="shared" si="7"/>
        <v>grep -hSE -A100 "Enforcement Action" "%USERPROFILE%\AppData\Local\Temp\OnboardLogs"\RTDC4010\*4010*201612151* | grep -SE "((Enforcement Ac)|(PRM))" -</v>
      </c>
      <c r="AD22" s="1" t="str">
        <f>"grep -hSE ""Enforcement Action"" "&amp;search_path&amp;"\RTDC"&amp;U22&amp;"\*"&amp;U22&amp;"*"&amp;TEXT(A22-utc_offset/24,"YYYYMMDD")&amp;LEFT(TEXT(A22-utc_offset/24,"HH"),1)&amp;"* &gt;&gt; "&amp;Variables!$A$2&amp;"-slicedisagreementcheck.txt"</f>
        <v>grep -hSE "Enforcement Action" "%USERPROFILE%\AppData\Local\Temp\OnboardLogs"\RTDC4010\*4010*201612151* &gt;&gt; 42719-slicedisagreementcheck.txt</v>
      </c>
    </row>
    <row r="23" spans="1:30" x14ac:dyDescent="0.25">
      <c r="A23" s="36">
        <v>42719.347604166665</v>
      </c>
      <c r="B23" s="31" t="s">
        <v>211</v>
      </c>
      <c r="C23" s="31" t="s">
        <v>560</v>
      </c>
      <c r="D23" s="31" t="s">
        <v>49</v>
      </c>
      <c r="E23" s="31" t="s">
        <v>201</v>
      </c>
      <c r="F23" s="47">
        <v>0</v>
      </c>
      <c r="G23" s="47">
        <v>89</v>
      </c>
      <c r="H23" s="47">
        <v>316</v>
      </c>
      <c r="I23" s="47">
        <v>212</v>
      </c>
      <c r="J23" s="31" t="s">
        <v>202</v>
      </c>
      <c r="K23" s="47">
        <v>1</v>
      </c>
      <c r="L23" s="154" t="s">
        <v>51</v>
      </c>
      <c r="M23" s="155">
        <f t="shared" si="0"/>
        <v>111.408</v>
      </c>
      <c r="N23" s="156" t="str">
        <f>VLOOKUP(C23,'Trips&amp;Operators'!$C$1:$G$99999,5,FALSE)</f>
        <v>STARKS ANGELINA</v>
      </c>
      <c r="O23" s="182" t="s">
        <v>196</v>
      </c>
      <c r="P23" s="157"/>
      <c r="Q23" s="31"/>
      <c r="R23" s="100" t="str">
        <f>VLOOKUP(C23,'Train Runs'!$A$13:$AE$9980,31,0)</f>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S23" s="103" t="str">
        <f>VLOOKUP(C23,'Train Runs'!$A$13:$AE$9980,22,0)</f>
        <v>https://search-rtdc-monitor-bjffxe2xuh6vdkpspy63sjmuny.us-east-1.es.amazonaws.com/_plugin/kibana/#/discover/Steve-Slow-Train-Analysis-(2080s-and-2083s)?_g=(refreshInterval:(display:Off,section:0,value:0),time:(from:'2016-12-15 06:37:50-700',mode:absolute,to:'2016-12-15 09:21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23" s="105" t="str">
        <f t="shared" si="1"/>
        <v>"C:\Program Files (x86)\AstroGrep\AstroGrep.exe" /spath="%USERPROFILE%\AppData\Local\Temp\OnboardLogs" /stypes="*4012*201612151*" /stext=" 15:.+((SYSTEM_STATE.+slice.+state.+changed )|(ment ac)|(multiple cpu faults)|(system.+state.+changed )|(\[timeout)|(PRM\|1\|D)|(kpr)|(kdp)|(\|lc)|(penalty))" /e /r /s</v>
      </c>
      <c r="U23" s="9" t="str">
        <f t="shared" si="2"/>
        <v>4012</v>
      </c>
      <c r="V23" s="36">
        <f t="shared" si="3"/>
        <v>42719.63927083333</v>
      </c>
      <c r="W23" s="50" t="str">
        <f t="shared" si="4"/>
        <v>EC</v>
      </c>
      <c r="X23" s="50" t="str">
        <f t="shared" si="5"/>
        <v>KEEP</v>
      </c>
      <c r="Y23" s="119" t="str">
        <f t="shared" si="6"/>
        <v>echo {"issue":{"subject":"","project_id":79,"tracker_id":40,"status_id":1,"priority_id":2,"assigned_to_id":23,"start_date":"2016-12-15","description":"","custom_fields":[{"id":1,"name":"Subdivision","value":"EC"},{"id":4,"name":"Milepost","value":"0.0001"},{"id":17,"name":"Train ID","value":"126-15"},{"id":16,"name":"Locomotive ID","value":"4012"},{"id":130,"name":"Impact","value":""},{"id":150,"name":"Time of Event (Mountain Time)","value":"08:20:33"},{"id":151,"name":"Denver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53"/>
      <c r="AC23" s="138" t="str">
        <f t="shared" si="7"/>
        <v>grep -hSE -A100 "Enforcement Action" "%USERPROFILE%\AppData\Local\Temp\OnboardLogs"\RTDC4012\*4012*201612151* | grep -SE "((Enforcement Ac)|(PRM))" -</v>
      </c>
      <c r="AD23" s="1" t="str">
        <f>"grep -hSE ""Enforcement Action"" "&amp;search_path&amp;"\RTDC"&amp;U23&amp;"\*"&amp;U23&amp;"*"&amp;TEXT(A23-utc_offset/24,"YYYYMMDD")&amp;LEFT(TEXT(A23-utc_offset/24,"HH"),1)&amp;"* &gt;&gt; "&amp;Variables!$A$2&amp;"-slicedisagreementcheck.txt"</f>
        <v>grep -hSE "Enforcement Action" "%USERPROFILE%\AppData\Local\Temp\OnboardLogs"\RTDC4012\*4012*201612151* &gt;&gt; 42719-slicedisagreementcheck.txt</v>
      </c>
    </row>
    <row r="24" spans="1:30" x14ac:dyDescent="0.25">
      <c r="A24" s="36">
        <v>42719.348182870373</v>
      </c>
      <c r="B24" s="31" t="s">
        <v>211</v>
      </c>
      <c r="C24" s="31" t="s">
        <v>560</v>
      </c>
      <c r="D24" s="31" t="s">
        <v>49</v>
      </c>
      <c r="E24" s="31" t="s">
        <v>201</v>
      </c>
      <c r="F24" s="47">
        <v>0</v>
      </c>
      <c r="G24" s="47">
        <v>32</v>
      </c>
      <c r="H24" s="47">
        <v>127</v>
      </c>
      <c r="I24" s="47">
        <v>114</v>
      </c>
      <c r="J24" s="31" t="s">
        <v>202</v>
      </c>
      <c r="K24" s="47">
        <v>1</v>
      </c>
      <c r="L24" s="154" t="s">
        <v>51</v>
      </c>
      <c r="M24" s="155">
        <f t="shared" si="0"/>
        <v>59.664000000000001</v>
      </c>
      <c r="N24" s="156" t="str">
        <f>VLOOKUP(C24,'Trips&amp;Operators'!$C$1:$G$99999,5,FALSE)</f>
        <v>STARKS ANGELINA</v>
      </c>
      <c r="O24" s="182" t="s">
        <v>196</v>
      </c>
      <c r="P24" s="157"/>
      <c r="Q24" s="31"/>
      <c r="R24" s="100" t="str">
        <f>VLOOKUP(C24,'Train Runs'!$A$13:$AE$9980,31,0)</f>
        <v>aws s3 cp s3://rtdc.mdm.uploadarchive.raw/RTDC4012/ "%USERPROFILE%\AppData\Local\Temp\OnboardLogs"\RTDC4012\2016-12-15 --exclude "*" --recursive --include "*20161215*" &amp; "%USERPROFILE%\Documents\GitHub\mrs-test-scripts\Headless Mode &amp; Sideloading\WalkAndUnGZ.bat" "%USERPROFILE%\AppData\Local\Temp\OnboardLogs"\RTDC4012\2016-12-15 &amp; aws s3 cp s3://rtdc.mdm.uploadarchive.raw/RTDC4012/ "%USERPROFILE%\AppData\Local\Temp\OnboardLogs"\RTDC4012\2016-12-16 --exclude "*" --recursive --include "*20161216*" &amp; "%USERPROFILE%\Documents\GitHub\mrs-test-scripts\Headless Mode &amp; Sideloading\WalkAndUnGZ.bat" "%USERPROFILE%\AppData\Local\Temp\OnboardLogs"\RTDC4012\2016-12-16</v>
      </c>
      <c r="S24" s="103" t="str">
        <f>VLOOKUP(C24,'Train Runs'!$A$13:$AE$9980,22,0)</f>
        <v>https://search-rtdc-monitor-bjffxe2xuh6vdkpspy63sjmuny.us-east-1.es.amazonaws.com/_plugin/kibana/#/discover/Steve-Slow-Train-Analysis-(2080s-and-2083s)?_g=(refreshInterval:(display:Off,section:0,value:0),time:(from:'2016-12-15 06:37:50-700',mode:absolute,to:'2016-12-15 09:21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24" s="105" t="str">
        <f t="shared" si="1"/>
        <v>"C:\Program Files (x86)\AstroGrep\AstroGrep.exe" /spath="%USERPROFILE%\AppData\Local\Temp\OnboardLogs" /stypes="*4012*201612151*" /stext=" 15:.+((SYSTEM_STATE.+slice.+state.+changed )|(ment ac)|(multiple cpu faults)|(system.+state.+changed )|(\[timeout)|(PRM\|1\|D)|(kpr)|(kdp)|(\|lc)|(penalty))" /e /r /s</v>
      </c>
      <c r="U24" s="9" t="str">
        <f t="shared" si="2"/>
        <v>4012</v>
      </c>
      <c r="V24" s="36">
        <f t="shared" si="3"/>
        <v>42719.639849537038</v>
      </c>
      <c r="W24" s="50" t="str">
        <f t="shared" si="4"/>
        <v>EC</v>
      </c>
      <c r="X24" s="50" t="str">
        <f t="shared" si="5"/>
        <v>KEEP</v>
      </c>
      <c r="Y24" s="119" t="str">
        <f t="shared" si="6"/>
        <v>echo {"issue":{"subject":"","project_id":79,"tracker_id":40,"status_id":1,"priority_id":2,"assigned_to_id":23,"start_date":"2016-12-15","description":"","custom_fields":[{"id":1,"name":"Subdivision","value":"EC"},{"id":4,"name":"Milepost","value":"0.0001"},{"id":17,"name":"Train ID","value":"126-15"},{"id":16,"name":"Locomotive ID","value":"4012"},{"id":130,"name":"Impact","value":""},{"id":150,"name":"Time of Event (Mountain Time)","value":"08:21:23"},{"id":151,"name":"Denver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53"/>
      <c r="AC24" s="138" t="str">
        <f t="shared" si="7"/>
        <v>grep -hSE -A100 "Enforcement Action" "%USERPROFILE%\AppData\Local\Temp\OnboardLogs"\RTDC4012\*4012*201612151* | grep -SE "((Enforcement Ac)|(PRM))" -</v>
      </c>
      <c r="AD24" s="1" t="str">
        <f>"grep -hSE ""Enforcement Action"" "&amp;search_path&amp;"\RTDC"&amp;U24&amp;"\*"&amp;U24&amp;"*"&amp;TEXT(A24-utc_offset/24,"YYYYMMDD")&amp;LEFT(TEXT(A24-utc_offset/24,"HH"),1)&amp;"* &gt;&gt; "&amp;Variables!$A$2&amp;"-slicedisagreementcheck.txt"</f>
        <v>grep -hSE "Enforcement Action" "%USERPROFILE%\AppData\Local\Temp\OnboardLogs"\RTDC4012\*4012*201612151* &gt;&gt; 42719-slicedisagreementcheck.txt</v>
      </c>
    </row>
    <row r="25" spans="1:30" x14ac:dyDescent="0.25">
      <c r="A25" s="36">
        <v>42719.452326388891</v>
      </c>
      <c r="B25" s="31" t="s">
        <v>555</v>
      </c>
      <c r="C25" s="31" t="s">
        <v>564</v>
      </c>
      <c r="D25" s="31" t="s">
        <v>49</v>
      </c>
      <c r="E25" s="31" t="s">
        <v>201</v>
      </c>
      <c r="F25" s="47">
        <v>0</v>
      </c>
      <c r="G25" s="47">
        <v>49</v>
      </c>
      <c r="H25" s="47">
        <v>139</v>
      </c>
      <c r="I25" s="47">
        <v>101</v>
      </c>
      <c r="J25" s="31" t="s">
        <v>202</v>
      </c>
      <c r="K25" s="47">
        <v>1</v>
      </c>
      <c r="L25" s="154" t="s">
        <v>51</v>
      </c>
      <c r="M25" s="155">
        <f t="shared" si="0"/>
        <v>52.8</v>
      </c>
      <c r="N25" s="156" t="str">
        <f>VLOOKUP(C25,'Trips&amp;Operators'!$C$1:$G$99999,5,FALSE)</f>
        <v>SPECTOR MICHAEL</v>
      </c>
      <c r="O25" s="182" t="s">
        <v>196</v>
      </c>
      <c r="P25" s="157"/>
      <c r="Q25" s="31"/>
      <c r="R25" s="100" t="str">
        <f>VLOOKUP(C25,'Train Runs'!$A$13:$AE$9980,31,0)</f>
        <v>aws s3 cp s3://rtdc.mdm.uploadarchive.raw/RTDC4010/ "%USERPROFILE%\AppData\Local\Temp\OnboardLogs"\RTDC4010\2016-12-15 --exclude "*" --recursive --include "*20161215*" &amp; "%USERPROFILE%\Documents\GitHub\mrs-test-scripts\Headless Mode &amp; Sideloading\WalkAndUnGZ.bat" "%USERPROFILE%\AppData\Local\Temp\OnboardLogs"\RTDC4010\2016-12-15 &amp; aws s3 cp s3://rtdc.mdm.uploadarchive.raw/RTDC4010/ "%USERPROFILE%\AppData\Local\Temp\OnboardLogs"\RTDC4010\2016-12-16 --exclude "*" --recursive --include "*20161216*" &amp; "%USERPROFILE%\Documents\GitHub\mrs-test-scripts\Headless Mode &amp; Sideloading\WalkAndUnGZ.bat" "%USERPROFILE%\AppData\Local\Temp\OnboardLogs"\RTDC4010\2016-12-16</v>
      </c>
      <c r="S25" s="103" t="str">
        <f>VLOOKUP(C25,'Train Runs'!$A$13:$AE$9980,22,0)</f>
        <v>https://search-rtdc-monitor-bjffxe2xuh6vdkpspy63sjmuny.us-east-1.es.amazonaws.com/_plugin/kibana/#/discover/Steve-Slow-Train-Analysis-(2080s-and-2083s)?_g=(refreshInterval:(display:Off,section:0,value:0),time:(from:'2016-12-15 09:04:37-700',mode:absolute,to:'2016-12-15 11:51:22-700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T25" s="105" t="str">
        <f t="shared" si="1"/>
        <v>"C:\Program Files (x86)\AstroGrep\AstroGrep.exe" /spath="%USERPROFILE%\AppData\Local\Temp\OnboardLogs" /stypes="*4010*201612151*" /stext=" 17:.+((SYSTEM_STATE.+slice.+state.+changed )|(ment ac)|(multiple cpu faults)|(system.+state.+changed )|(\[timeout)|(PRM\|1\|D)|(kpr)|(kdp)|(\|lc)|(penalty))" /e /r /s</v>
      </c>
      <c r="U25" s="9" t="str">
        <f t="shared" si="2"/>
        <v>4010</v>
      </c>
      <c r="V25" s="36">
        <f t="shared" si="3"/>
        <v>42719.743993055556</v>
      </c>
      <c r="W25" s="50" t="str">
        <f t="shared" si="4"/>
        <v>EC</v>
      </c>
      <c r="X25" s="50" t="str">
        <f t="shared" si="5"/>
        <v>KEEP</v>
      </c>
      <c r="Y25" s="119" t="str">
        <f t="shared" si="6"/>
        <v>echo {"issue":{"subject":"","project_id":79,"tracker_id":40,"status_id":1,"priority_id":2,"assigned_to_id":23,"start_date":"2016-12-15","description":"","custom_fields":[{"id":1,"name":"Subdivision","value":"EC"},{"id":4,"name":"Milepost","value":"0.0001"},{"id":17,"name":"Train ID","value":"146-15"},{"id":16,"name":"Locomotive ID","value":"4010"},{"id":130,"name":"Impact","value":""},{"id":150,"name":"Time of Event (Mountain Time)","value":"10:51:21"},{"id":151,"name":"Denver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53"/>
      <c r="AC25" s="138" t="str">
        <f t="shared" si="7"/>
        <v>grep -hSE -A100 "Enforcement Action" "%USERPROFILE%\AppData\Local\Temp\OnboardLogs"\RTDC4010\*4010*201612151* | grep -SE "((Enforcement Ac)|(PRM))" -</v>
      </c>
      <c r="AD25" s="1" t="str">
        <f>"grep -hSE ""Enforcement Action"" "&amp;search_path&amp;"\RTDC"&amp;U25&amp;"\*"&amp;U25&amp;"*"&amp;TEXT(A25-utc_offset/24,"YYYYMMDD")&amp;LEFT(TEXT(A25-utc_offset/24,"HH"),1)&amp;"* &gt;&gt; "&amp;Variables!$A$2&amp;"-slicedisagreementcheck.txt"</f>
        <v>grep -hSE "Enforcement Action" "%USERPROFILE%\AppData\Local\Temp\OnboardLogs"\RTDC4010\*4010*201612151* &gt;&gt; 42719-slicedisagreementcheck.txt</v>
      </c>
    </row>
    <row r="26" spans="1:30" x14ac:dyDescent="0.25">
      <c r="A26" s="36">
        <v>42719.589548611111</v>
      </c>
      <c r="B26" s="31" t="s">
        <v>277</v>
      </c>
      <c r="C26" s="31" t="s">
        <v>569</v>
      </c>
      <c r="D26" s="31" t="s">
        <v>49</v>
      </c>
      <c r="E26" s="31" t="s">
        <v>201</v>
      </c>
      <c r="F26" s="47">
        <v>0</v>
      </c>
      <c r="G26" s="47">
        <v>52</v>
      </c>
      <c r="H26" s="47">
        <v>176</v>
      </c>
      <c r="I26" s="47">
        <v>130</v>
      </c>
      <c r="J26" s="31" t="s">
        <v>202</v>
      </c>
      <c r="K26" s="47">
        <v>1</v>
      </c>
      <c r="L26" s="154" t="s">
        <v>51</v>
      </c>
      <c r="M26" s="155">
        <f t="shared" si="0"/>
        <v>68.111999999999995</v>
      </c>
      <c r="N26" s="156" t="str">
        <f>VLOOKUP(C26,'Trips&amp;Operators'!$C$1:$G$99999,5,FALSE)</f>
        <v>YANG JAN</v>
      </c>
      <c r="O26" s="182" t="s">
        <v>196</v>
      </c>
      <c r="P26" s="157"/>
      <c r="Q26" s="31"/>
      <c r="R26" s="100" t="str">
        <f>VLOOKUP(C26,'Train Runs'!$A$13:$AE$9980,31,0)</f>
        <v>aws s3 cp s3://rtdc.mdm.uploadarchive.raw/RTDC4015/ "%USERPROFILE%\AppData\Local\Temp\OnboardLogs"\RTDC4015\2016-12-15 --exclude "*" --recursive --include "*20161215*" &amp; "%USERPROFILE%\Documents\GitHub\mrs-test-scripts\Headless Mode &amp; Sideloading\WalkAndUnGZ.bat" "%USERPROFILE%\AppData\Local\Temp\OnboardLogs"\RTDC4015\2016-12-15 &amp; aws s3 cp s3://rtdc.mdm.uploadarchive.raw/RTDC4015/ "%USERPROFILE%\AppData\Local\Temp\OnboardLogs"\RTDC4015\2016-12-16 --exclude "*" --recursive --include "*20161216*" &amp; "%USERPROFILE%\Documents\GitHub\mrs-test-scripts\Headless Mode &amp; Sideloading\WalkAndUnGZ.bat" "%USERPROFILE%\AppData\Local\Temp\OnboardLogs"\RTDC4015\2016-12-16</v>
      </c>
      <c r="S26" s="103" t="str">
        <f>VLOOKUP(C26,'Train Runs'!$A$13:$AE$9980,22,0)</f>
        <v>https://search-rtdc-monitor-bjffxe2xuh6vdkpspy63sjmuny.us-east-1.es.amazonaws.com/_plugin/kibana/#/discover/Steve-Slow-Train-Analysis-(2080s-and-2083s)?_g=(refreshInterval:(display:Off,section:0,value:0),time:(from:'2016-12-15 12:14:35-700',mode:absolute,to:'2016-12-15 15:08:56-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26" s="105" t="str">
        <f t="shared" si="1"/>
        <v>"C:\Program Files (x86)\AstroGrep\AstroGrep.exe" /spath="%USERPROFILE%\AppData\Local\Temp\OnboardLogs" /stypes="*4015*201612152*" /stext=" 21:.+((SYSTEM_STATE.+slice.+state.+changed )|(ment ac)|(multiple cpu faults)|(system.+state.+changed )|(\[timeout)|(PRM\|1\|D)|(kpr)|(kdp)|(\|lc)|(penalty))" /e /r /s</v>
      </c>
      <c r="U26" s="9" t="str">
        <f t="shared" si="2"/>
        <v>4015</v>
      </c>
      <c r="V26" s="36">
        <f t="shared" si="3"/>
        <v>42719.881215277775</v>
      </c>
      <c r="W26" s="50" t="str">
        <f t="shared" si="4"/>
        <v>EC</v>
      </c>
      <c r="X26" s="50" t="str">
        <f t="shared" si="5"/>
        <v>KEEP</v>
      </c>
      <c r="Y26" s="119" t="str">
        <f t="shared" si="6"/>
        <v>echo {"issue":{"subject":"","project_id":79,"tracker_id":40,"status_id":1,"priority_id":2,"assigned_to_id":23,"start_date":"2016-12-15","description":"","custom_fields":[{"id":1,"name":"Subdivision","value":"EC"},{"id":4,"name":"Milepost","value":"0.0001"},{"id":17,"name":"Train ID","value":"172-15"},{"id":16,"name":"Locomotive ID","value":"4015"},{"id":130,"name":"Impact","value":""},{"id":150,"name":"Time of Event (Mountain Time)","value":"14:08:57"},{"id":151,"name":"Denver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53"/>
      <c r="AC26" s="138" t="str">
        <f t="shared" si="7"/>
        <v>grep -hSE -A100 "Enforcement Action" "%USERPROFILE%\AppData\Local\Temp\OnboardLogs"\RTDC4015\*4015*201612152* | grep -SE "((Enforcement Ac)|(PRM))" -</v>
      </c>
      <c r="AD26" s="1" t="str">
        <f>"grep -hSE ""Enforcement Action"" "&amp;search_path&amp;"\RTDC"&amp;U26&amp;"\*"&amp;U26&amp;"*"&amp;TEXT(A26-utc_offset/24,"YYYYMMDD")&amp;LEFT(TEXT(A26-utc_offset/24,"HH"),1)&amp;"* &gt;&gt; "&amp;Variables!$A$2&amp;"-slicedisagreementcheck.txt"</f>
        <v>grep -hSE "Enforcement Action" "%USERPROFILE%\AppData\Local\Temp\OnboardLogs"\RTDC4015\*4015*201612152* &gt;&gt; 42719-slicedisagreementcheck.txt</v>
      </c>
    </row>
    <row r="27" spans="1:30" ht="15" customHeight="1" x14ac:dyDescent="0.25">
      <c r="A27" s="36">
        <v>42719.327291666668</v>
      </c>
      <c r="B27" s="31" t="s">
        <v>250</v>
      </c>
      <c r="C27" s="31" t="s">
        <v>558</v>
      </c>
      <c r="D27" s="31" t="s">
        <v>49</v>
      </c>
      <c r="E27" s="31" t="s">
        <v>201</v>
      </c>
      <c r="F27" s="47">
        <v>0</v>
      </c>
      <c r="G27" s="47">
        <v>81</v>
      </c>
      <c r="H27" s="47">
        <v>233215</v>
      </c>
      <c r="I27" s="47">
        <v>233266</v>
      </c>
      <c r="J27" s="31" t="s">
        <v>202</v>
      </c>
      <c r="K27" s="47">
        <v>233491</v>
      </c>
      <c r="L27" s="154" t="s">
        <v>50</v>
      </c>
      <c r="M27" s="155">
        <f t="shared" si="0"/>
        <v>118.8</v>
      </c>
      <c r="N27" s="156" t="str">
        <f>VLOOKUP(C27,'Trips&amp;Operators'!$C$1:$G$99999,5,FALSE)</f>
        <v>SANTIZO D. EDY</v>
      </c>
      <c r="O27" s="182" t="s">
        <v>196</v>
      </c>
      <c r="P27" s="157"/>
      <c r="Q27" s="31"/>
      <c r="R27" s="100" t="str">
        <f>VLOOKUP(C27,'Train Runs'!$A$13:$AE$9980,31,0)</f>
        <v>aws s3 cp s3://rtdc.mdm.uploadarchive.raw/RTDC4016/ "%USERPROFILE%\AppData\Local\Temp\OnboardLogs"\RTDC4016\2016-12-15 --exclude "*" --recursive --include "*20161215*" &amp; "%USERPROFILE%\Documents\GitHub\mrs-test-scripts\Headless Mode &amp; Sideloading\WalkAndUnGZ.bat" "%USERPROFILE%\AppData\Local\Temp\OnboardLogs"\RTDC4016\2016-12-15 &amp; aws s3 cp s3://rtdc.mdm.uploadarchive.raw/RTDC4016/ "%USERPROFILE%\AppData\Local\Temp\OnboardLogs"\RTDC4016\2016-12-16 --exclude "*" --recursive --include "*20161216*" &amp; "%USERPROFILE%\Documents\GitHub\mrs-test-scripts\Headless Mode &amp; Sideloading\WalkAndUnGZ.bat" "%USERPROFILE%\AppData\Local\Temp\OnboardLogs"\RTDC4016\2016-12-16</v>
      </c>
      <c r="S27" s="103" t="str">
        <f>VLOOKUP(C27,'Train Runs'!$A$13:$AE$9980,22,0)</f>
        <v>https://search-rtdc-monitor-bjffxe2xuh6vdkpspy63sjmuny.us-east-1.es.amazonaws.com/_plugin/kibana/#/discover/Steve-Slow-Train-Analysis-(2080s-and-2083s)?_g=(refreshInterval:(display:Off,section:0,value:0),time:(from:'2016-12-15 06:09:59-700',mode:absolute,to:'2016-12-15 08:51:19-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T27" s="105" t="str">
        <f t="shared" si="1"/>
        <v>"C:\Program Files (x86)\AstroGrep\AstroGrep.exe" /spath="%USERPROFILE%\AppData\Local\Temp\OnboardLogs" /stypes="*4016*201612151*" /stext=" 14:.+((SYSTEM_STATE.+slice.+state.+changed )|(ment ac)|(multiple cpu faults)|(system.+state.+changed )|(\[timeout)|(PRM\|1\|D)|(kpr)|(kdp)|(\|lc)|(penalty))" /e /r /s</v>
      </c>
      <c r="U27" s="9" t="str">
        <f t="shared" si="2"/>
        <v>4016</v>
      </c>
      <c r="V27" s="36">
        <f t="shared" si="3"/>
        <v>42719.618958333333</v>
      </c>
      <c r="W27" s="50" t="str">
        <f t="shared" si="4"/>
        <v>EC</v>
      </c>
      <c r="X27" s="50" t="str">
        <f t="shared" si="5"/>
        <v>KEEP</v>
      </c>
      <c r="Y27" s="119" t="str">
        <f t="shared" si="6"/>
        <v>echo {"issue":{"subject":"","project_id":79,"tracker_id":40,"status_id":1,"priority_id":2,"assigned_to_id":23,"start_date":"2016-12-15","description":"","custom_fields":[{"id":1,"name":"Subdivision","value":"EC"},{"id":4,"name":"Milepost","value":"23.3491"},{"id":17,"name":"Train ID","value":"129-15"},{"id":16,"name":"Locomotive ID","value":"4016"},{"id":130,"name":"Impact","value":""},{"id":150,"name":"Time of Event (Mountain Time)","value":"07:51:18"},{"id":151,"name":"Denver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53"/>
      <c r="AC27" s="138" t="str">
        <f t="shared" si="7"/>
        <v>grep -hSE -A100 "Enforcement Action" "%USERPROFILE%\AppData\Local\Temp\OnboardLogs"\RTDC4016\*4016*201612151* | grep -SE "((Enforcement Ac)|(PRM))" -</v>
      </c>
      <c r="AD27" s="1" t="str">
        <f>"grep -hSE ""Enforcement Action"" "&amp;search_path&amp;"\RTDC"&amp;U27&amp;"\*"&amp;U27&amp;"*"&amp;TEXT(A27-utc_offset/24,"YYYYMMDD")&amp;LEFT(TEXT(A27-utc_offset/24,"HH"),1)&amp;"* &gt;&gt; "&amp;Variables!$A$2&amp;"-slicedisagreementcheck.txt"</f>
        <v>grep -hSE "Enforcement Action" "%USERPROFILE%\AppData\Local\Temp\OnboardLogs"\RTDC4016\*4016*201612151* &gt;&gt; 42719-slicedisagreementcheck.txt</v>
      </c>
    </row>
    <row r="28" spans="1:30" ht="15" customHeight="1" x14ac:dyDescent="0.25">
      <c r="A28" s="36">
        <v>42719.355405092596</v>
      </c>
      <c r="B28" s="31" t="s">
        <v>236</v>
      </c>
      <c r="C28" s="31" t="s">
        <v>562</v>
      </c>
      <c r="D28" s="31" t="s">
        <v>49</v>
      </c>
      <c r="E28" s="31" t="s">
        <v>197</v>
      </c>
      <c r="F28" s="47">
        <v>150</v>
      </c>
      <c r="G28" s="47">
        <v>250</v>
      </c>
      <c r="H28" s="47">
        <v>56642</v>
      </c>
      <c r="I28" s="47">
        <v>57098</v>
      </c>
      <c r="J28" s="31" t="s">
        <v>198</v>
      </c>
      <c r="K28" s="47">
        <v>57008</v>
      </c>
      <c r="L28" s="154" t="s">
        <v>50</v>
      </c>
      <c r="M28" s="155">
        <f t="shared" si="0"/>
        <v>-47.52</v>
      </c>
      <c r="N28" s="156" t="str">
        <f>VLOOKUP(C28,'Trips&amp;Operators'!$C$1:$G$99999,5,FALSE)</f>
        <v>GEBRETEKLE DAGNEW</v>
      </c>
      <c r="O28" s="182" t="s">
        <v>196</v>
      </c>
      <c r="P28" s="157"/>
      <c r="Q28" s="31"/>
      <c r="R28" s="100" t="str">
        <f>VLOOKUP(C28,'Train Runs'!$A$13:$AE$9980,31,0)</f>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S28" s="103" t="str">
        <f>VLOOKUP(C28,'Train Runs'!$A$13:$AE$9980,22,0)</f>
        <v>https://search-rtdc-monitor-bjffxe2xuh6vdkpspy63sjmuny.us-east-1.es.amazonaws.com/_plugin/kibana/#/discover/Steve-Slow-Train-Analysis-(2080s-and-2083s)?_g=(refreshInterval:(display:Off,section:0,value:0),time:(from:'2016-12-15 06:58:55-700',mode:absolute,to:'2016-12-15 09:34:21-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28" s="105" t="str">
        <f t="shared" si="1"/>
        <v>"C:\Program Files (x86)\AstroGrep\AstroGrep.exe" /spath="%USERPROFILE%\AppData\Local\Temp\OnboardLogs" /stypes="*4042*201612151*" /stext=" 15:.+((SYSTEM_STATE.+slice.+state.+changed )|(ment ac)|(multiple cpu faults)|(system.+state.+changed )|(\[timeout)|(PRM\|1\|D)|(kpr)|(kdp)|(\|lc)|(penalty))" /e /r /s</v>
      </c>
      <c r="U28" s="9" t="str">
        <f t="shared" si="2"/>
        <v>4042</v>
      </c>
      <c r="V28" s="36">
        <f t="shared" si="3"/>
        <v>42719.64707175926</v>
      </c>
      <c r="W28" s="50" t="str">
        <f t="shared" si="4"/>
        <v>NW</v>
      </c>
      <c r="X28" s="50" t="str">
        <f t="shared" si="5"/>
        <v>KEEP</v>
      </c>
      <c r="Y28" s="119" t="str">
        <f t="shared" si="6"/>
        <v>echo {"issue":{"subject":"","project_id":79,"tracker_id":40,"status_id":1,"priority_id":2,"assigned_to_id":23,"start_date":"2016-12-15","description":"","custom_fields":[{"id":1,"name":"Subdivision","value":"NW"},{"id":4,"name":"Milepost","value":"5.7008"},{"id":17,"name":"Train ID","value":"811-15"},{"id":16,"name":"Locomotive ID","value":"4042"},{"id":130,"name":"Impact","value":""},{"id":150,"name":"Time of Event (Mountain Time)","value":"08:31:47"},{"id":151,"name":"Denver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53"/>
      <c r="AC28" s="138" t="str">
        <f t="shared" si="7"/>
        <v>grep -hSE -A100 "Enforcement Action" "%USERPROFILE%\AppData\Local\Temp\OnboardLogs"\RTDC4042\*4042*201612151* | grep -SE "((Enforcement Ac)|(PRM))" -</v>
      </c>
      <c r="AD28" s="1" t="str">
        <f>"grep -hSE ""Enforcement Action"" "&amp;search_path&amp;"\RTDC"&amp;U28&amp;"\*"&amp;U28&amp;"*"&amp;TEXT(A28-utc_offset/24,"YYYYMMDD")&amp;LEFT(TEXT(A28-utc_offset/24,"HH"),1)&amp;"* &gt;&gt; "&amp;Variables!$A$2&amp;"-slicedisagreementcheck.txt"</f>
        <v>grep -hSE "Enforcement Action" "%USERPROFILE%\AppData\Local\Temp\OnboardLogs"\RTDC4042\*4042*201612151* &gt;&gt; 42719-slicedisagreementcheck.txt</v>
      </c>
    </row>
    <row r="29" spans="1:30" x14ac:dyDescent="0.25">
      <c r="A29" s="36">
        <v>42719.521967592591</v>
      </c>
      <c r="B29" s="31" t="s">
        <v>236</v>
      </c>
      <c r="C29" s="31" t="s">
        <v>566</v>
      </c>
      <c r="D29" s="31" t="s">
        <v>49</v>
      </c>
      <c r="E29" s="31" t="s">
        <v>197</v>
      </c>
      <c r="F29" s="47">
        <v>150</v>
      </c>
      <c r="G29" s="47">
        <v>275</v>
      </c>
      <c r="H29" s="47">
        <v>56500</v>
      </c>
      <c r="I29" s="47">
        <v>56883</v>
      </c>
      <c r="J29" s="31" t="s">
        <v>198</v>
      </c>
      <c r="K29" s="47">
        <v>57008</v>
      </c>
      <c r="L29" s="154" t="s">
        <v>50</v>
      </c>
      <c r="M29" s="155">
        <f t="shared" si="0"/>
        <v>66</v>
      </c>
      <c r="N29" s="156" t="str">
        <f>VLOOKUP(C29,'Trips&amp;Operators'!$C$1:$G$99999,5,FALSE)</f>
        <v>GEBRETEKLE DAGNEW</v>
      </c>
      <c r="O29" s="182" t="s">
        <v>196</v>
      </c>
      <c r="P29" s="157"/>
      <c r="Q29" s="31"/>
      <c r="R29" s="100" t="str">
        <f>VLOOKUP(C29,'Train Runs'!$A$13:$AE$9980,31,0)</f>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S29" s="103" t="str">
        <f>VLOOKUP(C29,'Train Runs'!$A$13:$AE$9980,22,0)</f>
        <v>https://search-rtdc-monitor-bjffxe2xuh6vdkpspy63sjmuny.us-east-1.es.amazonaws.com/_plugin/kibana/#/discover/Steve-Slow-Train-Analysis-(2080s-and-2083s)?_g=(refreshInterval:(display:Off,section:0,value:0),time:(from:'2016-12-15 11:02:36-700',mode:absolute,to:'2016-12-15 13:34:31-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29" s="105" t="str">
        <f t="shared" si="1"/>
        <v>"C:\Program Files (x86)\AstroGrep\AstroGrep.exe" /spath="%USERPROFILE%\AppData\Local\Temp\OnboardLogs" /stypes="*4042*201612151*" /stext=" 19:.+((SYSTEM_STATE.+slice.+state.+changed )|(ment ac)|(multiple cpu faults)|(system.+state.+changed )|(\[timeout)|(PRM\|1\|D)|(kpr)|(kdp)|(\|lc)|(penalty))" /e /r /s</v>
      </c>
      <c r="U29" s="9" t="str">
        <f t="shared" si="2"/>
        <v>4042</v>
      </c>
      <c r="V29" s="36">
        <f t="shared" si="3"/>
        <v>42719.813634259255</v>
      </c>
      <c r="W29" s="50" t="str">
        <f t="shared" si="4"/>
        <v>NW</v>
      </c>
      <c r="X29" s="50" t="str">
        <f t="shared" si="5"/>
        <v>KEEP</v>
      </c>
      <c r="Y29" s="119" t="str">
        <f t="shared" si="6"/>
        <v>echo {"issue":{"subject":"","project_id":79,"tracker_id":40,"status_id":1,"priority_id":2,"assigned_to_id":23,"start_date":"2016-12-15","description":"","custom_fields":[{"id":1,"name":"Subdivision","value":"NW"},{"id":4,"name":"Milepost","value":"5.7008"},{"id":17,"name":"Train ID","value":"819-15"},{"id":16,"name":"Locomotive ID","value":"4042"},{"id":130,"name":"Impact","value":""},{"id":150,"name":"Time of Event (Mountain Time)","value":"12:31:38"},{"id":151,"name":"Denver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53"/>
      <c r="AC29" s="138" t="str">
        <f t="shared" si="7"/>
        <v>grep -hSE -A100 "Enforcement Action" "%USERPROFILE%\AppData\Local\Temp\OnboardLogs"\RTDC4042\*4042*201612151* | grep -SE "((Enforcement Ac)|(PRM))" -</v>
      </c>
      <c r="AD29" s="1" t="str">
        <f>"grep -hSE ""Enforcement Action"" "&amp;search_path&amp;"\RTDC"&amp;U29&amp;"\*"&amp;U29&amp;"*"&amp;TEXT(A29-utc_offset/24,"YYYYMMDD")&amp;LEFT(TEXT(A29-utc_offset/24,"HH"),1)&amp;"* &gt;&gt; "&amp;Variables!$A$2&amp;"-slicedisagreementcheck.txt"</f>
        <v>grep -hSE "Enforcement Action" "%USERPROFILE%\AppData\Local\Temp\OnboardLogs"\RTDC4042\*4042*201612151* &gt;&gt; 42719-slicedisagreementcheck.txt</v>
      </c>
    </row>
    <row r="30" spans="1:30" x14ac:dyDescent="0.25">
      <c r="A30" s="36">
        <v>42719.564074074071</v>
      </c>
      <c r="B30" s="31" t="s">
        <v>236</v>
      </c>
      <c r="C30" s="31" t="s">
        <v>567</v>
      </c>
      <c r="D30" s="31" t="s">
        <v>49</v>
      </c>
      <c r="E30" s="31" t="s">
        <v>197</v>
      </c>
      <c r="F30" s="47">
        <v>150</v>
      </c>
      <c r="G30" s="47">
        <v>270</v>
      </c>
      <c r="H30" s="47">
        <v>56505</v>
      </c>
      <c r="I30" s="47">
        <v>56931</v>
      </c>
      <c r="J30" s="31" t="s">
        <v>198</v>
      </c>
      <c r="K30" s="47">
        <v>57008</v>
      </c>
      <c r="L30" s="154" t="s">
        <v>50</v>
      </c>
      <c r="M30" s="155">
        <f t="shared" si="0"/>
        <v>40.655999999999999</v>
      </c>
      <c r="N30" s="156" t="str">
        <f>VLOOKUP(C30,'Trips&amp;Operators'!$C$1:$G$99999,5,FALSE)</f>
        <v>DUNCAN SHEILA</v>
      </c>
      <c r="O30" s="182" t="s">
        <v>196</v>
      </c>
      <c r="P30" s="157"/>
      <c r="Q30" s="31"/>
      <c r="R30" s="100" t="str">
        <f>VLOOKUP(C30,'Train Runs'!$A$13:$AE$9980,31,0)</f>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S30" s="103" t="str">
        <f>VLOOKUP(C30,'Train Runs'!$A$13:$AE$9980,22,0)</f>
        <v>https://search-rtdc-monitor-bjffxe2xuh6vdkpspy63sjmuny.us-east-1.es.amazonaws.com/_plugin/kibana/#/discover/Steve-Slow-Train-Analysis-(2080s-and-2083s)?_g=(refreshInterval:(display:Off,section:0,value:0),time:(from:'2016-12-15 12:05:55-700',mode:absolute,to:'2016-12-15 14:35:11-700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0" s="105" t="str">
        <f t="shared" si="1"/>
        <v>"C:\Program Files (x86)\AstroGrep\AstroGrep.exe" /spath="%USERPROFILE%\AppData\Local\Temp\OnboardLogs" /stypes="*4042*201612152*" /stext=" 20:.+((SYSTEM_STATE.+slice.+state.+changed )|(ment ac)|(multiple cpu faults)|(system.+state.+changed )|(\[timeout)|(PRM\|1\|D)|(kpr)|(kdp)|(\|lc)|(penalty))" /e /r /s</v>
      </c>
      <c r="U30" s="9" t="str">
        <f t="shared" si="2"/>
        <v>4042</v>
      </c>
      <c r="V30" s="36">
        <f t="shared" si="3"/>
        <v>42719.855740740735</v>
      </c>
      <c r="W30" s="50" t="str">
        <f t="shared" si="4"/>
        <v>NW</v>
      </c>
      <c r="X30" s="50" t="str">
        <f t="shared" si="5"/>
        <v>KEEP</v>
      </c>
      <c r="Y30" s="119" t="str">
        <f t="shared" si="6"/>
        <v>echo {"issue":{"subject":"","project_id":79,"tracker_id":40,"status_id":1,"priority_id":2,"assigned_to_id":23,"start_date":"2016-12-15","description":"","custom_fields":[{"id":1,"name":"Subdivision","value":"NW"},{"id":4,"name":"Milepost","value":"5.7008"},{"id":17,"name":"Train ID","value":"821-15"},{"id":16,"name":"Locomotive ID","value":"4042"},{"id":130,"name":"Impact","value":""},{"id":150,"name":"Time of Event (Mountain Time)","value":"13:32:16"},{"id":151,"name":"Denver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53"/>
      <c r="AC30" s="138" t="str">
        <f t="shared" si="7"/>
        <v>grep -hSE -A100 "Enforcement Action" "%USERPROFILE%\AppData\Local\Temp\OnboardLogs"\RTDC4042\*4042*201612152* | grep -SE "((Enforcement Ac)|(PRM))" -</v>
      </c>
      <c r="AD30" s="1" t="str">
        <f>"grep -hSE ""Enforcement Action"" "&amp;search_path&amp;"\RTDC"&amp;U30&amp;"\*"&amp;U30&amp;"*"&amp;TEXT(A30-utc_offset/24,"YYYYMMDD")&amp;LEFT(TEXT(A30-utc_offset/24,"HH"),1)&amp;"* &gt;&gt; "&amp;Variables!$A$2&amp;"-slicedisagreementcheck.txt"</f>
        <v>grep -hSE "Enforcement Action" "%USERPROFILE%\AppData\Local\Temp\OnboardLogs"\RTDC4042\*4042*201612152* &gt;&gt; 42719-slicedisagreementcheck.txt</v>
      </c>
    </row>
    <row r="31" spans="1:30" x14ac:dyDescent="0.25">
      <c r="A31" s="36">
        <v>42719.682349537034</v>
      </c>
      <c r="B31" s="31" t="s">
        <v>155</v>
      </c>
      <c r="C31" s="31" t="s">
        <v>573</v>
      </c>
      <c r="D31" s="31" t="s">
        <v>98</v>
      </c>
      <c r="E31" s="31" t="s">
        <v>199</v>
      </c>
      <c r="F31" s="47">
        <v>200</v>
      </c>
      <c r="G31" s="47">
        <v>256</v>
      </c>
      <c r="H31" s="47">
        <v>9342</v>
      </c>
      <c r="I31" s="47">
        <v>8684</v>
      </c>
      <c r="J31" s="31" t="s">
        <v>200</v>
      </c>
      <c r="K31" s="47">
        <v>9680</v>
      </c>
      <c r="L31" s="154" t="s">
        <v>51</v>
      </c>
      <c r="M31" s="155">
        <f t="shared" si="0"/>
        <v>-525.88800000000003</v>
      </c>
      <c r="N31" s="156" t="str">
        <f>VLOOKUP(C31,'Trips&amp;Operators'!$C$1:$G$99999,5,FALSE)</f>
        <v>SIMMONS SHYHESHA</v>
      </c>
      <c r="O31" s="182" t="s">
        <v>196</v>
      </c>
      <c r="P31" s="157" t="s">
        <v>981</v>
      </c>
      <c r="Q31" s="31"/>
      <c r="R31" s="100" t="str">
        <f>VLOOKUP(C31,'Train Runs'!$A$13:$AE$9980,31,0)</f>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S31" s="103" t="str">
        <f>VLOOKUP(C31,'Train Runs'!$A$13:$AE$9980,22,0)</f>
        <v>https://search-rtdc-monitor-bjffxe2xuh6vdkpspy63sjmuny.us-east-1.es.amazonaws.com/_plugin/kibana/#/discover/Steve-Slow-Train-Analysis-(2080s-and-2083s)?_g=(refreshInterval:(display:Off,section:0,value:0),time:(from:'2016-12-15 15:08:07-700',mode:absolute,to:'2016-12-15 17:26:19-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T31" s="105" t="str">
        <f t="shared" si="1"/>
        <v>"C:\Program Files (x86)\AstroGrep\AstroGrep.exe" /spath="%USERPROFILE%\AppData\Local\Temp\OnboardLogs" /stypes="*4052*201612152*" /stext=" 23:.+((SYSTEM_STATE.+slice.+state.+changed )|(ment ac)|(multiple cpu faults)|(system.+state.+changed )|(\[timeout)|(PRM\|1\|D)|(kpr)|(kdp)|(\|lc)|(penalty))" /e /r /s</v>
      </c>
      <c r="U31" s="9" t="str">
        <f t="shared" si="2"/>
        <v>4052</v>
      </c>
      <c r="V31" s="36">
        <f t="shared" si="3"/>
        <v>42719.974016203698</v>
      </c>
      <c r="W31" s="50" t="str">
        <f t="shared" si="4"/>
        <v>NW</v>
      </c>
      <c r="X31" s="50" t="str">
        <f t="shared" si="5"/>
        <v>KEEP</v>
      </c>
      <c r="Y31" s="119" t="str">
        <f t="shared" si="6"/>
        <v>echo {"issue":{"subject":"Overspeed (RESTRICTED aspect)","project_id":79,"tracker_id":40,"status_id":1,"priority_id":2,"assigned_to_id":23,"start_date":"2016-12-15","description":"","custom_fields":[{"id":1,"name":"Subdivision","value":"NW"},{"id":4,"name":"Milepost","value":"0.968"},{"id":17,"name":"Train ID","value":"828-15"},{"id":16,"name":"Locomotive ID","value":"4052"},{"id":130,"name":"Impact","value":""},{"id":150,"name":"Time of Event (Mountain Time)","value":"16:22:35"},{"id":151,"name":"Denver Issue ID","value":""},{"id":178,"name":"Operational Impact","value":"Yes"},{"id":179,"name":"Denver Segment Assigned","value":""}]}} | curl -X POST -H "Content-Type: application/json" -H "X-Redmine-API-Key: d6333d4a04012a730768444271f8ca06482dae87" https://secure.xorail.net/redmine/issues.json --data @-</v>
      </c>
      <c r="Z31" s="53"/>
      <c r="AA31" s="53"/>
      <c r="AB31" s="53"/>
      <c r="AC31" s="138" t="str">
        <f t="shared" si="7"/>
        <v>grep -hSE -A100 "Enforcement Action" "%USERPROFILE%\AppData\Local\Temp\OnboardLogs"\RTDC4052\*4052*201612152* | grep -SE "((Enforcement Ac)|(PRM))" -</v>
      </c>
      <c r="AD31" s="1" t="str">
        <f>"grep -hSE ""Enforcement Action"" "&amp;search_path&amp;"\RTDC"&amp;U31&amp;"\*"&amp;U31&amp;"*"&amp;TEXT(A31-utc_offset/24,"YYYYMMDD")&amp;LEFT(TEXT(A31-utc_offset/24,"HH"),1)&amp;"* &gt;&gt; "&amp;Variables!$A$2&amp;"-slicedisagreementcheck.txt"</f>
        <v>grep -hSE "Enforcement Action" "%USERPROFILE%\AppData\Local\Temp\OnboardLogs"\RTDC4052\*4052*201612152* &gt;&gt; 42719-slicedisagreementcheck.txt</v>
      </c>
    </row>
    <row r="32" spans="1:30" x14ac:dyDescent="0.25">
      <c r="A32" s="36">
        <v>42719.684953703705</v>
      </c>
      <c r="B32" s="31" t="s">
        <v>155</v>
      </c>
      <c r="C32" s="31" t="s">
        <v>573</v>
      </c>
      <c r="D32" s="31" t="s">
        <v>49</v>
      </c>
      <c r="E32" s="31" t="s">
        <v>201</v>
      </c>
      <c r="F32" s="47">
        <v>0</v>
      </c>
      <c r="G32" s="47">
        <v>60</v>
      </c>
      <c r="H32" s="47">
        <v>759</v>
      </c>
      <c r="I32" s="47">
        <v>717</v>
      </c>
      <c r="J32" s="31" t="s">
        <v>202</v>
      </c>
      <c r="K32" s="47">
        <v>575</v>
      </c>
      <c r="L32" s="154" t="s">
        <v>51</v>
      </c>
      <c r="M32" s="155">
        <f t="shared" si="0"/>
        <v>74.975999999999999</v>
      </c>
      <c r="N32" s="156" t="str">
        <f>VLOOKUP(C32,'Trips&amp;Operators'!$C$1:$G$99999,5,FALSE)</f>
        <v>SIMMONS SHYHESHA</v>
      </c>
      <c r="O32" s="182" t="s">
        <v>196</v>
      </c>
      <c r="P32" s="157"/>
      <c r="Q32" s="31"/>
      <c r="R32" s="100" t="str">
        <f>VLOOKUP(C32,'Train Runs'!$A$13:$AE$9980,31,0)</f>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S32" s="103" t="str">
        <f>VLOOKUP(C32,'Train Runs'!$A$13:$AE$9980,22,0)</f>
        <v>https://search-rtdc-monitor-bjffxe2xuh6vdkpspy63sjmuny.us-east-1.es.amazonaws.com/_plugin/kibana/#/discover/Steve-Slow-Train-Analysis-(2080s-and-2083s)?_g=(refreshInterval:(display:Off,section:0,value:0),time:(from:'2016-12-15 15:08:07-700',mode:absolute,to:'2016-12-15 17:26:19-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T32" s="105" t="str">
        <f t="shared" si="1"/>
        <v>"C:\Program Files (x86)\AstroGrep\AstroGrep.exe" /spath="%USERPROFILE%\AppData\Local\Temp\OnboardLogs" /stypes="*4052*201612152*" /stext=" 23:.+((SYSTEM_STATE.+slice.+state.+changed )|(ment ac)|(multiple cpu faults)|(system.+state.+changed )|(\[timeout)|(PRM\|1\|D)|(kpr)|(kdp)|(\|lc)|(penalty))" /e /r /s</v>
      </c>
      <c r="U32" s="9" t="str">
        <f t="shared" si="2"/>
        <v>4052</v>
      </c>
      <c r="V32" s="36">
        <f t="shared" si="3"/>
        <v>42719.976620370369</v>
      </c>
      <c r="W32" s="50" t="str">
        <f t="shared" si="4"/>
        <v>NW</v>
      </c>
      <c r="X32" s="50" t="str">
        <f t="shared" si="5"/>
        <v>KEEP</v>
      </c>
      <c r="Y32" s="119" t="str">
        <f t="shared" si="6"/>
        <v>echo {"issue":{"subject":"","project_id":79,"tracker_id":40,"status_id":1,"priority_id":2,"assigned_to_id":23,"start_date":"2016-12-15","description":"","custom_fields":[{"id":1,"name":"Subdivision","value":"NW"},{"id":4,"name":"Milepost","value":"0.0575"},{"id":17,"name":"Train ID","value":"828-15"},{"id":16,"name":"Locomotive ID","value":"4052"},{"id":130,"name":"Impact","value":""},{"id":150,"name":"Time of Event (Mountain Time)","value":"16:26:20"},{"id":151,"name":"Denver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53"/>
      <c r="AC32" s="138" t="str">
        <f t="shared" si="7"/>
        <v>grep -hSE -A100 "Enforcement Action" "%USERPROFILE%\AppData\Local\Temp\OnboardLogs"\RTDC4052\*4052*201612152* | grep -SE "((Enforcement Ac)|(PRM))" -</v>
      </c>
      <c r="AD32" s="1" t="str">
        <f>"grep -hSE ""Enforcement Action"" "&amp;search_path&amp;"\RTDC"&amp;U32&amp;"\*"&amp;U32&amp;"*"&amp;TEXT(A32-utc_offset/24,"YYYYMMDD")&amp;LEFT(TEXT(A32-utc_offset/24,"HH"),1)&amp;"* &gt;&gt; "&amp;Variables!$A$2&amp;"-slicedisagreementcheck.txt"</f>
        <v>grep -hSE "Enforcement Action" "%USERPROFILE%\AppData\Local\Temp\OnboardLogs"\RTDC4052\*4052*201612152* &gt;&gt; 42719-slicedisagreementcheck.txt</v>
      </c>
    </row>
    <row r="33" spans="1:30" x14ac:dyDescent="0.25">
      <c r="A33" s="36">
        <v>42719.747303240743</v>
      </c>
      <c r="B33" s="31" t="s">
        <v>237</v>
      </c>
      <c r="C33" s="31" t="s">
        <v>577</v>
      </c>
      <c r="D33" s="31" t="s">
        <v>49</v>
      </c>
      <c r="E33" s="31" t="s">
        <v>201</v>
      </c>
      <c r="F33" s="47">
        <v>0</v>
      </c>
      <c r="G33" s="47">
        <v>79</v>
      </c>
      <c r="H33" s="47">
        <v>846</v>
      </c>
      <c r="I33" s="47">
        <v>764</v>
      </c>
      <c r="J33" s="31" t="s">
        <v>202</v>
      </c>
      <c r="K33" s="47">
        <v>575</v>
      </c>
      <c r="L33" s="154" t="s">
        <v>51</v>
      </c>
      <c r="M33" s="155">
        <f t="shared" si="0"/>
        <v>99.792000000000002</v>
      </c>
      <c r="N33" s="156" t="str">
        <f>VLOOKUP(C33,'Trips&amp;Operators'!$C$1:$G$99999,5,FALSE)</f>
        <v>STORY SAMANTHA</v>
      </c>
      <c r="O33" s="182" t="s">
        <v>196</v>
      </c>
      <c r="P33" s="157"/>
      <c r="Q33" s="31"/>
      <c r="R33" s="100" t="str">
        <f>VLOOKUP(C33,'Train Runs'!$A$13:$AE$9980,31,0)</f>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S33" s="103" t="str">
        <f>VLOOKUP(C33,'Train Runs'!$A$13:$AE$9980,22,0)</f>
        <v>https://search-rtdc-monitor-bjffxe2xuh6vdkpspy63sjmuny.us-east-1.es.amazonaws.com/_plugin/kibana/#/discover/Steve-Slow-Train-Analysis-(2080s-and-2083s)?_g=(refreshInterval:(display:Off,section:0,value:0),time:(from:'2016-12-15 16:37:23-700',mode:absolute,to:'2016-12-15 18:56:08-700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3" s="105" t="str">
        <f t="shared" si="1"/>
        <v>"C:\Program Files (x86)\AstroGrep\AstroGrep.exe" /spath="%USERPROFILE%\AppData\Local\Temp\OnboardLogs" /stypes="*4041*201612160*" /stext=" 00:.+((SYSTEM_STATE.+slice.+state.+changed )|(ment ac)|(multiple cpu faults)|(system.+state.+changed )|(\[timeout)|(PRM\|1\|D)|(kpr)|(kdp)|(\|lc)|(penalty))" /e /r /s</v>
      </c>
      <c r="U33" s="9" t="str">
        <f t="shared" si="2"/>
        <v>4041</v>
      </c>
      <c r="V33" s="36">
        <f t="shared" si="3"/>
        <v>42720.038969907408</v>
      </c>
      <c r="W33" s="50" t="str">
        <f t="shared" si="4"/>
        <v>NW</v>
      </c>
      <c r="X33" s="50" t="str">
        <f t="shared" si="5"/>
        <v>KEEP</v>
      </c>
      <c r="Y33" s="119" t="str">
        <f t="shared" si="6"/>
        <v>echo {"issue":{"subject":"","project_id":79,"tracker_id":40,"status_id":1,"priority_id":2,"assigned_to_id":23,"start_date":"2016-12-15","description":"","custom_fields":[{"id":1,"name":"Subdivision","value":"NW"},{"id":4,"name":"Milepost","value":"0.0575"},{"id":17,"name":"Train ID","value":"834-15"},{"id":16,"name":"Locomotive ID","value":"4041"},{"id":130,"name":"Impact","value":""},{"id":150,"name":"Time of Event (Mountain Time)","value":"17:56:07"},{"id":151,"name":"Denver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53"/>
      <c r="AC33" s="138" t="str">
        <f t="shared" si="7"/>
        <v>grep -hSE -A100 "Enforcement Action" "%USERPROFILE%\AppData\Local\Temp\OnboardLogs"\RTDC4041\*4041*201612160* | grep -SE "((Enforcement Ac)|(PRM))" -</v>
      </c>
      <c r="AD33" s="1" t="str">
        <f>"grep -hSE ""Enforcement Action"" "&amp;search_path&amp;"\RTDC"&amp;U33&amp;"\*"&amp;U33&amp;"*"&amp;TEXT(A33-utc_offset/24,"YYYYMMDD")&amp;LEFT(TEXT(A33-utc_offset/24,"HH"),1)&amp;"* &gt;&gt; "&amp;Variables!$A$2&amp;"-slicedisagreementcheck.txt"</f>
        <v>grep -hSE "Enforcement Action" "%USERPROFILE%\AppData\Local\Temp\OnboardLogs"\RTDC4041\*4041*201612160* &gt;&gt; 42719-slicedisagreementcheck.txt</v>
      </c>
    </row>
    <row r="34" spans="1:30" x14ac:dyDescent="0.25">
      <c r="A34" s="36">
        <v>42719.901747685188</v>
      </c>
      <c r="B34" s="31" t="s">
        <v>237</v>
      </c>
      <c r="C34" s="31" t="s">
        <v>580</v>
      </c>
      <c r="D34" s="31" t="s">
        <v>49</v>
      </c>
      <c r="E34" s="31" t="s">
        <v>201</v>
      </c>
      <c r="F34" s="47">
        <v>0</v>
      </c>
      <c r="G34" s="47">
        <v>58</v>
      </c>
      <c r="H34" s="47">
        <v>57787</v>
      </c>
      <c r="I34" s="47">
        <v>57532</v>
      </c>
      <c r="J34" s="31" t="s">
        <v>202</v>
      </c>
      <c r="K34" s="47">
        <v>575</v>
      </c>
      <c r="L34" s="154" t="s">
        <v>51</v>
      </c>
      <c r="M34" s="155">
        <f t="shared" si="0"/>
        <v>30073.295999999998</v>
      </c>
      <c r="N34" s="156" t="str">
        <f>VLOOKUP(C34,'Trips&amp;Operators'!$C$1:$G$99999,5,FALSE)</f>
        <v>SIMMONS SHYHESHA</v>
      </c>
      <c r="O34" s="182" t="s">
        <v>196</v>
      </c>
      <c r="P34" s="157"/>
      <c r="Q34" s="31"/>
      <c r="R34" s="100" t="str">
        <f>VLOOKUP(C34,'Train Runs'!$A$13:$AE$9980,31,0)</f>
        <v>aws s3 cp s3://rtdc.mdm.uploadarchive.raw/RTDC4041/ "%USERPROFILE%\AppData\Local\Temp\OnboardLogs"\RTDC4041\2016-12-15 --exclude "*" --recursive --include "*20161215*" &amp; "%USERPROFILE%\Documents\GitHub\mrs-test-scripts\Headless Mode &amp; Sideloading\WalkAndUnGZ.bat" "%USERPROFILE%\AppData\Local\Temp\OnboardLogs"\RTDC4041\2016-12-15 &amp; aws s3 cp s3://rtdc.mdm.uploadarchive.raw/RTDC4041/ "%USERPROFILE%\AppData\Local\Temp\OnboardLogs"\RTDC4041\2016-12-16 --exclude "*" --recursive --include "*20161216*" &amp; "%USERPROFILE%\Documents\GitHub\mrs-test-scripts\Headless Mode &amp; Sideloading\WalkAndUnGZ.bat" "%USERPROFILE%\AppData\Local\Temp\OnboardLogs"\RTDC4041\2016-12-16</v>
      </c>
      <c r="S34" s="103" t="str">
        <f>VLOOKUP(C34,'Train Runs'!$A$13:$AE$9980,22,0)</f>
        <v>https://search-rtdc-monitor-bjffxe2xuh6vdkpspy63sjmuny.us-east-1.es.amazonaws.com/_plugin/kibana/#/discover/Steve-Slow-Train-Analysis-(2080s-and-2083s)?_g=(refreshInterval:(display:Off,section:0,value:0),time:(from:'2016-12-15 20:35:10-700',mode:absolute,to:'2016-12-15 22:54:13-700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4" s="105" t="str">
        <f t="shared" si="1"/>
        <v>"C:\Program Files (x86)\AstroGrep\AstroGrep.exe" /spath="%USERPROFILE%\AppData\Local\Temp\OnboardLogs" /stypes="*4041*201612160*" /stext=" 04:.+((SYSTEM_STATE.+slice.+state.+changed )|(ment ac)|(multiple cpu faults)|(system.+state.+changed )|(\[timeout)|(PRM\|1\|D)|(kpr)|(kdp)|(\|lc)|(penalty))" /e /r /s</v>
      </c>
      <c r="U34" s="9" t="str">
        <f t="shared" si="2"/>
        <v>4041</v>
      </c>
      <c r="V34" s="36">
        <f t="shared" si="3"/>
        <v>42720.193414351852</v>
      </c>
      <c r="W34" s="50" t="str">
        <f t="shared" si="4"/>
        <v>NW</v>
      </c>
      <c r="X34" s="50" t="str">
        <f t="shared" si="5"/>
        <v>KEEP</v>
      </c>
      <c r="Y34" s="119" t="str">
        <f t="shared" si="6"/>
        <v>echo {"issue":{"subject":"","project_id":79,"tracker_id":40,"status_id":1,"priority_id":2,"assigned_to_id":23,"start_date":"2016-12-15","description":"","custom_fields":[{"id":1,"name":"Subdivision","value":"NW"},{"id":4,"name":"Milepost","value":"0.0575"},{"id":17,"name":"Train ID","value":"844-15"},{"id":16,"name":"Locomotive ID","value":"4041"},{"id":130,"name":"Impact","value":""},{"id":150,"name":"Time of Event (Mountain Time)","value":"21:38:31"},{"id":151,"name":"Denver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53"/>
      <c r="AC34" s="138" t="str">
        <f t="shared" si="7"/>
        <v>grep -hSE -A100 "Enforcement Action" "%USERPROFILE%\AppData\Local\Temp\OnboardLogs"\RTDC4041\*4041*201612160* | grep -SE "((Enforcement Ac)|(PRM))" -</v>
      </c>
      <c r="AD34" s="1" t="str">
        <f>"grep -hSE ""Enforcement Action"" "&amp;search_path&amp;"\RTDC"&amp;U34&amp;"\*"&amp;U34&amp;"*"&amp;TEXT(A34-utc_offset/24,"YYYYMMDD")&amp;LEFT(TEXT(A34-utc_offset/24,"HH"),1)&amp;"* &gt;&gt; "&amp;Variables!$A$2&amp;"-slicedisagreementcheck.txt"</f>
        <v>grep -hSE "Enforcement Action" "%USERPROFILE%\AppData\Local\Temp\OnboardLogs"\RTDC4041\*4041*201612160* &gt;&gt; 42719-slicedisagreementcheck.txt</v>
      </c>
    </row>
    <row r="35" spans="1:30" x14ac:dyDescent="0.25">
      <c r="A35" s="36">
        <v>42719.315671296295</v>
      </c>
      <c r="B35" s="31" t="s">
        <v>236</v>
      </c>
      <c r="C35" s="31" t="s">
        <v>557</v>
      </c>
      <c r="D35" s="31" t="s">
        <v>49</v>
      </c>
      <c r="E35" s="31" t="s">
        <v>201</v>
      </c>
      <c r="F35" s="47">
        <v>0</v>
      </c>
      <c r="G35" s="47">
        <v>4</v>
      </c>
      <c r="H35" s="47">
        <v>59042</v>
      </c>
      <c r="I35" s="47">
        <v>59042</v>
      </c>
      <c r="J35" s="31" t="s">
        <v>202</v>
      </c>
      <c r="K35" s="47">
        <v>59048</v>
      </c>
      <c r="L35" s="154" t="s">
        <v>50</v>
      </c>
      <c r="M35" s="155">
        <f t="shared" si="0"/>
        <v>3.1680000000000001</v>
      </c>
      <c r="N35" s="156" t="str">
        <f>VLOOKUP(C35,'Trips&amp;Operators'!$C$1:$G$99999,5,FALSE)</f>
        <v>GEBRETEKLE DAGNEW</v>
      </c>
      <c r="O35" s="182" t="s">
        <v>196</v>
      </c>
      <c r="P35" s="157"/>
      <c r="Q35" s="31"/>
      <c r="R35" s="100" t="str">
        <f>VLOOKUP(C35,'Train Runs'!$A$13:$AE$9980,31,0)</f>
        <v>aws s3 cp s3://rtdc.mdm.uploadarchive.raw/RTDC4042/ "%USERPROFILE%\AppData\Local\Temp\OnboardLogs"\RTDC4042\2016-12-15 --exclude "*" --recursive --include "*20161215*" &amp; "%USERPROFILE%\Documents\GitHub\mrs-test-scripts\Headless Mode &amp; Sideloading\WalkAndUnGZ.bat" "%USERPROFILE%\AppData\Local\Temp\OnboardLogs"\RTDC4042\2016-12-15 &amp; aws s3 cp s3://rtdc.mdm.uploadarchive.raw/RTDC4042/ "%USERPROFILE%\AppData\Local\Temp\OnboardLogs"\RTDC4042\2016-12-16 --exclude "*" --recursive --include "*20161216*" &amp; "%USERPROFILE%\Documents\GitHub\mrs-test-scripts\Headless Mode &amp; Sideloading\WalkAndUnGZ.bat" "%USERPROFILE%\AppData\Local\Temp\OnboardLogs"\RTDC4042\2016-12-16</v>
      </c>
      <c r="S35" s="103" t="str">
        <f>VLOOKUP(C35,'Train Runs'!$A$13:$AE$9980,22,0)</f>
        <v>https://search-rtdc-monitor-bjffxe2xuh6vdkpspy63sjmuny.us-east-1.es.amazonaws.com/_plugin/kibana/#/discover/Steve-Slow-Train-Analysis-(2080s-and-2083s)?_g=(refreshInterval:(display:Off,section:0,value:0),time:(from:'2016-12-15 05:58:54-700',mode:absolute,to:'2016-12-15 08:34:34-700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5" s="105" t="str">
        <f t="shared" si="1"/>
        <v>"C:\Program Files (x86)\AstroGrep\AstroGrep.exe" /spath="%USERPROFILE%\AppData\Local\Temp\OnboardLogs" /stypes="*4042*201612151*" /stext=" 14:.+((SYSTEM_STATE.+slice.+state.+changed )|(ment ac)|(multiple cpu faults)|(system.+state.+changed )|(\[timeout)|(PRM\|1\|D)|(kpr)|(kdp)|(\|lc)|(penalty))" /e /r /s</v>
      </c>
      <c r="U35" s="9" t="str">
        <f t="shared" si="2"/>
        <v>4042</v>
      </c>
      <c r="V35" s="36">
        <f t="shared" si="3"/>
        <v>42719.60733796296</v>
      </c>
      <c r="W35" s="50" t="str">
        <f t="shared" si="4"/>
        <v>NW</v>
      </c>
      <c r="X35" s="50" t="str">
        <f t="shared" si="5"/>
        <v>OMIT</v>
      </c>
      <c r="Y35" s="119" t="str">
        <f t="shared" si="6"/>
        <v>echo {"issue":{"subject":"","project_id":79,"tracker_id":40,"status_id":1,"priority_id":2,"assigned_to_id":23,"start_date":"2016-12-15","description":"","custom_fields":[{"id":1,"name":"Subdivision","value":"NW"},{"id":4,"name":"Milepost","value":"5.9048"},{"id":17,"name":"Train ID","value":"807-15"},{"id":16,"name":"Locomotive ID","value":"4042"},{"id":130,"name":"Impact","value":""},{"id":150,"name":"Time of Event (Mountain Time)","value":"07:34:34"},{"id":151,"name":"Denver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53"/>
      <c r="AC35" s="138" t="str">
        <f t="shared" si="7"/>
        <v>grep -hSE -A100 "Enforcement Action" "%USERPROFILE%\AppData\Local\Temp\OnboardLogs"\RTDC4042\*4042*201612151* | grep -SE "((Enforcement Ac)|(PRM))" -</v>
      </c>
      <c r="AD35" s="1" t="str">
        <f>"grep -hSE ""Enforcement Action"" "&amp;search_path&amp;"\RTDC"&amp;U35&amp;"\*"&amp;U35&amp;"*"&amp;TEXT(A35-utc_offset/24,"YYYYMMDD")&amp;LEFT(TEXT(A35-utc_offset/24,"HH"),1)&amp;"* &gt;&gt; "&amp;Variables!$A$2&amp;"-slicedisagreementcheck.txt"</f>
        <v>grep -hSE "Enforcement Action" "%USERPROFILE%\AppData\Local\Temp\OnboardLogs"\RTDC4042\*4042*201612151* &gt;&gt; 42719-slicedisagreementcheck.txt</v>
      </c>
    </row>
    <row r="36" spans="1:30" x14ac:dyDescent="0.25">
      <c r="A36" s="36">
        <v>42719.713240740741</v>
      </c>
      <c r="B36" s="31" t="s">
        <v>154</v>
      </c>
      <c r="C36" s="31" t="s">
        <v>575</v>
      </c>
      <c r="D36" s="31" t="s">
        <v>49</v>
      </c>
      <c r="E36" s="31" t="s">
        <v>201</v>
      </c>
      <c r="F36" s="47">
        <v>0</v>
      </c>
      <c r="G36" s="47">
        <v>43</v>
      </c>
      <c r="H36" s="47">
        <v>58918</v>
      </c>
      <c r="I36" s="47">
        <v>58969</v>
      </c>
      <c r="J36" s="31" t="s">
        <v>202</v>
      </c>
      <c r="K36" s="47">
        <v>59048</v>
      </c>
      <c r="L36" s="154" t="s">
        <v>50</v>
      </c>
      <c r="M36" s="155">
        <f t="shared" si="0"/>
        <v>41.712000000000003</v>
      </c>
      <c r="N36" s="156" t="str">
        <f>VLOOKUP(C36,'Trips&amp;Operators'!$C$1:$G$99999,5,FALSE)</f>
        <v>SIMMONS SHYHESHA</v>
      </c>
      <c r="O36" s="182" t="s">
        <v>196</v>
      </c>
      <c r="P36" s="157"/>
      <c r="Q36" s="31"/>
      <c r="R36" s="100" t="str">
        <f>VLOOKUP(C36,'Train Runs'!$A$13:$AE$9980,31,0)</f>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S36" s="103" t="str">
        <f>VLOOKUP(C36,'Train Runs'!$A$13:$AE$9980,22,0)</f>
        <v>https://search-rtdc-monitor-bjffxe2xuh6vdkpspy63sjmuny.us-east-1.es.amazonaws.com/_plugin/kibana/#/discover/Steve-Slow-Train-Analysis-(2080s-and-2083s)?_g=(refreshInterval:(display:Off,section:0,value:0),time:(from:'2016-12-15 15:45:04-700',mode:absolute,to:'2016-12-15 18:07:05-700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T36" s="105" t="str">
        <f t="shared" si="1"/>
        <v>"C:\Program Files (x86)\AstroGrep\AstroGrep.exe" /spath="%USERPROFILE%\AppData\Local\Temp\OnboardLogs" /stypes="*4051*201612160*" /stext=" 00:.+((SYSTEM_STATE.+slice.+state.+changed )|(ment ac)|(multiple cpu faults)|(system.+state.+changed )|(\[timeout)|(PRM\|1\|D)|(kpr)|(kdp)|(\|lc)|(penalty))" /e /r /s</v>
      </c>
      <c r="U36" s="9" t="str">
        <f t="shared" si="2"/>
        <v>4051</v>
      </c>
      <c r="V36" s="36">
        <f t="shared" si="3"/>
        <v>42720.004907407405</v>
      </c>
      <c r="W36" s="50" t="str">
        <f t="shared" si="4"/>
        <v>NW</v>
      </c>
      <c r="X36" s="50" t="str">
        <f t="shared" si="5"/>
        <v>KEEP</v>
      </c>
      <c r="Y36" s="119" t="str">
        <f t="shared" si="6"/>
        <v>echo {"issue":{"subject":"","project_id":79,"tracker_id":40,"status_id":1,"priority_id":2,"assigned_to_id":23,"start_date":"2016-12-15","description":"","custom_fields":[{"id":1,"name":"Subdivision","value":"NW"},{"id":4,"name":"Milepost","value":"5.9048"},{"id":17,"name":"Train ID","value":"831-15"},{"id":16,"name":"Locomotive ID","value":"4051"},{"id":130,"name":"Impact","value":""},{"id":150,"name":"Time of Event (Mountain Time)","value":"17:07:04"},{"id":151,"name":"Denver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53"/>
      <c r="AC36" s="138" t="str">
        <f t="shared" si="7"/>
        <v>grep -hSE -A100 "Enforcement Action" "%USERPROFILE%\AppData\Local\Temp\OnboardLogs"\RTDC4051\*4051*201612160* | grep -SE "((Enforcement Ac)|(PRM))" -</v>
      </c>
      <c r="AD36" s="1" t="str">
        <f>"grep -hSE ""Enforcement Action"" "&amp;search_path&amp;"\RTDC"&amp;U36&amp;"\*"&amp;U36&amp;"*"&amp;TEXT(A36-utc_offset/24,"YYYYMMDD")&amp;LEFT(TEXT(A36-utc_offset/24,"HH"),1)&amp;"* &gt;&gt; "&amp;Variables!$A$2&amp;"-slicedisagreementcheck.txt"</f>
        <v>grep -hSE "Enforcement Action" "%USERPROFILE%\AppData\Local\Temp\OnboardLogs"\RTDC4051\*4051*201612160* &gt;&gt; 42719-slicedisagreementcheck.txt</v>
      </c>
    </row>
    <row r="37" spans="1:30" x14ac:dyDescent="0.25">
      <c r="A37" s="36">
        <v>42719.753784722219</v>
      </c>
      <c r="B37" s="31" t="s">
        <v>154</v>
      </c>
      <c r="C37" s="31" t="s">
        <v>578</v>
      </c>
      <c r="D37" s="31" t="s">
        <v>49</v>
      </c>
      <c r="E37" s="31" t="s">
        <v>201</v>
      </c>
      <c r="F37" s="47">
        <v>0</v>
      </c>
      <c r="G37" s="47">
        <v>72</v>
      </c>
      <c r="H37" s="47">
        <v>58789</v>
      </c>
      <c r="I37" s="47">
        <v>58842</v>
      </c>
      <c r="J37" s="31" t="s">
        <v>202</v>
      </c>
      <c r="K37" s="47">
        <v>59058</v>
      </c>
      <c r="L37" s="154" t="s">
        <v>50</v>
      </c>
      <c r="M37" s="155">
        <f t="shared" si="0"/>
        <v>114.048</v>
      </c>
      <c r="N37" s="156" t="str">
        <f>VLOOKUP(C37,'Trips&amp;Operators'!$C$1:$G$99999,5,FALSE)</f>
        <v>SIMMONS SHYHESHA</v>
      </c>
      <c r="O37" s="182" t="s">
        <v>196</v>
      </c>
      <c r="P37" s="157"/>
      <c r="Q37" s="31"/>
      <c r="R37" s="100" t="str">
        <f>VLOOKUP(C37,'Train Runs'!$A$13:$AE$9980,31,0)</f>
        <v>aws s3 cp s3://rtdc.mdm.uploadarchive.raw/RTDC4051/ "%USERPROFILE%\AppData\Local\Temp\OnboardLogs"\RTDC4051\2016-12-15 --exclude "*" --recursive --include "*20161215*" &amp; "%USERPROFILE%\Documents\GitHub\mrs-test-scripts\Headless Mode &amp; Sideloading\WalkAndUnGZ.bat" "%USERPROFILE%\AppData\Local\Temp\OnboardLogs"\RTDC4051\2016-12-15 &amp; aws s3 cp s3://rtdc.mdm.uploadarchive.raw/RTDC4051/ "%USERPROFILE%\AppData\Local\Temp\OnboardLogs"\RTDC4051\2016-12-16 --exclude "*" --recursive --include "*20161216*" &amp; "%USERPROFILE%\Documents\GitHub\mrs-test-scripts\Headless Mode &amp; Sideloading\WalkAndUnGZ.bat" "%USERPROFILE%\AppData\Local\Temp\OnboardLogs"\RTDC4051\2016-12-16</v>
      </c>
      <c r="S37" s="103" t="str">
        <f>VLOOKUP(C37,'Train Runs'!$A$13:$AE$9980,22,0)</f>
        <v>https://search-rtdc-monitor-bjffxe2xuh6vdkpspy63sjmuny.us-east-1.es.amazonaws.com/_plugin/kibana/#/discover/Steve-Slow-Train-Analysis-(2080s-and-2083s)?_g=(refreshInterval:(display:Off,section:0,value:0),time:(from:'2016-12-15 16:43:39-700',mode:absolute,to:'2016-12-15 19:05:26-700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4051%22')),sort:!(Time,asc))</v>
      </c>
      <c r="T37" s="105" t="str">
        <f t="shared" si="1"/>
        <v>"C:\Program Files (x86)\AstroGrep\AstroGrep.exe" /spath="%USERPROFILE%\AppData\Local\Temp\OnboardLogs" /stypes="*4051*201612160*" /stext=" 01:.+((SYSTEM_STATE.+slice.+state.+changed )|(ment ac)|(multiple cpu faults)|(system.+state.+changed )|(\[timeout)|(PRM\|1\|D)|(kpr)|(kdp)|(\|lc)|(penalty))" /e /r /s</v>
      </c>
      <c r="U37" s="9" t="str">
        <f t="shared" si="2"/>
        <v>4051</v>
      </c>
      <c r="V37" s="36">
        <f t="shared" si="3"/>
        <v>42720.045451388884</v>
      </c>
      <c r="W37" s="50" t="str">
        <f t="shared" si="4"/>
        <v>NW</v>
      </c>
      <c r="X37" s="50" t="str">
        <f t="shared" si="5"/>
        <v>KEEP</v>
      </c>
      <c r="Y37" s="119" t="str">
        <f t="shared" si="6"/>
        <v>echo {"issue":{"subject":"","project_id":79,"tracker_id":40,"status_id":1,"priority_id":2,"assigned_to_id":23,"start_date":"2016-12-15","description":"","custom_fields":[{"id":1,"name":"Subdivision","value":"NW"},{"id":4,"name":"Milepost","value":"5.9058"},{"id":17,"name":"Train ID","value":"835-15"},{"id":16,"name":"Locomotive ID","value":"4051"},{"id":130,"name":"Impact","value":""},{"id":150,"name":"Time of Event (Mountain Time)","value":"18:05:27"},{"id":151,"name":"Denver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53"/>
      <c r="AC37" s="138" t="str">
        <f t="shared" si="7"/>
        <v>grep -hSE -A100 "Enforcement Action" "%USERPROFILE%\AppData\Local\Temp\OnboardLogs"\RTDC4051\*4051*201612160* | grep -SE "((Enforcement Ac)|(PRM))" -</v>
      </c>
      <c r="AD37" s="1" t="str">
        <f>"grep -hSE ""Enforcement Action"" "&amp;search_path&amp;"\RTDC"&amp;U37&amp;"\*"&amp;U37&amp;"*"&amp;TEXT(A37-utc_offset/24,"YYYYMMDD")&amp;LEFT(TEXT(A37-utc_offset/24,"HH"),1)&amp;"* &gt;&gt; "&amp;Variables!$A$2&amp;"-slicedisagreementcheck.txt"</f>
        <v>grep -hSE "Enforcement Action" "%USERPROFILE%\AppData\Local\Temp\OnboardLogs"\RTDC4051\*4051*201612160* &gt;&gt; 42719-slicedisagreementcheck.txt</v>
      </c>
    </row>
    <row r="38" spans="1:30" x14ac:dyDescent="0.25">
      <c r="A38" s="36">
        <v>42719.642395833333</v>
      </c>
      <c r="B38" s="31" t="s">
        <v>155</v>
      </c>
      <c r="C38" s="31" t="s">
        <v>571</v>
      </c>
      <c r="D38" s="31" t="s">
        <v>49</v>
      </c>
      <c r="E38" s="31" t="s">
        <v>199</v>
      </c>
      <c r="F38" s="47">
        <v>0</v>
      </c>
      <c r="G38" s="47">
        <v>64</v>
      </c>
      <c r="H38" s="47">
        <v>14454</v>
      </c>
      <c r="I38" s="47">
        <v>14404</v>
      </c>
      <c r="J38" s="31" t="s">
        <v>200</v>
      </c>
      <c r="K38" s="47">
        <v>14177</v>
      </c>
      <c r="L38" s="154" t="s">
        <v>51</v>
      </c>
      <c r="M38" s="155">
        <f t="shared" si="0"/>
        <v>119.85599999999999</v>
      </c>
      <c r="N38" s="156" t="str">
        <f>VLOOKUP(C38,'Trips&amp;Operators'!$C$1:$G$99999,5,FALSE)</f>
        <v>SIMMONS SHYHESHA</v>
      </c>
      <c r="O38" s="182" t="s">
        <v>196</v>
      </c>
      <c r="P38" s="157"/>
      <c r="Q38" s="31"/>
      <c r="R38" s="100" t="str">
        <f>VLOOKUP(C38,'Train Runs'!$A$13:$AE$9980,31,0)</f>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S38" s="103" t="str">
        <f>VLOOKUP(C38,'Train Runs'!$A$13:$AE$9980,22,0)</f>
        <v>https://search-rtdc-monitor-bjffxe2xuh6vdkpspy63sjmuny.us-east-1.es.amazonaws.com/_plugin/kibana/#/discover/Steve-Slow-Train-Analysis-(2080s-and-2083s)?_g=(refreshInterval:(display:Off,section:0,value:0),time:(from:'2016-12-15 14:18:49-700',mode:absolute,to:'2016-12-15 16:32: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T38" s="105" t="str">
        <f t="shared" si="1"/>
        <v>"C:\Program Files (x86)\AstroGrep\AstroGrep.exe" /spath="%USERPROFILE%\AppData\Local\Temp\OnboardLogs" /stypes="*4052*201612152*" /stext=" 22:.+((SYSTEM_STATE.+slice.+state.+changed )|(ment ac)|(multiple cpu faults)|(system.+state.+changed )|(\[timeout)|(PRM\|1\|D)|(kpr)|(kdp)|(\|lc)|(penalty))" /e /r /s</v>
      </c>
      <c r="U38" s="9" t="str">
        <f t="shared" si="2"/>
        <v>4052</v>
      </c>
      <c r="V38" s="36">
        <f t="shared" si="3"/>
        <v>42719.934062499997</v>
      </c>
      <c r="W38" s="50" t="str">
        <f t="shared" si="4"/>
        <v>Other</v>
      </c>
      <c r="X38" s="50" t="str">
        <f t="shared" si="5"/>
        <v>KEEP</v>
      </c>
      <c r="Y38" s="119" t="str">
        <f t="shared" si="6"/>
        <v>echo {"issue":{"subject":"","project_id":79,"tracker_id":40,"status_id":1,"priority_id":2,"assigned_to_id":23,"start_date":"2016-12-15","description":"","custom_fields":[{"id":1,"name":"Subdivision","value":"Other"},{"id":4,"name":"Milepost","value":"1.4177"},{"id":17,"name":"Train ID","value":"904-15"},{"id":16,"name":"Locomotive ID","value":"4052"},{"id":130,"name":"Impact","value":""},{"id":150,"name":"Time of Event (Mountain Time)","value":"15:25:03"},{"id":151,"name":"Denver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53"/>
      <c r="AC38" s="138" t="str">
        <f t="shared" si="7"/>
        <v>grep -hSE -A100 "Enforcement Action" "%USERPROFILE%\AppData\Local\Temp\OnboardLogs"\RTDC4052\*4052*201612152* | grep -SE "((Enforcement Ac)|(PRM))" -</v>
      </c>
      <c r="AD38" s="1" t="str">
        <f>"grep -hSE ""Enforcement Action"" "&amp;search_path&amp;"\RTDC"&amp;U38&amp;"\*"&amp;U38&amp;"*"&amp;TEXT(A38-utc_offset/24,"YYYYMMDD")&amp;LEFT(TEXT(A38-utc_offset/24,"HH"),1)&amp;"* &gt;&gt; "&amp;Variables!$A$2&amp;"-slicedisagreementcheck.txt"</f>
        <v>grep -hSE "Enforcement Action" "%USERPROFILE%\AppData\Local\Temp\OnboardLogs"\RTDC4052\*4052*201612152* &gt;&gt; 42719-slicedisagreementcheck.txt</v>
      </c>
    </row>
    <row r="39" spans="1:30" x14ac:dyDescent="0.25">
      <c r="A39" s="36">
        <v>42719.731932870367</v>
      </c>
      <c r="B39" s="31" t="s">
        <v>206</v>
      </c>
      <c r="C39" s="31" t="s">
        <v>576</v>
      </c>
      <c r="D39" s="31" t="s">
        <v>49</v>
      </c>
      <c r="E39" s="31" t="s">
        <v>199</v>
      </c>
      <c r="F39" s="47">
        <v>0</v>
      </c>
      <c r="G39" s="47">
        <v>155</v>
      </c>
      <c r="H39" s="47">
        <v>22259</v>
      </c>
      <c r="I39" s="47">
        <v>22663</v>
      </c>
      <c r="J39" s="31" t="s">
        <v>200</v>
      </c>
      <c r="K39" s="47">
        <v>22314</v>
      </c>
      <c r="L39" s="154" t="s">
        <v>50</v>
      </c>
      <c r="M39" s="155">
        <f t="shared" si="0"/>
        <v>-184.27199999999999</v>
      </c>
      <c r="N39" s="156" t="str">
        <f>VLOOKUP(C39,'Trips&amp;Operators'!$C$1:$G$99999,5,FALSE)</f>
        <v>CRAYTON QUNTRELL</v>
      </c>
      <c r="O39" s="182" t="s">
        <v>196</v>
      </c>
      <c r="P39" s="157"/>
      <c r="Q39" s="31"/>
      <c r="R39" s="100" t="str">
        <f>VLOOKUP(C39,'Train Runs'!$A$13:$AE$9980,31,0)</f>
        <v>aws s3 cp s3://rtdc.mdm.uploadarchive.raw/RTDC4011/ "%USERPROFILE%\AppData\Local\Temp\OnboardLogs"\RTDC4011\2016-12-15 --exclude "*" --recursive --include "*20161215*" &amp; "%USERPROFILE%\Documents\GitHub\mrs-test-scripts\Headless Mode &amp; Sideloading\WalkAndUnGZ.bat" "%USERPROFILE%\AppData\Local\Temp\OnboardLogs"\RTDC4011\2016-12-15 &amp; aws s3 cp s3://rtdc.mdm.uploadarchive.raw/RTDC4011/ "%USERPROFILE%\AppData\Local\Temp\OnboardLogs"\RTDC4011\2016-12-16 --exclude "*" --recursive --include "*20161216*" &amp; "%USERPROFILE%\Documents\GitHub\mrs-test-scripts\Headless Mode &amp; Sideloading\WalkAndUnGZ.bat" "%USERPROFILE%\AppData\Local\Temp\OnboardLogs"\RTDC4011\2016-12-16</v>
      </c>
      <c r="S39" s="103" t="str">
        <f>VLOOKUP(C39,'Train Runs'!$A$13:$AE$9980,22,0)</f>
        <v>https://search-rtdc-monitor-bjffxe2xuh6vdkpspy63sjmuny.us-east-1.es.amazonaws.com/_plugin/kibana/#/discover/Steve-Slow-Train-Analysis-(2080s-and-2083s)?_g=(refreshInterval:(display:Off,section:0,value:0),time:(from:'2016-12-15 16:16:28-700',mode:absolute,to:'2016-12-15 18:33:59-700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39" s="105" t="str">
        <f t="shared" si="1"/>
        <v>"C:\Program Files (x86)\AstroGrep\AstroGrep.exe" /spath="%USERPROFILE%\AppData\Local\Temp\OnboardLogs" /stypes="*4011*201612160*" /stext=" 00:.+((SYSTEM_STATE.+slice.+state.+changed )|(ment ac)|(multiple cpu faults)|(system.+state.+changed )|(\[timeout)|(PRM\|1\|D)|(kpr)|(kdp)|(\|lc)|(penalty))" /e /r /s</v>
      </c>
      <c r="U39" s="9" t="str">
        <f t="shared" si="2"/>
        <v>4011</v>
      </c>
      <c r="V39" s="36">
        <f t="shared" si="3"/>
        <v>42720.023599537031</v>
      </c>
      <c r="W39" s="50" t="str">
        <f t="shared" si="4"/>
        <v>Other</v>
      </c>
      <c r="X39" s="50" t="str">
        <f t="shared" si="5"/>
        <v>KEEP</v>
      </c>
      <c r="Y39" s="119" t="str">
        <f t="shared" si="6"/>
        <v>echo {"issue":{"subject":"","project_id":79,"tracker_id":40,"status_id":1,"priority_id":2,"assigned_to_id":23,"start_date":"2016-12-15","description":"","custom_fields":[{"id":1,"name":"Subdivision","value":"Other"},{"id":4,"name":"Milepost","value":"2.2314"},{"id":17,"name":"Train ID","value":"77-15"},{"id":16,"name":"Locomotive ID","value":"4011"},{"id":130,"name":"Impact","value":""},{"id":150,"name":"Time of Event (Mountain Time)","value":"17:33:59"},{"id":151,"name":"Denver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53"/>
      <c r="AC39" s="138" t="str">
        <f t="shared" si="7"/>
        <v>grep -hSE -A100 "Enforcement Action" "%USERPROFILE%\AppData\Local\Temp\OnboardLogs"\RTDC4011\*4011*201612160* | grep -SE "((Enforcement Ac)|(PRM))" -</v>
      </c>
      <c r="AD39" s="1" t="str">
        <f>"grep -hSE ""Enforcement Action"" "&amp;search_path&amp;"\RTDC"&amp;U39&amp;"\*"&amp;U39&amp;"*"&amp;TEXT(A39-utc_offset/24,"YYYYMMDD")&amp;LEFT(TEXT(A39-utc_offset/24,"HH"),1)&amp;"* &gt;&gt; "&amp;Variables!$A$2&amp;"-slicedisagreementcheck.txt"</f>
        <v>grep -hSE "Enforcement Action" "%USERPROFILE%\AppData\Local\Temp\OnboardLogs"\RTDC4011\*4011*201612160* &gt;&gt; 42719-slicedisagreementcheck.txt</v>
      </c>
    </row>
    <row r="40" spans="1:30" x14ac:dyDescent="0.25">
      <c r="A40" s="36">
        <v>42719.647696759261</v>
      </c>
      <c r="B40" s="31" t="s">
        <v>155</v>
      </c>
      <c r="C40" s="31" t="s">
        <v>571</v>
      </c>
      <c r="D40" s="31" t="s">
        <v>49</v>
      </c>
      <c r="E40" s="31" t="s">
        <v>201</v>
      </c>
      <c r="F40" s="47">
        <v>0</v>
      </c>
      <c r="G40" s="47">
        <v>41</v>
      </c>
      <c r="H40" s="47">
        <v>687</v>
      </c>
      <c r="I40" s="47">
        <v>650</v>
      </c>
      <c r="J40" s="31" t="s">
        <v>202</v>
      </c>
      <c r="K40" s="47">
        <v>575</v>
      </c>
      <c r="L40" s="154" t="s">
        <v>51</v>
      </c>
      <c r="M40" s="155">
        <f t="shared" si="0"/>
        <v>39.6</v>
      </c>
      <c r="N40" s="156" t="str">
        <f>VLOOKUP(C40,'Trips&amp;Operators'!$C$1:$G$99999,5,FALSE)</f>
        <v>SIMMONS SHYHESHA</v>
      </c>
      <c r="O40" s="182" t="s">
        <v>196</v>
      </c>
      <c r="P40" s="157"/>
      <c r="Q40" s="31"/>
      <c r="R40" s="100" t="str">
        <f>VLOOKUP(C40,'Train Runs'!$A$13:$AE$9980,31,0)</f>
        <v>aws s3 cp s3://rtdc.mdm.uploadarchive.raw/RTDC4052/ "%USERPROFILE%\AppData\Local\Temp\OnboardLogs"\RTDC4052\2016-12-15 --exclude "*" --recursive --include "*20161215*" &amp; "%USERPROFILE%\Documents\GitHub\mrs-test-scripts\Headless Mode &amp; Sideloading\WalkAndUnGZ.bat" "%USERPROFILE%\AppData\Local\Temp\OnboardLogs"\RTDC4052\2016-12-15 &amp; aws s3 cp s3://rtdc.mdm.uploadarchive.raw/RTDC4052/ "%USERPROFILE%\AppData\Local\Temp\OnboardLogs"\RTDC4052\2016-12-16 --exclude "*" --recursive --include "*20161216*" &amp; "%USERPROFILE%\Documents\GitHub\mrs-test-scripts\Headless Mode &amp; Sideloading\WalkAndUnGZ.bat" "%USERPROFILE%\AppData\Local\Temp\OnboardLogs"\RTDC4052\2016-12-16</v>
      </c>
      <c r="S40" s="103" t="str">
        <f>VLOOKUP(C40,'Train Runs'!$A$13:$AE$9980,22,0)</f>
        <v>https://search-rtdc-monitor-bjffxe2xuh6vdkpspy63sjmuny.us-east-1.es.amazonaws.com/_plugin/kibana/#/discover/Steve-Slow-Train-Analysis-(2080s-and-2083s)?_g=(refreshInterval:(display:Off,section:0,value:0),time:(from:'2016-12-15 14:18:49-700',mode:absolute,to:'2016-12-15 16:32:40-700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4052%22')),sort:!(Time,asc))</v>
      </c>
      <c r="T40" s="105" t="str">
        <f t="shared" si="1"/>
        <v>"C:\Program Files (x86)\AstroGrep\AstroGrep.exe" /spath="%USERPROFILE%\AppData\Local\Temp\OnboardLogs" /stypes="*4052*201612152*" /stext=" 22:.+((SYSTEM_STATE.+slice.+state.+changed )|(ment ac)|(multiple cpu faults)|(system.+state.+changed )|(\[timeout)|(PRM\|1\|D)|(kpr)|(kdp)|(\|lc)|(penalty))" /e /r /s</v>
      </c>
      <c r="U40" s="9" t="str">
        <f t="shared" si="2"/>
        <v>4052</v>
      </c>
      <c r="V40" s="36">
        <f t="shared" si="3"/>
        <v>42719.939363425925</v>
      </c>
      <c r="W40" s="50" t="str">
        <f t="shared" si="4"/>
        <v>Other</v>
      </c>
      <c r="X40" s="50" t="str">
        <f t="shared" si="5"/>
        <v>KEEP</v>
      </c>
      <c r="Y40" s="119" t="str">
        <f t="shared" si="6"/>
        <v>echo {"issue":{"subject":"","project_id":79,"tracker_id":40,"status_id":1,"priority_id":2,"assigned_to_id":23,"start_date":"2016-12-15","description":"","custom_fields":[{"id":1,"name":"Subdivision","value":"Other"},{"id":4,"name":"Milepost","value":"0.0575"},{"id":17,"name":"Train ID","value":"904-15"},{"id":16,"name":"Locomotive ID","value":"4052"},{"id":130,"name":"Impact","value":""},{"id":150,"name":"Time of Event (Mountain Time)","value":"15:32:41"},{"id":151,"name":"Denver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53"/>
      <c r="AC40" s="138" t="str">
        <f t="shared" si="7"/>
        <v>grep -hSE -A100 "Enforcement Action" "%USERPROFILE%\AppData\Local\Temp\OnboardLogs"\RTDC4052\*4052*201612152* | grep -SE "((Enforcement Ac)|(PRM))" -</v>
      </c>
      <c r="AD40" s="1" t="str">
        <f>"grep -hSE ""Enforcement Action"" "&amp;search_path&amp;"\RTDC"&amp;U40&amp;"\*"&amp;U40&amp;"*"&amp;TEXT(A40-utc_offset/24,"YYYYMMDD")&amp;LEFT(TEXT(A40-utc_offset/24,"HH"),1)&amp;"* &gt;&gt; "&amp;Variables!$A$2&amp;"-slicedisagreementcheck.txt"</f>
        <v>grep -hSE "Enforcement Action" "%USERPROFILE%\AppData\Local\Temp\OnboardLogs"\RTDC4052\*4052*201612152* &gt;&gt; 42719-slicedisagreementcheck.txt</v>
      </c>
    </row>
    <row r="41" spans="1:30" x14ac:dyDescent="0.25">
      <c r="A41"/>
      <c r="D41"/>
      <c r="E41"/>
      <c r="F41"/>
      <c r="G41"/>
      <c r="H41"/>
      <c r="I41"/>
      <c r="J41"/>
      <c r="K41"/>
      <c r="L41"/>
      <c r="M41"/>
      <c r="N41"/>
      <c r="O41"/>
      <c r="P41"/>
      <c r="R41"/>
      <c r="S41"/>
      <c r="T41"/>
      <c r="V41"/>
      <c r="AC41"/>
    </row>
    <row r="42" spans="1:30" x14ac:dyDescent="0.25">
      <c r="A42"/>
      <c r="D42"/>
      <c r="E42"/>
      <c r="F42"/>
      <c r="G42"/>
      <c r="H42"/>
      <c r="I42"/>
      <c r="J42"/>
      <c r="K42"/>
      <c r="L42"/>
      <c r="M42"/>
      <c r="N42"/>
      <c r="O42"/>
      <c r="P42"/>
      <c r="R42"/>
      <c r="S42"/>
      <c r="T42"/>
      <c r="V42"/>
      <c r="AC42"/>
    </row>
    <row r="43" spans="1:30" x14ac:dyDescent="0.25">
      <c r="A43"/>
      <c r="D43"/>
      <c r="E43"/>
      <c r="F43"/>
      <c r="G43"/>
      <c r="H43"/>
      <c r="I43"/>
      <c r="J43"/>
      <c r="K43"/>
      <c r="L43"/>
      <c r="M43"/>
      <c r="N43"/>
      <c r="O43"/>
      <c r="P43"/>
      <c r="R43"/>
      <c r="S43"/>
      <c r="T43"/>
      <c r="V43"/>
      <c r="AC43"/>
    </row>
    <row r="44" spans="1:30" x14ac:dyDescent="0.25">
      <c r="A44"/>
      <c r="D44"/>
      <c r="E44"/>
      <c r="F44"/>
      <c r="G44"/>
      <c r="H44"/>
      <c r="I44"/>
      <c r="J44"/>
      <c r="K44"/>
      <c r="L44"/>
      <c r="M44"/>
      <c r="N44"/>
      <c r="O44"/>
      <c r="P44"/>
      <c r="R44"/>
      <c r="S44"/>
      <c r="T44"/>
      <c r="V44"/>
      <c r="AC44"/>
    </row>
    <row r="45" spans="1:30" x14ac:dyDescent="0.25">
      <c r="A45"/>
      <c r="D45"/>
      <c r="E45"/>
      <c r="F45"/>
      <c r="G45"/>
      <c r="H45"/>
      <c r="I45"/>
      <c r="J45"/>
      <c r="K45"/>
      <c r="L45"/>
      <c r="M45"/>
      <c r="N45"/>
      <c r="O45"/>
      <c r="P45"/>
      <c r="R45"/>
      <c r="S45"/>
      <c r="T45"/>
      <c r="V45"/>
      <c r="AC45"/>
    </row>
    <row r="46" spans="1:30" x14ac:dyDescent="0.25">
      <c r="A46"/>
      <c r="D46"/>
      <c r="E46"/>
      <c r="F46"/>
      <c r="G46"/>
      <c r="H46"/>
      <c r="I46"/>
      <c r="J46"/>
      <c r="K46"/>
      <c r="L46"/>
      <c r="M46"/>
      <c r="N46"/>
      <c r="O46"/>
      <c r="P46"/>
      <c r="R46"/>
      <c r="S46"/>
      <c r="T46"/>
      <c r="V46"/>
      <c r="AC46"/>
    </row>
    <row r="47" spans="1:30" x14ac:dyDescent="0.25">
      <c r="A47"/>
      <c r="D47"/>
      <c r="E47"/>
      <c r="F47"/>
      <c r="G47"/>
      <c r="H47"/>
      <c r="I47"/>
      <c r="J47"/>
      <c r="K47"/>
      <c r="L47"/>
      <c r="M47"/>
      <c r="N47"/>
      <c r="O47"/>
      <c r="P47"/>
      <c r="R47"/>
      <c r="S47"/>
      <c r="T47"/>
      <c r="V47"/>
      <c r="AC47"/>
    </row>
    <row r="48" spans="1:30" x14ac:dyDescent="0.25">
      <c r="A48"/>
      <c r="D48"/>
      <c r="E48"/>
      <c r="F48"/>
      <c r="G48"/>
      <c r="H48"/>
      <c r="I48"/>
      <c r="J48"/>
      <c r="K48"/>
      <c r="L48"/>
      <c r="M48"/>
      <c r="N48"/>
      <c r="O48"/>
      <c r="P48"/>
      <c r="R48"/>
      <c r="S48"/>
      <c r="T48"/>
      <c r="V48"/>
      <c r="AC48"/>
    </row>
    <row r="49" spans="1:29" x14ac:dyDescent="0.25">
      <c r="A49"/>
      <c r="D49"/>
      <c r="E49"/>
      <c r="F49"/>
      <c r="G49"/>
      <c r="H49"/>
      <c r="I49"/>
      <c r="J49"/>
      <c r="K49"/>
      <c r="L49"/>
      <c r="M49"/>
      <c r="N49"/>
      <c r="O49"/>
      <c r="P49"/>
      <c r="R49"/>
      <c r="S49"/>
      <c r="T49"/>
      <c r="V49"/>
      <c r="AC49"/>
    </row>
    <row r="50" spans="1:29" x14ac:dyDescent="0.25">
      <c r="A50"/>
      <c r="D50"/>
      <c r="E50"/>
      <c r="F50"/>
      <c r="G50"/>
      <c r="H50"/>
      <c r="I50"/>
      <c r="J50"/>
      <c r="K50"/>
      <c r="L50"/>
      <c r="M50"/>
      <c r="N50"/>
      <c r="O50"/>
      <c r="P50"/>
      <c r="R50"/>
      <c r="S50"/>
      <c r="T50"/>
      <c r="V50"/>
      <c r="AC50"/>
    </row>
    <row r="51" spans="1:29" x14ac:dyDescent="0.25">
      <c r="A51"/>
      <c r="D51"/>
      <c r="E51"/>
      <c r="F51"/>
      <c r="G51"/>
      <c r="H51"/>
      <c r="I51"/>
      <c r="J51"/>
      <c r="K51"/>
      <c r="L51"/>
      <c r="M51"/>
      <c r="N51"/>
      <c r="O51"/>
      <c r="P51"/>
      <c r="R51"/>
      <c r="S51"/>
      <c r="T51"/>
      <c r="V51"/>
      <c r="AC51"/>
    </row>
    <row r="52" spans="1:29" x14ac:dyDescent="0.25">
      <c r="A52"/>
      <c r="D52"/>
      <c r="E52"/>
      <c r="F52"/>
      <c r="G52"/>
      <c r="H52"/>
      <c r="I52"/>
      <c r="J52"/>
      <c r="K52"/>
      <c r="L52"/>
      <c r="M52"/>
      <c r="N52"/>
      <c r="O52"/>
      <c r="P52"/>
      <c r="R52"/>
      <c r="S52"/>
      <c r="T52"/>
      <c r="V52"/>
      <c r="AC52"/>
    </row>
    <row r="53" spans="1:29" x14ac:dyDescent="0.25">
      <c r="A53"/>
      <c r="D53"/>
      <c r="E53"/>
      <c r="F53"/>
      <c r="G53"/>
      <c r="H53"/>
      <c r="I53"/>
      <c r="J53"/>
      <c r="K53"/>
      <c r="L53"/>
      <c r="M53"/>
      <c r="N53"/>
      <c r="O53"/>
      <c r="P53"/>
      <c r="R53"/>
      <c r="S53"/>
      <c r="T53"/>
      <c r="V53"/>
      <c r="AC53"/>
    </row>
    <row r="54" spans="1:29" x14ac:dyDescent="0.25">
      <c r="A54"/>
      <c r="D54"/>
      <c r="E54"/>
      <c r="F54"/>
      <c r="G54"/>
      <c r="H54"/>
      <c r="I54"/>
      <c r="J54"/>
      <c r="K54"/>
      <c r="L54"/>
      <c r="M54"/>
      <c r="N54"/>
      <c r="O54"/>
      <c r="P54"/>
      <c r="R54"/>
      <c r="S54"/>
      <c r="T54"/>
      <c r="V54"/>
      <c r="AC54"/>
    </row>
    <row r="55" spans="1:29" x14ac:dyDescent="0.25">
      <c r="A55"/>
      <c r="D55"/>
      <c r="E55"/>
      <c r="F55"/>
      <c r="G55"/>
      <c r="H55"/>
      <c r="I55"/>
      <c r="J55"/>
      <c r="K55"/>
      <c r="L55"/>
      <c r="M55"/>
      <c r="N55"/>
      <c r="O55"/>
      <c r="P55"/>
      <c r="R55"/>
      <c r="S55"/>
      <c r="T55"/>
      <c r="V55"/>
      <c r="AC55"/>
    </row>
    <row r="56" spans="1:29" x14ac:dyDescent="0.25">
      <c r="A56"/>
      <c r="D56"/>
      <c r="E56"/>
      <c r="F56"/>
      <c r="G56"/>
      <c r="H56"/>
      <c r="I56"/>
      <c r="J56"/>
      <c r="K56"/>
      <c r="L56"/>
      <c r="M56"/>
      <c r="N56"/>
      <c r="O56"/>
      <c r="P56"/>
      <c r="R56"/>
      <c r="S56"/>
      <c r="T56"/>
      <c r="V56"/>
      <c r="AC56"/>
    </row>
    <row r="57" spans="1:29" x14ac:dyDescent="0.25">
      <c r="A57"/>
      <c r="D57"/>
      <c r="E57"/>
      <c r="F57"/>
      <c r="G57"/>
      <c r="H57"/>
      <c r="I57"/>
      <c r="J57"/>
      <c r="K57"/>
      <c r="L57"/>
      <c r="M57"/>
      <c r="N57"/>
      <c r="O57"/>
      <c r="P57"/>
      <c r="R57"/>
      <c r="S57"/>
      <c r="T57"/>
      <c r="V57"/>
      <c r="AC57"/>
    </row>
    <row r="58" spans="1:29" x14ac:dyDescent="0.25">
      <c r="A58"/>
      <c r="D58"/>
      <c r="E58"/>
      <c r="F58"/>
      <c r="G58"/>
      <c r="H58"/>
      <c r="I58"/>
      <c r="J58"/>
      <c r="K58"/>
      <c r="L58"/>
      <c r="M58"/>
      <c r="N58"/>
      <c r="O58"/>
      <c r="P58"/>
      <c r="R58"/>
      <c r="S58"/>
      <c r="T58"/>
      <c r="V58"/>
      <c r="AC58"/>
    </row>
    <row r="59" spans="1:29" x14ac:dyDescent="0.25">
      <c r="A59"/>
      <c r="D59"/>
      <c r="E59"/>
      <c r="F59"/>
      <c r="G59"/>
      <c r="H59"/>
      <c r="I59"/>
      <c r="J59"/>
      <c r="K59"/>
      <c r="L59"/>
      <c r="M59"/>
      <c r="N59"/>
      <c r="O59"/>
      <c r="P59"/>
      <c r="R59"/>
      <c r="S59"/>
      <c r="T59"/>
      <c r="V59"/>
      <c r="AC59"/>
    </row>
    <row r="60" spans="1:29" x14ac:dyDescent="0.25">
      <c r="A60"/>
      <c r="D60"/>
      <c r="E60"/>
      <c r="F60"/>
      <c r="G60"/>
      <c r="H60"/>
      <c r="I60"/>
      <c r="J60"/>
      <c r="K60"/>
      <c r="L60"/>
      <c r="M60"/>
      <c r="N60"/>
      <c r="O60"/>
      <c r="P60"/>
      <c r="R60"/>
      <c r="S60"/>
      <c r="T60"/>
      <c r="V60"/>
      <c r="AC60"/>
    </row>
    <row r="61" spans="1:29" x14ac:dyDescent="0.25">
      <c r="A61"/>
      <c r="D61"/>
      <c r="E61"/>
      <c r="F61"/>
      <c r="G61"/>
      <c r="H61"/>
      <c r="I61"/>
      <c r="J61"/>
      <c r="K61"/>
      <c r="L61"/>
      <c r="M61"/>
      <c r="N61"/>
      <c r="O61"/>
      <c r="P61"/>
      <c r="R61"/>
      <c r="S61"/>
      <c r="T61"/>
      <c r="V61"/>
      <c r="AC61"/>
    </row>
    <row r="62" spans="1:29" x14ac:dyDescent="0.25">
      <c r="A62"/>
      <c r="D62"/>
      <c r="E62"/>
      <c r="F62"/>
      <c r="G62"/>
      <c r="H62"/>
      <c r="I62"/>
      <c r="J62"/>
      <c r="K62"/>
      <c r="L62"/>
      <c r="M62"/>
      <c r="N62"/>
      <c r="O62"/>
      <c r="P62"/>
      <c r="R62"/>
      <c r="S62"/>
      <c r="T62"/>
      <c r="V62"/>
      <c r="AC62"/>
    </row>
    <row r="63" spans="1:29" x14ac:dyDescent="0.25">
      <c r="A63"/>
      <c r="D63"/>
      <c r="E63"/>
      <c r="F63"/>
      <c r="G63"/>
      <c r="H63"/>
      <c r="I63"/>
      <c r="J63"/>
      <c r="K63"/>
      <c r="L63"/>
      <c r="M63"/>
      <c r="N63"/>
      <c r="O63"/>
      <c r="P63"/>
      <c r="R63"/>
      <c r="S63"/>
      <c r="T63"/>
      <c r="V63"/>
      <c r="AC63"/>
    </row>
    <row r="64" spans="1:29" x14ac:dyDescent="0.25">
      <c r="A64"/>
      <c r="D64"/>
      <c r="E64"/>
      <c r="F64"/>
      <c r="G64"/>
      <c r="H64"/>
      <c r="I64"/>
      <c r="J64"/>
      <c r="K64"/>
      <c r="L64"/>
      <c r="M64"/>
      <c r="N64"/>
      <c r="O64"/>
      <c r="P64"/>
      <c r="R64"/>
      <c r="S64"/>
      <c r="T64"/>
      <c r="V64"/>
      <c r="AC64"/>
    </row>
    <row r="65" spans="1:29" x14ac:dyDescent="0.25">
      <c r="A65"/>
      <c r="D65"/>
      <c r="E65"/>
      <c r="F65"/>
      <c r="G65"/>
      <c r="H65"/>
      <c r="I65"/>
      <c r="J65"/>
      <c r="K65"/>
      <c r="L65"/>
      <c r="M65"/>
      <c r="N65"/>
      <c r="O65"/>
      <c r="P65"/>
      <c r="R65"/>
      <c r="S65"/>
      <c r="T65"/>
      <c r="V65"/>
      <c r="AC65"/>
    </row>
    <row r="66" spans="1:29" x14ac:dyDescent="0.25">
      <c r="A66"/>
      <c r="D66"/>
      <c r="E66"/>
      <c r="F66"/>
      <c r="G66"/>
      <c r="H66"/>
      <c r="I66"/>
      <c r="J66"/>
      <c r="K66"/>
      <c r="L66"/>
      <c r="M66"/>
      <c r="N66"/>
      <c r="O66"/>
      <c r="P66"/>
      <c r="R66"/>
      <c r="S66"/>
      <c r="T66"/>
      <c r="V66"/>
      <c r="AC66"/>
    </row>
    <row r="67" spans="1:29" x14ac:dyDescent="0.25">
      <c r="A67"/>
      <c r="D67"/>
      <c r="E67"/>
      <c r="F67"/>
      <c r="G67"/>
      <c r="H67"/>
      <c r="I67"/>
      <c r="J67"/>
      <c r="K67"/>
      <c r="L67"/>
      <c r="M67"/>
      <c r="N67"/>
      <c r="O67"/>
      <c r="P67"/>
      <c r="R67"/>
      <c r="S67"/>
      <c r="T67"/>
      <c r="V67"/>
      <c r="AC67"/>
    </row>
    <row r="68" spans="1:29" x14ac:dyDescent="0.25">
      <c r="A68"/>
      <c r="D68"/>
      <c r="E68"/>
      <c r="F68"/>
      <c r="G68"/>
      <c r="H68"/>
      <c r="I68"/>
      <c r="J68"/>
      <c r="K68"/>
      <c r="L68"/>
      <c r="M68"/>
      <c r="N68"/>
      <c r="O68"/>
      <c r="P68"/>
      <c r="R68"/>
      <c r="S68"/>
      <c r="T68"/>
      <c r="V68"/>
      <c r="AC68"/>
    </row>
    <row r="69" spans="1:29" x14ac:dyDescent="0.25">
      <c r="A69"/>
      <c r="D69"/>
      <c r="E69"/>
      <c r="F69"/>
      <c r="G69"/>
      <c r="H69"/>
      <c r="I69"/>
      <c r="J69"/>
      <c r="K69"/>
      <c r="L69"/>
      <c r="M69"/>
      <c r="N69"/>
      <c r="O69"/>
      <c r="P69"/>
      <c r="R69"/>
      <c r="S69"/>
      <c r="T69"/>
      <c r="V69"/>
      <c r="AC69"/>
    </row>
    <row r="70" spans="1:29" x14ac:dyDescent="0.25">
      <c r="A70"/>
      <c r="D70"/>
      <c r="E70"/>
      <c r="F70"/>
      <c r="G70"/>
      <c r="H70"/>
      <c r="I70"/>
      <c r="J70"/>
      <c r="K70"/>
      <c r="L70"/>
      <c r="M70"/>
      <c r="N70"/>
      <c r="O70"/>
      <c r="P70"/>
      <c r="R70"/>
      <c r="S70"/>
      <c r="T70"/>
      <c r="V70"/>
      <c r="AC70"/>
    </row>
    <row r="71" spans="1:29" x14ac:dyDescent="0.25">
      <c r="A71"/>
      <c r="D71"/>
      <c r="E71"/>
      <c r="F71"/>
      <c r="G71"/>
      <c r="H71"/>
      <c r="I71"/>
      <c r="J71"/>
      <c r="K71"/>
      <c r="L71"/>
      <c r="M71"/>
      <c r="N71"/>
      <c r="O71"/>
      <c r="P71"/>
      <c r="R71"/>
      <c r="S71"/>
      <c r="T71"/>
      <c r="V71"/>
      <c r="AC71"/>
    </row>
    <row r="72" spans="1:29" x14ac:dyDescent="0.25">
      <c r="A72"/>
      <c r="D72"/>
      <c r="E72"/>
      <c r="F72"/>
      <c r="G72"/>
      <c r="H72"/>
      <c r="I72"/>
      <c r="J72"/>
      <c r="K72"/>
      <c r="L72"/>
      <c r="M72"/>
      <c r="N72"/>
      <c r="O72"/>
      <c r="P72"/>
      <c r="R72"/>
      <c r="S72"/>
      <c r="T72"/>
      <c r="V72"/>
      <c r="AC72"/>
    </row>
  </sheetData>
  <autoFilter ref="A6:AC43">
    <sortState ref="A7:AC44">
      <sortCondition ref="W7:W41"/>
      <sortCondition ref="E7:E41"/>
      <sortCondition ref="K7:K41"/>
      <sortCondition ref="F7:F41"/>
    </sortState>
  </autoFilter>
  <sortState ref="A7:AD48">
    <sortCondition ref="W7:W48"/>
    <sortCondition ref="E7:E48"/>
    <sortCondition ref="K7:K48"/>
    <sortCondition ref="C7:C48"/>
    <sortCondition ref="F7:F48"/>
  </sortState>
  <mergeCells count="1">
    <mergeCell ref="A5:O5"/>
  </mergeCells>
  <conditionalFormatting sqref="O6:P6 R6 O73:O1048576 O7:O40">
    <cfRule type="cellIs" dxfId="3" priority="36" operator="equal">
      <formula>"Y"</formula>
    </cfRule>
  </conditionalFormatting>
  <conditionalFormatting sqref="O2:O3">
    <cfRule type="cellIs" dxfId="2" priority="27" operator="equal">
      <formula>"Y"</formula>
    </cfRule>
  </conditionalFormatting>
  <conditionalFormatting sqref="A7:P40">
    <cfRule type="expression" dxfId="1" priority="20">
      <formula>$O7="Y"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AA7:AA40</xm:sqref>
        </x14:dataValidation>
        <x14:dataValidation type="list" allowBlank="1" showInputMessage="1" showErrorMessage="1">
          <x14:formula1>
            <xm:f>'Redmine List Values'!$C$2:$C$15</xm:f>
          </x14:formula1>
          <xm:sqref>AB7:AB40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8"/>
  <sheetViews>
    <sheetView workbookViewId="0">
      <selection activeCell="A3" sqref="A3:A5"/>
    </sheetView>
  </sheetViews>
  <sheetFormatPr defaultRowHeight="15" x14ac:dyDescent="0.25"/>
  <cols>
    <col min="1" max="1" width="9.140625" style="165"/>
    <col min="2" max="2" width="9.140625" style="2" customWidth="1"/>
    <col min="3" max="3" width="8" style="108" bestFit="1" customWidth="1"/>
    <col min="4" max="4" width="9.85546875" style="161"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65"/>
      <c r="B1" s="184" t="str">
        <f>"Trips that did not appear in PTC Data "&amp;TEXT(Variables!$A$2,"YYYY-mm-dd")</f>
        <v>Trips that did not appear in PTC Data 2016-12-15</v>
      </c>
      <c r="C1" s="184"/>
      <c r="D1" s="184"/>
      <c r="E1" s="184"/>
      <c r="F1" s="184"/>
    </row>
    <row r="2" spans="1:11" s="24" customFormat="1" ht="45" x14ac:dyDescent="0.25">
      <c r="A2" s="178" t="s">
        <v>153</v>
      </c>
      <c r="B2" s="110" t="s">
        <v>58</v>
      </c>
      <c r="C2" s="107" t="s">
        <v>59</v>
      </c>
      <c r="D2" s="162" t="s">
        <v>60</v>
      </c>
      <c r="E2" s="24" t="s">
        <v>56</v>
      </c>
      <c r="F2" s="24" t="s">
        <v>57</v>
      </c>
      <c r="G2" s="24" t="s">
        <v>61</v>
      </c>
      <c r="H2" s="29" t="s">
        <v>62</v>
      </c>
      <c r="I2" s="29" t="s">
        <v>104</v>
      </c>
    </row>
    <row r="3" spans="1:11" x14ac:dyDescent="0.25">
      <c r="A3" s="171"/>
      <c r="B3" s="47" t="str">
        <f>A3&amp;"-"&amp;IF(DAY(Variables!$A$2)&lt;10,0,"")&amp;DAY(Variables!$A$2)</f>
        <v>-15</v>
      </c>
      <c r="C3" s="158"/>
      <c r="D3" s="163"/>
      <c r="E3" s="31"/>
      <c r="F3" s="22" t="e">
        <f>VLOOKUP(B3,'Trips&amp;Operators'!$C$2:$E$10000,3,FALSE)</f>
        <v>#N/A</v>
      </c>
      <c r="G3" s="22" t="e">
        <f>VLOOKUP(B3,'Trips&amp;Operators'!$C$1:$F$10000,4,FALSE)</f>
        <v>#N/A</v>
      </c>
      <c r="H3" s="30" t="e">
        <f>VLOOKUP(B3,'Trips&amp;Operators'!$C$1:$H$10000,5,FALSE)</f>
        <v>#N/A</v>
      </c>
      <c r="I3" s="50" t="str">
        <f t="shared" ref="I3:I5"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3" s="31" t="e">
        <f>VLOOKUP(B3,'Train Runs'!$A$13:$A$99977,1,FALSE)</f>
        <v>#N/A</v>
      </c>
      <c r="K3" s="31" t="e">
        <f>IF(VLOOKUP(A3,$K$26:$K$49,1,FALSE),"Cancelled")</f>
        <v>#N/A</v>
      </c>
    </row>
    <row r="4" spans="1:11" x14ac:dyDescent="0.25">
      <c r="A4" s="171"/>
      <c r="B4" s="47" t="str">
        <f>A4&amp;"-"&amp;IF(DAY(Variables!$A$2)&lt;10,0,"")&amp;DAY(Variables!$A$2)</f>
        <v>-15</v>
      </c>
      <c r="C4" s="158"/>
      <c r="D4" s="163"/>
      <c r="E4" s="31"/>
      <c r="F4" s="22" t="e">
        <f>VLOOKUP(B4,'Trips&amp;Operators'!$C$2:$E$10000,3,FALSE)</f>
        <v>#N/A</v>
      </c>
      <c r="G4" s="22" t="e">
        <f>VLOOKUP(B4,'Trips&amp;Operators'!$C$1:$F$10000,4,FALSE)</f>
        <v>#N/A</v>
      </c>
      <c r="H4" s="30" t="e">
        <f>VLOOKUP(B4,'Trips&amp;Operators'!$C$1:$H$10000,5,FALSE)</f>
        <v>#N/A</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4" s="31" t="e">
        <f>VLOOKUP(B4,'Train Runs'!$A$13:$A$99977,1,FALSE)</f>
        <v>#N/A</v>
      </c>
      <c r="K4" s="31" t="e">
        <f>IF(VLOOKUP(A4,$K$26:$K$49,1,FALSE),"Cancelled")</f>
        <v>#N/A</v>
      </c>
    </row>
    <row r="5" spans="1:11" x14ac:dyDescent="0.25">
      <c r="A5" s="171"/>
      <c r="B5" s="47" t="str">
        <f>A5&amp;"-"&amp;IF(DAY(Variables!$A$2)&lt;10,0,"")&amp;DAY(Variables!$A$2)</f>
        <v>-15</v>
      </c>
      <c r="C5" s="158"/>
      <c r="D5" s="163"/>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5" s="31" t="e">
        <f>VLOOKUP(B5,'Train Runs'!$A$13:$A$99977,1,FALSE)</f>
        <v>#N/A</v>
      </c>
      <c r="K5" s="31" t="e">
        <f>IF(VLOOKUP(A5,$K$26:$K$49,1,FALSE),"Cancelled")</f>
        <v>#N/A</v>
      </c>
    </row>
    <row r="6" spans="1:11" x14ac:dyDescent="0.25">
      <c r="A6" s="171"/>
      <c r="B6" s="47" t="str">
        <f>A6&amp;"-"&amp;IF(DAY(Variables!$A$2)&lt;10,0,"")&amp;DAY(Variables!$A$2)</f>
        <v>-15</v>
      </c>
      <c r="C6" s="158"/>
      <c r="D6" s="163"/>
      <c r="E6" s="31"/>
      <c r="F6" s="22" t="e">
        <f>VLOOKUP(B6,'Trips&amp;Operators'!$C$2:$E$10000,3,FALSE)</f>
        <v>#N/A</v>
      </c>
      <c r="G6" s="22" t="e">
        <f>VLOOKUP(B6,'Trips&amp;Operators'!$C$1:$F$10000,4,FALSE)</f>
        <v>#N/A</v>
      </c>
      <c r="H6" s="30" t="e">
        <f>VLOOKUP(B6,'Trips&amp;Operators'!$C$1:$H$10000,5,FALSE)</f>
        <v>#N/A</v>
      </c>
      <c r="I6" s="50" t="str">
        <f t="shared" ref="I6:I18" si="1">"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6&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6" s="31" t="e">
        <f>VLOOKUP(B6,'Train Runs'!$A$13:$A$99977,1,FALSE)</f>
        <v>#N/A</v>
      </c>
      <c r="K6" s="31" t="e">
        <f t="shared" ref="K6:K18" si="2">IF(VLOOKUP(A6,$K$26:$K$49,1,FALSE),"Cancelled")</f>
        <v>#N/A</v>
      </c>
    </row>
    <row r="7" spans="1:11" x14ac:dyDescent="0.25">
      <c r="A7" s="171"/>
      <c r="B7" s="47" t="str">
        <f>A7&amp;"-"&amp;IF(DAY(Variables!$A$2)&lt;10,0,"")&amp;DAY(Variables!$A$2)</f>
        <v>-15</v>
      </c>
      <c r="C7" s="158"/>
      <c r="D7" s="163"/>
      <c r="E7" s="31"/>
      <c r="F7" s="22" t="e">
        <f>VLOOKUP(B7,'Trips&amp;Operators'!$C$2:$E$10000,3,FALSE)</f>
        <v>#N/A</v>
      </c>
      <c r="G7" s="22" t="e">
        <f>VLOOKUP(B7,'Trips&amp;Operators'!$C$1:$F$10000,4,FALSE)</f>
        <v>#N/A</v>
      </c>
      <c r="H7" s="30" t="e">
        <f>VLOOKUP(B7,'Trips&amp;Operators'!$C$1:$H$10000,5,FALSE)</f>
        <v>#N/A</v>
      </c>
      <c r="I7"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7" s="31" t="e">
        <f>VLOOKUP(B7,'Train Runs'!$A$13:$A$99977,1,FALSE)</f>
        <v>#N/A</v>
      </c>
      <c r="K7" s="31" t="e">
        <f t="shared" si="2"/>
        <v>#N/A</v>
      </c>
    </row>
    <row r="8" spans="1:11" x14ac:dyDescent="0.25">
      <c r="A8" s="171"/>
      <c r="B8" s="47" t="str">
        <f>A8&amp;"-"&amp;IF(DAY(Variables!$A$2)&lt;10,0,"")&amp;DAY(Variables!$A$2)</f>
        <v>-15</v>
      </c>
      <c r="C8" s="158"/>
      <c r="D8" s="163"/>
      <c r="E8" s="31"/>
      <c r="F8" s="22" t="e">
        <f>VLOOKUP(B8,'Trips&amp;Operators'!$C$2:$E$10000,3,FALSE)</f>
        <v>#N/A</v>
      </c>
      <c r="G8" s="22" t="e">
        <f>VLOOKUP(B8,'Trips&amp;Operators'!$C$1:$F$10000,4,FALSE)</f>
        <v>#N/A</v>
      </c>
      <c r="H8" s="30" t="e">
        <f>VLOOKUP(B8,'Trips&amp;Operators'!$C$1:$H$10000,5,FALSE)</f>
        <v>#N/A</v>
      </c>
      <c r="I8"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8" s="31" t="e">
        <f>VLOOKUP(B8,'Train Runs'!$A$13:$A$99977,1,FALSE)</f>
        <v>#N/A</v>
      </c>
      <c r="K8" s="31" t="e">
        <f t="shared" si="2"/>
        <v>#N/A</v>
      </c>
    </row>
    <row r="9" spans="1:11" x14ac:dyDescent="0.25">
      <c r="A9" s="171"/>
      <c r="B9" s="47" t="str">
        <f>A9&amp;"-"&amp;IF(DAY(Variables!$A$2)&lt;10,0,"")&amp;DAY(Variables!$A$2)</f>
        <v>-15</v>
      </c>
      <c r="C9" s="158"/>
      <c r="D9" s="163"/>
      <c r="E9" s="31"/>
      <c r="F9" s="22" t="e">
        <f>VLOOKUP(B9,'Trips&amp;Operators'!$C$2:$E$10000,3,FALSE)</f>
        <v>#N/A</v>
      </c>
      <c r="G9" s="22" t="e">
        <f>VLOOKUP(B9,'Trips&amp;Operators'!$C$1:$F$10000,4,FALSE)</f>
        <v>#N/A</v>
      </c>
      <c r="H9" s="30" t="e">
        <f>VLOOKUP(B9,'Trips&amp;Operators'!$C$1:$H$10000,5,FALSE)</f>
        <v>#N/A</v>
      </c>
      <c r="I9"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9" s="31" t="e">
        <f>VLOOKUP(B9,'Train Runs'!$A$13:$A$99977,1,FALSE)</f>
        <v>#N/A</v>
      </c>
      <c r="K9" s="31" t="e">
        <f t="shared" si="2"/>
        <v>#N/A</v>
      </c>
    </row>
    <row r="10" spans="1:11" x14ac:dyDescent="0.25">
      <c r="A10" s="171"/>
      <c r="B10" s="47" t="str">
        <f>A10&amp;"-"&amp;IF(DAY(Variables!$A$2)&lt;10,0,"")&amp;DAY(Variables!$A$2)</f>
        <v>-15</v>
      </c>
      <c r="C10" s="158"/>
      <c r="D10" s="163"/>
      <c r="E10" s="31"/>
      <c r="F10" s="22" t="e">
        <f>VLOOKUP(B10,'Trips&amp;Operators'!$C$2:$E$10000,3,FALSE)</f>
        <v>#N/A</v>
      </c>
      <c r="G10" s="22" t="e">
        <f>VLOOKUP(B10,'Trips&amp;Operators'!$C$1:$F$10000,4,FALSE)</f>
        <v>#N/A</v>
      </c>
      <c r="H10" s="30" t="e">
        <f>VLOOKUP(B10,'Trips&amp;Operators'!$C$1:$H$10000,5,FALSE)</f>
        <v>#N/A</v>
      </c>
      <c r="I10"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0" s="31" t="e">
        <f>VLOOKUP(B10,'Train Runs'!$A$13:$A$99977,1,FALSE)</f>
        <v>#N/A</v>
      </c>
      <c r="K10" s="31" t="e">
        <f t="shared" si="2"/>
        <v>#N/A</v>
      </c>
    </row>
    <row r="11" spans="1:11" x14ac:dyDescent="0.25">
      <c r="A11" s="171"/>
      <c r="B11" s="47" t="str">
        <f>A11&amp;"-"&amp;IF(DAY(Variables!$A$2)&lt;10,0,"")&amp;DAY(Variables!$A$2)</f>
        <v>-15</v>
      </c>
      <c r="C11" s="158"/>
      <c r="D11" s="163"/>
      <c r="E11" s="31"/>
      <c r="F11" s="22" t="e">
        <f>VLOOKUP(B11,'Trips&amp;Operators'!$C$2:$E$10000,3,FALSE)</f>
        <v>#N/A</v>
      </c>
      <c r="G11" s="22" t="e">
        <f>VLOOKUP(B11,'Trips&amp;Operators'!$C$1:$F$10000,4,FALSE)</f>
        <v>#N/A</v>
      </c>
      <c r="H11" s="30" t="e">
        <f>VLOOKUP(B11,'Trips&amp;Operators'!$C$1:$H$10000,5,FALSE)</f>
        <v>#N/A</v>
      </c>
      <c r="I11"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1" s="31" t="e">
        <f>VLOOKUP(B11,'Train Runs'!$A$13:$A$99977,1,FALSE)</f>
        <v>#N/A</v>
      </c>
      <c r="K11" s="31" t="e">
        <f t="shared" si="2"/>
        <v>#N/A</v>
      </c>
    </row>
    <row r="12" spans="1:11" x14ac:dyDescent="0.25">
      <c r="A12" s="171"/>
      <c r="B12" s="47" t="str">
        <f>A12&amp;"-"&amp;IF(DAY(Variables!$A$2)&lt;10,0,"")&amp;DAY(Variables!$A$2)</f>
        <v>-15</v>
      </c>
      <c r="C12" s="158"/>
      <c r="D12" s="163"/>
      <c r="E12" s="31"/>
      <c r="F12" s="22" t="e">
        <f>VLOOKUP(B12,'Trips&amp;Operators'!$C$2:$E$10000,3,FALSE)</f>
        <v>#N/A</v>
      </c>
      <c r="G12" s="22" t="e">
        <f>VLOOKUP(B12,'Trips&amp;Operators'!$C$1:$F$10000,4,FALSE)</f>
        <v>#N/A</v>
      </c>
      <c r="H12" s="30" t="e">
        <f>VLOOKUP(B12,'Trips&amp;Operators'!$C$1:$H$10000,5,FALSE)</f>
        <v>#N/A</v>
      </c>
      <c r="I12"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2" s="31" t="e">
        <f>VLOOKUP(B12,'Train Runs'!$A$13:$A$99977,1,FALSE)</f>
        <v>#N/A</v>
      </c>
      <c r="K12" s="31" t="e">
        <f t="shared" si="2"/>
        <v>#N/A</v>
      </c>
    </row>
    <row r="13" spans="1:11" x14ac:dyDescent="0.25">
      <c r="A13" s="171"/>
      <c r="B13" s="47" t="str">
        <f>A13&amp;"-"&amp;IF(DAY(Variables!$A$2)&lt;10,0,"")&amp;DAY(Variables!$A$2)</f>
        <v>-15</v>
      </c>
      <c r="C13" s="158"/>
      <c r="D13" s="163"/>
      <c r="E13" s="31"/>
      <c r="F13" s="22" t="e">
        <f>VLOOKUP(B13,'Trips&amp;Operators'!$C$2:$E$10000,3,FALSE)</f>
        <v>#N/A</v>
      </c>
      <c r="G13" s="22" t="e">
        <f>VLOOKUP(B13,'Trips&amp;Operators'!$C$1:$F$10000,4,FALSE)</f>
        <v>#N/A</v>
      </c>
      <c r="H13" s="30" t="e">
        <f>VLOOKUP(B13,'Trips&amp;Operators'!$C$1:$H$10000,5,FALSE)</f>
        <v>#N/A</v>
      </c>
      <c r="I13"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3" s="31" t="e">
        <f>VLOOKUP(B13,'Train Runs'!$A$13:$A$99977,1,FALSE)</f>
        <v>#N/A</v>
      </c>
      <c r="K13" s="31" t="e">
        <f t="shared" si="2"/>
        <v>#N/A</v>
      </c>
    </row>
    <row r="14" spans="1:11" x14ac:dyDescent="0.25">
      <c r="A14" s="171"/>
      <c r="B14" s="47" t="str">
        <f>A14&amp;"-"&amp;IF(DAY(Variables!$A$2)&lt;10,0,"")&amp;DAY(Variables!$A$2)</f>
        <v>-15</v>
      </c>
      <c r="C14" s="158"/>
      <c r="D14" s="163"/>
      <c r="E14" s="31"/>
      <c r="F14" s="22" t="e">
        <f>VLOOKUP(B14,'Trips&amp;Operators'!$C$2:$E$10000,3,FALSE)</f>
        <v>#N/A</v>
      </c>
      <c r="G14" s="22" t="e">
        <f>VLOOKUP(B14,'Trips&amp;Operators'!$C$1:$F$10000,4,FALSE)</f>
        <v>#N/A</v>
      </c>
      <c r="H14" s="30" t="e">
        <f>VLOOKUP(B14,'Trips&amp;Operators'!$C$1:$H$10000,5,FALSE)</f>
        <v>#N/A</v>
      </c>
      <c r="I14"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4" s="31" t="e">
        <f>VLOOKUP(B14,'Train Runs'!$A$13:$A$99977,1,FALSE)</f>
        <v>#N/A</v>
      </c>
      <c r="K14" s="31" t="e">
        <f t="shared" si="2"/>
        <v>#N/A</v>
      </c>
    </row>
    <row r="15" spans="1:11" x14ac:dyDescent="0.25">
      <c r="A15" s="171"/>
      <c r="B15" s="47" t="str">
        <f>A15&amp;"-"&amp;IF(DAY(Variables!$A$2)&lt;10,0,"")&amp;DAY(Variables!$A$2)</f>
        <v>-15</v>
      </c>
      <c r="C15" s="158"/>
      <c r="D15" s="163"/>
      <c r="E15" s="31"/>
      <c r="F15" s="22" t="e">
        <f>VLOOKUP(B15,'Trips&amp;Operators'!$C$2:$E$10000,3,FALSE)</f>
        <v>#N/A</v>
      </c>
      <c r="G15" s="22" t="e">
        <f>VLOOKUP(B15,'Trips&amp;Operators'!$C$1:$F$10000,4,FALSE)</f>
        <v>#N/A</v>
      </c>
      <c r="H15" s="30" t="e">
        <f>VLOOKUP(B15,'Trips&amp;Operators'!$C$1:$H$10000,5,FALSE)</f>
        <v>#N/A</v>
      </c>
      <c r="I15"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5" s="31" t="e">
        <f>VLOOKUP(B15,'Train Runs'!$A$13:$A$99977,1,FALSE)</f>
        <v>#N/A</v>
      </c>
      <c r="K15" s="31" t="e">
        <f t="shared" si="2"/>
        <v>#N/A</v>
      </c>
    </row>
    <row r="16" spans="1:11" x14ac:dyDescent="0.25">
      <c r="A16" s="171"/>
      <c r="B16" s="47" t="str">
        <f>A16&amp;"-"&amp;IF(DAY(Variables!$A$2)&lt;10,0,"")&amp;DAY(Variables!$A$2)</f>
        <v>-15</v>
      </c>
      <c r="C16" s="158"/>
      <c r="D16" s="163"/>
      <c r="E16" s="31"/>
      <c r="F16" s="22" t="e">
        <f>VLOOKUP(B16,'Trips&amp;Operators'!$C$2:$E$10000,3,FALSE)</f>
        <v>#N/A</v>
      </c>
      <c r="G16" s="22" t="e">
        <f>VLOOKUP(B16,'Trips&amp;Operators'!$C$1:$F$10000,4,FALSE)</f>
        <v>#N/A</v>
      </c>
      <c r="H16" s="30" t="e">
        <f>VLOOKUP(B16,'Trips&amp;Operators'!$C$1:$H$10000,5,FALSE)</f>
        <v>#N/A</v>
      </c>
      <c r="I16"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6" s="31" t="e">
        <f>VLOOKUP(B16,'Train Runs'!$A$13:$A$99977,1,FALSE)</f>
        <v>#N/A</v>
      </c>
      <c r="K16" s="31" t="e">
        <f t="shared" si="2"/>
        <v>#N/A</v>
      </c>
    </row>
    <row r="17" spans="1:11" x14ac:dyDescent="0.25">
      <c r="A17" s="171"/>
      <c r="B17" s="47" t="str">
        <f>A17&amp;"-"&amp;IF(DAY(Variables!$A$2)&lt;10,0,"")&amp;DAY(Variables!$A$2)</f>
        <v>-15</v>
      </c>
      <c r="C17" s="158"/>
      <c r="D17" s="163"/>
      <c r="E17" s="31"/>
      <c r="F17" s="22" t="e">
        <f>VLOOKUP(B17,'Trips&amp;Operators'!$C$2:$E$10000,3,FALSE)</f>
        <v>#N/A</v>
      </c>
      <c r="G17" s="22" t="e">
        <f>VLOOKUP(B17,'Trips&amp;Operators'!$C$1:$F$10000,4,FALSE)</f>
        <v>#N/A</v>
      </c>
      <c r="H17" s="30" t="e">
        <f>VLOOKUP(B17,'Trips&amp;Operators'!$C$1:$H$10000,5,FALSE)</f>
        <v>#N/A</v>
      </c>
      <c r="I17"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7" s="31" t="e">
        <f>VLOOKUP(B17,'Train Runs'!$A$13:$A$99977,1,FALSE)</f>
        <v>#N/A</v>
      </c>
      <c r="K17" s="31" t="e">
        <f t="shared" si="2"/>
        <v>#N/A</v>
      </c>
    </row>
    <row r="18" spans="1:11" x14ac:dyDescent="0.25">
      <c r="A18" s="171"/>
      <c r="B18" s="47" t="str">
        <f>A18&amp;"-"&amp;IF(DAY(Variables!$A$2)&lt;10,0,"")&amp;DAY(Variables!$A$2)</f>
        <v>-15</v>
      </c>
      <c r="C18" s="158"/>
      <c r="D18" s="163"/>
      <c r="E18" s="31"/>
      <c r="F18" s="22" t="e">
        <f>VLOOKUP(B18,'Trips&amp;Operators'!$C$2:$E$10000,3,FALSE)</f>
        <v>#N/A</v>
      </c>
      <c r="G18" s="22" t="e">
        <f>VLOOKUP(B18,'Trips&amp;Operators'!$C$1:$F$10000,4,FALSE)</f>
        <v>#N/A</v>
      </c>
      <c r="H18" s="30" t="e">
        <f>VLOOKUP(B18,'Trips&amp;Operators'!$C$1:$H$10000,5,FALSE)</f>
        <v>#N/A</v>
      </c>
      <c r="I18" s="50" t="str">
        <f t="shared" si="1"/>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-15%22)),sort:!(Time,asc))</v>
      </c>
      <c r="J18" s="31" t="e">
        <f>VLOOKUP(B18,'Train Runs'!$A$13:$A$99977,1,FALSE)</f>
        <v>#N/A</v>
      </c>
      <c r="K18" s="31" t="e">
        <f t="shared" si="2"/>
        <v>#N/A</v>
      </c>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election sqref="A1:F244"/>
    </sheetView>
  </sheetViews>
  <sheetFormatPr defaultRowHeight="15" x14ac:dyDescent="0.25"/>
  <cols>
    <col min="1" max="1" width="18.28515625" style="8" bestFit="1" customWidth="1"/>
    <col min="2" max="2" width="17" bestFit="1" customWidth="1"/>
    <col min="3" max="3" width="10.140625" bestFit="1" customWidth="1"/>
    <col min="4" max="4" width="9.28515625" style="165" customWidth="1"/>
    <col min="5" max="5" width="19.7109375" bestFit="1" customWidth="1"/>
    <col min="6" max="6" width="17" style="21" bestFit="1" customWidth="1"/>
    <col min="7" max="7" width="18.28515625" style="8" bestFit="1" customWidth="1"/>
  </cols>
  <sheetData>
    <row r="1" spans="1:7" s="21" customFormat="1" x14ac:dyDescent="0.25">
      <c r="A1" s="8" t="s">
        <v>177</v>
      </c>
      <c r="B1" s="21" t="s">
        <v>178</v>
      </c>
      <c r="C1" s="21" t="s">
        <v>0</v>
      </c>
      <c r="D1" s="165" t="s">
        <v>179</v>
      </c>
      <c r="E1" s="21" t="s">
        <v>180</v>
      </c>
      <c r="F1" s="21" t="s">
        <v>269</v>
      </c>
      <c r="G1" s="8" t="s">
        <v>268</v>
      </c>
    </row>
    <row r="2" spans="1:7" x14ac:dyDescent="0.25">
      <c r="A2" s="8">
        <v>42719.033333333333</v>
      </c>
      <c r="B2" s="21" t="s">
        <v>279</v>
      </c>
      <c r="C2" s="21" t="s">
        <v>361</v>
      </c>
      <c r="D2" s="165">
        <v>1300000</v>
      </c>
      <c r="E2" s="21" t="s">
        <v>113</v>
      </c>
      <c r="F2" s="21" t="s">
        <v>326</v>
      </c>
      <c r="G2" s="8" t="str">
        <f>E2&amp;" "&amp;F2</f>
        <v>LEVIN SCOTT</v>
      </c>
    </row>
    <row r="3" spans="1:7" x14ac:dyDescent="0.25">
      <c r="A3" s="8">
        <v>42719.046354166669</v>
      </c>
      <c r="B3" s="21" t="s">
        <v>227</v>
      </c>
      <c r="C3" s="21" t="s">
        <v>391</v>
      </c>
      <c r="D3" s="165">
        <v>1230000</v>
      </c>
      <c r="E3" s="21" t="s">
        <v>255</v>
      </c>
      <c r="F3" s="21" t="s">
        <v>264</v>
      </c>
      <c r="G3" s="8" t="str">
        <f t="shared" ref="G3:G66" si="0">E3&amp;" "&amp;F3</f>
        <v>YANAI IAN</v>
      </c>
    </row>
    <row r="4" spans="1:7" x14ac:dyDescent="0.25">
      <c r="A4" s="8">
        <v>42719.046932870369</v>
      </c>
      <c r="B4" s="21" t="s">
        <v>227</v>
      </c>
      <c r="C4" s="21" t="s">
        <v>391</v>
      </c>
      <c r="D4" s="165">
        <v>1230000</v>
      </c>
      <c r="E4" s="21" t="s">
        <v>255</v>
      </c>
      <c r="F4" s="21" t="s">
        <v>264</v>
      </c>
      <c r="G4" s="8" t="str">
        <f t="shared" si="0"/>
        <v>YANAI IAN</v>
      </c>
    </row>
    <row r="5" spans="1:7" x14ac:dyDescent="0.25">
      <c r="A5" s="8">
        <v>42719.054444444446</v>
      </c>
      <c r="B5" s="21" t="s">
        <v>261</v>
      </c>
      <c r="C5" s="21" t="s">
        <v>392</v>
      </c>
      <c r="D5" s="165">
        <v>2620000</v>
      </c>
      <c r="E5" s="21" t="s">
        <v>387</v>
      </c>
      <c r="F5" s="21" t="s">
        <v>388</v>
      </c>
      <c r="G5" s="8" t="str">
        <f t="shared" si="0"/>
        <v>PERKINS DARREN</v>
      </c>
    </row>
    <row r="6" spans="1:7" x14ac:dyDescent="0.25">
      <c r="A6" s="8">
        <v>42719.068981481483</v>
      </c>
      <c r="B6" s="21" t="s">
        <v>233</v>
      </c>
      <c r="C6" s="21" t="s">
        <v>393</v>
      </c>
      <c r="D6" s="165">
        <v>1300000</v>
      </c>
      <c r="E6" s="21" t="s">
        <v>113</v>
      </c>
      <c r="F6" s="21" t="s">
        <v>326</v>
      </c>
      <c r="G6" s="8" t="str">
        <f t="shared" si="0"/>
        <v>LEVIN SCOTT</v>
      </c>
    </row>
    <row r="7" spans="1:7" x14ac:dyDescent="0.25">
      <c r="A7" s="8">
        <v>42719.069884259261</v>
      </c>
      <c r="B7" s="21" t="s">
        <v>233</v>
      </c>
      <c r="C7" s="21" t="s">
        <v>393</v>
      </c>
      <c r="D7" s="165">
        <v>1300000</v>
      </c>
      <c r="E7" s="21" t="s">
        <v>113</v>
      </c>
      <c r="F7" s="21" t="s">
        <v>326</v>
      </c>
      <c r="G7" s="8" t="str">
        <f t="shared" si="0"/>
        <v>LEVIN SCOTT</v>
      </c>
    </row>
    <row r="8" spans="1:7" x14ac:dyDescent="0.25">
      <c r="A8" s="8">
        <v>42719.071261574078</v>
      </c>
      <c r="B8" s="21" t="s">
        <v>233</v>
      </c>
      <c r="C8" s="21" t="s">
        <v>393</v>
      </c>
      <c r="D8" s="165">
        <v>1300000</v>
      </c>
      <c r="E8" s="21" t="s">
        <v>113</v>
      </c>
      <c r="F8" s="21" t="s">
        <v>326</v>
      </c>
      <c r="G8" s="8" t="str">
        <f t="shared" si="0"/>
        <v>LEVIN SCOTT</v>
      </c>
    </row>
    <row r="9" spans="1:7" ht="15.75" thickBot="1" x14ac:dyDescent="0.3">
      <c r="A9" s="25">
        <v>42719.09302083333</v>
      </c>
      <c r="B9" s="21" t="s">
        <v>184</v>
      </c>
      <c r="C9" s="21" t="s">
        <v>394</v>
      </c>
      <c r="D9" s="165">
        <v>2620000</v>
      </c>
      <c r="E9" s="21" t="s">
        <v>387</v>
      </c>
      <c r="F9" s="21" t="s">
        <v>388</v>
      </c>
      <c r="G9" s="8" t="str">
        <f t="shared" si="0"/>
        <v>PERKINS DARREN</v>
      </c>
    </row>
    <row r="10" spans="1:7" x14ac:dyDescent="0.25">
      <c r="A10" s="8">
        <v>42719.121122685188</v>
      </c>
      <c r="B10" s="21" t="s">
        <v>364</v>
      </c>
      <c r="C10" s="21" t="s">
        <v>581</v>
      </c>
      <c r="D10" s="165">
        <v>2010000</v>
      </c>
      <c r="E10" s="21" t="s">
        <v>367</v>
      </c>
      <c r="F10" s="21" t="s">
        <v>368</v>
      </c>
      <c r="G10" s="8" t="str">
        <f t="shared" si="0"/>
        <v>MAELZER KURT</v>
      </c>
    </row>
    <row r="11" spans="1:7" x14ac:dyDescent="0.25">
      <c r="A11" s="8">
        <v>42719.134548611109</v>
      </c>
      <c r="B11" s="21" t="s">
        <v>206</v>
      </c>
      <c r="C11" s="21" t="s">
        <v>582</v>
      </c>
      <c r="D11" s="165">
        <v>2010000</v>
      </c>
      <c r="E11" s="21" t="s">
        <v>367</v>
      </c>
      <c r="F11" s="21" t="s">
        <v>368</v>
      </c>
      <c r="G11" s="8" t="str">
        <f t="shared" si="0"/>
        <v>MAELZER KURT</v>
      </c>
    </row>
    <row r="12" spans="1:7" x14ac:dyDescent="0.25">
      <c r="A12" s="8">
        <v>42719.139050925929</v>
      </c>
      <c r="B12" s="21" t="s">
        <v>555</v>
      </c>
      <c r="C12" s="21" t="s">
        <v>583</v>
      </c>
      <c r="D12" s="165">
        <v>1090000</v>
      </c>
      <c r="E12" s="21" t="s">
        <v>325</v>
      </c>
      <c r="F12" s="21" t="s">
        <v>282</v>
      </c>
      <c r="G12" s="8" t="str">
        <f t="shared" si="0"/>
        <v>SPECTOR MICHAEL</v>
      </c>
    </row>
    <row r="13" spans="1:7" x14ac:dyDescent="0.25">
      <c r="A13" s="8">
        <v>42719.15121527778</v>
      </c>
      <c r="B13" s="21" t="s">
        <v>250</v>
      </c>
      <c r="C13" s="21" t="s">
        <v>552</v>
      </c>
      <c r="D13" s="165">
        <v>1090000</v>
      </c>
      <c r="E13" s="21" t="s">
        <v>325</v>
      </c>
      <c r="F13" s="21" t="s">
        <v>282</v>
      </c>
      <c r="G13" s="8" t="str">
        <f t="shared" si="0"/>
        <v>SPECTOR MICHAEL</v>
      </c>
    </row>
    <row r="14" spans="1:7" x14ac:dyDescent="0.25">
      <c r="A14" s="8">
        <v>42719.159571759257</v>
      </c>
      <c r="B14" s="21" t="s">
        <v>270</v>
      </c>
      <c r="C14" s="21" t="s">
        <v>584</v>
      </c>
      <c r="D14" s="165">
        <v>2140000</v>
      </c>
      <c r="E14" s="21" t="s">
        <v>585</v>
      </c>
      <c r="F14" s="21" t="s">
        <v>586</v>
      </c>
      <c r="G14" s="8" t="str">
        <f t="shared" si="0"/>
        <v>ROBINSON KADDIBA</v>
      </c>
    </row>
    <row r="15" spans="1:7" x14ac:dyDescent="0.25">
      <c r="A15" s="8">
        <v>42719.160729166666</v>
      </c>
      <c r="B15" s="21" t="s">
        <v>250</v>
      </c>
      <c r="C15" s="21" t="s">
        <v>552</v>
      </c>
      <c r="D15" s="165">
        <v>1090000</v>
      </c>
      <c r="E15" s="21" t="s">
        <v>325</v>
      </c>
      <c r="F15" s="21" t="s">
        <v>282</v>
      </c>
      <c r="G15" s="8" t="str">
        <f t="shared" si="0"/>
        <v>SPECTOR MICHAEL</v>
      </c>
    </row>
    <row r="16" spans="1:7" x14ac:dyDescent="0.25">
      <c r="A16" s="8">
        <v>42719.161689814813</v>
      </c>
      <c r="B16" s="21" t="s">
        <v>250</v>
      </c>
      <c r="C16" s="21" t="s">
        <v>552</v>
      </c>
      <c r="D16" s="165">
        <v>1090000</v>
      </c>
      <c r="E16" s="21" t="s">
        <v>325</v>
      </c>
      <c r="F16" s="21" t="s">
        <v>282</v>
      </c>
      <c r="G16" s="8" t="str">
        <f t="shared" si="0"/>
        <v>SPECTOR MICHAEL</v>
      </c>
    </row>
    <row r="17" spans="1:7" x14ac:dyDescent="0.25">
      <c r="A17" s="8">
        <v>42719.169953703706</v>
      </c>
      <c r="B17" s="21" t="s">
        <v>232</v>
      </c>
      <c r="C17" s="21" t="s">
        <v>587</v>
      </c>
      <c r="D17" s="165">
        <v>2140000</v>
      </c>
      <c r="E17" s="21" t="s">
        <v>585</v>
      </c>
      <c r="F17" s="21" t="s">
        <v>586</v>
      </c>
      <c r="G17" s="8" t="str">
        <f t="shared" si="0"/>
        <v>ROBINSON KADDIBA</v>
      </c>
    </row>
    <row r="18" spans="1:7" x14ac:dyDescent="0.25">
      <c r="A18" s="8">
        <v>42719.173009259262</v>
      </c>
      <c r="B18" s="21" t="s">
        <v>364</v>
      </c>
      <c r="C18" s="21" t="s">
        <v>588</v>
      </c>
      <c r="D18" s="165">
        <v>2010000</v>
      </c>
      <c r="E18" s="21" t="s">
        <v>367</v>
      </c>
      <c r="F18" s="21" t="s">
        <v>368</v>
      </c>
      <c r="G18" s="8" t="str">
        <f t="shared" si="0"/>
        <v>MAELZER KURT</v>
      </c>
    </row>
    <row r="19" spans="1:7" x14ac:dyDescent="0.25">
      <c r="A19" s="8">
        <v>42719.175081018519</v>
      </c>
      <c r="B19" s="21" t="s">
        <v>257</v>
      </c>
      <c r="C19" s="21" t="s">
        <v>589</v>
      </c>
      <c r="D19" s="165">
        <v>1760000</v>
      </c>
      <c r="E19" s="21" t="s">
        <v>590</v>
      </c>
      <c r="F19" s="21" t="s">
        <v>591</v>
      </c>
      <c r="G19" s="8" t="str">
        <f t="shared" si="0"/>
        <v>STRICKLAND EVAN</v>
      </c>
    </row>
    <row r="20" spans="1:7" x14ac:dyDescent="0.25">
      <c r="A20" s="8">
        <v>42719.176365740743</v>
      </c>
      <c r="B20" s="21" t="s">
        <v>257</v>
      </c>
      <c r="C20" s="21" t="s">
        <v>589</v>
      </c>
      <c r="D20" s="165">
        <v>1760000</v>
      </c>
      <c r="E20" s="21" t="s">
        <v>590</v>
      </c>
      <c r="F20" s="21" t="s">
        <v>591</v>
      </c>
      <c r="G20" s="8" t="str">
        <f t="shared" si="0"/>
        <v>STRICKLAND EVAN</v>
      </c>
    </row>
    <row r="21" spans="1:7" x14ac:dyDescent="0.25">
      <c r="A21" s="8">
        <v>42719.185416666667</v>
      </c>
      <c r="B21" s="21" t="s">
        <v>321</v>
      </c>
      <c r="C21" s="21" t="s">
        <v>592</v>
      </c>
      <c r="D21" s="165">
        <v>2720000</v>
      </c>
      <c r="E21" s="21" t="s">
        <v>593</v>
      </c>
      <c r="F21" s="21" t="s">
        <v>594</v>
      </c>
      <c r="G21" s="8" t="str">
        <f t="shared" si="0"/>
        <v>SIMONEAUX TERA</v>
      </c>
    </row>
    <row r="22" spans="1:7" x14ac:dyDescent="0.25">
      <c r="A22" s="27">
        <v>42719.185624999998</v>
      </c>
      <c r="B22" s="21" t="s">
        <v>260</v>
      </c>
      <c r="C22" s="21" t="s">
        <v>595</v>
      </c>
      <c r="D22" s="165">
        <v>1760000</v>
      </c>
      <c r="E22" s="21" t="s">
        <v>590</v>
      </c>
      <c r="F22" s="21" t="s">
        <v>591</v>
      </c>
      <c r="G22" s="8" t="str">
        <f t="shared" si="0"/>
        <v>STRICKLAND EVAN</v>
      </c>
    </row>
    <row r="23" spans="1:7" x14ac:dyDescent="0.25">
      <c r="A23" s="8">
        <v>42719.186724537038</v>
      </c>
      <c r="B23" s="21" t="s">
        <v>260</v>
      </c>
      <c r="C23" s="21" t="s">
        <v>595</v>
      </c>
      <c r="D23" s="165">
        <v>1760000</v>
      </c>
      <c r="E23" s="21" t="s">
        <v>590</v>
      </c>
      <c r="F23" s="21" t="s">
        <v>591</v>
      </c>
      <c r="G23" s="8" t="str">
        <f t="shared" si="0"/>
        <v>STRICKLAND EVAN</v>
      </c>
    </row>
    <row r="24" spans="1:7" x14ac:dyDescent="0.25">
      <c r="A24" s="8">
        <v>42719.196064814816</v>
      </c>
      <c r="B24" s="21" t="s">
        <v>327</v>
      </c>
      <c r="C24" s="21" t="s">
        <v>596</v>
      </c>
      <c r="D24" s="165">
        <v>2720000</v>
      </c>
      <c r="E24" s="21" t="s">
        <v>593</v>
      </c>
      <c r="F24" s="21" t="s">
        <v>594</v>
      </c>
      <c r="G24" s="8" t="str">
        <f t="shared" si="0"/>
        <v>SIMONEAUX TERA</v>
      </c>
    </row>
    <row r="25" spans="1:7" x14ac:dyDescent="0.25">
      <c r="A25" s="8">
        <v>42719.202916666669</v>
      </c>
      <c r="B25" s="21" t="s">
        <v>154</v>
      </c>
      <c r="C25" s="21" t="s">
        <v>597</v>
      </c>
      <c r="D25" s="165">
        <v>2660000</v>
      </c>
      <c r="E25" s="21" t="s">
        <v>598</v>
      </c>
      <c r="F25" s="21" t="s">
        <v>599</v>
      </c>
      <c r="G25" s="8" t="str">
        <f t="shared" si="0"/>
        <v>ALEXANDER DONNELL</v>
      </c>
    </row>
    <row r="26" spans="1:7" x14ac:dyDescent="0.25">
      <c r="A26" s="8">
        <v>42719.206446759257</v>
      </c>
      <c r="B26" s="21" t="s">
        <v>360</v>
      </c>
      <c r="C26" s="21" t="s">
        <v>600</v>
      </c>
      <c r="D26" s="165">
        <v>2010000</v>
      </c>
      <c r="E26" s="21" t="s">
        <v>367</v>
      </c>
      <c r="F26" s="21" t="s">
        <v>368</v>
      </c>
      <c r="G26" s="8" t="str">
        <f t="shared" si="0"/>
        <v>MAELZER KURT</v>
      </c>
    </row>
    <row r="27" spans="1:7" x14ac:dyDescent="0.25">
      <c r="A27" s="8">
        <v>42719.206585648149</v>
      </c>
      <c r="B27" s="21" t="s">
        <v>206</v>
      </c>
      <c r="C27" s="21" t="s">
        <v>601</v>
      </c>
      <c r="D27" s="165">
        <v>1110000</v>
      </c>
      <c r="E27" s="21" t="s">
        <v>296</v>
      </c>
      <c r="F27" s="21" t="s">
        <v>297</v>
      </c>
      <c r="G27" s="8" t="str">
        <f t="shared" si="0"/>
        <v>STARKS ANGELINA</v>
      </c>
    </row>
    <row r="28" spans="1:7" x14ac:dyDescent="0.25">
      <c r="A28" s="8">
        <v>42719.211157407408</v>
      </c>
      <c r="B28" s="21" t="s">
        <v>270</v>
      </c>
      <c r="C28" s="21" t="s">
        <v>602</v>
      </c>
      <c r="D28" s="165">
        <v>2140000</v>
      </c>
      <c r="E28" s="21" t="s">
        <v>585</v>
      </c>
      <c r="F28" s="21" t="s">
        <v>586</v>
      </c>
      <c r="G28" s="8" t="str">
        <f t="shared" si="0"/>
        <v>ROBINSON KADDIBA</v>
      </c>
    </row>
    <row r="29" spans="1:7" x14ac:dyDescent="0.25">
      <c r="A29" s="8">
        <v>42719.212060185186</v>
      </c>
      <c r="B29" s="21" t="s">
        <v>155</v>
      </c>
      <c r="C29" s="21" t="s">
        <v>603</v>
      </c>
      <c r="D29" s="165">
        <v>2660000</v>
      </c>
      <c r="E29" s="21" t="s">
        <v>598</v>
      </c>
      <c r="F29" s="21" t="s">
        <v>599</v>
      </c>
      <c r="G29" s="8" t="str">
        <f t="shared" si="0"/>
        <v>ALEXANDER DONNELL</v>
      </c>
    </row>
    <row r="30" spans="1:7" x14ac:dyDescent="0.25">
      <c r="A30" s="8">
        <v>42719.222418981481</v>
      </c>
      <c r="B30" s="21" t="s">
        <v>257</v>
      </c>
      <c r="C30" s="21" t="s">
        <v>553</v>
      </c>
      <c r="D30" s="165">
        <v>1760000</v>
      </c>
      <c r="E30" s="21" t="s">
        <v>590</v>
      </c>
      <c r="F30" s="21" t="s">
        <v>591</v>
      </c>
      <c r="G30" s="8" t="str">
        <f t="shared" si="0"/>
        <v>STRICKLAND EVAN</v>
      </c>
    </row>
    <row r="31" spans="1:7" x14ac:dyDescent="0.25">
      <c r="A31" s="8">
        <v>42719.227256944447</v>
      </c>
      <c r="B31" s="21" t="s">
        <v>250</v>
      </c>
      <c r="C31" s="21" t="s">
        <v>604</v>
      </c>
      <c r="D31" s="165">
        <v>1360000</v>
      </c>
      <c r="E31" s="21" t="s">
        <v>371</v>
      </c>
      <c r="F31" s="21" t="s">
        <v>372</v>
      </c>
      <c r="G31" s="8" t="str">
        <f t="shared" si="0"/>
        <v>SANTIZO D. EDY</v>
      </c>
    </row>
    <row r="32" spans="1:7" x14ac:dyDescent="0.25">
      <c r="A32" s="8">
        <v>42719.230729166666</v>
      </c>
      <c r="B32" s="21" t="s">
        <v>154</v>
      </c>
      <c r="C32" s="21" t="s">
        <v>605</v>
      </c>
      <c r="D32" s="165">
        <v>2660000</v>
      </c>
      <c r="E32" s="21" t="s">
        <v>598</v>
      </c>
      <c r="F32" s="21" t="s">
        <v>599</v>
      </c>
      <c r="G32" s="8" t="str">
        <f t="shared" si="0"/>
        <v>ALEXANDER DONNELL</v>
      </c>
    </row>
    <row r="33" spans="1:7" x14ac:dyDescent="0.25">
      <c r="A33" s="8">
        <v>42719.231006944443</v>
      </c>
      <c r="B33" s="21" t="s">
        <v>183</v>
      </c>
      <c r="C33" s="21" t="s">
        <v>606</v>
      </c>
      <c r="D33" s="165">
        <v>1090000</v>
      </c>
      <c r="E33" s="21" t="s">
        <v>325</v>
      </c>
      <c r="F33" s="21" t="s">
        <v>282</v>
      </c>
      <c r="G33" s="8" t="str">
        <f t="shared" si="0"/>
        <v>SPECTOR MICHAEL</v>
      </c>
    </row>
    <row r="34" spans="1:7" x14ac:dyDescent="0.25">
      <c r="A34" s="8">
        <v>42719.235983796294</v>
      </c>
      <c r="B34" s="21" t="s">
        <v>321</v>
      </c>
      <c r="C34" s="21" t="s">
        <v>607</v>
      </c>
      <c r="D34" s="165">
        <v>2720000</v>
      </c>
      <c r="E34" s="21" t="s">
        <v>593</v>
      </c>
      <c r="F34" s="21" t="s">
        <v>594</v>
      </c>
      <c r="G34" s="8" t="str">
        <f t="shared" si="0"/>
        <v>SIMONEAUX TERA</v>
      </c>
    </row>
    <row r="35" spans="1:7" x14ac:dyDescent="0.25">
      <c r="A35" s="8">
        <v>42719.246134259258</v>
      </c>
      <c r="B35" s="21" t="s">
        <v>211</v>
      </c>
      <c r="C35" s="21" t="s">
        <v>608</v>
      </c>
      <c r="D35" s="165">
        <v>1110000</v>
      </c>
      <c r="E35" s="21" t="s">
        <v>296</v>
      </c>
      <c r="F35" s="21" t="s">
        <v>297</v>
      </c>
      <c r="G35" s="8" t="str">
        <f t="shared" si="0"/>
        <v>STARKS ANGELINA</v>
      </c>
    </row>
    <row r="36" spans="1:7" x14ac:dyDescent="0.25">
      <c r="A36" s="8">
        <v>42719.247557870367</v>
      </c>
      <c r="B36" s="21" t="s">
        <v>237</v>
      </c>
      <c r="C36" s="21" t="s">
        <v>609</v>
      </c>
      <c r="D36" s="165">
        <v>1100000</v>
      </c>
      <c r="E36" s="21" t="s">
        <v>365</v>
      </c>
      <c r="F36" s="21" t="s">
        <v>366</v>
      </c>
      <c r="G36" s="8" t="str">
        <f t="shared" si="0"/>
        <v>GEBRETEKLE DAGNEW</v>
      </c>
    </row>
    <row r="37" spans="1:7" x14ac:dyDescent="0.25">
      <c r="A37" s="8">
        <v>42719.249351851853</v>
      </c>
      <c r="B37" s="21" t="s">
        <v>232</v>
      </c>
      <c r="C37" s="21" t="s">
        <v>610</v>
      </c>
      <c r="D37" s="165">
        <v>2140000</v>
      </c>
      <c r="E37" s="21" t="s">
        <v>585</v>
      </c>
      <c r="F37" s="21" t="s">
        <v>586</v>
      </c>
      <c r="G37" s="8" t="str">
        <f t="shared" si="0"/>
        <v>ROBINSON KADDIBA</v>
      </c>
    </row>
    <row r="38" spans="1:7" x14ac:dyDescent="0.25">
      <c r="A38" s="8">
        <v>42719.255162037036</v>
      </c>
      <c r="B38" s="21" t="s">
        <v>364</v>
      </c>
      <c r="C38" s="21" t="s">
        <v>611</v>
      </c>
      <c r="D38" s="165">
        <v>2010000</v>
      </c>
      <c r="E38" s="21" t="s">
        <v>367</v>
      </c>
      <c r="F38" s="21" t="s">
        <v>368</v>
      </c>
      <c r="G38" s="8" t="str">
        <f t="shared" si="0"/>
        <v>MAELZER KURT</v>
      </c>
    </row>
    <row r="39" spans="1:7" x14ac:dyDescent="0.25">
      <c r="A39" s="8">
        <v>42719.255243055559</v>
      </c>
      <c r="B39" s="21" t="s">
        <v>155</v>
      </c>
      <c r="C39" s="21" t="s">
        <v>612</v>
      </c>
      <c r="D39" s="165">
        <v>2660000</v>
      </c>
      <c r="E39" s="21" t="s">
        <v>598</v>
      </c>
      <c r="F39" s="21" t="s">
        <v>599</v>
      </c>
      <c r="G39" s="8" t="str">
        <f t="shared" si="0"/>
        <v>ALEXANDER DONNELL</v>
      </c>
    </row>
    <row r="40" spans="1:7" x14ac:dyDescent="0.25">
      <c r="A40" s="8">
        <v>42719.256493055553</v>
      </c>
      <c r="B40" s="26" t="s">
        <v>277</v>
      </c>
      <c r="C40" s="21" t="s">
        <v>554</v>
      </c>
      <c r="D40" s="165">
        <v>1360000</v>
      </c>
      <c r="E40" s="21" t="s">
        <v>371</v>
      </c>
      <c r="F40" s="21" t="s">
        <v>372</v>
      </c>
      <c r="G40" s="8" t="str">
        <f t="shared" si="0"/>
        <v>SANTIZO D. EDY</v>
      </c>
    </row>
    <row r="41" spans="1:7" x14ac:dyDescent="0.25">
      <c r="A41" s="8">
        <v>42719.256863425922</v>
      </c>
      <c r="B41" s="21" t="s">
        <v>260</v>
      </c>
      <c r="C41" s="21" t="s">
        <v>613</v>
      </c>
      <c r="D41" s="165">
        <v>1760000</v>
      </c>
      <c r="E41" s="21" t="s">
        <v>590</v>
      </c>
      <c r="F41" s="21" t="s">
        <v>591</v>
      </c>
      <c r="G41" s="8" t="str">
        <f t="shared" si="0"/>
        <v>STRICKLAND EVAN</v>
      </c>
    </row>
    <row r="42" spans="1:7" x14ac:dyDescent="0.25">
      <c r="A42" s="8">
        <v>42719.257106481484</v>
      </c>
      <c r="B42" s="21" t="s">
        <v>236</v>
      </c>
      <c r="C42" s="21" t="s">
        <v>614</v>
      </c>
      <c r="D42" s="165">
        <v>1100000</v>
      </c>
      <c r="E42" s="21" t="s">
        <v>365</v>
      </c>
      <c r="F42" s="21" t="s">
        <v>366</v>
      </c>
      <c r="G42" s="8" t="str">
        <f t="shared" si="0"/>
        <v>GEBRETEKLE DAGNEW</v>
      </c>
    </row>
    <row r="43" spans="1:7" x14ac:dyDescent="0.25">
      <c r="A43" s="8">
        <v>42719.266331018516</v>
      </c>
      <c r="B43" s="21" t="s">
        <v>327</v>
      </c>
      <c r="C43" s="21" t="s">
        <v>615</v>
      </c>
      <c r="D43" s="165">
        <v>2720000</v>
      </c>
      <c r="E43" s="21" t="s">
        <v>593</v>
      </c>
      <c r="F43" s="21" t="s">
        <v>594</v>
      </c>
      <c r="G43" s="8" t="str">
        <f t="shared" si="0"/>
        <v>SIMONEAUX TERA</v>
      </c>
    </row>
    <row r="44" spans="1:7" x14ac:dyDescent="0.25">
      <c r="A44" s="8">
        <v>42719.270069444443</v>
      </c>
      <c r="B44" s="21" t="s">
        <v>154</v>
      </c>
      <c r="C44" s="21" t="s">
        <v>616</v>
      </c>
      <c r="D44" s="165">
        <v>2660000</v>
      </c>
      <c r="E44" s="21" t="s">
        <v>598</v>
      </c>
      <c r="F44" s="21" t="s">
        <v>599</v>
      </c>
      <c r="G44" s="8" t="str">
        <f t="shared" si="0"/>
        <v>ALEXANDER DONNELL</v>
      </c>
    </row>
    <row r="45" spans="1:7" x14ac:dyDescent="0.25">
      <c r="A45" s="8">
        <v>42719.27238425926</v>
      </c>
      <c r="B45" s="21" t="s">
        <v>555</v>
      </c>
      <c r="C45" s="21" t="s">
        <v>556</v>
      </c>
      <c r="D45" s="165">
        <v>1090000</v>
      </c>
      <c r="E45" s="21" t="s">
        <v>325</v>
      </c>
      <c r="F45" s="21" t="s">
        <v>282</v>
      </c>
      <c r="G45" s="8" t="str">
        <f t="shared" si="0"/>
        <v>SPECTOR MICHAEL</v>
      </c>
    </row>
    <row r="46" spans="1:7" x14ac:dyDescent="0.25">
      <c r="A46" s="8">
        <v>42719.275752314818</v>
      </c>
      <c r="B46" s="21" t="s">
        <v>237</v>
      </c>
      <c r="C46" s="21" t="s">
        <v>617</v>
      </c>
      <c r="D46" s="165">
        <v>1100000</v>
      </c>
      <c r="E46" s="21" t="s">
        <v>365</v>
      </c>
      <c r="F46" s="21" t="s">
        <v>366</v>
      </c>
      <c r="G46" s="8" t="str">
        <f t="shared" si="0"/>
        <v>GEBRETEKLE DAGNEW</v>
      </c>
    </row>
    <row r="47" spans="1:7" x14ac:dyDescent="0.25">
      <c r="A47" s="8">
        <v>42719.279236111113</v>
      </c>
      <c r="B47" s="21" t="s">
        <v>206</v>
      </c>
      <c r="C47" s="21" t="s">
        <v>618</v>
      </c>
      <c r="D47" s="165">
        <v>1110000</v>
      </c>
      <c r="E47" s="21" t="s">
        <v>296</v>
      </c>
      <c r="F47" s="21" t="s">
        <v>297</v>
      </c>
      <c r="G47" s="8" t="str">
        <f t="shared" si="0"/>
        <v>STARKS ANGELINA</v>
      </c>
    </row>
    <row r="48" spans="1:7" x14ac:dyDescent="0.25">
      <c r="A48" s="8">
        <v>42719.284074074072</v>
      </c>
      <c r="B48" s="21" t="s">
        <v>240</v>
      </c>
      <c r="C48" s="21" t="s">
        <v>619</v>
      </c>
      <c r="D48" s="165">
        <v>2140000</v>
      </c>
      <c r="E48" s="21" t="s">
        <v>585</v>
      </c>
      <c r="F48" s="21" t="s">
        <v>586</v>
      </c>
      <c r="G48" s="8" t="str">
        <f t="shared" si="0"/>
        <v>ROBINSON KADDIBA</v>
      </c>
    </row>
    <row r="49" spans="1:7" x14ac:dyDescent="0.25">
      <c r="A49" s="8">
        <v>42719.288483796299</v>
      </c>
      <c r="B49" s="21" t="s">
        <v>360</v>
      </c>
      <c r="C49" s="21" t="s">
        <v>620</v>
      </c>
      <c r="D49" s="165">
        <v>2010000</v>
      </c>
      <c r="E49" s="21" t="s">
        <v>367</v>
      </c>
      <c r="F49" s="21" t="s">
        <v>368</v>
      </c>
      <c r="G49" s="8" t="str">
        <f t="shared" si="0"/>
        <v>MAELZER KURT</v>
      </c>
    </row>
    <row r="50" spans="1:7" x14ac:dyDescent="0.25">
      <c r="A50" s="8">
        <v>42719.291226851848</v>
      </c>
      <c r="B50" s="21" t="s">
        <v>236</v>
      </c>
      <c r="C50" s="21" t="s">
        <v>557</v>
      </c>
      <c r="D50" s="165">
        <v>1100000</v>
      </c>
      <c r="E50" s="21" t="s">
        <v>365</v>
      </c>
      <c r="F50" s="21" t="s">
        <v>366</v>
      </c>
      <c r="G50" s="8" t="str">
        <f t="shared" si="0"/>
        <v>GEBRETEKLE DAGNEW</v>
      </c>
    </row>
    <row r="51" spans="1:7" x14ac:dyDescent="0.25">
      <c r="A51" s="8">
        <v>42719.295416666668</v>
      </c>
      <c r="B51" s="21" t="s">
        <v>257</v>
      </c>
      <c r="C51" s="21" t="s">
        <v>621</v>
      </c>
      <c r="D51" s="165">
        <v>1760000</v>
      </c>
      <c r="E51" s="21" t="s">
        <v>590</v>
      </c>
      <c r="F51" s="21" t="s">
        <v>591</v>
      </c>
      <c r="G51" s="8" t="str">
        <f t="shared" si="0"/>
        <v>STRICKLAND EVAN</v>
      </c>
    </row>
    <row r="52" spans="1:7" x14ac:dyDescent="0.25">
      <c r="A52" s="8">
        <v>42719.297430555554</v>
      </c>
      <c r="B52" s="21" t="s">
        <v>155</v>
      </c>
      <c r="C52" s="21" t="s">
        <v>622</v>
      </c>
      <c r="D52" s="165">
        <v>2660000</v>
      </c>
      <c r="E52" s="21" t="s">
        <v>598</v>
      </c>
      <c r="F52" s="21" t="s">
        <v>599</v>
      </c>
      <c r="G52" s="8" t="str">
        <f t="shared" si="0"/>
        <v>ALEXANDER DONNELL</v>
      </c>
    </row>
    <row r="53" spans="1:7" x14ac:dyDescent="0.25">
      <c r="A53" s="8">
        <v>42719.298981481479</v>
      </c>
      <c r="B53" s="21" t="s">
        <v>250</v>
      </c>
      <c r="C53" s="21" t="s">
        <v>558</v>
      </c>
      <c r="D53" s="165">
        <v>1360000</v>
      </c>
      <c r="E53" s="21" t="s">
        <v>371</v>
      </c>
      <c r="F53" s="21" t="s">
        <v>372</v>
      </c>
      <c r="G53" s="8" t="str">
        <f t="shared" si="0"/>
        <v>SANTIZO D. EDY</v>
      </c>
    </row>
    <row r="54" spans="1:7" x14ac:dyDescent="0.25">
      <c r="A54" s="8">
        <v>42719.309583333335</v>
      </c>
      <c r="B54" s="21" t="s">
        <v>183</v>
      </c>
      <c r="C54" s="21" t="s">
        <v>559</v>
      </c>
      <c r="D54" s="165">
        <v>1090000</v>
      </c>
      <c r="E54" s="21" t="s">
        <v>325</v>
      </c>
      <c r="F54" s="21" t="s">
        <v>282</v>
      </c>
      <c r="G54" s="8" t="str">
        <f t="shared" si="0"/>
        <v>SPECTOR MICHAEL</v>
      </c>
    </row>
    <row r="55" spans="1:7" x14ac:dyDescent="0.25">
      <c r="A55" s="8">
        <v>42719.310127314813</v>
      </c>
      <c r="B55" s="21" t="s">
        <v>321</v>
      </c>
      <c r="C55" s="21" t="s">
        <v>623</v>
      </c>
      <c r="D55" s="165">
        <v>2720000</v>
      </c>
      <c r="E55" s="21" t="s">
        <v>593</v>
      </c>
      <c r="F55" s="21" t="s">
        <v>594</v>
      </c>
      <c r="G55" s="8" t="str">
        <f t="shared" si="0"/>
        <v>SIMONEAUX TERA</v>
      </c>
    </row>
    <row r="56" spans="1:7" x14ac:dyDescent="0.25">
      <c r="A56" s="8">
        <v>42719.311249999999</v>
      </c>
      <c r="B56" s="21" t="s">
        <v>154</v>
      </c>
      <c r="C56" s="21" t="s">
        <v>624</v>
      </c>
      <c r="D56" s="165">
        <v>2660000</v>
      </c>
      <c r="E56" s="21" t="s">
        <v>598</v>
      </c>
      <c r="F56" s="21" t="s">
        <v>599</v>
      </c>
      <c r="G56" s="8" t="str">
        <f t="shared" si="0"/>
        <v>ALEXANDER DONNELL</v>
      </c>
    </row>
    <row r="57" spans="1:7" x14ac:dyDescent="0.25">
      <c r="A57" s="8">
        <v>42719.318020833336</v>
      </c>
      <c r="B57" s="21" t="s">
        <v>237</v>
      </c>
      <c r="C57" s="21" t="s">
        <v>625</v>
      </c>
      <c r="D57" s="165">
        <v>1100000</v>
      </c>
      <c r="E57" s="21" t="s">
        <v>365</v>
      </c>
      <c r="F57" s="21" t="s">
        <v>366</v>
      </c>
      <c r="G57" s="8" t="str">
        <f t="shared" si="0"/>
        <v>GEBRETEKLE DAGNEW</v>
      </c>
    </row>
    <row r="58" spans="1:7" x14ac:dyDescent="0.25">
      <c r="A58" s="8">
        <v>42719.31826388889</v>
      </c>
      <c r="B58" s="21" t="s">
        <v>211</v>
      </c>
      <c r="C58" s="21" t="s">
        <v>560</v>
      </c>
      <c r="D58" s="165">
        <v>1110000</v>
      </c>
      <c r="E58" s="21" t="s">
        <v>296</v>
      </c>
      <c r="F58" s="21" t="s">
        <v>297</v>
      </c>
      <c r="G58" s="8" t="str">
        <f t="shared" si="0"/>
        <v>STARKS ANGELINA</v>
      </c>
    </row>
    <row r="59" spans="1:7" x14ac:dyDescent="0.25">
      <c r="A59" s="8">
        <v>42719.319699074076</v>
      </c>
      <c r="B59" s="21" t="s">
        <v>232</v>
      </c>
      <c r="C59" s="21" t="s">
        <v>626</v>
      </c>
      <c r="D59" s="165">
        <v>2140000</v>
      </c>
      <c r="E59" s="21" t="s">
        <v>585</v>
      </c>
      <c r="F59" s="21" t="s">
        <v>586</v>
      </c>
      <c r="G59" s="8" t="str">
        <f t="shared" si="0"/>
        <v>ROBINSON KADDIBA</v>
      </c>
    </row>
    <row r="60" spans="1:7" x14ac:dyDescent="0.25">
      <c r="A60" s="8">
        <v>42719.324363425927</v>
      </c>
      <c r="B60" s="21" t="s">
        <v>364</v>
      </c>
      <c r="C60" s="21" t="s">
        <v>627</v>
      </c>
      <c r="D60" s="165">
        <v>2010000</v>
      </c>
      <c r="E60" s="21" t="s">
        <v>367</v>
      </c>
      <c r="F60" s="21" t="s">
        <v>368</v>
      </c>
      <c r="G60" s="8" t="str">
        <f t="shared" si="0"/>
        <v>MAELZER KURT</v>
      </c>
    </row>
    <row r="61" spans="1:7" x14ac:dyDescent="0.25">
      <c r="A61" s="8">
        <v>42719.328969907408</v>
      </c>
      <c r="B61" s="21" t="s">
        <v>277</v>
      </c>
      <c r="C61" s="21" t="s">
        <v>628</v>
      </c>
      <c r="D61" s="165">
        <v>1360000</v>
      </c>
      <c r="E61" s="21" t="s">
        <v>371</v>
      </c>
      <c r="F61" s="21" t="s">
        <v>372</v>
      </c>
      <c r="G61" s="8" t="str">
        <f t="shared" si="0"/>
        <v>SANTIZO D. EDY</v>
      </c>
    </row>
    <row r="62" spans="1:7" x14ac:dyDescent="0.25">
      <c r="A62" s="8">
        <v>42719.33016203704</v>
      </c>
      <c r="B62" s="21" t="s">
        <v>260</v>
      </c>
      <c r="C62" s="21" t="s">
        <v>629</v>
      </c>
      <c r="D62" s="165">
        <v>1760000</v>
      </c>
      <c r="E62" s="21" t="s">
        <v>590</v>
      </c>
      <c r="F62" s="21" t="s">
        <v>591</v>
      </c>
      <c r="G62" s="8" t="str">
        <f t="shared" si="0"/>
        <v>STRICKLAND EVAN</v>
      </c>
    </row>
    <row r="63" spans="1:7" x14ac:dyDescent="0.25">
      <c r="A63" s="8">
        <v>42719.332905092589</v>
      </c>
      <c r="B63" s="21" t="s">
        <v>236</v>
      </c>
      <c r="C63" s="21" t="s">
        <v>562</v>
      </c>
      <c r="D63" s="165">
        <v>1100000</v>
      </c>
      <c r="E63" s="21" t="s">
        <v>365</v>
      </c>
      <c r="F63" s="21" t="s">
        <v>366</v>
      </c>
      <c r="G63" s="8" t="str">
        <f t="shared" si="0"/>
        <v>GEBRETEKLE DAGNEW</v>
      </c>
    </row>
    <row r="64" spans="1:7" x14ac:dyDescent="0.25">
      <c r="A64" s="27">
        <v>42719.338402777779</v>
      </c>
      <c r="B64" s="21" t="s">
        <v>155</v>
      </c>
      <c r="C64" s="21" t="s">
        <v>630</v>
      </c>
      <c r="D64" s="165">
        <v>2660000</v>
      </c>
      <c r="E64" s="21" t="s">
        <v>598</v>
      </c>
      <c r="F64" s="21" t="s">
        <v>599</v>
      </c>
      <c r="G64" s="8" t="str">
        <f t="shared" si="0"/>
        <v>ALEXANDER DONNELL</v>
      </c>
    </row>
    <row r="65" spans="1:7" x14ac:dyDescent="0.25">
      <c r="A65" s="8">
        <v>42719.343611111108</v>
      </c>
      <c r="B65" s="21" t="s">
        <v>555</v>
      </c>
      <c r="C65" s="21" t="s">
        <v>631</v>
      </c>
      <c r="D65" s="165">
        <v>1090000</v>
      </c>
      <c r="E65" s="21" t="s">
        <v>325</v>
      </c>
      <c r="F65" s="21" t="s">
        <v>282</v>
      </c>
      <c r="G65" s="8" t="str">
        <f t="shared" si="0"/>
        <v>SPECTOR MICHAEL</v>
      </c>
    </row>
    <row r="66" spans="1:7" x14ac:dyDescent="0.25">
      <c r="A66" s="8">
        <v>42719.34375</v>
      </c>
      <c r="B66" s="21" t="s">
        <v>271</v>
      </c>
      <c r="C66" s="21" t="s">
        <v>561</v>
      </c>
      <c r="D66" s="165">
        <v>2720000</v>
      </c>
      <c r="E66" s="21" t="s">
        <v>593</v>
      </c>
      <c r="F66" s="21" t="s">
        <v>594</v>
      </c>
      <c r="G66" s="8" t="str">
        <f t="shared" si="0"/>
        <v>SIMONEAUX TERA</v>
      </c>
    </row>
    <row r="67" spans="1:7" x14ac:dyDescent="0.25">
      <c r="A67" s="8">
        <v>42719.352465277778</v>
      </c>
      <c r="B67" s="21" t="s">
        <v>206</v>
      </c>
      <c r="C67" s="21" t="s">
        <v>632</v>
      </c>
      <c r="D67" s="165">
        <v>1110000</v>
      </c>
      <c r="E67" s="21" t="s">
        <v>296</v>
      </c>
      <c r="F67" s="21" t="s">
        <v>297</v>
      </c>
      <c r="G67" s="8" t="str">
        <f t="shared" ref="G67:G130" si="1">E67&amp;" "&amp;F67</f>
        <v>STARKS ANGELINA</v>
      </c>
    </row>
    <row r="68" spans="1:7" x14ac:dyDescent="0.25">
      <c r="A68" s="8">
        <v>42719.352673611109</v>
      </c>
      <c r="B68" s="21" t="s">
        <v>154</v>
      </c>
      <c r="C68" s="21" t="s">
        <v>633</v>
      </c>
      <c r="D68" s="165">
        <v>2660000</v>
      </c>
      <c r="E68" s="21" t="s">
        <v>598</v>
      </c>
      <c r="F68" s="21" t="s">
        <v>599</v>
      </c>
      <c r="G68" s="8" t="str">
        <f t="shared" si="1"/>
        <v>ALEXANDER DONNELL</v>
      </c>
    </row>
    <row r="69" spans="1:7" x14ac:dyDescent="0.25">
      <c r="A69" s="8">
        <v>42719.358020833337</v>
      </c>
      <c r="B69" s="21" t="s">
        <v>240</v>
      </c>
      <c r="C69" s="21" t="s">
        <v>634</v>
      </c>
      <c r="D69" s="165">
        <v>2140000</v>
      </c>
      <c r="E69" s="21" t="s">
        <v>585</v>
      </c>
      <c r="F69" s="21" t="s">
        <v>586</v>
      </c>
      <c r="G69" s="8" t="str">
        <f t="shared" si="1"/>
        <v>ROBINSON KADDIBA</v>
      </c>
    </row>
    <row r="70" spans="1:7" x14ac:dyDescent="0.25">
      <c r="A70" s="8">
        <v>42719.358842592592</v>
      </c>
      <c r="B70" s="21" t="s">
        <v>237</v>
      </c>
      <c r="C70" s="21" t="s">
        <v>635</v>
      </c>
      <c r="D70" s="165">
        <v>1100000</v>
      </c>
      <c r="E70" s="21" t="s">
        <v>365</v>
      </c>
      <c r="F70" s="21" t="s">
        <v>366</v>
      </c>
      <c r="G70" s="8" t="str">
        <f t="shared" si="1"/>
        <v>GEBRETEKLE DAGNEW</v>
      </c>
    </row>
    <row r="71" spans="1:7" x14ac:dyDescent="0.25">
      <c r="A71" s="8">
        <v>42719.364259259259</v>
      </c>
      <c r="B71" s="21" t="s">
        <v>360</v>
      </c>
      <c r="C71" s="21" t="s">
        <v>636</v>
      </c>
      <c r="D71" s="165">
        <v>2010000</v>
      </c>
      <c r="E71" s="21" t="s">
        <v>367</v>
      </c>
      <c r="F71" s="21" t="s">
        <v>368</v>
      </c>
      <c r="G71" s="8" t="str">
        <f t="shared" si="1"/>
        <v>MAELZER KURT</v>
      </c>
    </row>
    <row r="72" spans="1:7" x14ac:dyDescent="0.25">
      <c r="A72" s="8">
        <v>42719.366435185184</v>
      </c>
      <c r="B72" s="21" t="s">
        <v>257</v>
      </c>
      <c r="C72" s="21" t="s">
        <v>637</v>
      </c>
      <c r="D72" s="165">
        <v>1760000</v>
      </c>
      <c r="E72" s="21" t="s">
        <v>590</v>
      </c>
      <c r="F72" s="21" t="s">
        <v>591</v>
      </c>
      <c r="G72" s="8" t="str">
        <f t="shared" si="1"/>
        <v>STRICKLAND EVAN</v>
      </c>
    </row>
    <row r="73" spans="1:7" x14ac:dyDescent="0.25">
      <c r="A73" s="8">
        <v>42719.373206018521</v>
      </c>
      <c r="B73" s="21" t="s">
        <v>236</v>
      </c>
      <c r="C73" s="21" t="s">
        <v>638</v>
      </c>
      <c r="D73" s="165">
        <v>1100000</v>
      </c>
      <c r="E73" s="21" t="s">
        <v>365</v>
      </c>
      <c r="F73" s="21" t="s">
        <v>366</v>
      </c>
      <c r="G73" s="8" t="str">
        <f t="shared" si="1"/>
        <v>GEBRETEKLE DAGNEW</v>
      </c>
    </row>
    <row r="74" spans="1:7" x14ac:dyDescent="0.25">
      <c r="A74" s="8">
        <v>42719.373437499999</v>
      </c>
      <c r="B74" s="21" t="s">
        <v>250</v>
      </c>
      <c r="C74" s="21" t="s">
        <v>639</v>
      </c>
      <c r="D74" s="165">
        <v>920000</v>
      </c>
      <c r="E74" s="21" t="s">
        <v>283</v>
      </c>
      <c r="F74" s="21" t="s">
        <v>282</v>
      </c>
      <c r="G74" s="8" t="str">
        <f t="shared" si="1"/>
        <v>DAVIS MICHAEL</v>
      </c>
    </row>
    <row r="75" spans="1:7" x14ac:dyDescent="0.25">
      <c r="A75" s="8">
        <v>42719.375960648147</v>
      </c>
      <c r="B75" s="21" t="s">
        <v>270</v>
      </c>
      <c r="C75" s="21" t="s">
        <v>640</v>
      </c>
      <c r="D75" s="165">
        <v>2720000</v>
      </c>
      <c r="E75" s="21" t="s">
        <v>593</v>
      </c>
      <c r="F75" s="21" t="s">
        <v>594</v>
      </c>
      <c r="G75" s="8" t="str">
        <f t="shared" si="1"/>
        <v>SIMONEAUX TERA</v>
      </c>
    </row>
    <row r="76" spans="1:7" x14ac:dyDescent="0.25">
      <c r="A76" s="8">
        <v>42719.386932870373</v>
      </c>
      <c r="B76" s="21" t="s">
        <v>183</v>
      </c>
      <c r="C76" s="21" t="s">
        <v>641</v>
      </c>
      <c r="D76" s="165">
        <v>1090000</v>
      </c>
      <c r="E76" s="21" t="s">
        <v>325</v>
      </c>
      <c r="F76" s="21" t="s">
        <v>282</v>
      </c>
      <c r="G76" s="8" t="str">
        <f t="shared" si="1"/>
        <v>SPECTOR MICHAEL</v>
      </c>
    </row>
    <row r="77" spans="1:7" x14ac:dyDescent="0.25">
      <c r="A77" s="8">
        <v>42719.389490740738</v>
      </c>
      <c r="B77" s="21" t="s">
        <v>211</v>
      </c>
      <c r="C77" s="21" t="s">
        <v>563</v>
      </c>
      <c r="D77" s="165">
        <v>1110000</v>
      </c>
      <c r="E77" s="21" t="s">
        <v>296</v>
      </c>
      <c r="F77" s="21" t="s">
        <v>297</v>
      </c>
      <c r="G77" s="8" t="str">
        <f t="shared" si="1"/>
        <v>STARKS ANGELINA</v>
      </c>
    </row>
    <row r="78" spans="1:7" x14ac:dyDescent="0.25">
      <c r="A78" s="8">
        <v>42719.393692129626</v>
      </c>
      <c r="B78" s="21" t="s">
        <v>232</v>
      </c>
      <c r="C78" s="21" t="s">
        <v>642</v>
      </c>
      <c r="D78" s="165">
        <v>2140000</v>
      </c>
      <c r="E78" s="21" t="s">
        <v>585</v>
      </c>
      <c r="F78" s="21" t="s">
        <v>586</v>
      </c>
      <c r="G78" s="8" t="str">
        <f t="shared" si="1"/>
        <v>ROBINSON KADDIBA</v>
      </c>
    </row>
    <row r="79" spans="1:7" x14ac:dyDescent="0.25">
      <c r="A79" s="8">
        <v>42719.395937499998</v>
      </c>
      <c r="B79" s="21" t="s">
        <v>364</v>
      </c>
      <c r="C79" s="21" t="s">
        <v>643</v>
      </c>
      <c r="D79" s="165">
        <v>2010000</v>
      </c>
      <c r="E79" s="21" t="s">
        <v>367</v>
      </c>
      <c r="F79" s="21" t="s">
        <v>368</v>
      </c>
      <c r="G79" s="8" t="str">
        <f t="shared" si="1"/>
        <v>MAELZER KURT</v>
      </c>
    </row>
    <row r="80" spans="1:7" x14ac:dyDescent="0.25">
      <c r="A80" s="8">
        <v>42719.400879629633</v>
      </c>
      <c r="B80" s="21" t="s">
        <v>237</v>
      </c>
      <c r="C80" s="21" t="s">
        <v>644</v>
      </c>
      <c r="D80" s="165">
        <v>1100000</v>
      </c>
      <c r="E80" s="21" t="s">
        <v>365</v>
      </c>
      <c r="F80" s="21" t="s">
        <v>366</v>
      </c>
      <c r="G80" s="8" t="str">
        <f t="shared" si="1"/>
        <v>GEBRETEKLE DAGNEW</v>
      </c>
    </row>
    <row r="81" spans="1:7" x14ac:dyDescent="0.25">
      <c r="A81" s="8">
        <v>42719.403900462959</v>
      </c>
      <c r="B81" s="21" t="s">
        <v>260</v>
      </c>
      <c r="C81" s="21" t="s">
        <v>645</v>
      </c>
      <c r="D81" s="165">
        <v>1760000</v>
      </c>
      <c r="E81" s="21" t="s">
        <v>590</v>
      </c>
      <c r="F81" s="21" t="s">
        <v>591</v>
      </c>
      <c r="G81" s="8" t="str">
        <f t="shared" si="1"/>
        <v>STRICKLAND EVAN</v>
      </c>
    </row>
    <row r="82" spans="1:7" x14ac:dyDescent="0.25">
      <c r="A82" s="8">
        <v>42719.408784722225</v>
      </c>
      <c r="B82" s="21" t="s">
        <v>277</v>
      </c>
      <c r="C82" s="21" t="s">
        <v>646</v>
      </c>
      <c r="D82" s="165">
        <v>920000</v>
      </c>
      <c r="E82" s="21" t="s">
        <v>283</v>
      </c>
      <c r="F82" s="21" t="s">
        <v>282</v>
      </c>
      <c r="G82" s="8" t="str">
        <f t="shared" si="1"/>
        <v>DAVIS MICHAEL</v>
      </c>
    </row>
    <row r="83" spans="1:7" x14ac:dyDescent="0.25">
      <c r="A83" s="8">
        <v>42719.415208333332</v>
      </c>
      <c r="B83" s="21" t="s">
        <v>236</v>
      </c>
      <c r="C83" s="21" t="s">
        <v>647</v>
      </c>
      <c r="D83" s="165">
        <v>1100000</v>
      </c>
      <c r="E83" s="21" t="s">
        <v>365</v>
      </c>
      <c r="F83" s="21" t="s">
        <v>366</v>
      </c>
      <c r="G83" s="8" t="str">
        <f t="shared" si="1"/>
        <v>GEBRETEKLE DAGNEW</v>
      </c>
    </row>
    <row r="84" spans="1:7" x14ac:dyDescent="0.25">
      <c r="A84" s="8">
        <v>42719.415775462963</v>
      </c>
      <c r="B84" s="21" t="s">
        <v>271</v>
      </c>
      <c r="C84" s="21" t="s">
        <v>648</v>
      </c>
      <c r="D84" s="165">
        <v>2720000</v>
      </c>
      <c r="E84" s="21" t="s">
        <v>593</v>
      </c>
      <c r="F84" s="21" t="s">
        <v>594</v>
      </c>
      <c r="G84" s="8" t="str">
        <f t="shared" si="1"/>
        <v>SIMONEAUX TERA</v>
      </c>
    </row>
    <row r="85" spans="1:7" x14ac:dyDescent="0.25">
      <c r="A85" s="8">
        <v>42719.420243055552</v>
      </c>
      <c r="B85" s="21" t="s">
        <v>555</v>
      </c>
      <c r="C85" s="21" t="s">
        <v>564</v>
      </c>
      <c r="D85" s="165">
        <v>1090000</v>
      </c>
      <c r="E85" s="21" t="s">
        <v>325</v>
      </c>
      <c r="F85" s="21" t="s">
        <v>282</v>
      </c>
      <c r="G85" s="8" t="str">
        <f t="shared" si="1"/>
        <v>SPECTOR MICHAEL</v>
      </c>
    </row>
    <row r="86" spans="1:7" x14ac:dyDescent="0.25">
      <c r="A86" s="8">
        <v>42719.426111111112</v>
      </c>
      <c r="B86" s="21" t="s">
        <v>206</v>
      </c>
      <c r="C86" s="21" t="s">
        <v>649</v>
      </c>
      <c r="D86" s="165">
        <v>1110000</v>
      </c>
      <c r="E86" s="21" t="s">
        <v>296</v>
      </c>
      <c r="F86" s="21" t="s">
        <v>297</v>
      </c>
      <c r="G86" s="8" t="str">
        <f t="shared" si="1"/>
        <v>STARKS ANGELINA</v>
      </c>
    </row>
    <row r="87" spans="1:7" x14ac:dyDescent="0.25">
      <c r="A87" s="8">
        <v>42719.429456018515</v>
      </c>
      <c r="B87" s="21" t="s">
        <v>240</v>
      </c>
      <c r="C87" s="21" t="s">
        <v>650</v>
      </c>
      <c r="D87" s="165">
        <v>2140000</v>
      </c>
      <c r="E87" s="21" t="s">
        <v>585</v>
      </c>
      <c r="F87" s="21" t="s">
        <v>586</v>
      </c>
      <c r="G87" s="8" t="str">
        <f t="shared" si="1"/>
        <v>ROBINSON KADDIBA</v>
      </c>
    </row>
    <row r="88" spans="1:7" x14ac:dyDescent="0.25">
      <c r="A88" s="8">
        <v>42719.432766203703</v>
      </c>
      <c r="B88" s="21" t="s">
        <v>651</v>
      </c>
      <c r="C88" s="21" t="s">
        <v>652</v>
      </c>
      <c r="D88" s="165">
        <v>2270000</v>
      </c>
      <c r="E88" s="21" t="s">
        <v>369</v>
      </c>
      <c r="F88" s="21" t="s">
        <v>370</v>
      </c>
      <c r="G88" s="8" t="str">
        <f t="shared" si="1"/>
        <v>BROWN JACOB</v>
      </c>
    </row>
    <row r="89" spans="1:7" x14ac:dyDescent="0.25">
      <c r="A89" s="8">
        <v>42719.435370370367</v>
      </c>
      <c r="B89" s="21" t="s">
        <v>360</v>
      </c>
      <c r="C89" s="21" t="s">
        <v>653</v>
      </c>
      <c r="D89" s="165">
        <v>2660000</v>
      </c>
      <c r="E89" s="21" t="s">
        <v>598</v>
      </c>
      <c r="F89" s="21" t="s">
        <v>599</v>
      </c>
      <c r="G89" s="8" t="str">
        <f t="shared" si="1"/>
        <v>ALEXANDER DONNELL</v>
      </c>
    </row>
    <row r="90" spans="1:7" x14ac:dyDescent="0.25">
      <c r="A90" s="8">
        <v>42719.440393518518</v>
      </c>
      <c r="B90" s="21" t="s">
        <v>257</v>
      </c>
      <c r="C90" s="21" t="s">
        <v>654</v>
      </c>
      <c r="D90" s="165">
        <v>1760000</v>
      </c>
      <c r="E90" s="21" t="s">
        <v>590</v>
      </c>
      <c r="F90" s="21" t="s">
        <v>591</v>
      </c>
      <c r="G90" s="8" t="str">
        <f t="shared" si="1"/>
        <v>STRICKLAND EVAN</v>
      </c>
    </row>
    <row r="91" spans="1:7" x14ac:dyDescent="0.25">
      <c r="A91" s="8">
        <v>42719.442094907405</v>
      </c>
      <c r="B91" s="21" t="s">
        <v>237</v>
      </c>
      <c r="C91" s="21" t="s">
        <v>655</v>
      </c>
      <c r="D91" s="165">
        <v>1100000</v>
      </c>
      <c r="E91" s="21" t="s">
        <v>365</v>
      </c>
      <c r="F91" s="21" t="s">
        <v>366</v>
      </c>
      <c r="G91" s="8" t="str">
        <f t="shared" si="1"/>
        <v>GEBRETEKLE DAGNEW</v>
      </c>
    </row>
    <row r="92" spans="1:7" x14ac:dyDescent="0.25">
      <c r="A92" s="8">
        <v>42719.446481481478</v>
      </c>
      <c r="B92" s="21" t="s">
        <v>250</v>
      </c>
      <c r="C92" s="21" t="s">
        <v>656</v>
      </c>
      <c r="D92" s="165">
        <v>1360000</v>
      </c>
      <c r="E92" s="21" t="s">
        <v>371</v>
      </c>
      <c r="F92" s="21" t="s">
        <v>372</v>
      </c>
      <c r="G92" s="8" t="str">
        <f t="shared" si="1"/>
        <v>SANTIZO D. EDY</v>
      </c>
    </row>
    <row r="93" spans="1:7" x14ac:dyDescent="0.25">
      <c r="A93" s="8">
        <v>42719.454201388886</v>
      </c>
      <c r="B93" s="21" t="s">
        <v>270</v>
      </c>
      <c r="C93" s="21" t="s">
        <v>657</v>
      </c>
      <c r="D93" s="165">
        <v>2720000</v>
      </c>
      <c r="E93" s="21" t="s">
        <v>593</v>
      </c>
      <c r="F93" s="21" t="s">
        <v>594</v>
      </c>
      <c r="G93" s="8" t="str">
        <f t="shared" si="1"/>
        <v>SIMONEAUX TERA</v>
      </c>
    </row>
    <row r="94" spans="1:7" x14ac:dyDescent="0.25">
      <c r="A94" s="8">
        <v>42719.456284722219</v>
      </c>
      <c r="B94" s="21" t="s">
        <v>183</v>
      </c>
      <c r="C94" s="21" t="s">
        <v>658</v>
      </c>
      <c r="D94" s="165">
        <v>2600000</v>
      </c>
      <c r="E94" s="21" t="s">
        <v>238</v>
      </c>
      <c r="F94" s="21" t="s">
        <v>265</v>
      </c>
      <c r="G94" s="8" t="str">
        <f t="shared" si="1"/>
        <v>DAVIDSON DAVID</v>
      </c>
    </row>
    <row r="95" spans="1:7" x14ac:dyDescent="0.25">
      <c r="A95" s="8">
        <v>42719.457037037035</v>
      </c>
      <c r="B95" s="21" t="s">
        <v>236</v>
      </c>
      <c r="C95" s="21" t="s">
        <v>659</v>
      </c>
      <c r="D95" s="165">
        <v>1100000</v>
      </c>
      <c r="E95" s="21" t="s">
        <v>365</v>
      </c>
      <c r="F95" s="21" t="s">
        <v>366</v>
      </c>
      <c r="G95" s="8" t="str">
        <f t="shared" si="1"/>
        <v>GEBRETEKLE DAGNEW</v>
      </c>
    </row>
    <row r="96" spans="1:7" x14ac:dyDescent="0.25">
      <c r="A96" s="8">
        <v>42719.463854166665</v>
      </c>
      <c r="B96" s="21" t="s">
        <v>364</v>
      </c>
      <c r="C96" s="21" t="s">
        <v>565</v>
      </c>
      <c r="D96" s="165">
        <v>2660000</v>
      </c>
      <c r="E96" s="21" t="s">
        <v>598</v>
      </c>
      <c r="F96" s="21" t="s">
        <v>599</v>
      </c>
      <c r="G96" s="8" t="str">
        <f t="shared" si="1"/>
        <v>ALEXANDER DONNELL</v>
      </c>
    </row>
    <row r="97" spans="1:7" x14ac:dyDescent="0.25">
      <c r="A97" s="8">
        <v>42719.463946759257</v>
      </c>
      <c r="B97" s="21" t="s">
        <v>211</v>
      </c>
      <c r="C97" s="21" t="s">
        <v>660</v>
      </c>
      <c r="D97" s="165">
        <v>1110000</v>
      </c>
      <c r="E97" s="21" t="s">
        <v>296</v>
      </c>
      <c r="F97" s="21" t="s">
        <v>297</v>
      </c>
      <c r="G97" s="8" t="str">
        <f t="shared" si="1"/>
        <v>STARKS ANGELINA</v>
      </c>
    </row>
    <row r="98" spans="1:7" x14ac:dyDescent="0.25">
      <c r="A98" s="8">
        <v>42719.464699074073</v>
      </c>
      <c r="B98" s="21" t="s">
        <v>236</v>
      </c>
      <c r="C98" s="21" t="s">
        <v>659</v>
      </c>
      <c r="D98" s="165">
        <v>920000</v>
      </c>
      <c r="E98" s="21" t="s">
        <v>283</v>
      </c>
      <c r="F98" s="21" t="s">
        <v>282</v>
      </c>
      <c r="G98" s="8" t="str">
        <f t="shared" si="1"/>
        <v>DAVIS MICHAEL</v>
      </c>
    </row>
    <row r="99" spans="1:7" x14ac:dyDescent="0.25">
      <c r="A99" s="8">
        <v>42719.466273148151</v>
      </c>
      <c r="B99" s="21" t="s">
        <v>232</v>
      </c>
      <c r="C99" s="21" t="s">
        <v>661</v>
      </c>
      <c r="D99" s="165">
        <v>2020000</v>
      </c>
      <c r="E99" s="21" t="s">
        <v>662</v>
      </c>
      <c r="F99" s="21" t="s">
        <v>263</v>
      </c>
      <c r="G99" s="8" t="str">
        <f t="shared" si="1"/>
        <v>SHOOK JOHN</v>
      </c>
    </row>
    <row r="100" spans="1:7" x14ac:dyDescent="0.25">
      <c r="A100" s="8">
        <v>42719.466874999998</v>
      </c>
      <c r="B100" s="21" t="s">
        <v>663</v>
      </c>
      <c r="C100" s="21" t="s">
        <v>664</v>
      </c>
      <c r="D100" s="165">
        <v>1240000</v>
      </c>
      <c r="E100" s="21" t="s">
        <v>362</v>
      </c>
      <c r="F100" s="21" t="s">
        <v>363</v>
      </c>
      <c r="G100" s="8" t="str">
        <f t="shared" si="1"/>
        <v>GRASTON MATHEU</v>
      </c>
    </row>
    <row r="101" spans="1:7" x14ac:dyDescent="0.25">
      <c r="A101" s="8">
        <v>42719.467395833337</v>
      </c>
      <c r="B101" s="21" t="s">
        <v>663</v>
      </c>
      <c r="C101" s="21" t="s">
        <v>664</v>
      </c>
      <c r="D101" s="165">
        <v>1240000</v>
      </c>
      <c r="E101" s="21" t="s">
        <v>362</v>
      </c>
      <c r="F101" s="21" t="s">
        <v>363</v>
      </c>
      <c r="G101" s="8" t="str">
        <f t="shared" si="1"/>
        <v>GRASTON MATHEU</v>
      </c>
    </row>
    <row r="102" spans="1:7" x14ac:dyDescent="0.25">
      <c r="A102" s="8">
        <v>42719.467881944445</v>
      </c>
      <c r="B102" s="21" t="s">
        <v>663</v>
      </c>
      <c r="C102" s="21" t="s">
        <v>664</v>
      </c>
      <c r="D102" s="165">
        <v>1240000</v>
      </c>
      <c r="E102" s="21" t="s">
        <v>362</v>
      </c>
      <c r="F102" s="21" t="s">
        <v>363</v>
      </c>
      <c r="G102" s="8" t="str">
        <f t="shared" si="1"/>
        <v>GRASTON MATHEU</v>
      </c>
    </row>
    <row r="103" spans="1:7" x14ac:dyDescent="0.25">
      <c r="A103" s="8">
        <v>42719.477546296293</v>
      </c>
      <c r="B103" s="21" t="s">
        <v>277</v>
      </c>
      <c r="C103" s="21" t="s">
        <v>665</v>
      </c>
      <c r="D103" s="165">
        <v>1360000</v>
      </c>
      <c r="E103" s="21" t="s">
        <v>371</v>
      </c>
      <c r="F103" s="21" t="s">
        <v>372</v>
      </c>
      <c r="G103" s="8" t="str">
        <f t="shared" si="1"/>
        <v>SANTIZO D. EDY</v>
      </c>
    </row>
    <row r="104" spans="1:7" x14ac:dyDescent="0.25">
      <c r="A104" s="8">
        <v>42719.479108796295</v>
      </c>
      <c r="B104" s="21" t="s">
        <v>260</v>
      </c>
      <c r="C104" s="21" t="s">
        <v>666</v>
      </c>
      <c r="D104" s="165">
        <v>2040000</v>
      </c>
      <c r="E104" s="21" t="s">
        <v>381</v>
      </c>
      <c r="F104" s="21" t="s">
        <v>382</v>
      </c>
      <c r="G104" s="8" t="str">
        <f t="shared" si="1"/>
        <v>MOSES BRADLEY</v>
      </c>
    </row>
    <row r="105" spans="1:7" x14ac:dyDescent="0.25">
      <c r="A105" s="8">
        <v>42719.486712962964</v>
      </c>
      <c r="B105" s="21" t="s">
        <v>271</v>
      </c>
      <c r="C105" s="21" t="s">
        <v>667</v>
      </c>
      <c r="D105" s="165">
        <v>2610000</v>
      </c>
      <c r="E105" s="21" t="s">
        <v>377</v>
      </c>
      <c r="F105" s="21" t="s">
        <v>378</v>
      </c>
      <c r="G105" s="8" t="str">
        <f t="shared" si="1"/>
        <v>MAGEE KENYA</v>
      </c>
    </row>
    <row r="106" spans="1:7" x14ac:dyDescent="0.25">
      <c r="A106" s="8">
        <v>42719.486990740741</v>
      </c>
      <c r="B106" s="21" t="s">
        <v>237</v>
      </c>
      <c r="C106" s="21" t="s">
        <v>668</v>
      </c>
      <c r="D106" s="165">
        <v>920000</v>
      </c>
      <c r="E106" s="21" t="s">
        <v>283</v>
      </c>
      <c r="F106" s="21" t="s">
        <v>282</v>
      </c>
      <c r="G106" s="8" t="str">
        <f t="shared" si="1"/>
        <v>DAVIS MICHAEL</v>
      </c>
    </row>
    <row r="107" spans="1:7" x14ac:dyDescent="0.25">
      <c r="A107" s="8">
        <v>42719.491342592592</v>
      </c>
      <c r="B107" s="21" t="s">
        <v>555</v>
      </c>
      <c r="C107" s="21" t="s">
        <v>669</v>
      </c>
      <c r="D107" s="165">
        <v>2600000</v>
      </c>
      <c r="E107" s="21" t="s">
        <v>238</v>
      </c>
      <c r="F107" s="21" t="s">
        <v>265</v>
      </c>
      <c r="G107" s="8" t="str">
        <f t="shared" si="1"/>
        <v>DAVIDSON DAVID</v>
      </c>
    </row>
    <row r="108" spans="1:7" x14ac:dyDescent="0.25">
      <c r="A108" s="8">
        <v>42719.500162037039</v>
      </c>
      <c r="B108" s="21" t="s">
        <v>206</v>
      </c>
      <c r="C108" s="21" t="s">
        <v>670</v>
      </c>
      <c r="D108" s="165">
        <v>1140000</v>
      </c>
      <c r="E108" s="21" t="s">
        <v>306</v>
      </c>
      <c r="F108" s="21" t="s">
        <v>307</v>
      </c>
      <c r="G108" s="8" t="str">
        <f t="shared" si="1"/>
        <v>YOUNG ELIZABETH</v>
      </c>
    </row>
    <row r="109" spans="1:7" x14ac:dyDescent="0.25">
      <c r="A109" s="8">
        <v>42719.501712962963</v>
      </c>
      <c r="B109" s="21" t="s">
        <v>240</v>
      </c>
      <c r="C109" s="21" t="s">
        <v>671</v>
      </c>
      <c r="D109" s="165">
        <v>2020000</v>
      </c>
      <c r="E109" s="21" t="s">
        <v>662</v>
      </c>
      <c r="F109" s="21" t="s">
        <v>263</v>
      </c>
      <c r="G109" s="8" t="str">
        <f t="shared" si="1"/>
        <v>SHOOK JOHN</v>
      </c>
    </row>
    <row r="110" spans="1:7" x14ac:dyDescent="0.25">
      <c r="A110" s="8">
        <v>42719.502523148149</v>
      </c>
      <c r="B110" s="21" t="s">
        <v>236</v>
      </c>
      <c r="C110" s="21" t="s">
        <v>566</v>
      </c>
      <c r="D110" s="165">
        <v>1100000</v>
      </c>
      <c r="E110" s="21" t="s">
        <v>365</v>
      </c>
      <c r="F110" s="21" t="s">
        <v>366</v>
      </c>
      <c r="G110" s="8" t="str">
        <f t="shared" si="1"/>
        <v>GEBRETEKLE DAGNEW</v>
      </c>
    </row>
    <row r="111" spans="1:7" x14ac:dyDescent="0.25">
      <c r="A111" s="8">
        <v>42719.508032407408</v>
      </c>
      <c r="B111" s="21" t="s">
        <v>360</v>
      </c>
      <c r="C111" s="21" t="s">
        <v>565</v>
      </c>
      <c r="D111" s="165">
        <v>1820000</v>
      </c>
      <c r="E111" s="21" t="s">
        <v>375</v>
      </c>
      <c r="F111" s="21" t="s">
        <v>376</v>
      </c>
      <c r="G111" s="8" t="str">
        <f t="shared" si="1"/>
        <v>ADANE ELSHADAY</v>
      </c>
    </row>
    <row r="112" spans="1:7" x14ac:dyDescent="0.25">
      <c r="A112" s="8">
        <v>42719.508773148147</v>
      </c>
      <c r="B112" s="21" t="s">
        <v>360</v>
      </c>
      <c r="C112" s="21" t="s">
        <v>672</v>
      </c>
      <c r="D112" s="165">
        <v>1820000</v>
      </c>
      <c r="E112" s="21" t="s">
        <v>375</v>
      </c>
      <c r="F112" s="21" t="s">
        <v>376</v>
      </c>
      <c r="G112" s="8" t="str">
        <f t="shared" si="1"/>
        <v>ADANE ELSHADAY</v>
      </c>
    </row>
    <row r="113" spans="1:7" x14ac:dyDescent="0.25">
      <c r="A113" s="8">
        <v>42719.513912037037</v>
      </c>
      <c r="B113" s="21" t="s">
        <v>257</v>
      </c>
      <c r="C113" s="21" t="s">
        <v>673</v>
      </c>
      <c r="D113" s="165">
        <v>2040000</v>
      </c>
      <c r="E113" s="21" t="s">
        <v>381</v>
      </c>
      <c r="F113" s="21" t="s">
        <v>382</v>
      </c>
      <c r="G113" s="8" t="str">
        <f t="shared" si="1"/>
        <v>MOSES BRADLEY</v>
      </c>
    </row>
    <row r="114" spans="1:7" x14ac:dyDescent="0.25">
      <c r="A114" s="8">
        <v>42719.519247685188</v>
      </c>
      <c r="B114" s="21" t="s">
        <v>250</v>
      </c>
      <c r="C114" s="21" t="s">
        <v>674</v>
      </c>
      <c r="D114" s="165">
        <v>2730000</v>
      </c>
      <c r="E114" s="21" t="s">
        <v>379</v>
      </c>
      <c r="F114" s="21" t="s">
        <v>380</v>
      </c>
      <c r="G114" s="8" t="str">
        <f t="shared" si="1"/>
        <v>YANG JAN</v>
      </c>
    </row>
    <row r="115" spans="1:7" x14ac:dyDescent="0.25">
      <c r="A115" s="8">
        <v>42719.52002314815</v>
      </c>
      <c r="B115" s="21" t="s">
        <v>270</v>
      </c>
      <c r="C115" s="21" t="s">
        <v>675</v>
      </c>
      <c r="D115" s="165">
        <v>2610000</v>
      </c>
      <c r="E115" s="21" t="s">
        <v>377</v>
      </c>
      <c r="F115" s="21" t="s">
        <v>378</v>
      </c>
      <c r="G115" s="8" t="str">
        <f t="shared" si="1"/>
        <v>MAGEE KENYA</v>
      </c>
    </row>
    <row r="116" spans="1:7" x14ac:dyDescent="0.25">
      <c r="A116" s="8">
        <v>42719.52547453704</v>
      </c>
      <c r="B116" s="21" t="s">
        <v>237</v>
      </c>
      <c r="C116" s="21" t="s">
        <v>676</v>
      </c>
      <c r="D116" s="165">
        <v>1100000</v>
      </c>
      <c r="E116" s="21" t="s">
        <v>365</v>
      </c>
      <c r="F116" s="21" t="s">
        <v>366</v>
      </c>
      <c r="G116" s="8" t="str">
        <f t="shared" si="1"/>
        <v>GEBRETEKLE DAGNEW</v>
      </c>
    </row>
    <row r="117" spans="1:7" x14ac:dyDescent="0.25">
      <c r="A117" s="8">
        <v>42719.526400462964</v>
      </c>
      <c r="B117" s="21" t="s">
        <v>183</v>
      </c>
      <c r="C117" s="21" t="s">
        <v>677</v>
      </c>
      <c r="D117" s="165">
        <v>2600000</v>
      </c>
      <c r="E117" s="21" t="s">
        <v>238</v>
      </c>
      <c r="F117" s="21" t="s">
        <v>265</v>
      </c>
      <c r="G117" s="8" t="str">
        <f t="shared" si="1"/>
        <v>DAVIDSON DAVID</v>
      </c>
    </row>
    <row r="118" spans="1:7" x14ac:dyDescent="0.25">
      <c r="A118" s="8">
        <v>42719.533437500002</v>
      </c>
      <c r="B118" s="21" t="s">
        <v>211</v>
      </c>
      <c r="C118" s="21" t="s">
        <v>678</v>
      </c>
      <c r="D118" s="165">
        <v>1140000</v>
      </c>
      <c r="E118" s="21" t="s">
        <v>306</v>
      </c>
      <c r="F118" s="21" t="s">
        <v>307</v>
      </c>
      <c r="G118" s="8" t="str">
        <f t="shared" si="1"/>
        <v>YOUNG ELIZABETH</v>
      </c>
    </row>
    <row r="119" spans="1:7" x14ac:dyDescent="0.25">
      <c r="A119" s="8">
        <v>42719.537349537037</v>
      </c>
      <c r="B119" s="21" t="s">
        <v>364</v>
      </c>
      <c r="C119" s="21" t="s">
        <v>679</v>
      </c>
      <c r="D119" s="165">
        <v>1820000</v>
      </c>
      <c r="E119" s="21" t="s">
        <v>375</v>
      </c>
      <c r="F119" s="21" t="s">
        <v>376</v>
      </c>
      <c r="G119" s="8" t="str">
        <f t="shared" si="1"/>
        <v>ADANE ELSHADAY</v>
      </c>
    </row>
    <row r="120" spans="1:7" x14ac:dyDescent="0.25">
      <c r="A120" s="8">
        <v>42719.538344907407</v>
      </c>
      <c r="B120" s="21" t="s">
        <v>232</v>
      </c>
      <c r="C120" s="21" t="s">
        <v>680</v>
      </c>
      <c r="D120" s="165">
        <v>2020000</v>
      </c>
      <c r="E120" s="21" t="s">
        <v>662</v>
      </c>
      <c r="F120" s="21" t="s">
        <v>263</v>
      </c>
      <c r="G120" s="8" t="str">
        <f t="shared" si="1"/>
        <v>SHOOK JOHN</v>
      </c>
    </row>
    <row r="121" spans="1:7" x14ac:dyDescent="0.25">
      <c r="A121" s="8">
        <v>42719.547210648147</v>
      </c>
      <c r="B121" s="21" t="s">
        <v>236</v>
      </c>
      <c r="C121" s="21" t="s">
        <v>567</v>
      </c>
      <c r="D121" s="165">
        <v>2680000</v>
      </c>
      <c r="E121" s="21" t="s">
        <v>373</v>
      </c>
      <c r="F121" s="21" t="s">
        <v>374</v>
      </c>
      <c r="G121" s="8" t="str">
        <f t="shared" si="1"/>
        <v>DUNCAN SHEILA</v>
      </c>
    </row>
    <row r="122" spans="1:7" x14ac:dyDescent="0.25">
      <c r="A122" s="8">
        <v>42719.551365740743</v>
      </c>
      <c r="B122" s="26" t="s">
        <v>260</v>
      </c>
      <c r="C122" s="21" t="s">
        <v>568</v>
      </c>
      <c r="D122" s="165">
        <v>2040000</v>
      </c>
      <c r="E122" s="21" t="s">
        <v>381</v>
      </c>
      <c r="F122" s="21" t="s">
        <v>382</v>
      </c>
      <c r="G122" s="8" t="str">
        <f t="shared" si="1"/>
        <v>MOSES BRADLEY</v>
      </c>
    </row>
    <row r="123" spans="1:7" x14ac:dyDescent="0.25">
      <c r="A123" s="8">
        <v>42719.552546296298</v>
      </c>
      <c r="B123" s="21" t="s">
        <v>277</v>
      </c>
      <c r="C123" s="21" t="s">
        <v>569</v>
      </c>
      <c r="D123" s="165">
        <v>2730000</v>
      </c>
      <c r="E123" s="21" t="s">
        <v>379</v>
      </c>
      <c r="F123" s="21" t="s">
        <v>380</v>
      </c>
      <c r="G123" s="8" t="str">
        <f t="shared" si="1"/>
        <v>YANG JAN</v>
      </c>
    </row>
    <row r="124" spans="1:7" x14ac:dyDescent="0.25">
      <c r="A124" s="8">
        <v>42719.557384259257</v>
      </c>
      <c r="B124" s="21" t="s">
        <v>271</v>
      </c>
      <c r="C124" s="21" t="s">
        <v>681</v>
      </c>
      <c r="D124" s="165">
        <v>2610000</v>
      </c>
      <c r="E124" s="21" t="s">
        <v>377</v>
      </c>
      <c r="F124" s="21" t="s">
        <v>378</v>
      </c>
      <c r="G124" s="8" t="str">
        <f t="shared" si="1"/>
        <v>MAGEE KENYA</v>
      </c>
    </row>
    <row r="125" spans="1:7" x14ac:dyDescent="0.25">
      <c r="A125" s="8">
        <v>42719.565497685187</v>
      </c>
      <c r="B125" s="21" t="s">
        <v>555</v>
      </c>
      <c r="C125" s="21" t="s">
        <v>682</v>
      </c>
      <c r="D125" s="165">
        <v>2600000</v>
      </c>
      <c r="E125" s="21" t="s">
        <v>238</v>
      </c>
      <c r="F125" s="21" t="s">
        <v>265</v>
      </c>
      <c r="G125" s="8" t="str">
        <f t="shared" si="1"/>
        <v>DAVIDSON DAVID</v>
      </c>
    </row>
    <row r="126" spans="1:7" x14ac:dyDescent="0.25">
      <c r="A126" s="8">
        <v>42719.568101851852</v>
      </c>
      <c r="B126" s="21" t="s">
        <v>237</v>
      </c>
      <c r="C126" s="21" t="s">
        <v>683</v>
      </c>
      <c r="D126" s="165">
        <v>2680000</v>
      </c>
      <c r="E126" s="21" t="s">
        <v>373</v>
      </c>
      <c r="F126" s="21" t="s">
        <v>374</v>
      </c>
      <c r="G126" s="8" t="str">
        <f t="shared" si="1"/>
        <v>DUNCAN SHEILA</v>
      </c>
    </row>
    <row r="127" spans="1:7" x14ac:dyDescent="0.25">
      <c r="A127" s="8">
        <v>42719.571689814817</v>
      </c>
      <c r="B127" s="21" t="s">
        <v>206</v>
      </c>
      <c r="C127" s="21" t="s">
        <v>684</v>
      </c>
      <c r="D127" s="165">
        <v>1140000</v>
      </c>
      <c r="E127" s="21" t="s">
        <v>306</v>
      </c>
      <c r="F127" s="21" t="s">
        <v>307</v>
      </c>
      <c r="G127" s="8" t="str">
        <f t="shared" si="1"/>
        <v>YOUNG ELIZABETH</v>
      </c>
    </row>
    <row r="128" spans="1:7" x14ac:dyDescent="0.25">
      <c r="A128" s="8">
        <v>42719.576898148145</v>
      </c>
      <c r="B128" s="21" t="s">
        <v>240</v>
      </c>
      <c r="C128" s="21" t="s">
        <v>685</v>
      </c>
      <c r="D128" s="165">
        <v>2020000</v>
      </c>
      <c r="E128" s="21" t="s">
        <v>662</v>
      </c>
      <c r="F128" s="21" t="s">
        <v>263</v>
      </c>
      <c r="G128" s="8" t="str">
        <f t="shared" si="1"/>
        <v>SHOOK JOHN</v>
      </c>
    </row>
    <row r="129" spans="1:7" x14ac:dyDescent="0.25">
      <c r="A129" s="8">
        <v>42719.577499999999</v>
      </c>
      <c r="B129" s="21" t="s">
        <v>360</v>
      </c>
      <c r="C129" s="21" t="s">
        <v>686</v>
      </c>
      <c r="D129" s="165">
        <v>1820000</v>
      </c>
      <c r="E129" s="21" t="s">
        <v>375</v>
      </c>
      <c r="F129" s="21" t="s">
        <v>376</v>
      </c>
      <c r="G129" s="8" t="str">
        <f t="shared" si="1"/>
        <v>ADANE ELSHADAY</v>
      </c>
    </row>
    <row r="130" spans="1:7" x14ac:dyDescent="0.25">
      <c r="A130" s="8">
        <v>42719.587453703702</v>
      </c>
      <c r="B130" s="21" t="s">
        <v>257</v>
      </c>
      <c r="C130" s="21" t="s">
        <v>687</v>
      </c>
      <c r="D130" s="165">
        <v>2040000</v>
      </c>
      <c r="E130" s="21" t="s">
        <v>381</v>
      </c>
      <c r="F130" s="21" t="s">
        <v>382</v>
      </c>
      <c r="G130" s="8" t="str">
        <f t="shared" si="1"/>
        <v>MOSES BRADLEY</v>
      </c>
    </row>
    <row r="131" spans="1:7" x14ac:dyDescent="0.25">
      <c r="A131" s="8">
        <v>42719.591863425929</v>
      </c>
      <c r="B131" s="21" t="s">
        <v>250</v>
      </c>
      <c r="C131" s="21" t="s">
        <v>688</v>
      </c>
      <c r="D131" s="165">
        <v>2730000</v>
      </c>
      <c r="E131" s="21" t="s">
        <v>379</v>
      </c>
      <c r="F131" s="21" t="s">
        <v>380</v>
      </c>
      <c r="G131" s="8" t="str">
        <f t="shared" ref="G131:G194" si="2">E131&amp;" "&amp;F131</f>
        <v>YANG JAN</v>
      </c>
    </row>
    <row r="132" spans="1:7" x14ac:dyDescent="0.25">
      <c r="A132" s="8">
        <v>42719.594861111109</v>
      </c>
      <c r="B132" s="21" t="s">
        <v>236</v>
      </c>
      <c r="C132" s="21" t="s">
        <v>689</v>
      </c>
      <c r="D132" s="165">
        <v>2680000</v>
      </c>
      <c r="E132" s="21" t="s">
        <v>373</v>
      </c>
      <c r="F132" s="21" t="s">
        <v>374</v>
      </c>
      <c r="G132" s="8" t="str">
        <f t="shared" si="2"/>
        <v>DUNCAN SHEILA</v>
      </c>
    </row>
    <row r="133" spans="1:7" x14ac:dyDescent="0.25">
      <c r="A133" s="8">
        <v>42719.596064814818</v>
      </c>
      <c r="B133" s="21" t="s">
        <v>270</v>
      </c>
      <c r="C133" s="21" t="s">
        <v>690</v>
      </c>
      <c r="D133" s="165">
        <v>2610000</v>
      </c>
      <c r="E133" s="21" t="s">
        <v>377</v>
      </c>
      <c r="F133" s="21" t="s">
        <v>378</v>
      </c>
      <c r="G133" s="8" t="str">
        <f t="shared" si="2"/>
        <v>MAGEE KENYA</v>
      </c>
    </row>
    <row r="134" spans="1:7" x14ac:dyDescent="0.25">
      <c r="A134" s="8">
        <v>42719.599861111114</v>
      </c>
      <c r="B134" s="21" t="s">
        <v>183</v>
      </c>
      <c r="C134" s="21" t="s">
        <v>691</v>
      </c>
      <c r="D134" s="165">
        <v>2600000</v>
      </c>
      <c r="E134" s="21" t="s">
        <v>238</v>
      </c>
      <c r="F134" s="21" t="s">
        <v>265</v>
      </c>
      <c r="G134" s="8" t="str">
        <f t="shared" si="2"/>
        <v>DAVIDSON DAVID</v>
      </c>
    </row>
    <row r="135" spans="1:7" x14ac:dyDescent="0.25">
      <c r="A135" s="8">
        <v>42719.604768518519</v>
      </c>
      <c r="B135" s="21" t="s">
        <v>211</v>
      </c>
      <c r="C135" s="21" t="s">
        <v>692</v>
      </c>
      <c r="D135" s="165">
        <v>1140000</v>
      </c>
      <c r="E135" s="21" t="s">
        <v>306</v>
      </c>
      <c r="F135" s="21" t="s">
        <v>307</v>
      </c>
      <c r="G135" s="8" t="str">
        <f t="shared" si="2"/>
        <v>YOUNG ELIZABETH</v>
      </c>
    </row>
    <row r="136" spans="1:7" x14ac:dyDescent="0.25">
      <c r="A136" s="8">
        <v>42719.609259259261</v>
      </c>
      <c r="B136" s="21" t="s">
        <v>237</v>
      </c>
      <c r="C136" s="21" t="s">
        <v>693</v>
      </c>
      <c r="D136" s="165">
        <v>2680000</v>
      </c>
      <c r="E136" s="21" t="s">
        <v>373</v>
      </c>
      <c r="F136" s="21" t="s">
        <v>374</v>
      </c>
      <c r="G136" s="8" t="str">
        <f t="shared" si="2"/>
        <v>DUNCAN SHEILA</v>
      </c>
    </row>
    <row r="137" spans="1:7" x14ac:dyDescent="0.25">
      <c r="A137" s="8">
        <v>42719.609953703701</v>
      </c>
      <c r="B137" s="21" t="s">
        <v>364</v>
      </c>
      <c r="C137" s="21" t="s">
        <v>570</v>
      </c>
      <c r="D137" s="165">
        <v>1820000</v>
      </c>
      <c r="E137" s="21" t="s">
        <v>375</v>
      </c>
      <c r="F137" s="21" t="s">
        <v>376</v>
      </c>
      <c r="G137" s="8" t="str">
        <f t="shared" si="2"/>
        <v>ADANE ELSHADAY</v>
      </c>
    </row>
    <row r="138" spans="1:7" x14ac:dyDescent="0.25">
      <c r="A138" s="8">
        <v>42719.610775462963</v>
      </c>
      <c r="B138" s="21" t="s">
        <v>232</v>
      </c>
      <c r="C138" s="21" t="s">
        <v>694</v>
      </c>
      <c r="D138" s="165">
        <v>2020000</v>
      </c>
      <c r="E138" s="21" t="s">
        <v>662</v>
      </c>
      <c r="F138" s="21" t="s">
        <v>263</v>
      </c>
      <c r="G138" s="8" t="str">
        <f t="shared" si="2"/>
        <v>SHOOK JOHN</v>
      </c>
    </row>
    <row r="139" spans="1:7" x14ac:dyDescent="0.25">
      <c r="A139" s="8">
        <v>42719.622650462959</v>
      </c>
      <c r="B139" s="21" t="s">
        <v>260</v>
      </c>
      <c r="C139" s="21" t="s">
        <v>695</v>
      </c>
      <c r="D139" s="165">
        <v>2040000</v>
      </c>
      <c r="E139" s="21" t="s">
        <v>381</v>
      </c>
      <c r="F139" s="21" t="s">
        <v>382</v>
      </c>
      <c r="G139" s="8" t="str">
        <f t="shared" si="2"/>
        <v>MOSES BRADLEY</v>
      </c>
    </row>
    <row r="140" spans="1:7" x14ac:dyDescent="0.25">
      <c r="A140" s="8">
        <v>42719.625393518516</v>
      </c>
      <c r="B140" s="21" t="s">
        <v>237</v>
      </c>
      <c r="C140" s="21" t="s">
        <v>696</v>
      </c>
      <c r="D140" s="165">
        <v>1540000</v>
      </c>
      <c r="E140" s="21" t="s">
        <v>330</v>
      </c>
      <c r="F140" s="21" t="s">
        <v>331</v>
      </c>
      <c r="G140" s="8" t="str">
        <f t="shared" si="2"/>
        <v>HELVIE ADAM</v>
      </c>
    </row>
    <row r="141" spans="1:7" x14ac:dyDescent="0.25">
      <c r="A141" s="8">
        <v>42719.626736111109</v>
      </c>
      <c r="B141" s="21" t="s">
        <v>277</v>
      </c>
      <c r="C141" s="21" t="s">
        <v>697</v>
      </c>
      <c r="D141" s="165">
        <v>2730000</v>
      </c>
      <c r="E141" s="21" t="s">
        <v>379</v>
      </c>
      <c r="F141" s="21" t="s">
        <v>380</v>
      </c>
      <c r="G141" s="8" t="str">
        <f t="shared" si="2"/>
        <v>YANG JAN</v>
      </c>
    </row>
    <row r="142" spans="1:7" x14ac:dyDescent="0.25">
      <c r="A142" s="8">
        <v>42719.630150462966</v>
      </c>
      <c r="B142" s="21" t="s">
        <v>271</v>
      </c>
      <c r="C142" s="21" t="s">
        <v>698</v>
      </c>
      <c r="D142" s="165">
        <v>2610000</v>
      </c>
      <c r="E142" s="21" t="s">
        <v>377</v>
      </c>
      <c r="F142" s="21" t="s">
        <v>378</v>
      </c>
      <c r="G142" s="8" t="str">
        <f t="shared" si="2"/>
        <v>MAGEE KENYA</v>
      </c>
    </row>
    <row r="143" spans="1:7" x14ac:dyDescent="0.25">
      <c r="A143" s="8">
        <v>42719.632615740738</v>
      </c>
      <c r="B143" s="21" t="s">
        <v>555</v>
      </c>
      <c r="C143" s="21" t="s">
        <v>699</v>
      </c>
      <c r="D143" s="165">
        <v>2600000</v>
      </c>
      <c r="E143" s="21" t="s">
        <v>238</v>
      </c>
      <c r="F143" s="21" t="s">
        <v>265</v>
      </c>
      <c r="G143" s="8" t="str">
        <f t="shared" si="2"/>
        <v>DAVIDSON DAVID</v>
      </c>
    </row>
    <row r="144" spans="1:7" x14ac:dyDescent="0.25">
      <c r="A144" s="8">
        <v>42719.636701388888</v>
      </c>
      <c r="B144" s="21" t="s">
        <v>236</v>
      </c>
      <c r="C144" s="21" t="s">
        <v>700</v>
      </c>
      <c r="D144" s="165">
        <v>2680000</v>
      </c>
      <c r="E144" s="21" t="s">
        <v>373</v>
      </c>
      <c r="F144" s="21" t="s">
        <v>374</v>
      </c>
      <c r="G144" s="8" t="str">
        <f t="shared" si="2"/>
        <v>DUNCAN SHEILA</v>
      </c>
    </row>
    <row r="145" spans="1:7" x14ac:dyDescent="0.25">
      <c r="A145" s="8">
        <v>42719.638437499998</v>
      </c>
      <c r="B145" s="21" t="s">
        <v>155</v>
      </c>
      <c r="C145" s="21" t="s">
        <v>571</v>
      </c>
      <c r="D145" s="165">
        <v>2710000</v>
      </c>
      <c r="E145" s="21" t="s">
        <v>385</v>
      </c>
      <c r="F145" s="21" t="s">
        <v>386</v>
      </c>
      <c r="G145" s="8" t="str">
        <f t="shared" si="2"/>
        <v>SIMMONS SHYHESHA</v>
      </c>
    </row>
    <row r="146" spans="1:7" x14ac:dyDescent="0.25">
      <c r="A146" s="8">
        <v>42719.639675925922</v>
      </c>
      <c r="B146" s="21" t="s">
        <v>211</v>
      </c>
      <c r="C146" s="21" t="s">
        <v>692</v>
      </c>
      <c r="D146" s="165">
        <v>1140000</v>
      </c>
      <c r="E146" s="21" t="s">
        <v>306</v>
      </c>
      <c r="F146" s="21" t="s">
        <v>307</v>
      </c>
      <c r="G146" s="8" t="str">
        <f t="shared" si="2"/>
        <v>YOUNG ELIZABETH</v>
      </c>
    </row>
    <row r="147" spans="1:7" x14ac:dyDescent="0.25">
      <c r="A147" s="8">
        <v>42719.644699074073</v>
      </c>
      <c r="B147" s="21" t="s">
        <v>327</v>
      </c>
      <c r="C147" s="21" t="s">
        <v>701</v>
      </c>
      <c r="D147" s="165">
        <v>2250000</v>
      </c>
      <c r="E147" s="21" t="s">
        <v>702</v>
      </c>
      <c r="F147" s="21" t="s">
        <v>703</v>
      </c>
      <c r="G147" s="8" t="str">
        <f t="shared" si="2"/>
        <v>CRAYTON QUNTRELL</v>
      </c>
    </row>
    <row r="148" spans="1:7" x14ac:dyDescent="0.25">
      <c r="A148" s="8">
        <v>42719.645821759259</v>
      </c>
      <c r="B148" s="21" t="s">
        <v>240</v>
      </c>
      <c r="C148" s="21" t="s">
        <v>704</v>
      </c>
      <c r="D148" s="165">
        <v>2020000</v>
      </c>
      <c r="E148" s="21" t="s">
        <v>662</v>
      </c>
      <c r="F148" s="21" t="s">
        <v>263</v>
      </c>
      <c r="G148" s="8" t="str">
        <f t="shared" si="2"/>
        <v>SHOOK JOHN</v>
      </c>
    </row>
    <row r="149" spans="1:7" x14ac:dyDescent="0.25">
      <c r="A149" s="8">
        <v>42719.650891203702</v>
      </c>
      <c r="B149" s="21" t="s">
        <v>154</v>
      </c>
      <c r="C149" s="21" t="s">
        <v>705</v>
      </c>
      <c r="D149" s="165">
        <v>2710000</v>
      </c>
      <c r="E149" s="21" t="s">
        <v>385</v>
      </c>
      <c r="F149" s="21" t="s">
        <v>386</v>
      </c>
      <c r="G149" s="8" t="str">
        <f t="shared" si="2"/>
        <v>SIMMONS SHYHESHA</v>
      </c>
    </row>
    <row r="150" spans="1:7" x14ac:dyDescent="0.25">
      <c r="A150" s="8">
        <v>42719.652037037034</v>
      </c>
      <c r="B150" s="21" t="s">
        <v>237</v>
      </c>
      <c r="C150" s="21" t="s">
        <v>706</v>
      </c>
      <c r="D150" s="165">
        <v>2680000</v>
      </c>
      <c r="E150" s="21" t="s">
        <v>373</v>
      </c>
      <c r="F150" s="21" t="s">
        <v>374</v>
      </c>
      <c r="G150" s="8" t="str">
        <f t="shared" si="2"/>
        <v>DUNCAN SHEILA</v>
      </c>
    </row>
    <row r="151" spans="1:7" x14ac:dyDescent="0.25">
      <c r="A151" s="8">
        <v>42719.656273148146</v>
      </c>
      <c r="B151" s="21" t="s">
        <v>360</v>
      </c>
      <c r="C151" s="21" t="s">
        <v>707</v>
      </c>
      <c r="D151" s="165">
        <v>1820000</v>
      </c>
      <c r="E151" s="21" t="s">
        <v>375</v>
      </c>
      <c r="F151" s="21" t="s">
        <v>376</v>
      </c>
      <c r="G151" s="8" t="str">
        <f t="shared" si="2"/>
        <v>ADANE ELSHADAY</v>
      </c>
    </row>
    <row r="152" spans="1:7" x14ac:dyDescent="0.25">
      <c r="A152" s="8">
        <v>42719.659641203703</v>
      </c>
      <c r="B152" s="21" t="s">
        <v>257</v>
      </c>
      <c r="C152" s="21" t="s">
        <v>708</v>
      </c>
      <c r="D152" s="165">
        <v>2040000</v>
      </c>
      <c r="E152" s="21" t="s">
        <v>381</v>
      </c>
      <c r="F152" s="21" t="s">
        <v>382</v>
      </c>
      <c r="G152" s="8" t="str">
        <f t="shared" si="2"/>
        <v>MOSES BRADLEY</v>
      </c>
    </row>
    <row r="153" spans="1:7" x14ac:dyDescent="0.25">
      <c r="A153" s="8">
        <v>42719.661527777775</v>
      </c>
      <c r="B153" s="21" t="s">
        <v>270</v>
      </c>
      <c r="C153" s="21" t="s">
        <v>709</v>
      </c>
      <c r="D153" s="165">
        <v>2610000</v>
      </c>
      <c r="E153" s="21" t="s">
        <v>377</v>
      </c>
      <c r="F153" s="21" t="s">
        <v>378</v>
      </c>
      <c r="G153" s="8" t="str">
        <f t="shared" si="2"/>
        <v>MAGEE KENYA</v>
      </c>
    </row>
    <row r="154" spans="1:7" x14ac:dyDescent="0.25">
      <c r="A154" s="8">
        <v>42719.66511574074</v>
      </c>
      <c r="B154" s="21" t="s">
        <v>250</v>
      </c>
      <c r="C154" s="21" t="s">
        <v>572</v>
      </c>
      <c r="D154" s="165">
        <v>2220000</v>
      </c>
      <c r="E154" s="21" t="s">
        <v>328</v>
      </c>
      <c r="F154" s="21" t="s">
        <v>329</v>
      </c>
      <c r="G154" s="8" t="str">
        <f t="shared" si="2"/>
        <v>HILLS DUSTIN</v>
      </c>
    </row>
    <row r="155" spans="1:7" x14ac:dyDescent="0.25">
      <c r="A155" s="8">
        <v>42719.672766203701</v>
      </c>
      <c r="B155" s="21" t="s">
        <v>155</v>
      </c>
      <c r="C155" s="21" t="s">
        <v>573</v>
      </c>
      <c r="D155" s="165">
        <v>2710000</v>
      </c>
      <c r="E155" s="21" t="s">
        <v>385</v>
      </c>
      <c r="F155" s="21" t="s">
        <v>386</v>
      </c>
      <c r="G155" s="8" t="str">
        <f t="shared" si="2"/>
        <v>SIMMONS SHYHESHA</v>
      </c>
    </row>
    <row r="156" spans="1:7" x14ac:dyDescent="0.25">
      <c r="A156" s="8">
        <v>42719.673773148148</v>
      </c>
      <c r="B156" s="21" t="s">
        <v>183</v>
      </c>
      <c r="C156" s="21" t="s">
        <v>710</v>
      </c>
      <c r="D156" s="165">
        <v>2600000</v>
      </c>
      <c r="E156" s="21" t="s">
        <v>238</v>
      </c>
      <c r="F156" s="21" t="s">
        <v>265</v>
      </c>
      <c r="G156" s="8" t="str">
        <f t="shared" si="2"/>
        <v>DAVIDSON DAVID</v>
      </c>
    </row>
    <row r="157" spans="1:7" x14ac:dyDescent="0.25">
      <c r="A157" s="8">
        <v>42719.675138888888</v>
      </c>
      <c r="B157" s="21" t="s">
        <v>321</v>
      </c>
      <c r="C157" s="21" t="s">
        <v>711</v>
      </c>
      <c r="D157" s="165">
        <v>2250000</v>
      </c>
      <c r="E157" s="21" t="s">
        <v>702</v>
      </c>
      <c r="F157" s="21" t="s">
        <v>703</v>
      </c>
      <c r="G157" s="8" t="str">
        <f t="shared" si="2"/>
        <v>CRAYTON QUNTRELL</v>
      </c>
    </row>
    <row r="158" spans="1:7" x14ac:dyDescent="0.25">
      <c r="A158" s="8">
        <v>42719.677499999998</v>
      </c>
      <c r="B158" s="21" t="s">
        <v>236</v>
      </c>
      <c r="C158" s="21" t="s">
        <v>712</v>
      </c>
      <c r="D158" s="165">
        <v>2680000</v>
      </c>
      <c r="E158" s="21" t="s">
        <v>373</v>
      </c>
      <c r="F158" s="21" t="s">
        <v>374</v>
      </c>
      <c r="G158" s="8" t="str">
        <f t="shared" si="2"/>
        <v>DUNCAN SHEILA</v>
      </c>
    </row>
    <row r="159" spans="1:7" x14ac:dyDescent="0.25">
      <c r="A159" s="8">
        <v>42719.680532407408</v>
      </c>
      <c r="B159" s="21" t="s">
        <v>360</v>
      </c>
      <c r="C159" s="21" t="s">
        <v>707</v>
      </c>
      <c r="D159" s="165">
        <v>1820000</v>
      </c>
      <c r="E159" s="21" t="s">
        <v>375</v>
      </c>
      <c r="F159" s="21" t="s">
        <v>376</v>
      </c>
      <c r="G159" s="8" t="str">
        <f t="shared" si="2"/>
        <v>ADANE ELSHADAY</v>
      </c>
    </row>
    <row r="160" spans="1:7" x14ac:dyDescent="0.25">
      <c r="A160" s="8">
        <v>42719.68409722222</v>
      </c>
      <c r="B160" s="21" t="s">
        <v>232</v>
      </c>
      <c r="C160" s="21" t="s">
        <v>713</v>
      </c>
      <c r="D160" s="165">
        <v>2020000</v>
      </c>
      <c r="E160" s="21" t="s">
        <v>662</v>
      </c>
      <c r="F160" s="21" t="s">
        <v>263</v>
      </c>
      <c r="G160" s="8" t="str">
        <f t="shared" si="2"/>
        <v>SHOOK JOHN</v>
      </c>
    </row>
    <row r="161" spans="1:7" x14ac:dyDescent="0.25">
      <c r="A161" s="8">
        <v>42719.692245370374</v>
      </c>
      <c r="B161" s="21" t="s">
        <v>237</v>
      </c>
      <c r="C161" s="21" t="s">
        <v>714</v>
      </c>
      <c r="D161" s="165">
        <v>2680000</v>
      </c>
      <c r="E161" s="21" t="s">
        <v>373</v>
      </c>
      <c r="F161" s="21" t="s">
        <v>374</v>
      </c>
      <c r="G161" s="8" t="str">
        <f t="shared" si="2"/>
        <v>DUNCAN SHEILA</v>
      </c>
    </row>
    <row r="162" spans="1:7" x14ac:dyDescent="0.25">
      <c r="A162" s="8">
        <v>42719.692546296297</v>
      </c>
      <c r="B162" s="21" t="s">
        <v>364</v>
      </c>
      <c r="C162" s="21" t="s">
        <v>715</v>
      </c>
      <c r="D162" s="165">
        <v>1820000</v>
      </c>
      <c r="E162" s="21" t="s">
        <v>375</v>
      </c>
      <c r="F162" s="21" t="s">
        <v>376</v>
      </c>
      <c r="G162" s="8" t="str">
        <f t="shared" si="2"/>
        <v>ADANE ELSHADAY</v>
      </c>
    </row>
    <row r="163" spans="1:7" x14ac:dyDescent="0.25">
      <c r="A163" s="8">
        <v>42719.692916666667</v>
      </c>
      <c r="B163" s="21" t="s">
        <v>237</v>
      </c>
      <c r="C163" s="21" t="s">
        <v>714</v>
      </c>
      <c r="D163" s="165">
        <v>2680000</v>
      </c>
      <c r="E163" s="21" t="s">
        <v>373</v>
      </c>
      <c r="F163" s="21" t="s">
        <v>374</v>
      </c>
      <c r="G163" s="8" t="str">
        <f t="shared" si="2"/>
        <v>DUNCAN SHEILA</v>
      </c>
    </row>
    <row r="164" spans="1:7" x14ac:dyDescent="0.25">
      <c r="A164" s="8">
        <v>42719.694976851853</v>
      </c>
      <c r="B164" s="21" t="s">
        <v>277</v>
      </c>
      <c r="C164" s="21" t="s">
        <v>574</v>
      </c>
      <c r="D164" s="165">
        <v>2220000</v>
      </c>
      <c r="E164" s="21" t="s">
        <v>328</v>
      </c>
      <c r="F164" s="21" t="s">
        <v>329</v>
      </c>
      <c r="G164" s="8" t="str">
        <f t="shared" si="2"/>
        <v>HILLS DUSTIN</v>
      </c>
    </row>
    <row r="165" spans="1:7" x14ac:dyDescent="0.25">
      <c r="A165" s="8">
        <v>42719.69635416667</v>
      </c>
      <c r="B165" s="21" t="s">
        <v>260</v>
      </c>
      <c r="C165" s="21" t="s">
        <v>716</v>
      </c>
      <c r="D165" s="165">
        <v>2040000</v>
      </c>
      <c r="E165" s="21" t="s">
        <v>381</v>
      </c>
      <c r="F165" s="21" t="s">
        <v>382</v>
      </c>
      <c r="G165" s="8" t="str">
        <f t="shared" si="2"/>
        <v>MOSES BRADLEY</v>
      </c>
    </row>
    <row r="166" spans="1:7" x14ac:dyDescent="0.25">
      <c r="A166" s="8">
        <v>42719.700243055559</v>
      </c>
      <c r="B166" s="21" t="s">
        <v>154</v>
      </c>
      <c r="C166" s="21" t="s">
        <v>575</v>
      </c>
      <c r="D166" s="165">
        <v>2710000</v>
      </c>
      <c r="E166" s="21" t="s">
        <v>385</v>
      </c>
      <c r="F166" s="21" t="s">
        <v>386</v>
      </c>
      <c r="G166" s="8" t="str">
        <f t="shared" si="2"/>
        <v>SIMMONS SHYHESHA</v>
      </c>
    </row>
    <row r="167" spans="1:7" x14ac:dyDescent="0.25">
      <c r="A167" s="8">
        <v>42719.704016203701</v>
      </c>
      <c r="B167" s="21" t="s">
        <v>271</v>
      </c>
      <c r="C167" s="21" t="s">
        <v>717</v>
      </c>
      <c r="D167" s="165">
        <v>2610000</v>
      </c>
      <c r="E167" s="21" t="s">
        <v>377</v>
      </c>
      <c r="F167" s="21" t="s">
        <v>378</v>
      </c>
      <c r="G167" s="8" t="str">
        <f t="shared" si="2"/>
        <v>MAGEE KENYA</v>
      </c>
    </row>
    <row r="168" spans="1:7" x14ac:dyDescent="0.25">
      <c r="A168" s="8">
        <v>42719.70653935185</v>
      </c>
      <c r="B168" s="21" t="s">
        <v>555</v>
      </c>
      <c r="C168" s="21" t="s">
        <v>718</v>
      </c>
      <c r="D168" s="165">
        <v>2600000</v>
      </c>
      <c r="E168" s="21" t="s">
        <v>238</v>
      </c>
      <c r="F168" s="21" t="s">
        <v>265</v>
      </c>
      <c r="G168" s="8" t="str">
        <f t="shared" si="2"/>
        <v>DAVIDSON DAVID</v>
      </c>
    </row>
    <row r="169" spans="1:7" x14ac:dyDescent="0.25">
      <c r="A169" s="8">
        <v>42719.712939814817</v>
      </c>
      <c r="B169" s="21" t="s">
        <v>651</v>
      </c>
      <c r="C169" s="21" t="s">
        <v>719</v>
      </c>
      <c r="D169" s="165">
        <v>1290000</v>
      </c>
      <c r="E169" s="21" t="s">
        <v>252</v>
      </c>
      <c r="F169" s="21" t="s">
        <v>263</v>
      </c>
      <c r="G169" s="8" t="str">
        <f t="shared" si="2"/>
        <v>COOLAHAN JOHN</v>
      </c>
    </row>
    <row r="170" spans="1:7" x14ac:dyDescent="0.25">
      <c r="A170" s="8">
        <v>42719.714907407404</v>
      </c>
      <c r="B170" s="21" t="s">
        <v>155</v>
      </c>
      <c r="C170" s="21" t="s">
        <v>720</v>
      </c>
      <c r="D170" s="165">
        <v>2710000</v>
      </c>
      <c r="E170" s="21" t="s">
        <v>385</v>
      </c>
      <c r="F170" s="21" t="s">
        <v>386</v>
      </c>
      <c r="G170" s="8" t="str">
        <f t="shared" si="2"/>
        <v>SIMMONS SHYHESHA</v>
      </c>
    </row>
    <row r="171" spans="1:7" x14ac:dyDescent="0.25">
      <c r="A171" s="8">
        <v>42719.716087962966</v>
      </c>
      <c r="B171" s="21" t="s">
        <v>327</v>
      </c>
      <c r="C171" s="21" t="s">
        <v>721</v>
      </c>
      <c r="D171" s="165">
        <v>2670000</v>
      </c>
      <c r="E171" s="21" t="s">
        <v>383</v>
      </c>
      <c r="F171" s="21" t="s">
        <v>384</v>
      </c>
      <c r="G171" s="8" t="str">
        <f t="shared" si="2"/>
        <v>COMELLA JUSTIN</v>
      </c>
    </row>
    <row r="172" spans="1:7" x14ac:dyDescent="0.25">
      <c r="A172" s="8">
        <v>42719.719143518516</v>
      </c>
      <c r="B172" s="21" t="s">
        <v>240</v>
      </c>
      <c r="C172" s="21" t="s">
        <v>722</v>
      </c>
      <c r="D172" s="165">
        <v>2020000</v>
      </c>
      <c r="E172" s="21" t="s">
        <v>662</v>
      </c>
      <c r="F172" s="21" t="s">
        <v>263</v>
      </c>
      <c r="G172" s="8" t="str">
        <f t="shared" si="2"/>
        <v>SHOOK JOHN</v>
      </c>
    </row>
    <row r="173" spans="1:7" x14ac:dyDescent="0.25">
      <c r="A173" s="8">
        <v>42719.72047453704</v>
      </c>
      <c r="B173" s="21" t="s">
        <v>206</v>
      </c>
      <c r="C173" s="21" t="s">
        <v>576</v>
      </c>
      <c r="D173" s="165">
        <v>2250000</v>
      </c>
      <c r="E173" s="21" t="s">
        <v>702</v>
      </c>
      <c r="F173" s="21" t="s">
        <v>703</v>
      </c>
      <c r="G173" s="8" t="str">
        <f t="shared" si="2"/>
        <v>CRAYTON QUNTRELL</v>
      </c>
    </row>
    <row r="174" spans="1:7" x14ac:dyDescent="0.25">
      <c r="A174" s="8">
        <v>42719.720879629633</v>
      </c>
      <c r="B174" s="21" t="s">
        <v>236</v>
      </c>
      <c r="C174" s="21" t="s">
        <v>723</v>
      </c>
      <c r="D174" s="165">
        <v>1740000</v>
      </c>
      <c r="E174" s="21" t="s">
        <v>724</v>
      </c>
      <c r="F174" s="21" t="s">
        <v>725</v>
      </c>
      <c r="G174" s="8" t="str">
        <f t="shared" si="2"/>
        <v>STORY SAMANTHA</v>
      </c>
    </row>
    <row r="175" spans="1:7" x14ac:dyDescent="0.25">
      <c r="A175" s="8">
        <v>42719.725659722222</v>
      </c>
      <c r="B175" s="21" t="s">
        <v>360</v>
      </c>
      <c r="C175" s="21" t="s">
        <v>726</v>
      </c>
      <c r="D175" s="165">
        <v>1140000</v>
      </c>
      <c r="E175" s="21" t="s">
        <v>306</v>
      </c>
      <c r="F175" s="21" t="s">
        <v>307</v>
      </c>
      <c r="G175" s="8" t="str">
        <f t="shared" si="2"/>
        <v>YOUNG ELIZABETH</v>
      </c>
    </row>
    <row r="176" spans="1:7" x14ac:dyDescent="0.25">
      <c r="A176" s="8">
        <v>42719.732638888891</v>
      </c>
      <c r="B176" s="21" t="s">
        <v>257</v>
      </c>
      <c r="C176" s="21" t="s">
        <v>727</v>
      </c>
      <c r="D176" s="165">
        <v>2040000</v>
      </c>
      <c r="E176" s="21" t="s">
        <v>381</v>
      </c>
      <c r="F176" s="21" t="s">
        <v>382</v>
      </c>
      <c r="G176" s="8" t="str">
        <f t="shared" si="2"/>
        <v>MOSES BRADLEY</v>
      </c>
    </row>
    <row r="177" spans="1:7" x14ac:dyDescent="0.25">
      <c r="A177" s="8">
        <v>42719.734479166669</v>
      </c>
      <c r="B177" s="21" t="s">
        <v>270</v>
      </c>
      <c r="C177" s="21" t="s">
        <v>728</v>
      </c>
      <c r="D177" s="165">
        <v>2610000</v>
      </c>
      <c r="E177" s="21" t="s">
        <v>377</v>
      </c>
      <c r="F177" s="21" t="s">
        <v>378</v>
      </c>
      <c r="G177" s="8" t="str">
        <f t="shared" si="2"/>
        <v>MAGEE KENYA</v>
      </c>
    </row>
    <row r="178" spans="1:7" x14ac:dyDescent="0.25">
      <c r="A178" s="8">
        <v>42719.734791666669</v>
      </c>
      <c r="B178" s="21" t="s">
        <v>237</v>
      </c>
      <c r="C178" s="21" t="s">
        <v>577</v>
      </c>
      <c r="D178" s="165">
        <v>1740000</v>
      </c>
      <c r="E178" s="21" t="s">
        <v>724</v>
      </c>
      <c r="F178" s="21" t="s">
        <v>725</v>
      </c>
      <c r="G178" s="8" t="str">
        <f t="shared" si="2"/>
        <v>STORY SAMANTHA</v>
      </c>
    </row>
    <row r="179" spans="1:7" x14ac:dyDescent="0.25">
      <c r="A179" s="8">
        <v>42719.736678240741</v>
      </c>
      <c r="B179" s="21" t="s">
        <v>250</v>
      </c>
      <c r="C179" s="21" t="s">
        <v>729</v>
      </c>
      <c r="D179" s="165">
        <v>1290000</v>
      </c>
      <c r="E179" s="21" t="s">
        <v>252</v>
      </c>
      <c r="F179" s="21" t="s">
        <v>263</v>
      </c>
      <c r="G179" s="8" t="str">
        <f t="shared" si="2"/>
        <v>COOLAHAN JOHN</v>
      </c>
    </row>
    <row r="180" spans="1:7" x14ac:dyDescent="0.25">
      <c r="A180" s="8">
        <v>42719.739178240743</v>
      </c>
      <c r="B180" s="21" t="s">
        <v>154</v>
      </c>
      <c r="C180" s="21" t="s">
        <v>578</v>
      </c>
      <c r="D180" s="165">
        <v>2710000</v>
      </c>
      <c r="E180" s="21" t="s">
        <v>385</v>
      </c>
      <c r="F180" s="21" t="s">
        <v>386</v>
      </c>
      <c r="G180" s="8" t="str">
        <f t="shared" si="2"/>
        <v>SIMMONS SHYHESHA</v>
      </c>
    </row>
    <row r="181" spans="1:7" x14ac:dyDescent="0.25">
      <c r="A181" s="8">
        <v>42719.744710648149</v>
      </c>
      <c r="B181" s="21" t="s">
        <v>279</v>
      </c>
      <c r="C181" s="21" t="s">
        <v>730</v>
      </c>
      <c r="D181" s="165">
        <v>2560000</v>
      </c>
      <c r="E181" s="21" t="s">
        <v>731</v>
      </c>
      <c r="F181" s="21" t="s">
        <v>732</v>
      </c>
      <c r="G181" s="8" t="str">
        <f t="shared" si="2"/>
        <v>MACDONALD THOMAS</v>
      </c>
    </row>
    <row r="182" spans="1:7" x14ac:dyDescent="0.25">
      <c r="A182" s="8">
        <v>42719.74596064815</v>
      </c>
      <c r="B182" s="21" t="s">
        <v>183</v>
      </c>
      <c r="C182" s="21" t="s">
        <v>733</v>
      </c>
      <c r="D182" s="165">
        <v>2370000</v>
      </c>
      <c r="E182" s="21" t="s">
        <v>332</v>
      </c>
      <c r="F182" s="21" t="s">
        <v>333</v>
      </c>
      <c r="G182" s="8" t="str">
        <f t="shared" si="2"/>
        <v>DELGADO DIANAH</v>
      </c>
    </row>
    <row r="183" spans="1:7" x14ac:dyDescent="0.25">
      <c r="A183" s="8">
        <v>42719.747812499998</v>
      </c>
      <c r="B183" s="21" t="s">
        <v>663</v>
      </c>
      <c r="C183" s="21" t="s">
        <v>734</v>
      </c>
      <c r="D183" s="165">
        <v>2220000</v>
      </c>
      <c r="E183" s="21" t="s">
        <v>328</v>
      </c>
      <c r="F183" s="21" t="s">
        <v>329</v>
      </c>
      <c r="G183" s="8" t="str">
        <f t="shared" si="2"/>
        <v>HILLS DUSTIN</v>
      </c>
    </row>
    <row r="184" spans="1:7" x14ac:dyDescent="0.25">
      <c r="A184" s="8">
        <v>42719.751111111109</v>
      </c>
      <c r="B184" s="21" t="s">
        <v>321</v>
      </c>
      <c r="C184" s="21" t="s">
        <v>735</v>
      </c>
      <c r="D184" s="165">
        <v>2670000</v>
      </c>
      <c r="E184" s="21" t="s">
        <v>383</v>
      </c>
      <c r="F184" s="21" t="s">
        <v>384</v>
      </c>
      <c r="G184" s="8" t="str">
        <f t="shared" si="2"/>
        <v>COMELLA JUSTIN</v>
      </c>
    </row>
    <row r="185" spans="1:7" x14ac:dyDescent="0.25">
      <c r="A185" s="8">
        <v>42719.756215277775</v>
      </c>
      <c r="B185" s="21" t="s">
        <v>155</v>
      </c>
      <c r="C185" s="21" t="s">
        <v>736</v>
      </c>
      <c r="D185" s="165">
        <v>2710000</v>
      </c>
      <c r="E185" s="21" t="s">
        <v>385</v>
      </c>
      <c r="F185" s="21" t="s">
        <v>386</v>
      </c>
      <c r="G185" s="8" t="str">
        <f t="shared" si="2"/>
        <v>SIMMONS SHYHESHA</v>
      </c>
    </row>
    <row r="186" spans="1:7" x14ac:dyDescent="0.25">
      <c r="A186" s="8">
        <v>42719.758611111109</v>
      </c>
      <c r="B186" s="21" t="s">
        <v>232</v>
      </c>
      <c r="C186" s="21" t="s">
        <v>737</v>
      </c>
      <c r="D186" s="165">
        <v>1300000</v>
      </c>
      <c r="E186" s="21" t="s">
        <v>113</v>
      </c>
      <c r="F186" s="21" t="s">
        <v>326</v>
      </c>
      <c r="G186" s="8" t="str">
        <f t="shared" si="2"/>
        <v>LEVIN SCOTT</v>
      </c>
    </row>
    <row r="187" spans="1:7" x14ac:dyDescent="0.25">
      <c r="A187" s="8">
        <v>42719.760497685187</v>
      </c>
      <c r="B187" s="21" t="s">
        <v>364</v>
      </c>
      <c r="C187" s="21" t="s">
        <v>738</v>
      </c>
      <c r="D187" s="165">
        <v>1140000</v>
      </c>
      <c r="E187" s="21" t="s">
        <v>306</v>
      </c>
      <c r="F187" s="21" t="s">
        <v>307</v>
      </c>
      <c r="G187" s="8" t="str">
        <f t="shared" si="2"/>
        <v>YOUNG ELIZABETH</v>
      </c>
    </row>
    <row r="188" spans="1:7" x14ac:dyDescent="0.25">
      <c r="A188" s="8">
        <v>42719.763599537036</v>
      </c>
      <c r="B188" s="21" t="s">
        <v>236</v>
      </c>
      <c r="C188" s="21" t="s">
        <v>739</v>
      </c>
      <c r="D188" s="165">
        <v>1740000</v>
      </c>
      <c r="E188" s="21" t="s">
        <v>724</v>
      </c>
      <c r="F188" s="21" t="s">
        <v>725</v>
      </c>
      <c r="G188" s="8" t="str">
        <f t="shared" si="2"/>
        <v>STORY SAMANTHA</v>
      </c>
    </row>
    <row r="189" spans="1:7" x14ac:dyDescent="0.25">
      <c r="A189" s="8">
        <v>42719.768842592595</v>
      </c>
      <c r="B189" s="21" t="s">
        <v>260</v>
      </c>
      <c r="C189" s="21" t="s">
        <v>740</v>
      </c>
      <c r="D189" s="165">
        <v>2000000</v>
      </c>
      <c r="E189" s="21" t="s">
        <v>210</v>
      </c>
      <c r="F189" s="21" t="s">
        <v>267</v>
      </c>
      <c r="G189" s="8" t="str">
        <f t="shared" si="2"/>
        <v>STAMBAUGH JAMES</v>
      </c>
    </row>
    <row r="190" spans="1:7" x14ac:dyDescent="0.25">
      <c r="A190" s="8">
        <v>42719.769629629627</v>
      </c>
      <c r="B190" s="21" t="s">
        <v>154</v>
      </c>
      <c r="C190" s="21" t="s">
        <v>741</v>
      </c>
      <c r="D190" s="165">
        <v>2710000</v>
      </c>
      <c r="E190" s="21" t="s">
        <v>385</v>
      </c>
      <c r="F190" s="21" t="s">
        <v>386</v>
      </c>
      <c r="G190" s="8" t="str">
        <f t="shared" si="2"/>
        <v>SIMMONS SHYHESHA</v>
      </c>
    </row>
    <row r="191" spans="1:7" x14ac:dyDescent="0.25">
      <c r="A191" s="8">
        <v>42719.77380787037</v>
      </c>
      <c r="B191" s="21" t="s">
        <v>277</v>
      </c>
      <c r="C191" s="21" t="s">
        <v>742</v>
      </c>
      <c r="D191" s="165">
        <v>1290000</v>
      </c>
      <c r="E191" s="21" t="s">
        <v>252</v>
      </c>
      <c r="F191" s="21" t="s">
        <v>263</v>
      </c>
      <c r="G191" s="8" t="str">
        <f t="shared" si="2"/>
        <v>COOLAHAN JOHN</v>
      </c>
    </row>
    <row r="192" spans="1:7" x14ac:dyDescent="0.25">
      <c r="A192" s="8">
        <v>42719.77715277778</v>
      </c>
      <c r="B192" s="21" t="s">
        <v>237</v>
      </c>
      <c r="C192" s="21" t="s">
        <v>743</v>
      </c>
      <c r="D192" s="165">
        <v>1740000</v>
      </c>
      <c r="E192" s="21" t="s">
        <v>724</v>
      </c>
      <c r="F192" s="21" t="s">
        <v>725</v>
      </c>
      <c r="G192" s="8" t="str">
        <f t="shared" si="2"/>
        <v>STORY SAMANTHA</v>
      </c>
    </row>
    <row r="193" spans="1:7" x14ac:dyDescent="0.25">
      <c r="A193" s="8">
        <v>42719.779710648145</v>
      </c>
      <c r="B193" s="21" t="s">
        <v>555</v>
      </c>
      <c r="C193" s="21" t="s">
        <v>744</v>
      </c>
      <c r="D193" s="165">
        <v>2370000</v>
      </c>
      <c r="E193" s="21" t="s">
        <v>332</v>
      </c>
      <c r="F193" s="21" t="s">
        <v>333</v>
      </c>
      <c r="G193" s="8" t="str">
        <f t="shared" si="2"/>
        <v>DELGADO DIANAH</v>
      </c>
    </row>
    <row r="194" spans="1:7" x14ac:dyDescent="0.25">
      <c r="A194" s="8">
        <v>42719.779826388891</v>
      </c>
      <c r="B194" s="21" t="s">
        <v>271</v>
      </c>
      <c r="C194" s="21" t="s">
        <v>745</v>
      </c>
      <c r="D194" s="165">
        <v>2610000</v>
      </c>
      <c r="E194" s="21" t="s">
        <v>377</v>
      </c>
      <c r="F194" s="21" t="s">
        <v>378</v>
      </c>
      <c r="G194" s="8" t="str">
        <f t="shared" si="2"/>
        <v>MAGEE KENYA</v>
      </c>
    </row>
    <row r="195" spans="1:7" x14ac:dyDescent="0.25">
      <c r="A195" s="8">
        <v>42719.787986111114</v>
      </c>
      <c r="B195" s="21" t="s">
        <v>327</v>
      </c>
      <c r="C195" s="21" t="s">
        <v>746</v>
      </c>
      <c r="D195" s="165">
        <v>2670000</v>
      </c>
      <c r="E195" s="21" t="s">
        <v>383</v>
      </c>
      <c r="F195" s="21" t="s">
        <v>384</v>
      </c>
      <c r="G195" s="8" t="str">
        <f t="shared" ref="G195:G258" si="3">E195&amp;" "&amp;F195</f>
        <v>COMELLA JUSTIN</v>
      </c>
    </row>
    <row r="196" spans="1:7" x14ac:dyDescent="0.25">
      <c r="A196" s="8">
        <v>42719.793692129628</v>
      </c>
      <c r="B196" s="21" t="s">
        <v>240</v>
      </c>
      <c r="C196" s="21" t="s">
        <v>747</v>
      </c>
      <c r="D196" s="165">
        <v>1300000</v>
      </c>
      <c r="E196" s="21" t="s">
        <v>113</v>
      </c>
      <c r="F196" s="21" t="s">
        <v>326</v>
      </c>
      <c r="G196" s="8" t="str">
        <f t="shared" si="3"/>
        <v>LEVIN SCOTT</v>
      </c>
    </row>
    <row r="197" spans="1:7" x14ac:dyDescent="0.25">
      <c r="A197" s="8">
        <v>42719.79582175926</v>
      </c>
      <c r="B197" s="21" t="s">
        <v>155</v>
      </c>
      <c r="C197" s="21" t="s">
        <v>748</v>
      </c>
      <c r="D197" s="165">
        <v>2710000</v>
      </c>
      <c r="E197" s="21" t="s">
        <v>385</v>
      </c>
      <c r="F197" s="21" t="s">
        <v>386</v>
      </c>
      <c r="G197" s="8" t="str">
        <f t="shared" si="3"/>
        <v>SIMMONS SHYHESHA</v>
      </c>
    </row>
    <row r="198" spans="1:7" x14ac:dyDescent="0.25">
      <c r="A198" s="8">
        <v>42719.798518518517</v>
      </c>
      <c r="B198" s="21" t="s">
        <v>257</v>
      </c>
      <c r="C198" s="21" t="s">
        <v>749</v>
      </c>
      <c r="D198" s="165">
        <v>2000000</v>
      </c>
      <c r="E198" s="21" t="s">
        <v>210</v>
      </c>
      <c r="F198" s="21" t="s">
        <v>267</v>
      </c>
      <c r="G198" s="8" t="str">
        <f t="shared" si="3"/>
        <v>STAMBAUGH JAMES</v>
      </c>
    </row>
    <row r="199" spans="1:7" x14ac:dyDescent="0.25">
      <c r="A199" s="8">
        <v>42719.800219907411</v>
      </c>
      <c r="B199" s="21" t="s">
        <v>360</v>
      </c>
      <c r="C199" s="21" t="s">
        <v>750</v>
      </c>
      <c r="D199" s="165">
        <v>1140000</v>
      </c>
      <c r="E199" s="21" t="s">
        <v>306</v>
      </c>
      <c r="F199" s="21" t="s">
        <v>307</v>
      </c>
      <c r="G199" s="8" t="str">
        <f t="shared" si="3"/>
        <v>YOUNG ELIZABETH</v>
      </c>
    </row>
    <row r="200" spans="1:7" x14ac:dyDescent="0.25">
      <c r="A200" s="8">
        <v>42719.801574074074</v>
      </c>
      <c r="B200" s="21" t="s">
        <v>236</v>
      </c>
      <c r="C200" s="21" t="s">
        <v>751</v>
      </c>
      <c r="D200" s="165">
        <v>2680000</v>
      </c>
      <c r="E200" s="21" t="s">
        <v>373</v>
      </c>
      <c r="F200" s="21" t="s">
        <v>374</v>
      </c>
      <c r="G200" s="8" t="str">
        <f t="shared" si="3"/>
        <v>DUNCAN SHEILA</v>
      </c>
    </row>
    <row r="201" spans="1:7" x14ac:dyDescent="0.25">
      <c r="A201" s="8">
        <v>42719.808530092596</v>
      </c>
      <c r="B201" s="21" t="s">
        <v>250</v>
      </c>
      <c r="C201" s="21" t="s">
        <v>752</v>
      </c>
      <c r="D201" s="165">
        <v>1290000</v>
      </c>
      <c r="E201" s="21" t="s">
        <v>252</v>
      </c>
      <c r="F201" s="21" t="s">
        <v>263</v>
      </c>
      <c r="G201" s="8" t="str">
        <f t="shared" si="3"/>
        <v>COOLAHAN JOHN</v>
      </c>
    </row>
    <row r="202" spans="1:7" x14ac:dyDescent="0.25">
      <c r="A202" s="27">
        <v>42719.818449074075</v>
      </c>
      <c r="B202" s="21" t="s">
        <v>237</v>
      </c>
      <c r="C202" s="21" t="s">
        <v>753</v>
      </c>
      <c r="D202" s="165">
        <v>2680000</v>
      </c>
      <c r="E202" s="21" t="s">
        <v>373</v>
      </c>
      <c r="F202" s="21" t="s">
        <v>374</v>
      </c>
      <c r="G202" s="8" t="str">
        <f t="shared" si="3"/>
        <v>DUNCAN SHEILA</v>
      </c>
    </row>
    <row r="203" spans="1:7" x14ac:dyDescent="0.25">
      <c r="A203" s="8">
        <v>42719.820173611108</v>
      </c>
      <c r="B203" s="21" t="s">
        <v>183</v>
      </c>
      <c r="C203" s="21" t="s">
        <v>754</v>
      </c>
      <c r="D203" s="165">
        <v>2370000</v>
      </c>
      <c r="E203" s="21" t="s">
        <v>332</v>
      </c>
      <c r="F203" s="21" t="s">
        <v>333</v>
      </c>
      <c r="G203" s="8" t="str">
        <f t="shared" si="3"/>
        <v>DELGADO DIANAH</v>
      </c>
    </row>
    <row r="204" spans="1:7" x14ac:dyDescent="0.25">
      <c r="A204" s="8">
        <v>42719.823842592596</v>
      </c>
      <c r="B204" s="21" t="s">
        <v>321</v>
      </c>
      <c r="C204" s="21" t="s">
        <v>579</v>
      </c>
      <c r="D204" s="165">
        <v>2670000</v>
      </c>
      <c r="E204" s="21" t="s">
        <v>383</v>
      </c>
      <c r="F204" s="21" t="s">
        <v>384</v>
      </c>
      <c r="G204" s="8" t="str">
        <f t="shared" si="3"/>
        <v>COMELLA JUSTIN</v>
      </c>
    </row>
    <row r="205" spans="1:7" x14ac:dyDescent="0.25">
      <c r="A205" s="8">
        <v>42719.831562500003</v>
      </c>
      <c r="B205" s="21" t="s">
        <v>232</v>
      </c>
      <c r="C205" s="21" t="s">
        <v>755</v>
      </c>
      <c r="D205" s="165">
        <v>1300000</v>
      </c>
      <c r="E205" s="21" t="s">
        <v>113</v>
      </c>
      <c r="F205" s="21" t="s">
        <v>326</v>
      </c>
      <c r="G205" s="8" t="str">
        <f t="shared" si="3"/>
        <v>LEVIN SCOTT</v>
      </c>
    </row>
    <row r="206" spans="1:7" x14ac:dyDescent="0.25">
      <c r="A206" s="8">
        <v>42719.846643518518</v>
      </c>
      <c r="B206" s="21" t="s">
        <v>236</v>
      </c>
      <c r="C206" s="21" t="s">
        <v>756</v>
      </c>
      <c r="D206" s="165">
        <v>2680000</v>
      </c>
      <c r="E206" s="21" t="s">
        <v>373</v>
      </c>
      <c r="F206" s="21" t="s">
        <v>374</v>
      </c>
      <c r="G206" s="8" t="str">
        <f t="shared" si="3"/>
        <v>DUNCAN SHEILA</v>
      </c>
    </row>
    <row r="207" spans="1:7" x14ac:dyDescent="0.25">
      <c r="A207" s="8">
        <v>42719.846886574072</v>
      </c>
      <c r="B207" s="21" t="s">
        <v>277</v>
      </c>
      <c r="C207" s="21" t="s">
        <v>757</v>
      </c>
      <c r="D207" s="165">
        <v>1290000</v>
      </c>
      <c r="E207" s="21" t="s">
        <v>252</v>
      </c>
      <c r="F207" s="21" t="s">
        <v>263</v>
      </c>
      <c r="G207" s="8" t="str">
        <f t="shared" si="3"/>
        <v>COOLAHAN JOHN</v>
      </c>
    </row>
    <row r="208" spans="1:7" x14ac:dyDescent="0.25">
      <c r="A208" s="8">
        <v>42719.849722222221</v>
      </c>
      <c r="B208" s="21" t="s">
        <v>260</v>
      </c>
      <c r="C208" s="21" t="s">
        <v>758</v>
      </c>
      <c r="D208" s="165">
        <v>2530000</v>
      </c>
      <c r="E208" s="21" t="s">
        <v>242</v>
      </c>
      <c r="F208" s="21" t="s">
        <v>759</v>
      </c>
      <c r="G208" s="8" t="str">
        <f t="shared" si="3"/>
        <v>LALONDE GREGORY</v>
      </c>
    </row>
    <row r="209" spans="1:7" x14ac:dyDescent="0.25">
      <c r="A209" s="8">
        <v>42719.861250000002</v>
      </c>
      <c r="B209" s="21" t="s">
        <v>237</v>
      </c>
      <c r="C209" s="21" t="s">
        <v>760</v>
      </c>
      <c r="D209" s="165">
        <v>2680000</v>
      </c>
      <c r="E209" s="21" t="s">
        <v>373</v>
      </c>
      <c r="F209" s="21" t="s">
        <v>374</v>
      </c>
      <c r="G209" s="8" t="str">
        <f t="shared" si="3"/>
        <v>DUNCAN SHEILA</v>
      </c>
    </row>
    <row r="210" spans="1:7" x14ac:dyDescent="0.25">
      <c r="A210" s="8">
        <v>42719.869872685187</v>
      </c>
      <c r="B210" s="21" t="s">
        <v>327</v>
      </c>
      <c r="C210" s="21" t="s">
        <v>761</v>
      </c>
      <c r="D210" s="165">
        <v>2670000</v>
      </c>
      <c r="E210" s="21" t="s">
        <v>383</v>
      </c>
      <c r="F210" s="21" t="s">
        <v>384</v>
      </c>
      <c r="G210" s="8" t="str">
        <f t="shared" si="3"/>
        <v>COMELLA JUSTIN</v>
      </c>
    </row>
    <row r="211" spans="1:7" x14ac:dyDescent="0.25">
      <c r="A211" s="8">
        <v>42719.870300925926</v>
      </c>
      <c r="B211" s="21" t="s">
        <v>240</v>
      </c>
      <c r="C211" s="21" t="s">
        <v>762</v>
      </c>
      <c r="D211" s="165">
        <v>1300000</v>
      </c>
      <c r="E211" s="21" t="s">
        <v>113</v>
      </c>
      <c r="F211" s="21" t="s">
        <v>326</v>
      </c>
      <c r="G211" s="8" t="str">
        <f t="shared" si="3"/>
        <v>LEVIN SCOTT</v>
      </c>
    </row>
    <row r="212" spans="1:7" x14ac:dyDescent="0.25">
      <c r="A212" s="8">
        <v>42719.875243055554</v>
      </c>
      <c r="B212" s="21" t="s">
        <v>236</v>
      </c>
      <c r="C212" s="21" t="s">
        <v>763</v>
      </c>
      <c r="D212" s="165">
        <v>2710000</v>
      </c>
      <c r="E212" s="21" t="s">
        <v>385</v>
      </c>
      <c r="F212" s="21" t="s">
        <v>386</v>
      </c>
      <c r="G212" s="8" t="str">
        <f t="shared" si="3"/>
        <v>SIMMONS SHYHESHA</v>
      </c>
    </row>
    <row r="213" spans="1:7" x14ac:dyDescent="0.25">
      <c r="A213" s="8">
        <v>42719.8825462963</v>
      </c>
      <c r="B213" s="21" t="s">
        <v>257</v>
      </c>
      <c r="C213" s="21" t="s">
        <v>764</v>
      </c>
      <c r="D213" s="165">
        <v>2530000</v>
      </c>
      <c r="E213" s="21" t="s">
        <v>242</v>
      </c>
      <c r="F213" s="21" t="s">
        <v>759</v>
      </c>
      <c r="G213" s="8" t="str">
        <f t="shared" si="3"/>
        <v>LALONDE GREGORY</v>
      </c>
    </row>
    <row r="214" spans="1:7" x14ac:dyDescent="0.25">
      <c r="A214" s="8">
        <v>42719.893263888887</v>
      </c>
      <c r="B214" s="21" t="s">
        <v>250</v>
      </c>
      <c r="C214" s="21" t="s">
        <v>765</v>
      </c>
      <c r="D214" s="165">
        <v>1290000</v>
      </c>
      <c r="E214" s="21" t="s">
        <v>252</v>
      </c>
      <c r="F214" s="21" t="s">
        <v>263</v>
      </c>
      <c r="G214" s="8" t="str">
        <f t="shared" si="3"/>
        <v>COOLAHAN JOHN</v>
      </c>
    </row>
    <row r="215" spans="1:7" x14ac:dyDescent="0.25">
      <c r="A215" s="8">
        <v>42719.899780092594</v>
      </c>
      <c r="B215" s="21" t="s">
        <v>237</v>
      </c>
      <c r="C215" s="21" t="s">
        <v>580</v>
      </c>
      <c r="D215" s="165">
        <v>2710000</v>
      </c>
      <c r="E215" s="21" t="s">
        <v>385</v>
      </c>
      <c r="F215" s="21" t="s">
        <v>386</v>
      </c>
      <c r="G215" s="8" t="str">
        <f t="shared" si="3"/>
        <v>SIMMONS SHYHESHA</v>
      </c>
    </row>
    <row r="216" spans="1:7" x14ac:dyDescent="0.25">
      <c r="A216" s="8">
        <v>42719.908310185187</v>
      </c>
      <c r="B216" s="21" t="s">
        <v>321</v>
      </c>
      <c r="C216" s="21" t="s">
        <v>766</v>
      </c>
      <c r="D216" s="165">
        <v>2670000</v>
      </c>
      <c r="E216" s="21" t="s">
        <v>383</v>
      </c>
      <c r="F216" s="21" t="s">
        <v>384</v>
      </c>
      <c r="G216" s="8" t="str">
        <f t="shared" si="3"/>
        <v>COMELLA JUSTIN</v>
      </c>
    </row>
    <row r="217" spans="1:7" x14ac:dyDescent="0.25">
      <c r="A217" s="8">
        <v>42719.914456018516</v>
      </c>
      <c r="B217" s="21" t="s">
        <v>236</v>
      </c>
      <c r="C217" s="21" t="s">
        <v>767</v>
      </c>
      <c r="D217" s="165">
        <v>2710000</v>
      </c>
      <c r="E217" s="21" t="s">
        <v>385</v>
      </c>
      <c r="F217" s="21" t="s">
        <v>386</v>
      </c>
      <c r="G217" s="8" t="str">
        <f t="shared" si="3"/>
        <v>SIMMONS SHYHESHA</v>
      </c>
    </row>
    <row r="218" spans="1:7" x14ac:dyDescent="0.25">
      <c r="A218" s="8">
        <v>42719.914606481485</v>
      </c>
      <c r="B218" s="21" t="s">
        <v>232</v>
      </c>
      <c r="C218" s="21" t="s">
        <v>768</v>
      </c>
      <c r="D218" s="165">
        <v>1300000</v>
      </c>
      <c r="E218" s="21" t="s">
        <v>113</v>
      </c>
      <c r="F218" s="21" t="s">
        <v>326</v>
      </c>
      <c r="G218" s="8" t="str">
        <f t="shared" si="3"/>
        <v>LEVIN SCOTT</v>
      </c>
    </row>
    <row r="219" spans="1:7" x14ac:dyDescent="0.25">
      <c r="A219" s="8">
        <v>42719.929247685184</v>
      </c>
      <c r="B219" s="21" t="s">
        <v>277</v>
      </c>
      <c r="C219" s="21" t="s">
        <v>769</v>
      </c>
      <c r="D219" s="165">
        <v>1290000</v>
      </c>
      <c r="E219" s="21" t="s">
        <v>252</v>
      </c>
      <c r="F219" s="21" t="s">
        <v>263</v>
      </c>
      <c r="G219" s="8" t="str">
        <f t="shared" si="3"/>
        <v>COOLAHAN JOHN</v>
      </c>
    </row>
    <row r="220" spans="1:7" x14ac:dyDescent="0.25">
      <c r="A220" s="8">
        <v>42719.93482638889</v>
      </c>
      <c r="B220" s="21" t="s">
        <v>260</v>
      </c>
      <c r="C220" s="21" t="s">
        <v>770</v>
      </c>
      <c r="D220" s="165">
        <v>2000000</v>
      </c>
      <c r="E220" s="21" t="s">
        <v>210</v>
      </c>
      <c r="F220" s="21" t="s">
        <v>267</v>
      </c>
      <c r="G220" s="8" t="str">
        <f t="shared" si="3"/>
        <v>STAMBAUGH JAMES</v>
      </c>
    </row>
    <row r="221" spans="1:7" x14ac:dyDescent="0.25">
      <c r="A221" s="8">
        <v>42719.941064814811</v>
      </c>
      <c r="B221" s="21" t="s">
        <v>237</v>
      </c>
      <c r="C221" s="21" t="s">
        <v>771</v>
      </c>
      <c r="D221" s="165">
        <v>2710000</v>
      </c>
      <c r="E221" s="21" t="s">
        <v>385</v>
      </c>
      <c r="F221" s="21" t="s">
        <v>386</v>
      </c>
      <c r="G221" s="8" t="str">
        <f t="shared" si="3"/>
        <v>SIMMONS SHYHESHA</v>
      </c>
    </row>
    <row r="222" spans="1:7" x14ac:dyDescent="0.25">
      <c r="A222" s="8">
        <v>42719.949456018519</v>
      </c>
      <c r="B222" s="21" t="s">
        <v>240</v>
      </c>
      <c r="C222" s="21" t="s">
        <v>772</v>
      </c>
      <c r="D222" s="165">
        <v>1300000</v>
      </c>
      <c r="E222" s="21" t="s">
        <v>113</v>
      </c>
      <c r="F222" s="21" t="s">
        <v>326</v>
      </c>
      <c r="G222" s="8" t="str">
        <f t="shared" si="3"/>
        <v>LEVIN SCOTT</v>
      </c>
    </row>
    <row r="223" spans="1:7" x14ac:dyDescent="0.25">
      <c r="A223" s="8">
        <v>42719.950752314813</v>
      </c>
      <c r="B223" s="21" t="s">
        <v>327</v>
      </c>
      <c r="C223" s="21" t="s">
        <v>773</v>
      </c>
      <c r="D223" s="165">
        <v>2670000</v>
      </c>
      <c r="E223" s="21" t="s">
        <v>383</v>
      </c>
      <c r="F223" s="21" t="s">
        <v>384</v>
      </c>
      <c r="G223" s="8" t="str">
        <f t="shared" si="3"/>
        <v>COMELLA JUSTIN</v>
      </c>
    </row>
    <row r="224" spans="1:7" x14ac:dyDescent="0.25">
      <c r="A224" s="8">
        <v>42720.022592592592</v>
      </c>
      <c r="B224" t="s">
        <v>279</v>
      </c>
      <c r="C224" t="s">
        <v>774</v>
      </c>
      <c r="D224" s="165">
        <v>2620000</v>
      </c>
      <c r="E224" t="s">
        <v>387</v>
      </c>
      <c r="F224" s="21" t="s">
        <v>388</v>
      </c>
      <c r="G224" s="8" t="str">
        <f t="shared" si="3"/>
        <v>PERKINS DARREN</v>
      </c>
    </row>
    <row r="225" spans="1:7" x14ac:dyDescent="0.25">
      <c r="A225" s="8">
        <v>42720.023321759261</v>
      </c>
      <c r="B225" t="s">
        <v>279</v>
      </c>
      <c r="C225" t="s">
        <v>774</v>
      </c>
      <c r="D225" s="165">
        <v>2620000</v>
      </c>
      <c r="E225" t="s">
        <v>387</v>
      </c>
      <c r="F225" s="21" t="s">
        <v>388</v>
      </c>
      <c r="G225" s="8" t="str">
        <f t="shared" si="3"/>
        <v>PERKINS DARREN</v>
      </c>
    </row>
    <row r="226" spans="1:7" x14ac:dyDescent="0.25">
      <c r="A226" s="8">
        <v>42720.028333333335</v>
      </c>
      <c r="B226" t="s">
        <v>279</v>
      </c>
      <c r="C226" t="s">
        <v>774</v>
      </c>
      <c r="D226" s="165">
        <v>2620000</v>
      </c>
      <c r="E226" t="s">
        <v>387</v>
      </c>
      <c r="F226" s="21" t="s">
        <v>388</v>
      </c>
      <c r="G226" s="8" t="str">
        <f t="shared" si="3"/>
        <v>PERKINS DARREN</v>
      </c>
    </row>
    <row r="227" spans="1:7" x14ac:dyDescent="0.25">
      <c r="A227" s="8">
        <v>42720.047025462962</v>
      </c>
      <c r="B227" t="s">
        <v>277</v>
      </c>
      <c r="C227" t="s">
        <v>775</v>
      </c>
      <c r="D227" s="165">
        <v>2630000</v>
      </c>
      <c r="E227" t="s">
        <v>389</v>
      </c>
      <c r="F227" s="21" t="s">
        <v>390</v>
      </c>
      <c r="G227" s="8" t="str">
        <f t="shared" si="3"/>
        <v>SAFIEF AEIMEN</v>
      </c>
    </row>
    <row r="228" spans="1:7" x14ac:dyDescent="0.25">
      <c r="A228" s="8">
        <v>42720.053819444445</v>
      </c>
      <c r="B228" t="s">
        <v>233</v>
      </c>
      <c r="C228" t="s">
        <v>774</v>
      </c>
      <c r="D228" s="165">
        <v>2620000</v>
      </c>
      <c r="E228" t="s">
        <v>387</v>
      </c>
      <c r="F228" s="21" t="s">
        <v>388</v>
      </c>
      <c r="G228" s="8" t="str">
        <f t="shared" si="3"/>
        <v>PERKINS DARREN</v>
      </c>
    </row>
    <row r="229" spans="1:7" x14ac:dyDescent="0.25">
      <c r="A229" s="8">
        <v>42720.054803240739</v>
      </c>
      <c r="B229" t="s">
        <v>233</v>
      </c>
      <c r="C229" t="s">
        <v>774</v>
      </c>
      <c r="D229" s="165">
        <v>2620000</v>
      </c>
      <c r="E229" t="s">
        <v>387</v>
      </c>
      <c r="F229" s="21" t="s">
        <v>388</v>
      </c>
      <c r="G229" s="8" t="str">
        <f t="shared" si="3"/>
        <v>PERKINS DARREN</v>
      </c>
    </row>
    <row r="230" spans="1:7" x14ac:dyDescent="0.25">
      <c r="A230" s="8">
        <v>42720.058020833334</v>
      </c>
      <c r="B230" t="s">
        <v>233</v>
      </c>
      <c r="C230" t="s">
        <v>774</v>
      </c>
      <c r="D230" s="165">
        <v>2620000</v>
      </c>
      <c r="E230" t="s">
        <v>387</v>
      </c>
      <c r="F230" s="21" t="s">
        <v>388</v>
      </c>
      <c r="G230" s="8" t="str">
        <f t="shared" si="3"/>
        <v>PERKINS DARREN</v>
      </c>
    </row>
    <row r="231" spans="1:7" x14ac:dyDescent="0.25">
      <c r="A231" s="8">
        <v>42720.070590277777</v>
      </c>
      <c r="B231" t="s">
        <v>279</v>
      </c>
      <c r="C231" t="s">
        <v>774</v>
      </c>
      <c r="D231" s="165">
        <v>2620000</v>
      </c>
      <c r="E231" t="s">
        <v>387</v>
      </c>
      <c r="F231" s="21" t="s">
        <v>388</v>
      </c>
      <c r="G231" s="8" t="str">
        <f t="shared" si="3"/>
        <v>PERKINS DARREN</v>
      </c>
    </row>
    <row r="232" spans="1:7" x14ac:dyDescent="0.25">
      <c r="A232" s="8">
        <v>42720.071481481478</v>
      </c>
      <c r="B232" t="s">
        <v>279</v>
      </c>
      <c r="C232" t="s">
        <v>774</v>
      </c>
      <c r="D232" s="165">
        <v>2620000</v>
      </c>
      <c r="E232" t="s">
        <v>387</v>
      </c>
      <c r="F232" s="21" t="s">
        <v>388</v>
      </c>
      <c r="G232" s="8" t="str">
        <f t="shared" si="3"/>
        <v>PERKINS DARREN</v>
      </c>
    </row>
    <row r="233" spans="1:7" x14ac:dyDescent="0.25">
      <c r="A233" s="8">
        <v>42720.07267361111</v>
      </c>
      <c r="B233" t="s">
        <v>279</v>
      </c>
      <c r="C233" t="s">
        <v>774</v>
      </c>
      <c r="D233" s="165">
        <v>2620000</v>
      </c>
      <c r="E233" t="s">
        <v>387</v>
      </c>
      <c r="F233" s="21" t="s">
        <v>388</v>
      </c>
      <c r="G233" s="8" t="str">
        <f t="shared" si="3"/>
        <v>PERKINS DARREN</v>
      </c>
    </row>
    <row r="234" spans="1:7" x14ac:dyDescent="0.25">
      <c r="A234" s="8">
        <v>42720.08090277778</v>
      </c>
      <c r="B234" t="s">
        <v>250</v>
      </c>
      <c r="C234" t="s">
        <v>775</v>
      </c>
      <c r="D234" s="165">
        <v>2630000</v>
      </c>
      <c r="E234" t="s">
        <v>389</v>
      </c>
      <c r="F234" s="21" t="s">
        <v>390</v>
      </c>
      <c r="G234" s="8" t="str">
        <f t="shared" si="3"/>
        <v>SAFIEF AEIMEN</v>
      </c>
    </row>
    <row r="235" spans="1:7" x14ac:dyDescent="0.25">
      <c r="A235" s="8">
        <v>42720.08222222222</v>
      </c>
      <c r="B235" t="s">
        <v>250</v>
      </c>
      <c r="C235" t="s">
        <v>775</v>
      </c>
      <c r="D235" s="165">
        <v>2630000</v>
      </c>
      <c r="E235" t="s">
        <v>389</v>
      </c>
      <c r="F235" s="21" t="s">
        <v>390</v>
      </c>
      <c r="G235" s="8" t="str">
        <f t="shared" si="3"/>
        <v>SAFIEF AEIMEN</v>
      </c>
    </row>
    <row r="236" spans="1:7" x14ac:dyDescent="0.25">
      <c r="A236" s="8">
        <v>42720.085555555554</v>
      </c>
      <c r="B236" t="s">
        <v>233</v>
      </c>
      <c r="C236" t="s">
        <v>774</v>
      </c>
      <c r="D236" s="165">
        <v>2620000</v>
      </c>
      <c r="E236" t="s">
        <v>387</v>
      </c>
      <c r="F236" s="21" t="s">
        <v>388</v>
      </c>
      <c r="G236" s="8" t="str">
        <f t="shared" si="3"/>
        <v>PERKINS DARREN</v>
      </c>
    </row>
    <row r="237" spans="1:7" x14ac:dyDescent="0.25">
      <c r="A237" s="8">
        <v>42720.092442129629</v>
      </c>
      <c r="B237" t="s">
        <v>277</v>
      </c>
      <c r="C237" t="s">
        <v>775</v>
      </c>
      <c r="D237" s="165">
        <v>2630000</v>
      </c>
      <c r="E237" t="s">
        <v>389</v>
      </c>
      <c r="F237" s="21" t="s">
        <v>390</v>
      </c>
      <c r="G237" s="8" t="str">
        <f t="shared" si="3"/>
        <v>SAFIEF AEIMEN</v>
      </c>
    </row>
    <row r="238" spans="1:7" x14ac:dyDescent="0.25">
      <c r="A238" s="8">
        <v>42720.097175925926</v>
      </c>
      <c r="B238" t="s">
        <v>279</v>
      </c>
      <c r="C238" t="s">
        <v>774</v>
      </c>
      <c r="D238" s="165">
        <v>2620000</v>
      </c>
      <c r="E238" t="s">
        <v>387</v>
      </c>
      <c r="F238" s="21" t="s">
        <v>388</v>
      </c>
      <c r="G238" s="8" t="str">
        <f t="shared" si="3"/>
        <v>PERKINS DARREN</v>
      </c>
    </row>
    <row r="239" spans="1:7" x14ac:dyDescent="0.25">
      <c r="A239" s="8">
        <v>42720.098101851851</v>
      </c>
      <c r="B239" t="s">
        <v>279</v>
      </c>
      <c r="C239" t="s">
        <v>774</v>
      </c>
      <c r="D239" s="165">
        <v>2620000</v>
      </c>
      <c r="E239" t="s">
        <v>387</v>
      </c>
      <c r="F239" s="21" t="s">
        <v>388</v>
      </c>
      <c r="G239" s="8" t="str">
        <f t="shared" si="3"/>
        <v>PERKINS DARREN</v>
      </c>
    </row>
    <row r="240" spans="1:7" x14ac:dyDescent="0.25">
      <c r="A240" s="8">
        <v>42720.099039351851</v>
      </c>
      <c r="B240" t="s">
        <v>279</v>
      </c>
      <c r="C240" t="s">
        <v>774</v>
      </c>
      <c r="D240" s="165">
        <v>2620000</v>
      </c>
      <c r="E240" t="s">
        <v>387</v>
      </c>
      <c r="F240" s="21" t="s">
        <v>388</v>
      </c>
      <c r="G240" s="8" t="str">
        <f t="shared" si="3"/>
        <v>PERKINS DARREN</v>
      </c>
    </row>
    <row r="241" spans="1:7" x14ac:dyDescent="0.25">
      <c r="A241" s="8">
        <v>42720.100081018521</v>
      </c>
      <c r="B241" t="s">
        <v>279</v>
      </c>
      <c r="C241" t="s">
        <v>774</v>
      </c>
      <c r="D241" s="165">
        <v>2620000</v>
      </c>
      <c r="E241" t="s">
        <v>387</v>
      </c>
      <c r="F241" s="21" t="s">
        <v>388</v>
      </c>
      <c r="G241" s="8" t="str">
        <f t="shared" si="3"/>
        <v>PERKINS DARREN</v>
      </c>
    </row>
    <row r="242" spans="1:7" x14ac:dyDescent="0.25">
      <c r="A242" s="8">
        <v>42720.104004629633</v>
      </c>
      <c r="B242" t="s">
        <v>250</v>
      </c>
      <c r="C242" t="s">
        <v>775</v>
      </c>
      <c r="D242" s="165">
        <v>2630000</v>
      </c>
      <c r="E242" t="s">
        <v>389</v>
      </c>
      <c r="F242" s="21" t="s">
        <v>390</v>
      </c>
      <c r="G242" s="8" t="str">
        <f t="shared" si="3"/>
        <v>SAFIEF AEIMEN</v>
      </c>
    </row>
    <row r="243" spans="1:7" x14ac:dyDescent="0.25">
      <c r="A243" s="8">
        <v>42720.111851851849</v>
      </c>
      <c r="B243" t="s">
        <v>233</v>
      </c>
      <c r="C243" t="s">
        <v>774</v>
      </c>
      <c r="D243" s="165">
        <v>2620000</v>
      </c>
      <c r="E243" t="s">
        <v>387</v>
      </c>
      <c r="F243" s="21" t="s">
        <v>388</v>
      </c>
      <c r="G243" s="8" t="str">
        <f t="shared" si="3"/>
        <v>PERKINS DARREN</v>
      </c>
    </row>
    <row r="244" spans="1:7" x14ac:dyDescent="0.25">
      <c r="A244" s="8">
        <v>42720.114490740743</v>
      </c>
      <c r="B244" t="s">
        <v>277</v>
      </c>
      <c r="C244" t="s">
        <v>775</v>
      </c>
      <c r="D244" s="165">
        <v>2630000</v>
      </c>
      <c r="E244" t="s">
        <v>389</v>
      </c>
      <c r="F244" s="21" t="s">
        <v>390</v>
      </c>
      <c r="G244" s="8" t="str">
        <f t="shared" si="3"/>
        <v>SAFIEF AEIMEN</v>
      </c>
    </row>
    <row r="245" spans="1:7" x14ac:dyDescent="0.25">
      <c r="A245" s="8">
        <v>42717.949479166666</v>
      </c>
      <c r="B245" t="s">
        <v>322</v>
      </c>
      <c r="C245" t="s">
        <v>334</v>
      </c>
      <c r="D245" s="165">
        <v>2370000</v>
      </c>
      <c r="E245" t="s">
        <v>332</v>
      </c>
      <c r="F245" s="21" t="s">
        <v>333</v>
      </c>
      <c r="G245" s="8" t="str">
        <f t="shared" si="3"/>
        <v>DELGADO DIANAH</v>
      </c>
    </row>
    <row r="246" spans="1:7" x14ac:dyDescent="0.25">
      <c r="A246" s="8">
        <v>42717.952743055554</v>
      </c>
      <c r="B246" t="s">
        <v>250</v>
      </c>
      <c r="C246" t="s">
        <v>335</v>
      </c>
      <c r="D246" s="165">
        <v>1180000</v>
      </c>
      <c r="E246" t="s">
        <v>251</v>
      </c>
      <c r="F246" s="21" t="s">
        <v>266</v>
      </c>
      <c r="G246" s="8" t="str">
        <f t="shared" si="3"/>
        <v>LEVERE CRAIG</v>
      </c>
    </row>
    <row r="247" spans="1:7" x14ac:dyDescent="0.25">
      <c r="A247" s="8">
        <v>42717.972962962966</v>
      </c>
      <c r="B247" t="s">
        <v>270</v>
      </c>
      <c r="C247" t="s">
        <v>336</v>
      </c>
      <c r="D247" s="165">
        <v>1800000</v>
      </c>
      <c r="E247" t="s">
        <v>241</v>
      </c>
      <c r="F247" s="21" t="s">
        <v>272</v>
      </c>
      <c r="G247" s="8" t="str">
        <f t="shared" si="3"/>
        <v>CHANDLER KELVIN</v>
      </c>
    </row>
    <row r="248" spans="1:7" x14ac:dyDescent="0.25">
      <c r="A248" s="8">
        <v>42717.973576388889</v>
      </c>
      <c r="B248" t="s">
        <v>206</v>
      </c>
      <c r="C248" t="s">
        <v>337</v>
      </c>
      <c r="D248" s="165">
        <v>1290000</v>
      </c>
      <c r="E248" t="s">
        <v>252</v>
      </c>
      <c r="F248" s="21" t="s">
        <v>263</v>
      </c>
      <c r="G248" s="8" t="str">
        <f t="shared" si="3"/>
        <v>COOLAHAN JOHN</v>
      </c>
    </row>
    <row r="249" spans="1:7" x14ac:dyDescent="0.25">
      <c r="A249" s="8">
        <v>42717.991226851853</v>
      </c>
      <c r="B249" t="s">
        <v>215</v>
      </c>
      <c r="C249" t="s">
        <v>323</v>
      </c>
      <c r="D249" s="165">
        <v>1230000</v>
      </c>
      <c r="E249" t="s">
        <v>255</v>
      </c>
      <c r="F249" s="21" t="s">
        <v>264</v>
      </c>
      <c r="G249" s="8" t="str">
        <f t="shared" si="3"/>
        <v>YANAI IAN</v>
      </c>
    </row>
    <row r="250" spans="1:7" x14ac:dyDescent="0.25">
      <c r="A250" s="8">
        <v>42717.991875</v>
      </c>
      <c r="B250" t="s">
        <v>277</v>
      </c>
      <c r="C250" t="s">
        <v>338</v>
      </c>
      <c r="D250" s="165">
        <v>1180000</v>
      </c>
      <c r="E250" t="s">
        <v>251</v>
      </c>
      <c r="F250" s="21" t="s">
        <v>266</v>
      </c>
      <c r="G250" s="8" t="str">
        <f t="shared" si="3"/>
        <v>LEVERE CRAIG</v>
      </c>
    </row>
    <row r="251" spans="1:7" x14ac:dyDescent="0.25">
      <c r="A251" s="8">
        <v>42718.013136574074</v>
      </c>
      <c r="B251" t="s">
        <v>211</v>
      </c>
      <c r="C251" t="s">
        <v>339</v>
      </c>
      <c r="D251" s="165">
        <v>1290000</v>
      </c>
      <c r="E251" t="s">
        <v>252</v>
      </c>
      <c r="F251" s="21" t="s">
        <v>263</v>
      </c>
      <c r="G251" s="8" t="str">
        <f t="shared" si="3"/>
        <v>COOLAHAN JOHN</v>
      </c>
    </row>
    <row r="252" spans="1:7" x14ac:dyDescent="0.25">
      <c r="A252" s="8">
        <v>42718.017962962964</v>
      </c>
      <c r="B252" t="s">
        <v>271</v>
      </c>
      <c r="C252" t="s">
        <v>324</v>
      </c>
      <c r="D252" s="165">
        <v>1800000</v>
      </c>
      <c r="E252" t="s">
        <v>241</v>
      </c>
      <c r="F252" s="21" t="s">
        <v>272</v>
      </c>
      <c r="G252" s="8" t="str">
        <f t="shared" si="3"/>
        <v>CHANDLER KELVIN</v>
      </c>
    </row>
    <row r="253" spans="1:7" x14ac:dyDescent="0.25">
      <c r="A253" s="8">
        <v>42718.02820601852</v>
      </c>
      <c r="B253" t="s">
        <v>250</v>
      </c>
      <c r="C253" t="s">
        <v>340</v>
      </c>
      <c r="D253" s="165">
        <v>1180000</v>
      </c>
      <c r="E253" t="s">
        <v>251</v>
      </c>
      <c r="F253" s="21" t="s">
        <v>266</v>
      </c>
      <c r="G253" s="8" t="str">
        <f t="shared" si="3"/>
        <v>LEVERE CRAIG</v>
      </c>
    </row>
    <row r="254" spans="1:7" x14ac:dyDescent="0.25">
      <c r="A254" s="8">
        <v>42718.02925925926</v>
      </c>
      <c r="B254" t="s">
        <v>322</v>
      </c>
      <c r="C254" t="s">
        <v>341</v>
      </c>
      <c r="D254" s="165">
        <v>1230000</v>
      </c>
      <c r="E254" t="s">
        <v>255</v>
      </c>
      <c r="F254" s="21" t="s">
        <v>264</v>
      </c>
      <c r="G254" s="8" t="str">
        <f t="shared" si="3"/>
        <v>YANAI IAN</v>
      </c>
    </row>
    <row r="255" spans="1:7" x14ac:dyDescent="0.25">
      <c r="A255" s="8">
        <v>42718.047118055554</v>
      </c>
      <c r="B255" t="s">
        <v>206</v>
      </c>
      <c r="C255" t="s">
        <v>342</v>
      </c>
      <c r="D255" s="165">
        <v>1290000</v>
      </c>
      <c r="E255" t="s">
        <v>252</v>
      </c>
      <c r="F255" s="21" t="s">
        <v>263</v>
      </c>
      <c r="G255" s="8" t="str">
        <f t="shared" si="3"/>
        <v>COOLAHAN JOHN</v>
      </c>
    </row>
    <row r="256" spans="1:7" x14ac:dyDescent="0.25">
      <c r="A256" s="8">
        <v>42718.055821759262</v>
      </c>
      <c r="B256" t="s">
        <v>270</v>
      </c>
      <c r="C256" t="s">
        <v>343</v>
      </c>
      <c r="D256" s="165">
        <v>1800000</v>
      </c>
      <c r="E256" t="s">
        <v>241</v>
      </c>
      <c r="F256" s="21" t="s">
        <v>272</v>
      </c>
      <c r="G256" s="8" t="str">
        <f t="shared" si="3"/>
        <v>CHANDLER KELVIN</v>
      </c>
    </row>
    <row r="257" spans="1:7" x14ac:dyDescent="0.25">
      <c r="A257" s="8">
        <v>42718.067662037036</v>
      </c>
      <c r="B257" t="s">
        <v>215</v>
      </c>
      <c r="C257" t="s">
        <v>344</v>
      </c>
      <c r="D257" s="165">
        <v>1230000</v>
      </c>
      <c r="E257" t="s">
        <v>255</v>
      </c>
      <c r="F257" s="21" t="s">
        <v>264</v>
      </c>
      <c r="G257" s="8" t="str">
        <f t="shared" si="3"/>
        <v>YANAI IAN</v>
      </c>
    </row>
    <row r="258" spans="1:7" x14ac:dyDescent="0.25">
      <c r="A258" s="8">
        <v>42718.095694444448</v>
      </c>
      <c r="B258" t="s">
        <v>271</v>
      </c>
      <c r="C258" t="s">
        <v>345</v>
      </c>
      <c r="D258" s="165">
        <v>1800000</v>
      </c>
      <c r="E258" t="s">
        <v>241</v>
      </c>
      <c r="F258" s="21" t="s">
        <v>272</v>
      </c>
      <c r="G258" s="8" t="str">
        <f t="shared" si="3"/>
        <v>CHANDLER KELVIN</v>
      </c>
    </row>
    <row r="259" spans="1:7" x14ac:dyDescent="0.25">
      <c r="A259" s="8">
        <v>42700.083275462966</v>
      </c>
      <c r="B259" t="s">
        <v>155</v>
      </c>
      <c r="C259" t="s">
        <v>244</v>
      </c>
      <c r="D259" s="165">
        <v>2530000</v>
      </c>
      <c r="E259" t="s">
        <v>242</v>
      </c>
      <c r="F259" s="21" t="str">
        <f t="shared" ref="F259:F265" si="4">B259</f>
        <v>rtdc.l.rtdc.4052:itc</v>
      </c>
      <c r="G259" s="8" t="str">
        <f t="shared" ref="G259:G322" si="5">E259&amp;" "&amp;F259</f>
        <v>LALONDE rtdc.l.rtdc.4052:itc</v>
      </c>
    </row>
    <row r="260" spans="1:7" x14ac:dyDescent="0.25">
      <c r="A260" s="8">
        <v>42700.08734953704</v>
      </c>
      <c r="B260" t="s">
        <v>236</v>
      </c>
      <c r="C260" t="s">
        <v>245</v>
      </c>
      <c r="D260" s="165">
        <v>2000000</v>
      </c>
      <c r="E260" t="s">
        <v>210</v>
      </c>
      <c r="F260" s="21" t="str">
        <f t="shared" si="4"/>
        <v>rtdc.l.rtdc.4042:itc</v>
      </c>
      <c r="G260" s="8" t="str">
        <f t="shared" si="5"/>
        <v>STAMBAUGH rtdc.l.rtdc.4042:itc</v>
      </c>
    </row>
    <row r="261" spans="1:7" x14ac:dyDescent="0.25">
      <c r="A261" s="8">
        <v>42700.106736111113</v>
      </c>
      <c r="B261" t="s">
        <v>154</v>
      </c>
      <c r="C261" t="s">
        <v>243</v>
      </c>
      <c r="D261" s="165">
        <v>2530000</v>
      </c>
      <c r="E261" t="s">
        <v>242</v>
      </c>
      <c r="F261" s="21" t="str">
        <f t="shared" si="4"/>
        <v>rtdc.l.rtdc.4051:itc</v>
      </c>
      <c r="G261" s="8" t="str">
        <f t="shared" si="5"/>
        <v>LALONDE rtdc.l.rtdc.4051:itc</v>
      </c>
    </row>
    <row r="262" spans="1:7" x14ac:dyDescent="0.25">
      <c r="A262" s="8">
        <v>42700.111076388886</v>
      </c>
      <c r="B262" t="s">
        <v>208</v>
      </c>
      <c r="C262" t="s">
        <v>246</v>
      </c>
      <c r="D262" s="165">
        <v>2600000</v>
      </c>
      <c r="E262" t="s">
        <v>238</v>
      </c>
      <c r="F262" s="21" t="str">
        <f t="shared" si="4"/>
        <v>rtdc.l.rtdc.4040:itc</v>
      </c>
      <c r="G262" s="8" t="str">
        <f t="shared" si="5"/>
        <v>DAVIDSON rtdc.l.rtdc.4040:itc</v>
      </c>
    </row>
    <row r="263" spans="1:7" x14ac:dyDescent="0.25">
      <c r="A263" s="8">
        <v>42685.016226851854</v>
      </c>
      <c r="B263" t="s">
        <v>206</v>
      </c>
      <c r="C263" t="s">
        <v>219</v>
      </c>
      <c r="D263" s="165">
        <v>2000000</v>
      </c>
      <c r="E263" t="s">
        <v>210</v>
      </c>
      <c r="F263" s="21" t="str">
        <f t="shared" si="4"/>
        <v>rtdc.l.rtdc.4011:itc</v>
      </c>
      <c r="G263" s="8" t="str">
        <f t="shared" si="5"/>
        <v>STAMBAUGH rtdc.l.rtdc.4011:itc</v>
      </c>
    </row>
    <row r="264" spans="1:7" x14ac:dyDescent="0.25">
      <c r="A264" s="8">
        <v>42685.029282407406</v>
      </c>
      <c r="B264" t="s">
        <v>215</v>
      </c>
      <c r="C264" t="s">
        <v>220</v>
      </c>
      <c r="D264" s="165">
        <v>2550000</v>
      </c>
      <c r="E264" t="s">
        <v>214</v>
      </c>
      <c r="F264" s="21" t="str">
        <f t="shared" si="4"/>
        <v>rtdc.l.rtdc.4022:itc</v>
      </c>
      <c r="G264" s="8" t="str">
        <f t="shared" si="5"/>
        <v>BADERTSCHER rtdc.l.rtdc.4022:itc</v>
      </c>
    </row>
    <row r="265" spans="1:7" x14ac:dyDescent="0.25">
      <c r="A265" s="8">
        <v>42685.039282407408</v>
      </c>
      <c r="B265" t="s">
        <v>218</v>
      </c>
      <c r="C265" t="s">
        <v>221</v>
      </c>
      <c r="D265" s="165">
        <v>1300000</v>
      </c>
      <c r="E265" t="s">
        <v>113</v>
      </c>
      <c r="F265" s="21" t="str">
        <f t="shared" si="4"/>
        <v>rtdc.l.rtdc.4037:itc</v>
      </c>
      <c r="G265" s="8" t="str">
        <f t="shared" si="5"/>
        <v>LEVIN rtdc.l.rtdc.4037:itc</v>
      </c>
    </row>
    <row r="266" spans="1:7" x14ac:dyDescent="0.25">
      <c r="A266" s="8">
        <v>42685.049375000002</v>
      </c>
      <c r="B266" t="s">
        <v>213</v>
      </c>
      <c r="C266" t="s">
        <v>222</v>
      </c>
      <c r="D266" s="165">
        <v>2420000</v>
      </c>
      <c r="E266" t="s">
        <v>216</v>
      </c>
      <c r="F266" s="21" t="str">
        <f t="shared" ref="F266:F281" si="6">B266</f>
        <v>rtdc.l.rtdc.4002:itc</v>
      </c>
      <c r="G266" s="8" t="str">
        <f t="shared" si="5"/>
        <v>HOLCOMB rtdc.l.rtdc.4002:itc</v>
      </c>
    </row>
    <row r="267" spans="1:7" x14ac:dyDescent="0.25">
      <c r="A267" s="8">
        <v>42685.056481481479</v>
      </c>
      <c r="B267" t="s">
        <v>211</v>
      </c>
      <c r="C267" t="s">
        <v>223</v>
      </c>
      <c r="D267" s="165">
        <v>2000000</v>
      </c>
      <c r="E267" t="s">
        <v>210</v>
      </c>
      <c r="F267" s="21" t="str">
        <f t="shared" si="6"/>
        <v>rtdc.l.rtdc.4012:itc</v>
      </c>
      <c r="G267" s="8" t="str">
        <f t="shared" si="5"/>
        <v>STAMBAUGH rtdc.l.rtdc.4012:itc</v>
      </c>
    </row>
    <row r="268" spans="1:7" x14ac:dyDescent="0.25">
      <c r="A268" s="8">
        <v>42685.071712962963</v>
      </c>
      <c r="B268" t="s">
        <v>217</v>
      </c>
      <c r="C268" t="s">
        <v>224</v>
      </c>
      <c r="D268" s="165">
        <v>1300000</v>
      </c>
      <c r="E268" t="s">
        <v>113</v>
      </c>
      <c r="F268" s="21" t="str">
        <f t="shared" si="6"/>
        <v>rtdc.l.rtdc.4038:itc</v>
      </c>
      <c r="G268" s="8" t="str">
        <f t="shared" si="5"/>
        <v>LEVIN rtdc.l.rtdc.4038:itc</v>
      </c>
    </row>
    <row r="269" spans="1:7" x14ac:dyDescent="0.25">
      <c r="A269" s="8">
        <v>42650.082824074074</v>
      </c>
      <c r="B269" t="s">
        <v>154</v>
      </c>
      <c r="C269" t="s">
        <v>185</v>
      </c>
      <c r="D269" s="165">
        <v>630000</v>
      </c>
      <c r="E269" t="b">
        <v>1</v>
      </c>
      <c r="F269" s="21" t="str">
        <f t="shared" si="6"/>
        <v>rtdc.l.rtdc.4051:itc</v>
      </c>
      <c r="G269" s="8" t="str">
        <f t="shared" si="5"/>
        <v>TRUE rtdc.l.rtdc.4051:itc</v>
      </c>
    </row>
    <row r="270" spans="1:7" x14ac:dyDescent="0.25">
      <c r="A270" s="8">
        <v>42650.090624999997</v>
      </c>
      <c r="B270" t="s">
        <v>183</v>
      </c>
      <c r="C270" t="s">
        <v>186</v>
      </c>
      <c r="D270" s="165">
        <v>1480000</v>
      </c>
      <c r="E270" t="s">
        <v>181</v>
      </c>
      <c r="F270" s="21" t="str">
        <f t="shared" si="6"/>
        <v>rtdc.l.rtdc.4009:itc</v>
      </c>
      <c r="G270" s="8" t="str">
        <f t="shared" si="5"/>
        <v>STURGEON rtdc.l.rtdc.4009:itc</v>
      </c>
    </row>
    <row r="271" spans="1:7" x14ac:dyDescent="0.25">
      <c r="A271" s="8">
        <v>42650.101805555554</v>
      </c>
      <c r="B271" t="s">
        <v>155</v>
      </c>
      <c r="C271" t="s">
        <v>185</v>
      </c>
      <c r="D271" s="165">
        <v>630000</v>
      </c>
      <c r="E271" t="b">
        <v>1</v>
      </c>
      <c r="F271" s="21" t="str">
        <f t="shared" si="6"/>
        <v>rtdc.l.rtdc.4052:itc</v>
      </c>
      <c r="G271" s="8" t="str">
        <f t="shared" si="5"/>
        <v>TRUE rtdc.l.rtdc.4052:itc</v>
      </c>
    </row>
    <row r="272" spans="1:7" x14ac:dyDescent="0.25">
      <c r="A272" s="8">
        <v>42650.102453703701</v>
      </c>
      <c r="B272" t="s">
        <v>155</v>
      </c>
      <c r="C272" t="s">
        <v>185</v>
      </c>
      <c r="D272" s="165">
        <v>630000</v>
      </c>
      <c r="E272" t="b">
        <v>1</v>
      </c>
      <c r="F272" s="21" t="str">
        <f t="shared" si="6"/>
        <v>rtdc.l.rtdc.4052:itc</v>
      </c>
      <c r="G272" s="8" t="str">
        <f t="shared" si="5"/>
        <v>TRUE rtdc.l.rtdc.4052:itc</v>
      </c>
    </row>
    <row r="273" spans="1:7" x14ac:dyDescent="0.25">
      <c r="A273" s="8">
        <v>42650.103645833333</v>
      </c>
      <c r="B273" t="s">
        <v>155</v>
      </c>
      <c r="C273" t="s">
        <v>185</v>
      </c>
      <c r="D273" s="165">
        <v>630000</v>
      </c>
      <c r="E273" t="b">
        <v>1</v>
      </c>
      <c r="F273" s="21" t="str">
        <f t="shared" si="6"/>
        <v>rtdc.l.rtdc.4052:itc</v>
      </c>
      <c r="G273" s="8" t="str">
        <f t="shared" si="5"/>
        <v>TRUE rtdc.l.rtdc.4052:itc</v>
      </c>
    </row>
    <row r="274" spans="1:7" x14ac:dyDescent="0.25">
      <c r="F274" s="21">
        <f t="shared" si="6"/>
        <v>0</v>
      </c>
      <c r="G274" s="8" t="str">
        <f t="shared" si="5"/>
        <v xml:space="preserve"> 0</v>
      </c>
    </row>
    <row r="275" spans="1:7" x14ac:dyDescent="0.25">
      <c r="F275" s="21">
        <f t="shared" si="6"/>
        <v>0</v>
      </c>
      <c r="G275" s="8" t="str">
        <f t="shared" si="5"/>
        <v xml:space="preserve"> 0</v>
      </c>
    </row>
    <row r="276" spans="1:7" x14ac:dyDescent="0.25">
      <c r="F276" s="21">
        <f t="shared" si="6"/>
        <v>0</v>
      </c>
      <c r="G276" s="8" t="str">
        <f t="shared" si="5"/>
        <v xml:space="preserve"> 0</v>
      </c>
    </row>
    <row r="277" spans="1:7" x14ac:dyDescent="0.25">
      <c r="F277" s="21">
        <f t="shared" si="6"/>
        <v>0</v>
      </c>
      <c r="G277" s="8" t="str">
        <f t="shared" si="5"/>
        <v xml:space="preserve"> 0</v>
      </c>
    </row>
    <row r="278" spans="1:7" x14ac:dyDescent="0.25">
      <c r="F278" s="21">
        <f t="shared" si="6"/>
        <v>0</v>
      </c>
      <c r="G278" s="8" t="str">
        <f t="shared" si="5"/>
        <v xml:space="preserve"> 0</v>
      </c>
    </row>
    <row r="279" spans="1:7" x14ac:dyDescent="0.25">
      <c r="F279" s="21">
        <f t="shared" si="6"/>
        <v>0</v>
      </c>
      <c r="G279" s="8" t="str">
        <f t="shared" si="5"/>
        <v xml:space="preserve"> 0</v>
      </c>
    </row>
    <row r="280" spans="1:7" x14ac:dyDescent="0.25">
      <c r="F280" s="21">
        <f t="shared" si="6"/>
        <v>0</v>
      </c>
      <c r="G280" s="8" t="str">
        <f t="shared" si="5"/>
        <v xml:space="preserve"> 0</v>
      </c>
    </row>
    <row r="281" spans="1:7" x14ac:dyDescent="0.25">
      <c r="F281" s="21">
        <f t="shared" si="6"/>
        <v>0</v>
      </c>
      <c r="G281" s="8" t="str">
        <f t="shared" si="5"/>
        <v xml:space="preserve"> 0</v>
      </c>
    </row>
    <row r="282" spans="1:7" x14ac:dyDescent="0.25">
      <c r="F282" s="21">
        <f t="shared" ref="F282:F345" si="7">B282</f>
        <v>0</v>
      </c>
      <c r="G282" s="8" t="str">
        <f t="shared" si="5"/>
        <v xml:space="preserve"> 0</v>
      </c>
    </row>
    <row r="283" spans="1:7" x14ac:dyDescent="0.25">
      <c r="F283" s="21">
        <f t="shared" si="7"/>
        <v>0</v>
      </c>
      <c r="G283" s="8" t="str">
        <f t="shared" si="5"/>
        <v xml:space="preserve"> 0</v>
      </c>
    </row>
    <row r="284" spans="1:7" x14ac:dyDescent="0.25">
      <c r="F284" s="21">
        <f t="shared" si="7"/>
        <v>0</v>
      </c>
      <c r="G284" s="8" t="str">
        <f t="shared" si="5"/>
        <v xml:space="preserve"> 0</v>
      </c>
    </row>
    <row r="285" spans="1:7" x14ac:dyDescent="0.25">
      <c r="F285" s="21">
        <f t="shared" si="7"/>
        <v>0</v>
      </c>
      <c r="G285" s="8" t="str">
        <f t="shared" si="5"/>
        <v xml:space="preserve"> 0</v>
      </c>
    </row>
    <row r="286" spans="1:7" x14ac:dyDescent="0.25">
      <c r="F286" s="21">
        <f t="shared" si="7"/>
        <v>0</v>
      </c>
      <c r="G286" s="8" t="str">
        <f t="shared" si="5"/>
        <v xml:space="preserve"> 0</v>
      </c>
    </row>
    <row r="287" spans="1:7" x14ac:dyDescent="0.25">
      <c r="F287" s="21">
        <f t="shared" si="7"/>
        <v>0</v>
      </c>
      <c r="G287" s="8" t="str">
        <f t="shared" si="5"/>
        <v xml:space="preserve"> 0</v>
      </c>
    </row>
    <row r="288" spans="1:7" x14ac:dyDescent="0.25">
      <c r="F288" s="21">
        <f t="shared" si="7"/>
        <v>0</v>
      </c>
      <c r="G288" s="8" t="str">
        <f t="shared" si="5"/>
        <v xml:space="preserve"> 0</v>
      </c>
    </row>
    <row r="289" spans="6:7" x14ac:dyDescent="0.25">
      <c r="F289" s="21">
        <f t="shared" si="7"/>
        <v>0</v>
      </c>
      <c r="G289" s="8" t="str">
        <f t="shared" si="5"/>
        <v xml:space="preserve"> 0</v>
      </c>
    </row>
    <row r="290" spans="6:7" x14ac:dyDescent="0.25">
      <c r="F290" s="21">
        <f t="shared" si="7"/>
        <v>0</v>
      </c>
      <c r="G290" s="8" t="str">
        <f t="shared" si="5"/>
        <v xml:space="preserve"> 0</v>
      </c>
    </row>
    <row r="291" spans="6:7" x14ac:dyDescent="0.25">
      <c r="F291" s="21">
        <f t="shared" si="7"/>
        <v>0</v>
      </c>
      <c r="G291" s="8" t="str">
        <f t="shared" si="5"/>
        <v xml:space="preserve"> 0</v>
      </c>
    </row>
    <row r="292" spans="6:7" x14ac:dyDescent="0.25">
      <c r="F292" s="21">
        <f t="shared" si="7"/>
        <v>0</v>
      </c>
      <c r="G292" s="8" t="str">
        <f t="shared" si="5"/>
        <v xml:space="preserve"> 0</v>
      </c>
    </row>
    <row r="293" spans="6:7" x14ac:dyDescent="0.25">
      <c r="F293" s="21">
        <f t="shared" si="7"/>
        <v>0</v>
      </c>
      <c r="G293" s="8" t="str">
        <f t="shared" si="5"/>
        <v xml:space="preserve"> 0</v>
      </c>
    </row>
    <row r="294" spans="6:7" x14ac:dyDescent="0.25">
      <c r="F294" s="21">
        <f t="shared" si="7"/>
        <v>0</v>
      </c>
      <c r="G294" s="8" t="str">
        <f t="shared" si="5"/>
        <v xml:space="preserve"> 0</v>
      </c>
    </row>
    <row r="295" spans="6:7" x14ac:dyDescent="0.25">
      <c r="F295" s="21">
        <f t="shared" si="7"/>
        <v>0</v>
      </c>
      <c r="G295" s="8" t="str">
        <f t="shared" si="5"/>
        <v xml:space="preserve"> 0</v>
      </c>
    </row>
    <row r="296" spans="6:7" x14ac:dyDescent="0.25">
      <c r="F296" s="21">
        <f t="shared" si="7"/>
        <v>0</v>
      </c>
      <c r="G296" s="8" t="str">
        <f t="shared" si="5"/>
        <v xml:space="preserve"> 0</v>
      </c>
    </row>
    <row r="297" spans="6:7" x14ac:dyDescent="0.25">
      <c r="F297" s="21">
        <f t="shared" si="7"/>
        <v>0</v>
      </c>
      <c r="G297" s="8" t="str">
        <f t="shared" si="5"/>
        <v xml:space="preserve"> 0</v>
      </c>
    </row>
    <row r="298" spans="6:7" x14ac:dyDescent="0.25">
      <c r="F298" s="21">
        <f t="shared" si="7"/>
        <v>0</v>
      </c>
      <c r="G298" s="8" t="str">
        <f t="shared" si="5"/>
        <v xml:space="preserve"> 0</v>
      </c>
    </row>
    <row r="299" spans="6:7" x14ac:dyDescent="0.25">
      <c r="F299" s="21">
        <f t="shared" si="7"/>
        <v>0</v>
      </c>
      <c r="G299" s="8" t="str">
        <f t="shared" si="5"/>
        <v xml:space="preserve"> 0</v>
      </c>
    </row>
    <row r="300" spans="6:7" x14ac:dyDescent="0.25">
      <c r="F300" s="21">
        <f t="shared" si="7"/>
        <v>0</v>
      </c>
      <c r="G300" s="8" t="str">
        <f t="shared" si="5"/>
        <v xml:space="preserve"> 0</v>
      </c>
    </row>
    <row r="301" spans="6:7" x14ac:dyDescent="0.25">
      <c r="F301" s="21">
        <f t="shared" si="7"/>
        <v>0</v>
      </c>
      <c r="G301" s="8" t="str">
        <f t="shared" si="5"/>
        <v xml:space="preserve"> 0</v>
      </c>
    </row>
    <row r="302" spans="6:7" x14ac:dyDescent="0.25">
      <c r="F302" s="21">
        <f t="shared" si="7"/>
        <v>0</v>
      </c>
      <c r="G302" s="8" t="str">
        <f t="shared" si="5"/>
        <v xml:space="preserve"> 0</v>
      </c>
    </row>
    <row r="303" spans="6:7" x14ac:dyDescent="0.25">
      <c r="F303" s="21">
        <f t="shared" si="7"/>
        <v>0</v>
      </c>
      <c r="G303" s="8" t="str">
        <f t="shared" si="5"/>
        <v xml:space="preserve"> 0</v>
      </c>
    </row>
    <row r="304" spans="6:7" x14ac:dyDescent="0.25">
      <c r="F304" s="21">
        <f t="shared" si="7"/>
        <v>0</v>
      </c>
      <c r="G304" s="8" t="str">
        <f t="shared" si="5"/>
        <v xml:space="preserve"> 0</v>
      </c>
    </row>
    <row r="305" spans="6:7" x14ac:dyDescent="0.25">
      <c r="F305" s="21">
        <f t="shared" si="7"/>
        <v>0</v>
      </c>
      <c r="G305" s="8" t="str">
        <f t="shared" si="5"/>
        <v xml:space="preserve"> 0</v>
      </c>
    </row>
    <row r="306" spans="6:7" x14ac:dyDescent="0.25">
      <c r="F306" s="21">
        <f t="shared" si="7"/>
        <v>0</v>
      </c>
      <c r="G306" s="8" t="str">
        <f t="shared" si="5"/>
        <v xml:space="preserve"> 0</v>
      </c>
    </row>
    <row r="307" spans="6:7" x14ac:dyDescent="0.25">
      <c r="F307" s="21">
        <f t="shared" si="7"/>
        <v>0</v>
      </c>
      <c r="G307" s="8" t="str">
        <f t="shared" si="5"/>
        <v xml:space="preserve"> 0</v>
      </c>
    </row>
    <row r="308" spans="6:7" x14ac:dyDescent="0.25">
      <c r="F308" s="21">
        <f t="shared" si="7"/>
        <v>0</v>
      </c>
      <c r="G308" s="8" t="str">
        <f t="shared" si="5"/>
        <v xml:space="preserve"> 0</v>
      </c>
    </row>
    <row r="309" spans="6:7" x14ac:dyDescent="0.25">
      <c r="F309" s="21">
        <f t="shared" si="7"/>
        <v>0</v>
      </c>
      <c r="G309" s="8" t="str">
        <f t="shared" si="5"/>
        <v xml:space="preserve"> 0</v>
      </c>
    </row>
    <row r="310" spans="6:7" x14ac:dyDescent="0.25">
      <c r="F310" s="21">
        <f t="shared" si="7"/>
        <v>0</v>
      </c>
      <c r="G310" s="8" t="str">
        <f t="shared" si="5"/>
        <v xml:space="preserve"> 0</v>
      </c>
    </row>
    <row r="311" spans="6:7" x14ac:dyDescent="0.25">
      <c r="F311" s="21">
        <f t="shared" si="7"/>
        <v>0</v>
      </c>
      <c r="G311" s="8" t="str">
        <f t="shared" si="5"/>
        <v xml:space="preserve"> 0</v>
      </c>
    </row>
    <row r="312" spans="6:7" x14ac:dyDescent="0.25">
      <c r="F312" s="21">
        <f t="shared" si="7"/>
        <v>0</v>
      </c>
      <c r="G312" s="8" t="str">
        <f t="shared" si="5"/>
        <v xml:space="preserve"> 0</v>
      </c>
    </row>
    <row r="313" spans="6:7" x14ac:dyDescent="0.25">
      <c r="F313" s="21">
        <f t="shared" si="7"/>
        <v>0</v>
      </c>
      <c r="G313" s="8" t="str">
        <f t="shared" si="5"/>
        <v xml:space="preserve"> 0</v>
      </c>
    </row>
    <row r="314" spans="6:7" x14ac:dyDescent="0.25">
      <c r="F314" s="21">
        <f t="shared" si="7"/>
        <v>0</v>
      </c>
      <c r="G314" s="8" t="str">
        <f t="shared" si="5"/>
        <v xml:space="preserve"> 0</v>
      </c>
    </row>
    <row r="315" spans="6:7" x14ac:dyDescent="0.25">
      <c r="F315" s="21">
        <f t="shared" si="7"/>
        <v>0</v>
      </c>
      <c r="G315" s="8" t="str">
        <f t="shared" si="5"/>
        <v xml:space="preserve"> 0</v>
      </c>
    </row>
    <row r="316" spans="6:7" x14ac:dyDescent="0.25">
      <c r="F316" s="21">
        <f t="shared" si="7"/>
        <v>0</v>
      </c>
      <c r="G316" s="8" t="str">
        <f t="shared" si="5"/>
        <v xml:space="preserve"> 0</v>
      </c>
    </row>
    <row r="317" spans="6:7" x14ac:dyDescent="0.25">
      <c r="F317" s="21">
        <f t="shared" si="7"/>
        <v>0</v>
      </c>
      <c r="G317" s="8" t="str">
        <f t="shared" si="5"/>
        <v xml:space="preserve"> 0</v>
      </c>
    </row>
    <row r="318" spans="6:7" x14ac:dyDescent="0.25">
      <c r="F318" s="21">
        <f t="shared" si="7"/>
        <v>0</v>
      </c>
      <c r="G318" s="8" t="str">
        <f t="shared" si="5"/>
        <v xml:space="preserve"> 0</v>
      </c>
    </row>
    <row r="319" spans="6:7" x14ac:dyDescent="0.25">
      <c r="F319" s="21">
        <f t="shared" si="7"/>
        <v>0</v>
      </c>
      <c r="G319" s="8" t="str">
        <f t="shared" si="5"/>
        <v xml:space="preserve"> 0</v>
      </c>
    </row>
    <row r="320" spans="6:7" x14ac:dyDescent="0.25">
      <c r="F320" s="21">
        <f t="shared" si="7"/>
        <v>0</v>
      </c>
      <c r="G320" s="8" t="str">
        <f t="shared" si="5"/>
        <v xml:space="preserve"> 0</v>
      </c>
    </row>
    <row r="321" spans="6:7" x14ac:dyDescent="0.25">
      <c r="F321" s="21">
        <f t="shared" si="7"/>
        <v>0</v>
      </c>
      <c r="G321" s="8" t="str">
        <f t="shared" si="5"/>
        <v xml:space="preserve"> 0</v>
      </c>
    </row>
    <row r="322" spans="6:7" x14ac:dyDescent="0.25">
      <c r="F322" s="21">
        <f t="shared" si="7"/>
        <v>0</v>
      </c>
      <c r="G322" s="8" t="str">
        <f t="shared" si="5"/>
        <v xml:space="preserve"> 0</v>
      </c>
    </row>
    <row r="323" spans="6:7" x14ac:dyDescent="0.25">
      <c r="F323" s="21">
        <f t="shared" si="7"/>
        <v>0</v>
      </c>
      <c r="G323" s="8" t="str">
        <f t="shared" ref="G323:G386" si="8">E323&amp;" "&amp;F323</f>
        <v xml:space="preserve"> 0</v>
      </c>
    </row>
    <row r="324" spans="6:7" x14ac:dyDescent="0.25">
      <c r="F324" s="21">
        <f t="shared" si="7"/>
        <v>0</v>
      </c>
      <c r="G324" s="8" t="str">
        <f t="shared" si="8"/>
        <v xml:space="preserve"> 0</v>
      </c>
    </row>
    <row r="325" spans="6:7" x14ac:dyDescent="0.25">
      <c r="F325" s="21">
        <f t="shared" si="7"/>
        <v>0</v>
      </c>
      <c r="G325" s="8" t="str">
        <f t="shared" si="8"/>
        <v xml:space="preserve"> 0</v>
      </c>
    </row>
    <row r="326" spans="6:7" x14ac:dyDescent="0.25">
      <c r="F326" s="21">
        <f t="shared" si="7"/>
        <v>0</v>
      </c>
      <c r="G326" s="8" t="str">
        <f t="shared" si="8"/>
        <v xml:space="preserve"> 0</v>
      </c>
    </row>
    <row r="327" spans="6:7" x14ac:dyDescent="0.25">
      <c r="F327" s="21">
        <f t="shared" si="7"/>
        <v>0</v>
      </c>
      <c r="G327" s="8" t="str">
        <f t="shared" si="8"/>
        <v xml:space="preserve"> 0</v>
      </c>
    </row>
    <row r="328" spans="6:7" x14ac:dyDescent="0.25">
      <c r="F328" s="21">
        <f t="shared" si="7"/>
        <v>0</v>
      </c>
      <c r="G328" s="8" t="str">
        <f t="shared" si="8"/>
        <v xml:space="preserve"> 0</v>
      </c>
    </row>
    <row r="329" spans="6:7" x14ac:dyDescent="0.25">
      <c r="F329" s="21">
        <f t="shared" si="7"/>
        <v>0</v>
      </c>
      <c r="G329" s="8" t="str">
        <f t="shared" si="8"/>
        <v xml:space="preserve"> 0</v>
      </c>
    </row>
    <row r="330" spans="6:7" x14ac:dyDescent="0.25">
      <c r="F330" s="21">
        <f t="shared" si="7"/>
        <v>0</v>
      </c>
      <c r="G330" s="8" t="str">
        <f t="shared" si="8"/>
        <v xml:space="preserve"> 0</v>
      </c>
    </row>
    <row r="331" spans="6:7" x14ac:dyDescent="0.25">
      <c r="F331" s="21">
        <f t="shared" si="7"/>
        <v>0</v>
      </c>
      <c r="G331" s="8" t="str">
        <f t="shared" si="8"/>
        <v xml:space="preserve"> 0</v>
      </c>
    </row>
    <row r="332" spans="6:7" x14ac:dyDescent="0.25">
      <c r="F332" s="21">
        <f t="shared" si="7"/>
        <v>0</v>
      </c>
      <c r="G332" s="8" t="str">
        <f t="shared" si="8"/>
        <v xml:space="preserve"> 0</v>
      </c>
    </row>
    <row r="333" spans="6:7" x14ac:dyDescent="0.25">
      <c r="F333" s="21">
        <f t="shared" si="7"/>
        <v>0</v>
      </c>
      <c r="G333" s="8" t="str">
        <f t="shared" si="8"/>
        <v xml:space="preserve"> 0</v>
      </c>
    </row>
    <row r="334" spans="6:7" x14ac:dyDescent="0.25">
      <c r="F334" s="21">
        <f t="shared" si="7"/>
        <v>0</v>
      </c>
      <c r="G334" s="8" t="str">
        <f t="shared" si="8"/>
        <v xml:space="preserve"> 0</v>
      </c>
    </row>
    <row r="335" spans="6:7" x14ac:dyDescent="0.25">
      <c r="F335" s="21">
        <f t="shared" si="7"/>
        <v>0</v>
      </c>
      <c r="G335" s="8" t="str">
        <f t="shared" si="8"/>
        <v xml:space="preserve"> 0</v>
      </c>
    </row>
    <row r="336" spans="6:7" x14ac:dyDescent="0.25">
      <c r="F336" s="21">
        <f t="shared" si="7"/>
        <v>0</v>
      </c>
      <c r="G336" s="8" t="str">
        <f t="shared" si="8"/>
        <v xml:space="preserve"> 0</v>
      </c>
    </row>
    <row r="337" spans="6:7" x14ac:dyDescent="0.25">
      <c r="F337" s="21">
        <f t="shared" si="7"/>
        <v>0</v>
      </c>
      <c r="G337" s="8" t="str">
        <f t="shared" si="8"/>
        <v xml:space="preserve"> 0</v>
      </c>
    </row>
    <row r="338" spans="6:7" x14ac:dyDescent="0.25">
      <c r="F338" s="21">
        <f t="shared" si="7"/>
        <v>0</v>
      </c>
      <c r="G338" s="8" t="str">
        <f t="shared" si="8"/>
        <v xml:space="preserve"> 0</v>
      </c>
    </row>
    <row r="339" spans="6:7" x14ac:dyDescent="0.25">
      <c r="F339" s="21">
        <f t="shared" si="7"/>
        <v>0</v>
      </c>
      <c r="G339" s="8" t="str">
        <f t="shared" si="8"/>
        <v xml:space="preserve"> 0</v>
      </c>
    </row>
    <row r="340" spans="6:7" x14ac:dyDescent="0.25">
      <c r="F340" s="21">
        <f t="shared" si="7"/>
        <v>0</v>
      </c>
      <c r="G340" s="8" t="str">
        <f t="shared" si="8"/>
        <v xml:space="preserve"> 0</v>
      </c>
    </row>
    <row r="341" spans="6:7" x14ac:dyDescent="0.25">
      <c r="F341" s="21">
        <f t="shared" si="7"/>
        <v>0</v>
      </c>
      <c r="G341" s="8" t="str">
        <f t="shared" si="8"/>
        <v xml:space="preserve"> 0</v>
      </c>
    </row>
    <row r="342" spans="6:7" x14ac:dyDescent="0.25">
      <c r="F342" s="21">
        <f t="shared" si="7"/>
        <v>0</v>
      </c>
      <c r="G342" s="8" t="str">
        <f t="shared" si="8"/>
        <v xml:space="preserve"> 0</v>
      </c>
    </row>
    <row r="343" spans="6:7" x14ac:dyDescent="0.25">
      <c r="F343" s="21">
        <f t="shared" si="7"/>
        <v>0</v>
      </c>
      <c r="G343" s="8" t="str">
        <f t="shared" si="8"/>
        <v xml:space="preserve"> 0</v>
      </c>
    </row>
    <row r="344" spans="6:7" x14ac:dyDescent="0.25">
      <c r="F344" s="21">
        <f t="shared" si="7"/>
        <v>0</v>
      </c>
      <c r="G344" s="8" t="str">
        <f t="shared" si="8"/>
        <v xml:space="preserve"> 0</v>
      </c>
    </row>
    <row r="345" spans="6:7" x14ac:dyDescent="0.25">
      <c r="F345" s="21">
        <f t="shared" si="7"/>
        <v>0</v>
      </c>
      <c r="G345" s="8" t="str">
        <f t="shared" si="8"/>
        <v xml:space="preserve"> 0</v>
      </c>
    </row>
    <row r="346" spans="6:7" x14ac:dyDescent="0.25">
      <c r="F346" s="21">
        <f t="shared" ref="F346:F409" si="9">B346</f>
        <v>0</v>
      </c>
      <c r="G346" s="8" t="str">
        <f t="shared" si="8"/>
        <v xml:space="preserve"> 0</v>
      </c>
    </row>
    <row r="347" spans="6:7" x14ac:dyDescent="0.25">
      <c r="F347" s="21">
        <f t="shared" si="9"/>
        <v>0</v>
      </c>
      <c r="G347" s="8" t="str">
        <f t="shared" si="8"/>
        <v xml:space="preserve"> 0</v>
      </c>
    </row>
    <row r="348" spans="6:7" x14ac:dyDescent="0.25">
      <c r="F348" s="21">
        <f t="shared" si="9"/>
        <v>0</v>
      </c>
      <c r="G348" s="8" t="str">
        <f t="shared" si="8"/>
        <v xml:space="preserve"> 0</v>
      </c>
    </row>
    <row r="349" spans="6:7" x14ac:dyDescent="0.25">
      <c r="F349" s="21">
        <f t="shared" si="9"/>
        <v>0</v>
      </c>
      <c r="G349" s="8" t="str">
        <f t="shared" si="8"/>
        <v xml:space="preserve"> 0</v>
      </c>
    </row>
    <row r="350" spans="6:7" x14ac:dyDescent="0.25">
      <c r="F350" s="21">
        <f t="shared" si="9"/>
        <v>0</v>
      </c>
      <c r="G350" s="8" t="str">
        <f t="shared" si="8"/>
        <v xml:space="preserve"> 0</v>
      </c>
    </row>
    <row r="351" spans="6:7" x14ac:dyDescent="0.25">
      <c r="F351" s="21">
        <f t="shared" si="9"/>
        <v>0</v>
      </c>
      <c r="G351" s="8" t="str">
        <f t="shared" si="8"/>
        <v xml:space="preserve"> 0</v>
      </c>
    </row>
    <row r="352" spans="6:7" x14ac:dyDescent="0.25">
      <c r="F352" s="21">
        <f t="shared" si="9"/>
        <v>0</v>
      </c>
      <c r="G352" s="8" t="str">
        <f t="shared" si="8"/>
        <v xml:space="preserve"> 0</v>
      </c>
    </row>
    <row r="353" spans="6:7" x14ac:dyDescent="0.25">
      <c r="F353" s="21">
        <f t="shared" si="9"/>
        <v>0</v>
      </c>
      <c r="G353" s="8" t="str">
        <f t="shared" si="8"/>
        <v xml:space="preserve"> 0</v>
      </c>
    </row>
    <row r="354" spans="6:7" x14ac:dyDescent="0.25">
      <c r="F354" s="21">
        <f t="shared" si="9"/>
        <v>0</v>
      </c>
      <c r="G354" s="8" t="str">
        <f t="shared" si="8"/>
        <v xml:space="preserve"> 0</v>
      </c>
    </row>
    <row r="355" spans="6:7" x14ac:dyDescent="0.25">
      <c r="F355" s="21">
        <f t="shared" si="9"/>
        <v>0</v>
      </c>
      <c r="G355" s="8" t="str">
        <f t="shared" si="8"/>
        <v xml:space="preserve"> 0</v>
      </c>
    </row>
    <row r="356" spans="6:7" x14ac:dyDescent="0.25">
      <c r="F356" s="21">
        <f t="shared" si="9"/>
        <v>0</v>
      </c>
      <c r="G356" s="8" t="str">
        <f t="shared" si="8"/>
        <v xml:space="preserve"> 0</v>
      </c>
    </row>
    <row r="357" spans="6:7" x14ac:dyDescent="0.25">
      <c r="F357" s="21">
        <f t="shared" si="9"/>
        <v>0</v>
      </c>
      <c r="G357" s="8" t="str">
        <f t="shared" si="8"/>
        <v xml:space="preserve"> 0</v>
      </c>
    </row>
    <row r="358" spans="6:7" x14ac:dyDescent="0.25">
      <c r="F358" s="21">
        <f t="shared" si="9"/>
        <v>0</v>
      </c>
      <c r="G358" s="8" t="str">
        <f t="shared" si="8"/>
        <v xml:space="preserve"> 0</v>
      </c>
    </row>
    <row r="359" spans="6:7" x14ac:dyDescent="0.25">
      <c r="F359" s="21">
        <f t="shared" si="9"/>
        <v>0</v>
      </c>
      <c r="G359" s="8" t="str">
        <f t="shared" si="8"/>
        <v xml:space="preserve"> 0</v>
      </c>
    </row>
    <row r="360" spans="6:7" x14ac:dyDescent="0.25">
      <c r="F360" s="21">
        <f t="shared" si="9"/>
        <v>0</v>
      </c>
      <c r="G360" s="8" t="str">
        <f t="shared" si="8"/>
        <v xml:space="preserve"> 0</v>
      </c>
    </row>
    <row r="361" spans="6:7" x14ac:dyDescent="0.25">
      <c r="F361" s="21">
        <f t="shared" si="9"/>
        <v>0</v>
      </c>
      <c r="G361" s="8" t="str">
        <f t="shared" si="8"/>
        <v xml:space="preserve"> 0</v>
      </c>
    </row>
    <row r="362" spans="6:7" x14ac:dyDescent="0.25">
      <c r="F362" s="21">
        <f t="shared" si="9"/>
        <v>0</v>
      </c>
      <c r="G362" s="8" t="str">
        <f t="shared" si="8"/>
        <v xml:space="preserve"> 0</v>
      </c>
    </row>
    <row r="363" spans="6:7" x14ac:dyDescent="0.25">
      <c r="F363" s="21">
        <f t="shared" si="9"/>
        <v>0</v>
      </c>
      <c r="G363" s="8" t="str">
        <f t="shared" si="8"/>
        <v xml:space="preserve"> 0</v>
      </c>
    </row>
    <row r="364" spans="6:7" x14ac:dyDescent="0.25">
      <c r="F364" s="21">
        <f t="shared" si="9"/>
        <v>0</v>
      </c>
      <c r="G364" s="8" t="str">
        <f t="shared" si="8"/>
        <v xml:space="preserve"> 0</v>
      </c>
    </row>
    <row r="365" spans="6:7" x14ac:dyDescent="0.25">
      <c r="F365" s="21">
        <f t="shared" si="9"/>
        <v>0</v>
      </c>
      <c r="G365" s="8" t="str">
        <f t="shared" si="8"/>
        <v xml:space="preserve"> 0</v>
      </c>
    </row>
    <row r="366" spans="6:7" x14ac:dyDescent="0.25">
      <c r="F366" s="21">
        <f t="shared" si="9"/>
        <v>0</v>
      </c>
      <c r="G366" s="8" t="str">
        <f t="shared" si="8"/>
        <v xml:space="preserve"> 0</v>
      </c>
    </row>
    <row r="367" spans="6:7" x14ac:dyDescent="0.25">
      <c r="F367" s="21">
        <f t="shared" si="9"/>
        <v>0</v>
      </c>
      <c r="G367" s="8" t="str">
        <f t="shared" si="8"/>
        <v xml:space="preserve"> 0</v>
      </c>
    </row>
    <row r="368" spans="6:7" x14ac:dyDescent="0.25">
      <c r="F368" s="21">
        <f t="shared" si="9"/>
        <v>0</v>
      </c>
      <c r="G368" s="8" t="str">
        <f t="shared" si="8"/>
        <v xml:space="preserve"> 0</v>
      </c>
    </row>
    <row r="369" spans="6:7" x14ac:dyDescent="0.25">
      <c r="F369" s="21">
        <f t="shared" si="9"/>
        <v>0</v>
      </c>
      <c r="G369" s="8" t="str">
        <f t="shared" si="8"/>
        <v xml:space="preserve"> 0</v>
      </c>
    </row>
    <row r="370" spans="6:7" x14ac:dyDescent="0.25">
      <c r="F370" s="21">
        <f t="shared" si="9"/>
        <v>0</v>
      </c>
      <c r="G370" s="8" t="str">
        <f t="shared" si="8"/>
        <v xml:space="preserve"> 0</v>
      </c>
    </row>
    <row r="371" spans="6:7" x14ac:dyDescent="0.25">
      <c r="F371" s="21">
        <f t="shared" si="9"/>
        <v>0</v>
      </c>
      <c r="G371" s="8" t="str">
        <f t="shared" si="8"/>
        <v xml:space="preserve"> 0</v>
      </c>
    </row>
    <row r="372" spans="6:7" x14ac:dyDescent="0.25">
      <c r="F372" s="21">
        <f t="shared" si="9"/>
        <v>0</v>
      </c>
      <c r="G372" s="8" t="str">
        <f t="shared" si="8"/>
        <v xml:space="preserve"> 0</v>
      </c>
    </row>
    <row r="373" spans="6:7" x14ac:dyDescent="0.25">
      <c r="F373" s="21">
        <f t="shared" si="9"/>
        <v>0</v>
      </c>
      <c r="G373" s="8" t="str">
        <f t="shared" si="8"/>
        <v xml:space="preserve"> 0</v>
      </c>
    </row>
    <row r="374" spans="6:7" x14ac:dyDescent="0.25">
      <c r="F374" s="21">
        <f t="shared" si="9"/>
        <v>0</v>
      </c>
      <c r="G374" s="8" t="str">
        <f t="shared" si="8"/>
        <v xml:space="preserve"> 0</v>
      </c>
    </row>
    <row r="375" spans="6:7" x14ac:dyDescent="0.25">
      <c r="F375" s="21">
        <f t="shared" si="9"/>
        <v>0</v>
      </c>
      <c r="G375" s="8" t="str">
        <f t="shared" si="8"/>
        <v xml:space="preserve"> 0</v>
      </c>
    </row>
    <row r="376" spans="6:7" x14ac:dyDescent="0.25">
      <c r="F376" s="21">
        <f t="shared" si="9"/>
        <v>0</v>
      </c>
      <c r="G376" s="8" t="str">
        <f t="shared" si="8"/>
        <v xml:space="preserve"> 0</v>
      </c>
    </row>
    <row r="377" spans="6:7" x14ac:dyDescent="0.25">
      <c r="F377" s="21">
        <f t="shared" si="9"/>
        <v>0</v>
      </c>
      <c r="G377" s="8" t="str">
        <f t="shared" si="8"/>
        <v xml:space="preserve"> 0</v>
      </c>
    </row>
    <row r="378" spans="6:7" x14ac:dyDescent="0.25">
      <c r="F378" s="21">
        <f t="shared" si="9"/>
        <v>0</v>
      </c>
      <c r="G378" s="8" t="str">
        <f t="shared" si="8"/>
        <v xml:space="preserve"> 0</v>
      </c>
    </row>
    <row r="379" spans="6:7" x14ac:dyDescent="0.25">
      <c r="F379" s="21">
        <f t="shared" si="9"/>
        <v>0</v>
      </c>
      <c r="G379" s="8" t="str">
        <f t="shared" si="8"/>
        <v xml:space="preserve"> 0</v>
      </c>
    </row>
    <row r="380" spans="6:7" x14ac:dyDescent="0.25">
      <c r="F380" s="21">
        <f t="shared" si="9"/>
        <v>0</v>
      </c>
      <c r="G380" s="8" t="str">
        <f t="shared" si="8"/>
        <v xml:space="preserve"> 0</v>
      </c>
    </row>
    <row r="381" spans="6:7" x14ac:dyDescent="0.25">
      <c r="F381" s="21">
        <f t="shared" si="9"/>
        <v>0</v>
      </c>
      <c r="G381" s="8" t="str">
        <f t="shared" si="8"/>
        <v xml:space="preserve"> 0</v>
      </c>
    </row>
    <row r="382" spans="6:7" x14ac:dyDescent="0.25">
      <c r="F382" s="21">
        <f t="shared" si="9"/>
        <v>0</v>
      </c>
      <c r="G382" s="8" t="str">
        <f t="shared" si="8"/>
        <v xml:space="preserve"> 0</v>
      </c>
    </row>
    <row r="383" spans="6:7" x14ac:dyDescent="0.25">
      <c r="F383" s="21">
        <f t="shared" si="9"/>
        <v>0</v>
      </c>
      <c r="G383" s="8" t="str">
        <f t="shared" si="8"/>
        <v xml:space="preserve"> 0</v>
      </c>
    </row>
    <row r="384" spans="6:7" x14ac:dyDescent="0.25">
      <c r="F384" s="21">
        <f t="shared" si="9"/>
        <v>0</v>
      </c>
      <c r="G384" s="8" t="str">
        <f t="shared" si="8"/>
        <v xml:space="preserve"> 0</v>
      </c>
    </row>
    <row r="385" spans="6:7" x14ac:dyDescent="0.25">
      <c r="F385" s="21">
        <f t="shared" si="9"/>
        <v>0</v>
      </c>
      <c r="G385" s="8" t="str">
        <f t="shared" si="8"/>
        <v xml:space="preserve"> 0</v>
      </c>
    </row>
    <row r="386" spans="6:7" x14ac:dyDescent="0.25">
      <c r="F386" s="21">
        <f t="shared" si="9"/>
        <v>0</v>
      </c>
      <c r="G386" s="8" t="str">
        <f t="shared" si="8"/>
        <v xml:space="preserve"> 0</v>
      </c>
    </row>
    <row r="387" spans="6:7" x14ac:dyDescent="0.25">
      <c r="F387" s="21">
        <f t="shared" si="9"/>
        <v>0</v>
      </c>
      <c r="G387" s="8" t="str">
        <f t="shared" ref="G387:G450" si="10">E387&amp;" "&amp;F387</f>
        <v xml:space="preserve"> 0</v>
      </c>
    </row>
    <row r="388" spans="6:7" x14ac:dyDescent="0.25">
      <c r="F388" s="21">
        <f t="shared" si="9"/>
        <v>0</v>
      </c>
      <c r="G388" s="8" t="str">
        <f t="shared" si="10"/>
        <v xml:space="preserve"> 0</v>
      </c>
    </row>
    <row r="389" spans="6:7" x14ac:dyDescent="0.25">
      <c r="F389" s="21">
        <f t="shared" si="9"/>
        <v>0</v>
      </c>
      <c r="G389" s="8" t="str">
        <f t="shared" si="10"/>
        <v xml:space="preserve"> 0</v>
      </c>
    </row>
    <row r="390" spans="6:7" x14ac:dyDescent="0.25">
      <c r="F390" s="21">
        <f t="shared" si="9"/>
        <v>0</v>
      </c>
      <c r="G390" s="8" t="str">
        <f t="shared" si="10"/>
        <v xml:space="preserve"> 0</v>
      </c>
    </row>
    <row r="391" spans="6:7" x14ac:dyDescent="0.25">
      <c r="F391" s="21">
        <f t="shared" si="9"/>
        <v>0</v>
      </c>
      <c r="G391" s="8" t="str">
        <f t="shared" si="10"/>
        <v xml:space="preserve"> 0</v>
      </c>
    </row>
    <row r="392" spans="6:7" x14ac:dyDescent="0.25">
      <c r="F392" s="21">
        <f t="shared" si="9"/>
        <v>0</v>
      </c>
      <c r="G392" s="8" t="str">
        <f t="shared" si="10"/>
        <v xml:space="preserve"> 0</v>
      </c>
    </row>
    <row r="393" spans="6:7" x14ac:dyDescent="0.25">
      <c r="F393" s="21">
        <f t="shared" si="9"/>
        <v>0</v>
      </c>
      <c r="G393" s="8" t="str">
        <f t="shared" si="10"/>
        <v xml:space="preserve"> 0</v>
      </c>
    </row>
    <row r="394" spans="6:7" x14ac:dyDescent="0.25">
      <c r="F394" s="21">
        <f t="shared" si="9"/>
        <v>0</v>
      </c>
      <c r="G394" s="8" t="str">
        <f t="shared" si="10"/>
        <v xml:space="preserve"> 0</v>
      </c>
    </row>
    <row r="395" spans="6:7" x14ac:dyDescent="0.25">
      <c r="F395" s="21">
        <f t="shared" si="9"/>
        <v>0</v>
      </c>
      <c r="G395" s="8" t="str">
        <f t="shared" si="10"/>
        <v xml:space="preserve"> 0</v>
      </c>
    </row>
    <row r="396" spans="6:7" x14ac:dyDescent="0.25">
      <c r="F396" s="21">
        <f t="shared" si="9"/>
        <v>0</v>
      </c>
      <c r="G396" s="8" t="str">
        <f t="shared" si="10"/>
        <v xml:space="preserve"> 0</v>
      </c>
    </row>
    <row r="397" spans="6:7" x14ac:dyDescent="0.25">
      <c r="F397" s="21">
        <f t="shared" si="9"/>
        <v>0</v>
      </c>
      <c r="G397" s="8" t="str">
        <f t="shared" si="10"/>
        <v xml:space="preserve"> 0</v>
      </c>
    </row>
    <row r="398" spans="6:7" x14ac:dyDescent="0.25">
      <c r="F398" s="21">
        <f t="shared" si="9"/>
        <v>0</v>
      </c>
      <c r="G398" s="8" t="str">
        <f t="shared" si="10"/>
        <v xml:space="preserve"> 0</v>
      </c>
    </row>
    <row r="399" spans="6:7" x14ac:dyDescent="0.25">
      <c r="F399" s="21">
        <f t="shared" si="9"/>
        <v>0</v>
      </c>
      <c r="G399" s="8" t="str">
        <f t="shared" si="10"/>
        <v xml:space="preserve"> 0</v>
      </c>
    </row>
    <row r="400" spans="6:7" x14ac:dyDescent="0.25">
      <c r="F400" s="21">
        <f t="shared" si="9"/>
        <v>0</v>
      </c>
      <c r="G400" s="8" t="str">
        <f t="shared" si="10"/>
        <v xml:space="preserve"> 0</v>
      </c>
    </row>
    <row r="401" spans="6:7" x14ac:dyDescent="0.25">
      <c r="F401" s="21">
        <f t="shared" si="9"/>
        <v>0</v>
      </c>
      <c r="G401" s="8" t="str">
        <f t="shared" si="10"/>
        <v xml:space="preserve"> 0</v>
      </c>
    </row>
    <row r="402" spans="6:7" x14ac:dyDescent="0.25">
      <c r="F402" s="21">
        <f t="shared" si="9"/>
        <v>0</v>
      </c>
      <c r="G402" s="8" t="str">
        <f t="shared" si="10"/>
        <v xml:space="preserve"> 0</v>
      </c>
    </row>
    <row r="403" spans="6:7" x14ac:dyDescent="0.25">
      <c r="F403" s="21">
        <f t="shared" si="9"/>
        <v>0</v>
      </c>
      <c r="G403" s="8" t="str">
        <f t="shared" si="10"/>
        <v xml:space="preserve"> 0</v>
      </c>
    </row>
    <row r="404" spans="6:7" x14ac:dyDescent="0.25">
      <c r="F404" s="21">
        <f t="shared" si="9"/>
        <v>0</v>
      </c>
      <c r="G404" s="8" t="str">
        <f t="shared" si="10"/>
        <v xml:space="preserve"> 0</v>
      </c>
    </row>
    <row r="405" spans="6:7" x14ac:dyDescent="0.25">
      <c r="F405" s="21">
        <f t="shared" si="9"/>
        <v>0</v>
      </c>
      <c r="G405" s="8" t="str">
        <f t="shared" si="10"/>
        <v xml:space="preserve"> 0</v>
      </c>
    </row>
    <row r="406" spans="6:7" x14ac:dyDescent="0.25">
      <c r="F406" s="21">
        <f t="shared" si="9"/>
        <v>0</v>
      </c>
      <c r="G406" s="8" t="str">
        <f t="shared" si="10"/>
        <v xml:space="preserve"> 0</v>
      </c>
    </row>
    <row r="407" spans="6:7" x14ac:dyDescent="0.25">
      <c r="F407" s="21">
        <f t="shared" si="9"/>
        <v>0</v>
      </c>
      <c r="G407" s="8" t="str">
        <f t="shared" si="10"/>
        <v xml:space="preserve"> 0</v>
      </c>
    </row>
    <row r="408" spans="6:7" x14ac:dyDescent="0.25">
      <c r="F408" s="21">
        <f t="shared" si="9"/>
        <v>0</v>
      </c>
      <c r="G408" s="8" t="str">
        <f t="shared" si="10"/>
        <v xml:space="preserve"> 0</v>
      </c>
    </row>
    <row r="409" spans="6:7" x14ac:dyDescent="0.25">
      <c r="F409" s="21">
        <f t="shared" si="9"/>
        <v>0</v>
      </c>
      <c r="G409" s="8" t="str">
        <f t="shared" si="10"/>
        <v xml:space="preserve"> 0</v>
      </c>
    </row>
    <row r="410" spans="6:7" x14ac:dyDescent="0.25">
      <c r="F410" s="21">
        <f t="shared" ref="F410:F473" si="11">B410</f>
        <v>0</v>
      </c>
      <c r="G410" s="8" t="str">
        <f t="shared" si="10"/>
        <v xml:space="preserve"> 0</v>
      </c>
    </row>
    <row r="411" spans="6:7" x14ac:dyDescent="0.25">
      <c r="F411" s="21">
        <f t="shared" si="11"/>
        <v>0</v>
      </c>
      <c r="G411" s="8" t="str">
        <f t="shared" si="10"/>
        <v xml:space="preserve"> 0</v>
      </c>
    </row>
    <row r="412" spans="6:7" x14ac:dyDescent="0.25">
      <c r="F412" s="21">
        <f t="shared" si="11"/>
        <v>0</v>
      </c>
      <c r="G412" s="8" t="str">
        <f t="shared" si="10"/>
        <v xml:space="preserve"> 0</v>
      </c>
    </row>
    <row r="413" spans="6:7" x14ac:dyDescent="0.25">
      <c r="F413" s="21">
        <f t="shared" si="11"/>
        <v>0</v>
      </c>
      <c r="G413" s="8" t="str">
        <f t="shared" si="10"/>
        <v xml:space="preserve"> 0</v>
      </c>
    </row>
    <row r="414" spans="6:7" x14ac:dyDescent="0.25">
      <c r="F414" s="21">
        <f t="shared" si="11"/>
        <v>0</v>
      </c>
      <c r="G414" s="8" t="str">
        <f t="shared" si="10"/>
        <v xml:space="preserve"> 0</v>
      </c>
    </row>
    <row r="415" spans="6:7" x14ac:dyDescent="0.25">
      <c r="F415" s="21">
        <f t="shared" si="11"/>
        <v>0</v>
      </c>
      <c r="G415" s="8" t="str">
        <f t="shared" si="10"/>
        <v xml:space="preserve"> 0</v>
      </c>
    </row>
    <row r="416" spans="6:7" x14ac:dyDescent="0.25">
      <c r="F416" s="21">
        <f t="shared" si="11"/>
        <v>0</v>
      </c>
      <c r="G416" s="8" t="str">
        <f t="shared" si="10"/>
        <v xml:space="preserve"> 0</v>
      </c>
    </row>
    <row r="417" spans="6:7" x14ac:dyDescent="0.25">
      <c r="F417" s="21">
        <f t="shared" si="11"/>
        <v>0</v>
      </c>
      <c r="G417" s="8" t="str">
        <f t="shared" si="10"/>
        <v xml:space="preserve"> 0</v>
      </c>
    </row>
    <row r="418" spans="6:7" x14ac:dyDescent="0.25">
      <c r="F418" s="21">
        <f t="shared" si="11"/>
        <v>0</v>
      </c>
      <c r="G418" s="8" t="str">
        <f t="shared" si="10"/>
        <v xml:space="preserve"> 0</v>
      </c>
    </row>
    <row r="419" spans="6:7" x14ac:dyDescent="0.25">
      <c r="F419" s="21">
        <f t="shared" si="11"/>
        <v>0</v>
      </c>
      <c r="G419" s="8" t="str">
        <f t="shared" si="10"/>
        <v xml:space="preserve"> 0</v>
      </c>
    </row>
    <row r="420" spans="6:7" x14ac:dyDescent="0.25">
      <c r="F420" s="21">
        <f t="shared" si="11"/>
        <v>0</v>
      </c>
      <c r="G420" s="8" t="str">
        <f t="shared" si="10"/>
        <v xml:space="preserve"> 0</v>
      </c>
    </row>
    <row r="421" spans="6:7" x14ac:dyDescent="0.25">
      <c r="F421" s="21">
        <f t="shared" si="11"/>
        <v>0</v>
      </c>
      <c r="G421" s="8" t="str">
        <f t="shared" si="10"/>
        <v xml:space="preserve"> 0</v>
      </c>
    </row>
    <row r="422" spans="6:7" x14ac:dyDescent="0.25">
      <c r="F422" s="21">
        <f t="shared" si="11"/>
        <v>0</v>
      </c>
      <c r="G422" s="8" t="str">
        <f t="shared" si="10"/>
        <v xml:space="preserve"> 0</v>
      </c>
    </row>
    <row r="423" spans="6:7" x14ac:dyDescent="0.25">
      <c r="F423" s="21">
        <f t="shared" si="11"/>
        <v>0</v>
      </c>
      <c r="G423" s="8" t="str">
        <f t="shared" si="10"/>
        <v xml:space="preserve"> 0</v>
      </c>
    </row>
    <row r="424" spans="6:7" x14ac:dyDescent="0.25">
      <c r="F424" s="21">
        <f t="shared" si="11"/>
        <v>0</v>
      </c>
      <c r="G424" s="8" t="str">
        <f t="shared" si="10"/>
        <v xml:space="preserve"> 0</v>
      </c>
    </row>
    <row r="425" spans="6:7" x14ac:dyDescent="0.25">
      <c r="F425" s="21">
        <f t="shared" si="11"/>
        <v>0</v>
      </c>
      <c r="G425" s="8" t="str">
        <f t="shared" si="10"/>
        <v xml:space="preserve"> 0</v>
      </c>
    </row>
    <row r="426" spans="6:7" x14ac:dyDescent="0.25">
      <c r="F426" s="21">
        <f t="shared" si="11"/>
        <v>0</v>
      </c>
      <c r="G426" s="8" t="str">
        <f t="shared" si="10"/>
        <v xml:space="preserve"> 0</v>
      </c>
    </row>
    <row r="427" spans="6:7" x14ac:dyDescent="0.25">
      <c r="F427" s="21">
        <f t="shared" si="11"/>
        <v>0</v>
      </c>
      <c r="G427" s="8" t="str">
        <f t="shared" si="10"/>
        <v xml:space="preserve"> 0</v>
      </c>
    </row>
    <row r="428" spans="6:7" x14ac:dyDescent="0.25">
      <c r="F428" s="21">
        <f t="shared" si="11"/>
        <v>0</v>
      </c>
      <c r="G428" s="8" t="str">
        <f t="shared" si="10"/>
        <v xml:space="preserve"> 0</v>
      </c>
    </row>
    <row r="429" spans="6:7" x14ac:dyDescent="0.25">
      <c r="F429" s="21">
        <f t="shared" si="11"/>
        <v>0</v>
      </c>
      <c r="G429" s="8" t="str">
        <f t="shared" si="10"/>
        <v xml:space="preserve"> 0</v>
      </c>
    </row>
    <row r="430" spans="6:7" x14ac:dyDescent="0.25">
      <c r="F430" s="21">
        <f t="shared" si="11"/>
        <v>0</v>
      </c>
      <c r="G430" s="8" t="str">
        <f t="shared" si="10"/>
        <v xml:space="preserve"> 0</v>
      </c>
    </row>
    <row r="431" spans="6:7" x14ac:dyDescent="0.25">
      <c r="F431" s="21">
        <f t="shared" si="11"/>
        <v>0</v>
      </c>
      <c r="G431" s="8" t="str">
        <f t="shared" si="10"/>
        <v xml:space="preserve"> 0</v>
      </c>
    </row>
    <row r="432" spans="6:7" x14ac:dyDescent="0.25">
      <c r="F432" s="21">
        <f t="shared" si="11"/>
        <v>0</v>
      </c>
      <c r="G432" s="8" t="str">
        <f t="shared" si="10"/>
        <v xml:space="preserve"> 0</v>
      </c>
    </row>
    <row r="433" spans="6:7" x14ac:dyDescent="0.25">
      <c r="F433" s="21">
        <f t="shared" si="11"/>
        <v>0</v>
      </c>
      <c r="G433" s="8" t="str">
        <f t="shared" si="10"/>
        <v xml:space="preserve"> 0</v>
      </c>
    </row>
    <row r="434" spans="6:7" x14ac:dyDescent="0.25">
      <c r="F434" s="21">
        <f t="shared" si="11"/>
        <v>0</v>
      </c>
      <c r="G434" s="8" t="str">
        <f t="shared" si="10"/>
        <v xml:space="preserve"> 0</v>
      </c>
    </row>
    <row r="435" spans="6:7" x14ac:dyDescent="0.25">
      <c r="F435" s="21">
        <f t="shared" si="11"/>
        <v>0</v>
      </c>
      <c r="G435" s="8" t="str">
        <f t="shared" si="10"/>
        <v xml:space="preserve"> 0</v>
      </c>
    </row>
    <row r="436" spans="6:7" x14ac:dyDescent="0.25">
      <c r="F436" s="21">
        <f t="shared" si="11"/>
        <v>0</v>
      </c>
      <c r="G436" s="8" t="str">
        <f t="shared" si="10"/>
        <v xml:space="preserve"> 0</v>
      </c>
    </row>
    <row r="437" spans="6:7" x14ac:dyDescent="0.25">
      <c r="F437" s="21">
        <f t="shared" si="11"/>
        <v>0</v>
      </c>
      <c r="G437" s="8" t="str">
        <f t="shared" si="10"/>
        <v xml:space="preserve"> 0</v>
      </c>
    </row>
    <row r="438" spans="6:7" x14ac:dyDescent="0.25">
      <c r="F438" s="21">
        <f t="shared" si="11"/>
        <v>0</v>
      </c>
      <c r="G438" s="8" t="str">
        <f t="shared" si="10"/>
        <v xml:space="preserve"> 0</v>
      </c>
    </row>
    <row r="439" spans="6:7" x14ac:dyDescent="0.25">
      <c r="F439" s="21">
        <f t="shared" si="11"/>
        <v>0</v>
      </c>
      <c r="G439" s="8" t="str">
        <f t="shared" si="10"/>
        <v xml:space="preserve"> 0</v>
      </c>
    </row>
    <row r="440" spans="6:7" x14ac:dyDescent="0.25">
      <c r="F440" s="21">
        <f t="shared" si="11"/>
        <v>0</v>
      </c>
      <c r="G440" s="8" t="str">
        <f t="shared" si="10"/>
        <v xml:space="preserve"> 0</v>
      </c>
    </row>
    <row r="441" spans="6:7" x14ac:dyDescent="0.25">
      <c r="F441" s="21">
        <f t="shared" si="11"/>
        <v>0</v>
      </c>
      <c r="G441" s="8" t="str">
        <f t="shared" si="10"/>
        <v xml:space="preserve"> 0</v>
      </c>
    </row>
    <row r="442" spans="6:7" x14ac:dyDescent="0.25">
      <c r="F442" s="21">
        <f t="shared" si="11"/>
        <v>0</v>
      </c>
      <c r="G442" s="8" t="str">
        <f t="shared" si="10"/>
        <v xml:space="preserve"> 0</v>
      </c>
    </row>
    <row r="443" spans="6:7" x14ac:dyDescent="0.25">
      <c r="F443" s="21">
        <f t="shared" si="11"/>
        <v>0</v>
      </c>
      <c r="G443" s="8" t="str">
        <f t="shared" si="10"/>
        <v xml:space="preserve"> 0</v>
      </c>
    </row>
    <row r="444" spans="6:7" x14ac:dyDescent="0.25">
      <c r="F444" s="21">
        <f t="shared" si="11"/>
        <v>0</v>
      </c>
      <c r="G444" s="8" t="str">
        <f t="shared" si="10"/>
        <v xml:space="preserve"> 0</v>
      </c>
    </row>
    <row r="445" spans="6:7" x14ac:dyDescent="0.25">
      <c r="F445" s="21">
        <f t="shared" si="11"/>
        <v>0</v>
      </c>
      <c r="G445" s="8" t="str">
        <f t="shared" si="10"/>
        <v xml:space="preserve"> 0</v>
      </c>
    </row>
    <row r="446" spans="6:7" x14ac:dyDescent="0.25">
      <c r="F446" s="21">
        <f t="shared" si="11"/>
        <v>0</v>
      </c>
      <c r="G446" s="8" t="str">
        <f t="shared" si="10"/>
        <v xml:space="preserve"> 0</v>
      </c>
    </row>
    <row r="447" spans="6:7" x14ac:dyDescent="0.25">
      <c r="F447" s="21">
        <f t="shared" si="11"/>
        <v>0</v>
      </c>
      <c r="G447" s="8" t="str">
        <f t="shared" si="10"/>
        <v xml:space="preserve"> 0</v>
      </c>
    </row>
    <row r="448" spans="6:7" x14ac:dyDescent="0.25">
      <c r="F448" s="21">
        <f t="shared" si="11"/>
        <v>0</v>
      </c>
      <c r="G448" s="8" t="str">
        <f t="shared" si="10"/>
        <v xml:space="preserve"> 0</v>
      </c>
    </row>
    <row r="449" spans="6:7" x14ac:dyDescent="0.25">
      <c r="F449" s="21">
        <f t="shared" si="11"/>
        <v>0</v>
      </c>
      <c r="G449" s="8" t="str">
        <f t="shared" si="10"/>
        <v xml:space="preserve"> 0</v>
      </c>
    </row>
    <row r="450" spans="6:7" x14ac:dyDescent="0.25">
      <c r="F450" s="21">
        <f t="shared" si="11"/>
        <v>0</v>
      </c>
      <c r="G450" s="8" t="str">
        <f t="shared" si="10"/>
        <v xml:space="preserve"> 0</v>
      </c>
    </row>
    <row r="451" spans="6:7" x14ac:dyDescent="0.25">
      <c r="F451" s="21">
        <f t="shared" si="11"/>
        <v>0</v>
      </c>
      <c r="G451" s="8" t="str">
        <f t="shared" ref="G451:G514" si="12">E451&amp;" "&amp;F451</f>
        <v xml:space="preserve"> 0</v>
      </c>
    </row>
    <row r="452" spans="6:7" x14ac:dyDescent="0.25">
      <c r="F452" s="21">
        <f t="shared" si="11"/>
        <v>0</v>
      </c>
      <c r="G452" s="8" t="str">
        <f t="shared" si="12"/>
        <v xml:space="preserve"> 0</v>
      </c>
    </row>
    <row r="453" spans="6:7" x14ac:dyDescent="0.25">
      <c r="F453" s="21">
        <f t="shared" si="11"/>
        <v>0</v>
      </c>
      <c r="G453" s="8" t="str">
        <f t="shared" si="12"/>
        <v xml:space="preserve"> 0</v>
      </c>
    </row>
    <row r="454" spans="6:7" x14ac:dyDescent="0.25">
      <c r="F454" s="21">
        <f t="shared" si="11"/>
        <v>0</v>
      </c>
      <c r="G454" s="8" t="str">
        <f t="shared" si="12"/>
        <v xml:space="preserve"> 0</v>
      </c>
    </row>
    <row r="455" spans="6:7" x14ac:dyDescent="0.25">
      <c r="F455" s="21">
        <f t="shared" si="11"/>
        <v>0</v>
      </c>
      <c r="G455" s="8" t="str">
        <f t="shared" si="12"/>
        <v xml:space="preserve"> 0</v>
      </c>
    </row>
    <row r="456" spans="6:7" x14ac:dyDescent="0.25">
      <c r="F456" s="21">
        <f t="shared" si="11"/>
        <v>0</v>
      </c>
      <c r="G456" s="8" t="str">
        <f t="shared" si="12"/>
        <v xml:space="preserve"> 0</v>
      </c>
    </row>
    <row r="457" spans="6:7" x14ac:dyDescent="0.25">
      <c r="F457" s="21">
        <f t="shared" si="11"/>
        <v>0</v>
      </c>
      <c r="G457" s="8" t="str">
        <f t="shared" si="12"/>
        <v xml:space="preserve"> 0</v>
      </c>
    </row>
    <row r="458" spans="6:7" x14ac:dyDescent="0.25">
      <c r="F458" s="21">
        <f t="shared" si="11"/>
        <v>0</v>
      </c>
      <c r="G458" s="8" t="str">
        <f t="shared" si="12"/>
        <v xml:space="preserve"> 0</v>
      </c>
    </row>
    <row r="459" spans="6:7" x14ac:dyDescent="0.25">
      <c r="F459" s="21">
        <f t="shared" si="11"/>
        <v>0</v>
      </c>
      <c r="G459" s="8" t="str">
        <f t="shared" si="12"/>
        <v xml:space="preserve"> 0</v>
      </c>
    </row>
    <row r="460" spans="6:7" x14ac:dyDescent="0.25">
      <c r="F460" s="21">
        <f t="shared" si="11"/>
        <v>0</v>
      </c>
      <c r="G460" s="8" t="str">
        <f t="shared" si="12"/>
        <v xml:space="preserve"> 0</v>
      </c>
    </row>
    <row r="461" spans="6:7" x14ac:dyDescent="0.25">
      <c r="F461" s="21">
        <f t="shared" si="11"/>
        <v>0</v>
      </c>
      <c r="G461" s="8" t="str">
        <f t="shared" si="12"/>
        <v xml:space="preserve"> 0</v>
      </c>
    </row>
    <row r="462" spans="6:7" x14ac:dyDescent="0.25">
      <c r="F462" s="21">
        <f t="shared" si="11"/>
        <v>0</v>
      </c>
      <c r="G462" s="8" t="str">
        <f t="shared" si="12"/>
        <v xml:space="preserve"> 0</v>
      </c>
    </row>
    <row r="463" spans="6:7" x14ac:dyDescent="0.25">
      <c r="F463" s="21">
        <f t="shared" si="11"/>
        <v>0</v>
      </c>
      <c r="G463" s="8" t="str">
        <f t="shared" si="12"/>
        <v xml:space="preserve"> 0</v>
      </c>
    </row>
    <row r="464" spans="6:7" x14ac:dyDescent="0.25">
      <c r="F464" s="21">
        <f t="shared" si="11"/>
        <v>0</v>
      </c>
      <c r="G464" s="8" t="str">
        <f t="shared" si="12"/>
        <v xml:space="preserve"> 0</v>
      </c>
    </row>
    <row r="465" spans="6:7" x14ac:dyDescent="0.25">
      <c r="F465" s="21">
        <f t="shared" si="11"/>
        <v>0</v>
      </c>
      <c r="G465" s="8" t="str">
        <f t="shared" si="12"/>
        <v xml:space="preserve"> 0</v>
      </c>
    </row>
    <row r="466" spans="6:7" x14ac:dyDescent="0.25">
      <c r="F466" s="21">
        <f t="shared" si="11"/>
        <v>0</v>
      </c>
      <c r="G466" s="8" t="str">
        <f t="shared" si="12"/>
        <v xml:space="preserve"> 0</v>
      </c>
    </row>
    <row r="467" spans="6:7" x14ac:dyDescent="0.25">
      <c r="F467" s="21">
        <f t="shared" si="11"/>
        <v>0</v>
      </c>
      <c r="G467" s="8" t="str">
        <f t="shared" si="12"/>
        <v xml:space="preserve"> 0</v>
      </c>
    </row>
    <row r="468" spans="6:7" x14ac:dyDescent="0.25">
      <c r="F468" s="21">
        <f t="shared" si="11"/>
        <v>0</v>
      </c>
      <c r="G468" s="8" t="str">
        <f t="shared" si="12"/>
        <v xml:space="preserve"> 0</v>
      </c>
    </row>
    <row r="469" spans="6:7" x14ac:dyDescent="0.25">
      <c r="F469" s="21">
        <f t="shared" si="11"/>
        <v>0</v>
      </c>
      <c r="G469" s="8" t="str">
        <f t="shared" si="12"/>
        <v xml:space="preserve"> 0</v>
      </c>
    </row>
    <row r="470" spans="6:7" x14ac:dyDescent="0.25">
      <c r="F470" s="21">
        <f t="shared" si="11"/>
        <v>0</v>
      </c>
      <c r="G470" s="8" t="str">
        <f t="shared" si="12"/>
        <v xml:space="preserve"> 0</v>
      </c>
    </row>
    <row r="471" spans="6:7" x14ac:dyDescent="0.25">
      <c r="F471" s="21">
        <f t="shared" si="11"/>
        <v>0</v>
      </c>
      <c r="G471" s="8" t="str">
        <f t="shared" si="12"/>
        <v xml:space="preserve"> 0</v>
      </c>
    </row>
    <row r="472" spans="6:7" x14ac:dyDescent="0.25">
      <c r="F472" s="21">
        <f t="shared" si="11"/>
        <v>0</v>
      </c>
      <c r="G472" s="8" t="str">
        <f t="shared" si="12"/>
        <v xml:space="preserve"> 0</v>
      </c>
    </row>
    <row r="473" spans="6:7" x14ac:dyDescent="0.25">
      <c r="F473" s="21">
        <f t="shared" si="11"/>
        <v>0</v>
      </c>
      <c r="G473" s="8" t="str">
        <f t="shared" si="12"/>
        <v xml:space="preserve"> 0</v>
      </c>
    </row>
    <row r="474" spans="6:7" x14ac:dyDescent="0.25">
      <c r="F474" s="21">
        <f t="shared" ref="F474:F537" si="13">B474</f>
        <v>0</v>
      </c>
      <c r="G474" s="8" t="str">
        <f t="shared" si="12"/>
        <v xml:space="preserve"> 0</v>
      </c>
    </row>
    <row r="475" spans="6:7" x14ac:dyDescent="0.25">
      <c r="F475" s="21">
        <f t="shared" si="13"/>
        <v>0</v>
      </c>
      <c r="G475" s="8" t="str">
        <f t="shared" si="12"/>
        <v xml:space="preserve"> 0</v>
      </c>
    </row>
    <row r="476" spans="6:7" x14ac:dyDescent="0.25">
      <c r="F476" s="21">
        <f t="shared" si="13"/>
        <v>0</v>
      </c>
      <c r="G476" s="8" t="str">
        <f t="shared" si="12"/>
        <v xml:space="preserve"> 0</v>
      </c>
    </row>
    <row r="477" spans="6:7" x14ac:dyDescent="0.25">
      <c r="F477" s="21">
        <f t="shared" si="13"/>
        <v>0</v>
      </c>
      <c r="G477" s="8" t="str">
        <f t="shared" si="12"/>
        <v xml:space="preserve"> 0</v>
      </c>
    </row>
    <row r="478" spans="6:7" x14ac:dyDescent="0.25">
      <c r="F478" s="21">
        <f t="shared" si="13"/>
        <v>0</v>
      </c>
      <c r="G478" s="8" t="str">
        <f t="shared" si="12"/>
        <v xml:space="preserve"> 0</v>
      </c>
    </row>
    <row r="479" spans="6:7" x14ac:dyDescent="0.25">
      <c r="F479" s="21">
        <f t="shared" si="13"/>
        <v>0</v>
      </c>
      <c r="G479" s="8" t="str">
        <f t="shared" si="12"/>
        <v xml:space="preserve"> 0</v>
      </c>
    </row>
    <row r="480" spans="6:7" x14ac:dyDescent="0.25">
      <c r="F480" s="21">
        <f t="shared" si="13"/>
        <v>0</v>
      </c>
      <c r="G480" s="8" t="str">
        <f t="shared" si="12"/>
        <v xml:space="preserve"> 0</v>
      </c>
    </row>
    <row r="481" spans="6:7" x14ac:dyDescent="0.25">
      <c r="F481" s="21">
        <f t="shared" si="13"/>
        <v>0</v>
      </c>
      <c r="G481" s="8" t="str">
        <f t="shared" si="12"/>
        <v xml:space="preserve"> 0</v>
      </c>
    </row>
    <row r="482" spans="6:7" x14ac:dyDescent="0.25">
      <c r="F482" s="21">
        <f t="shared" si="13"/>
        <v>0</v>
      </c>
      <c r="G482" s="8" t="str">
        <f t="shared" si="12"/>
        <v xml:space="preserve"> 0</v>
      </c>
    </row>
    <row r="483" spans="6:7" x14ac:dyDescent="0.25">
      <c r="F483" s="21">
        <f t="shared" si="13"/>
        <v>0</v>
      </c>
      <c r="G483" s="8" t="str">
        <f t="shared" si="12"/>
        <v xml:space="preserve"> 0</v>
      </c>
    </row>
    <row r="484" spans="6:7" x14ac:dyDescent="0.25">
      <c r="F484" s="21">
        <f t="shared" si="13"/>
        <v>0</v>
      </c>
      <c r="G484" s="8" t="str">
        <f t="shared" si="12"/>
        <v xml:space="preserve"> 0</v>
      </c>
    </row>
    <row r="485" spans="6:7" x14ac:dyDescent="0.25">
      <c r="F485" s="21">
        <f t="shared" si="13"/>
        <v>0</v>
      </c>
      <c r="G485" s="8" t="str">
        <f t="shared" si="12"/>
        <v xml:space="preserve"> 0</v>
      </c>
    </row>
    <row r="486" spans="6:7" x14ac:dyDescent="0.25">
      <c r="F486" s="21">
        <f t="shared" si="13"/>
        <v>0</v>
      </c>
      <c r="G486" s="8" t="str">
        <f t="shared" si="12"/>
        <v xml:space="preserve"> 0</v>
      </c>
    </row>
    <row r="487" spans="6:7" x14ac:dyDescent="0.25">
      <c r="F487" s="21">
        <f t="shared" si="13"/>
        <v>0</v>
      </c>
      <c r="G487" s="8" t="str">
        <f t="shared" si="12"/>
        <v xml:space="preserve"> 0</v>
      </c>
    </row>
    <row r="488" spans="6:7" x14ac:dyDescent="0.25">
      <c r="F488" s="21">
        <f t="shared" si="13"/>
        <v>0</v>
      </c>
      <c r="G488" s="8" t="str">
        <f t="shared" si="12"/>
        <v xml:space="preserve"> 0</v>
      </c>
    </row>
    <row r="489" spans="6:7" x14ac:dyDescent="0.25">
      <c r="F489" s="21">
        <f t="shared" si="13"/>
        <v>0</v>
      </c>
      <c r="G489" s="8" t="str">
        <f t="shared" si="12"/>
        <v xml:space="preserve"> 0</v>
      </c>
    </row>
    <row r="490" spans="6:7" x14ac:dyDescent="0.25">
      <c r="F490" s="21">
        <f t="shared" si="13"/>
        <v>0</v>
      </c>
      <c r="G490" s="8" t="str">
        <f t="shared" si="12"/>
        <v xml:space="preserve"> 0</v>
      </c>
    </row>
    <row r="491" spans="6:7" x14ac:dyDescent="0.25">
      <c r="F491" s="21">
        <f t="shared" si="13"/>
        <v>0</v>
      </c>
      <c r="G491" s="8" t="str">
        <f t="shared" si="12"/>
        <v xml:space="preserve"> 0</v>
      </c>
    </row>
    <row r="492" spans="6:7" x14ac:dyDescent="0.25">
      <c r="F492" s="21">
        <f t="shared" si="13"/>
        <v>0</v>
      </c>
      <c r="G492" s="8" t="str">
        <f t="shared" si="12"/>
        <v xml:space="preserve"> 0</v>
      </c>
    </row>
    <row r="493" spans="6:7" x14ac:dyDescent="0.25">
      <c r="F493" s="21">
        <f t="shared" si="13"/>
        <v>0</v>
      </c>
      <c r="G493" s="8" t="str">
        <f t="shared" si="12"/>
        <v xml:space="preserve"> 0</v>
      </c>
    </row>
    <row r="494" spans="6:7" x14ac:dyDescent="0.25">
      <c r="F494" s="21">
        <f t="shared" si="13"/>
        <v>0</v>
      </c>
      <c r="G494" s="8" t="str">
        <f t="shared" si="12"/>
        <v xml:space="preserve"> 0</v>
      </c>
    </row>
    <row r="495" spans="6:7" x14ac:dyDescent="0.25">
      <c r="F495" s="21">
        <f t="shared" si="13"/>
        <v>0</v>
      </c>
      <c r="G495" s="8" t="str">
        <f t="shared" si="12"/>
        <v xml:space="preserve"> 0</v>
      </c>
    </row>
    <row r="496" spans="6:7" x14ac:dyDescent="0.25">
      <c r="F496" s="21">
        <f t="shared" si="13"/>
        <v>0</v>
      </c>
      <c r="G496" s="8" t="str">
        <f t="shared" si="12"/>
        <v xml:space="preserve"> 0</v>
      </c>
    </row>
    <row r="497" spans="6:7" x14ac:dyDescent="0.25">
      <c r="F497" s="21">
        <f t="shared" si="13"/>
        <v>0</v>
      </c>
      <c r="G497" s="8" t="str">
        <f t="shared" si="12"/>
        <v xml:space="preserve"> 0</v>
      </c>
    </row>
    <row r="498" spans="6:7" x14ac:dyDescent="0.25">
      <c r="F498" s="21">
        <f t="shared" si="13"/>
        <v>0</v>
      </c>
      <c r="G498" s="8" t="str">
        <f t="shared" si="12"/>
        <v xml:space="preserve"> 0</v>
      </c>
    </row>
    <row r="499" spans="6:7" x14ac:dyDescent="0.25">
      <c r="F499" s="21">
        <f t="shared" si="13"/>
        <v>0</v>
      </c>
      <c r="G499" s="8" t="str">
        <f t="shared" si="12"/>
        <v xml:space="preserve"> 0</v>
      </c>
    </row>
    <row r="500" spans="6:7" x14ac:dyDescent="0.25">
      <c r="F500" s="21">
        <f t="shared" si="13"/>
        <v>0</v>
      </c>
      <c r="G500" s="8" t="str">
        <f t="shared" si="12"/>
        <v xml:space="preserve"> 0</v>
      </c>
    </row>
    <row r="501" spans="6:7" x14ac:dyDescent="0.25">
      <c r="F501" s="21">
        <f t="shared" si="13"/>
        <v>0</v>
      </c>
      <c r="G501" s="8" t="str">
        <f t="shared" si="12"/>
        <v xml:space="preserve"> 0</v>
      </c>
    </row>
    <row r="502" spans="6:7" x14ac:dyDescent="0.25">
      <c r="F502" s="21">
        <f t="shared" si="13"/>
        <v>0</v>
      </c>
      <c r="G502" s="8" t="str">
        <f t="shared" si="12"/>
        <v xml:space="preserve"> 0</v>
      </c>
    </row>
    <row r="503" spans="6:7" x14ac:dyDescent="0.25">
      <c r="F503" s="21">
        <f t="shared" si="13"/>
        <v>0</v>
      </c>
      <c r="G503" s="8" t="str">
        <f t="shared" si="12"/>
        <v xml:space="preserve"> 0</v>
      </c>
    </row>
    <row r="504" spans="6:7" x14ac:dyDescent="0.25">
      <c r="F504" s="21">
        <f t="shared" si="13"/>
        <v>0</v>
      </c>
      <c r="G504" s="8" t="str">
        <f t="shared" si="12"/>
        <v xml:space="preserve"> 0</v>
      </c>
    </row>
    <row r="505" spans="6:7" x14ac:dyDescent="0.25">
      <c r="F505" s="21">
        <f t="shared" si="13"/>
        <v>0</v>
      </c>
      <c r="G505" s="8" t="str">
        <f t="shared" si="12"/>
        <v xml:space="preserve"> 0</v>
      </c>
    </row>
    <row r="506" spans="6:7" x14ac:dyDescent="0.25">
      <c r="F506" s="21">
        <f t="shared" si="13"/>
        <v>0</v>
      </c>
      <c r="G506" s="8" t="str">
        <f t="shared" si="12"/>
        <v xml:space="preserve"> 0</v>
      </c>
    </row>
    <row r="507" spans="6:7" x14ac:dyDescent="0.25">
      <c r="F507" s="21">
        <f t="shared" si="13"/>
        <v>0</v>
      </c>
      <c r="G507" s="8" t="str">
        <f t="shared" si="12"/>
        <v xml:space="preserve"> 0</v>
      </c>
    </row>
    <row r="508" spans="6:7" x14ac:dyDescent="0.25">
      <c r="F508" s="21">
        <f t="shared" si="13"/>
        <v>0</v>
      </c>
      <c r="G508" s="8" t="str">
        <f t="shared" si="12"/>
        <v xml:space="preserve"> 0</v>
      </c>
    </row>
    <row r="509" spans="6:7" x14ac:dyDescent="0.25">
      <c r="F509" s="21">
        <f t="shared" si="13"/>
        <v>0</v>
      </c>
      <c r="G509" s="8" t="str">
        <f t="shared" si="12"/>
        <v xml:space="preserve"> 0</v>
      </c>
    </row>
    <row r="510" spans="6:7" x14ac:dyDescent="0.25">
      <c r="F510" s="21">
        <f t="shared" si="13"/>
        <v>0</v>
      </c>
      <c r="G510" s="8" t="str">
        <f t="shared" si="12"/>
        <v xml:space="preserve"> 0</v>
      </c>
    </row>
    <row r="511" spans="6:7" x14ac:dyDescent="0.25">
      <c r="F511" s="21">
        <f t="shared" si="13"/>
        <v>0</v>
      </c>
      <c r="G511" s="8" t="str">
        <f t="shared" si="12"/>
        <v xml:space="preserve"> 0</v>
      </c>
    </row>
    <row r="512" spans="6:7" x14ac:dyDescent="0.25">
      <c r="F512" s="21">
        <f t="shared" si="13"/>
        <v>0</v>
      </c>
      <c r="G512" s="8" t="str">
        <f t="shared" si="12"/>
        <v xml:space="preserve"> 0</v>
      </c>
    </row>
    <row r="513" spans="6:7" x14ac:dyDescent="0.25">
      <c r="F513" s="21">
        <f t="shared" si="13"/>
        <v>0</v>
      </c>
      <c r="G513" s="8" t="str">
        <f t="shared" si="12"/>
        <v xml:space="preserve"> 0</v>
      </c>
    </row>
    <row r="514" spans="6:7" x14ac:dyDescent="0.25">
      <c r="F514" s="21">
        <f t="shared" si="13"/>
        <v>0</v>
      </c>
      <c r="G514" s="8" t="str">
        <f t="shared" si="12"/>
        <v xml:space="preserve"> 0</v>
      </c>
    </row>
    <row r="515" spans="6:7" x14ac:dyDescent="0.25">
      <c r="F515" s="21">
        <f t="shared" si="13"/>
        <v>0</v>
      </c>
      <c r="G515" s="8" t="str">
        <f t="shared" ref="G515:G543" si="14">E515&amp;" "&amp;F515</f>
        <v xml:space="preserve"> 0</v>
      </c>
    </row>
    <row r="516" spans="6:7" x14ac:dyDescent="0.25">
      <c r="F516" s="21">
        <f t="shared" si="13"/>
        <v>0</v>
      </c>
      <c r="G516" s="8" t="str">
        <f t="shared" si="14"/>
        <v xml:space="preserve"> 0</v>
      </c>
    </row>
    <row r="517" spans="6:7" x14ac:dyDescent="0.25">
      <c r="F517" s="21">
        <f t="shared" si="13"/>
        <v>0</v>
      </c>
      <c r="G517" s="8" t="str">
        <f t="shared" si="14"/>
        <v xml:space="preserve"> 0</v>
      </c>
    </row>
    <row r="518" spans="6:7" x14ac:dyDescent="0.25">
      <c r="F518" s="21">
        <f t="shared" si="13"/>
        <v>0</v>
      </c>
      <c r="G518" s="8" t="str">
        <f t="shared" si="14"/>
        <v xml:space="preserve"> 0</v>
      </c>
    </row>
    <row r="519" spans="6:7" x14ac:dyDescent="0.25">
      <c r="F519" s="21">
        <f t="shared" si="13"/>
        <v>0</v>
      </c>
      <c r="G519" s="8" t="str">
        <f t="shared" si="14"/>
        <v xml:space="preserve"> 0</v>
      </c>
    </row>
    <row r="520" spans="6:7" x14ac:dyDescent="0.25">
      <c r="F520" s="21">
        <f t="shared" si="13"/>
        <v>0</v>
      </c>
      <c r="G520" s="8" t="str">
        <f t="shared" si="14"/>
        <v xml:space="preserve"> 0</v>
      </c>
    </row>
    <row r="521" spans="6:7" x14ac:dyDescent="0.25">
      <c r="F521" s="21">
        <f t="shared" si="13"/>
        <v>0</v>
      </c>
      <c r="G521" s="8" t="str">
        <f t="shared" si="14"/>
        <v xml:space="preserve"> 0</v>
      </c>
    </row>
    <row r="522" spans="6:7" x14ac:dyDescent="0.25">
      <c r="F522" s="21">
        <f t="shared" si="13"/>
        <v>0</v>
      </c>
      <c r="G522" s="8" t="str">
        <f t="shared" si="14"/>
        <v xml:space="preserve"> 0</v>
      </c>
    </row>
    <row r="523" spans="6:7" x14ac:dyDescent="0.25">
      <c r="F523" s="21">
        <f t="shared" si="13"/>
        <v>0</v>
      </c>
      <c r="G523" s="8" t="str">
        <f t="shared" si="14"/>
        <v xml:space="preserve"> 0</v>
      </c>
    </row>
    <row r="524" spans="6:7" x14ac:dyDescent="0.25">
      <c r="F524" s="21">
        <f t="shared" si="13"/>
        <v>0</v>
      </c>
      <c r="G524" s="8" t="str">
        <f t="shared" si="14"/>
        <v xml:space="preserve"> 0</v>
      </c>
    </row>
    <row r="525" spans="6:7" x14ac:dyDescent="0.25">
      <c r="F525" s="21">
        <f t="shared" si="13"/>
        <v>0</v>
      </c>
      <c r="G525" s="8" t="str">
        <f t="shared" si="14"/>
        <v xml:space="preserve"> 0</v>
      </c>
    </row>
    <row r="526" spans="6:7" x14ac:dyDescent="0.25">
      <c r="F526" s="21">
        <f t="shared" si="13"/>
        <v>0</v>
      </c>
      <c r="G526" s="8" t="str">
        <f t="shared" si="14"/>
        <v xml:space="preserve"> 0</v>
      </c>
    </row>
    <row r="527" spans="6:7" x14ac:dyDescent="0.25">
      <c r="F527" s="21">
        <f t="shared" si="13"/>
        <v>0</v>
      </c>
      <c r="G527" s="8" t="str">
        <f t="shared" si="14"/>
        <v xml:space="preserve"> 0</v>
      </c>
    </row>
    <row r="528" spans="6:7" x14ac:dyDescent="0.25">
      <c r="F528" s="21">
        <f t="shared" si="13"/>
        <v>0</v>
      </c>
      <c r="G528" s="8" t="str">
        <f t="shared" si="14"/>
        <v xml:space="preserve"> 0</v>
      </c>
    </row>
    <row r="529" spans="6:7" x14ac:dyDescent="0.25">
      <c r="F529" s="21">
        <f t="shared" si="13"/>
        <v>0</v>
      </c>
      <c r="G529" s="8" t="str">
        <f t="shared" si="14"/>
        <v xml:space="preserve"> 0</v>
      </c>
    </row>
    <row r="530" spans="6:7" x14ac:dyDescent="0.25">
      <c r="F530" s="21">
        <f t="shared" si="13"/>
        <v>0</v>
      </c>
      <c r="G530" s="8" t="str">
        <f t="shared" si="14"/>
        <v xml:space="preserve"> 0</v>
      </c>
    </row>
    <row r="531" spans="6:7" x14ac:dyDescent="0.25">
      <c r="F531" s="21">
        <f t="shared" si="13"/>
        <v>0</v>
      </c>
      <c r="G531" s="8" t="str">
        <f t="shared" si="14"/>
        <v xml:space="preserve"> 0</v>
      </c>
    </row>
    <row r="532" spans="6:7" x14ac:dyDescent="0.25">
      <c r="F532" s="21">
        <f t="shared" si="13"/>
        <v>0</v>
      </c>
      <c r="G532" s="8" t="str">
        <f t="shared" si="14"/>
        <v xml:space="preserve"> 0</v>
      </c>
    </row>
    <row r="533" spans="6:7" x14ac:dyDescent="0.25">
      <c r="F533" s="21">
        <f t="shared" si="13"/>
        <v>0</v>
      </c>
      <c r="G533" s="8" t="str">
        <f t="shared" si="14"/>
        <v xml:space="preserve"> 0</v>
      </c>
    </row>
    <row r="534" spans="6:7" x14ac:dyDescent="0.25">
      <c r="F534" s="21">
        <f t="shared" si="13"/>
        <v>0</v>
      </c>
      <c r="G534" s="8" t="str">
        <f t="shared" si="14"/>
        <v xml:space="preserve"> 0</v>
      </c>
    </row>
    <row r="535" spans="6:7" x14ac:dyDescent="0.25">
      <c r="F535" s="21">
        <f t="shared" si="13"/>
        <v>0</v>
      </c>
      <c r="G535" s="8" t="str">
        <f t="shared" si="14"/>
        <v xml:space="preserve"> 0</v>
      </c>
    </row>
    <row r="536" spans="6:7" x14ac:dyDescent="0.25">
      <c r="F536" s="21">
        <f t="shared" si="13"/>
        <v>0</v>
      </c>
      <c r="G536" s="8" t="str">
        <f t="shared" si="14"/>
        <v xml:space="preserve"> 0</v>
      </c>
    </row>
    <row r="537" spans="6:7" x14ac:dyDescent="0.25">
      <c r="F537" s="21">
        <f t="shared" si="13"/>
        <v>0</v>
      </c>
      <c r="G537" s="8" t="str">
        <f t="shared" si="14"/>
        <v xml:space="preserve"> 0</v>
      </c>
    </row>
    <row r="538" spans="6:7" x14ac:dyDescent="0.25">
      <c r="F538" s="21">
        <f t="shared" ref="F538:F543" si="15">B538</f>
        <v>0</v>
      </c>
      <c r="G538" s="8" t="str">
        <f t="shared" si="14"/>
        <v xml:space="preserve"> 0</v>
      </c>
    </row>
    <row r="539" spans="6:7" x14ac:dyDescent="0.25">
      <c r="F539" s="21">
        <f t="shared" si="15"/>
        <v>0</v>
      </c>
      <c r="G539" s="8" t="str">
        <f t="shared" si="14"/>
        <v xml:space="preserve"> 0</v>
      </c>
    </row>
    <row r="540" spans="6:7" x14ac:dyDescent="0.25">
      <c r="F540" s="21">
        <f t="shared" si="15"/>
        <v>0</v>
      </c>
      <c r="G540" s="8" t="str">
        <f t="shared" si="14"/>
        <v xml:space="preserve"> 0</v>
      </c>
    </row>
    <row r="541" spans="6:7" x14ac:dyDescent="0.25">
      <c r="F541" s="21">
        <f t="shared" si="15"/>
        <v>0</v>
      </c>
      <c r="G541" s="8" t="str">
        <f t="shared" si="14"/>
        <v xml:space="preserve"> 0</v>
      </c>
    </row>
    <row r="542" spans="6:7" x14ac:dyDescent="0.25">
      <c r="F542" s="21">
        <f t="shared" si="15"/>
        <v>0</v>
      </c>
      <c r="G542" s="8" t="str">
        <f t="shared" si="14"/>
        <v xml:space="preserve"> 0</v>
      </c>
    </row>
    <row r="543" spans="6:7" x14ac:dyDescent="0.25">
      <c r="F543" s="21">
        <f t="shared" si="15"/>
        <v>0</v>
      </c>
      <c r="G543" s="8" t="str">
        <f t="shared" si="14"/>
        <v xml:space="preserve"> 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R33"/>
  <sheetViews>
    <sheetView workbookViewId="0">
      <selection sqref="A1:R29"/>
    </sheetView>
  </sheetViews>
  <sheetFormatPr defaultRowHeight="15" x14ac:dyDescent="0.25"/>
  <cols>
    <col min="1" max="1" width="22.5703125" style="133" customWidth="1"/>
    <col min="2" max="2" width="8.42578125" style="133" bestFit="1" customWidth="1"/>
    <col min="3" max="3" width="12.5703125" style="133" bestFit="1" customWidth="1"/>
    <col min="4" max="4" width="18.5703125" style="153" bestFit="1" customWidth="1"/>
    <col min="5" max="5" width="9.85546875" style="133" bestFit="1" customWidth="1"/>
    <col min="6" max="6" width="9" style="133" bestFit="1" customWidth="1"/>
    <col min="7" max="7" width="8.85546875" style="133" bestFit="1" customWidth="1"/>
    <col min="8" max="8" width="14" style="133" bestFit="1" customWidth="1"/>
    <col min="9" max="9" width="21.140625" style="133" bestFit="1" customWidth="1"/>
    <col min="10" max="10" width="8.7109375" style="133" bestFit="1" customWidth="1"/>
    <col min="11" max="11" width="11.28515625" style="133" bestFit="1" customWidth="1"/>
    <col min="12" max="12" width="11" style="133" bestFit="1" customWidth="1"/>
    <col min="13" max="13" width="11.28515625" style="133" bestFit="1" customWidth="1"/>
    <col min="14" max="14" width="13.7109375" style="133" bestFit="1" customWidth="1"/>
    <col min="15" max="15" width="14.85546875" style="133" bestFit="1" customWidth="1"/>
    <col min="16" max="16" width="16.7109375" style="133" bestFit="1" customWidth="1"/>
    <col min="17" max="17" width="9.42578125" style="133" bestFit="1" customWidth="1"/>
    <col min="18" max="16384" width="9.140625" style="133"/>
  </cols>
  <sheetData>
    <row r="1" spans="1:18" s="134" customFormat="1" x14ac:dyDescent="0.25">
      <c r="A1" s="164" t="s">
        <v>165</v>
      </c>
      <c r="B1" s="164" t="s">
        <v>168</v>
      </c>
      <c r="C1" s="164" t="s">
        <v>161</v>
      </c>
      <c r="D1" s="159" t="s">
        <v>173</v>
      </c>
      <c r="E1" s="164" t="s">
        <v>162</v>
      </c>
      <c r="F1" s="164" t="s">
        <v>160</v>
      </c>
      <c r="G1" s="164" t="s">
        <v>158</v>
      </c>
      <c r="H1" s="164" t="s">
        <v>395</v>
      </c>
      <c r="I1" s="164" t="s">
        <v>171</v>
      </c>
      <c r="J1" s="164" t="s">
        <v>172</v>
      </c>
      <c r="K1" s="164" t="s">
        <v>396</v>
      </c>
      <c r="L1" s="164" t="s">
        <v>166</v>
      </c>
      <c r="M1" s="164" t="s">
        <v>164</v>
      </c>
      <c r="N1" s="164" t="s">
        <v>159</v>
      </c>
      <c r="O1" s="164" t="s">
        <v>169</v>
      </c>
      <c r="P1" s="164" t="s">
        <v>163</v>
      </c>
      <c r="Q1" s="164" t="s">
        <v>170</v>
      </c>
      <c r="R1" s="164" t="s">
        <v>167</v>
      </c>
    </row>
    <row r="2" spans="1:18" x14ac:dyDescent="0.25">
      <c r="A2" s="165">
        <v>19.920000000000002</v>
      </c>
      <c r="B2" s="165">
        <v>0.45</v>
      </c>
      <c r="C2" s="165">
        <v>13.92</v>
      </c>
      <c r="D2" s="8">
        <v>42719</v>
      </c>
      <c r="E2" s="165">
        <v>0.77</v>
      </c>
      <c r="F2" s="165" t="s">
        <v>397</v>
      </c>
      <c r="G2" s="165">
        <v>275.33</v>
      </c>
      <c r="H2" s="165">
        <v>2.3E-2</v>
      </c>
      <c r="I2" s="165">
        <v>1.5E-3</v>
      </c>
      <c r="J2" s="165">
        <v>0.03</v>
      </c>
      <c r="K2" s="165" t="s">
        <v>397</v>
      </c>
      <c r="L2" s="165">
        <v>1023.67</v>
      </c>
      <c r="M2" s="165" t="s">
        <v>398</v>
      </c>
      <c r="N2" s="165">
        <v>19.920000000000002</v>
      </c>
      <c r="O2" s="165">
        <v>1481785200</v>
      </c>
      <c r="P2" s="165">
        <v>4.62</v>
      </c>
      <c r="Q2" s="165">
        <v>326</v>
      </c>
      <c r="R2" s="165">
        <v>0.53</v>
      </c>
    </row>
    <row r="3" spans="1:18" x14ac:dyDescent="0.25">
      <c r="A3" s="165">
        <v>19.78</v>
      </c>
      <c r="B3" s="165">
        <v>0.46</v>
      </c>
      <c r="C3" s="165">
        <v>13.45</v>
      </c>
      <c r="D3" s="8">
        <v>42719.041666666664</v>
      </c>
      <c r="E3" s="165">
        <v>0.76</v>
      </c>
      <c r="F3" s="165" t="s">
        <v>397</v>
      </c>
      <c r="G3" s="165">
        <v>273.67</v>
      </c>
      <c r="H3" s="165">
        <v>1.7000000000000001E-2</v>
      </c>
      <c r="I3" s="165">
        <v>1.1000000000000001E-3</v>
      </c>
      <c r="J3" s="165">
        <v>0.01</v>
      </c>
      <c r="K3" s="165" t="s">
        <v>397</v>
      </c>
      <c r="L3" s="165">
        <v>1022.25</v>
      </c>
      <c r="M3" s="165" t="s">
        <v>398</v>
      </c>
      <c r="N3" s="165">
        <v>19.78</v>
      </c>
      <c r="O3" s="165">
        <v>1481788800</v>
      </c>
      <c r="P3" s="165">
        <v>5.09</v>
      </c>
      <c r="Q3" s="165">
        <v>58</v>
      </c>
      <c r="R3" s="165">
        <v>0.48</v>
      </c>
    </row>
    <row r="4" spans="1:18" x14ac:dyDescent="0.25">
      <c r="A4" s="165">
        <v>19.010000000000002</v>
      </c>
      <c r="B4" s="165">
        <v>0.48</v>
      </c>
      <c r="C4" s="165">
        <v>12.22</v>
      </c>
      <c r="D4" s="8">
        <v>42719.083333333336</v>
      </c>
      <c r="E4" s="165">
        <v>0.74</v>
      </c>
      <c r="F4" s="165" t="s">
        <v>247</v>
      </c>
      <c r="G4" s="165">
        <v>272.01</v>
      </c>
      <c r="H4" s="165"/>
      <c r="I4" s="165">
        <v>0</v>
      </c>
      <c r="J4" s="165">
        <v>0</v>
      </c>
      <c r="K4" s="165"/>
      <c r="L4" s="165">
        <v>1020.67</v>
      </c>
      <c r="M4" s="165" t="s">
        <v>256</v>
      </c>
      <c r="N4" s="165">
        <v>19.010000000000002</v>
      </c>
      <c r="O4" s="165">
        <v>1481792400</v>
      </c>
      <c r="P4" s="165">
        <v>5.43</v>
      </c>
      <c r="Q4" s="165">
        <v>130</v>
      </c>
      <c r="R4" s="165">
        <v>1.42</v>
      </c>
    </row>
    <row r="5" spans="1:18" x14ac:dyDescent="0.25">
      <c r="A5" s="165">
        <v>18.84</v>
      </c>
      <c r="B5" s="165">
        <v>0.52</v>
      </c>
      <c r="C5" s="165">
        <v>11.8</v>
      </c>
      <c r="D5" s="8">
        <v>42719.125</v>
      </c>
      <c r="E5" s="165">
        <v>0.74</v>
      </c>
      <c r="F5" s="165" t="s">
        <v>247</v>
      </c>
      <c r="G5" s="165">
        <v>269.99</v>
      </c>
      <c r="H5" s="165"/>
      <c r="I5" s="165">
        <v>0</v>
      </c>
      <c r="J5" s="165">
        <v>0</v>
      </c>
      <c r="K5" s="165"/>
      <c r="L5" s="165">
        <v>1019.87</v>
      </c>
      <c r="M5" s="165" t="s">
        <v>256</v>
      </c>
      <c r="N5" s="165">
        <v>18.84</v>
      </c>
      <c r="O5" s="165">
        <v>1481796000</v>
      </c>
      <c r="P5" s="165">
        <v>4.83</v>
      </c>
      <c r="Q5" s="165">
        <v>231</v>
      </c>
      <c r="R5" s="165">
        <v>0.76</v>
      </c>
    </row>
    <row r="6" spans="1:18" x14ac:dyDescent="0.25">
      <c r="A6" s="165">
        <v>18.23</v>
      </c>
      <c r="B6" s="165">
        <v>0.56999999999999995</v>
      </c>
      <c r="C6" s="165">
        <v>11.63</v>
      </c>
      <c r="D6" s="8">
        <v>42719.166666666664</v>
      </c>
      <c r="E6" s="165">
        <v>0.75</v>
      </c>
      <c r="F6" s="165" t="s">
        <v>247</v>
      </c>
      <c r="G6" s="165">
        <v>267.88</v>
      </c>
      <c r="H6" s="165"/>
      <c r="I6" s="165">
        <v>0</v>
      </c>
      <c r="J6" s="165">
        <v>0</v>
      </c>
      <c r="K6" s="165"/>
      <c r="L6" s="165">
        <v>1019.31</v>
      </c>
      <c r="M6" s="165" t="s">
        <v>256</v>
      </c>
      <c r="N6" s="165">
        <v>18.23</v>
      </c>
      <c r="O6" s="165">
        <v>1481799600</v>
      </c>
      <c r="P6" s="165">
        <v>4.6900000000000004</v>
      </c>
      <c r="Q6" s="165">
        <v>305</v>
      </c>
      <c r="R6" s="165">
        <v>0.94</v>
      </c>
    </row>
    <row r="7" spans="1:18" x14ac:dyDescent="0.25">
      <c r="A7" s="165">
        <v>18.07</v>
      </c>
      <c r="B7" s="165">
        <v>0.67</v>
      </c>
      <c r="C7" s="165">
        <v>10.77</v>
      </c>
      <c r="D7" s="8">
        <v>42719.208333333336</v>
      </c>
      <c r="E7" s="165">
        <v>0.73</v>
      </c>
      <c r="F7" s="165" t="s">
        <v>247</v>
      </c>
      <c r="G7" s="165">
        <v>266.14999999999998</v>
      </c>
      <c r="H7" s="165"/>
      <c r="I7" s="165">
        <v>0</v>
      </c>
      <c r="J7" s="165">
        <v>0</v>
      </c>
      <c r="K7" s="165"/>
      <c r="L7" s="165">
        <v>1018.64</v>
      </c>
      <c r="M7" s="165" t="s">
        <v>776</v>
      </c>
      <c r="N7" s="165">
        <v>18.07</v>
      </c>
      <c r="O7" s="165">
        <v>1481803200</v>
      </c>
      <c r="P7" s="165">
        <v>6.44</v>
      </c>
      <c r="Q7" s="165">
        <v>301</v>
      </c>
      <c r="R7" s="165">
        <v>2.12</v>
      </c>
    </row>
    <row r="8" spans="1:18" x14ac:dyDescent="0.25">
      <c r="A8" s="165">
        <v>18.420000000000002</v>
      </c>
      <c r="B8" s="165">
        <v>0.69</v>
      </c>
      <c r="C8" s="165">
        <v>12.19</v>
      </c>
      <c r="D8" s="8">
        <v>42719.25</v>
      </c>
      <c r="E8" s="165">
        <v>0.76</v>
      </c>
      <c r="F8" s="165" t="s">
        <v>247</v>
      </c>
      <c r="G8" s="165">
        <v>265.11</v>
      </c>
      <c r="H8" s="165"/>
      <c r="I8" s="165">
        <v>0</v>
      </c>
      <c r="J8" s="165">
        <v>0</v>
      </c>
      <c r="K8" s="165"/>
      <c r="L8" s="165">
        <v>1017.71</v>
      </c>
      <c r="M8" s="165" t="s">
        <v>776</v>
      </c>
      <c r="N8" s="165">
        <v>18.420000000000002</v>
      </c>
      <c r="O8" s="165">
        <v>1481806800</v>
      </c>
      <c r="P8" s="165">
        <v>4.8</v>
      </c>
      <c r="Q8" s="165">
        <v>315</v>
      </c>
      <c r="R8" s="165">
        <v>2.17</v>
      </c>
    </row>
    <row r="9" spans="1:18" x14ac:dyDescent="0.25">
      <c r="A9" s="165">
        <v>18.64</v>
      </c>
      <c r="B9" s="165">
        <v>0.71</v>
      </c>
      <c r="C9" s="165">
        <v>10.06</v>
      </c>
      <c r="D9" s="8">
        <v>42719.291666666664</v>
      </c>
      <c r="E9" s="165">
        <v>0.69</v>
      </c>
      <c r="F9" s="165" t="s">
        <v>247</v>
      </c>
      <c r="G9" s="165">
        <v>264.45</v>
      </c>
      <c r="H9" s="165"/>
      <c r="I9" s="165">
        <v>0</v>
      </c>
      <c r="J9" s="165">
        <v>0</v>
      </c>
      <c r="K9" s="165"/>
      <c r="L9" s="165">
        <v>1016.56</v>
      </c>
      <c r="M9" s="165" t="s">
        <v>776</v>
      </c>
      <c r="N9" s="165">
        <v>18.64</v>
      </c>
      <c r="O9" s="165">
        <v>1481810400</v>
      </c>
      <c r="P9" s="165">
        <v>4.04</v>
      </c>
      <c r="Q9" s="165">
        <v>308</v>
      </c>
      <c r="R9" s="165">
        <v>2.04</v>
      </c>
    </row>
    <row r="10" spans="1:18" x14ac:dyDescent="0.25">
      <c r="A10" s="165">
        <v>20.399999999999999</v>
      </c>
      <c r="B10" s="165">
        <v>0.71</v>
      </c>
      <c r="C10" s="165">
        <v>11.6</v>
      </c>
      <c r="D10" s="8">
        <v>42719.333333333336</v>
      </c>
      <c r="E10" s="165">
        <v>0.68</v>
      </c>
      <c r="F10" s="165" t="s">
        <v>248</v>
      </c>
      <c r="G10" s="165">
        <v>263.75</v>
      </c>
      <c r="H10" s="165"/>
      <c r="I10" s="165">
        <v>0</v>
      </c>
      <c r="J10" s="165">
        <v>0</v>
      </c>
      <c r="K10" s="165"/>
      <c r="L10" s="165">
        <v>1015.06</v>
      </c>
      <c r="M10" s="165" t="s">
        <v>776</v>
      </c>
      <c r="N10" s="165">
        <v>20.399999999999999</v>
      </c>
      <c r="O10" s="165">
        <v>1481814000</v>
      </c>
      <c r="P10" s="165">
        <v>3.67</v>
      </c>
      <c r="Q10" s="165">
        <v>310</v>
      </c>
      <c r="R10" s="165">
        <v>1.68</v>
      </c>
    </row>
    <row r="11" spans="1:18" x14ac:dyDescent="0.25">
      <c r="A11" s="165">
        <v>23.67</v>
      </c>
      <c r="B11" s="165">
        <v>0.68</v>
      </c>
      <c r="C11" s="165">
        <v>12.35</v>
      </c>
      <c r="D11" s="8">
        <v>42719.375</v>
      </c>
      <c r="E11" s="165">
        <v>0.61</v>
      </c>
      <c r="F11" s="165" t="s">
        <v>248</v>
      </c>
      <c r="G11" s="165">
        <v>262.95</v>
      </c>
      <c r="H11" s="165"/>
      <c r="I11" s="165">
        <v>0</v>
      </c>
      <c r="J11" s="165">
        <v>0</v>
      </c>
      <c r="K11" s="165"/>
      <c r="L11" s="165">
        <v>1013.11</v>
      </c>
      <c r="M11" s="165" t="s">
        <v>776</v>
      </c>
      <c r="N11" s="165">
        <v>23.67</v>
      </c>
      <c r="O11" s="165">
        <v>1481817600</v>
      </c>
      <c r="P11" s="165">
        <v>3.59</v>
      </c>
      <c r="Q11" s="165">
        <v>304</v>
      </c>
      <c r="R11" s="165">
        <v>1.24</v>
      </c>
    </row>
    <row r="12" spans="1:18" x14ac:dyDescent="0.25">
      <c r="A12" s="165">
        <v>29.55</v>
      </c>
      <c r="B12" s="165">
        <v>0.67</v>
      </c>
      <c r="C12" s="165">
        <v>13.68</v>
      </c>
      <c r="D12" s="8">
        <v>42719.416666666664</v>
      </c>
      <c r="E12" s="165">
        <v>0.51</v>
      </c>
      <c r="F12" s="165" t="s">
        <v>248</v>
      </c>
      <c r="G12" s="165">
        <v>262.10000000000002</v>
      </c>
      <c r="H12" s="165"/>
      <c r="I12" s="165">
        <v>0</v>
      </c>
      <c r="J12" s="165">
        <v>0</v>
      </c>
      <c r="K12" s="165"/>
      <c r="L12" s="165">
        <v>1010.92</v>
      </c>
      <c r="M12" s="165" t="s">
        <v>776</v>
      </c>
      <c r="N12" s="165">
        <v>29.55</v>
      </c>
      <c r="O12" s="165">
        <v>1481821200</v>
      </c>
      <c r="P12" s="165">
        <v>3.58</v>
      </c>
      <c r="Q12" s="165">
        <v>257</v>
      </c>
      <c r="R12" s="165">
        <v>1.34</v>
      </c>
    </row>
    <row r="13" spans="1:18" x14ac:dyDescent="0.25">
      <c r="A13" s="165">
        <v>32.9</v>
      </c>
      <c r="B13" s="165">
        <v>0.65</v>
      </c>
      <c r="C13" s="165">
        <v>11.94</v>
      </c>
      <c r="D13" s="8">
        <v>42719.458333333336</v>
      </c>
      <c r="E13" s="165">
        <v>0.41</v>
      </c>
      <c r="F13" s="165" t="s">
        <v>248</v>
      </c>
      <c r="G13" s="165">
        <v>260.91000000000003</v>
      </c>
      <c r="H13" s="165"/>
      <c r="I13" s="165">
        <v>0</v>
      </c>
      <c r="J13" s="165">
        <v>0</v>
      </c>
      <c r="K13" s="165"/>
      <c r="L13" s="165">
        <v>1008.98</v>
      </c>
      <c r="M13" s="165" t="s">
        <v>776</v>
      </c>
      <c r="N13" s="165">
        <v>32.9</v>
      </c>
      <c r="O13" s="165">
        <v>1481824800</v>
      </c>
      <c r="P13" s="165">
        <v>10</v>
      </c>
      <c r="Q13" s="165">
        <v>259</v>
      </c>
      <c r="R13" s="165">
        <v>1.49</v>
      </c>
    </row>
    <row r="14" spans="1:18" x14ac:dyDescent="0.25">
      <c r="A14" s="165">
        <v>39.97</v>
      </c>
      <c r="B14" s="165">
        <v>0.64</v>
      </c>
      <c r="C14" s="165">
        <v>13.72</v>
      </c>
      <c r="D14" s="8">
        <v>42719.5</v>
      </c>
      <c r="E14" s="165">
        <v>0.34</v>
      </c>
      <c r="F14" s="165" t="s">
        <v>248</v>
      </c>
      <c r="G14" s="165">
        <v>259.20999999999998</v>
      </c>
      <c r="H14" s="165"/>
      <c r="I14" s="165">
        <v>0</v>
      </c>
      <c r="J14" s="165">
        <v>0</v>
      </c>
      <c r="K14" s="165"/>
      <c r="L14" s="165">
        <v>1007.32</v>
      </c>
      <c r="M14" s="165" t="s">
        <v>776</v>
      </c>
      <c r="N14" s="165">
        <v>39.97</v>
      </c>
      <c r="O14" s="165">
        <v>1481828400</v>
      </c>
      <c r="P14" s="165">
        <v>3.57</v>
      </c>
      <c r="Q14" s="165">
        <v>334</v>
      </c>
      <c r="R14" s="165">
        <v>1.08</v>
      </c>
    </row>
    <row r="15" spans="1:18" x14ac:dyDescent="0.25">
      <c r="A15" s="165">
        <v>46.34</v>
      </c>
      <c r="B15" s="165">
        <v>0.63</v>
      </c>
      <c r="C15" s="165">
        <v>17.03</v>
      </c>
      <c r="D15" s="8">
        <v>42719.541666666664</v>
      </c>
      <c r="E15" s="165">
        <v>0.3</v>
      </c>
      <c r="F15" s="165" t="s">
        <v>248</v>
      </c>
      <c r="G15" s="165">
        <v>257.17</v>
      </c>
      <c r="H15" s="165"/>
      <c r="I15" s="165">
        <v>0</v>
      </c>
      <c r="J15" s="165">
        <v>0</v>
      </c>
      <c r="K15" s="165"/>
      <c r="L15" s="165">
        <v>1005.96</v>
      </c>
      <c r="M15" s="165" t="s">
        <v>776</v>
      </c>
      <c r="N15" s="165">
        <v>47.19</v>
      </c>
      <c r="O15" s="165">
        <v>1481832000</v>
      </c>
      <c r="P15" s="165">
        <v>3.57</v>
      </c>
      <c r="Q15" s="165">
        <v>315</v>
      </c>
      <c r="R15" s="165">
        <v>3.17</v>
      </c>
    </row>
    <row r="16" spans="1:18" x14ac:dyDescent="0.25">
      <c r="A16" s="165">
        <v>53.39</v>
      </c>
      <c r="B16" s="165">
        <v>0.46</v>
      </c>
      <c r="C16" s="165">
        <v>21.16</v>
      </c>
      <c r="D16" s="8">
        <v>42719.583333333336</v>
      </c>
      <c r="E16" s="165">
        <v>0.28000000000000003</v>
      </c>
      <c r="F16" s="165" t="s">
        <v>248</v>
      </c>
      <c r="G16" s="165">
        <v>254.95</v>
      </c>
      <c r="H16" s="165"/>
      <c r="I16" s="165">
        <v>0</v>
      </c>
      <c r="J16" s="165">
        <v>0</v>
      </c>
      <c r="K16" s="165"/>
      <c r="L16" s="165">
        <v>1005.12</v>
      </c>
      <c r="M16" s="165" t="s">
        <v>256</v>
      </c>
      <c r="N16" s="165">
        <v>53.39</v>
      </c>
      <c r="O16" s="165">
        <v>1481835600</v>
      </c>
      <c r="P16" s="165">
        <v>4.78</v>
      </c>
      <c r="Q16" s="165">
        <v>320</v>
      </c>
      <c r="R16" s="165">
        <v>2.37</v>
      </c>
    </row>
    <row r="17" spans="1:18" x14ac:dyDescent="0.25">
      <c r="A17" s="165">
        <v>54.69</v>
      </c>
      <c r="B17" s="165">
        <v>0.55000000000000004</v>
      </c>
      <c r="C17" s="165">
        <v>22.26</v>
      </c>
      <c r="D17" s="8">
        <v>42719.625</v>
      </c>
      <c r="E17" s="165">
        <v>0.28000000000000003</v>
      </c>
      <c r="F17" s="165" t="s">
        <v>248</v>
      </c>
      <c r="G17" s="165">
        <v>252.34</v>
      </c>
      <c r="H17" s="165"/>
      <c r="I17" s="165">
        <v>0</v>
      </c>
      <c r="J17" s="165">
        <v>0</v>
      </c>
      <c r="K17" s="165"/>
      <c r="L17" s="165">
        <v>1004.53</v>
      </c>
      <c r="M17" s="165" t="s">
        <v>256</v>
      </c>
      <c r="N17" s="165">
        <v>54.69</v>
      </c>
      <c r="O17" s="165">
        <v>1481839200</v>
      </c>
      <c r="P17" s="165">
        <v>4.88</v>
      </c>
      <c r="Q17" s="165">
        <v>301</v>
      </c>
      <c r="R17" s="165">
        <v>3.77</v>
      </c>
    </row>
    <row r="18" spans="1:18" x14ac:dyDescent="0.25">
      <c r="A18" s="165">
        <v>52.26</v>
      </c>
      <c r="B18" s="165">
        <v>0.65</v>
      </c>
      <c r="C18" s="165">
        <v>21.35</v>
      </c>
      <c r="D18" s="8">
        <v>42719.666666666664</v>
      </c>
      <c r="E18" s="165">
        <v>0.28999999999999998</v>
      </c>
      <c r="F18" s="165" t="s">
        <v>248</v>
      </c>
      <c r="G18" s="165">
        <v>249.54</v>
      </c>
      <c r="H18" s="165"/>
      <c r="I18" s="165">
        <v>0</v>
      </c>
      <c r="J18" s="165">
        <v>0</v>
      </c>
      <c r="K18" s="165"/>
      <c r="L18" s="165">
        <v>1004.36</v>
      </c>
      <c r="M18" s="165" t="s">
        <v>776</v>
      </c>
      <c r="N18" s="165">
        <v>52.26</v>
      </c>
      <c r="O18" s="165">
        <v>1481842800</v>
      </c>
      <c r="P18" s="165">
        <v>5.19</v>
      </c>
      <c r="Q18" s="165">
        <v>287</v>
      </c>
      <c r="R18" s="165">
        <v>5.82</v>
      </c>
    </row>
    <row r="19" spans="1:18" x14ac:dyDescent="0.25">
      <c r="A19" s="165">
        <v>50.68</v>
      </c>
      <c r="B19" s="165">
        <v>0.69</v>
      </c>
      <c r="C19" s="165">
        <v>21.35</v>
      </c>
      <c r="D19" s="8">
        <v>42719.708333333336</v>
      </c>
      <c r="E19" s="165">
        <v>0.31</v>
      </c>
      <c r="F19" s="165" t="s">
        <v>247</v>
      </c>
      <c r="G19" s="165">
        <v>247.45</v>
      </c>
      <c r="H19" s="165"/>
      <c r="I19" s="165">
        <v>0</v>
      </c>
      <c r="J19" s="165">
        <v>0</v>
      </c>
      <c r="K19" s="165"/>
      <c r="L19" s="165">
        <v>1004.35</v>
      </c>
      <c r="M19" s="165" t="s">
        <v>776</v>
      </c>
      <c r="N19" s="165">
        <v>50.68</v>
      </c>
      <c r="O19" s="165">
        <v>1481846400</v>
      </c>
      <c r="P19" s="165">
        <v>5.7</v>
      </c>
      <c r="Q19" s="165">
        <v>263</v>
      </c>
      <c r="R19" s="165">
        <v>5.0599999999999996</v>
      </c>
    </row>
    <row r="20" spans="1:18" x14ac:dyDescent="0.25">
      <c r="A20" s="165">
        <v>54.52</v>
      </c>
      <c r="B20" s="165">
        <v>0.59</v>
      </c>
      <c r="C20" s="165">
        <v>25.97</v>
      </c>
      <c r="D20" s="8">
        <v>42719.75</v>
      </c>
      <c r="E20" s="165">
        <v>0.33</v>
      </c>
      <c r="F20" s="165" t="s">
        <v>247</v>
      </c>
      <c r="G20" s="165">
        <v>246.74</v>
      </c>
      <c r="H20" s="165"/>
      <c r="I20" s="165">
        <v>0</v>
      </c>
      <c r="J20" s="165">
        <v>0</v>
      </c>
      <c r="K20" s="165"/>
      <c r="L20" s="165">
        <v>1003.7</v>
      </c>
      <c r="M20" s="165" t="s">
        <v>256</v>
      </c>
      <c r="N20" s="165">
        <v>54.52</v>
      </c>
      <c r="O20" s="165">
        <v>1481850000</v>
      </c>
      <c r="P20" s="165">
        <v>6.3</v>
      </c>
      <c r="Q20" s="165">
        <v>263</v>
      </c>
      <c r="R20" s="165">
        <v>2.4300000000000002</v>
      </c>
    </row>
    <row r="21" spans="1:18" x14ac:dyDescent="0.25">
      <c r="A21" s="165">
        <v>51.88</v>
      </c>
      <c r="B21" s="165">
        <v>0.39</v>
      </c>
      <c r="C21" s="165">
        <v>26.61</v>
      </c>
      <c r="D21" s="8">
        <v>42719.791666666664</v>
      </c>
      <c r="E21" s="165">
        <v>0.37</v>
      </c>
      <c r="F21" s="165" t="s">
        <v>247</v>
      </c>
      <c r="G21" s="165">
        <v>246.72</v>
      </c>
      <c r="H21" s="165"/>
      <c r="I21" s="165">
        <v>0</v>
      </c>
      <c r="J21" s="165">
        <v>0</v>
      </c>
      <c r="K21" s="165"/>
      <c r="L21" s="165">
        <v>1003.77</v>
      </c>
      <c r="M21" s="165" t="s">
        <v>256</v>
      </c>
      <c r="N21" s="165">
        <v>51.88</v>
      </c>
      <c r="O21" s="165">
        <v>1481853600</v>
      </c>
      <c r="P21" s="165">
        <v>7.6</v>
      </c>
      <c r="Q21" s="165">
        <v>265</v>
      </c>
      <c r="R21" s="165">
        <v>1.81</v>
      </c>
    </row>
    <row r="22" spans="1:18" x14ac:dyDescent="0.25">
      <c r="A22" s="165">
        <v>51.62</v>
      </c>
      <c r="B22" s="165">
        <v>0.31</v>
      </c>
      <c r="C22" s="165">
        <v>28.82</v>
      </c>
      <c r="D22" s="8">
        <v>42719.833333333336</v>
      </c>
      <c r="E22" s="165">
        <v>0.41</v>
      </c>
      <c r="F22" s="165" t="s">
        <v>247</v>
      </c>
      <c r="G22" s="165">
        <v>246.26</v>
      </c>
      <c r="H22" s="165"/>
      <c r="I22" s="165">
        <v>0</v>
      </c>
      <c r="J22" s="165">
        <v>0</v>
      </c>
      <c r="K22" s="165"/>
      <c r="L22" s="165">
        <v>1003.8</v>
      </c>
      <c r="M22" s="165" t="s">
        <v>256</v>
      </c>
      <c r="N22" s="165">
        <v>51.62</v>
      </c>
      <c r="O22" s="165">
        <v>1481857200</v>
      </c>
      <c r="P22" s="165">
        <v>6.59</v>
      </c>
      <c r="Q22" s="165">
        <v>238</v>
      </c>
      <c r="R22" s="165">
        <v>2.41</v>
      </c>
    </row>
    <row r="23" spans="1:18" x14ac:dyDescent="0.25">
      <c r="A23" s="165">
        <v>50.47</v>
      </c>
      <c r="B23" s="165">
        <v>0.47</v>
      </c>
      <c r="C23" s="165">
        <v>28.9</v>
      </c>
      <c r="D23" s="8">
        <v>42719.875</v>
      </c>
      <c r="E23" s="165">
        <v>0.43</v>
      </c>
      <c r="F23" s="165" t="s">
        <v>247</v>
      </c>
      <c r="G23" s="165">
        <v>244.72</v>
      </c>
      <c r="H23" s="165"/>
      <c r="I23" s="165">
        <v>0</v>
      </c>
      <c r="J23" s="165">
        <v>0</v>
      </c>
      <c r="K23" s="165"/>
      <c r="L23" s="165">
        <v>1002.81</v>
      </c>
      <c r="M23" s="165" t="s">
        <v>256</v>
      </c>
      <c r="N23" s="165">
        <v>50.47</v>
      </c>
      <c r="O23" s="165">
        <v>1481860800</v>
      </c>
      <c r="P23" s="165">
        <v>5.68</v>
      </c>
      <c r="Q23" s="165">
        <v>222</v>
      </c>
      <c r="R23" s="165">
        <v>3.17</v>
      </c>
    </row>
    <row r="24" spans="1:18" x14ac:dyDescent="0.25">
      <c r="A24" s="165">
        <v>48.32</v>
      </c>
      <c r="B24" s="165">
        <v>0.65</v>
      </c>
      <c r="C24" s="165">
        <v>27.68</v>
      </c>
      <c r="D24" s="8">
        <v>42719.916666666664</v>
      </c>
      <c r="E24" s="165">
        <v>0.43</v>
      </c>
      <c r="F24" s="165" t="s">
        <v>247</v>
      </c>
      <c r="G24" s="165">
        <v>242.74</v>
      </c>
      <c r="H24" s="165"/>
      <c r="I24" s="165">
        <v>0</v>
      </c>
      <c r="J24" s="165">
        <v>0</v>
      </c>
      <c r="K24" s="165"/>
      <c r="L24" s="165">
        <v>1001.28</v>
      </c>
      <c r="M24" s="165" t="s">
        <v>776</v>
      </c>
      <c r="N24" s="165">
        <v>48.95</v>
      </c>
      <c r="O24" s="165">
        <v>1481864400</v>
      </c>
      <c r="P24" s="165">
        <v>5.82</v>
      </c>
      <c r="Q24" s="165">
        <v>243</v>
      </c>
      <c r="R24" s="165">
        <v>3.19</v>
      </c>
    </row>
    <row r="25" spans="1:18" x14ac:dyDescent="0.25">
      <c r="A25" s="165">
        <v>47.93</v>
      </c>
      <c r="B25" s="165">
        <v>0.77</v>
      </c>
      <c r="C25" s="165">
        <v>27.2</v>
      </c>
      <c r="D25" s="8">
        <v>42719.958333333336</v>
      </c>
      <c r="E25" s="165">
        <v>0.44</v>
      </c>
      <c r="F25" s="165" t="s">
        <v>247</v>
      </c>
      <c r="G25" s="165">
        <v>241.06</v>
      </c>
      <c r="H25" s="165"/>
      <c r="I25" s="165">
        <v>0</v>
      </c>
      <c r="J25" s="165">
        <v>0</v>
      </c>
      <c r="K25" s="165"/>
      <c r="L25" s="165">
        <v>1000.19</v>
      </c>
      <c r="M25" s="165" t="s">
        <v>776</v>
      </c>
      <c r="N25" s="165">
        <v>47.93</v>
      </c>
      <c r="O25" s="165">
        <v>1481868000</v>
      </c>
      <c r="P25" s="165">
        <v>6.41</v>
      </c>
      <c r="Q25" s="165">
        <v>286</v>
      </c>
      <c r="R25" s="165">
        <v>2.35</v>
      </c>
    </row>
    <row r="26" spans="1:18" x14ac:dyDescent="0.25">
      <c r="A26" s="165">
        <v>45.71</v>
      </c>
      <c r="B26" s="165">
        <v>0.78</v>
      </c>
      <c r="C26" s="165">
        <v>25.61</v>
      </c>
      <c r="D26" s="8">
        <v>42720</v>
      </c>
      <c r="E26" s="165">
        <v>0.45</v>
      </c>
      <c r="F26" s="165" t="s">
        <v>247</v>
      </c>
      <c r="G26" s="165">
        <v>240.25</v>
      </c>
      <c r="H26" s="165"/>
      <c r="I26" s="165">
        <v>0</v>
      </c>
      <c r="J26" s="165">
        <v>0</v>
      </c>
      <c r="K26" s="165"/>
      <c r="L26" s="165">
        <v>1000.43</v>
      </c>
      <c r="M26" s="165" t="s">
        <v>776</v>
      </c>
      <c r="N26" s="165">
        <v>45.71</v>
      </c>
      <c r="O26" s="165">
        <v>1481871600</v>
      </c>
      <c r="P26" s="165">
        <v>10</v>
      </c>
      <c r="Q26" s="165">
        <v>304</v>
      </c>
      <c r="R26" s="165">
        <v>2.4300000000000002</v>
      </c>
    </row>
    <row r="27" spans="1:18" x14ac:dyDescent="0.25">
      <c r="A27" s="165">
        <v>45.5</v>
      </c>
      <c r="B27" s="165">
        <v>0.79</v>
      </c>
      <c r="C27" s="165">
        <v>26.19</v>
      </c>
      <c r="D27" s="8">
        <v>42720.041666666664</v>
      </c>
      <c r="E27" s="165">
        <v>0.46</v>
      </c>
      <c r="F27" s="165" t="s">
        <v>247</v>
      </c>
      <c r="G27" s="165">
        <v>239.43</v>
      </c>
      <c r="H27" s="165"/>
      <c r="I27" s="165">
        <v>0</v>
      </c>
      <c r="J27" s="165">
        <v>0</v>
      </c>
      <c r="K27" s="165"/>
      <c r="L27" s="165">
        <v>1000.54</v>
      </c>
      <c r="M27" s="165" t="s">
        <v>776</v>
      </c>
      <c r="N27" s="165">
        <v>45.5</v>
      </c>
      <c r="O27" s="165">
        <v>1481875200</v>
      </c>
      <c r="P27" s="165">
        <v>10</v>
      </c>
      <c r="Q27" s="165">
        <v>206</v>
      </c>
      <c r="R27" s="165">
        <v>1.57</v>
      </c>
    </row>
    <row r="28" spans="1:18" x14ac:dyDescent="0.25">
      <c r="A28" s="165">
        <v>43.77</v>
      </c>
      <c r="B28" s="165">
        <v>0.79</v>
      </c>
      <c r="C28" s="165">
        <v>28.08</v>
      </c>
      <c r="D28" s="8">
        <v>42720.083333333336</v>
      </c>
      <c r="E28" s="165">
        <v>0.54</v>
      </c>
      <c r="F28" s="165" t="s">
        <v>247</v>
      </c>
      <c r="G28" s="165">
        <v>238.61</v>
      </c>
      <c r="H28" s="165"/>
      <c r="I28" s="165">
        <v>0</v>
      </c>
      <c r="J28" s="165">
        <v>0</v>
      </c>
      <c r="K28" s="165"/>
      <c r="L28" s="165">
        <v>1000.63</v>
      </c>
      <c r="M28" s="165" t="s">
        <v>776</v>
      </c>
      <c r="N28" s="165">
        <v>43.77</v>
      </c>
      <c r="O28" s="165">
        <v>1481878800</v>
      </c>
      <c r="P28" s="165">
        <v>4.32</v>
      </c>
      <c r="Q28" s="165">
        <v>209</v>
      </c>
      <c r="R28" s="165">
        <v>1.31</v>
      </c>
    </row>
    <row r="29" spans="1:18" x14ac:dyDescent="0.25">
      <c r="A29" s="165">
        <v>39.21</v>
      </c>
      <c r="B29" s="165">
        <v>0.88</v>
      </c>
      <c r="C29" s="165">
        <v>27.24</v>
      </c>
      <c r="D29" s="8">
        <v>42720.125</v>
      </c>
      <c r="E29" s="165">
        <v>0.56000000000000005</v>
      </c>
      <c r="F29" s="165" t="s">
        <v>247</v>
      </c>
      <c r="G29" s="165">
        <v>238.06</v>
      </c>
      <c r="H29" s="165"/>
      <c r="I29" s="165">
        <v>0</v>
      </c>
      <c r="J29" s="165">
        <v>0</v>
      </c>
      <c r="K29" s="165"/>
      <c r="L29" s="165">
        <v>1000.27</v>
      </c>
      <c r="M29" s="165" t="s">
        <v>776</v>
      </c>
      <c r="N29" s="165">
        <v>41.73</v>
      </c>
      <c r="O29" s="165">
        <v>1481882400</v>
      </c>
      <c r="P29" s="165">
        <v>6.64</v>
      </c>
      <c r="Q29" s="165">
        <v>195</v>
      </c>
      <c r="R29" s="165">
        <v>4.12</v>
      </c>
    </row>
    <row r="30" spans="1:18" x14ac:dyDescent="0.25">
      <c r="A30"/>
      <c r="B30"/>
      <c r="C30"/>
      <c r="D30" s="8"/>
      <c r="E30"/>
      <c r="F30"/>
      <c r="G30"/>
      <c r="H30"/>
      <c r="I30"/>
      <c r="J30"/>
      <c r="K30"/>
      <c r="L30"/>
      <c r="M30"/>
      <c r="N30"/>
      <c r="O30"/>
      <c r="P30"/>
    </row>
    <row r="31" spans="1:18" x14ac:dyDescent="0.25">
      <c r="A31" s="133" t="s">
        <v>203</v>
      </c>
    </row>
    <row r="33" spans="1:1" x14ac:dyDescent="0.25">
      <c r="A33" s="133" t="s">
        <v>187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2"/>
  <sheetViews>
    <sheetView workbookViewId="0">
      <selection activeCell="C15" sqref="C15"/>
    </sheetView>
  </sheetViews>
  <sheetFormatPr defaultRowHeight="15" x14ac:dyDescent="0.25"/>
  <cols>
    <col min="1" max="1" width="32.140625" customWidth="1"/>
    <col min="3" max="3" width="24" customWidth="1"/>
    <col min="4" max="4" width="19.140625" style="69" customWidth="1"/>
    <col min="10" max="10" width="24.28515625" bestFit="1" customWidth="1"/>
    <col min="11" max="11" width="15.28515625" hidden="1" customWidth="1"/>
    <col min="12" max="12" width="13.5703125" hidden="1" customWidth="1"/>
    <col min="13" max="13" width="9" style="165" bestFit="1" customWidth="1"/>
    <col min="16" max="16" width="9.140625" style="165"/>
  </cols>
  <sheetData>
    <row r="1" spans="1:16" ht="45.75" x14ac:dyDescent="0.3">
      <c r="A1" s="11" t="s">
        <v>25</v>
      </c>
      <c r="C1" s="142" t="s">
        <v>99</v>
      </c>
      <c r="D1" s="143" t="s">
        <v>100</v>
      </c>
      <c r="J1" s="32" t="s">
        <v>101</v>
      </c>
      <c r="K1" s="32" t="s">
        <v>66</v>
      </c>
      <c r="L1" s="32" t="s">
        <v>67</v>
      </c>
      <c r="O1" s="70" t="s">
        <v>102</v>
      </c>
    </row>
    <row r="2" spans="1:16" ht="15.75" thickBot="1" x14ac:dyDescent="0.3">
      <c r="A2" s="12">
        <v>42719</v>
      </c>
      <c r="B2" s="4"/>
      <c r="C2" s="144">
        <v>50</v>
      </c>
      <c r="D2" s="145">
        <v>25</v>
      </c>
      <c r="F2" t="s">
        <v>114</v>
      </c>
      <c r="J2" s="32"/>
      <c r="K2" s="32" t="s">
        <v>66</v>
      </c>
      <c r="L2" s="32" t="s">
        <v>67</v>
      </c>
    </row>
    <row r="3" spans="1:16" x14ac:dyDescent="0.25">
      <c r="C3" s="69"/>
      <c r="F3" t="s">
        <v>52</v>
      </c>
      <c r="J3" s="33" t="s">
        <v>68</v>
      </c>
      <c r="K3" s="34">
        <v>2.7052</v>
      </c>
      <c r="L3" s="34">
        <v>2.7349999999999999</v>
      </c>
      <c r="M3" s="165">
        <f t="shared" ref="M3:M14" si="0">AVERAGE(K3:L3)</f>
        <v>2.7201</v>
      </c>
      <c r="O3" t="s">
        <v>103</v>
      </c>
      <c r="P3" s="165">
        <f>AVERAGE(1.0714,1.1016)</f>
        <v>1.0865</v>
      </c>
    </row>
    <row r="4" spans="1:16" ht="45" x14ac:dyDescent="0.25">
      <c r="C4" s="142" t="s">
        <v>99</v>
      </c>
      <c r="D4" s="143" t="s">
        <v>100</v>
      </c>
      <c r="F4" t="s">
        <v>53</v>
      </c>
      <c r="J4" s="33" t="s">
        <v>69</v>
      </c>
      <c r="K4" s="34">
        <v>3.0830000000000002</v>
      </c>
      <c r="L4" s="34">
        <v>3.097</v>
      </c>
      <c r="M4" s="165">
        <f t="shared" si="0"/>
        <v>3.09</v>
      </c>
    </row>
    <row r="5" spans="1:16" x14ac:dyDescent="0.25">
      <c r="C5" s="69">
        <v>30</v>
      </c>
      <c r="D5" s="69">
        <v>9</v>
      </c>
      <c r="J5" s="33" t="s">
        <v>70</v>
      </c>
      <c r="K5" s="34">
        <v>3.3136000000000001</v>
      </c>
      <c r="L5" s="34">
        <v>3.3256999999999999</v>
      </c>
      <c r="M5" s="165">
        <f t="shared" si="0"/>
        <v>3.3196500000000002</v>
      </c>
    </row>
    <row r="6" spans="1:16" x14ac:dyDescent="0.25">
      <c r="C6" s="69"/>
      <c r="F6" t="s">
        <v>115</v>
      </c>
      <c r="J6" s="33" t="s">
        <v>71</v>
      </c>
      <c r="K6" s="34">
        <v>4.2778999999999998</v>
      </c>
      <c r="L6" s="34">
        <v>4.2961</v>
      </c>
      <c r="M6" s="165">
        <f t="shared" si="0"/>
        <v>4.2869999999999999</v>
      </c>
    </row>
    <row r="7" spans="1:16" x14ac:dyDescent="0.25">
      <c r="C7" s="69"/>
      <c r="F7" t="s">
        <v>116</v>
      </c>
      <c r="J7" s="33" t="s">
        <v>72</v>
      </c>
      <c r="K7" s="34">
        <v>4.7865000000000002</v>
      </c>
      <c r="L7" s="34">
        <v>4.8048000000000002</v>
      </c>
      <c r="M7" s="165">
        <f t="shared" si="0"/>
        <v>4.7956500000000002</v>
      </c>
    </row>
    <row r="8" spans="1:16" x14ac:dyDescent="0.25">
      <c r="C8" s="69"/>
      <c r="F8" t="s">
        <v>117</v>
      </c>
      <c r="J8" s="33" t="s">
        <v>73</v>
      </c>
      <c r="K8" s="34">
        <v>5.3155000000000001</v>
      </c>
      <c r="L8" s="34">
        <v>5.3277000000000001</v>
      </c>
      <c r="M8" s="165">
        <f t="shared" si="0"/>
        <v>5.3216000000000001</v>
      </c>
    </row>
    <row r="9" spans="1:16" x14ac:dyDescent="0.25">
      <c r="C9" s="69"/>
      <c r="J9" s="33" t="s">
        <v>74</v>
      </c>
      <c r="K9" s="34">
        <v>5.8117000000000001</v>
      </c>
      <c r="L9" s="34">
        <v>5.8300999999999998</v>
      </c>
      <c r="M9" s="165">
        <f t="shared" si="0"/>
        <v>5.8209</v>
      </c>
    </row>
    <row r="10" spans="1:16" x14ac:dyDescent="0.25">
      <c r="C10" s="69"/>
      <c r="J10" s="33" t="s">
        <v>75</v>
      </c>
      <c r="K10" s="34">
        <v>5.8783000000000003</v>
      </c>
      <c r="L10" s="34">
        <v>5.8903999999999996</v>
      </c>
      <c r="M10" s="165">
        <f t="shared" si="0"/>
        <v>5.8843499999999995</v>
      </c>
    </row>
    <row r="11" spans="1:16" x14ac:dyDescent="0.25">
      <c r="C11" s="69"/>
      <c r="J11" s="33" t="s">
        <v>76</v>
      </c>
      <c r="K11" s="34">
        <v>6.3068</v>
      </c>
      <c r="L11" s="34">
        <v>6.3308999999999997</v>
      </c>
      <c r="M11" s="165">
        <f t="shared" si="0"/>
        <v>6.3188499999999994</v>
      </c>
    </row>
    <row r="12" spans="1:16" x14ac:dyDescent="0.25">
      <c r="C12" s="69"/>
      <c r="J12" s="33" t="s">
        <v>77</v>
      </c>
      <c r="K12" s="34">
        <v>7.8349000000000002</v>
      </c>
      <c r="L12" s="34">
        <v>7.8468999999999998</v>
      </c>
      <c r="M12" s="165">
        <f t="shared" si="0"/>
        <v>7.8408999999999995</v>
      </c>
    </row>
    <row r="13" spans="1:16" x14ac:dyDescent="0.25">
      <c r="C13" s="69"/>
      <c r="J13" s="33" t="s">
        <v>78</v>
      </c>
      <c r="K13" s="34">
        <v>10.373799999999999</v>
      </c>
      <c r="L13" s="34">
        <v>10.38</v>
      </c>
      <c r="M13" s="165">
        <f t="shared" si="0"/>
        <v>10.376899999999999</v>
      </c>
    </row>
    <row r="14" spans="1:16" x14ac:dyDescent="0.25">
      <c r="C14" s="69"/>
      <c r="J14" s="33" t="s">
        <v>79</v>
      </c>
      <c r="K14" s="34">
        <v>10.8954</v>
      </c>
      <c r="L14" s="34">
        <v>10.913500000000001</v>
      </c>
      <c r="M14" s="165">
        <f t="shared" si="0"/>
        <v>10.904450000000001</v>
      </c>
    </row>
    <row r="15" spans="1:16" x14ac:dyDescent="0.25">
      <c r="C15" s="69"/>
      <c r="J15" s="33"/>
      <c r="K15" s="34"/>
      <c r="L15" s="34"/>
    </row>
    <row r="16" spans="1:16" x14ac:dyDescent="0.25">
      <c r="C16" s="69"/>
      <c r="J16" s="33"/>
      <c r="K16" s="34"/>
      <c r="L16" s="34"/>
    </row>
    <row r="17" spans="3:13" x14ac:dyDescent="0.25">
      <c r="C17" s="160" t="s">
        <v>204</v>
      </c>
      <c r="J17" s="33"/>
      <c r="K17" s="34"/>
      <c r="L17" s="34"/>
    </row>
    <row r="18" spans="3:13" x14ac:dyDescent="0.25">
      <c r="C18" t="s">
        <v>947</v>
      </c>
      <c r="J18" s="33" t="s">
        <v>85</v>
      </c>
      <c r="K18" s="34"/>
      <c r="L18" s="34"/>
      <c r="M18" s="165" t="str">
        <f>"""C:\Program Files (x86)\AstroGrep\AstroGrep.exe"""</f>
        <v>"C:\Program Files (x86)\AstroGrep\AstroGrep.exe"</v>
      </c>
    </row>
    <row r="19" spans="3:13" x14ac:dyDescent="0.25">
      <c r="C19" t="s">
        <v>948</v>
      </c>
      <c r="J19" s="33" t="s">
        <v>86</v>
      </c>
      <c r="K19" s="34"/>
      <c r="L19" s="34"/>
      <c r="M19" s="165" t="s">
        <v>112</v>
      </c>
    </row>
    <row r="20" spans="3:13" x14ac:dyDescent="0.25">
      <c r="C20" t="s">
        <v>949</v>
      </c>
      <c r="J20" t="s">
        <v>87</v>
      </c>
      <c r="M20" s="165" t="s">
        <v>254</v>
      </c>
    </row>
    <row r="21" spans="3:13" x14ac:dyDescent="0.25">
      <c r="C21" t="s">
        <v>950</v>
      </c>
      <c r="J21" s="21" t="s">
        <v>90</v>
      </c>
      <c r="K21" s="21" t="s">
        <v>91</v>
      </c>
      <c r="M21" s="165" t="s">
        <v>182</v>
      </c>
    </row>
    <row r="22" spans="3:13" x14ac:dyDescent="0.25">
      <c r="C22" t="s">
        <v>951</v>
      </c>
      <c r="J22" s="21" t="s">
        <v>92</v>
      </c>
      <c r="K22" s="21" t="s">
        <v>93</v>
      </c>
      <c r="M22" s="165" t="s">
        <v>111</v>
      </c>
    </row>
    <row r="23" spans="3:13" x14ac:dyDescent="0.25">
      <c r="C23" t="s">
        <v>952</v>
      </c>
      <c r="J23" s="29" t="s">
        <v>95</v>
      </c>
      <c r="K23" s="21"/>
      <c r="M23" s="165">
        <v>-7</v>
      </c>
    </row>
    <row r="24" spans="3:13" x14ac:dyDescent="0.25">
      <c r="C24" t="s">
        <v>953</v>
      </c>
      <c r="J24" s="21" t="s">
        <v>108</v>
      </c>
      <c r="K24" s="21"/>
      <c r="M24" s="165" t="s">
        <v>110</v>
      </c>
    </row>
    <row r="25" spans="3:13" x14ac:dyDescent="0.25">
      <c r="C25" t="s">
        <v>954</v>
      </c>
      <c r="J25" t="s">
        <v>151</v>
      </c>
      <c r="M25" s="165" t="b">
        <v>1</v>
      </c>
    </row>
    <row r="26" spans="3:13" x14ac:dyDescent="0.25">
      <c r="C26" t="s">
        <v>955</v>
      </c>
      <c r="J26" t="s">
        <v>152</v>
      </c>
      <c r="M26" s="165" t="str">
        <f>"C:\Users\stu\Documents\GitHub\eaglep3-reporting\EC\"&amp;TEXT(A2,"yyyy-mm-dd")&amp;"-refined-times.txt"</f>
        <v>C:\Users\stu\Documents\GitHub\eaglep3-reporting\EC\2016-12-15-refined-times.txt</v>
      </c>
    </row>
    <row r="27" spans="3:13" x14ac:dyDescent="0.25">
      <c r="C27" t="s">
        <v>956</v>
      </c>
      <c r="J27" t="s">
        <v>188</v>
      </c>
      <c r="M27" s="165" t="str">
        <f>"C:\Users\stu\Documents\GitHub\eaglep3-reporting\EC\"&amp;TEXT(A2,"YYYY-MM-DD")&amp;"-Enforcements.txt"</f>
        <v>C:\Users\stu\Documents\GitHub\eaglep3-reporting\EC\2016-12-15-Enforcements.txt</v>
      </c>
    </row>
    <row r="28" spans="3:13" x14ac:dyDescent="0.25">
      <c r="C28" t="s">
        <v>957</v>
      </c>
      <c r="J28" t="s">
        <v>189</v>
      </c>
      <c r="M28" s="165" t="str">
        <f>"C:\Users\stu\Documents\GitHub\eaglep3-reporting\EC\"&amp;TEXT(A2,"YYYY-MM-DD")&amp;"-Runs-refined.txt"</f>
        <v>C:\Users\stu\Documents\GitHub\eaglep3-reporting\EC\2016-12-15-Runs-refined.txt</v>
      </c>
    </row>
    <row r="29" spans="3:13" x14ac:dyDescent="0.25">
      <c r="C29" t="s">
        <v>958</v>
      </c>
      <c r="J29" t="s">
        <v>190</v>
      </c>
      <c r="M29" s="165" t="str">
        <f>"C:\Users\stu\Documents\GitHub\eaglep3-reporting\EC\"&amp;TEXT(A2,"YYYY-MM-DD")&amp;"-Trips.txt"</f>
        <v>C:\Users\stu\Documents\GitHub\eaglep3-reporting\EC\2016-12-15-Trips.txt</v>
      </c>
    </row>
    <row r="30" spans="3:13" x14ac:dyDescent="0.25">
      <c r="C30" t="s">
        <v>959</v>
      </c>
      <c r="J30" t="s">
        <v>191</v>
      </c>
      <c r="M30" s="165" t="str">
        <f>"C:\Users\stu\Documents\GitHub\eaglep3-reporting\EC\"&amp;TEXT(A2,"YYYY-MM-DD")&amp;"-Weather.txt"</f>
        <v>C:\Users\stu\Documents\GitHub\eaglep3-reporting\EC\2016-12-15-Weather.txt</v>
      </c>
    </row>
    <row r="31" spans="3:13" x14ac:dyDescent="0.25">
      <c r="C31" t="s">
        <v>960</v>
      </c>
    </row>
    <row r="32" spans="3:13" x14ac:dyDescent="0.25">
      <c r="C32" t="s">
        <v>961</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heetViews>
  <sheetFormatPr defaultRowHeight="15" x14ac:dyDescent="0.25"/>
  <cols>
    <col min="1" max="1" width="32.85546875" style="113" bestFit="1" customWidth="1"/>
    <col min="2" max="7" width="9.140625" style="113"/>
    <col min="8" max="8" width="17.7109375" style="113" bestFit="1" customWidth="1"/>
    <col min="9" max="9" width="9.140625" style="115"/>
    <col min="10" max="16384" width="9.140625" style="113"/>
  </cols>
  <sheetData>
    <row r="1" spans="1:11" x14ac:dyDescent="0.25">
      <c r="A1" s="112" t="s">
        <v>122</v>
      </c>
      <c r="B1" s="112" t="s">
        <v>123</v>
      </c>
      <c r="C1" s="113" t="s">
        <v>124</v>
      </c>
      <c r="H1" t="s">
        <v>118</v>
      </c>
      <c r="I1" s="114" t="s">
        <v>120</v>
      </c>
      <c r="J1"/>
    </row>
    <row r="2" spans="1:11" x14ac:dyDescent="0.25">
      <c r="A2" s="113" t="s">
        <v>125</v>
      </c>
      <c r="B2" s="113" t="s">
        <v>126</v>
      </c>
      <c r="C2" s="113" t="s">
        <v>127</v>
      </c>
      <c r="H2" t="s">
        <v>119</v>
      </c>
      <c r="I2" s="106" t="s">
        <v>121</v>
      </c>
      <c r="J2"/>
    </row>
    <row r="3" spans="1:11" x14ac:dyDescent="0.25">
      <c r="A3" s="113" t="s">
        <v>128</v>
      </c>
      <c r="B3" s="113" t="s">
        <v>129</v>
      </c>
      <c r="C3" s="113" t="s">
        <v>130</v>
      </c>
      <c r="H3" t="s">
        <v>144</v>
      </c>
      <c r="I3" s="106">
        <v>1</v>
      </c>
      <c r="J3"/>
      <c r="K3" s="68"/>
    </row>
    <row r="4" spans="1:11" x14ac:dyDescent="0.25">
      <c r="A4" s="113" t="s">
        <v>131</v>
      </c>
      <c r="C4" s="113" t="s">
        <v>132</v>
      </c>
      <c r="H4" t="s">
        <v>145</v>
      </c>
      <c r="I4" s="106">
        <v>2</v>
      </c>
      <c r="J4"/>
      <c r="K4" s="68"/>
    </row>
    <row r="5" spans="1:11" x14ac:dyDescent="0.25">
      <c r="A5" s="113" t="s">
        <v>133</v>
      </c>
      <c r="C5" s="113" t="s">
        <v>134</v>
      </c>
      <c r="H5" t="s">
        <v>146</v>
      </c>
      <c r="I5" s="106">
        <v>23</v>
      </c>
      <c r="J5"/>
      <c r="K5" s="68"/>
    </row>
    <row r="6" spans="1:11" x14ac:dyDescent="0.25">
      <c r="A6" s="113" t="s">
        <v>135</v>
      </c>
      <c r="C6" s="113" t="s">
        <v>136</v>
      </c>
      <c r="H6" s="116" t="s">
        <v>147</v>
      </c>
      <c r="I6" s="117" t="s">
        <v>126</v>
      </c>
    </row>
    <row r="7" spans="1:11" x14ac:dyDescent="0.25">
      <c r="A7" s="113" t="s">
        <v>137</v>
      </c>
      <c r="C7" s="113" t="s">
        <v>138</v>
      </c>
    </row>
    <row r="8" spans="1:11" x14ac:dyDescent="0.25">
      <c r="C8" s="113" t="s">
        <v>139</v>
      </c>
    </row>
    <row r="9" spans="1:11" x14ac:dyDescent="0.25">
      <c r="C9" s="116" t="s">
        <v>174</v>
      </c>
    </row>
    <row r="10" spans="1:11" x14ac:dyDescent="0.25">
      <c r="C10" s="113" t="s">
        <v>140</v>
      </c>
    </row>
    <row r="11" spans="1:11" x14ac:dyDescent="0.25">
      <c r="C11" s="113" t="s">
        <v>141</v>
      </c>
    </row>
    <row r="12" spans="1:11" x14ac:dyDescent="0.25">
      <c r="C12" s="113" t="s">
        <v>142</v>
      </c>
    </row>
    <row r="13" spans="1:11" x14ac:dyDescent="0.25">
      <c r="C13" s="113" t="s">
        <v>143</v>
      </c>
    </row>
    <row r="14" spans="1:11" x14ac:dyDescent="0.25">
      <c r="C14" s="116" t="s">
        <v>175</v>
      </c>
    </row>
    <row r="15" spans="1:11" x14ac:dyDescent="0.25">
      <c r="C15" s="116" t="s">
        <v>209</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81"/>
  <sheetViews>
    <sheetView workbookViewId="0">
      <selection activeCell="J129" sqref="J129"/>
    </sheetView>
  </sheetViews>
  <sheetFormatPr defaultRowHeight="15" x14ac:dyDescent="0.25"/>
  <cols>
    <col min="2" max="2" width="22.28515625" bestFit="1" customWidth="1"/>
    <col min="3" max="3" width="9.7109375" customWidth="1"/>
  </cols>
  <sheetData>
    <row r="1" spans="1:3" x14ac:dyDescent="0.25">
      <c r="A1" t="s">
        <v>441</v>
      </c>
      <c r="B1" t="str">
        <f t="shared" ref="B1:B52" si="0">MID(A1,6,23)</f>
        <v>2016/12/14 10:32:11.283</v>
      </c>
      <c r="C1" t="e">
        <f>ABS(B1-#REF!)</f>
        <v>#REF!</v>
      </c>
    </row>
    <row r="2" spans="1:3" x14ac:dyDescent="0.25">
      <c r="A2" t="s">
        <v>442</v>
      </c>
      <c r="B2" s="21" t="str">
        <f t="shared" si="0"/>
        <v>2016/12/14 12:39:29.984</v>
      </c>
      <c r="C2">
        <f>ABS(B2-B1)</f>
        <v>8.841089120687684E-2</v>
      </c>
    </row>
    <row r="3" spans="1:3" x14ac:dyDescent="0.25">
      <c r="A3" t="s">
        <v>443</v>
      </c>
      <c r="B3" s="21" t="str">
        <f t="shared" si="0"/>
        <v>2016/12/14 12:39:30.145</v>
      </c>
      <c r="C3" s="21">
        <f t="shared" ref="C3:C52" si="1">ABS(B3-B2)</f>
        <v>1.8634236766956747E-6</v>
      </c>
    </row>
    <row r="4" spans="1:3" x14ac:dyDescent="0.25">
      <c r="A4" t="s">
        <v>444</v>
      </c>
      <c r="B4" s="21" t="str">
        <f t="shared" si="0"/>
        <v>2016/12/14 12:39:30.815</v>
      </c>
      <c r="C4" s="21">
        <f t="shared" si="1"/>
        <v>7.7546355896629393E-6</v>
      </c>
    </row>
    <row r="5" spans="1:3" x14ac:dyDescent="0.25">
      <c r="A5" t="s">
        <v>445</v>
      </c>
      <c r="B5" s="21" t="str">
        <f t="shared" si="0"/>
        <v>2016/12/14 12:51:01.148</v>
      </c>
      <c r="C5" s="21">
        <f t="shared" si="1"/>
        <v>7.9899652773747221E-3</v>
      </c>
    </row>
    <row r="6" spans="1:3" x14ac:dyDescent="0.25">
      <c r="A6" t="s">
        <v>446</v>
      </c>
      <c r="B6" s="21" t="str">
        <f t="shared" si="0"/>
        <v>2016/12/14 12:51:01.990</v>
      </c>
      <c r="C6" s="21">
        <f t="shared" si="1"/>
        <v>9.7453666967339814E-6</v>
      </c>
    </row>
    <row r="7" spans="1:3" x14ac:dyDescent="0.25">
      <c r="A7" t="s">
        <v>447</v>
      </c>
      <c r="B7" s="21" t="str">
        <f t="shared" si="0"/>
        <v>2016/12/14 12:51:02.826</v>
      </c>
      <c r="C7" s="21">
        <f t="shared" si="1"/>
        <v>9.6759249572642148E-6</v>
      </c>
    </row>
    <row r="8" spans="1:3" x14ac:dyDescent="0.25">
      <c r="A8" t="s">
        <v>448</v>
      </c>
      <c r="B8" s="21" t="str">
        <f t="shared" si="0"/>
        <v>2016/12/14 12:52:28.631</v>
      </c>
      <c r="C8" s="21">
        <f t="shared" si="1"/>
        <v>9.9311342637520283E-4</v>
      </c>
    </row>
    <row r="9" spans="1:3" x14ac:dyDescent="0.25">
      <c r="A9" t="s">
        <v>449</v>
      </c>
      <c r="B9" s="21" t="str">
        <f t="shared" si="0"/>
        <v>2016/12/14 12:52:29.264</v>
      </c>
      <c r="C9" s="21">
        <f t="shared" si="1"/>
        <v>7.3263872764073312E-6</v>
      </c>
    </row>
    <row r="10" spans="1:3" x14ac:dyDescent="0.25">
      <c r="A10" t="s">
        <v>450</v>
      </c>
      <c r="B10" s="21" t="str">
        <f t="shared" si="0"/>
        <v>2016/12/14 12:52:29.472</v>
      </c>
      <c r="C10" s="21">
        <f t="shared" si="1"/>
        <v>2.4074106477200985E-6</v>
      </c>
    </row>
    <row r="11" spans="1:3" x14ac:dyDescent="0.25">
      <c r="A11" t="s">
        <v>451</v>
      </c>
      <c r="B11" s="21" t="str">
        <f t="shared" si="0"/>
        <v>2016/12/14 13:01:15.737</v>
      </c>
      <c r="C11" s="21">
        <f t="shared" si="1"/>
        <v>6.0910300890100189E-3</v>
      </c>
    </row>
    <row r="12" spans="1:3" x14ac:dyDescent="0.25">
      <c r="A12" t="s">
        <v>452</v>
      </c>
      <c r="B12" s="21" t="str">
        <f t="shared" si="0"/>
        <v>2016/12/14 14:41:17.411</v>
      </c>
      <c r="C12" s="21">
        <f t="shared" si="1"/>
        <v>6.9463819447264541E-2</v>
      </c>
    </row>
    <row r="13" spans="1:3" x14ac:dyDescent="0.25">
      <c r="A13" t="s">
        <v>453</v>
      </c>
      <c r="B13" s="21" t="str">
        <f t="shared" si="0"/>
        <v>2016/12/14 14:41:17.754</v>
      </c>
      <c r="C13" s="21">
        <f t="shared" si="1"/>
        <v>3.9699079934507608E-6</v>
      </c>
    </row>
    <row r="14" spans="1:3" x14ac:dyDescent="0.25">
      <c r="A14" t="s">
        <v>454</v>
      </c>
      <c r="B14" s="21" t="str">
        <f t="shared" si="0"/>
        <v>2016/12/14 14:41:18.047</v>
      </c>
      <c r="C14" s="21">
        <f t="shared" si="1"/>
        <v>3.3912001526914537E-6</v>
      </c>
    </row>
    <row r="15" spans="1:3" x14ac:dyDescent="0.25">
      <c r="A15" t="s">
        <v>455</v>
      </c>
      <c r="B15" s="21" t="str">
        <f t="shared" si="0"/>
        <v>2016/12/14 14:51:33.969</v>
      </c>
      <c r="C15" s="21">
        <f t="shared" si="1"/>
        <v>7.1287268583546393E-3</v>
      </c>
    </row>
    <row r="16" spans="1:3" x14ac:dyDescent="0.25">
      <c r="A16" t="s">
        <v>456</v>
      </c>
      <c r="B16" s="21" t="str">
        <f t="shared" si="0"/>
        <v>2016/12/14 14:51:34.128</v>
      </c>
      <c r="C16" s="21">
        <f t="shared" si="1"/>
        <v>1.840271579567343E-6</v>
      </c>
    </row>
    <row r="17" spans="1:3" x14ac:dyDescent="0.25">
      <c r="A17" t="s">
        <v>457</v>
      </c>
      <c r="B17" s="21" t="str">
        <f t="shared" si="0"/>
        <v>2016/12/14 14:57:19.018</v>
      </c>
      <c r="C17" s="21">
        <f t="shared" si="1"/>
        <v>3.9917824105941691E-3</v>
      </c>
    </row>
    <row r="18" spans="1:3" x14ac:dyDescent="0.25">
      <c r="A18" t="s">
        <v>458</v>
      </c>
      <c r="B18" s="21" t="str">
        <f t="shared" si="0"/>
        <v>2016/12/14 14:57:19.968</v>
      </c>
      <c r="C18" s="21">
        <f t="shared" si="1"/>
        <v>1.099536893889308E-5</v>
      </c>
    </row>
    <row r="19" spans="1:3" x14ac:dyDescent="0.25">
      <c r="A19" t="s">
        <v>459</v>
      </c>
      <c r="B19" s="21" t="str">
        <f t="shared" si="0"/>
        <v>2016/12/14 14:57:20.091</v>
      </c>
      <c r="C19" s="21">
        <f t="shared" si="1"/>
        <v>1.4236138667911291E-6</v>
      </c>
    </row>
    <row r="20" spans="1:3" x14ac:dyDescent="0.25">
      <c r="A20" t="s">
        <v>460</v>
      </c>
      <c r="B20" s="21" t="str">
        <f t="shared" si="0"/>
        <v>2016/12/14 15:02:26.052</v>
      </c>
      <c r="C20" s="21">
        <f t="shared" si="1"/>
        <v>3.5412152792559937E-3</v>
      </c>
    </row>
    <row r="21" spans="1:3" x14ac:dyDescent="0.25">
      <c r="A21" t="s">
        <v>461</v>
      </c>
      <c r="B21" s="21" t="str">
        <f t="shared" si="0"/>
        <v>2016/12/14 15:02:26.397</v>
      </c>
      <c r="C21" s="21">
        <f t="shared" si="1"/>
        <v>3.9930528146214783E-6</v>
      </c>
    </row>
    <row r="22" spans="1:3" x14ac:dyDescent="0.25">
      <c r="A22" t="s">
        <v>462</v>
      </c>
      <c r="B22" s="21" t="str">
        <f t="shared" si="0"/>
        <v>2016/12/14 15:02:26.763</v>
      </c>
      <c r="C22" s="21">
        <f t="shared" si="1"/>
        <v>4.2361134546808898E-6</v>
      </c>
    </row>
    <row r="23" spans="1:3" x14ac:dyDescent="0.25">
      <c r="A23" t="s">
        <v>463</v>
      </c>
      <c r="B23" s="21" t="str">
        <f t="shared" si="0"/>
        <v>2016/12/14 15:33:49.866</v>
      </c>
      <c r="C23" s="21">
        <f t="shared" si="1"/>
        <v>2.179517361219041E-2</v>
      </c>
    </row>
    <row r="24" spans="1:3" x14ac:dyDescent="0.25">
      <c r="A24" t="s">
        <v>464</v>
      </c>
      <c r="B24" s="21" t="str">
        <f t="shared" si="0"/>
        <v>2016/12/14 15:38:00.008</v>
      </c>
      <c r="C24" s="21">
        <f t="shared" si="1"/>
        <v>2.8951620333828032E-3</v>
      </c>
    </row>
    <row r="25" spans="1:3" x14ac:dyDescent="0.25">
      <c r="A25" t="s">
        <v>465</v>
      </c>
      <c r="B25" s="21" t="str">
        <f t="shared" si="0"/>
        <v>2016/12/14 15:38:00.075</v>
      </c>
      <c r="C25" s="21">
        <f t="shared" si="1"/>
        <v>7.7546428656205535E-7</v>
      </c>
    </row>
    <row r="26" spans="1:3" x14ac:dyDescent="0.25">
      <c r="A26" t="s">
        <v>466</v>
      </c>
      <c r="B26" s="21" t="str">
        <f t="shared" si="0"/>
        <v>2016/12/14 15:38:00.143</v>
      </c>
      <c r="C26" s="21">
        <f t="shared" si="1"/>
        <v>7.87033059168607E-7</v>
      </c>
    </row>
    <row r="27" spans="1:3" x14ac:dyDescent="0.25">
      <c r="A27" t="s">
        <v>467</v>
      </c>
      <c r="B27" s="21" t="str">
        <f t="shared" si="0"/>
        <v>2016/12/14 16:31:06.806</v>
      </c>
      <c r="C27" s="21">
        <f t="shared" si="1"/>
        <v>3.6882673615764361E-2</v>
      </c>
    </row>
    <row r="28" spans="1:3" x14ac:dyDescent="0.25">
      <c r="A28" t="s">
        <v>468</v>
      </c>
      <c r="B28" s="21" t="str">
        <f t="shared" si="0"/>
        <v>2016/12/14 16:31:07.049</v>
      </c>
      <c r="C28" s="21">
        <f t="shared" si="1"/>
        <v>2.8124995878897607E-6</v>
      </c>
    </row>
    <row r="29" spans="1:3" x14ac:dyDescent="0.25">
      <c r="A29" t="s">
        <v>469</v>
      </c>
      <c r="B29" s="21" t="str">
        <f t="shared" si="0"/>
        <v>2016/12/14 16:31:07.416</v>
      </c>
      <c r="C29" s="21">
        <f t="shared" si="1"/>
        <v>4.2476822272874415E-6</v>
      </c>
    </row>
    <row r="30" spans="1:3" x14ac:dyDescent="0.25">
      <c r="A30" t="s">
        <v>470</v>
      </c>
      <c r="B30" s="21" t="str">
        <f t="shared" si="0"/>
        <v>2016/12/14 16:31:44.840</v>
      </c>
      <c r="C30" s="21">
        <f t="shared" si="1"/>
        <v>4.331481468398124E-4</v>
      </c>
    </row>
    <row r="31" spans="1:3" x14ac:dyDescent="0.25">
      <c r="A31" t="s">
        <v>471</v>
      </c>
      <c r="B31" s="21" t="str">
        <f t="shared" si="0"/>
        <v>2016/12/14 16:37:12.664</v>
      </c>
      <c r="C31" s="21">
        <f t="shared" si="1"/>
        <v>3.7942592607578263E-3</v>
      </c>
    </row>
    <row r="32" spans="1:3" x14ac:dyDescent="0.25">
      <c r="A32" t="s">
        <v>472</v>
      </c>
      <c r="B32" s="21" t="str">
        <f t="shared" si="0"/>
        <v>2016/12/14 16:54:03.388</v>
      </c>
      <c r="C32" s="21">
        <f t="shared" si="1"/>
        <v>1.1698194444761612E-2</v>
      </c>
    </row>
    <row r="33" spans="1:3" x14ac:dyDescent="0.25">
      <c r="A33" t="s">
        <v>473</v>
      </c>
      <c r="B33" s="21" t="str">
        <f t="shared" si="0"/>
        <v>2016/12/14 17:27:14.441</v>
      </c>
      <c r="C33" s="21">
        <f t="shared" si="1"/>
        <v>2.3044594905513804E-2</v>
      </c>
    </row>
    <row r="34" spans="1:3" x14ac:dyDescent="0.25">
      <c r="A34" t="s">
        <v>474</v>
      </c>
      <c r="B34" s="21" t="str">
        <f t="shared" si="0"/>
        <v>2016/12/14 17:27:15.071</v>
      </c>
      <c r="C34" s="21">
        <f t="shared" si="1"/>
        <v>7.2916664066724479E-6</v>
      </c>
    </row>
    <row r="35" spans="1:3" x14ac:dyDescent="0.25">
      <c r="A35" t="s">
        <v>475</v>
      </c>
      <c r="B35" s="21" t="str">
        <f t="shared" si="0"/>
        <v>2016/12/14 17:27:15.462</v>
      </c>
      <c r="C35" s="21">
        <f t="shared" si="1"/>
        <v>4.5254637370817363E-6</v>
      </c>
    </row>
    <row r="36" spans="1:3" x14ac:dyDescent="0.25">
      <c r="A36" t="s">
        <v>476</v>
      </c>
      <c r="B36" s="21" t="str">
        <f t="shared" si="0"/>
        <v>2016/12/14 17:34:00.303</v>
      </c>
      <c r="C36" s="21">
        <f t="shared" si="1"/>
        <v>4.6856597255100496E-3</v>
      </c>
    </row>
    <row r="37" spans="1:3" x14ac:dyDescent="0.25">
      <c r="A37" t="s">
        <v>477</v>
      </c>
      <c r="B37" s="21" t="str">
        <f t="shared" si="0"/>
        <v>2016/12/14 17:34:00.386</v>
      </c>
      <c r="C37" s="21">
        <f t="shared" si="1"/>
        <v>9.6064468380063772E-7</v>
      </c>
    </row>
    <row r="38" spans="1:3" x14ac:dyDescent="0.25">
      <c r="A38" t="s">
        <v>478</v>
      </c>
      <c r="B38" s="21" t="str">
        <f t="shared" si="0"/>
        <v>2016/12/14 17:34:00.993</v>
      </c>
      <c r="C38" s="21">
        <f t="shared" si="1"/>
        <v>7.0254682213999331E-6</v>
      </c>
    </row>
    <row r="39" spans="1:3" x14ac:dyDescent="0.25">
      <c r="A39" t="s">
        <v>479</v>
      </c>
      <c r="B39" s="21" t="str">
        <f t="shared" si="0"/>
        <v>2016/12/14 17:36:14.708</v>
      </c>
      <c r="C39" s="21">
        <f t="shared" si="1"/>
        <v>1.5476273110834882E-3</v>
      </c>
    </row>
    <row r="40" spans="1:3" x14ac:dyDescent="0.25">
      <c r="A40" t="s">
        <v>480</v>
      </c>
      <c r="B40" s="21" t="str">
        <f t="shared" si="0"/>
        <v>2016/12/14 17:36:14.845</v>
      </c>
      <c r="C40" s="21">
        <f t="shared" si="1"/>
        <v>1.585649442858994E-6</v>
      </c>
    </row>
    <row r="41" spans="1:3" x14ac:dyDescent="0.25">
      <c r="A41" t="s">
        <v>481</v>
      </c>
      <c r="B41" s="21" t="str">
        <f t="shared" si="0"/>
        <v>2016/12/14 17:52:35.665</v>
      </c>
      <c r="C41" s="21">
        <f t="shared" si="1"/>
        <v>1.1352083332894836E-2</v>
      </c>
    </row>
    <row r="42" spans="1:3" x14ac:dyDescent="0.25">
      <c r="A42" t="s">
        <v>482</v>
      </c>
      <c r="B42" s="21" t="str">
        <f t="shared" si="0"/>
        <v>2016/12/14 17:52:36.716</v>
      </c>
      <c r="C42" s="21">
        <f t="shared" si="1"/>
        <v>1.2164353393018246E-5</v>
      </c>
    </row>
    <row r="43" spans="1:3" x14ac:dyDescent="0.25">
      <c r="A43" t="s">
        <v>483</v>
      </c>
      <c r="B43" s="21" t="str">
        <f t="shared" si="0"/>
        <v>2016/12/14 18:01:02.988</v>
      </c>
      <c r="C43" s="21">
        <f t="shared" si="1"/>
        <v>5.859629629412666E-3</v>
      </c>
    </row>
    <row r="44" spans="1:3" x14ac:dyDescent="0.25">
      <c r="A44" t="s">
        <v>484</v>
      </c>
      <c r="B44" s="21" t="str">
        <f t="shared" si="0"/>
        <v>2016/12/14 18:01:03.161</v>
      </c>
      <c r="C44" s="21">
        <f t="shared" si="1"/>
        <v>2.0023144315928221E-6</v>
      </c>
    </row>
    <row r="45" spans="1:3" x14ac:dyDescent="0.25">
      <c r="A45" t="s">
        <v>485</v>
      </c>
      <c r="B45" s="21" t="str">
        <f t="shared" si="0"/>
        <v>2016/12/14 18:01:03.821</v>
      </c>
      <c r="C45" s="21">
        <f t="shared" si="1"/>
        <v>7.6388896559365094E-6</v>
      </c>
    </row>
    <row r="46" spans="1:3" x14ac:dyDescent="0.25">
      <c r="A46" t="s">
        <v>486</v>
      </c>
      <c r="B46" s="21" t="str">
        <f t="shared" si="0"/>
        <v>2016/12/14 18:08:47.821</v>
      </c>
      <c r="C46" s="21">
        <f t="shared" si="1"/>
        <v>5.3703703670180403E-3</v>
      </c>
    </row>
    <row r="47" spans="1:3" x14ac:dyDescent="0.25">
      <c r="A47" t="s">
        <v>487</v>
      </c>
      <c r="B47" s="21" t="str">
        <f t="shared" si="0"/>
        <v>2016/12/14 18:08:47.981</v>
      </c>
      <c r="C47" s="21">
        <f t="shared" si="1"/>
        <v>1.851854904089123E-6</v>
      </c>
    </row>
    <row r="48" spans="1:3" x14ac:dyDescent="0.25">
      <c r="A48" t="s">
        <v>488</v>
      </c>
      <c r="B48" s="21" t="str">
        <f t="shared" si="0"/>
        <v>2016/12/14 18:08:48.151</v>
      </c>
      <c r="C48" s="21">
        <f t="shared" si="1"/>
        <v>1.9675935618579388E-6</v>
      </c>
    </row>
    <row r="49" spans="1:3" x14ac:dyDescent="0.25">
      <c r="A49" t="s">
        <v>489</v>
      </c>
      <c r="B49" s="21" t="str">
        <f t="shared" si="0"/>
        <v>2016/12/14 18:49:32.997</v>
      </c>
      <c r="C49" s="21">
        <f t="shared" si="1"/>
        <v>2.8296828699239995E-2</v>
      </c>
    </row>
    <row r="50" spans="1:3" x14ac:dyDescent="0.25">
      <c r="A50" t="s">
        <v>490</v>
      </c>
      <c r="B50" s="21" t="str">
        <f t="shared" si="0"/>
        <v>2016/12/14 18:51:08.610</v>
      </c>
      <c r="C50" s="21">
        <f t="shared" si="1"/>
        <v>1.10663194936933E-3</v>
      </c>
    </row>
    <row r="51" spans="1:3" x14ac:dyDescent="0.25">
      <c r="A51" t="s">
        <v>491</v>
      </c>
      <c r="B51" s="21" t="str">
        <f t="shared" si="0"/>
        <v>2016/12/14 18:53:47.083</v>
      </c>
      <c r="C51" s="21">
        <f t="shared" si="1"/>
        <v>1.8341782415518537E-3</v>
      </c>
    </row>
    <row r="52" spans="1:3" x14ac:dyDescent="0.25">
      <c r="A52" t="s">
        <v>492</v>
      </c>
      <c r="B52" s="21" t="str">
        <f t="shared" si="0"/>
        <v>2016/12/14 18:53:47.432</v>
      </c>
      <c r="C52" s="21">
        <f t="shared" si="1"/>
        <v>4.0393497329205275E-6</v>
      </c>
    </row>
    <row r="53" spans="1:3" x14ac:dyDescent="0.25">
      <c r="A53" t="s">
        <v>493</v>
      </c>
      <c r="B53" s="21" t="str">
        <f t="shared" ref="B53:B80" si="2">MID(A53,6,23)</f>
        <v>2016/12/14 18:53:47.463</v>
      </c>
      <c r="C53" s="21">
        <f t="shared" ref="C53:C80" si="3">ABS(B53-B52)</f>
        <v>3.587920218706131E-7</v>
      </c>
    </row>
    <row r="54" spans="1:3" x14ac:dyDescent="0.25">
      <c r="A54" t="s">
        <v>494</v>
      </c>
      <c r="B54" s="21" t="str">
        <f t="shared" si="2"/>
        <v>2016/12/14 18:56:13.431</v>
      </c>
      <c r="C54" s="21">
        <f t="shared" si="3"/>
        <v>1.6894444488571025E-3</v>
      </c>
    </row>
    <row r="55" spans="1:3" x14ac:dyDescent="0.25">
      <c r="A55" t="s">
        <v>495</v>
      </c>
      <c r="B55" s="21" t="str">
        <f t="shared" si="2"/>
        <v>2016/12/14 19:04:10.481</v>
      </c>
      <c r="C55" s="21">
        <f t="shared" si="3"/>
        <v>5.5214120366144925E-3</v>
      </c>
    </row>
    <row r="56" spans="1:3" x14ac:dyDescent="0.25">
      <c r="A56" t="s">
        <v>496</v>
      </c>
      <c r="B56" s="21" t="str">
        <f t="shared" si="2"/>
        <v>2016/12/14 19:20:19.060</v>
      </c>
      <c r="C56" s="21">
        <f t="shared" si="3"/>
        <v>1.1210405093152076E-2</v>
      </c>
    </row>
    <row r="57" spans="1:3" x14ac:dyDescent="0.25">
      <c r="A57" t="s">
        <v>497</v>
      </c>
      <c r="B57" s="21" t="str">
        <f t="shared" si="2"/>
        <v>2016/12/14 19:20:19.434</v>
      </c>
      <c r="C57" s="21">
        <f t="shared" si="3"/>
        <v>4.3287000153213739E-6</v>
      </c>
    </row>
    <row r="58" spans="1:3" x14ac:dyDescent="0.25">
      <c r="A58" t="s">
        <v>498</v>
      </c>
      <c r="B58" s="21" t="str">
        <f t="shared" si="2"/>
        <v>2016/12/14 19:20:21.373</v>
      </c>
      <c r="C58" s="21">
        <f t="shared" si="3"/>
        <v>2.2442131012212485E-5</v>
      </c>
    </row>
    <row r="59" spans="1:3" x14ac:dyDescent="0.25">
      <c r="A59" t="s">
        <v>499</v>
      </c>
      <c r="B59" s="21" t="str">
        <f t="shared" si="2"/>
        <v>2016/12/14 19:26:14.284</v>
      </c>
      <c r="C59" s="21">
        <f t="shared" si="3"/>
        <v>4.0846180563676171E-3</v>
      </c>
    </row>
    <row r="60" spans="1:3" x14ac:dyDescent="0.25">
      <c r="A60" t="s">
        <v>500</v>
      </c>
      <c r="B60" s="21" t="str">
        <f t="shared" si="2"/>
        <v>2016/12/14 19:26:14.954</v>
      </c>
      <c r="C60" s="21">
        <f t="shared" si="3"/>
        <v>7.7546283137053251E-6</v>
      </c>
    </row>
    <row r="61" spans="1:3" x14ac:dyDescent="0.25">
      <c r="A61" t="s">
        <v>501</v>
      </c>
      <c r="B61" s="21" t="str">
        <f t="shared" si="2"/>
        <v>2016/12/14 19:26:15.397</v>
      </c>
      <c r="C61" s="21">
        <f t="shared" si="3"/>
        <v>5.127316399011761E-6</v>
      </c>
    </row>
    <row r="62" spans="1:3" x14ac:dyDescent="0.25">
      <c r="A62" t="s">
        <v>502</v>
      </c>
      <c r="B62" s="21" t="str">
        <f t="shared" si="2"/>
        <v>2016/12/14 19:27:45.954</v>
      </c>
      <c r="C62" s="21">
        <f t="shared" si="3"/>
        <v>1.0481134231667966E-3</v>
      </c>
    </row>
    <row r="63" spans="1:3" x14ac:dyDescent="0.25">
      <c r="A63" t="s">
        <v>503</v>
      </c>
      <c r="B63" s="21" t="str">
        <f t="shared" si="2"/>
        <v>2016/12/14 19:27:46.275</v>
      </c>
      <c r="C63" s="21">
        <f t="shared" si="3"/>
        <v>3.7152785807847977E-6</v>
      </c>
    </row>
    <row r="64" spans="1:3" x14ac:dyDescent="0.25">
      <c r="A64" t="s">
        <v>504</v>
      </c>
      <c r="B64" s="21" t="str">
        <f t="shared" si="2"/>
        <v>2016/12/14 19:27:46.397</v>
      </c>
      <c r="C64" s="21">
        <f t="shared" si="3"/>
        <v>1.4120378182269633E-6</v>
      </c>
    </row>
    <row r="65" spans="1:3" x14ac:dyDescent="0.25">
      <c r="A65" t="s">
        <v>505</v>
      </c>
      <c r="B65" s="21" t="str">
        <f t="shared" si="2"/>
        <v>2016/12/14 20:03:30.075</v>
      </c>
      <c r="C65" s="21">
        <f t="shared" si="3"/>
        <v>2.481108796200715E-2</v>
      </c>
    </row>
    <row r="66" spans="1:3" x14ac:dyDescent="0.25">
      <c r="A66" t="s">
        <v>506</v>
      </c>
      <c r="B66" s="21" t="str">
        <f t="shared" si="2"/>
        <v>2016/12/14 20:03:34.474</v>
      </c>
      <c r="C66" s="21">
        <f t="shared" si="3"/>
        <v>5.0914350140374154E-5</v>
      </c>
    </row>
    <row r="67" spans="1:3" x14ac:dyDescent="0.25">
      <c r="A67" t="s">
        <v>507</v>
      </c>
      <c r="B67" s="21" t="str">
        <f t="shared" si="2"/>
        <v>2016/12/14 20:03:34.634</v>
      </c>
      <c r="C67" s="21">
        <f t="shared" si="3"/>
        <v>1.851854904089123E-6</v>
      </c>
    </row>
    <row r="68" spans="1:3" x14ac:dyDescent="0.25">
      <c r="A68" t="s">
        <v>508</v>
      </c>
      <c r="B68" s="21" t="str">
        <f t="shared" si="2"/>
        <v>2016/12/14 21:05:09.276</v>
      </c>
      <c r="C68" s="21">
        <f t="shared" si="3"/>
        <v>4.2762060184031725E-2</v>
      </c>
    </row>
    <row r="69" spans="1:3" x14ac:dyDescent="0.25">
      <c r="A69" t="s">
        <v>509</v>
      </c>
      <c r="B69" s="21" t="str">
        <f t="shared" si="2"/>
        <v>2016/12/14 21:48:54.478</v>
      </c>
      <c r="C69" s="21">
        <f t="shared" si="3"/>
        <v>3.0384282406885177E-2</v>
      </c>
    </row>
    <row r="70" spans="1:3" x14ac:dyDescent="0.25">
      <c r="A70" t="s">
        <v>510</v>
      </c>
      <c r="B70" s="21" t="str">
        <f t="shared" si="2"/>
        <v>2016/12/14 21:48:54.641</v>
      </c>
      <c r="C70" s="21">
        <f t="shared" si="3"/>
        <v>1.8865757738240063E-6</v>
      </c>
    </row>
    <row r="71" spans="1:3" x14ac:dyDescent="0.25">
      <c r="A71" t="s">
        <v>511</v>
      </c>
      <c r="B71" s="21" t="str">
        <f t="shared" si="2"/>
        <v>2016/12/14 21:48:55.069</v>
      </c>
      <c r="C71" s="21">
        <f t="shared" si="3"/>
        <v>4.9537047743797302E-6</v>
      </c>
    </row>
    <row r="72" spans="1:3" x14ac:dyDescent="0.25">
      <c r="A72" t="s">
        <v>512</v>
      </c>
      <c r="B72" s="21" t="str">
        <f t="shared" si="2"/>
        <v>2016/12/14 22:48:51.273</v>
      </c>
      <c r="C72" s="21">
        <f t="shared" si="3"/>
        <v>4.1622731478128117E-2</v>
      </c>
    </row>
    <row r="73" spans="1:3" x14ac:dyDescent="0.25">
      <c r="A73" t="s">
        <v>513</v>
      </c>
      <c r="B73" s="21" t="str">
        <f t="shared" si="2"/>
        <v>2016/12/14 22:48:51.958</v>
      </c>
      <c r="C73" s="21">
        <f t="shared" si="3"/>
        <v>7.9282399383373559E-6</v>
      </c>
    </row>
    <row r="74" spans="1:3" x14ac:dyDescent="0.25">
      <c r="A74" t="s">
        <v>514</v>
      </c>
      <c r="B74" s="21" t="str">
        <f t="shared" si="2"/>
        <v>2016/12/14 22:48:52.396</v>
      </c>
      <c r="C74" s="21">
        <f t="shared" si="3"/>
        <v>5.0694507081061602E-6</v>
      </c>
    </row>
    <row r="75" spans="1:3" x14ac:dyDescent="0.25">
      <c r="A75" t="s">
        <v>515</v>
      </c>
      <c r="B75" s="21" t="str">
        <f t="shared" si="2"/>
        <v>2016/12/14 23:41:59.135</v>
      </c>
      <c r="C75" s="21">
        <f t="shared" si="3"/>
        <v>3.688355323538417E-2</v>
      </c>
    </row>
    <row r="76" spans="1:3" x14ac:dyDescent="0.25">
      <c r="A76" t="s">
        <v>516</v>
      </c>
      <c r="B76" s="21" t="str">
        <f t="shared" si="2"/>
        <v>2016/12/14 23:41:59.475</v>
      </c>
      <c r="C76" s="21">
        <f t="shared" si="3"/>
        <v>3.9351871237158775E-6</v>
      </c>
    </row>
    <row r="77" spans="1:3" x14ac:dyDescent="0.25">
      <c r="A77" t="s">
        <v>517</v>
      </c>
      <c r="B77" s="21" t="str">
        <f t="shared" si="2"/>
        <v>2016/12/14 23:42:01.118</v>
      </c>
      <c r="C77" s="21">
        <f t="shared" si="3"/>
        <v>1.9016202713828534E-5</v>
      </c>
    </row>
    <row r="78" spans="1:3" x14ac:dyDescent="0.25">
      <c r="A78" t="s">
        <v>518</v>
      </c>
      <c r="B78" s="21" t="str">
        <f t="shared" si="2"/>
        <v>2016/12/14 23:42:41.456</v>
      </c>
      <c r="C78" s="21">
        <f t="shared" si="3"/>
        <v>4.6687500434927642E-4</v>
      </c>
    </row>
    <row r="79" spans="1:3" x14ac:dyDescent="0.25">
      <c r="A79" t="s">
        <v>519</v>
      </c>
      <c r="B79" s="21" t="str">
        <f t="shared" si="2"/>
        <v>2016/12/14 23:42:42.111</v>
      </c>
      <c r="C79" s="21">
        <f t="shared" si="3"/>
        <v>7.5810166890732944E-6</v>
      </c>
    </row>
    <row r="80" spans="1:3" x14ac:dyDescent="0.25">
      <c r="A80" t="s">
        <v>520</v>
      </c>
      <c r="B80" s="21" t="str">
        <f t="shared" si="2"/>
        <v>2016/12/14 23:42:42.124</v>
      </c>
      <c r="C80" s="21">
        <f t="shared" si="3"/>
        <v>1.5045952750369906E-7</v>
      </c>
    </row>
    <row r="81" spans="1:3" x14ac:dyDescent="0.25">
      <c r="A81" t="s">
        <v>521</v>
      </c>
      <c r="B81" s="21" t="str">
        <f t="shared" ref="B81:B85" si="4">MID(A81,6,23)</f>
        <v>2016/12/14 23:51:34.620</v>
      </c>
      <c r="C81" s="21">
        <f t="shared" ref="C81:C85" si="5">ABS(B81-B80)</f>
        <v>6.1631481512449682E-3</v>
      </c>
    </row>
    <row r="82" spans="1:3" x14ac:dyDescent="0.25">
      <c r="A82" t="s">
        <v>522</v>
      </c>
      <c r="B82" s="21" t="str">
        <f t="shared" si="4"/>
        <v>2016/12/14 23:52:14.619</v>
      </c>
      <c r="C82" s="21">
        <f t="shared" si="5"/>
        <v>4.629513859981671E-4</v>
      </c>
    </row>
    <row r="83" spans="1:3" x14ac:dyDescent="0.25">
      <c r="A83" t="s">
        <v>523</v>
      </c>
      <c r="B83" s="21" t="str">
        <f t="shared" si="4"/>
        <v>2016/12/15 00:19:51.666</v>
      </c>
      <c r="C83" s="21">
        <f t="shared" si="5"/>
        <v>1.9178784721589182E-2</v>
      </c>
    </row>
    <row r="84" spans="1:3" x14ac:dyDescent="0.25">
      <c r="A84" t="s">
        <v>524</v>
      </c>
      <c r="B84" s="21" t="str">
        <f t="shared" si="4"/>
        <v>2016/12/15 00:19:51.712</v>
      </c>
      <c r="C84" s="21">
        <f t="shared" si="5"/>
        <v>5.3241092246025801E-7</v>
      </c>
    </row>
    <row r="85" spans="1:3" x14ac:dyDescent="0.25">
      <c r="A85" t="s">
        <v>525</v>
      </c>
      <c r="B85" s="21" t="str">
        <f t="shared" si="4"/>
        <v>2016/12/15 00:19:52.465</v>
      </c>
      <c r="C85" s="21">
        <f t="shared" si="5"/>
        <v>8.715280273463577E-6</v>
      </c>
    </row>
    <row r="86" spans="1:3" x14ac:dyDescent="0.25">
      <c r="A86" t="s">
        <v>526</v>
      </c>
      <c r="B86" s="21" t="str">
        <f t="shared" ref="B86:B111" si="6">MID(A86,6,23)</f>
        <v>2016/12/15 01:03:25.592</v>
      </c>
      <c r="C86" s="21">
        <f t="shared" ref="C86:C111" si="7">ABS(B86-B85)</f>
        <v>3.0244525456510019E-2</v>
      </c>
    </row>
    <row r="87" spans="1:3" x14ac:dyDescent="0.25">
      <c r="A87" t="s">
        <v>527</v>
      </c>
      <c r="B87" s="21" t="str">
        <f t="shared" si="6"/>
        <v>2016/12/15 01:03:25.882</v>
      </c>
      <c r="C87" s="21">
        <f t="shared" si="7"/>
        <v>3.3564865589141846E-6</v>
      </c>
    </row>
    <row r="88" spans="1:3" x14ac:dyDescent="0.25">
      <c r="A88" t="s">
        <v>528</v>
      </c>
      <c r="B88" s="21" t="str">
        <f t="shared" si="6"/>
        <v>2016/12/15 01:03:26.126</v>
      </c>
      <c r="C88" s="21">
        <f t="shared" si="7"/>
        <v>2.8240756364539266E-6</v>
      </c>
    </row>
    <row r="89" spans="1:3" x14ac:dyDescent="0.25">
      <c r="A89" t="s">
        <v>529</v>
      </c>
      <c r="B89" s="21" t="str">
        <f t="shared" si="6"/>
        <v>2016/12/15 02:06:46.998</v>
      </c>
      <c r="C89" s="21">
        <f t="shared" si="7"/>
        <v>4.3991574071696959E-2</v>
      </c>
    </row>
    <row r="90" spans="1:3" x14ac:dyDescent="0.25">
      <c r="A90" t="s">
        <v>530</v>
      </c>
      <c r="B90" s="21" t="str">
        <f t="shared" si="6"/>
        <v>2016/12/15 02:33:01.023</v>
      </c>
      <c r="C90" s="21">
        <f t="shared" si="7"/>
        <v>1.8217881945020054E-2</v>
      </c>
    </row>
    <row r="91" spans="1:3" x14ac:dyDescent="0.25">
      <c r="A91" t="s">
        <v>531</v>
      </c>
      <c r="B91" s="21" t="str">
        <f t="shared" si="6"/>
        <v>2016/12/15 02:48:08.893</v>
      </c>
      <c r="C91" s="21">
        <f t="shared" si="7"/>
        <v>1.0507754624995869E-2</v>
      </c>
    </row>
    <row r="92" spans="1:3" x14ac:dyDescent="0.25">
      <c r="A92" t="s">
        <v>532</v>
      </c>
      <c r="B92" s="21" t="str">
        <f t="shared" si="6"/>
        <v>2016/12/15 02:48:09.133</v>
      </c>
      <c r="C92" s="21">
        <f t="shared" si="7"/>
        <v>2.7777787181548774E-6</v>
      </c>
    </row>
    <row r="93" spans="1:3" x14ac:dyDescent="0.25">
      <c r="A93" t="s">
        <v>533</v>
      </c>
      <c r="B93" s="21" t="str">
        <f t="shared" si="6"/>
        <v>2016/12/15 02:48:09.600</v>
      </c>
      <c r="C93" s="21">
        <f t="shared" si="7"/>
        <v>5.4050979088060558E-6</v>
      </c>
    </row>
    <row r="94" spans="1:3" x14ac:dyDescent="0.25">
      <c r="A94" t="s">
        <v>534</v>
      </c>
      <c r="B94" s="21" t="str">
        <f t="shared" si="6"/>
        <v>2016/12/15 03:33:30.993</v>
      </c>
      <c r="C94" s="21">
        <f t="shared" si="7"/>
        <v>3.1497604162723292E-2</v>
      </c>
    </row>
    <row r="95" spans="1:3" x14ac:dyDescent="0.25">
      <c r="A95" t="s">
        <v>535</v>
      </c>
      <c r="B95" s="21" t="str">
        <f t="shared" si="6"/>
        <v>2016/12/15 03:33:31.394</v>
      </c>
      <c r="C95" s="21">
        <f t="shared" si="7"/>
        <v>4.6412023948505521E-6</v>
      </c>
    </row>
    <row r="96" spans="1:3" x14ac:dyDescent="0.25">
      <c r="A96" t="s">
        <v>536</v>
      </c>
      <c r="B96" s="21" t="str">
        <f t="shared" si="6"/>
        <v>2016/12/15 03:55:06.113</v>
      </c>
      <c r="C96" s="21">
        <f t="shared" si="7"/>
        <v>1.4985173613240477E-2</v>
      </c>
    </row>
    <row r="97" spans="1:3" x14ac:dyDescent="0.25">
      <c r="A97" t="s">
        <v>537</v>
      </c>
      <c r="B97" s="21" t="str">
        <f t="shared" si="6"/>
        <v>2016/12/15 03:55:06.458</v>
      </c>
      <c r="C97" s="21">
        <f t="shared" si="7"/>
        <v>3.9930528146214783E-6</v>
      </c>
    </row>
    <row r="98" spans="1:3" x14ac:dyDescent="0.25">
      <c r="A98" t="s">
        <v>538</v>
      </c>
      <c r="B98" s="21" t="str">
        <f t="shared" si="6"/>
        <v>2016/12/15 04:10:06.205</v>
      </c>
      <c r="C98" s="21">
        <f t="shared" si="7"/>
        <v>1.0413738425995689E-2</v>
      </c>
    </row>
    <row r="99" spans="1:3" x14ac:dyDescent="0.25">
      <c r="A99" t="s">
        <v>539</v>
      </c>
      <c r="B99" s="21" t="str">
        <f t="shared" si="6"/>
        <v>2016/12/15 04:10:06.428</v>
      </c>
      <c r="C99" s="21">
        <f t="shared" si="7"/>
        <v>2.5810222723521292E-6</v>
      </c>
    </row>
    <row r="100" spans="1:3" x14ac:dyDescent="0.25">
      <c r="A100" t="s">
        <v>540</v>
      </c>
      <c r="B100" s="21" t="str">
        <f t="shared" si="6"/>
        <v>2016/12/15 04:36:28.698</v>
      </c>
      <c r="C100" s="21">
        <f t="shared" si="7"/>
        <v>1.831331018183846E-2</v>
      </c>
    </row>
    <row r="101" spans="1:3" x14ac:dyDescent="0.25">
      <c r="A101" t="s">
        <v>541</v>
      </c>
      <c r="B101" s="21" t="str">
        <f t="shared" si="6"/>
        <v>2016/12/15 04:36:28.792</v>
      </c>
      <c r="C101" s="21">
        <f t="shared" si="7"/>
        <v>1.0879666660912335E-6</v>
      </c>
    </row>
    <row r="102" spans="1:3" x14ac:dyDescent="0.25">
      <c r="A102" t="s">
        <v>542</v>
      </c>
      <c r="B102" s="21" t="str">
        <f t="shared" si="6"/>
        <v>2016/12/15 04:36:28.835</v>
      </c>
      <c r="C102" s="21">
        <f t="shared" si="7"/>
        <v>4.9768277676776052E-7</v>
      </c>
    </row>
    <row r="103" spans="1:3" x14ac:dyDescent="0.25">
      <c r="A103" t="s">
        <v>543</v>
      </c>
      <c r="B103" s="21" t="str">
        <f t="shared" si="6"/>
        <v>2016/12/15 05:30:06.715</v>
      </c>
      <c r="C103" s="21">
        <f t="shared" si="7"/>
        <v>3.7243981481879018E-2</v>
      </c>
    </row>
    <row r="104" spans="1:3" x14ac:dyDescent="0.25">
      <c r="A104" t="s">
        <v>544</v>
      </c>
      <c r="B104" s="21" t="str">
        <f t="shared" si="6"/>
        <v>2016/12/15 05:30:06.807</v>
      </c>
      <c r="C104" s="21">
        <f t="shared" si="7"/>
        <v>1.0648145689629018E-6</v>
      </c>
    </row>
    <row r="105" spans="1:3" x14ac:dyDescent="0.25">
      <c r="A105" t="s">
        <v>545</v>
      </c>
      <c r="B105" s="21" t="str">
        <f t="shared" si="6"/>
        <v>2016/12/15 05:30:06.852</v>
      </c>
      <c r="C105" s="21">
        <f t="shared" si="7"/>
        <v>5.2083487389609218E-7</v>
      </c>
    </row>
    <row r="106" spans="1:3" x14ac:dyDescent="0.25">
      <c r="A106" t="s">
        <v>546</v>
      </c>
      <c r="B106" s="21" t="str">
        <f t="shared" si="6"/>
        <v>2016/12/15 06:29:05.594</v>
      </c>
      <c r="C106" s="21">
        <f t="shared" si="7"/>
        <v>4.0957662036817055E-2</v>
      </c>
    </row>
    <row r="107" spans="1:3" x14ac:dyDescent="0.25">
      <c r="A107" t="s">
        <v>547</v>
      </c>
      <c r="B107" s="21" t="str">
        <f t="shared" si="6"/>
        <v>2016/12/15 06:29:05.877</v>
      </c>
      <c r="C107" s="21">
        <f t="shared" si="7"/>
        <v>3.2754614949226379E-6</v>
      </c>
    </row>
    <row r="108" spans="1:3" x14ac:dyDescent="0.25">
      <c r="A108" t="s">
        <v>548</v>
      </c>
      <c r="B108" s="21" t="str">
        <f t="shared" si="6"/>
        <v>2016/12/15 06:29:06.133</v>
      </c>
      <c r="C108" s="21">
        <f t="shared" si="7"/>
        <v>2.962966391351074E-6</v>
      </c>
    </row>
    <row r="109" spans="1:3" x14ac:dyDescent="0.25">
      <c r="A109" t="s">
        <v>549</v>
      </c>
      <c r="B109" s="21" t="str">
        <f t="shared" si="6"/>
        <v>2016/12/15 08:03:31.211</v>
      </c>
      <c r="C109" s="21">
        <f t="shared" si="7"/>
        <v>6.5568032405280974E-2</v>
      </c>
    </row>
    <row r="110" spans="1:3" x14ac:dyDescent="0.25">
      <c r="A110" t="s">
        <v>550</v>
      </c>
      <c r="B110" s="21" t="str">
        <f t="shared" si="6"/>
        <v>2016/12/15 08:03:31.442</v>
      </c>
      <c r="C110" s="21">
        <f t="shared" si="7"/>
        <v>2.6736088329926133E-6</v>
      </c>
    </row>
    <row r="111" spans="1:3" x14ac:dyDescent="0.25">
      <c r="A111" t="s">
        <v>551</v>
      </c>
      <c r="B111" s="21" t="str">
        <f t="shared" si="6"/>
        <v>2016/12/15 08:03:32.067</v>
      </c>
      <c r="C111" s="21">
        <f t="shared" si="7"/>
        <v>7.2338007157668471E-6</v>
      </c>
    </row>
    <row r="112" spans="1:3" x14ac:dyDescent="0.25">
      <c r="B112" s="21"/>
      <c r="C112" s="21"/>
    </row>
    <row r="113" spans="2:3" x14ac:dyDescent="0.25">
      <c r="B113" s="21"/>
      <c r="C113" s="21"/>
    </row>
    <row r="114" spans="2:3" x14ac:dyDescent="0.25">
      <c r="B114" s="21"/>
      <c r="C114" s="21"/>
    </row>
    <row r="115" spans="2:3" x14ac:dyDescent="0.25">
      <c r="B115" s="21"/>
      <c r="C115" s="21"/>
    </row>
    <row r="116" spans="2:3" x14ac:dyDescent="0.25">
      <c r="B116" s="21"/>
      <c r="C116" s="21"/>
    </row>
    <row r="117" spans="2:3" x14ac:dyDescent="0.25">
      <c r="B117" s="21"/>
      <c r="C117" s="21"/>
    </row>
    <row r="118" spans="2:3" x14ac:dyDescent="0.25">
      <c r="B118" s="21"/>
      <c r="C118" s="21"/>
    </row>
    <row r="119" spans="2:3" x14ac:dyDescent="0.25">
      <c r="B119" s="21"/>
      <c r="C119" s="21"/>
    </row>
    <row r="120" spans="2:3" x14ac:dyDescent="0.25">
      <c r="B120" s="21"/>
      <c r="C120" s="21"/>
    </row>
    <row r="121" spans="2:3" x14ac:dyDescent="0.25">
      <c r="B121" s="21"/>
      <c r="C121" s="21"/>
    </row>
    <row r="122" spans="2:3" x14ac:dyDescent="0.25">
      <c r="B122" s="21"/>
      <c r="C122" s="21"/>
    </row>
    <row r="123" spans="2:3" x14ac:dyDescent="0.25">
      <c r="B123" s="21"/>
      <c r="C123" s="21"/>
    </row>
    <row r="124" spans="2:3" x14ac:dyDescent="0.25">
      <c r="B124" s="21"/>
      <c r="C124" s="21"/>
    </row>
    <row r="125" spans="2:3" x14ac:dyDescent="0.25">
      <c r="B125" s="21"/>
      <c r="C125" s="21"/>
    </row>
    <row r="126" spans="2:3" x14ac:dyDescent="0.25">
      <c r="B126" s="21"/>
      <c r="C126" s="21"/>
    </row>
    <row r="127" spans="2:3" x14ac:dyDescent="0.25">
      <c r="B127" s="21"/>
      <c r="C127" s="21"/>
    </row>
    <row r="128" spans="2:3" x14ac:dyDescent="0.25">
      <c r="B128" s="21"/>
      <c r="C128" s="21"/>
    </row>
    <row r="129" spans="2:3" x14ac:dyDescent="0.25">
      <c r="B129" s="21"/>
      <c r="C129" s="21"/>
    </row>
    <row r="130" spans="2:3" x14ac:dyDescent="0.25">
      <c r="B130" s="21"/>
      <c r="C130" s="21"/>
    </row>
    <row r="131" spans="2:3" x14ac:dyDescent="0.25">
      <c r="B131" s="21"/>
      <c r="C131" s="21"/>
    </row>
    <row r="132" spans="2:3" x14ac:dyDescent="0.25">
      <c r="B132" s="21"/>
      <c r="C132" s="21"/>
    </row>
    <row r="133" spans="2:3" x14ac:dyDescent="0.25">
      <c r="B133" s="21"/>
      <c r="C133" s="21"/>
    </row>
    <row r="134" spans="2:3" x14ac:dyDescent="0.25">
      <c r="B134" s="21"/>
      <c r="C134" s="21"/>
    </row>
    <row r="135" spans="2:3" x14ac:dyDescent="0.25">
      <c r="B135" s="21"/>
      <c r="C135" s="21"/>
    </row>
    <row r="136" spans="2:3" x14ac:dyDescent="0.25">
      <c r="B136" s="21"/>
      <c r="C136" s="21"/>
    </row>
    <row r="137" spans="2:3" x14ac:dyDescent="0.25">
      <c r="B137" s="21"/>
      <c r="C137" s="21"/>
    </row>
    <row r="138" spans="2:3" x14ac:dyDescent="0.25">
      <c r="B138" s="21"/>
      <c r="C138" s="21"/>
    </row>
    <row r="139" spans="2:3" x14ac:dyDescent="0.25">
      <c r="B139" s="21"/>
      <c r="C139" s="21"/>
    </row>
    <row r="140" spans="2:3" x14ac:dyDescent="0.25">
      <c r="B140" s="21"/>
      <c r="C140" s="21"/>
    </row>
    <row r="141" spans="2:3" x14ac:dyDescent="0.25">
      <c r="B141" s="21"/>
      <c r="C141" s="21"/>
    </row>
    <row r="142" spans="2:3" x14ac:dyDescent="0.25">
      <c r="B142" s="21"/>
      <c r="C142" s="21"/>
    </row>
    <row r="143" spans="2:3" x14ac:dyDescent="0.25">
      <c r="B143" s="21"/>
      <c r="C143" s="21"/>
    </row>
    <row r="144" spans="2:3" x14ac:dyDescent="0.25">
      <c r="B144" s="21"/>
      <c r="C144" s="21"/>
    </row>
    <row r="145" spans="2:3" x14ac:dyDescent="0.25">
      <c r="B145" s="21"/>
      <c r="C145" s="21"/>
    </row>
    <row r="146" spans="2:3" x14ac:dyDescent="0.25">
      <c r="B146" s="21"/>
      <c r="C146" s="21"/>
    </row>
    <row r="147" spans="2:3" x14ac:dyDescent="0.25">
      <c r="B147" s="21"/>
      <c r="C147" s="21"/>
    </row>
    <row r="148" spans="2:3" x14ac:dyDescent="0.25">
      <c r="B148" s="21"/>
      <c r="C148" s="21"/>
    </row>
    <row r="149" spans="2:3" x14ac:dyDescent="0.25">
      <c r="B149" s="21"/>
      <c r="C149" s="21"/>
    </row>
    <row r="150" spans="2:3" x14ac:dyDescent="0.25">
      <c r="B150" s="21"/>
      <c r="C150" s="21"/>
    </row>
    <row r="151" spans="2:3" x14ac:dyDescent="0.25">
      <c r="B151" s="21"/>
      <c r="C151" s="21"/>
    </row>
    <row r="152" spans="2:3" x14ac:dyDescent="0.25">
      <c r="B152" s="21"/>
      <c r="C152" s="21"/>
    </row>
    <row r="153" spans="2:3" x14ac:dyDescent="0.25">
      <c r="B153" s="21"/>
      <c r="C153" s="21"/>
    </row>
    <row r="154" spans="2:3" x14ac:dyDescent="0.25">
      <c r="B154" s="21"/>
      <c r="C154" s="21"/>
    </row>
    <row r="155" spans="2:3" x14ac:dyDescent="0.25">
      <c r="B155" s="21"/>
      <c r="C155" s="21"/>
    </row>
    <row r="156" spans="2:3" x14ac:dyDescent="0.25">
      <c r="B156" s="21"/>
      <c r="C156" s="21"/>
    </row>
    <row r="157" spans="2:3" x14ac:dyDescent="0.25">
      <c r="B157" s="21"/>
      <c r="C157" s="21"/>
    </row>
    <row r="158" spans="2:3" x14ac:dyDescent="0.25">
      <c r="B158" s="21"/>
      <c r="C158" s="21"/>
    </row>
    <row r="159" spans="2:3" x14ac:dyDescent="0.25">
      <c r="B159" s="21"/>
      <c r="C159" s="21"/>
    </row>
    <row r="160" spans="2:3" x14ac:dyDescent="0.25">
      <c r="B160" s="21"/>
      <c r="C160" s="21"/>
    </row>
    <row r="161" spans="2:3" x14ac:dyDescent="0.25">
      <c r="B161" s="21"/>
      <c r="C161" s="21"/>
    </row>
    <row r="162" spans="2:3" x14ac:dyDescent="0.25">
      <c r="B162" s="21"/>
      <c r="C162" s="21"/>
    </row>
    <row r="163" spans="2:3" x14ac:dyDescent="0.25">
      <c r="B163" s="21"/>
      <c r="C163" s="21"/>
    </row>
    <row r="164" spans="2:3" x14ac:dyDescent="0.25">
      <c r="B164" s="21"/>
      <c r="C164" s="21"/>
    </row>
    <row r="165" spans="2:3" x14ac:dyDescent="0.25">
      <c r="B165" s="21"/>
      <c r="C165" s="21"/>
    </row>
    <row r="166" spans="2:3" x14ac:dyDescent="0.25">
      <c r="B166" s="21"/>
      <c r="C166" s="21"/>
    </row>
    <row r="167" spans="2:3" x14ac:dyDescent="0.25">
      <c r="B167" s="21"/>
      <c r="C167" s="21"/>
    </row>
    <row r="168" spans="2:3" x14ac:dyDescent="0.25">
      <c r="B168" s="21"/>
      <c r="C168" s="21"/>
    </row>
    <row r="169" spans="2:3" x14ac:dyDescent="0.25">
      <c r="B169" s="21"/>
      <c r="C169" s="21"/>
    </row>
    <row r="170" spans="2:3" x14ac:dyDescent="0.25">
      <c r="B170" s="21"/>
      <c r="C170" s="21"/>
    </row>
    <row r="171" spans="2:3" x14ac:dyDescent="0.25">
      <c r="B171" s="21"/>
      <c r="C171" s="21"/>
    </row>
    <row r="172" spans="2:3" x14ac:dyDescent="0.25">
      <c r="B172" s="21"/>
      <c r="C172" s="21"/>
    </row>
    <row r="173" spans="2:3" x14ac:dyDescent="0.25">
      <c r="B173" s="21"/>
      <c r="C173" s="21"/>
    </row>
    <row r="174" spans="2:3" x14ac:dyDescent="0.25">
      <c r="B174" s="21"/>
      <c r="C174" s="21"/>
    </row>
    <row r="175" spans="2:3" x14ac:dyDescent="0.25">
      <c r="B175" s="21"/>
      <c r="C175" s="21"/>
    </row>
    <row r="176" spans="2:3" x14ac:dyDescent="0.25">
      <c r="B176" s="21"/>
      <c r="C176" s="21"/>
    </row>
    <row r="177" spans="2:3" x14ac:dyDescent="0.25">
      <c r="B177" s="21"/>
      <c r="C177" s="21"/>
    </row>
    <row r="178" spans="2:3" x14ac:dyDescent="0.25">
      <c r="B178" s="21"/>
      <c r="C178" s="21"/>
    </row>
    <row r="179" spans="2:3" x14ac:dyDescent="0.25">
      <c r="B179" s="21"/>
      <c r="C179" s="21"/>
    </row>
    <row r="180" spans="2:3" x14ac:dyDescent="0.25">
      <c r="B180" s="21"/>
      <c r="C180" s="21"/>
    </row>
    <row r="181" spans="2:3" x14ac:dyDescent="0.25">
      <c r="B181" s="21"/>
      <c r="C181" s="21"/>
    </row>
    <row r="182" spans="2:3" x14ac:dyDescent="0.25">
      <c r="B182" s="21"/>
      <c r="C182" s="21"/>
    </row>
    <row r="183" spans="2:3" x14ac:dyDescent="0.25">
      <c r="B183" s="21"/>
      <c r="C183" s="21"/>
    </row>
    <row r="184" spans="2:3" x14ac:dyDescent="0.25">
      <c r="B184" s="21"/>
      <c r="C184" s="21"/>
    </row>
    <row r="185" spans="2:3" x14ac:dyDescent="0.25">
      <c r="B185" s="21"/>
      <c r="C185" s="21"/>
    </row>
    <row r="186" spans="2:3" x14ac:dyDescent="0.25">
      <c r="B186" s="21"/>
      <c r="C186" s="21"/>
    </row>
    <row r="187" spans="2:3" x14ac:dyDescent="0.25">
      <c r="B187" s="21"/>
      <c r="C187" s="21"/>
    </row>
    <row r="188" spans="2:3" x14ac:dyDescent="0.25">
      <c r="B188" s="21"/>
      <c r="C188" s="21"/>
    </row>
    <row r="189" spans="2:3" x14ac:dyDescent="0.25">
      <c r="B189" s="21"/>
      <c r="C189" s="21"/>
    </row>
    <row r="190" spans="2:3" x14ac:dyDescent="0.25">
      <c r="B190" s="21"/>
      <c r="C190" s="21"/>
    </row>
    <row r="191" spans="2:3" x14ac:dyDescent="0.25">
      <c r="B191" s="21"/>
      <c r="C191" s="21"/>
    </row>
    <row r="192" spans="2:3" x14ac:dyDescent="0.25">
      <c r="B192" s="21"/>
      <c r="C192" s="21"/>
    </row>
    <row r="193" spans="2:3" x14ac:dyDescent="0.25">
      <c r="B193" s="21"/>
      <c r="C193" s="21"/>
    </row>
    <row r="194" spans="2:3" x14ac:dyDescent="0.25">
      <c r="B194" s="21"/>
      <c r="C194" s="21"/>
    </row>
    <row r="195" spans="2:3" x14ac:dyDescent="0.25">
      <c r="B195" s="21"/>
      <c r="C195" s="21"/>
    </row>
    <row r="196" spans="2:3" x14ac:dyDescent="0.25">
      <c r="B196" s="21"/>
      <c r="C196" s="21"/>
    </row>
    <row r="197" spans="2:3" x14ac:dyDescent="0.25">
      <c r="B197" s="21"/>
      <c r="C197" s="21"/>
    </row>
    <row r="198" spans="2:3" x14ac:dyDescent="0.25">
      <c r="B198" s="21"/>
      <c r="C198" s="21"/>
    </row>
    <row r="199" spans="2:3" x14ac:dyDescent="0.25">
      <c r="B199" s="21"/>
      <c r="C199" s="21"/>
    </row>
    <row r="200" spans="2:3" x14ac:dyDescent="0.25">
      <c r="B200" s="21"/>
      <c r="C200" s="21"/>
    </row>
    <row r="201" spans="2:3" x14ac:dyDescent="0.25">
      <c r="B201" s="21"/>
      <c r="C201" s="21"/>
    </row>
    <row r="202" spans="2:3" x14ac:dyDescent="0.25">
      <c r="B202" s="21"/>
      <c r="C202" s="21"/>
    </row>
    <row r="203" spans="2:3" x14ac:dyDescent="0.25">
      <c r="B203" s="21"/>
      <c r="C203" s="21"/>
    </row>
    <row r="204" spans="2:3" x14ac:dyDescent="0.25">
      <c r="B204" s="21"/>
      <c r="C204" s="21"/>
    </row>
    <row r="205" spans="2:3" x14ac:dyDescent="0.25">
      <c r="B205" s="21"/>
      <c r="C205" s="21"/>
    </row>
    <row r="206" spans="2:3" x14ac:dyDescent="0.25">
      <c r="B206" s="21"/>
      <c r="C206" s="21"/>
    </row>
    <row r="207" spans="2:3" x14ac:dyDescent="0.25">
      <c r="B207" s="21"/>
      <c r="C207" s="21"/>
    </row>
    <row r="208" spans="2:3" x14ac:dyDescent="0.25">
      <c r="B208" s="21"/>
      <c r="C208" s="21"/>
    </row>
    <row r="209" spans="2:3" x14ac:dyDescent="0.25">
      <c r="B209" s="21"/>
      <c r="C209" s="21"/>
    </row>
    <row r="210" spans="2:3" x14ac:dyDescent="0.25">
      <c r="B210" s="21"/>
      <c r="C210" s="21"/>
    </row>
    <row r="211" spans="2:3" x14ac:dyDescent="0.25">
      <c r="B211" s="21"/>
      <c r="C211" s="21"/>
    </row>
    <row r="212" spans="2:3" x14ac:dyDescent="0.25">
      <c r="B212" s="21"/>
      <c r="C212" s="21"/>
    </row>
    <row r="213" spans="2:3" x14ac:dyDescent="0.25">
      <c r="B213" s="21"/>
      <c r="C213" s="21"/>
    </row>
    <row r="214" spans="2:3" x14ac:dyDescent="0.25">
      <c r="B214" s="21"/>
      <c r="C214" s="21"/>
    </row>
    <row r="215" spans="2:3" x14ac:dyDescent="0.25">
      <c r="B215" s="21"/>
      <c r="C215" s="21"/>
    </row>
    <row r="216" spans="2:3" x14ac:dyDescent="0.25">
      <c r="B216" s="21"/>
      <c r="C216" s="21"/>
    </row>
    <row r="217" spans="2:3" x14ac:dyDescent="0.25">
      <c r="B217" s="21"/>
      <c r="C217" s="21"/>
    </row>
    <row r="218" spans="2:3" x14ac:dyDescent="0.25">
      <c r="B218" s="21"/>
      <c r="C218" s="21"/>
    </row>
    <row r="219" spans="2:3" x14ac:dyDescent="0.25">
      <c r="B219" s="21"/>
      <c r="C219" s="21"/>
    </row>
    <row r="220" spans="2:3" x14ac:dyDescent="0.25">
      <c r="B220" s="21"/>
      <c r="C220" s="21"/>
    </row>
    <row r="221" spans="2:3" x14ac:dyDescent="0.25">
      <c r="B221" s="21"/>
      <c r="C221" s="21"/>
    </row>
    <row r="222" spans="2:3" x14ac:dyDescent="0.25">
      <c r="B222" s="21"/>
      <c r="C222" s="21"/>
    </row>
    <row r="223" spans="2:3" x14ac:dyDescent="0.25">
      <c r="B223" s="21"/>
      <c r="C223" s="21"/>
    </row>
    <row r="224" spans="2:3" x14ac:dyDescent="0.25">
      <c r="B224" s="21"/>
      <c r="C224" s="21"/>
    </row>
    <row r="225" spans="2:3" x14ac:dyDescent="0.25">
      <c r="B225" s="21"/>
      <c r="C225" s="21"/>
    </row>
    <row r="226" spans="2:3" x14ac:dyDescent="0.25">
      <c r="B226" s="21"/>
      <c r="C226" s="21"/>
    </row>
    <row r="227" spans="2:3" x14ac:dyDescent="0.25">
      <c r="B227" s="21"/>
      <c r="C227" s="21"/>
    </row>
    <row r="228" spans="2:3" x14ac:dyDescent="0.25">
      <c r="B228" s="21"/>
      <c r="C228" s="21"/>
    </row>
    <row r="229" spans="2:3" x14ac:dyDescent="0.25">
      <c r="B229" s="21"/>
      <c r="C229" s="21"/>
    </row>
    <row r="230" spans="2:3" x14ac:dyDescent="0.25">
      <c r="B230" s="21"/>
      <c r="C230" s="21"/>
    </row>
    <row r="231" spans="2:3" x14ac:dyDescent="0.25">
      <c r="B231" s="21"/>
      <c r="C231" s="21"/>
    </row>
    <row r="232" spans="2:3" x14ac:dyDescent="0.25">
      <c r="B232" s="21"/>
      <c r="C232" s="21"/>
    </row>
    <row r="233" spans="2:3" x14ac:dyDescent="0.25">
      <c r="B233" s="21"/>
      <c r="C233" s="21"/>
    </row>
    <row r="234" spans="2:3" x14ac:dyDescent="0.25">
      <c r="B234" s="21"/>
      <c r="C234" s="21"/>
    </row>
    <row r="235" spans="2:3" x14ac:dyDescent="0.25">
      <c r="B235" s="21"/>
      <c r="C235" s="21"/>
    </row>
    <row r="236" spans="2:3" x14ac:dyDescent="0.25">
      <c r="B236" s="21"/>
      <c r="C236" s="21"/>
    </row>
    <row r="237" spans="2:3" x14ac:dyDescent="0.25">
      <c r="B237" s="21"/>
      <c r="C237" s="21"/>
    </row>
    <row r="238" spans="2:3" x14ac:dyDescent="0.25">
      <c r="B238" s="21"/>
      <c r="C238" s="21"/>
    </row>
    <row r="239" spans="2:3" x14ac:dyDescent="0.25">
      <c r="B239" s="21"/>
      <c r="C239" s="21"/>
    </row>
    <row r="240" spans="2:3" x14ac:dyDescent="0.25">
      <c r="B240" s="21"/>
      <c r="C240" s="21"/>
    </row>
    <row r="241" spans="2:3" x14ac:dyDescent="0.25">
      <c r="B241" s="21"/>
      <c r="C241" s="21"/>
    </row>
    <row r="242" spans="2:3" x14ac:dyDescent="0.25">
      <c r="B242" s="21"/>
      <c r="C242" s="21"/>
    </row>
    <row r="243" spans="2:3" x14ac:dyDescent="0.25">
      <c r="B243" s="21"/>
      <c r="C243" s="21"/>
    </row>
    <row r="244" spans="2:3" x14ac:dyDescent="0.25">
      <c r="B244" s="21"/>
      <c r="C244" s="21"/>
    </row>
    <row r="245" spans="2:3" x14ac:dyDescent="0.25">
      <c r="B245" s="21"/>
      <c r="C245" s="21"/>
    </row>
    <row r="246" spans="2:3" x14ac:dyDescent="0.25">
      <c r="B246" s="21"/>
      <c r="C246" s="21"/>
    </row>
    <row r="247" spans="2:3" x14ac:dyDescent="0.25">
      <c r="B247" s="21"/>
      <c r="C247" s="21"/>
    </row>
    <row r="248" spans="2:3" x14ac:dyDescent="0.25">
      <c r="B248" s="21"/>
      <c r="C248" s="21"/>
    </row>
    <row r="249" spans="2:3" x14ac:dyDescent="0.25">
      <c r="B249" s="21"/>
      <c r="C249" s="21"/>
    </row>
    <row r="250" spans="2:3" x14ac:dyDescent="0.25">
      <c r="B250" s="21"/>
      <c r="C250" s="21"/>
    </row>
    <row r="251" spans="2:3" x14ac:dyDescent="0.25">
      <c r="B251" s="21"/>
      <c r="C251" s="21"/>
    </row>
    <row r="252" spans="2:3" x14ac:dyDescent="0.25">
      <c r="B252" s="21"/>
      <c r="C252" s="21"/>
    </row>
    <row r="253" spans="2:3" x14ac:dyDescent="0.25">
      <c r="B253" s="21"/>
      <c r="C253" s="21"/>
    </row>
    <row r="254" spans="2:3" x14ac:dyDescent="0.25">
      <c r="B254" s="21"/>
      <c r="C254" s="21"/>
    </row>
    <row r="255" spans="2:3" x14ac:dyDescent="0.25">
      <c r="B255" s="21"/>
      <c r="C255" s="21"/>
    </row>
    <row r="256" spans="2:3" x14ac:dyDescent="0.25">
      <c r="B256" s="21"/>
      <c r="C256" s="21"/>
    </row>
    <row r="257" spans="2:3" x14ac:dyDescent="0.25">
      <c r="B257" s="21"/>
      <c r="C257" s="21"/>
    </row>
    <row r="258" spans="2:3" x14ac:dyDescent="0.25">
      <c r="B258" s="21"/>
      <c r="C258" s="21"/>
    </row>
    <row r="259" spans="2:3" x14ac:dyDescent="0.25">
      <c r="B259" s="21"/>
      <c r="C259" s="21"/>
    </row>
    <row r="260" spans="2:3" x14ac:dyDescent="0.25">
      <c r="B260" s="21"/>
      <c r="C260" s="21"/>
    </row>
    <row r="261" spans="2:3" x14ac:dyDescent="0.25">
      <c r="B261" s="21"/>
      <c r="C261" s="21"/>
    </row>
    <row r="262" spans="2:3" x14ac:dyDescent="0.25">
      <c r="B262" s="21"/>
      <c r="C262" s="21"/>
    </row>
    <row r="263" spans="2:3" x14ac:dyDescent="0.25">
      <c r="B263" s="21"/>
      <c r="C263" s="21"/>
    </row>
    <row r="264" spans="2:3" x14ac:dyDescent="0.25">
      <c r="B264" s="21"/>
      <c r="C264" s="21"/>
    </row>
    <row r="265" spans="2:3" x14ac:dyDescent="0.25">
      <c r="B265" s="21"/>
      <c r="C265" s="21"/>
    </row>
    <row r="266" spans="2:3" x14ac:dyDescent="0.25">
      <c r="B266" s="21"/>
      <c r="C266" s="21"/>
    </row>
    <row r="267" spans="2:3" x14ac:dyDescent="0.25">
      <c r="B267" s="21"/>
      <c r="C267" s="21"/>
    </row>
    <row r="268" spans="2:3" x14ac:dyDescent="0.25">
      <c r="B268" s="21"/>
      <c r="C268" s="21"/>
    </row>
    <row r="269" spans="2:3" x14ac:dyDescent="0.25">
      <c r="B269" s="21"/>
      <c r="C269" s="21"/>
    </row>
    <row r="270" spans="2:3" x14ac:dyDescent="0.25">
      <c r="B270" s="21"/>
      <c r="C270" s="21"/>
    </row>
    <row r="271" spans="2:3" x14ac:dyDescent="0.25">
      <c r="B271" s="21"/>
      <c r="C271" s="21"/>
    </row>
    <row r="272" spans="2:3" x14ac:dyDescent="0.25">
      <c r="B272" s="21"/>
      <c r="C272" s="21"/>
    </row>
    <row r="273" spans="2:3" x14ac:dyDescent="0.25">
      <c r="B273" s="21"/>
      <c r="C273" s="21"/>
    </row>
    <row r="274" spans="2:3" x14ac:dyDescent="0.25">
      <c r="B274" s="21"/>
      <c r="C274" s="21"/>
    </row>
    <row r="275" spans="2:3" x14ac:dyDescent="0.25">
      <c r="B275" s="21"/>
      <c r="C275" s="21"/>
    </row>
    <row r="276" spans="2:3" x14ac:dyDescent="0.25">
      <c r="B276" s="21"/>
      <c r="C276" s="21"/>
    </row>
    <row r="277" spans="2:3" x14ac:dyDescent="0.25">
      <c r="B277" s="21"/>
      <c r="C277" s="21"/>
    </row>
    <row r="278" spans="2:3" x14ac:dyDescent="0.25">
      <c r="B278" s="21"/>
      <c r="C278" s="21"/>
    </row>
    <row r="279" spans="2:3" x14ac:dyDescent="0.25">
      <c r="B279" s="21"/>
      <c r="C279" s="21"/>
    </row>
    <row r="280" spans="2:3" x14ac:dyDescent="0.25">
      <c r="B280" s="21"/>
      <c r="C280" s="21"/>
    </row>
    <row r="281" spans="2:3" x14ac:dyDescent="0.25">
      <c r="B281" s="21"/>
      <c r="C281" s="21"/>
    </row>
  </sheetData>
  <sortState ref="A1:A281">
    <sortCondition ref="A1:A281"/>
  </sortState>
  <conditionalFormatting sqref="C1:C1048576">
    <cfRule type="cellIs" dxfId="0" priority="1" operator="greaterThan">
      <formula>0.000115740740740741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Train Runs</vt:lpstr>
      <vt:lpstr>Enforcements</vt:lpstr>
      <vt:lpstr>Missing Trips</vt:lpstr>
      <vt:lpstr>Trips&amp;Operators</vt:lpstr>
      <vt:lpstr>Weather</vt:lpstr>
      <vt:lpstr>Variables</vt:lpstr>
      <vt:lpstr>Redmine List Values</vt:lpstr>
      <vt:lpstr>Slice Disagreement Check</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2016-12-19T16:35:57Z</dcterms:modified>
</cp:coreProperties>
</file>