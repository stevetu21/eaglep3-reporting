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00000000-0000-0000-0000-000000000000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9180" windowHeight="3135" activeTab="1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Enforcements!$A$6:$AC$33</definedName>
    <definedName name="_xlnm._FilterDatabase" localSheetId="2" hidden="1">'Missing Trips'!$A$2:$J$120</definedName>
    <definedName name="_xlnm._FilterDatabase" localSheetId="0" hidden="1">'Train Runs'!$A$12:$AG$233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Runs'!$A$12:$J$54</definedName>
    <definedName name="dls3logs">Variables!$M$31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56" i="1" l="1"/>
  <c r="N154" i="1"/>
  <c r="Z13" i="3"/>
  <c r="Z14" i="3"/>
  <c r="Z15" i="3"/>
  <c r="Z12" i="3"/>
  <c r="P13" i="1"/>
  <c r="K14" i="1"/>
  <c r="L14" i="1"/>
  <c r="M14" i="1"/>
  <c r="N14" i="1" s="1"/>
  <c r="V14" i="1"/>
  <c r="Y14" i="1"/>
  <c r="Z14" i="1"/>
  <c r="AB14" i="1"/>
  <c r="AC14" i="1"/>
  <c r="AD14" i="1"/>
  <c r="AE14" i="1"/>
  <c r="AF14" i="1"/>
  <c r="AH14" i="1"/>
  <c r="AM14" i="1"/>
  <c r="AN14" i="1"/>
  <c r="K15" i="1"/>
  <c r="L15" i="1"/>
  <c r="M15" i="1"/>
  <c r="N15" i="1" s="1"/>
  <c r="V15" i="1"/>
  <c r="Y15" i="1"/>
  <c r="AA15" i="1" s="1"/>
  <c r="Z15" i="1"/>
  <c r="AB15" i="1"/>
  <c r="AC15" i="1"/>
  <c r="AD15" i="1"/>
  <c r="AG15" i="1" s="1"/>
  <c r="AE15" i="1"/>
  <c r="AF15" i="1"/>
  <c r="AH15" i="1"/>
  <c r="AM15" i="1"/>
  <c r="AN15" i="1"/>
  <c r="K16" i="1"/>
  <c r="L16" i="1"/>
  <c r="M16" i="1"/>
  <c r="N16" i="1" s="1"/>
  <c r="V16" i="1"/>
  <c r="Y16" i="1"/>
  <c r="Z16" i="1"/>
  <c r="AA16" i="1" s="1"/>
  <c r="AB16" i="1"/>
  <c r="AC16" i="1"/>
  <c r="AD16" i="1"/>
  <c r="X16" i="1" s="1"/>
  <c r="AE16" i="1"/>
  <c r="AF16" i="1"/>
  <c r="AH16" i="1"/>
  <c r="AM16" i="1"/>
  <c r="AN16" i="1"/>
  <c r="K17" i="1"/>
  <c r="L17" i="1"/>
  <c r="M17" i="1"/>
  <c r="N17" i="1" s="1"/>
  <c r="V17" i="1"/>
  <c r="Y17" i="1"/>
  <c r="Z17" i="1"/>
  <c r="AB17" i="1"/>
  <c r="AC17" i="1"/>
  <c r="AD17" i="1"/>
  <c r="T17" i="1" s="1"/>
  <c r="AE17" i="1"/>
  <c r="AF17" i="1"/>
  <c r="AH17" i="1"/>
  <c r="AM17" i="1"/>
  <c r="AN17" i="1"/>
  <c r="K18" i="1"/>
  <c r="L18" i="1"/>
  <c r="M18" i="1"/>
  <c r="N18" i="1"/>
  <c r="V18" i="1"/>
  <c r="Y18" i="1"/>
  <c r="Z18" i="1"/>
  <c r="AB18" i="1"/>
  <c r="AC18" i="1"/>
  <c r="AD18" i="1"/>
  <c r="T18" i="1" s="1"/>
  <c r="AE18" i="1"/>
  <c r="AF18" i="1"/>
  <c r="AH18" i="1"/>
  <c r="AM18" i="1"/>
  <c r="AN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AM19" i="1"/>
  <c r="AN19" i="1"/>
  <c r="K20" i="1"/>
  <c r="L20" i="1"/>
  <c r="M20" i="1"/>
  <c r="N20" i="1" s="1"/>
  <c r="V20" i="1"/>
  <c r="X20" i="1"/>
  <c r="Y20" i="1"/>
  <c r="Z20" i="1"/>
  <c r="AA20" i="1"/>
  <c r="AB20" i="1"/>
  <c r="AC20" i="1"/>
  <c r="AD20" i="1"/>
  <c r="AG20" i="1" s="1"/>
  <c r="AE20" i="1"/>
  <c r="AF20" i="1"/>
  <c r="AH20" i="1"/>
  <c r="AM20" i="1"/>
  <c r="AN20" i="1"/>
  <c r="K21" i="1"/>
  <c r="L21" i="1"/>
  <c r="M21" i="1"/>
  <c r="N21" i="1" s="1"/>
  <c r="V21" i="1"/>
  <c r="Y21" i="1"/>
  <c r="Z21" i="1"/>
  <c r="AB21" i="1"/>
  <c r="AC21" i="1"/>
  <c r="AD21" i="1"/>
  <c r="T21" i="1" s="1"/>
  <c r="AE21" i="1"/>
  <c r="AF21" i="1"/>
  <c r="AH21" i="1"/>
  <c r="AM21" i="1"/>
  <c r="AN21" i="1"/>
  <c r="K22" i="1"/>
  <c r="L22" i="1"/>
  <c r="M22" i="1"/>
  <c r="N22" i="1"/>
  <c r="V22" i="1"/>
  <c r="Y22" i="1"/>
  <c r="Z22" i="1"/>
  <c r="AB22" i="1"/>
  <c r="AC22" i="1"/>
  <c r="AD22" i="1"/>
  <c r="T22" i="1" s="1"/>
  <c r="AE22" i="1"/>
  <c r="AF22" i="1"/>
  <c r="AH22" i="1"/>
  <c r="AM22" i="1"/>
  <c r="AN22" i="1"/>
  <c r="K23" i="1"/>
  <c r="L23" i="1"/>
  <c r="M23" i="1"/>
  <c r="N23" i="1"/>
  <c r="V23" i="1"/>
  <c r="Y23" i="1"/>
  <c r="Z23" i="1"/>
  <c r="AB23" i="1"/>
  <c r="AC23" i="1"/>
  <c r="AD23" i="1"/>
  <c r="T23" i="1" s="1"/>
  <c r="AE23" i="1"/>
  <c r="AF23" i="1"/>
  <c r="AH23" i="1"/>
  <c r="AM23" i="1"/>
  <c r="AN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AM24" i="1"/>
  <c r="AN24" i="1"/>
  <c r="K25" i="1"/>
  <c r="L25" i="1"/>
  <c r="M25" i="1"/>
  <c r="N25" i="1" s="1"/>
  <c r="V25" i="1"/>
  <c r="Y25" i="1"/>
  <c r="Z25" i="1"/>
  <c r="AB25" i="1"/>
  <c r="AC25" i="1"/>
  <c r="AD25" i="1"/>
  <c r="AE25" i="1"/>
  <c r="AF25" i="1"/>
  <c r="AH25" i="1"/>
  <c r="AM25" i="1"/>
  <c r="AN25" i="1"/>
  <c r="K26" i="1"/>
  <c r="L26" i="1"/>
  <c r="M26" i="1"/>
  <c r="N26" i="1"/>
  <c r="V26" i="1"/>
  <c r="Y26" i="1"/>
  <c r="Z26" i="1"/>
  <c r="AB26" i="1"/>
  <c r="AC26" i="1"/>
  <c r="AD26" i="1"/>
  <c r="T26" i="1" s="1"/>
  <c r="AE26" i="1"/>
  <c r="AF26" i="1"/>
  <c r="AH26" i="1"/>
  <c r="AM26" i="1"/>
  <c r="AN26" i="1"/>
  <c r="K27" i="1"/>
  <c r="L27" i="1"/>
  <c r="M27" i="1"/>
  <c r="N27" i="1" s="1"/>
  <c r="V27" i="1"/>
  <c r="Y27" i="1"/>
  <c r="Z27" i="1"/>
  <c r="AA27" i="1" s="1"/>
  <c r="AB27" i="1"/>
  <c r="AC27" i="1"/>
  <c r="AD27" i="1"/>
  <c r="T27" i="1" s="1"/>
  <c r="AE27" i="1"/>
  <c r="AF27" i="1"/>
  <c r="AH27" i="1"/>
  <c r="AM27" i="1"/>
  <c r="AN27" i="1"/>
  <c r="K28" i="1"/>
  <c r="L28" i="1"/>
  <c r="M28" i="1"/>
  <c r="N28" i="1" s="1"/>
  <c r="V28" i="1"/>
  <c r="Y28" i="1"/>
  <c r="Z28" i="1"/>
  <c r="AA28" i="1"/>
  <c r="W28" i="1" s="1"/>
  <c r="AB28" i="1"/>
  <c r="AC28" i="1"/>
  <c r="AD28" i="1"/>
  <c r="T28" i="1" s="1"/>
  <c r="AE28" i="1"/>
  <c r="AF28" i="1"/>
  <c r="AG28" i="1"/>
  <c r="AH28" i="1"/>
  <c r="AI28" i="1"/>
  <c r="AM28" i="1"/>
  <c r="AN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AF29" i="1"/>
  <c r="AH29" i="1"/>
  <c r="AM29" i="1"/>
  <c r="AN29" i="1"/>
  <c r="K30" i="1"/>
  <c r="L30" i="1"/>
  <c r="M30" i="1"/>
  <c r="N30" i="1" s="1"/>
  <c r="V30" i="1"/>
  <c r="Y30" i="1"/>
  <c r="Z30" i="1"/>
  <c r="AA30" i="1" s="1"/>
  <c r="AB30" i="1"/>
  <c r="AC30" i="1"/>
  <c r="AD30" i="1"/>
  <c r="T30" i="1" s="1"/>
  <c r="AE30" i="1"/>
  <c r="AF30" i="1"/>
  <c r="AH30" i="1"/>
  <c r="AM30" i="1"/>
  <c r="AN30" i="1"/>
  <c r="K31" i="1"/>
  <c r="L31" i="1"/>
  <c r="M31" i="1"/>
  <c r="N31" i="1"/>
  <c r="V31" i="1"/>
  <c r="Y31" i="1"/>
  <c r="AA31" i="1" s="1"/>
  <c r="Z31" i="1"/>
  <c r="AB31" i="1"/>
  <c r="AC31" i="1"/>
  <c r="AD31" i="1"/>
  <c r="T31" i="1" s="1"/>
  <c r="AE31" i="1"/>
  <c r="AF31" i="1"/>
  <c r="AH31" i="1"/>
  <c r="AM31" i="1"/>
  <c r="AN31" i="1"/>
  <c r="K32" i="1"/>
  <c r="L32" i="1"/>
  <c r="M32" i="1"/>
  <c r="N32" i="1" s="1"/>
  <c r="V32" i="1"/>
  <c r="Y32" i="1"/>
  <c r="Z32" i="1"/>
  <c r="AB32" i="1"/>
  <c r="AC32" i="1"/>
  <c r="AD32" i="1"/>
  <c r="X32" i="1" s="1"/>
  <c r="AE32" i="1"/>
  <c r="AF32" i="1"/>
  <c r="AH32" i="1"/>
  <c r="AM32" i="1"/>
  <c r="AN32" i="1"/>
  <c r="K33" i="1"/>
  <c r="L33" i="1"/>
  <c r="M33" i="1"/>
  <c r="N33" i="1" s="1"/>
  <c r="V33" i="1"/>
  <c r="Y33" i="1"/>
  <c r="Z33" i="1"/>
  <c r="AB33" i="1"/>
  <c r="AC33" i="1"/>
  <c r="AD33" i="1"/>
  <c r="T33" i="1" s="1"/>
  <c r="AE33" i="1"/>
  <c r="AF33" i="1"/>
  <c r="AH33" i="1"/>
  <c r="AM33" i="1"/>
  <c r="AN33" i="1"/>
  <c r="K34" i="1"/>
  <c r="L34" i="1"/>
  <c r="M34" i="1"/>
  <c r="N34" i="1"/>
  <c r="V34" i="1"/>
  <c r="Y34" i="1"/>
  <c r="Z34" i="1"/>
  <c r="AB34" i="1"/>
  <c r="AC34" i="1"/>
  <c r="AD34" i="1"/>
  <c r="T34" i="1" s="1"/>
  <c r="AE34" i="1"/>
  <c r="AF34" i="1"/>
  <c r="AH34" i="1"/>
  <c r="AM34" i="1"/>
  <c r="AN34" i="1"/>
  <c r="K35" i="1"/>
  <c r="L35" i="1"/>
  <c r="M35" i="1"/>
  <c r="N35" i="1" s="1"/>
  <c r="V35" i="1"/>
  <c r="Y35" i="1"/>
  <c r="Z35" i="1"/>
  <c r="AA35" i="1" s="1"/>
  <c r="AB35" i="1"/>
  <c r="AC35" i="1"/>
  <c r="AD35" i="1"/>
  <c r="T35" i="1" s="1"/>
  <c r="AE35" i="1"/>
  <c r="AF35" i="1"/>
  <c r="AH35" i="1"/>
  <c r="AM35" i="1"/>
  <c r="AN35" i="1"/>
  <c r="K36" i="1"/>
  <c r="L36" i="1"/>
  <c r="M36" i="1"/>
  <c r="N36" i="1" s="1"/>
  <c r="V36" i="1"/>
  <c r="X36" i="1"/>
  <c r="Y36" i="1"/>
  <c r="Z36" i="1"/>
  <c r="AA36" i="1"/>
  <c r="AB36" i="1"/>
  <c r="AC36" i="1"/>
  <c r="AD36" i="1"/>
  <c r="AG36" i="1" s="1"/>
  <c r="AE36" i="1"/>
  <c r="AF36" i="1"/>
  <c r="AH36" i="1"/>
  <c r="AM36" i="1"/>
  <c r="AN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AM37" i="1"/>
  <c r="AN37" i="1"/>
  <c r="K38" i="1"/>
  <c r="L38" i="1"/>
  <c r="M38" i="1"/>
  <c r="N38" i="1"/>
  <c r="V38" i="1"/>
  <c r="Y38" i="1"/>
  <c r="Z38" i="1"/>
  <c r="AB38" i="1"/>
  <c r="AC38" i="1"/>
  <c r="AD38" i="1"/>
  <c r="AE38" i="1"/>
  <c r="AF38" i="1"/>
  <c r="AH38" i="1"/>
  <c r="AM38" i="1"/>
  <c r="AN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AF39" i="1"/>
  <c r="AH39" i="1"/>
  <c r="AM39" i="1"/>
  <c r="AN39" i="1"/>
  <c r="K40" i="1"/>
  <c r="L40" i="1"/>
  <c r="M40" i="1"/>
  <c r="N40" i="1" s="1"/>
  <c r="V40" i="1"/>
  <c r="Y40" i="1"/>
  <c r="Z40" i="1"/>
  <c r="AB40" i="1"/>
  <c r="AC40" i="1"/>
  <c r="AD40" i="1"/>
  <c r="T40" i="1" s="1"/>
  <c r="AE40" i="1"/>
  <c r="AF40" i="1"/>
  <c r="AH40" i="1"/>
  <c r="AM40" i="1"/>
  <c r="AN40" i="1"/>
  <c r="K41" i="1"/>
  <c r="L41" i="1"/>
  <c r="M41" i="1"/>
  <c r="N41" i="1" s="1"/>
  <c r="V41" i="1"/>
  <c r="Y41" i="1"/>
  <c r="Z41" i="1"/>
  <c r="AB41" i="1"/>
  <c r="AC41" i="1"/>
  <c r="AD41" i="1"/>
  <c r="AE41" i="1"/>
  <c r="AF41" i="1"/>
  <c r="AH41" i="1"/>
  <c r="AM41" i="1"/>
  <c r="AN41" i="1"/>
  <c r="K42" i="1"/>
  <c r="L42" i="1"/>
  <c r="M42" i="1"/>
  <c r="N42" i="1" s="1"/>
  <c r="V42" i="1"/>
  <c r="Y42" i="1"/>
  <c r="Z42" i="1"/>
  <c r="AB42" i="1"/>
  <c r="AC42" i="1"/>
  <c r="AD42" i="1"/>
  <c r="AE42" i="1"/>
  <c r="AF42" i="1"/>
  <c r="AH42" i="1"/>
  <c r="AM42" i="1"/>
  <c r="AN42" i="1"/>
  <c r="K43" i="1"/>
  <c r="L43" i="1"/>
  <c r="M43" i="1"/>
  <c r="N43" i="1" s="1"/>
  <c r="V43" i="1"/>
  <c r="Y43" i="1"/>
  <c r="Z43" i="1"/>
  <c r="AA43" i="1" s="1"/>
  <c r="AB43" i="1"/>
  <c r="AC43" i="1"/>
  <c r="AD43" i="1"/>
  <c r="T43" i="1" s="1"/>
  <c r="AE43" i="1"/>
  <c r="AF43" i="1"/>
  <c r="AH43" i="1"/>
  <c r="AM43" i="1"/>
  <c r="AN43" i="1"/>
  <c r="K44" i="1"/>
  <c r="L44" i="1"/>
  <c r="M44" i="1"/>
  <c r="N44" i="1" s="1"/>
  <c r="V44" i="1"/>
  <c r="X44" i="1"/>
  <c r="Y44" i="1"/>
  <c r="Z44" i="1"/>
  <c r="AA44" i="1"/>
  <c r="W44" i="1" s="1"/>
  <c r="AB44" i="1"/>
  <c r="AC44" i="1"/>
  <c r="AD44" i="1"/>
  <c r="T44" i="1" s="1"/>
  <c r="AE44" i="1"/>
  <c r="AF44" i="1"/>
  <c r="AG44" i="1"/>
  <c r="AH44" i="1"/>
  <c r="AI44" i="1"/>
  <c r="AM44" i="1"/>
  <c r="AN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AM45" i="1"/>
  <c r="AN45" i="1"/>
  <c r="K46" i="1"/>
  <c r="L46" i="1"/>
  <c r="M46" i="1"/>
  <c r="N46" i="1" s="1"/>
  <c r="V46" i="1"/>
  <c r="Y46" i="1"/>
  <c r="Z46" i="1"/>
  <c r="AB46" i="1"/>
  <c r="AC46" i="1"/>
  <c r="AD46" i="1"/>
  <c r="AE46" i="1"/>
  <c r="AF46" i="1"/>
  <c r="AG46" i="1"/>
  <c r="AH46" i="1"/>
  <c r="AM46" i="1"/>
  <c r="AN46" i="1"/>
  <c r="K47" i="1"/>
  <c r="L47" i="1"/>
  <c r="M47" i="1"/>
  <c r="N47" i="1" s="1"/>
  <c r="V47" i="1"/>
  <c r="Y47" i="1"/>
  <c r="Z47" i="1"/>
  <c r="AB47" i="1"/>
  <c r="AC47" i="1"/>
  <c r="AD47" i="1"/>
  <c r="AE47" i="1"/>
  <c r="AF47" i="1"/>
  <c r="AH47" i="1"/>
  <c r="AM47" i="1"/>
  <c r="AN47" i="1"/>
  <c r="K48" i="1"/>
  <c r="L48" i="1"/>
  <c r="M48" i="1"/>
  <c r="N48" i="1" s="1"/>
  <c r="V48" i="1"/>
  <c r="Y48" i="1"/>
  <c r="Z48" i="1"/>
  <c r="AB48" i="1"/>
  <c r="AC48" i="1"/>
  <c r="AD48" i="1"/>
  <c r="T48" i="1" s="1"/>
  <c r="AE48" i="1"/>
  <c r="AF48" i="1"/>
  <c r="AG48" i="1"/>
  <c r="AH48" i="1"/>
  <c r="AM48" i="1"/>
  <c r="AN48" i="1"/>
  <c r="K49" i="1"/>
  <c r="L49" i="1"/>
  <c r="M49" i="1"/>
  <c r="N49" i="1"/>
  <c r="V49" i="1"/>
  <c r="Y49" i="1"/>
  <c r="Z49" i="1"/>
  <c r="AB49" i="1"/>
  <c r="AC49" i="1"/>
  <c r="AD49" i="1"/>
  <c r="X49" i="1" s="1"/>
  <c r="AE49" i="1"/>
  <c r="AF49" i="1"/>
  <c r="AH49" i="1"/>
  <c r="AM49" i="1"/>
  <c r="AN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AM50" i="1"/>
  <c r="AN50" i="1"/>
  <c r="K51" i="1"/>
  <c r="L51" i="1"/>
  <c r="M51" i="1"/>
  <c r="N51" i="1" s="1"/>
  <c r="V51" i="1"/>
  <c r="Y51" i="1"/>
  <c r="Z51" i="1"/>
  <c r="AI51" i="1" s="1"/>
  <c r="AB51" i="1"/>
  <c r="AC51" i="1"/>
  <c r="AD51" i="1"/>
  <c r="AG51" i="1" s="1"/>
  <c r="AE51" i="1"/>
  <c r="AF51" i="1"/>
  <c r="AH51" i="1"/>
  <c r="AM51" i="1"/>
  <c r="AN51" i="1"/>
  <c r="K52" i="1"/>
  <c r="L52" i="1"/>
  <c r="M52" i="1"/>
  <c r="N52" i="1" s="1"/>
  <c r="V52" i="1"/>
  <c r="Y52" i="1"/>
  <c r="Z52" i="1"/>
  <c r="AB52" i="1"/>
  <c r="AC52" i="1"/>
  <c r="AD52" i="1"/>
  <c r="AG52" i="1" s="1"/>
  <c r="AE52" i="1"/>
  <c r="AF52" i="1"/>
  <c r="AH52" i="1"/>
  <c r="AM52" i="1"/>
  <c r="AN52" i="1"/>
  <c r="K53" i="1"/>
  <c r="L53" i="1"/>
  <c r="M53" i="1"/>
  <c r="N53" i="1" s="1"/>
  <c r="V53" i="1"/>
  <c r="Y53" i="1"/>
  <c r="Z53" i="1"/>
  <c r="AA53" i="1" s="1"/>
  <c r="W53" i="1" s="1"/>
  <c r="AB53" i="1"/>
  <c r="AC53" i="1"/>
  <c r="AD53" i="1"/>
  <c r="AG53" i="1" s="1"/>
  <c r="AE53" i="1"/>
  <c r="AF53" i="1"/>
  <c r="AH53" i="1"/>
  <c r="AM53" i="1"/>
  <c r="AN53" i="1"/>
  <c r="K54" i="1"/>
  <c r="L54" i="1"/>
  <c r="M54" i="1"/>
  <c r="N54" i="1" s="1"/>
  <c r="V54" i="1"/>
  <c r="X54" i="1"/>
  <c r="Y54" i="1"/>
  <c r="Z54" i="1"/>
  <c r="AB54" i="1"/>
  <c r="AC54" i="1"/>
  <c r="AD54" i="1"/>
  <c r="T54" i="1" s="1"/>
  <c r="AE54" i="1"/>
  <c r="AF54" i="1"/>
  <c r="AG54" i="1"/>
  <c r="AH54" i="1"/>
  <c r="AM54" i="1"/>
  <c r="AN54" i="1"/>
  <c r="K55" i="1"/>
  <c r="L55" i="1"/>
  <c r="M55" i="1"/>
  <c r="N55" i="1" s="1"/>
  <c r="V55" i="1"/>
  <c r="Y55" i="1"/>
  <c r="Z55" i="1"/>
  <c r="AB55" i="1"/>
  <c r="AC55" i="1"/>
  <c r="AD55" i="1"/>
  <c r="T55" i="1" s="1"/>
  <c r="AE55" i="1"/>
  <c r="AF55" i="1"/>
  <c r="AH55" i="1"/>
  <c r="AM55" i="1"/>
  <c r="AN55" i="1"/>
  <c r="K56" i="1"/>
  <c r="L56" i="1"/>
  <c r="M56" i="1"/>
  <c r="N56" i="1" s="1"/>
  <c r="V56" i="1"/>
  <c r="Y56" i="1"/>
  <c r="Z56" i="1"/>
  <c r="AA56" i="1" s="1"/>
  <c r="W56" i="1" s="1"/>
  <c r="AB56" i="1"/>
  <c r="AC56" i="1"/>
  <c r="AD56" i="1"/>
  <c r="AG56" i="1" s="1"/>
  <c r="AE56" i="1"/>
  <c r="AF56" i="1"/>
  <c r="AH56" i="1"/>
  <c r="AM56" i="1"/>
  <c r="AN56" i="1"/>
  <c r="K57" i="1"/>
  <c r="L57" i="1"/>
  <c r="M57" i="1"/>
  <c r="N57" i="1" s="1"/>
  <c r="V57" i="1"/>
  <c r="Y57" i="1"/>
  <c r="Z57" i="1"/>
  <c r="AB57" i="1"/>
  <c r="AC57" i="1"/>
  <c r="AD57" i="1"/>
  <c r="AG57" i="1" s="1"/>
  <c r="AE57" i="1"/>
  <c r="AF57" i="1"/>
  <c r="AH57" i="1"/>
  <c r="AM57" i="1"/>
  <c r="AN57" i="1"/>
  <c r="K58" i="1"/>
  <c r="L58" i="1"/>
  <c r="M58" i="1"/>
  <c r="N58" i="1" s="1"/>
  <c r="V58" i="1"/>
  <c r="Y58" i="1"/>
  <c r="AA58" i="1" s="1"/>
  <c r="Z58" i="1"/>
  <c r="AB58" i="1"/>
  <c r="AC58" i="1"/>
  <c r="AD58" i="1"/>
  <c r="X58" i="1" s="1"/>
  <c r="AE58" i="1"/>
  <c r="AF58" i="1"/>
  <c r="AH58" i="1"/>
  <c r="AM58" i="1"/>
  <c r="AN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AM59" i="1"/>
  <c r="AN59" i="1"/>
  <c r="K60" i="1"/>
  <c r="L60" i="1"/>
  <c r="M60" i="1"/>
  <c r="N60" i="1" s="1"/>
  <c r="V60" i="1"/>
  <c r="Y60" i="1"/>
  <c r="Z60" i="1"/>
  <c r="AA60" i="1" s="1"/>
  <c r="AB60" i="1"/>
  <c r="AC60" i="1"/>
  <c r="AD60" i="1"/>
  <c r="AG60" i="1" s="1"/>
  <c r="AE60" i="1"/>
  <c r="AF60" i="1"/>
  <c r="AH60" i="1"/>
  <c r="AM60" i="1"/>
  <c r="AN60" i="1"/>
  <c r="K61" i="1"/>
  <c r="L61" i="1"/>
  <c r="M61" i="1"/>
  <c r="N61" i="1" s="1"/>
  <c r="V61" i="1"/>
  <c r="Y61" i="1"/>
  <c r="Z61" i="1"/>
  <c r="AA61" i="1" s="1"/>
  <c r="AB61" i="1"/>
  <c r="AC61" i="1"/>
  <c r="AD61" i="1"/>
  <c r="AG61" i="1" s="1"/>
  <c r="AE61" i="1"/>
  <c r="AF61" i="1"/>
  <c r="AH61" i="1"/>
  <c r="AM61" i="1"/>
  <c r="AN61" i="1"/>
  <c r="K62" i="1"/>
  <c r="L62" i="1"/>
  <c r="M62" i="1"/>
  <c r="N62" i="1" s="1"/>
  <c r="V62" i="1"/>
  <c r="Y62" i="1"/>
  <c r="AA62" i="1" s="1"/>
  <c r="Z62" i="1"/>
  <c r="AB62" i="1"/>
  <c r="AC62" i="1"/>
  <c r="AD62" i="1"/>
  <c r="T62" i="1" s="1"/>
  <c r="AE62" i="1"/>
  <c r="AF62" i="1"/>
  <c r="AH62" i="1"/>
  <c r="AM62" i="1"/>
  <c r="AN62" i="1"/>
  <c r="K63" i="1"/>
  <c r="L63" i="1"/>
  <c r="M63" i="1"/>
  <c r="N63" i="1" s="1"/>
  <c r="V63" i="1"/>
  <c r="Y63" i="1"/>
  <c r="Z63" i="1"/>
  <c r="AB63" i="1"/>
  <c r="AC63" i="1"/>
  <c r="AD63" i="1"/>
  <c r="T63" i="1" s="1"/>
  <c r="AE63" i="1"/>
  <c r="AF63" i="1"/>
  <c r="AH63" i="1"/>
  <c r="AM63" i="1"/>
  <c r="AN63" i="1"/>
  <c r="K64" i="1"/>
  <c r="L64" i="1"/>
  <c r="M64" i="1"/>
  <c r="N64" i="1"/>
  <c r="V64" i="1"/>
  <c r="Y64" i="1"/>
  <c r="Z64" i="1"/>
  <c r="AA64" i="1"/>
  <c r="AB64" i="1"/>
  <c r="AC64" i="1"/>
  <c r="AD64" i="1"/>
  <c r="AG64" i="1" s="1"/>
  <c r="AE64" i="1"/>
  <c r="AF64" i="1"/>
  <c r="AH64" i="1"/>
  <c r="AM64" i="1"/>
  <c r="AN64" i="1"/>
  <c r="K65" i="1"/>
  <c r="L65" i="1"/>
  <c r="M65" i="1"/>
  <c r="N65" i="1" s="1"/>
  <c r="V65" i="1"/>
  <c r="Y65" i="1"/>
  <c r="Z65" i="1"/>
  <c r="AA65" i="1" s="1"/>
  <c r="W65" i="1" s="1"/>
  <c r="AB65" i="1"/>
  <c r="AC65" i="1"/>
  <c r="AD65" i="1"/>
  <c r="AG65" i="1" s="1"/>
  <c r="AE65" i="1"/>
  <c r="AF65" i="1"/>
  <c r="AH65" i="1"/>
  <c r="AM65" i="1"/>
  <c r="AN65" i="1"/>
  <c r="K66" i="1"/>
  <c r="L66" i="1"/>
  <c r="M66" i="1"/>
  <c r="N66" i="1" s="1"/>
  <c r="V66" i="1"/>
  <c r="Y66" i="1"/>
  <c r="Z66" i="1"/>
  <c r="AB66" i="1"/>
  <c r="AC66" i="1"/>
  <c r="AD66" i="1"/>
  <c r="T66" i="1" s="1"/>
  <c r="AE66" i="1"/>
  <c r="AF66" i="1"/>
  <c r="AH66" i="1"/>
  <c r="AM66" i="1"/>
  <c r="AN66" i="1"/>
  <c r="K67" i="1"/>
  <c r="L67" i="1"/>
  <c r="M67" i="1"/>
  <c r="N67" i="1"/>
  <c r="V67" i="1"/>
  <c r="Y67" i="1"/>
  <c r="Z67" i="1"/>
  <c r="AB67" i="1"/>
  <c r="AC67" i="1"/>
  <c r="AD67" i="1"/>
  <c r="T67" i="1" s="1"/>
  <c r="AE67" i="1"/>
  <c r="AF67" i="1"/>
  <c r="AH67" i="1"/>
  <c r="AM67" i="1"/>
  <c r="AN67" i="1"/>
  <c r="K68" i="1"/>
  <c r="L68" i="1"/>
  <c r="M68" i="1"/>
  <c r="N68" i="1" s="1"/>
  <c r="V68" i="1"/>
  <c r="Y68" i="1"/>
  <c r="Z68" i="1"/>
  <c r="AB68" i="1"/>
  <c r="AC68" i="1"/>
  <c r="AD68" i="1"/>
  <c r="AG68" i="1" s="1"/>
  <c r="AE68" i="1"/>
  <c r="AF68" i="1"/>
  <c r="AH68" i="1"/>
  <c r="AM68" i="1"/>
  <c r="AN68" i="1"/>
  <c r="K69" i="1"/>
  <c r="L69" i="1"/>
  <c r="M69" i="1"/>
  <c r="N69" i="1" s="1"/>
  <c r="V69" i="1"/>
  <c r="Y69" i="1"/>
  <c r="Z69" i="1"/>
  <c r="AA69" i="1"/>
  <c r="W69" i="1" s="1"/>
  <c r="AB69" i="1"/>
  <c r="AC69" i="1"/>
  <c r="AD69" i="1"/>
  <c r="AG69" i="1" s="1"/>
  <c r="AE69" i="1"/>
  <c r="AF69" i="1"/>
  <c r="AH69" i="1"/>
  <c r="AM69" i="1"/>
  <c r="AN69" i="1"/>
  <c r="K70" i="1"/>
  <c r="L70" i="1"/>
  <c r="M70" i="1"/>
  <c r="N70" i="1" s="1"/>
  <c r="T70" i="1"/>
  <c r="V70" i="1"/>
  <c r="X70" i="1"/>
  <c r="Y70" i="1"/>
  <c r="Z70" i="1"/>
  <c r="AB70" i="1"/>
  <c r="AC70" i="1"/>
  <c r="AD70" i="1"/>
  <c r="AE70" i="1"/>
  <c r="AF70" i="1"/>
  <c r="AG70" i="1"/>
  <c r="AH70" i="1"/>
  <c r="AM70" i="1"/>
  <c r="AN70" i="1"/>
  <c r="K71" i="1"/>
  <c r="L71" i="1"/>
  <c r="M71" i="1"/>
  <c r="N71" i="1" s="1"/>
  <c r="V71" i="1"/>
  <c r="Y71" i="1"/>
  <c r="Z71" i="1"/>
  <c r="AB71" i="1"/>
  <c r="AC71" i="1"/>
  <c r="AD71" i="1"/>
  <c r="T71" i="1" s="1"/>
  <c r="AE71" i="1"/>
  <c r="AF71" i="1"/>
  <c r="AH71" i="1"/>
  <c r="AM71" i="1"/>
  <c r="AN71" i="1"/>
  <c r="K72" i="1"/>
  <c r="L72" i="1"/>
  <c r="M72" i="1"/>
  <c r="N72" i="1" s="1"/>
  <c r="V72" i="1"/>
  <c r="Y72" i="1"/>
  <c r="Z72" i="1"/>
  <c r="AA72" i="1" s="1"/>
  <c r="W72" i="1" s="1"/>
  <c r="AB72" i="1"/>
  <c r="AC72" i="1"/>
  <c r="AD72" i="1"/>
  <c r="AG72" i="1" s="1"/>
  <c r="AE72" i="1"/>
  <c r="AF72" i="1"/>
  <c r="AH72" i="1"/>
  <c r="AM72" i="1"/>
  <c r="AN72" i="1"/>
  <c r="K73" i="1"/>
  <c r="L73" i="1"/>
  <c r="M73" i="1"/>
  <c r="N73" i="1" s="1"/>
  <c r="V73" i="1"/>
  <c r="Y73" i="1"/>
  <c r="Z73" i="1"/>
  <c r="AB73" i="1"/>
  <c r="AC73" i="1"/>
  <c r="AD73" i="1"/>
  <c r="AG73" i="1" s="1"/>
  <c r="AE73" i="1"/>
  <c r="AF73" i="1"/>
  <c r="AH73" i="1"/>
  <c r="AM73" i="1"/>
  <c r="AN73" i="1"/>
  <c r="K74" i="1"/>
  <c r="L74" i="1"/>
  <c r="M74" i="1"/>
  <c r="N74" i="1" s="1"/>
  <c r="V74" i="1"/>
  <c r="Y74" i="1"/>
  <c r="AA74" i="1" s="1"/>
  <c r="Z74" i="1"/>
  <c r="AB74" i="1"/>
  <c r="AC74" i="1"/>
  <c r="AD74" i="1"/>
  <c r="AE74" i="1"/>
  <c r="AF74" i="1"/>
  <c r="AH74" i="1"/>
  <c r="AM74" i="1"/>
  <c r="AN74" i="1"/>
  <c r="K75" i="1"/>
  <c r="L75" i="1"/>
  <c r="M75" i="1"/>
  <c r="N75" i="1" s="1"/>
  <c r="V75" i="1"/>
  <c r="Y75" i="1"/>
  <c r="Z75" i="1"/>
  <c r="AB75" i="1"/>
  <c r="AC75" i="1"/>
  <c r="AD75" i="1"/>
  <c r="T75" i="1" s="1"/>
  <c r="AE75" i="1"/>
  <c r="AF75" i="1"/>
  <c r="AH75" i="1"/>
  <c r="AM75" i="1"/>
  <c r="AN75" i="1"/>
  <c r="K76" i="1"/>
  <c r="L76" i="1"/>
  <c r="M76" i="1"/>
  <c r="N76" i="1" s="1"/>
  <c r="V76" i="1"/>
  <c r="Y76" i="1"/>
  <c r="Z76" i="1"/>
  <c r="AA76" i="1" s="1"/>
  <c r="W76" i="1" s="1"/>
  <c r="AB76" i="1"/>
  <c r="AC76" i="1"/>
  <c r="AD76" i="1"/>
  <c r="AG76" i="1" s="1"/>
  <c r="AE76" i="1"/>
  <c r="AF76" i="1"/>
  <c r="AH76" i="1"/>
  <c r="AM76" i="1"/>
  <c r="AN76" i="1"/>
  <c r="K77" i="1"/>
  <c r="L77" i="1"/>
  <c r="M77" i="1"/>
  <c r="N77" i="1" s="1"/>
  <c r="V77" i="1"/>
  <c r="Y77" i="1"/>
  <c r="Z77" i="1"/>
  <c r="AA77" i="1"/>
  <c r="AB77" i="1"/>
  <c r="AC77" i="1"/>
  <c r="AD77" i="1"/>
  <c r="AG77" i="1" s="1"/>
  <c r="AE77" i="1"/>
  <c r="AF77" i="1"/>
  <c r="AH77" i="1"/>
  <c r="AM77" i="1"/>
  <c r="AN77" i="1"/>
  <c r="K78" i="1"/>
  <c r="L78" i="1"/>
  <c r="M78" i="1"/>
  <c r="N78" i="1" s="1"/>
  <c r="V78" i="1"/>
  <c r="Y78" i="1"/>
  <c r="AA78" i="1" s="1"/>
  <c r="Z78" i="1"/>
  <c r="AB78" i="1"/>
  <c r="AC78" i="1"/>
  <c r="AD78" i="1"/>
  <c r="X78" i="1" s="1"/>
  <c r="AE78" i="1"/>
  <c r="AF78" i="1"/>
  <c r="AH78" i="1"/>
  <c r="AM78" i="1"/>
  <c r="AN78" i="1"/>
  <c r="K79" i="1"/>
  <c r="L79" i="1"/>
  <c r="M79" i="1"/>
  <c r="N79" i="1"/>
  <c r="V79" i="1"/>
  <c r="Y79" i="1"/>
  <c r="Z79" i="1"/>
  <c r="AB79" i="1"/>
  <c r="AC79" i="1"/>
  <c r="AD79" i="1"/>
  <c r="AE79" i="1"/>
  <c r="AF79" i="1"/>
  <c r="AH79" i="1"/>
  <c r="AM79" i="1"/>
  <c r="AN79" i="1"/>
  <c r="K80" i="1"/>
  <c r="L80" i="1"/>
  <c r="M80" i="1"/>
  <c r="N80" i="1" s="1"/>
  <c r="V80" i="1"/>
  <c r="Y80" i="1"/>
  <c r="Z80" i="1"/>
  <c r="AA80" i="1" s="1"/>
  <c r="AB80" i="1"/>
  <c r="AC80" i="1"/>
  <c r="AD80" i="1"/>
  <c r="AE80" i="1"/>
  <c r="AF80" i="1"/>
  <c r="AH80" i="1"/>
  <c r="AM80" i="1"/>
  <c r="AN80" i="1"/>
  <c r="K81" i="1"/>
  <c r="L81" i="1"/>
  <c r="M81" i="1"/>
  <c r="N81" i="1" s="1"/>
  <c r="V81" i="1"/>
  <c r="Y81" i="1"/>
  <c r="Z81" i="1"/>
  <c r="AB81" i="1"/>
  <c r="AC81" i="1"/>
  <c r="AD81" i="1"/>
  <c r="AG81" i="1" s="1"/>
  <c r="AE81" i="1"/>
  <c r="AF81" i="1"/>
  <c r="AH81" i="1"/>
  <c r="AI81" i="1"/>
  <c r="AM81" i="1"/>
  <c r="AN81" i="1"/>
  <c r="K82" i="1"/>
  <c r="L82" i="1"/>
  <c r="M82" i="1"/>
  <c r="N82" i="1" s="1"/>
  <c r="V82" i="1"/>
  <c r="Y82" i="1"/>
  <c r="Z82" i="1"/>
  <c r="AB82" i="1"/>
  <c r="AC82" i="1"/>
  <c r="AD82" i="1"/>
  <c r="T82" i="1" s="1"/>
  <c r="AE82" i="1"/>
  <c r="AF82" i="1"/>
  <c r="AH82" i="1"/>
  <c r="AM82" i="1"/>
  <c r="AN82" i="1"/>
  <c r="K83" i="1"/>
  <c r="L83" i="1"/>
  <c r="M83" i="1"/>
  <c r="N83" i="1"/>
  <c r="V83" i="1"/>
  <c r="Y83" i="1"/>
  <c r="Z83" i="1"/>
  <c r="AB83" i="1"/>
  <c r="AC83" i="1"/>
  <c r="AD83" i="1"/>
  <c r="AE83" i="1"/>
  <c r="AF83" i="1"/>
  <c r="AH83" i="1"/>
  <c r="AM83" i="1"/>
  <c r="AN83" i="1"/>
  <c r="K84" i="1"/>
  <c r="L84" i="1"/>
  <c r="M84" i="1"/>
  <c r="N84" i="1" s="1"/>
  <c r="V84" i="1"/>
  <c r="Y84" i="1"/>
  <c r="Z84" i="1"/>
  <c r="AB84" i="1"/>
  <c r="AC84" i="1"/>
  <c r="AD84" i="1"/>
  <c r="T84" i="1" s="1"/>
  <c r="AE84" i="1"/>
  <c r="AF84" i="1"/>
  <c r="AH84" i="1"/>
  <c r="AM84" i="1"/>
  <c r="AN84" i="1"/>
  <c r="K85" i="1"/>
  <c r="L85" i="1"/>
  <c r="M85" i="1"/>
  <c r="N85" i="1" s="1"/>
  <c r="V85" i="1"/>
  <c r="Y85" i="1"/>
  <c r="Z85" i="1"/>
  <c r="AB85" i="1"/>
  <c r="AC85" i="1"/>
  <c r="AD85" i="1"/>
  <c r="AG85" i="1" s="1"/>
  <c r="AE85" i="1"/>
  <c r="AF85" i="1"/>
  <c r="AH85" i="1"/>
  <c r="AM85" i="1"/>
  <c r="AN85" i="1"/>
  <c r="K86" i="1"/>
  <c r="L86" i="1"/>
  <c r="M86" i="1"/>
  <c r="N86" i="1" s="1"/>
  <c r="V86" i="1"/>
  <c r="Y86" i="1"/>
  <c r="Z86" i="1"/>
  <c r="AB86" i="1"/>
  <c r="AC86" i="1"/>
  <c r="AD86" i="1"/>
  <c r="T86" i="1" s="1"/>
  <c r="AE86" i="1"/>
  <c r="AF86" i="1"/>
  <c r="AH86" i="1"/>
  <c r="AM86" i="1"/>
  <c r="AN86" i="1"/>
  <c r="K87" i="1"/>
  <c r="L87" i="1"/>
  <c r="M87" i="1"/>
  <c r="N87" i="1" s="1"/>
  <c r="V87" i="1"/>
  <c r="Y87" i="1"/>
  <c r="Z87" i="1"/>
  <c r="AA87" i="1" s="1"/>
  <c r="AB87" i="1"/>
  <c r="AC87" i="1"/>
  <c r="AD87" i="1"/>
  <c r="AE87" i="1"/>
  <c r="AF87" i="1"/>
  <c r="AH87" i="1"/>
  <c r="AM87" i="1"/>
  <c r="AN87" i="1"/>
  <c r="K88" i="1"/>
  <c r="L88" i="1"/>
  <c r="M88" i="1"/>
  <c r="N88" i="1" s="1"/>
  <c r="T88" i="1"/>
  <c r="V88" i="1"/>
  <c r="Y88" i="1"/>
  <c r="Z88" i="1"/>
  <c r="AA88" i="1"/>
  <c r="AB88" i="1"/>
  <c r="AC88" i="1"/>
  <c r="AD88" i="1"/>
  <c r="AG88" i="1" s="1"/>
  <c r="AI88" i="1" s="1"/>
  <c r="AE88" i="1"/>
  <c r="AF88" i="1"/>
  <c r="AH88" i="1"/>
  <c r="AM88" i="1"/>
  <c r="AN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AM89" i="1"/>
  <c r="AN89" i="1"/>
  <c r="K90" i="1"/>
  <c r="L90" i="1"/>
  <c r="M90" i="1"/>
  <c r="N90" i="1" s="1"/>
  <c r="V90" i="1"/>
  <c r="Y90" i="1"/>
  <c r="Z90" i="1"/>
  <c r="AB90" i="1"/>
  <c r="AC90" i="1"/>
  <c r="AD90" i="1"/>
  <c r="AE90" i="1"/>
  <c r="AF90" i="1"/>
  <c r="AH90" i="1"/>
  <c r="AM90" i="1"/>
  <c r="AN90" i="1"/>
  <c r="K91" i="1"/>
  <c r="L91" i="1"/>
  <c r="M91" i="1"/>
  <c r="N91" i="1"/>
  <c r="V91" i="1"/>
  <c r="Y91" i="1"/>
  <c r="Z91" i="1"/>
  <c r="AB91" i="1"/>
  <c r="AC91" i="1"/>
  <c r="AD91" i="1"/>
  <c r="AE91" i="1"/>
  <c r="AF91" i="1"/>
  <c r="AH91" i="1"/>
  <c r="AM91" i="1"/>
  <c r="AN91" i="1"/>
  <c r="K92" i="1"/>
  <c r="L92" i="1"/>
  <c r="M92" i="1"/>
  <c r="N92" i="1" s="1"/>
  <c r="V92" i="1"/>
  <c r="Y92" i="1"/>
  <c r="Z92" i="1"/>
  <c r="AA92" i="1" s="1"/>
  <c r="AB92" i="1"/>
  <c r="AC92" i="1"/>
  <c r="AD92" i="1"/>
  <c r="AG92" i="1" s="1"/>
  <c r="AE92" i="1"/>
  <c r="AF92" i="1"/>
  <c r="AH92" i="1"/>
  <c r="AM92" i="1"/>
  <c r="AN92" i="1"/>
  <c r="K93" i="1"/>
  <c r="L93" i="1"/>
  <c r="M93" i="1"/>
  <c r="N93" i="1" s="1"/>
  <c r="V93" i="1"/>
  <c r="X93" i="1"/>
  <c r="Y93" i="1"/>
  <c r="Z93" i="1"/>
  <c r="AB93" i="1"/>
  <c r="AC93" i="1"/>
  <c r="AD93" i="1"/>
  <c r="AG93" i="1" s="1"/>
  <c r="AE93" i="1"/>
  <c r="AF93" i="1"/>
  <c r="AH93" i="1"/>
  <c r="AM93" i="1"/>
  <c r="AN93" i="1"/>
  <c r="K94" i="1"/>
  <c r="L94" i="1"/>
  <c r="M94" i="1"/>
  <c r="N94" i="1" s="1"/>
  <c r="V94" i="1"/>
  <c r="X94" i="1"/>
  <c r="Y94" i="1"/>
  <c r="Z94" i="1"/>
  <c r="AB94" i="1"/>
  <c r="AC94" i="1"/>
  <c r="AD94" i="1"/>
  <c r="T94" i="1" s="1"/>
  <c r="AE94" i="1"/>
  <c r="AF94" i="1"/>
  <c r="AG94" i="1"/>
  <c r="AH94" i="1"/>
  <c r="AM94" i="1"/>
  <c r="AN94" i="1"/>
  <c r="K95" i="1"/>
  <c r="L95" i="1"/>
  <c r="M95" i="1"/>
  <c r="N95" i="1" s="1"/>
  <c r="V95" i="1"/>
  <c r="Y95" i="1"/>
  <c r="Z95" i="1"/>
  <c r="AB95" i="1"/>
  <c r="AC95" i="1"/>
  <c r="AD95" i="1"/>
  <c r="AE95" i="1"/>
  <c r="AF95" i="1"/>
  <c r="AH95" i="1"/>
  <c r="AM95" i="1"/>
  <c r="AN95" i="1"/>
  <c r="K96" i="1"/>
  <c r="L96" i="1"/>
  <c r="M96" i="1"/>
  <c r="N96" i="1" s="1"/>
  <c r="V96" i="1"/>
  <c r="Y96" i="1"/>
  <c r="AA96" i="1" s="1"/>
  <c r="Z96" i="1"/>
  <c r="AB96" i="1"/>
  <c r="AC96" i="1"/>
  <c r="AD96" i="1"/>
  <c r="T96" i="1" s="1"/>
  <c r="AE96" i="1"/>
  <c r="AF96" i="1"/>
  <c r="AH96" i="1"/>
  <c r="AM96" i="1"/>
  <c r="AN96" i="1"/>
  <c r="K97" i="1"/>
  <c r="L97" i="1"/>
  <c r="M97" i="1"/>
  <c r="N97" i="1" s="1"/>
  <c r="V97" i="1"/>
  <c r="Y97" i="1"/>
  <c r="Z97" i="1"/>
  <c r="AB97" i="1"/>
  <c r="AC97" i="1"/>
  <c r="AD97" i="1"/>
  <c r="AG97" i="1" s="1"/>
  <c r="AE97" i="1"/>
  <c r="AF97" i="1"/>
  <c r="AH97" i="1"/>
  <c r="AM97" i="1"/>
  <c r="AN97" i="1"/>
  <c r="K98" i="1"/>
  <c r="L98" i="1"/>
  <c r="M98" i="1"/>
  <c r="N98" i="1" s="1"/>
  <c r="V98" i="1"/>
  <c r="Y98" i="1"/>
  <c r="Z98" i="1"/>
  <c r="AB98" i="1"/>
  <c r="AC98" i="1"/>
  <c r="AD98" i="1"/>
  <c r="T98" i="1" s="1"/>
  <c r="AE98" i="1"/>
  <c r="AF98" i="1"/>
  <c r="AH98" i="1"/>
  <c r="AM98" i="1"/>
  <c r="AN98" i="1"/>
  <c r="K99" i="1"/>
  <c r="L99" i="1"/>
  <c r="M99" i="1"/>
  <c r="N99" i="1"/>
  <c r="V99" i="1"/>
  <c r="Y99" i="1"/>
  <c r="Z99" i="1"/>
  <c r="AB99" i="1"/>
  <c r="AC99" i="1"/>
  <c r="AD99" i="1"/>
  <c r="AE99" i="1"/>
  <c r="AF99" i="1"/>
  <c r="AH99" i="1"/>
  <c r="AM99" i="1"/>
  <c r="AN99" i="1"/>
  <c r="K100" i="1"/>
  <c r="L100" i="1"/>
  <c r="M100" i="1"/>
  <c r="N100" i="1" s="1"/>
  <c r="V100" i="1"/>
  <c r="Y100" i="1"/>
  <c r="Z100" i="1"/>
  <c r="AB100" i="1"/>
  <c r="AC100" i="1"/>
  <c r="AD100" i="1"/>
  <c r="T100" i="1" s="1"/>
  <c r="AE100" i="1"/>
  <c r="AF100" i="1"/>
  <c r="AH100" i="1"/>
  <c r="AM100" i="1"/>
  <c r="AN100" i="1"/>
  <c r="K101" i="1"/>
  <c r="L101" i="1"/>
  <c r="M101" i="1"/>
  <c r="N101" i="1" s="1"/>
  <c r="V101" i="1"/>
  <c r="Y101" i="1"/>
  <c r="Z101" i="1"/>
  <c r="AB101" i="1"/>
  <c r="AC101" i="1"/>
  <c r="AD101" i="1"/>
  <c r="AG101" i="1" s="1"/>
  <c r="AE101" i="1"/>
  <c r="AF101" i="1"/>
  <c r="AH101" i="1"/>
  <c r="AM101" i="1"/>
  <c r="AN101" i="1"/>
  <c r="K102" i="1"/>
  <c r="L102" i="1"/>
  <c r="M102" i="1"/>
  <c r="N102" i="1" s="1"/>
  <c r="T102" i="1"/>
  <c r="V102" i="1"/>
  <c r="Y102" i="1"/>
  <c r="Z102" i="1"/>
  <c r="AB102" i="1"/>
  <c r="AC102" i="1"/>
  <c r="AD102" i="1"/>
  <c r="X102" i="1" s="1"/>
  <c r="AE102" i="1"/>
  <c r="AF102" i="1"/>
  <c r="AH102" i="1"/>
  <c r="AM102" i="1"/>
  <c r="AN102" i="1"/>
  <c r="K103" i="1"/>
  <c r="L103" i="1"/>
  <c r="M103" i="1"/>
  <c r="N103" i="1" s="1"/>
  <c r="V103" i="1"/>
  <c r="Y103" i="1"/>
  <c r="Z103" i="1"/>
  <c r="AA103" i="1" s="1"/>
  <c r="AB103" i="1"/>
  <c r="AC103" i="1"/>
  <c r="AD103" i="1"/>
  <c r="AE103" i="1"/>
  <c r="AF103" i="1"/>
  <c r="AH103" i="1"/>
  <c r="AM103" i="1"/>
  <c r="AN103" i="1"/>
  <c r="K104" i="1"/>
  <c r="L104" i="1"/>
  <c r="M104" i="1"/>
  <c r="N104" i="1" s="1"/>
  <c r="T104" i="1"/>
  <c r="V104" i="1"/>
  <c r="Y104" i="1"/>
  <c r="Z104" i="1"/>
  <c r="AA104" i="1"/>
  <c r="W104" i="1" s="1"/>
  <c r="AB104" i="1"/>
  <c r="AC104" i="1"/>
  <c r="AD104" i="1"/>
  <c r="AE104" i="1"/>
  <c r="AF104" i="1"/>
  <c r="AG104" i="1"/>
  <c r="AH104" i="1"/>
  <c r="AI104" i="1"/>
  <c r="AM104" i="1"/>
  <c r="AN104" i="1"/>
  <c r="K105" i="1"/>
  <c r="L105" i="1"/>
  <c r="M105" i="1"/>
  <c r="N105" i="1" s="1"/>
  <c r="V105" i="1"/>
  <c r="Y105" i="1"/>
  <c r="Z105" i="1"/>
  <c r="AB105" i="1"/>
  <c r="AC105" i="1"/>
  <c r="AD105" i="1"/>
  <c r="AG105" i="1" s="1"/>
  <c r="AE105" i="1"/>
  <c r="AF105" i="1"/>
  <c r="AH105" i="1"/>
  <c r="AM105" i="1"/>
  <c r="AN105" i="1"/>
  <c r="K106" i="1"/>
  <c r="L106" i="1"/>
  <c r="M106" i="1"/>
  <c r="N106" i="1" s="1"/>
  <c r="V106" i="1"/>
  <c r="Y106" i="1"/>
  <c r="AA106" i="1" s="1"/>
  <c r="Z106" i="1"/>
  <c r="AB106" i="1"/>
  <c r="AC106" i="1"/>
  <c r="AD106" i="1"/>
  <c r="AE106" i="1"/>
  <c r="AF106" i="1"/>
  <c r="AH106" i="1"/>
  <c r="AM106" i="1"/>
  <c r="AN106" i="1"/>
  <c r="K107" i="1"/>
  <c r="L107" i="1"/>
  <c r="M107" i="1"/>
  <c r="N107" i="1" s="1"/>
  <c r="V107" i="1"/>
  <c r="Y107" i="1"/>
  <c r="Z107" i="1"/>
  <c r="AB107" i="1"/>
  <c r="AC107" i="1"/>
  <c r="AD107" i="1"/>
  <c r="T107" i="1" s="1"/>
  <c r="AE107" i="1"/>
  <c r="AF107" i="1"/>
  <c r="AH107" i="1"/>
  <c r="AM107" i="1"/>
  <c r="AN107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G108" i="1"/>
  <c r="AH108" i="1"/>
  <c r="AM108" i="1"/>
  <c r="AN108" i="1"/>
  <c r="K109" i="1"/>
  <c r="L109" i="1"/>
  <c r="M109" i="1"/>
  <c r="N109" i="1" s="1"/>
  <c r="V109" i="1"/>
  <c r="Y109" i="1"/>
  <c r="Z109" i="1"/>
  <c r="AB109" i="1"/>
  <c r="AC109" i="1"/>
  <c r="AD109" i="1"/>
  <c r="AG109" i="1" s="1"/>
  <c r="AE109" i="1"/>
  <c r="AF109" i="1"/>
  <c r="AH109" i="1"/>
  <c r="AM109" i="1"/>
  <c r="AN109" i="1"/>
  <c r="K110" i="1"/>
  <c r="L110" i="1"/>
  <c r="M110" i="1"/>
  <c r="N110" i="1" s="1"/>
  <c r="V110" i="1"/>
  <c r="Y110" i="1"/>
  <c r="AA110" i="1" s="1"/>
  <c r="Z110" i="1"/>
  <c r="AB110" i="1"/>
  <c r="AC110" i="1"/>
  <c r="AD110" i="1"/>
  <c r="T110" i="1" s="1"/>
  <c r="AE110" i="1"/>
  <c r="AF110" i="1"/>
  <c r="AH110" i="1"/>
  <c r="AM110" i="1"/>
  <c r="AN110" i="1"/>
  <c r="K111" i="1"/>
  <c r="L111" i="1"/>
  <c r="M111" i="1"/>
  <c r="N111" i="1" s="1"/>
  <c r="V111" i="1"/>
  <c r="Y111" i="1"/>
  <c r="Z111" i="1"/>
  <c r="AB111" i="1"/>
  <c r="AC111" i="1"/>
  <c r="AD111" i="1"/>
  <c r="T111" i="1" s="1"/>
  <c r="AE111" i="1"/>
  <c r="AF111" i="1"/>
  <c r="AH111" i="1"/>
  <c r="AM111" i="1"/>
  <c r="AN111" i="1"/>
  <c r="K112" i="1"/>
  <c r="L112" i="1"/>
  <c r="M112" i="1"/>
  <c r="N112" i="1" s="1"/>
  <c r="V112" i="1"/>
  <c r="Y112" i="1"/>
  <c r="Z112" i="1"/>
  <c r="AA112" i="1"/>
  <c r="AB112" i="1"/>
  <c r="AC112" i="1"/>
  <c r="AD112" i="1"/>
  <c r="T112" i="1" s="1"/>
  <c r="AE112" i="1"/>
  <c r="AF112" i="1"/>
  <c r="AH112" i="1"/>
  <c r="AM112" i="1"/>
  <c r="AN112" i="1"/>
  <c r="K113" i="1"/>
  <c r="L113" i="1"/>
  <c r="M113" i="1"/>
  <c r="N113" i="1" s="1"/>
  <c r="T113" i="1"/>
  <c r="V113" i="1"/>
  <c r="X113" i="1"/>
  <c r="Y113" i="1"/>
  <c r="Z113" i="1"/>
  <c r="AA113" i="1" s="1"/>
  <c r="W113" i="1" s="1"/>
  <c r="AB113" i="1"/>
  <c r="AC113" i="1"/>
  <c r="AD113" i="1"/>
  <c r="AG113" i="1" s="1"/>
  <c r="AE113" i="1"/>
  <c r="AF113" i="1"/>
  <c r="AH113" i="1"/>
  <c r="AM113" i="1"/>
  <c r="AN113" i="1"/>
  <c r="K114" i="1"/>
  <c r="L114" i="1"/>
  <c r="M114" i="1"/>
  <c r="N114" i="1" s="1"/>
  <c r="T114" i="1"/>
  <c r="V114" i="1"/>
  <c r="X114" i="1"/>
  <c r="Y114" i="1"/>
  <c r="Z114" i="1"/>
  <c r="AB114" i="1"/>
  <c r="AC114" i="1"/>
  <c r="AD114" i="1"/>
  <c r="AE114" i="1"/>
  <c r="AF114" i="1"/>
  <c r="AG114" i="1"/>
  <c r="AH114" i="1"/>
  <c r="AM114" i="1"/>
  <c r="AN114" i="1"/>
  <c r="K115" i="1"/>
  <c r="L115" i="1"/>
  <c r="M115" i="1"/>
  <c r="N115" i="1" s="1"/>
  <c r="V115" i="1"/>
  <c r="Y115" i="1"/>
  <c r="Z115" i="1"/>
  <c r="AB115" i="1"/>
  <c r="AC115" i="1"/>
  <c r="AD115" i="1"/>
  <c r="T115" i="1" s="1"/>
  <c r="AE115" i="1"/>
  <c r="AF115" i="1"/>
  <c r="AH115" i="1"/>
  <c r="AM115" i="1"/>
  <c r="AN115" i="1"/>
  <c r="K116" i="1"/>
  <c r="L116" i="1"/>
  <c r="M116" i="1"/>
  <c r="N116" i="1" s="1"/>
  <c r="V116" i="1"/>
  <c r="Y116" i="1"/>
  <c r="Z116" i="1"/>
  <c r="AB116" i="1"/>
  <c r="AC116" i="1"/>
  <c r="AD116" i="1"/>
  <c r="T116" i="1" s="1"/>
  <c r="AE116" i="1"/>
  <c r="AF116" i="1"/>
  <c r="AH116" i="1"/>
  <c r="AM116" i="1"/>
  <c r="AN116" i="1"/>
  <c r="K117" i="1"/>
  <c r="L117" i="1"/>
  <c r="M117" i="1"/>
  <c r="N117" i="1" s="1"/>
  <c r="V117" i="1"/>
  <c r="X117" i="1"/>
  <c r="Y117" i="1"/>
  <c r="Z117" i="1"/>
  <c r="AB117" i="1"/>
  <c r="AC117" i="1"/>
  <c r="AD117" i="1"/>
  <c r="AG117" i="1" s="1"/>
  <c r="AE117" i="1"/>
  <c r="AF117" i="1"/>
  <c r="AH117" i="1"/>
  <c r="AM117" i="1"/>
  <c r="AN117" i="1"/>
  <c r="K118" i="1"/>
  <c r="L118" i="1"/>
  <c r="M118" i="1"/>
  <c r="N118" i="1" s="1"/>
  <c r="V118" i="1"/>
  <c r="Y118" i="1"/>
  <c r="Z118" i="1"/>
  <c r="AB118" i="1"/>
  <c r="AC118" i="1"/>
  <c r="AD118" i="1"/>
  <c r="T118" i="1" s="1"/>
  <c r="AE118" i="1"/>
  <c r="AF118" i="1"/>
  <c r="AH118" i="1"/>
  <c r="AM118" i="1"/>
  <c r="AN118" i="1"/>
  <c r="K119" i="1"/>
  <c r="L119" i="1"/>
  <c r="M119" i="1"/>
  <c r="N119" i="1"/>
  <c r="V119" i="1"/>
  <c r="Y119" i="1"/>
  <c r="Z119" i="1"/>
  <c r="AB119" i="1"/>
  <c r="AC119" i="1"/>
  <c r="AD119" i="1"/>
  <c r="AE119" i="1"/>
  <c r="AF119" i="1"/>
  <c r="AH119" i="1"/>
  <c r="AM119" i="1"/>
  <c r="AN119" i="1"/>
  <c r="K120" i="1"/>
  <c r="L120" i="1"/>
  <c r="M120" i="1"/>
  <c r="N120" i="1" s="1"/>
  <c r="V120" i="1"/>
  <c r="Y120" i="1"/>
  <c r="Z120" i="1"/>
  <c r="AB120" i="1"/>
  <c r="AC120" i="1"/>
  <c r="AD120" i="1"/>
  <c r="T120" i="1" s="1"/>
  <c r="AE120" i="1"/>
  <c r="AF120" i="1"/>
  <c r="AH120" i="1"/>
  <c r="AM120" i="1"/>
  <c r="AN120" i="1"/>
  <c r="K121" i="1"/>
  <c r="L121" i="1"/>
  <c r="M121" i="1"/>
  <c r="N121" i="1" s="1"/>
  <c r="V121" i="1"/>
  <c r="Y121" i="1"/>
  <c r="Z121" i="1"/>
  <c r="AA121" i="1" s="1"/>
  <c r="W121" i="1" s="1"/>
  <c r="AB121" i="1"/>
  <c r="AC121" i="1"/>
  <c r="AD121" i="1"/>
  <c r="AG121" i="1" s="1"/>
  <c r="AE121" i="1"/>
  <c r="AF121" i="1"/>
  <c r="AH121" i="1"/>
  <c r="AM121" i="1"/>
  <c r="AN121" i="1"/>
  <c r="K122" i="1"/>
  <c r="L122" i="1"/>
  <c r="M122" i="1"/>
  <c r="N122" i="1" s="1"/>
  <c r="V122" i="1"/>
  <c r="Y122" i="1"/>
  <c r="Z122" i="1"/>
  <c r="AB122" i="1"/>
  <c r="AC122" i="1"/>
  <c r="AD122" i="1"/>
  <c r="AE122" i="1"/>
  <c r="AF122" i="1"/>
  <c r="AH122" i="1"/>
  <c r="AM122" i="1"/>
  <c r="AN122" i="1"/>
  <c r="K123" i="1"/>
  <c r="L123" i="1"/>
  <c r="M123" i="1"/>
  <c r="N123" i="1" s="1"/>
  <c r="T123" i="1"/>
  <c r="V123" i="1"/>
  <c r="Y123" i="1"/>
  <c r="Z123" i="1"/>
  <c r="AB123" i="1"/>
  <c r="AC123" i="1"/>
  <c r="AD123" i="1"/>
  <c r="AE123" i="1"/>
  <c r="AF123" i="1"/>
  <c r="AH123" i="1"/>
  <c r="AM123" i="1"/>
  <c r="AN123" i="1"/>
  <c r="K124" i="1"/>
  <c r="L124" i="1"/>
  <c r="M124" i="1"/>
  <c r="N124" i="1" s="1"/>
  <c r="T124" i="1"/>
  <c r="V124" i="1"/>
  <c r="X124" i="1"/>
  <c r="Y124" i="1"/>
  <c r="Z124" i="1"/>
  <c r="AB124" i="1"/>
  <c r="AC124" i="1"/>
  <c r="AD124" i="1"/>
  <c r="AE124" i="1"/>
  <c r="AF124" i="1"/>
  <c r="AG124" i="1"/>
  <c r="AH124" i="1"/>
  <c r="AM124" i="1"/>
  <c r="AN124" i="1"/>
  <c r="K125" i="1"/>
  <c r="L125" i="1"/>
  <c r="M125" i="1"/>
  <c r="N125" i="1"/>
  <c r="V125" i="1"/>
  <c r="Y125" i="1"/>
  <c r="Z125" i="1"/>
  <c r="AA125" i="1" s="1"/>
  <c r="AB125" i="1"/>
  <c r="AC125" i="1"/>
  <c r="AD125" i="1"/>
  <c r="T125" i="1" s="1"/>
  <c r="AE125" i="1"/>
  <c r="AF125" i="1"/>
  <c r="AH125" i="1"/>
  <c r="AM125" i="1"/>
  <c r="AN125" i="1"/>
  <c r="K126" i="1"/>
  <c r="L126" i="1"/>
  <c r="M126" i="1"/>
  <c r="N126" i="1" s="1"/>
  <c r="V126" i="1"/>
  <c r="Y126" i="1"/>
  <c r="Z126" i="1"/>
  <c r="AA126" i="1" s="1"/>
  <c r="AB126" i="1"/>
  <c r="AC126" i="1"/>
  <c r="AD126" i="1"/>
  <c r="T126" i="1" s="1"/>
  <c r="AE126" i="1"/>
  <c r="AF126" i="1"/>
  <c r="AH126" i="1"/>
  <c r="AM126" i="1"/>
  <c r="AN126" i="1"/>
  <c r="K127" i="1"/>
  <c r="L127" i="1"/>
  <c r="M127" i="1"/>
  <c r="N127" i="1" s="1"/>
  <c r="T127" i="1"/>
  <c r="V127" i="1"/>
  <c r="Y127" i="1"/>
  <c r="Z127" i="1"/>
  <c r="AA127" i="1" s="1"/>
  <c r="W127" i="1" s="1"/>
  <c r="AB127" i="1"/>
  <c r="AC127" i="1"/>
  <c r="AD127" i="1"/>
  <c r="AG127" i="1" s="1"/>
  <c r="AE127" i="1"/>
  <c r="AF127" i="1"/>
  <c r="AH127" i="1"/>
  <c r="AM127" i="1"/>
  <c r="AN127" i="1"/>
  <c r="K128" i="1"/>
  <c r="L128" i="1"/>
  <c r="M128" i="1"/>
  <c r="N128" i="1" s="1"/>
  <c r="T128" i="1"/>
  <c r="V128" i="1"/>
  <c r="Y128" i="1"/>
  <c r="Z128" i="1"/>
  <c r="AB128" i="1"/>
  <c r="AC128" i="1"/>
  <c r="AD128" i="1"/>
  <c r="X128" i="1" s="1"/>
  <c r="AE128" i="1"/>
  <c r="AF128" i="1"/>
  <c r="AH128" i="1"/>
  <c r="AM128" i="1"/>
  <c r="AN128" i="1"/>
  <c r="K129" i="1"/>
  <c r="L129" i="1"/>
  <c r="M129" i="1"/>
  <c r="N129" i="1" s="1"/>
  <c r="V129" i="1"/>
  <c r="Y129" i="1"/>
  <c r="Z129" i="1"/>
  <c r="AA129" i="1" s="1"/>
  <c r="AB129" i="1"/>
  <c r="AC129" i="1"/>
  <c r="AD129" i="1"/>
  <c r="T129" i="1" s="1"/>
  <c r="AE129" i="1"/>
  <c r="AF129" i="1"/>
  <c r="AH129" i="1"/>
  <c r="AM129" i="1"/>
  <c r="AN129" i="1"/>
  <c r="K130" i="1"/>
  <c r="L130" i="1"/>
  <c r="M130" i="1"/>
  <c r="N130" i="1" s="1"/>
  <c r="V130" i="1"/>
  <c r="Y130" i="1"/>
  <c r="Z130" i="1"/>
  <c r="AA130" i="1" s="1"/>
  <c r="AB130" i="1"/>
  <c r="AC130" i="1"/>
  <c r="AD130" i="1"/>
  <c r="T130" i="1" s="1"/>
  <c r="AE130" i="1"/>
  <c r="AF130" i="1"/>
  <c r="AH130" i="1"/>
  <c r="AM130" i="1"/>
  <c r="AN130" i="1"/>
  <c r="K131" i="1"/>
  <c r="L131" i="1"/>
  <c r="M131" i="1"/>
  <c r="N131" i="1" s="1"/>
  <c r="T131" i="1"/>
  <c r="V131" i="1"/>
  <c r="Y131" i="1"/>
  <c r="Z131" i="1"/>
  <c r="AA131" i="1" s="1"/>
  <c r="AB131" i="1"/>
  <c r="AC131" i="1"/>
  <c r="AD131" i="1"/>
  <c r="AG131" i="1" s="1"/>
  <c r="AE131" i="1"/>
  <c r="AF131" i="1"/>
  <c r="AH131" i="1"/>
  <c r="AM131" i="1"/>
  <c r="AN131" i="1"/>
  <c r="K132" i="1"/>
  <c r="L132" i="1"/>
  <c r="M132" i="1"/>
  <c r="N132" i="1" s="1"/>
  <c r="T132" i="1"/>
  <c r="V132" i="1"/>
  <c r="Y132" i="1"/>
  <c r="Z132" i="1"/>
  <c r="AB132" i="1"/>
  <c r="AC132" i="1"/>
  <c r="AD132" i="1"/>
  <c r="X132" i="1" s="1"/>
  <c r="AE132" i="1"/>
  <c r="AF132" i="1"/>
  <c r="AH132" i="1"/>
  <c r="AM132" i="1"/>
  <c r="AN132" i="1"/>
  <c r="K133" i="1"/>
  <c r="L133" i="1"/>
  <c r="M133" i="1"/>
  <c r="N133" i="1" s="1"/>
  <c r="V133" i="1"/>
  <c r="Y133" i="1"/>
  <c r="Z133" i="1"/>
  <c r="AA133" i="1" s="1"/>
  <c r="AB133" i="1"/>
  <c r="AC133" i="1"/>
  <c r="AD133" i="1"/>
  <c r="T133" i="1" s="1"/>
  <c r="AE133" i="1"/>
  <c r="AF133" i="1"/>
  <c r="AH133" i="1"/>
  <c r="AM133" i="1"/>
  <c r="AN133" i="1"/>
  <c r="K134" i="1"/>
  <c r="L134" i="1"/>
  <c r="M134" i="1"/>
  <c r="N134" i="1" s="1"/>
  <c r="V134" i="1"/>
  <c r="Y134" i="1"/>
  <c r="Z134" i="1"/>
  <c r="AB134" i="1"/>
  <c r="AC134" i="1"/>
  <c r="AD134" i="1"/>
  <c r="T134" i="1" s="1"/>
  <c r="AE134" i="1"/>
  <c r="AF134" i="1"/>
  <c r="AH134" i="1"/>
  <c r="AM134" i="1"/>
  <c r="AN134" i="1"/>
  <c r="K135" i="1"/>
  <c r="L135" i="1"/>
  <c r="M135" i="1"/>
  <c r="N135" i="1" s="1"/>
  <c r="V135" i="1"/>
  <c r="Y135" i="1"/>
  <c r="Z135" i="1"/>
  <c r="AA135" i="1" s="1"/>
  <c r="AB135" i="1"/>
  <c r="AC135" i="1"/>
  <c r="AD135" i="1"/>
  <c r="AG135" i="1" s="1"/>
  <c r="AE135" i="1"/>
  <c r="AF135" i="1"/>
  <c r="AH135" i="1"/>
  <c r="AM135" i="1"/>
  <c r="AN135" i="1"/>
  <c r="K136" i="1"/>
  <c r="L136" i="1"/>
  <c r="M136" i="1"/>
  <c r="N136" i="1" s="1"/>
  <c r="T136" i="1"/>
  <c r="V136" i="1"/>
  <c r="Y136" i="1"/>
  <c r="Z136" i="1"/>
  <c r="AB136" i="1"/>
  <c r="AC136" i="1"/>
  <c r="AD136" i="1"/>
  <c r="X136" i="1" s="1"/>
  <c r="AE136" i="1"/>
  <c r="AF136" i="1"/>
  <c r="AH136" i="1"/>
  <c r="AM136" i="1"/>
  <c r="AN136" i="1"/>
  <c r="K137" i="1"/>
  <c r="L137" i="1"/>
  <c r="M137" i="1"/>
  <c r="N137" i="1" s="1"/>
  <c r="V137" i="1"/>
  <c r="Y137" i="1"/>
  <c r="Z137" i="1"/>
  <c r="AA137" i="1" s="1"/>
  <c r="AB137" i="1"/>
  <c r="AC137" i="1"/>
  <c r="AD137" i="1"/>
  <c r="T137" i="1" s="1"/>
  <c r="AE137" i="1"/>
  <c r="AF137" i="1"/>
  <c r="AH137" i="1"/>
  <c r="AM137" i="1"/>
  <c r="AN137" i="1"/>
  <c r="K138" i="1"/>
  <c r="L138" i="1"/>
  <c r="M138" i="1"/>
  <c r="N138" i="1" s="1"/>
  <c r="V138" i="1"/>
  <c r="Y138" i="1"/>
  <c r="Z138" i="1"/>
  <c r="AB138" i="1"/>
  <c r="AC138" i="1"/>
  <c r="AD138" i="1"/>
  <c r="T138" i="1" s="1"/>
  <c r="AE138" i="1"/>
  <c r="AF138" i="1"/>
  <c r="AH138" i="1"/>
  <c r="AM138" i="1"/>
  <c r="AN138" i="1"/>
  <c r="K139" i="1"/>
  <c r="L139" i="1"/>
  <c r="M139" i="1"/>
  <c r="N139" i="1" s="1"/>
  <c r="V139" i="1"/>
  <c r="Y139" i="1"/>
  <c r="Z139" i="1"/>
  <c r="AB139" i="1"/>
  <c r="AC139" i="1"/>
  <c r="AD139" i="1"/>
  <c r="AG139" i="1" s="1"/>
  <c r="AE139" i="1"/>
  <c r="AF139" i="1"/>
  <c r="AH139" i="1"/>
  <c r="AM139" i="1"/>
  <c r="AN139" i="1"/>
  <c r="K140" i="1"/>
  <c r="L140" i="1"/>
  <c r="M140" i="1"/>
  <c r="N140" i="1" s="1"/>
  <c r="V140" i="1"/>
  <c r="Y140" i="1"/>
  <c r="Z140" i="1"/>
  <c r="AB140" i="1"/>
  <c r="AC140" i="1"/>
  <c r="AD140" i="1"/>
  <c r="T140" i="1" s="1"/>
  <c r="AE140" i="1"/>
  <c r="AF140" i="1"/>
  <c r="AH140" i="1"/>
  <c r="AM140" i="1"/>
  <c r="AN140" i="1"/>
  <c r="K141" i="1"/>
  <c r="L141" i="1"/>
  <c r="M141" i="1"/>
  <c r="N141" i="1" s="1"/>
  <c r="V141" i="1"/>
  <c r="Y141" i="1"/>
  <c r="Z141" i="1"/>
  <c r="AA141" i="1" s="1"/>
  <c r="AB141" i="1"/>
  <c r="AC141" i="1"/>
  <c r="AD141" i="1"/>
  <c r="T141" i="1" s="1"/>
  <c r="AE141" i="1"/>
  <c r="AF141" i="1"/>
  <c r="AH141" i="1"/>
  <c r="AM141" i="1"/>
  <c r="AN141" i="1"/>
  <c r="K142" i="1"/>
  <c r="L142" i="1"/>
  <c r="M142" i="1"/>
  <c r="N142" i="1" s="1"/>
  <c r="V142" i="1"/>
  <c r="Y142" i="1"/>
  <c r="Z142" i="1"/>
  <c r="AA142" i="1" s="1"/>
  <c r="AB142" i="1"/>
  <c r="AC142" i="1"/>
  <c r="AD142" i="1"/>
  <c r="T142" i="1" s="1"/>
  <c r="AE142" i="1"/>
  <c r="AF142" i="1"/>
  <c r="AH142" i="1"/>
  <c r="AM142" i="1"/>
  <c r="AN142" i="1"/>
  <c r="K143" i="1"/>
  <c r="L143" i="1"/>
  <c r="M143" i="1"/>
  <c r="N143" i="1" s="1"/>
  <c r="V143" i="1"/>
  <c r="Y143" i="1"/>
  <c r="Z143" i="1"/>
  <c r="AB143" i="1"/>
  <c r="AC143" i="1"/>
  <c r="AD143" i="1"/>
  <c r="AG143" i="1" s="1"/>
  <c r="AE143" i="1"/>
  <c r="AF143" i="1"/>
  <c r="AH143" i="1"/>
  <c r="AM143" i="1"/>
  <c r="AN143" i="1"/>
  <c r="K144" i="1"/>
  <c r="L144" i="1"/>
  <c r="M144" i="1"/>
  <c r="N144" i="1" s="1"/>
  <c r="V144" i="1"/>
  <c r="Y144" i="1"/>
  <c r="Z144" i="1"/>
  <c r="AB144" i="1"/>
  <c r="AC144" i="1"/>
  <c r="AD144" i="1"/>
  <c r="T144" i="1" s="1"/>
  <c r="AE144" i="1"/>
  <c r="AF144" i="1"/>
  <c r="AH144" i="1"/>
  <c r="AM144" i="1"/>
  <c r="AN144" i="1"/>
  <c r="K145" i="1"/>
  <c r="L145" i="1"/>
  <c r="M145" i="1"/>
  <c r="N145" i="1" s="1"/>
  <c r="V145" i="1"/>
  <c r="Y145" i="1"/>
  <c r="Z145" i="1"/>
  <c r="AA145" i="1" s="1"/>
  <c r="AB145" i="1"/>
  <c r="AC145" i="1"/>
  <c r="AD145" i="1"/>
  <c r="T145" i="1" s="1"/>
  <c r="AE145" i="1"/>
  <c r="AF145" i="1"/>
  <c r="AH145" i="1"/>
  <c r="AM145" i="1"/>
  <c r="AN145" i="1"/>
  <c r="K146" i="1"/>
  <c r="L146" i="1"/>
  <c r="M146" i="1"/>
  <c r="N146" i="1" s="1"/>
  <c r="V146" i="1"/>
  <c r="Y146" i="1"/>
  <c r="Z146" i="1"/>
  <c r="AA146" i="1" s="1"/>
  <c r="AB146" i="1"/>
  <c r="AC146" i="1"/>
  <c r="AD146" i="1"/>
  <c r="T146" i="1" s="1"/>
  <c r="AE146" i="1"/>
  <c r="AF146" i="1"/>
  <c r="AH146" i="1"/>
  <c r="AM146" i="1"/>
  <c r="AN146" i="1"/>
  <c r="K147" i="1"/>
  <c r="L147" i="1"/>
  <c r="M147" i="1"/>
  <c r="N147" i="1" s="1"/>
  <c r="T147" i="1"/>
  <c r="V147" i="1"/>
  <c r="X147" i="1"/>
  <c r="Y147" i="1"/>
  <c r="Z147" i="1"/>
  <c r="AA147" i="1" s="1"/>
  <c r="AB147" i="1"/>
  <c r="AC147" i="1"/>
  <c r="AD147" i="1"/>
  <c r="AG147" i="1" s="1"/>
  <c r="AE147" i="1"/>
  <c r="AF147" i="1"/>
  <c r="AH147" i="1"/>
  <c r="AM147" i="1"/>
  <c r="AN147" i="1"/>
  <c r="K148" i="1"/>
  <c r="L148" i="1"/>
  <c r="M148" i="1"/>
  <c r="N148" i="1" s="1"/>
  <c r="T148" i="1"/>
  <c r="V148" i="1"/>
  <c r="X148" i="1"/>
  <c r="Y148" i="1"/>
  <c r="Z148" i="1"/>
  <c r="AB148" i="1"/>
  <c r="AC148" i="1"/>
  <c r="AD148" i="1"/>
  <c r="AE148" i="1"/>
  <c r="AF148" i="1"/>
  <c r="AG148" i="1"/>
  <c r="AH148" i="1"/>
  <c r="AM148" i="1"/>
  <c r="AN148" i="1"/>
  <c r="K149" i="1"/>
  <c r="L149" i="1"/>
  <c r="M149" i="1"/>
  <c r="N149" i="1" s="1"/>
  <c r="V149" i="1"/>
  <c r="Y149" i="1"/>
  <c r="Z149" i="1"/>
  <c r="AB149" i="1"/>
  <c r="AC149" i="1"/>
  <c r="AD149" i="1"/>
  <c r="T149" i="1" s="1"/>
  <c r="AE149" i="1"/>
  <c r="AF149" i="1"/>
  <c r="AH149" i="1"/>
  <c r="AM149" i="1"/>
  <c r="AN149" i="1"/>
  <c r="K150" i="1"/>
  <c r="L150" i="1"/>
  <c r="M150" i="1"/>
  <c r="N150" i="1" s="1"/>
  <c r="V150" i="1"/>
  <c r="Y150" i="1"/>
  <c r="Z150" i="1"/>
  <c r="AA150" i="1" s="1"/>
  <c r="AB150" i="1"/>
  <c r="AC150" i="1"/>
  <c r="AD150" i="1"/>
  <c r="AE150" i="1"/>
  <c r="AF150" i="1"/>
  <c r="AH150" i="1"/>
  <c r="AM150" i="1"/>
  <c r="AN150" i="1"/>
  <c r="K151" i="1"/>
  <c r="L151" i="1"/>
  <c r="M151" i="1"/>
  <c r="N151" i="1" s="1"/>
  <c r="T151" i="1"/>
  <c r="V151" i="1"/>
  <c r="Y151" i="1"/>
  <c r="Z151" i="1"/>
  <c r="AA151" i="1" s="1"/>
  <c r="AB151" i="1"/>
  <c r="AC151" i="1"/>
  <c r="AD151" i="1"/>
  <c r="AG151" i="1" s="1"/>
  <c r="AE151" i="1"/>
  <c r="AF151" i="1"/>
  <c r="AH151" i="1"/>
  <c r="AM151" i="1"/>
  <c r="AN151" i="1"/>
  <c r="K152" i="1"/>
  <c r="L152" i="1"/>
  <c r="M152" i="1"/>
  <c r="N152" i="1" s="1"/>
  <c r="T152" i="1"/>
  <c r="V152" i="1"/>
  <c r="X152" i="1"/>
  <c r="Y152" i="1"/>
  <c r="Z152" i="1"/>
  <c r="AB152" i="1"/>
  <c r="AC152" i="1"/>
  <c r="AD152" i="1"/>
  <c r="AE152" i="1"/>
  <c r="AF152" i="1"/>
  <c r="AG152" i="1"/>
  <c r="AH152" i="1"/>
  <c r="AM152" i="1"/>
  <c r="AN152" i="1"/>
  <c r="K153" i="1"/>
  <c r="L153" i="1"/>
  <c r="M153" i="1"/>
  <c r="N153" i="1" s="1"/>
  <c r="V153" i="1"/>
  <c r="Y153" i="1"/>
  <c r="Z153" i="1"/>
  <c r="AB153" i="1"/>
  <c r="AC153" i="1"/>
  <c r="AD153" i="1"/>
  <c r="T153" i="1" s="1"/>
  <c r="AE153" i="1"/>
  <c r="AF153" i="1"/>
  <c r="AH153" i="1"/>
  <c r="AM153" i="1"/>
  <c r="AN153" i="1"/>
  <c r="K154" i="1"/>
  <c r="L154" i="1"/>
  <c r="M154" i="1"/>
  <c r="V154" i="1"/>
  <c r="Y154" i="1"/>
  <c r="Z154" i="1"/>
  <c r="AA154" i="1" s="1"/>
  <c r="AB154" i="1"/>
  <c r="AC154" i="1"/>
  <c r="AD154" i="1"/>
  <c r="AE154" i="1"/>
  <c r="AF154" i="1"/>
  <c r="AH154" i="1"/>
  <c r="AM154" i="1"/>
  <c r="AN154" i="1"/>
  <c r="K155" i="1"/>
  <c r="L155" i="1"/>
  <c r="M155" i="1"/>
  <c r="N155" i="1" s="1"/>
  <c r="T155" i="1"/>
  <c r="V155" i="1"/>
  <c r="Y155" i="1"/>
  <c r="Z155" i="1"/>
  <c r="AA155" i="1" s="1"/>
  <c r="AB155" i="1"/>
  <c r="AC155" i="1"/>
  <c r="AD155" i="1"/>
  <c r="AG155" i="1" s="1"/>
  <c r="AE155" i="1"/>
  <c r="AF155" i="1"/>
  <c r="AH155" i="1"/>
  <c r="AM155" i="1"/>
  <c r="AN155" i="1"/>
  <c r="K156" i="1"/>
  <c r="L156" i="1"/>
  <c r="M156" i="1"/>
  <c r="T156" i="1"/>
  <c r="V156" i="1"/>
  <c r="X156" i="1"/>
  <c r="Y156" i="1"/>
  <c r="Z156" i="1"/>
  <c r="AB156" i="1"/>
  <c r="AC156" i="1"/>
  <c r="AD156" i="1"/>
  <c r="AE156" i="1"/>
  <c r="AF156" i="1"/>
  <c r="AG156" i="1"/>
  <c r="AH156" i="1"/>
  <c r="AM156" i="1"/>
  <c r="AN156" i="1"/>
  <c r="K204" i="1"/>
  <c r="L204" i="1"/>
  <c r="M204" i="1"/>
  <c r="N204" i="1" s="1"/>
  <c r="V204" i="1"/>
  <c r="Y204" i="1"/>
  <c r="Z204" i="1"/>
  <c r="AA204" i="1" s="1"/>
  <c r="AB204" i="1"/>
  <c r="AC204" i="1"/>
  <c r="AD204" i="1"/>
  <c r="T204" i="1" s="1"/>
  <c r="AE204" i="1"/>
  <c r="AF204" i="1"/>
  <c r="AH157" i="1"/>
  <c r="AM157" i="1"/>
  <c r="AN157" i="1"/>
  <c r="K205" i="1"/>
  <c r="L205" i="1"/>
  <c r="M205" i="1"/>
  <c r="N205" i="1" s="1"/>
  <c r="V205" i="1"/>
  <c r="Y205" i="1"/>
  <c r="Z205" i="1"/>
  <c r="AA205" i="1" s="1"/>
  <c r="AB205" i="1"/>
  <c r="AC205" i="1"/>
  <c r="AD205" i="1"/>
  <c r="AE205" i="1"/>
  <c r="AF205" i="1"/>
  <c r="AH158" i="1"/>
  <c r="AM158" i="1"/>
  <c r="AN158" i="1"/>
  <c r="K206" i="1"/>
  <c r="L206" i="1"/>
  <c r="M206" i="1"/>
  <c r="N206" i="1" s="1"/>
  <c r="T206" i="1"/>
  <c r="V206" i="1"/>
  <c r="Y206" i="1"/>
  <c r="Z206" i="1"/>
  <c r="AA206" i="1" s="1"/>
  <c r="AB206" i="1"/>
  <c r="AC206" i="1"/>
  <c r="AD206" i="1"/>
  <c r="AG206" i="1" s="1"/>
  <c r="AE206" i="1"/>
  <c r="AF206" i="1"/>
  <c r="AH159" i="1"/>
  <c r="AM159" i="1"/>
  <c r="AN159" i="1"/>
  <c r="K207" i="1"/>
  <c r="L207" i="1"/>
  <c r="M207" i="1"/>
  <c r="N207" i="1" s="1"/>
  <c r="T207" i="1"/>
  <c r="V207" i="1"/>
  <c r="Y207" i="1"/>
  <c r="Z207" i="1"/>
  <c r="AB207" i="1"/>
  <c r="AC207" i="1"/>
  <c r="AD207" i="1"/>
  <c r="X207" i="1" s="1"/>
  <c r="AE207" i="1"/>
  <c r="AF207" i="1"/>
  <c r="AH160" i="1"/>
  <c r="AM160" i="1"/>
  <c r="AN160" i="1"/>
  <c r="K208" i="1"/>
  <c r="L208" i="1"/>
  <c r="M208" i="1"/>
  <c r="N208" i="1" s="1"/>
  <c r="V208" i="1"/>
  <c r="Y208" i="1"/>
  <c r="Z208" i="1"/>
  <c r="AA208" i="1" s="1"/>
  <c r="AB208" i="1"/>
  <c r="AC208" i="1"/>
  <c r="AD208" i="1"/>
  <c r="T208" i="1" s="1"/>
  <c r="AE208" i="1"/>
  <c r="AF208" i="1"/>
  <c r="AH161" i="1"/>
  <c r="AM161" i="1"/>
  <c r="AN161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162" i="1"/>
  <c r="AM162" i="1"/>
  <c r="AN162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163" i="1"/>
  <c r="AM163" i="1"/>
  <c r="AN163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164" i="1"/>
  <c r="AM164" i="1"/>
  <c r="AN164" i="1"/>
  <c r="K218" i="1"/>
  <c r="L218" i="1"/>
  <c r="M218" i="1"/>
  <c r="N218" i="1" s="1"/>
  <c r="V218" i="1"/>
  <c r="Y218" i="1"/>
  <c r="Z218" i="1"/>
  <c r="AA218" i="1" s="1"/>
  <c r="AB218" i="1"/>
  <c r="AC218" i="1"/>
  <c r="AD218" i="1"/>
  <c r="T218" i="1" s="1"/>
  <c r="AE218" i="1"/>
  <c r="AF218" i="1"/>
  <c r="AH165" i="1"/>
  <c r="AM165" i="1"/>
  <c r="AN165" i="1"/>
  <c r="K219" i="1"/>
  <c r="L219" i="1"/>
  <c r="M219" i="1"/>
  <c r="N219" i="1" s="1"/>
  <c r="V219" i="1"/>
  <c r="Y219" i="1"/>
  <c r="Z219" i="1"/>
  <c r="AA219" i="1" s="1"/>
  <c r="AB219" i="1"/>
  <c r="AC219" i="1"/>
  <c r="AD219" i="1"/>
  <c r="T219" i="1" s="1"/>
  <c r="AE219" i="1"/>
  <c r="AF219" i="1"/>
  <c r="AH166" i="1"/>
  <c r="AM166" i="1"/>
  <c r="AN166" i="1"/>
  <c r="K220" i="1"/>
  <c r="L220" i="1"/>
  <c r="M220" i="1"/>
  <c r="N220" i="1" s="1"/>
  <c r="V220" i="1"/>
  <c r="Y220" i="1"/>
  <c r="Z220" i="1"/>
  <c r="AA220" i="1" s="1"/>
  <c r="W220" i="1" s="1"/>
  <c r="AB220" i="1"/>
  <c r="AC220" i="1"/>
  <c r="AD220" i="1"/>
  <c r="AG220" i="1" s="1"/>
  <c r="AE220" i="1"/>
  <c r="AF220" i="1"/>
  <c r="AH167" i="1"/>
  <c r="AM167" i="1"/>
  <c r="AN167" i="1"/>
  <c r="K221" i="1"/>
  <c r="L221" i="1"/>
  <c r="M221" i="1"/>
  <c r="N221" i="1" s="1"/>
  <c r="V221" i="1"/>
  <c r="Y221" i="1"/>
  <c r="Z221" i="1"/>
  <c r="AB221" i="1"/>
  <c r="AC221" i="1"/>
  <c r="AD221" i="1"/>
  <c r="T221" i="1" s="1"/>
  <c r="AE221" i="1"/>
  <c r="AF221" i="1"/>
  <c r="AH168" i="1"/>
  <c r="AM168" i="1"/>
  <c r="AN168" i="1"/>
  <c r="K222" i="1"/>
  <c r="L222" i="1"/>
  <c r="M222" i="1"/>
  <c r="N222" i="1"/>
  <c r="V222" i="1"/>
  <c r="Y222" i="1"/>
  <c r="Z222" i="1"/>
  <c r="AB222" i="1"/>
  <c r="AC222" i="1"/>
  <c r="AD222" i="1"/>
  <c r="T222" i="1" s="1"/>
  <c r="AE222" i="1"/>
  <c r="AF222" i="1"/>
  <c r="AH169" i="1"/>
  <c r="AM169" i="1"/>
  <c r="AN169" i="1"/>
  <c r="K223" i="1"/>
  <c r="L223" i="1"/>
  <c r="M223" i="1"/>
  <c r="N223" i="1" s="1"/>
  <c r="V223" i="1"/>
  <c r="Y223" i="1"/>
  <c r="Z223" i="1"/>
  <c r="AB223" i="1"/>
  <c r="AC223" i="1"/>
  <c r="AD223" i="1"/>
  <c r="T223" i="1" s="1"/>
  <c r="AE223" i="1"/>
  <c r="AF223" i="1"/>
  <c r="AH170" i="1"/>
  <c r="AM170" i="1"/>
  <c r="AN170" i="1"/>
  <c r="K224" i="1"/>
  <c r="L224" i="1"/>
  <c r="M224" i="1"/>
  <c r="N224" i="1"/>
  <c r="T224" i="1"/>
  <c r="V224" i="1"/>
  <c r="Y224" i="1"/>
  <c r="Z224" i="1"/>
  <c r="AA224" i="1"/>
  <c r="AB224" i="1"/>
  <c r="AC224" i="1"/>
  <c r="AD224" i="1"/>
  <c r="AE224" i="1"/>
  <c r="AF224" i="1"/>
  <c r="AH171" i="1"/>
  <c r="AM171" i="1"/>
  <c r="AN171" i="1"/>
  <c r="K225" i="1"/>
  <c r="L225" i="1"/>
  <c r="M225" i="1"/>
  <c r="N225" i="1" s="1"/>
  <c r="T225" i="1"/>
  <c r="V225" i="1"/>
  <c r="Y225" i="1"/>
  <c r="Z225" i="1"/>
  <c r="AB225" i="1"/>
  <c r="AC225" i="1"/>
  <c r="AD225" i="1"/>
  <c r="X225" i="1" s="1"/>
  <c r="AE225" i="1"/>
  <c r="AF225" i="1"/>
  <c r="AH172" i="1"/>
  <c r="AM172" i="1"/>
  <c r="AN172" i="1"/>
  <c r="K226" i="1"/>
  <c r="L226" i="1"/>
  <c r="M226" i="1"/>
  <c r="N226" i="1" s="1"/>
  <c r="V226" i="1"/>
  <c r="Y226" i="1"/>
  <c r="Z226" i="1"/>
  <c r="AA226" i="1" s="1"/>
  <c r="AB226" i="1"/>
  <c r="AC226" i="1"/>
  <c r="AD226" i="1"/>
  <c r="T226" i="1" s="1"/>
  <c r="AE226" i="1"/>
  <c r="AF226" i="1"/>
  <c r="AH173" i="1"/>
  <c r="AM173" i="1"/>
  <c r="AN173" i="1"/>
  <c r="K227" i="1"/>
  <c r="L227" i="1"/>
  <c r="M227" i="1"/>
  <c r="N227" i="1" s="1"/>
  <c r="V227" i="1"/>
  <c r="Y227" i="1"/>
  <c r="Z227" i="1"/>
  <c r="AB227" i="1"/>
  <c r="AC227" i="1"/>
  <c r="AD227" i="1"/>
  <c r="T227" i="1" s="1"/>
  <c r="AE227" i="1"/>
  <c r="AF227" i="1"/>
  <c r="AH174" i="1"/>
  <c r="AM174" i="1"/>
  <c r="AN174" i="1"/>
  <c r="K228" i="1"/>
  <c r="L228" i="1"/>
  <c r="M228" i="1"/>
  <c r="N228" i="1" s="1"/>
  <c r="V228" i="1"/>
  <c r="Y228" i="1"/>
  <c r="Z228" i="1"/>
  <c r="AA228" i="1" s="1"/>
  <c r="W228" i="1" s="1"/>
  <c r="AB228" i="1"/>
  <c r="AC228" i="1"/>
  <c r="AD228" i="1"/>
  <c r="AG228" i="1" s="1"/>
  <c r="AE228" i="1"/>
  <c r="AF228" i="1"/>
  <c r="AH175" i="1"/>
  <c r="AM175" i="1"/>
  <c r="AN175" i="1"/>
  <c r="K229" i="1"/>
  <c r="L229" i="1"/>
  <c r="M229" i="1"/>
  <c r="N229" i="1" s="1"/>
  <c r="V229" i="1"/>
  <c r="Y229" i="1"/>
  <c r="AA229" i="1" s="1"/>
  <c r="Z229" i="1"/>
  <c r="AB229" i="1"/>
  <c r="AC229" i="1"/>
  <c r="AD229" i="1"/>
  <c r="T229" i="1" s="1"/>
  <c r="AE229" i="1"/>
  <c r="AF229" i="1"/>
  <c r="AH176" i="1"/>
  <c r="AM176" i="1"/>
  <c r="AN176" i="1"/>
  <c r="K230" i="1"/>
  <c r="L230" i="1"/>
  <c r="M230" i="1"/>
  <c r="N230" i="1" s="1"/>
  <c r="V230" i="1"/>
  <c r="Y230" i="1"/>
  <c r="Z230" i="1"/>
  <c r="AB230" i="1"/>
  <c r="AC230" i="1"/>
  <c r="AD230" i="1"/>
  <c r="T230" i="1" s="1"/>
  <c r="AE230" i="1"/>
  <c r="AF230" i="1"/>
  <c r="AH177" i="1"/>
  <c r="AM177" i="1"/>
  <c r="AN177" i="1"/>
  <c r="K231" i="1"/>
  <c r="L231" i="1"/>
  <c r="M231" i="1"/>
  <c r="N231" i="1" s="1"/>
  <c r="V231" i="1"/>
  <c r="Y231" i="1"/>
  <c r="Z231" i="1"/>
  <c r="AA231" i="1" s="1"/>
  <c r="AB231" i="1"/>
  <c r="AC231" i="1"/>
  <c r="AD231" i="1"/>
  <c r="T231" i="1" s="1"/>
  <c r="AE231" i="1"/>
  <c r="AF231" i="1"/>
  <c r="AH178" i="1"/>
  <c r="AM178" i="1"/>
  <c r="AN178" i="1"/>
  <c r="K157" i="1"/>
  <c r="L157" i="1"/>
  <c r="M157" i="1"/>
  <c r="N157" i="1" s="1"/>
  <c r="V157" i="1"/>
  <c r="Y157" i="1"/>
  <c r="Z157" i="1"/>
  <c r="AB157" i="1"/>
  <c r="AC157" i="1"/>
  <c r="AD157" i="1"/>
  <c r="AG157" i="1" s="1"/>
  <c r="AE157" i="1"/>
  <c r="AF157" i="1"/>
  <c r="AH179" i="1"/>
  <c r="AM179" i="1"/>
  <c r="AN179" i="1"/>
  <c r="K158" i="1"/>
  <c r="L158" i="1"/>
  <c r="M158" i="1"/>
  <c r="N158" i="1" s="1"/>
  <c r="V158" i="1"/>
  <c r="Y158" i="1"/>
  <c r="Z158" i="1"/>
  <c r="AB158" i="1"/>
  <c r="AC158" i="1"/>
  <c r="AD158" i="1"/>
  <c r="T158" i="1" s="1"/>
  <c r="AE158" i="1"/>
  <c r="AF158" i="1"/>
  <c r="AH180" i="1"/>
  <c r="AM180" i="1"/>
  <c r="AN180" i="1"/>
  <c r="K159" i="1"/>
  <c r="L159" i="1"/>
  <c r="M159" i="1"/>
  <c r="N159" i="1" s="1"/>
  <c r="V159" i="1"/>
  <c r="Y159" i="1"/>
  <c r="Z159" i="1"/>
  <c r="AB159" i="1"/>
  <c r="AC159" i="1"/>
  <c r="AD159" i="1"/>
  <c r="T159" i="1" s="1"/>
  <c r="AE159" i="1"/>
  <c r="AF159" i="1"/>
  <c r="AH181" i="1"/>
  <c r="AM181" i="1"/>
  <c r="AN181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182" i="1"/>
  <c r="AM182" i="1"/>
  <c r="AN182" i="1"/>
  <c r="K161" i="1"/>
  <c r="L161" i="1"/>
  <c r="M161" i="1"/>
  <c r="N161" i="1" s="1"/>
  <c r="V161" i="1"/>
  <c r="Y161" i="1"/>
  <c r="Z161" i="1"/>
  <c r="AB161" i="1"/>
  <c r="AC161" i="1"/>
  <c r="AD161" i="1"/>
  <c r="AG161" i="1" s="1"/>
  <c r="AE161" i="1"/>
  <c r="AF161" i="1"/>
  <c r="AH183" i="1"/>
  <c r="AM183" i="1"/>
  <c r="AN183" i="1"/>
  <c r="K162" i="1"/>
  <c r="L162" i="1"/>
  <c r="M162" i="1"/>
  <c r="N162" i="1" s="1"/>
  <c r="V162" i="1"/>
  <c r="Y162" i="1"/>
  <c r="Z162" i="1"/>
  <c r="AB162" i="1"/>
  <c r="AC162" i="1"/>
  <c r="AD162" i="1"/>
  <c r="T162" i="1" s="1"/>
  <c r="AE162" i="1"/>
  <c r="AF162" i="1"/>
  <c r="AG162" i="1"/>
  <c r="AH184" i="1"/>
  <c r="AM184" i="1"/>
  <c r="AN184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185" i="1"/>
  <c r="AM185" i="1"/>
  <c r="AN185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186" i="1"/>
  <c r="AM186" i="1"/>
  <c r="AN186" i="1"/>
  <c r="K165" i="1"/>
  <c r="L165" i="1"/>
  <c r="M165" i="1"/>
  <c r="N165" i="1" s="1"/>
  <c r="V165" i="1"/>
  <c r="Y165" i="1"/>
  <c r="Z165" i="1"/>
  <c r="AA165" i="1" s="1"/>
  <c r="AB165" i="1"/>
  <c r="AC165" i="1"/>
  <c r="AD165" i="1"/>
  <c r="AG165" i="1" s="1"/>
  <c r="AE165" i="1"/>
  <c r="AF165" i="1"/>
  <c r="AH187" i="1"/>
  <c r="AM187" i="1"/>
  <c r="AN187" i="1"/>
  <c r="K166" i="1"/>
  <c r="L166" i="1"/>
  <c r="M166" i="1"/>
  <c r="N166" i="1" s="1"/>
  <c r="V166" i="1"/>
  <c r="X166" i="1"/>
  <c r="Y166" i="1"/>
  <c r="Z166" i="1"/>
  <c r="AB166" i="1"/>
  <c r="AC166" i="1"/>
  <c r="AD166" i="1"/>
  <c r="T166" i="1" s="1"/>
  <c r="AE166" i="1"/>
  <c r="AF166" i="1"/>
  <c r="AG166" i="1"/>
  <c r="AH188" i="1"/>
  <c r="AM188" i="1"/>
  <c r="AN188" i="1"/>
  <c r="K167" i="1"/>
  <c r="L167" i="1"/>
  <c r="M167" i="1"/>
  <c r="N167" i="1" s="1"/>
  <c r="V167" i="1"/>
  <c r="Y167" i="1"/>
  <c r="Z167" i="1"/>
  <c r="AB167" i="1"/>
  <c r="AC167" i="1"/>
  <c r="AD167" i="1"/>
  <c r="AE167" i="1"/>
  <c r="AF167" i="1"/>
  <c r="AH189" i="1"/>
  <c r="AM189" i="1"/>
  <c r="AN189" i="1"/>
  <c r="K168" i="1"/>
  <c r="L168" i="1"/>
  <c r="M168" i="1"/>
  <c r="N168" i="1" s="1"/>
  <c r="V168" i="1"/>
  <c r="Y168" i="1"/>
  <c r="Z168" i="1"/>
  <c r="AA168" i="1" s="1"/>
  <c r="AB168" i="1"/>
  <c r="AC168" i="1"/>
  <c r="AD168" i="1"/>
  <c r="T168" i="1" s="1"/>
  <c r="AE168" i="1"/>
  <c r="AF168" i="1"/>
  <c r="AH190" i="1"/>
  <c r="AM190" i="1"/>
  <c r="AN190" i="1"/>
  <c r="K169" i="1"/>
  <c r="L169" i="1"/>
  <c r="M169" i="1"/>
  <c r="N169" i="1" s="1"/>
  <c r="V169" i="1"/>
  <c r="Y169" i="1"/>
  <c r="Z169" i="1"/>
  <c r="AA169" i="1" s="1"/>
  <c r="W169" i="1" s="1"/>
  <c r="AB169" i="1"/>
  <c r="AC169" i="1"/>
  <c r="AD169" i="1"/>
  <c r="AG169" i="1" s="1"/>
  <c r="AE169" i="1"/>
  <c r="AF169" i="1"/>
  <c r="AH191" i="1"/>
  <c r="AM191" i="1"/>
  <c r="AN191" i="1"/>
  <c r="K170" i="1"/>
  <c r="L170" i="1"/>
  <c r="M170" i="1"/>
  <c r="N170" i="1" s="1"/>
  <c r="V170" i="1"/>
  <c r="X170" i="1"/>
  <c r="Y170" i="1"/>
  <c r="Z170" i="1"/>
  <c r="AA170" i="1"/>
  <c r="W170" i="1" s="1"/>
  <c r="AB170" i="1"/>
  <c r="AC170" i="1"/>
  <c r="AD170" i="1"/>
  <c r="T170" i="1" s="1"/>
  <c r="AE170" i="1"/>
  <c r="AF170" i="1"/>
  <c r="AG170" i="1"/>
  <c r="AH192" i="1"/>
  <c r="AM192" i="1"/>
  <c r="AN192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93" i="1"/>
  <c r="AM193" i="1"/>
  <c r="AN193" i="1"/>
  <c r="K172" i="1"/>
  <c r="L172" i="1"/>
  <c r="M172" i="1"/>
  <c r="N172" i="1" s="1"/>
  <c r="V172" i="1"/>
  <c r="Y172" i="1"/>
  <c r="Z172" i="1"/>
  <c r="AB172" i="1"/>
  <c r="AC172" i="1"/>
  <c r="AD172" i="1"/>
  <c r="AG172" i="1" s="1"/>
  <c r="AE172" i="1"/>
  <c r="AF172" i="1"/>
  <c r="AH194" i="1"/>
  <c r="AM194" i="1"/>
  <c r="AN194" i="1"/>
  <c r="K173" i="1"/>
  <c r="L173" i="1"/>
  <c r="M173" i="1"/>
  <c r="N173" i="1" s="1"/>
  <c r="V173" i="1"/>
  <c r="Y173" i="1"/>
  <c r="Z173" i="1"/>
  <c r="AB173" i="1"/>
  <c r="AC173" i="1"/>
  <c r="AD173" i="1"/>
  <c r="X173" i="1" s="1"/>
  <c r="AE173" i="1"/>
  <c r="AF173" i="1"/>
  <c r="AH195" i="1"/>
  <c r="AM195" i="1"/>
  <c r="AN195" i="1"/>
  <c r="K174" i="1"/>
  <c r="L174" i="1"/>
  <c r="M174" i="1"/>
  <c r="N174" i="1" s="1"/>
  <c r="V174" i="1"/>
  <c r="Y174" i="1"/>
  <c r="Z174" i="1"/>
  <c r="AA174" i="1" s="1"/>
  <c r="W174" i="1" s="1"/>
  <c r="AB174" i="1"/>
  <c r="AC174" i="1"/>
  <c r="AD174" i="1"/>
  <c r="AG174" i="1" s="1"/>
  <c r="AE174" i="1"/>
  <c r="AF174" i="1"/>
  <c r="AH196" i="1"/>
  <c r="AM196" i="1"/>
  <c r="AN196" i="1"/>
  <c r="K175" i="1"/>
  <c r="L175" i="1"/>
  <c r="M175" i="1"/>
  <c r="N175" i="1" s="1"/>
  <c r="V175" i="1"/>
  <c r="Y175" i="1"/>
  <c r="Z175" i="1"/>
  <c r="AB175" i="1"/>
  <c r="AC175" i="1"/>
  <c r="AD175" i="1"/>
  <c r="T175" i="1" s="1"/>
  <c r="AE175" i="1"/>
  <c r="AF175" i="1"/>
  <c r="AH197" i="1"/>
  <c r="AM197" i="1"/>
  <c r="AN197" i="1"/>
  <c r="K176" i="1"/>
  <c r="L176" i="1"/>
  <c r="M176" i="1"/>
  <c r="N176" i="1" s="1"/>
  <c r="V176" i="1"/>
  <c r="Y176" i="1"/>
  <c r="Z176" i="1"/>
  <c r="AB176" i="1"/>
  <c r="AC176" i="1"/>
  <c r="AD176" i="1"/>
  <c r="AG176" i="1" s="1"/>
  <c r="AE176" i="1"/>
  <c r="AF176" i="1"/>
  <c r="AH198" i="1"/>
  <c r="AM198" i="1"/>
  <c r="AN198" i="1"/>
  <c r="K177" i="1"/>
  <c r="L177" i="1"/>
  <c r="M177" i="1"/>
  <c r="N177" i="1" s="1"/>
  <c r="T177" i="1"/>
  <c r="V177" i="1"/>
  <c r="X177" i="1"/>
  <c r="Y177" i="1"/>
  <c r="Z177" i="1"/>
  <c r="AB177" i="1"/>
  <c r="AC177" i="1"/>
  <c r="AD177" i="1"/>
  <c r="AE177" i="1"/>
  <c r="AF177" i="1"/>
  <c r="AG177" i="1"/>
  <c r="AH199" i="1"/>
  <c r="AM199" i="1"/>
  <c r="AN199" i="1"/>
  <c r="K178" i="1"/>
  <c r="L178" i="1"/>
  <c r="M178" i="1"/>
  <c r="N178" i="1" s="1"/>
  <c r="V178" i="1"/>
  <c r="Y178" i="1"/>
  <c r="Z178" i="1"/>
  <c r="AB178" i="1"/>
  <c r="AC178" i="1"/>
  <c r="AD178" i="1"/>
  <c r="AG178" i="1" s="1"/>
  <c r="AE178" i="1"/>
  <c r="AF178" i="1"/>
  <c r="AH200" i="1"/>
  <c r="AM200" i="1"/>
  <c r="AN200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AF179" i="1"/>
  <c r="AH201" i="1"/>
  <c r="AM201" i="1"/>
  <c r="AN201" i="1"/>
  <c r="K180" i="1"/>
  <c r="L180" i="1"/>
  <c r="M180" i="1"/>
  <c r="N180" i="1" s="1"/>
  <c r="V180" i="1"/>
  <c r="Y180" i="1"/>
  <c r="Z180" i="1"/>
  <c r="AB180" i="1"/>
  <c r="AC180" i="1"/>
  <c r="AD180" i="1"/>
  <c r="AG180" i="1" s="1"/>
  <c r="AE180" i="1"/>
  <c r="AF180" i="1"/>
  <c r="AH202" i="1"/>
  <c r="AM202" i="1"/>
  <c r="AN202" i="1"/>
  <c r="K181" i="1"/>
  <c r="L181" i="1"/>
  <c r="M181" i="1"/>
  <c r="N181" i="1" s="1"/>
  <c r="V181" i="1"/>
  <c r="Y181" i="1"/>
  <c r="AA181" i="1" s="1"/>
  <c r="Z181" i="1"/>
  <c r="AB181" i="1"/>
  <c r="AC181" i="1"/>
  <c r="AD181" i="1"/>
  <c r="T181" i="1" s="1"/>
  <c r="AE181" i="1"/>
  <c r="AF181" i="1"/>
  <c r="AH203" i="1"/>
  <c r="AM203" i="1"/>
  <c r="AN203" i="1"/>
  <c r="K182" i="1"/>
  <c r="L182" i="1"/>
  <c r="M182" i="1"/>
  <c r="N182" i="1"/>
  <c r="V182" i="1"/>
  <c r="Y182" i="1"/>
  <c r="Z182" i="1"/>
  <c r="AB182" i="1"/>
  <c r="AC182" i="1"/>
  <c r="AD182" i="1"/>
  <c r="AG182" i="1" s="1"/>
  <c r="AE182" i="1"/>
  <c r="AF182" i="1"/>
  <c r="AH204" i="1"/>
  <c r="AM204" i="1"/>
  <c r="AN204" i="1"/>
  <c r="K183" i="1"/>
  <c r="L183" i="1"/>
  <c r="M183" i="1"/>
  <c r="N183" i="1" s="1"/>
  <c r="V183" i="1"/>
  <c r="Y183" i="1"/>
  <c r="Z183" i="1"/>
  <c r="AA183" i="1" s="1"/>
  <c r="W183" i="1" s="1"/>
  <c r="AB183" i="1"/>
  <c r="AC183" i="1"/>
  <c r="AD183" i="1"/>
  <c r="T183" i="1" s="1"/>
  <c r="AE183" i="1"/>
  <c r="AF183" i="1"/>
  <c r="AG183" i="1"/>
  <c r="U183" i="1" s="1"/>
  <c r="S183" i="1" s="1"/>
  <c r="AH205" i="1"/>
  <c r="AM205" i="1"/>
  <c r="AN205" i="1"/>
  <c r="K184" i="1"/>
  <c r="L184" i="1"/>
  <c r="M184" i="1"/>
  <c r="N184" i="1"/>
  <c r="V184" i="1"/>
  <c r="Y184" i="1"/>
  <c r="Z184" i="1"/>
  <c r="AB184" i="1"/>
  <c r="AC184" i="1"/>
  <c r="AD184" i="1"/>
  <c r="AG184" i="1" s="1"/>
  <c r="AE184" i="1"/>
  <c r="AF184" i="1"/>
  <c r="AH206" i="1"/>
  <c r="AM206" i="1"/>
  <c r="AN206" i="1"/>
  <c r="K185" i="1"/>
  <c r="L185" i="1"/>
  <c r="M185" i="1"/>
  <c r="N185" i="1" s="1"/>
  <c r="V185" i="1"/>
  <c r="Y185" i="1"/>
  <c r="AA185" i="1" s="1"/>
  <c r="Z185" i="1"/>
  <c r="AB185" i="1"/>
  <c r="AC185" i="1"/>
  <c r="AD185" i="1"/>
  <c r="T185" i="1" s="1"/>
  <c r="AE185" i="1"/>
  <c r="AF185" i="1"/>
  <c r="AH207" i="1"/>
  <c r="AM207" i="1"/>
  <c r="AN207" i="1"/>
  <c r="K186" i="1"/>
  <c r="L186" i="1"/>
  <c r="M186" i="1"/>
  <c r="N186" i="1" s="1"/>
  <c r="V186" i="1"/>
  <c r="Y186" i="1"/>
  <c r="Z186" i="1"/>
  <c r="AB186" i="1"/>
  <c r="AC186" i="1"/>
  <c r="AD186" i="1"/>
  <c r="AG186" i="1" s="1"/>
  <c r="AE186" i="1"/>
  <c r="AF186" i="1"/>
  <c r="AH208" i="1"/>
  <c r="AM208" i="1"/>
  <c r="AN208" i="1"/>
  <c r="K187" i="1"/>
  <c r="L187" i="1"/>
  <c r="M187" i="1"/>
  <c r="N187" i="1" s="1"/>
  <c r="V187" i="1"/>
  <c r="Y187" i="1"/>
  <c r="Z187" i="1"/>
  <c r="AA187" i="1" s="1"/>
  <c r="W187" i="1" s="1"/>
  <c r="AB187" i="1"/>
  <c r="AC187" i="1"/>
  <c r="AD187" i="1"/>
  <c r="T187" i="1" s="1"/>
  <c r="AE187" i="1"/>
  <c r="AF187" i="1"/>
  <c r="AG187" i="1"/>
  <c r="AH209" i="1"/>
  <c r="AM209" i="1"/>
  <c r="AN209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AF188" i="1"/>
  <c r="AH210" i="1"/>
  <c r="AM210" i="1"/>
  <c r="AN210" i="1"/>
  <c r="K189" i="1"/>
  <c r="L189" i="1"/>
  <c r="M189" i="1"/>
  <c r="N189" i="1" s="1"/>
  <c r="T189" i="1"/>
  <c r="V189" i="1"/>
  <c r="Y189" i="1"/>
  <c r="Z189" i="1"/>
  <c r="AB189" i="1"/>
  <c r="AC189" i="1"/>
  <c r="AD189" i="1"/>
  <c r="X189" i="1" s="1"/>
  <c r="AE189" i="1"/>
  <c r="AF189" i="1"/>
  <c r="AH211" i="1"/>
  <c r="AM211" i="1"/>
  <c r="AN211" i="1"/>
  <c r="K190" i="1"/>
  <c r="L190" i="1"/>
  <c r="M190" i="1"/>
  <c r="N190" i="1" s="1"/>
  <c r="V190" i="1"/>
  <c r="Y190" i="1"/>
  <c r="Z190" i="1"/>
  <c r="AB190" i="1"/>
  <c r="AC190" i="1"/>
  <c r="AD190" i="1"/>
  <c r="AG190" i="1" s="1"/>
  <c r="AE190" i="1"/>
  <c r="AF190" i="1"/>
  <c r="AH212" i="1"/>
  <c r="AM212" i="1"/>
  <c r="AN212" i="1"/>
  <c r="K191" i="1"/>
  <c r="L191" i="1"/>
  <c r="M191" i="1"/>
  <c r="N191" i="1" s="1"/>
  <c r="V191" i="1"/>
  <c r="Y191" i="1"/>
  <c r="Z191" i="1"/>
  <c r="AA191" i="1"/>
  <c r="W191" i="1" s="1"/>
  <c r="AB191" i="1"/>
  <c r="AC191" i="1"/>
  <c r="AD191" i="1"/>
  <c r="T191" i="1" s="1"/>
  <c r="AE191" i="1"/>
  <c r="AF191" i="1"/>
  <c r="AG191" i="1"/>
  <c r="U191" i="1" s="1"/>
  <c r="S191" i="1" s="1"/>
  <c r="AH213" i="1"/>
  <c r="AM213" i="1"/>
  <c r="AN213" i="1"/>
  <c r="K192" i="1"/>
  <c r="L192" i="1"/>
  <c r="M192" i="1"/>
  <c r="N192" i="1" s="1"/>
  <c r="V192" i="1"/>
  <c r="X192" i="1"/>
  <c r="Y192" i="1"/>
  <c r="Z192" i="1"/>
  <c r="AB192" i="1"/>
  <c r="AC192" i="1"/>
  <c r="AD192" i="1"/>
  <c r="AG192" i="1" s="1"/>
  <c r="AE192" i="1"/>
  <c r="AF192" i="1"/>
  <c r="AH214" i="1"/>
  <c r="AM214" i="1"/>
  <c r="AN214" i="1"/>
  <c r="K193" i="1"/>
  <c r="L193" i="1"/>
  <c r="M193" i="1"/>
  <c r="N193" i="1" s="1"/>
  <c r="V193" i="1"/>
  <c r="X193" i="1"/>
  <c r="Y193" i="1"/>
  <c r="AA193" i="1" s="1"/>
  <c r="Z193" i="1"/>
  <c r="AB193" i="1"/>
  <c r="AC193" i="1"/>
  <c r="AD193" i="1"/>
  <c r="T193" i="1" s="1"/>
  <c r="AE193" i="1"/>
  <c r="AF193" i="1"/>
  <c r="AG193" i="1"/>
  <c r="AH215" i="1"/>
  <c r="AM215" i="1"/>
  <c r="AN215" i="1"/>
  <c r="K194" i="1"/>
  <c r="L194" i="1"/>
  <c r="M194" i="1"/>
  <c r="N194" i="1"/>
  <c r="V194" i="1"/>
  <c r="Y194" i="1"/>
  <c r="Z194" i="1"/>
  <c r="AB194" i="1"/>
  <c r="AC194" i="1"/>
  <c r="AD194" i="1"/>
  <c r="AG194" i="1" s="1"/>
  <c r="AE194" i="1"/>
  <c r="AF194" i="1"/>
  <c r="AH216" i="1"/>
  <c r="AM216" i="1"/>
  <c r="AN216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H217" i="1"/>
  <c r="AM217" i="1"/>
  <c r="AN217" i="1"/>
  <c r="K196" i="1"/>
  <c r="L196" i="1"/>
  <c r="M196" i="1"/>
  <c r="N196" i="1"/>
  <c r="V196" i="1"/>
  <c r="Y196" i="1"/>
  <c r="Z196" i="1"/>
  <c r="AA196" i="1" s="1"/>
  <c r="W196" i="1" s="1"/>
  <c r="AB196" i="1"/>
  <c r="AC196" i="1"/>
  <c r="AD196" i="1"/>
  <c r="AG196" i="1" s="1"/>
  <c r="AE196" i="1"/>
  <c r="AF196" i="1"/>
  <c r="AH218" i="1"/>
  <c r="AM218" i="1"/>
  <c r="AN218" i="1"/>
  <c r="K197" i="1"/>
  <c r="L197" i="1"/>
  <c r="M197" i="1"/>
  <c r="N197" i="1" s="1"/>
  <c r="V197" i="1"/>
  <c r="Y197" i="1"/>
  <c r="AA197" i="1" s="1"/>
  <c r="Z197" i="1"/>
  <c r="AB197" i="1"/>
  <c r="AC197" i="1"/>
  <c r="AD197" i="1"/>
  <c r="X197" i="1" s="1"/>
  <c r="AE197" i="1"/>
  <c r="AF197" i="1"/>
  <c r="AH219" i="1"/>
  <c r="AM219" i="1"/>
  <c r="AN219" i="1"/>
  <c r="K198" i="1"/>
  <c r="L198" i="1"/>
  <c r="M198" i="1"/>
  <c r="N198" i="1" s="1"/>
  <c r="V198" i="1"/>
  <c r="Y198" i="1"/>
  <c r="Z198" i="1"/>
  <c r="AB198" i="1"/>
  <c r="AC198" i="1"/>
  <c r="AD198" i="1"/>
  <c r="AG198" i="1" s="1"/>
  <c r="AE198" i="1"/>
  <c r="AF198" i="1"/>
  <c r="AH220" i="1"/>
  <c r="AM220" i="1"/>
  <c r="AN220" i="1"/>
  <c r="K199" i="1"/>
  <c r="L199" i="1"/>
  <c r="M199" i="1"/>
  <c r="N199" i="1" s="1"/>
  <c r="V199" i="1"/>
  <c r="Y199" i="1"/>
  <c r="Z199" i="1"/>
  <c r="AA199" i="1" s="1"/>
  <c r="AB199" i="1"/>
  <c r="AC199" i="1"/>
  <c r="AD199" i="1"/>
  <c r="T199" i="1" s="1"/>
  <c r="AE199" i="1"/>
  <c r="AF199" i="1"/>
  <c r="AH221" i="1"/>
  <c r="AM221" i="1"/>
  <c r="AN221" i="1"/>
  <c r="K200" i="1"/>
  <c r="L200" i="1"/>
  <c r="M200" i="1"/>
  <c r="N200" i="1" s="1"/>
  <c r="V200" i="1"/>
  <c r="X200" i="1"/>
  <c r="Y200" i="1"/>
  <c r="Z200" i="1"/>
  <c r="AA200" i="1" s="1"/>
  <c r="AB200" i="1"/>
  <c r="AC200" i="1"/>
  <c r="AD200" i="1"/>
  <c r="AG200" i="1" s="1"/>
  <c r="AE200" i="1"/>
  <c r="AF200" i="1"/>
  <c r="AH222" i="1"/>
  <c r="AM222" i="1"/>
  <c r="AN222" i="1"/>
  <c r="K201" i="1"/>
  <c r="L201" i="1"/>
  <c r="M201" i="1"/>
  <c r="N201" i="1" s="1"/>
  <c r="V201" i="1"/>
  <c r="Y201" i="1"/>
  <c r="Z201" i="1"/>
  <c r="AB201" i="1"/>
  <c r="AC201" i="1"/>
  <c r="AD201" i="1"/>
  <c r="X201" i="1" s="1"/>
  <c r="AE201" i="1"/>
  <c r="AF201" i="1"/>
  <c r="AH223" i="1"/>
  <c r="AM223" i="1"/>
  <c r="AN223" i="1"/>
  <c r="K202" i="1"/>
  <c r="L202" i="1"/>
  <c r="M202" i="1"/>
  <c r="N202" i="1" s="1"/>
  <c r="V202" i="1"/>
  <c r="Y202" i="1"/>
  <c r="Z202" i="1"/>
  <c r="AA202" i="1" s="1"/>
  <c r="AB202" i="1"/>
  <c r="AC202" i="1"/>
  <c r="AD202" i="1"/>
  <c r="AG202" i="1" s="1"/>
  <c r="AE202" i="1"/>
  <c r="AF202" i="1"/>
  <c r="AH224" i="1"/>
  <c r="AM224" i="1"/>
  <c r="AN224" i="1"/>
  <c r="K203" i="1"/>
  <c r="L203" i="1"/>
  <c r="M203" i="1"/>
  <c r="N203" i="1" s="1"/>
  <c r="V203" i="1"/>
  <c r="Y203" i="1"/>
  <c r="AA203" i="1" s="1"/>
  <c r="Z203" i="1"/>
  <c r="AB203" i="1"/>
  <c r="AC203" i="1"/>
  <c r="AD203" i="1"/>
  <c r="T203" i="1" s="1"/>
  <c r="AE203" i="1"/>
  <c r="AF203" i="1"/>
  <c r="AH225" i="1"/>
  <c r="AM225" i="1"/>
  <c r="AN225" i="1"/>
  <c r="K212" i="1"/>
  <c r="L212" i="1"/>
  <c r="M212" i="1"/>
  <c r="N212" i="1" s="1"/>
  <c r="V212" i="1"/>
  <c r="Y212" i="1"/>
  <c r="Z212" i="1"/>
  <c r="AA212" i="1" s="1"/>
  <c r="AB212" i="1"/>
  <c r="AC212" i="1"/>
  <c r="AD212" i="1"/>
  <c r="AG212" i="1" s="1"/>
  <c r="AE212" i="1"/>
  <c r="AF212" i="1"/>
  <c r="AH226" i="1"/>
  <c r="AM226" i="1"/>
  <c r="AN226" i="1"/>
  <c r="K213" i="1"/>
  <c r="L213" i="1"/>
  <c r="M213" i="1"/>
  <c r="N213" i="1" s="1"/>
  <c r="V213" i="1"/>
  <c r="Y213" i="1"/>
  <c r="AA213" i="1" s="1"/>
  <c r="Z213" i="1"/>
  <c r="AB213" i="1"/>
  <c r="AC213" i="1"/>
  <c r="AD213" i="1"/>
  <c r="AE213" i="1"/>
  <c r="AF213" i="1"/>
  <c r="AH227" i="1"/>
  <c r="AM227" i="1"/>
  <c r="AN227" i="1"/>
  <c r="K214" i="1"/>
  <c r="L214" i="1"/>
  <c r="M214" i="1"/>
  <c r="N214" i="1" s="1"/>
  <c r="V214" i="1"/>
  <c r="Y214" i="1"/>
  <c r="Z214" i="1"/>
  <c r="AB214" i="1"/>
  <c r="AC214" i="1"/>
  <c r="AD214" i="1"/>
  <c r="AG214" i="1" s="1"/>
  <c r="AE214" i="1"/>
  <c r="AF214" i="1"/>
  <c r="AH228" i="1"/>
  <c r="AM228" i="1"/>
  <c r="AN228" i="1"/>
  <c r="K215" i="1"/>
  <c r="L215" i="1"/>
  <c r="M215" i="1"/>
  <c r="N215" i="1" s="1"/>
  <c r="V215" i="1"/>
  <c r="S41" i="3" s="1"/>
  <c r="Y215" i="1"/>
  <c r="Z215" i="1"/>
  <c r="AA215" i="1"/>
  <c r="AB215" i="1"/>
  <c r="AC215" i="1"/>
  <c r="AD215" i="1"/>
  <c r="T215" i="1" s="1"/>
  <c r="AE215" i="1"/>
  <c r="R41" i="3" s="1"/>
  <c r="AF215" i="1"/>
  <c r="AH229" i="1"/>
  <c r="AM229" i="1"/>
  <c r="AN229" i="1"/>
  <c r="K216" i="1"/>
  <c r="L216" i="1"/>
  <c r="M216" i="1"/>
  <c r="N216" i="1"/>
  <c r="V216" i="1"/>
  <c r="Y216" i="1"/>
  <c r="Z216" i="1"/>
  <c r="AB216" i="1"/>
  <c r="AC216" i="1"/>
  <c r="AD216" i="1"/>
  <c r="AG216" i="1" s="1"/>
  <c r="AE216" i="1"/>
  <c r="AF216" i="1"/>
  <c r="AH230" i="1"/>
  <c r="AM230" i="1"/>
  <c r="AN230" i="1"/>
  <c r="K217" i="1"/>
  <c r="L217" i="1"/>
  <c r="M217" i="1"/>
  <c r="N217" i="1" s="1"/>
  <c r="V217" i="1"/>
  <c r="Y217" i="1"/>
  <c r="Z217" i="1"/>
  <c r="AB217" i="1"/>
  <c r="AC217" i="1"/>
  <c r="AD217" i="1"/>
  <c r="T217" i="1" s="1"/>
  <c r="AE217" i="1"/>
  <c r="AF217" i="1"/>
  <c r="AH231" i="1"/>
  <c r="AM231" i="1"/>
  <c r="AN231" i="1"/>
  <c r="M42" i="3"/>
  <c r="R42" i="3"/>
  <c r="S42" i="3"/>
  <c r="U42" i="3"/>
  <c r="T42" i="3" s="1"/>
  <c r="V42" i="3"/>
  <c r="W42" i="3"/>
  <c r="X42" i="3"/>
  <c r="AC42" i="3"/>
  <c r="M12" i="3"/>
  <c r="R12" i="3"/>
  <c r="S12" i="3"/>
  <c r="U12" i="3"/>
  <c r="V12" i="3"/>
  <c r="W12" i="3"/>
  <c r="X12" i="3"/>
  <c r="M25" i="3"/>
  <c r="R25" i="3"/>
  <c r="S25" i="3"/>
  <c r="U25" i="3"/>
  <c r="AC25" i="3" s="1"/>
  <c r="V25" i="3"/>
  <c r="W25" i="3"/>
  <c r="Y25" i="3" s="1"/>
  <c r="X25" i="3"/>
  <c r="M26" i="3"/>
  <c r="R26" i="3"/>
  <c r="S26" i="3"/>
  <c r="U26" i="3"/>
  <c r="T26" i="3" s="1"/>
  <c r="V26" i="3"/>
  <c r="W26" i="3"/>
  <c r="X26" i="3"/>
  <c r="AC26" i="3"/>
  <c r="M9" i="3"/>
  <c r="R9" i="3"/>
  <c r="S9" i="3"/>
  <c r="U9" i="3"/>
  <c r="T9" i="3" s="1"/>
  <c r="V9" i="3"/>
  <c r="W9" i="3"/>
  <c r="X9" i="3"/>
  <c r="AC9" i="3"/>
  <c r="M19" i="3"/>
  <c r="R19" i="3"/>
  <c r="S19" i="3"/>
  <c r="U19" i="3"/>
  <c r="V19" i="3"/>
  <c r="W19" i="3"/>
  <c r="Y19" i="3" s="1"/>
  <c r="X19" i="3"/>
  <c r="AC19" i="3"/>
  <c r="M7" i="3"/>
  <c r="R7" i="3"/>
  <c r="S7" i="3"/>
  <c r="U7" i="3"/>
  <c r="AC7" i="3" s="1"/>
  <c r="V7" i="3"/>
  <c r="W7" i="3"/>
  <c r="Y7" i="3" s="1"/>
  <c r="X7" i="3"/>
  <c r="M13" i="3"/>
  <c r="R13" i="3"/>
  <c r="S13" i="3"/>
  <c r="U13" i="3"/>
  <c r="T13" i="3" s="1"/>
  <c r="V13" i="3"/>
  <c r="W13" i="3"/>
  <c r="Y13" i="3" s="1"/>
  <c r="X13" i="3"/>
  <c r="AC13" i="3"/>
  <c r="M14" i="3"/>
  <c r="R14" i="3"/>
  <c r="S14" i="3"/>
  <c r="U14" i="3"/>
  <c r="T14" i="3" s="1"/>
  <c r="V14" i="3"/>
  <c r="W14" i="3"/>
  <c r="X14" i="3"/>
  <c r="AC14" i="3"/>
  <c r="M32" i="3"/>
  <c r="R32" i="3"/>
  <c r="S32" i="3"/>
  <c r="U32" i="3"/>
  <c r="V32" i="3"/>
  <c r="W32" i="3"/>
  <c r="X32" i="3"/>
  <c r="M8" i="3"/>
  <c r="R8" i="3"/>
  <c r="S8" i="3"/>
  <c r="U8" i="3"/>
  <c r="AC8" i="3" s="1"/>
  <c r="V8" i="3"/>
  <c r="W8" i="3"/>
  <c r="X8" i="3"/>
  <c r="M20" i="3"/>
  <c r="R20" i="3"/>
  <c r="S20" i="3"/>
  <c r="U20" i="3"/>
  <c r="AD20" i="3" s="1"/>
  <c r="V20" i="3"/>
  <c r="W20" i="3"/>
  <c r="Y20" i="3" s="1"/>
  <c r="X20" i="3"/>
  <c r="AC20" i="3"/>
  <c r="AE20" i="3"/>
  <c r="M43" i="3"/>
  <c r="N43" i="3"/>
  <c r="R43" i="3"/>
  <c r="S43" i="3"/>
  <c r="U43" i="3"/>
  <c r="T43" i="3" s="1"/>
  <c r="V43" i="3"/>
  <c r="W43" i="3"/>
  <c r="X43" i="3"/>
  <c r="AC43" i="3"/>
  <c r="AD43" i="3"/>
  <c r="M44" i="3"/>
  <c r="N44" i="3"/>
  <c r="R44" i="3"/>
  <c r="S44" i="3"/>
  <c r="U44" i="3"/>
  <c r="AC44" i="3" s="1"/>
  <c r="V44" i="3"/>
  <c r="W44" i="3"/>
  <c r="Y44" i="3" s="1"/>
  <c r="X44" i="3"/>
  <c r="M21" i="3"/>
  <c r="R21" i="3"/>
  <c r="S21" i="3"/>
  <c r="U21" i="3"/>
  <c r="AC21" i="3" s="1"/>
  <c r="V21" i="3"/>
  <c r="W21" i="3"/>
  <c r="X21" i="3"/>
  <c r="M16" i="3"/>
  <c r="R16" i="3"/>
  <c r="S16" i="3"/>
  <c r="U16" i="3"/>
  <c r="T16" i="3" s="1"/>
  <c r="V16" i="3"/>
  <c r="W16" i="3"/>
  <c r="X16" i="3"/>
  <c r="AC16" i="3"/>
  <c r="M41" i="3"/>
  <c r="U41" i="3"/>
  <c r="T41" i="3" s="1"/>
  <c r="V41" i="3"/>
  <c r="W41" i="3"/>
  <c r="Y41" i="3" s="1"/>
  <c r="X41" i="3"/>
  <c r="AC41" i="3"/>
  <c r="M27" i="3"/>
  <c r="R27" i="3"/>
  <c r="S27" i="3"/>
  <c r="U27" i="3"/>
  <c r="AD27" i="3" s="1"/>
  <c r="V27" i="3"/>
  <c r="W27" i="3"/>
  <c r="Y27" i="3" s="1"/>
  <c r="X27" i="3"/>
  <c r="M33" i="3"/>
  <c r="R33" i="3"/>
  <c r="S33" i="3"/>
  <c r="U33" i="3"/>
  <c r="AC33" i="3" s="1"/>
  <c r="V33" i="3"/>
  <c r="W33" i="3"/>
  <c r="X33" i="3"/>
  <c r="M28" i="3"/>
  <c r="R28" i="3"/>
  <c r="S28" i="3"/>
  <c r="U28" i="3"/>
  <c r="V28" i="3"/>
  <c r="W28" i="3"/>
  <c r="X28" i="3"/>
  <c r="AC28" i="3"/>
  <c r="M29" i="3"/>
  <c r="R29" i="3"/>
  <c r="S29" i="3"/>
  <c r="U29" i="3"/>
  <c r="T29" i="3" s="1"/>
  <c r="V29" i="3"/>
  <c r="W29" i="3"/>
  <c r="X29" i="3"/>
  <c r="AC29" i="3"/>
  <c r="M34" i="3"/>
  <c r="R34" i="3"/>
  <c r="S34" i="3"/>
  <c r="U34" i="3"/>
  <c r="AD34" i="3" s="1"/>
  <c r="V34" i="3"/>
  <c r="W34" i="3"/>
  <c r="X34" i="3"/>
  <c r="AC34" i="3"/>
  <c r="M35" i="3"/>
  <c r="R35" i="3"/>
  <c r="S35" i="3"/>
  <c r="U35" i="3"/>
  <c r="AC35" i="3" s="1"/>
  <c r="V35" i="3"/>
  <c r="W35" i="3"/>
  <c r="X35" i="3"/>
  <c r="M24" i="3"/>
  <c r="R24" i="3"/>
  <c r="S24" i="3"/>
  <c r="U24" i="3"/>
  <c r="T24" i="3" s="1"/>
  <c r="V24" i="3"/>
  <c r="W24" i="3"/>
  <c r="X24" i="3"/>
  <c r="AC24" i="3"/>
  <c r="M30" i="3"/>
  <c r="R30" i="3"/>
  <c r="S30" i="3"/>
  <c r="U30" i="3"/>
  <c r="T30" i="3" s="1"/>
  <c r="V30" i="3"/>
  <c r="W30" i="3"/>
  <c r="X30" i="3"/>
  <c r="AC30" i="3"/>
  <c r="M22" i="3"/>
  <c r="R22" i="3"/>
  <c r="S22" i="3"/>
  <c r="U22" i="3"/>
  <c r="AD22" i="3" s="1"/>
  <c r="V22" i="3"/>
  <c r="W22" i="3"/>
  <c r="X22" i="3"/>
  <c r="M40" i="3"/>
  <c r="R40" i="3"/>
  <c r="S40" i="3"/>
  <c r="U40" i="3"/>
  <c r="AC40" i="3" s="1"/>
  <c r="V40" i="3"/>
  <c r="W40" i="3"/>
  <c r="Y40" i="3" s="1"/>
  <c r="X40" i="3"/>
  <c r="M15" i="3"/>
  <c r="R15" i="3"/>
  <c r="S15" i="3"/>
  <c r="U15" i="3"/>
  <c r="AE15" i="3" s="1"/>
  <c r="V15" i="3"/>
  <c r="W15" i="3"/>
  <c r="X15" i="3"/>
  <c r="AC15" i="3"/>
  <c r="M17" i="3"/>
  <c r="R17" i="3"/>
  <c r="S17" i="3"/>
  <c r="U17" i="3"/>
  <c r="T17" i="3" s="1"/>
  <c r="V17" i="3"/>
  <c r="W17" i="3"/>
  <c r="X17" i="3"/>
  <c r="AC17" i="3"/>
  <c r="M18" i="3"/>
  <c r="R18" i="3"/>
  <c r="S18" i="3"/>
  <c r="U18" i="3"/>
  <c r="V18" i="3"/>
  <c r="W18" i="3"/>
  <c r="Y18" i="3" s="1"/>
  <c r="X18" i="3"/>
  <c r="AC18" i="3"/>
  <c r="M36" i="3"/>
  <c r="R36" i="3"/>
  <c r="S36" i="3"/>
  <c r="U36" i="3"/>
  <c r="AC36" i="3" s="1"/>
  <c r="V36" i="3"/>
  <c r="W36" i="3"/>
  <c r="X36" i="3"/>
  <c r="M37" i="3"/>
  <c r="R37" i="3"/>
  <c r="S37" i="3"/>
  <c r="T37" i="3"/>
  <c r="U37" i="3"/>
  <c r="V37" i="3"/>
  <c r="W37" i="3"/>
  <c r="X37" i="3"/>
  <c r="AC37" i="3"/>
  <c r="M10" i="3"/>
  <c r="R10" i="3"/>
  <c r="S10" i="3"/>
  <c r="U10" i="3"/>
  <c r="T10" i="3" s="1"/>
  <c r="V10" i="3"/>
  <c r="W10" i="3"/>
  <c r="X10" i="3"/>
  <c r="M31" i="3"/>
  <c r="R31" i="3"/>
  <c r="S31" i="3"/>
  <c r="U31" i="3"/>
  <c r="AD31" i="3" s="1"/>
  <c r="V31" i="3"/>
  <c r="W31" i="3"/>
  <c r="X31" i="3"/>
  <c r="Y31" i="3"/>
  <c r="M23" i="3"/>
  <c r="R23" i="3"/>
  <c r="S23" i="3"/>
  <c r="U23" i="3"/>
  <c r="AC23" i="3" s="1"/>
  <c r="V23" i="3"/>
  <c r="W23" i="3"/>
  <c r="X23" i="3"/>
  <c r="M38" i="3"/>
  <c r="R38" i="3"/>
  <c r="S38" i="3"/>
  <c r="U38" i="3"/>
  <c r="T38" i="3" s="1"/>
  <c r="V38" i="3"/>
  <c r="W38" i="3"/>
  <c r="X38" i="3"/>
  <c r="AC38" i="3"/>
  <c r="M11" i="3"/>
  <c r="R11" i="3"/>
  <c r="S11" i="3"/>
  <c r="U11" i="3"/>
  <c r="T11" i="3" s="1"/>
  <c r="V11" i="3"/>
  <c r="W11" i="3"/>
  <c r="X11" i="3"/>
  <c r="AC11" i="3"/>
  <c r="Y35" i="3" l="1"/>
  <c r="Y32" i="3"/>
  <c r="Y22" i="3"/>
  <c r="Y24" i="3"/>
  <c r="Y8" i="3"/>
  <c r="Y12" i="3"/>
  <c r="Y42" i="3"/>
  <c r="AD11" i="3"/>
  <c r="Y23" i="3"/>
  <c r="Y15" i="3"/>
  <c r="Y26" i="3"/>
  <c r="AD29" i="3"/>
  <c r="AD9" i="3"/>
  <c r="AA190" i="1"/>
  <c r="AA179" i="1"/>
  <c r="T173" i="1"/>
  <c r="AA172" i="1"/>
  <c r="W172" i="1" s="1"/>
  <c r="AA167" i="1"/>
  <c r="AA161" i="1"/>
  <c r="W161" i="1" s="1"/>
  <c r="AA120" i="1"/>
  <c r="AA116" i="1"/>
  <c r="AA101" i="1"/>
  <c r="T101" i="1"/>
  <c r="AA100" i="1"/>
  <c r="W88" i="1"/>
  <c r="AA55" i="1"/>
  <c r="AA50" i="1"/>
  <c r="AA48" i="1"/>
  <c r="W48" i="1" s="1"/>
  <c r="AA40" i="1"/>
  <c r="AA39" i="1"/>
  <c r="AG37" i="1"/>
  <c r="X37" i="1"/>
  <c r="AA32" i="1"/>
  <c r="X28" i="1"/>
  <c r="AA24" i="1"/>
  <c r="AA23" i="1"/>
  <c r="AG21" i="1"/>
  <c r="X21" i="1"/>
  <c r="AG217" i="1"/>
  <c r="AG185" i="1"/>
  <c r="X185" i="1"/>
  <c r="AA158" i="1"/>
  <c r="AG211" i="1"/>
  <c r="X211" i="1"/>
  <c r="X210" i="1"/>
  <c r="AG144" i="1"/>
  <c r="X144" i="1"/>
  <c r="AG140" i="1"/>
  <c r="X140" i="1"/>
  <c r="X139" i="1"/>
  <c r="AG86" i="1"/>
  <c r="X86" i="1"/>
  <c r="X85" i="1"/>
  <c r="AA82" i="1"/>
  <c r="AA71" i="1"/>
  <c r="AA66" i="1"/>
  <c r="AG62" i="1"/>
  <c r="X62" i="1"/>
  <c r="U48" i="1"/>
  <c r="S48" i="1" s="1"/>
  <c r="AA19" i="1"/>
  <c r="T15" i="1"/>
  <c r="X217" i="1"/>
  <c r="AA216" i="1"/>
  <c r="W216" i="1" s="1"/>
  <c r="T201" i="1"/>
  <c r="AI192" i="1"/>
  <c r="AA180" i="1"/>
  <c r="W180" i="1" s="1"/>
  <c r="AA178" i="1"/>
  <c r="AA176" i="1"/>
  <c r="AG173" i="1"/>
  <c r="U173" i="1" s="1"/>
  <c r="X165" i="1"/>
  <c r="AA162" i="1"/>
  <c r="X161" i="1"/>
  <c r="AG158" i="1"/>
  <c r="AI158" i="1" s="1"/>
  <c r="X158" i="1"/>
  <c r="AG225" i="1"/>
  <c r="AA223" i="1"/>
  <c r="AG207" i="1"/>
  <c r="X206" i="1"/>
  <c r="T143" i="1"/>
  <c r="AG136" i="1"/>
  <c r="AG132" i="1"/>
  <c r="X131" i="1"/>
  <c r="AA123" i="1"/>
  <c r="AA118" i="1"/>
  <c r="AG116" i="1"/>
  <c r="U116" i="1" s="1"/>
  <c r="S116" i="1" s="1"/>
  <c r="AA115" i="1"/>
  <c r="AA108" i="1"/>
  <c r="W108" i="1" s="1"/>
  <c r="AG102" i="1"/>
  <c r="X101" i="1"/>
  <c r="AA98" i="1"/>
  <c r="AG96" i="1"/>
  <c r="AA93" i="1"/>
  <c r="W93" i="1" s="1"/>
  <c r="T93" i="1"/>
  <c r="T92" i="1"/>
  <c r="X90" i="1"/>
  <c r="AA90" i="1"/>
  <c r="AI76" i="1"/>
  <c r="X74" i="1"/>
  <c r="AA57" i="1"/>
  <c r="AA52" i="1"/>
  <c r="AA47" i="1"/>
  <c r="AG45" i="1"/>
  <c r="X45" i="1"/>
  <c r="X40" i="1"/>
  <c r="AG29" i="1"/>
  <c r="X29" i="1"/>
  <c r="X24" i="1"/>
  <c r="X213" i="1"/>
  <c r="U177" i="1"/>
  <c r="AA175" i="1"/>
  <c r="AA164" i="1"/>
  <c r="AI162" i="1"/>
  <c r="X162" i="1"/>
  <c r="AA160" i="1"/>
  <c r="AA157" i="1"/>
  <c r="AA227" i="1"/>
  <c r="AA222" i="1"/>
  <c r="AA221" i="1"/>
  <c r="AA210" i="1"/>
  <c r="T210" i="1"/>
  <c r="AA209" i="1"/>
  <c r="X155" i="1"/>
  <c r="AA153" i="1"/>
  <c r="AA149" i="1"/>
  <c r="AA143" i="1"/>
  <c r="AA139" i="1"/>
  <c r="T139" i="1"/>
  <c r="AA138" i="1"/>
  <c r="T135" i="1"/>
  <c r="AA134" i="1"/>
  <c r="AG128" i="1"/>
  <c r="X122" i="1"/>
  <c r="X121" i="1"/>
  <c r="AA117" i="1"/>
  <c r="T117" i="1"/>
  <c r="U108" i="1"/>
  <c r="S108" i="1" s="1"/>
  <c r="X106" i="1"/>
  <c r="AA95" i="1"/>
  <c r="AA85" i="1"/>
  <c r="T85" i="1"/>
  <c r="AA84" i="1"/>
  <c r="AA81" i="1"/>
  <c r="W81" i="1" s="1"/>
  <c r="X77" i="1"/>
  <c r="AA73" i="1"/>
  <c r="AA68" i="1"/>
  <c r="W68" i="1" s="1"/>
  <c r="AI48" i="1"/>
  <c r="X41" i="1"/>
  <c r="X25" i="1"/>
  <c r="U217" i="1"/>
  <c r="AA217" i="1"/>
  <c r="W217" i="1" s="1"/>
  <c r="X212" i="1"/>
  <c r="AG201" i="1"/>
  <c r="AG199" i="1"/>
  <c r="W199" i="1" s="1"/>
  <c r="X196" i="1"/>
  <c r="AA194" i="1"/>
  <c r="AA192" i="1"/>
  <c r="T192" i="1"/>
  <c r="AG189" i="1"/>
  <c r="U189" i="1" s="1"/>
  <c r="X188" i="1"/>
  <c r="AA186" i="1"/>
  <c r="AA184" i="1"/>
  <c r="T184" i="1"/>
  <c r="AG181" i="1"/>
  <c r="U181" i="1" s="1"/>
  <c r="X181" i="1"/>
  <c r="AG179" i="1"/>
  <c r="W179" i="1" s="1"/>
  <c r="X176" i="1"/>
  <c r="X172" i="1"/>
  <c r="X169" i="1"/>
  <c r="AA166" i="1"/>
  <c r="T165" i="1"/>
  <c r="AA163" i="1"/>
  <c r="X157" i="1"/>
  <c r="AG229" i="1"/>
  <c r="W229" i="1" s="1"/>
  <c r="X229" i="1"/>
  <c r="AA225" i="1"/>
  <c r="W225" i="1" s="1"/>
  <c r="AG224" i="1"/>
  <c r="X224" i="1"/>
  <c r="X220" i="1"/>
  <c r="T209" i="1"/>
  <c r="AG209" i="1"/>
  <c r="T216" i="1"/>
  <c r="AA214" i="1"/>
  <c r="T213" i="1"/>
  <c r="AA198" i="1"/>
  <c r="T197" i="1"/>
  <c r="AI217" i="1"/>
  <c r="W193" i="1"/>
  <c r="W185" i="1"/>
  <c r="X180" i="1"/>
  <c r="U170" i="1"/>
  <c r="S170" i="1" s="1"/>
  <c r="U166" i="1"/>
  <c r="W162" i="1"/>
  <c r="T161" i="1"/>
  <c r="AA159" i="1"/>
  <c r="X228" i="1"/>
  <c r="T205" i="1"/>
  <c r="AG205" i="1"/>
  <c r="W154" i="1"/>
  <c r="T212" i="1"/>
  <c r="T196" i="1"/>
  <c r="U193" i="1"/>
  <c r="AA188" i="1"/>
  <c r="T188" i="1"/>
  <c r="U185" i="1"/>
  <c r="X184" i="1"/>
  <c r="AA182" i="1"/>
  <c r="AA177" i="1"/>
  <c r="W177" i="1" s="1"/>
  <c r="T176" i="1"/>
  <c r="AA173" i="1"/>
  <c r="W173" i="1" s="1"/>
  <c r="T172" i="1"/>
  <c r="AA171" i="1"/>
  <c r="AI191" i="1"/>
  <c r="T169" i="1"/>
  <c r="W158" i="1"/>
  <c r="T157" i="1"/>
  <c r="AA230" i="1"/>
  <c r="T220" i="1"/>
  <c r="T154" i="1"/>
  <c r="AG154" i="1"/>
  <c r="T150" i="1"/>
  <c r="X151" i="1"/>
  <c r="AG150" i="1"/>
  <c r="W150" i="1" s="1"/>
  <c r="AI36" i="1"/>
  <c r="AI20" i="1"/>
  <c r="X216" i="1"/>
  <c r="AG213" i="1"/>
  <c r="W213" i="1" s="1"/>
  <c r="AA201" i="1"/>
  <c r="W201" i="1" s="1"/>
  <c r="T200" i="1"/>
  <c r="AG197" i="1"/>
  <c r="AG195" i="1"/>
  <c r="U195" i="1" s="1"/>
  <c r="S195" i="1" s="1"/>
  <c r="AA189" i="1"/>
  <c r="W189" i="1" s="1"/>
  <c r="W181" i="1"/>
  <c r="T180" i="1"/>
  <c r="T228" i="1"/>
  <c r="X221" i="1"/>
  <c r="AG221" i="1"/>
  <c r="AI221" i="1" s="1"/>
  <c r="W209" i="1"/>
  <c r="U92" i="1"/>
  <c r="S92" i="1" s="1"/>
  <c r="AI92" i="1"/>
  <c r="AA211" i="1"/>
  <c r="W211" i="1" s="1"/>
  <c r="AA156" i="1"/>
  <c r="W156" i="1" s="1"/>
  <c r="AA148" i="1"/>
  <c r="W148" i="1" s="1"/>
  <c r="AG146" i="1"/>
  <c r="AA140" i="1"/>
  <c r="W140" i="1" s="1"/>
  <c r="AG138" i="1"/>
  <c r="W138" i="1" s="1"/>
  <c r="AA132" i="1"/>
  <c r="W132" i="1" s="1"/>
  <c r="AG130" i="1"/>
  <c r="W130" i="1" s="1"/>
  <c r="AA124" i="1"/>
  <c r="W124" i="1" s="1"/>
  <c r="X123" i="1"/>
  <c r="AG120" i="1"/>
  <c r="AI120" i="1" s="1"/>
  <c r="AG118" i="1"/>
  <c r="U118" i="1" s="1"/>
  <c r="X118" i="1"/>
  <c r="X100" i="1"/>
  <c r="X84" i="1"/>
  <c r="X73" i="1"/>
  <c r="T65" i="1"/>
  <c r="AA63" i="1"/>
  <c r="X57" i="1"/>
  <c r="AA51" i="1"/>
  <c r="W51" i="1" s="1"/>
  <c r="T51" i="1"/>
  <c r="AA49" i="1"/>
  <c r="AA42" i="1"/>
  <c r="T41" i="1"/>
  <c r="AG40" i="1"/>
  <c r="AG33" i="1"/>
  <c r="X33" i="1"/>
  <c r="AA26" i="1"/>
  <c r="AA25" i="1"/>
  <c r="T25" i="1"/>
  <c r="AG24" i="1"/>
  <c r="AG17" i="1"/>
  <c r="X17" i="1"/>
  <c r="AG110" i="1"/>
  <c r="W110" i="1" s="1"/>
  <c r="X110" i="1"/>
  <c r="X109" i="1"/>
  <c r="AA107" i="1"/>
  <c r="T106" i="1"/>
  <c r="AA105" i="1"/>
  <c r="W105" i="1" s="1"/>
  <c r="T105" i="1"/>
  <c r="X104" i="1"/>
  <c r="AA102" i="1"/>
  <c r="W102" i="1" s="1"/>
  <c r="AG100" i="1"/>
  <c r="W100" i="1" s="1"/>
  <c r="AG98" i="1"/>
  <c r="W98" i="1" s="1"/>
  <c r="X98" i="1"/>
  <c r="X97" i="1"/>
  <c r="W92" i="1"/>
  <c r="AA91" i="1"/>
  <c r="T90" i="1"/>
  <c r="AA89" i="1"/>
  <c r="W89" i="1" s="1"/>
  <c r="T89" i="1"/>
  <c r="X88" i="1"/>
  <c r="AA86" i="1"/>
  <c r="W86" i="1" s="1"/>
  <c r="AG84" i="1"/>
  <c r="W84" i="1" s="1"/>
  <c r="AG82" i="1"/>
  <c r="X82" i="1"/>
  <c r="T81" i="1"/>
  <c r="AA79" i="1"/>
  <c r="AA75" i="1"/>
  <c r="T74" i="1"/>
  <c r="X69" i="1"/>
  <c r="AG66" i="1"/>
  <c r="W66" i="1" s="1"/>
  <c r="X66" i="1"/>
  <c r="W62" i="1"/>
  <c r="T61" i="1"/>
  <c r="AA59" i="1"/>
  <c r="T58" i="1"/>
  <c r="X53" i="1"/>
  <c r="U44" i="1"/>
  <c r="S44" i="1" s="1"/>
  <c r="W36" i="1"/>
  <c r="T32" i="1"/>
  <c r="AA29" i="1"/>
  <c r="W29" i="1" s="1"/>
  <c r="U28" i="1"/>
  <c r="S28" i="1" s="1"/>
  <c r="W20" i="1"/>
  <c r="T16" i="1"/>
  <c r="AA14" i="1"/>
  <c r="AA207" i="1"/>
  <c r="W207" i="1" s="1"/>
  <c r="AA152" i="1"/>
  <c r="W152" i="1" s="1"/>
  <c r="AA144" i="1"/>
  <c r="W144" i="1" s="1"/>
  <c r="AG142" i="1"/>
  <c r="AA136" i="1"/>
  <c r="W136" i="1" s="1"/>
  <c r="AG134" i="1"/>
  <c r="W134" i="1" s="1"/>
  <c r="AA128" i="1"/>
  <c r="W128" i="1" s="1"/>
  <c r="AG126" i="1"/>
  <c r="AI126" i="1" s="1"/>
  <c r="AA122" i="1"/>
  <c r="T122" i="1"/>
  <c r="AA119" i="1"/>
  <c r="AI116" i="1"/>
  <c r="AA114" i="1"/>
  <c r="W114" i="1" s="1"/>
  <c r="AG112" i="1"/>
  <c r="AI112" i="1" s="1"/>
  <c r="AI108" i="1"/>
  <c r="W106" i="1"/>
  <c r="U104" i="1"/>
  <c r="S104" i="1" s="1"/>
  <c r="X92" i="1"/>
  <c r="U88" i="1"/>
  <c r="S88" i="1" s="1"/>
  <c r="T78" i="1"/>
  <c r="T73" i="1"/>
  <c r="X65" i="1"/>
  <c r="T57" i="1"/>
  <c r="X51" i="1"/>
  <c r="X48" i="1"/>
  <c r="U45" i="1"/>
  <c r="AG41" i="1"/>
  <c r="U41" i="1" s="1"/>
  <c r="S41" i="1" s="1"/>
  <c r="T36" i="1"/>
  <c r="U36" i="1" s="1"/>
  <c r="S36" i="1" s="1"/>
  <c r="AA34" i="1"/>
  <c r="AA33" i="1"/>
  <c r="W33" i="1" s="1"/>
  <c r="AG32" i="1"/>
  <c r="AG25" i="1"/>
  <c r="T20" i="1"/>
  <c r="U20" i="1" s="1"/>
  <c r="S20" i="1" s="1"/>
  <c r="AA18" i="1"/>
  <c r="AA17" i="1"/>
  <c r="W17" i="1" s="1"/>
  <c r="AG16" i="1"/>
  <c r="X15" i="1"/>
  <c r="X143" i="1"/>
  <c r="X135" i="1"/>
  <c r="X127" i="1"/>
  <c r="AG122" i="1"/>
  <c r="T121" i="1"/>
  <c r="AA111" i="1"/>
  <c r="AA109" i="1"/>
  <c r="T109" i="1"/>
  <c r="AG106" i="1"/>
  <c r="X105" i="1"/>
  <c r="AA99" i="1"/>
  <c r="AA97" i="1"/>
  <c r="T97" i="1"/>
  <c r="X96" i="1"/>
  <c r="AA94" i="1"/>
  <c r="W94" i="1" s="1"/>
  <c r="AG90" i="1"/>
  <c r="W90" i="1" s="1"/>
  <c r="X89" i="1"/>
  <c r="AA83" i="1"/>
  <c r="X81" i="1"/>
  <c r="AG78" i="1"/>
  <c r="T77" i="1"/>
  <c r="AG74" i="1"/>
  <c r="W74" i="1" s="1"/>
  <c r="AA70" i="1"/>
  <c r="W70" i="1" s="1"/>
  <c r="T69" i="1"/>
  <c r="AA67" i="1"/>
  <c r="X61" i="1"/>
  <c r="AG58" i="1"/>
  <c r="W58" i="1" s="1"/>
  <c r="AA54" i="1"/>
  <c r="W54" i="1" s="1"/>
  <c r="T53" i="1"/>
  <c r="AA38" i="1"/>
  <c r="AA22" i="1"/>
  <c r="AA21" i="1"/>
  <c r="W21" i="1" s="1"/>
  <c r="AI228" i="1"/>
  <c r="U212" i="1"/>
  <c r="S212" i="1" s="1"/>
  <c r="W202" i="1"/>
  <c r="W200" i="1"/>
  <c r="AI220" i="1"/>
  <c r="U196" i="1"/>
  <c r="S196" i="1" s="1"/>
  <c r="W190" i="1"/>
  <c r="W188" i="1"/>
  <c r="W182" i="1"/>
  <c r="AI200" i="1"/>
  <c r="AI198" i="1"/>
  <c r="U176" i="1"/>
  <c r="S176" i="1" s="1"/>
  <c r="AI196" i="1"/>
  <c r="AI194" i="1"/>
  <c r="U172" i="1"/>
  <c r="S172" i="1" s="1"/>
  <c r="AI224" i="1"/>
  <c r="U200" i="1"/>
  <c r="S200" i="1" s="1"/>
  <c r="AI212" i="1"/>
  <c r="AI210" i="1"/>
  <c r="U188" i="1"/>
  <c r="S188" i="1" s="1"/>
  <c r="U187" i="1"/>
  <c r="S187" i="1" s="1"/>
  <c r="AI202" i="1"/>
  <c r="U180" i="1"/>
  <c r="S180" i="1" s="1"/>
  <c r="S217" i="1"/>
  <c r="U216" i="1"/>
  <c r="S216" i="1" s="1"/>
  <c r="U199" i="1"/>
  <c r="S199" i="1" s="1"/>
  <c r="W194" i="1"/>
  <c r="W192" i="1"/>
  <c r="W186" i="1"/>
  <c r="W184" i="1"/>
  <c r="U179" i="1"/>
  <c r="S179" i="1" s="1"/>
  <c r="W214" i="1"/>
  <c r="W212" i="1"/>
  <c r="W198" i="1"/>
  <c r="AI216" i="1"/>
  <c r="AI214" i="1"/>
  <c r="U192" i="1"/>
  <c r="S192" i="1" s="1"/>
  <c r="AI206" i="1"/>
  <c r="U184" i="1"/>
  <c r="S184" i="1" s="1"/>
  <c r="W178" i="1"/>
  <c r="W176" i="1"/>
  <c r="AG215" i="1"/>
  <c r="X214" i="1"/>
  <c r="T214" i="1"/>
  <c r="U214" i="1" s="1"/>
  <c r="S214" i="1" s="1"/>
  <c r="AG203" i="1"/>
  <c r="W203" i="1" s="1"/>
  <c r="X202" i="1"/>
  <c r="T202" i="1"/>
  <c r="U202" i="1" s="1"/>
  <c r="S202" i="1" s="1"/>
  <c r="X198" i="1"/>
  <c r="T198" i="1"/>
  <c r="U198" i="1" s="1"/>
  <c r="S198" i="1" s="1"/>
  <c r="X194" i="1"/>
  <c r="T194" i="1"/>
  <c r="U194" i="1" s="1"/>
  <c r="S194" i="1" s="1"/>
  <c r="AI215" i="1"/>
  <c r="S193" i="1"/>
  <c r="X190" i="1"/>
  <c r="T190" i="1"/>
  <c r="U190" i="1" s="1"/>
  <c r="S190" i="1" s="1"/>
  <c r="AI211" i="1"/>
  <c r="S189" i="1"/>
  <c r="X186" i="1"/>
  <c r="T186" i="1"/>
  <c r="U186" i="1" s="1"/>
  <c r="S186" i="1" s="1"/>
  <c r="AI207" i="1"/>
  <c r="S185" i="1"/>
  <c r="X182" i="1"/>
  <c r="T182" i="1"/>
  <c r="U182" i="1" s="1"/>
  <c r="S182" i="1" s="1"/>
  <c r="AI203" i="1"/>
  <c r="S181" i="1"/>
  <c r="X178" i="1"/>
  <c r="T178" i="1"/>
  <c r="U178" i="1" s="1"/>
  <c r="S178" i="1" s="1"/>
  <c r="AI199" i="1"/>
  <c r="S177" i="1"/>
  <c r="AG175" i="1"/>
  <c r="X174" i="1"/>
  <c r="T174" i="1"/>
  <c r="U174" i="1" s="1"/>
  <c r="S174" i="1" s="1"/>
  <c r="AI195" i="1"/>
  <c r="S173" i="1"/>
  <c r="AG171" i="1"/>
  <c r="X171" i="1"/>
  <c r="U169" i="1"/>
  <c r="S169" i="1" s="1"/>
  <c r="U157" i="1"/>
  <c r="S157" i="1"/>
  <c r="AI179" i="1"/>
  <c r="U210" i="1"/>
  <c r="S210" i="1" s="1"/>
  <c r="U155" i="1"/>
  <c r="S155" i="1" s="1"/>
  <c r="AI155" i="1"/>
  <c r="U147" i="1"/>
  <c r="S147" i="1" s="1"/>
  <c r="AI147" i="1"/>
  <c r="U139" i="1"/>
  <c r="S139" i="1" s="1"/>
  <c r="AI139" i="1"/>
  <c r="U131" i="1"/>
  <c r="S131" i="1" s="1"/>
  <c r="AI131" i="1"/>
  <c r="X215" i="1"/>
  <c r="X203" i="1"/>
  <c r="X199" i="1"/>
  <c r="X195" i="1"/>
  <c r="X191" i="1"/>
  <c r="X187" i="1"/>
  <c r="X183" i="1"/>
  <c r="X179" i="1"/>
  <c r="X175" i="1"/>
  <c r="T167" i="1"/>
  <c r="X167" i="1"/>
  <c r="AG167" i="1"/>
  <c r="W167" i="1" s="1"/>
  <c r="W166" i="1"/>
  <c r="W165" i="1"/>
  <c r="U228" i="1"/>
  <c r="S228" i="1" s="1"/>
  <c r="AI175" i="1"/>
  <c r="W224" i="1"/>
  <c r="W206" i="1"/>
  <c r="W151" i="1"/>
  <c r="W143" i="1"/>
  <c r="W135" i="1"/>
  <c r="W171" i="1"/>
  <c r="S166" i="1"/>
  <c r="AI188" i="1"/>
  <c r="U165" i="1"/>
  <c r="S165" i="1" s="1"/>
  <c r="AI187" i="1"/>
  <c r="U224" i="1"/>
  <c r="S224" i="1" s="1"/>
  <c r="AI171" i="1"/>
  <c r="U206" i="1"/>
  <c r="S206" i="1" s="1"/>
  <c r="U151" i="1"/>
  <c r="S151" i="1"/>
  <c r="AI151" i="1"/>
  <c r="U143" i="1"/>
  <c r="S143" i="1" s="1"/>
  <c r="AI143" i="1"/>
  <c r="U135" i="1"/>
  <c r="S135" i="1" s="1"/>
  <c r="AI135" i="1"/>
  <c r="U127" i="1"/>
  <c r="S127" i="1" s="1"/>
  <c r="AI127" i="1"/>
  <c r="U126" i="1"/>
  <c r="S126" i="1" s="1"/>
  <c r="U161" i="1"/>
  <c r="S161" i="1"/>
  <c r="AI183" i="1"/>
  <c r="W157" i="1"/>
  <c r="U220" i="1"/>
  <c r="S220" i="1" s="1"/>
  <c r="AI167" i="1"/>
  <c r="W210" i="1"/>
  <c r="W155" i="1"/>
  <c r="W147" i="1"/>
  <c r="W139" i="1"/>
  <c r="W131" i="1"/>
  <c r="U162" i="1"/>
  <c r="S162" i="1" s="1"/>
  <c r="U158" i="1"/>
  <c r="S158" i="1" s="1"/>
  <c r="U229" i="1"/>
  <c r="S229" i="1" s="1"/>
  <c r="U225" i="1"/>
  <c r="S225" i="1" s="1"/>
  <c r="U221" i="1"/>
  <c r="S221" i="1" s="1"/>
  <c r="U211" i="1"/>
  <c r="S211" i="1" s="1"/>
  <c r="U207" i="1"/>
  <c r="S207" i="1" s="1"/>
  <c r="U156" i="1"/>
  <c r="S156" i="1" s="1"/>
  <c r="U152" i="1"/>
  <c r="S152" i="1" s="1"/>
  <c r="U148" i="1"/>
  <c r="S148" i="1" s="1"/>
  <c r="U144" i="1"/>
  <c r="S144" i="1" s="1"/>
  <c r="U140" i="1"/>
  <c r="S140" i="1" s="1"/>
  <c r="U136" i="1"/>
  <c r="S136" i="1" s="1"/>
  <c r="U132" i="1"/>
  <c r="S132" i="1" s="1"/>
  <c r="U128" i="1"/>
  <c r="S128" i="1" s="1"/>
  <c r="U124" i="1"/>
  <c r="S124" i="1" s="1"/>
  <c r="S118" i="1"/>
  <c r="AI118" i="1"/>
  <c r="U117" i="1"/>
  <c r="S117" i="1"/>
  <c r="AI117" i="1"/>
  <c r="U109" i="1"/>
  <c r="S109" i="1" s="1"/>
  <c r="AI109" i="1"/>
  <c r="W101" i="1"/>
  <c r="U97" i="1"/>
  <c r="S97" i="1" s="1"/>
  <c r="AI97" i="1"/>
  <c r="W85" i="1"/>
  <c r="AG163" i="1"/>
  <c r="AI163" i="1" s="1"/>
  <c r="AG159" i="1"/>
  <c r="AI159" i="1" s="1"/>
  <c r="AG230" i="1"/>
  <c r="AI230" i="1" s="1"/>
  <c r="AG226" i="1"/>
  <c r="AI226" i="1" s="1"/>
  <c r="AG222" i="1"/>
  <c r="AI222" i="1" s="1"/>
  <c r="AG218" i="1"/>
  <c r="W218" i="1" s="1"/>
  <c r="AG208" i="1"/>
  <c r="AI208" i="1" s="1"/>
  <c r="AG204" i="1"/>
  <c r="AI204" i="1" s="1"/>
  <c r="AG153" i="1"/>
  <c r="W153" i="1" s="1"/>
  <c r="AG149" i="1"/>
  <c r="W149" i="1" s="1"/>
  <c r="AG145" i="1"/>
  <c r="W145" i="1" s="1"/>
  <c r="AG141" i="1"/>
  <c r="W141" i="1" s="1"/>
  <c r="AG137" i="1"/>
  <c r="AG133" i="1"/>
  <c r="W133" i="1" s="1"/>
  <c r="AG129" i="1"/>
  <c r="AG125" i="1"/>
  <c r="U101" i="1"/>
  <c r="S101" i="1" s="1"/>
  <c r="AI101" i="1"/>
  <c r="U85" i="1"/>
  <c r="S85" i="1" s="1"/>
  <c r="AI85" i="1"/>
  <c r="AG168" i="1"/>
  <c r="W168" i="1" s="1"/>
  <c r="AG164" i="1"/>
  <c r="W164" i="1" s="1"/>
  <c r="X163" i="1"/>
  <c r="AI184" i="1"/>
  <c r="AG160" i="1"/>
  <c r="W160" i="1" s="1"/>
  <c r="X159" i="1"/>
  <c r="AI180" i="1"/>
  <c r="AG231" i="1"/>
  <c r="AI231" i="1" s="1"/>
  <c r="X230" i="1"/>
  <c r="AI176" i="1"/>
  <c r="AG227" i="1"/>
  <c r="W227" i="1" s="1"/>
  <c r="X226" i="1"/>
  <c r="AI172" i="1"/>
  <c r="AG223" i="1"/>
  <c r="W223" i="1" s="1"/>
  <c r="X222" i="1"/>
  <c r="AG219" i="1"/>
  <c r="W219" i="1" s="1"/>
  <c r="X218" i="1"/>
  <c r="X208" i="1"/>
  <c r="AI160" i="1"/>
  <c r="X204" i="1"/>
  <c r="AI156" i="1"/>
  <c r="X153" i="1"/>
  <c r="AI152" i="1"/>
  <c r="X149" i="1"/>
  <c r="AI148" i="1"/>
  <c r="X145" i="1"/>
  <c r="AI144" i="1"/>
  <c r="X141" i="1"/>
  <c r="AI140" i="1"/>
  <c r="X137" i="1"/>
  <c r="AI136" i="1"/>
  <c r="X133" i="1"/>
  <c r="AI132" i="1"/>
  <c r="X129" i="1"/>
  <c r="AI128" i="1"/>
  <c r="X125" i="1"/>
  <c r="AI124" i="1"/>
  <c r="U121" i="1"/>
  <c r="S121" i="1" s="1"/>
  <c r="AI121" i="1"/>
  <c r="U113" i="1"/>
  <c r="S113" i="1" s="1"/>
  <c r="AI113" i="1"/>
  <c r="U112" i="1"/>
  <c r="S112" i="1" s="1"/>
  <c r="U105" i="1"/>
  <c r="S105" i="1" s="1"/>
  <c r="AI105" i="1"/>
  <c r="U89" i="1"/>
  <c r="S89" i="1"/>
  <c r="AI89" i="1"/>
  <c r="S86" i="1"/>
  <c r="X168" i="1"/>
  <c r="X164" i="1"/>
  <c r="X160" i="1"/>
  <c r="X231" i="1"/>
  <c r="X227" i="1"/>
  <c r="X223" i="1"/>
  <c r="X219" i="1"/>
  <c r="X209" i="1"/>
  <c r="X205" i="1"/>
  <c r="X154" i="1"/>
  <c r="X150" i="1"/>
  <c r="X146" i="1"/>
  <c r="X142" i="1"/>
  <c r="X138" i="1"/>
  <c r="X134" i="1"/>
  <c r="X130" i="1"/>
  <c r="X126" i="1"/>
  <c r="AG123" i="1"/>
  <c r="W123" i="1" s="1"/>
  <c r="U120" i="1"/>
  <c r="S120" i="1" s="1"/>
  <c r="T119" i="1"/>
  <c r="X119" i="1"/>
  <c r="AG119" i="1"/>
  <c r="W119" i="1" s="1"/>
  <c r="W118" i="1"/>
  <c r="W117" i="1"/>
  <c r="W109" i="1"/>
  <c r="W97" i="1"/>
  <c r="U93" i="1"/>
  <c r="S93" i="1" s="1"/>
  <c r="AI93" i="1"/>
  <c r="U114" i="1"/>
  <c r="S114" i="1" s="1"/>
  <c r="U110" i="1"/>
  <c r="S110" i="1" s="1"/>
  <c r="U106" i="1"/>
  <c r="S106" i="1" s="1"/>
  <c r="U102" i="1"/>
  <c r="S102" i="1" s="1"/>
  <c r="U98" i="1"/>
  <c r="S98" i="1" s="1"/>
  <c r="U94" i="1"/>
  <c r="S94" i="1" s="1"/>
  <c r="U90" i="1"/>
  <c r="S90" i="1" s="1"/>
  <c r="U86" i="1"/>
  <c r="T79" i="1"/>
  <c r="X79" i="1"/>
  <c r="AI68" i="1"/>
  <c r="AI65" i="1"/>
  <c r="U65" i="1"/>
  <c r="S65" i="1" s="1"/>
  <c r="W64" i="1"/>
  <c r="W61" i="1"/>
  <c r="AI52" i="1"/>
  <c r="AG115" i="1"/>
  <c r="AG111" i="1"/>
  <c r="W111" i="1" s="1"/>
  <c r="AG107" i="1"/>
  <c r="W107" i="1" s="1"/>
  <c r="AG103" i="1"/>
  <c r="W103" i="1" s="1"/>
  <c r="AG99" i="1"/>
  <c r="AG95" i="1"/>
  <c r="AG91" i="1"/>
  <c r="W91" i="1" s="1"/>
  <c r="AG87" i="1"/>
  <c r="AG83" i="1"/>
  <c r="U81" i="1"/>
  <c r="S81" i="1" s="1"/>
  <c r="AG80" i="1"/>
  <c r="W80" i="1" s="1"/>
  <c r="T80" i="1"/>
  <c r="X80" i="1"/>
  <c r="AG79" i="1"/>
  <c r="W79" i="1" s="1"/>
  <c r="W78" i="1"/>
  <c r="W77" i="1"/>
  <c r="W73" i="1"/>
  <c r="AI64" i="1"/>
  <c r="AI61" i="1"/>
  <c r="U61" i="1"/>
  <c r="S61" i="1" s="1"/>
  <c r="W60" i="1"/>
  <c r="W57" i="1"/>
  <c r="X115" i="1"/>
  <c r="AI114" i="1"/>
  <c r="X111" i="1"/>
  <c r="AI110" i="1"/>
  <c r="X107" i="1"/>
  <c r="AI106" i="1"/>
  <c r="X103" i="1"/>
  <c r="T103" i="1"/>
  <c r="AI102" i="1"/>
  <c r="X99" i="1"/>
  <c r="T99" i="1"/>
  <c r="AI98" i="1"/>
  <c r="X95" i="1"/>
  <c r="T95" i="1"/>
  <c r="AI94" i="1"/>
  <c r="X91" i="1"/>
  <c r="T91" i="1"/>
  <c r="AI90" i="1"/>
  <c r="X87" i="1"/>
  <c r="T87" i="1"/>
  <c r="AI86" i="1"/>
  <c r="X83" i="1"/>
  <c r="T83" i="1"/>
  <c r="AI82" i="1"/>
  <c r="U82" i="1"/>
  <c r="S82" i="1" s="1"/>
  <c r="AI78" i="1"/>
  <c r="AI77" i="1"/>
  <c r="U77" i="1"/>
  <c r="S77" i="1" s="1"/>
  <c r="AI73" i="1"/>
  <c r="U73" i="1"/>
  <c r="S73" i="1" s="1"/>
  <c r="U60" i="1"/>
  <c r="S60" i="1" s="1"/>
  <c r="AI60" i="1"/>
  <c r="AI57" i="1"/>
  <c r="U57" i="1"/>
  <c r="S57" i="1" s="1"/>
  <c r="X120" i="1"/>
  <c r="X116" i="1"/>
  <c r="X112" i="1"/>
  <c r="X108" i="1"/>
  <c r="W82" i="1"/>
  <c r="AI72" i="1"/>
  <c r="AI69" i="1"/>
  <c r="U69" i="1"/>
  <c r="S69" i="1" s="1"/>
  <c r="AI56" i="1"/>
  <c r="AI53" i="1"/>
  <c r="U53" i="1"/>
  <c r="S53" i="1" s="1"/>
  <c r="W52" i="1"/>
  <c r="X76" i="1"/>
  <c r="T76" i="1"/>
  <c r="U76" i="1" s="1"/>
  <c r="S76" i="1" s="1"/>
  <c r="X72" i="1"/>
  <c r="T72" i="1"/>
  <c r="U72" i="1" s="1"/>
  <c r="S72" i="1" s="1"/>
  <c r="X68" i="1"/>
  <c r="T68" i="1"/>
  <c r="U68" i="1" s="1"/>
  <c r="S68" i="1" s="1"/>
  <c r="X64" i="1"/>
  <c r="T64" i="1"/>
  <c r="U64" i="1" s="1"/>
  <c r="S64" i="1" s="1"/>
  <c r="X60" i="1"/>
  <c r="T60" i="1"/>
  <c r="X56" i="1"/>
  <c r="T56" i="1"/>
  <c r="U56" i="1" s="1"/>
  <c r="S56" i="1" s="1"/>
  <c r="X52" i="1"/>
  <c r="T52" i="1"/>
  <c r="U52" i="1" s="1"/>
  <c r="S52" i="1" s="1"/>
  <c r="U51" i="1"/>
  <c r="S51" i="1" s="1"/>
  <c r="AA46" i="1"/>
  <c r="W46" i="1" s="1"/>
  <c r="AA41" i="1"/>
  <c r="W41" i="1" s="1"/>
  <c r="T38" i="1"/>
  <c r="X38" i="1"/>
  <c r="AG38" i="1"/>
  <c r="W38" i="1" s="1"/>
  <c r="U74" i="1"/>
  <c r="S74" i="1" s="1"/>
  <c r="U70" i="1"/>
  <c r="S70" i="1" s="1"/>
  <c r="U66" i="1"/>
  <c r="S66" i="1" s="1"/>
  <c r="U62" i="1"/>
  <c r="S62" i="1" s="1"/>
  <c r="U58" i="1"/>
  <c r="S58" i="1" s="1"/>
  <c r="U54" i="1"/>
  <c r="S54" i="1" s="1"/>
  <c r="T46" i="1"/>
  <c r="U46" i="1" s="1"/>
  <c r="S46" i="1" s="1"/>
  <c r="X46" i="1"/>
  <c r="AA45" i="1"/>
  <c r="W45" i="1" s="1"/>
  <c r="T42" i="1"/>
  <c r="X42" i="1"/>
  <c r="AG42" i="1"/>
  <c r="W42" i="1" s="1"/>
  <c r="AI37" i="1"/>
  <c r="W15" i="1"/>
  <c r="AG75" i="1"/>
  <c r="AG71" i="1"/>
  <c r="AG67" i="1"/>
  <c r="W67" i="1" s="1"/>
  <c r="AG63" i="1"/>
  <c r="AG59" i="1"/>
  <c r="AG55" i="1"/>
  <c r="W55" i="1" s="1"/>
  <c r="T50" i="1"/>
  <c r="X50" i="1"/>
  <c r="T49" i="1"/>
  <c r="T47" i="1"/>
  <c r="X47" i="1"/>
  <c r="AG47" i="1"/>
  <c r="AI46" i="1"/>
  <c r="AI41" i="1"/>
  <c r="U15" i="1"/>
  <c r="S15" i="1" s="1"/>
  <c r="AI15" i="1"/>
  <c r="X75" i="1"/>
  <c r="AI74" i="1"/>
  <c r="X71" i="1"/>
  <c r="AI70" i="1"/>
  <c r="X67" i="1"/>
  <c r="AI66" i="1"/>
  <c r="X63" i="1"/>
  <c r="AI62" i="1"/>
  <c r="X59" i="1"/>
  <c r="AI58" i="1"/>
  <c r="X55" i="1"/>
  <c r="AI54" i="1"/>
  <c r="AG50" i="1"/>
  <c r="W50" i="1" s="1"/>
  <c r="AG49" i="1"/>
  <c r="S45" i="1"/>
  <c r="AI45" i="1"/>
  <c r="AA37" i="1"/>
  <c r="W37" i="1" s="1"/>
  <c r="U37" i="1"/>
  <c r="S37" i="1" s="1"/>
  <c r="U33" i="1"/>
  <c r="S33" i="1" s="1"/>
  <c r="U29" i="1"/>
  <c r="S29" i="1" s="1"/>
  <c r="U25" i="1"/>
  <c r="S25" i="1" s="1"/>
  <c r="U21" i="1"/>
  <c r="S21" i="1" s="1"/>
  <c r="U17" i="1"/>
  <c r="S17" i="1" s="1"/>
  <c r="AG34" i="1"/>
  <c r="W34" i="1" s="1"/>
  <c r="AG30" i="1"/>
  <c r="AG26" i="1"/>
  <c r="AG22" i="1"/>
  <c r="W22" i="1" s="1"/>
  <c r="AG18" i="1"/>
  <c r="W18" i="1" s="1"/>
  <c r="AG14" i="1"/>
  <c r="W14" i="1" s="1"/>
  <c r="AG43" i="1"/>
  <c r="AG39" i="1"/>
  <c r="AG35" i="1"/>
  <c r="X34" i="1"/>
  <c r="AI33" i="1"/>
  <c r="AG31" i="1"/>
  <c r="W31" i="1" s="1"/>
  <c r="X30" i="1"/>
  <c r="AI29" i="1"/>
  <c r="AG27" i="1"/>
  <c r="W27" i="1" s="1"/>
  <c r="X26" i="1"/>
  <c r="AI25" i="1"/>
  <c r="AG23" i="1"/>
  <c r="X22" i="1"/>
  <c r="AI21" i="1"/>
  <c r="AG19" i="1"/>
  <c r="X18" i="1"/>
  <c r="AI17" i="1"/>
  <c r="T14" i="1"/>
  <c r="X43" i="1"/>
  <c r="X39" i="1"/>
  <c r="X35" i="1"/>
  <c r="X31" i="1"/>
  <c r="X27" i="1"/>
  <c r="X23" i="1"/>
  <c r="X19" i="1"/>
  <c r="AC10" i="3"/>
  <c r="AD24" i="3"/>
  <c r="AE24" i="3"/>
  <c r="Y36" i="3"/>
  <c r="AD18" i="3"/>
  <c r="Y17" i="3"/>
  <c r="AD15" i="3"/>
  <c r="Y33" i="3"/>
  <c r="AD13" i="3"/>
  <c r="AE13" i="3"/>
  <c r="AD19" i="3"/>
  <c r="Y10" i="3"/>
  <c r="AD17" i="3"/>
  <c r="Y34" i="3"/>
  <c r="AD16" i="3"/>
  <c r="Y21" i="3"/>
  <c r="AD44" i="3"/>
  <c r="Y43" i="3"/>
  <c r="Y14" i="3"/>
  <c r="AD12" i="3"/>
  <c r="AE28" i="3"/>
  <c r="AE16" i="3"/>
  <c r="AD32" i="3"/>
  <c r="AD42" i="3"/>
  <c r="AE26" i="3"/>
  <c r="AE38" i="3"/>
  <c r="Y30" i="3"/>
  <c r="Y11" i="3"/>
  <c r="AD38" i="3"/>
  <c r="AC31" i="3"/>
  <c r="Y37" i="3"/>
  <c r="T15" i="3"/>
  <c r="AD30" i="3"/>
  <c r="Y29" i="3"/>
  <c r="AD28" i="3"/>
  <c r="AC27" i="3"/>
  <c r="Y16" i="3"/>
  <c r="T20" i="3"/>
  <c r="AD14" i="3"/>
  <c r="Y9" i="3"/>
  <c r="AD26" i="3"/>
  <c r="AC12" i="3"/>
  <c r="AD10" i="3"/>
  <c r="AC22" i="3"/>
  <c r="T28" i="3"/>
  <c r="AD41" i="3"/>
  <c r="AC32" i="3"/>
  <c r="Y38" i="3"/>
  <c r="Y28" i="3"/>
  <c r="AE23" i="3"/>
  <c r="T23" i="3"/>
  <c r="AE40" i="3"/>
  <c r="T40" i="3"/>
  <c r="AE33" i="3"/>
  <c r="T33" i="3"/>
  <c r="AE21" i="3"/>
  <c r="T21" i="3"/>
  <c r="AE8" i="3"/>
  <c r="T8" i="3"/>
  <c r="AE7" i="3"/>
  <c r="T7" i="3"/>
  <c r="AE25" i="3"/>
  <c r="T25" i="3"/>
  <c r="AE31" i="3"/>
  <c r="AE18" i="3"/>
  <c r="T18" i="3"/>
  <c r="AD40" i="3"/>
  <c r="AD35" i="3"/>
  <c r="AE34" i="3"/>
  <c r="T34" i="3"/>
  <c r="AD33" i="3"/>
  <c r="AE27" i="3"/>
  <c r="T27" i="3"/>
  <c r="AD21" i="3"/>
  <c r="AE44" i="3"/>
  <c r="T44" i="3"/>
  <c r="AD8" i="3"/>
  <c r="AE32" i="3"/>
  <c r="T32" i="3"/>
  <c r="AD7" i="3"/>
  <c r="AE19" i="3"/>
  <c r="T19" i="3"/>
  <c r="AD25" i="3"/>
  <c r="AE12" i="3"/>
  <c r="T12" i="3"/>
  <c r="AE36" i="3"/>
  <c r="T36" i="3"/>
  <c r="AE35" i="3"/>
  <c r="T35" i="3"/>
  <c r="AD23" i="3"/>
  <c r="T31" i="3"/>
  <c r="AD36" i="3"/>
  <c r="AE22" i="3"/>
  <c r="T22" i="3"/>
  <c r="AE11" i="3"/>
  <c r="AE10" i="3"/>
  <c r="AE17" i="3"/>
  <c r="AE30" i="3"/>
  <c r="AE29" i="3"/>
  <c r="AE41" i="3"/>
  <c r="AE43" i="3"/>
  <c r="AE14" i="3"/>
  <c r="AE9" i="3"/>
  <c r="AE42" i="3"/>
  <c r="R39" i="3"/>
  <c r="M39" i="3"/>
  <c r="S39" i="3"/>
  <c r="U39" i="3"/>
  <c r="AD37" i="3" s="1"/>
  <c r="V39" i="3"/>
  <c r="W39" i="3"/>
  <c r="X39" i="3"/>
  <c r="AC39" i="3"/>
  <c r="AI168" i="1" l="1"/>
  <c r="W116" i="1"/>
  <c r="AI164" i="1"/>
  <c r="U78" i="1"/>
  <c r="S78" i="1" s="1"/>
  <c r="W221" i="1"/>
  <c r="U96" i="1"/>
  <c r="S96" i="1" s="1"/>
  <c r="AI96" i="1"/>
  <c r="U197" i="1"/>
  <c r="S197" i="1" s="1"/>
  <c r="W96" i="1"/>
  <c r="U122" i="1"/>
  <c r="S122" i="1" s="1"/>
  <c r="AI122" i="1"/>
  <c r="U142" i="1"/>
  <c r="S142" i="1" s="1"/>
  <c r="AI142" i="1"/>
  <c r="W25" i="1"/>
  <c r="U40" i="1"/>
  <c r="S40" i="1" s="1"/>
  <c r="AI40" i="1"/>
  <c r="U205" i="1"/>
  <c r="S205" i="1" s="1"/>
  <c r="AI205" i="1"/>
  <c r="W40" i="1"/>
  <c r="AI218" i="1"/>
  <c r="U16" i="1"/>
  <c r="S16" i="1" s="1"/>
  <c r="AI16" i="1"/>
  <c r="U130" i="1"/>
  <c r="S130" i="1" s="1"/>
  <c r="AI130" i="1"/>
  <c r="U146" i="1"/>
  <c r="S146" i="1" s="1"/>
  <c r="AI146" i="1"/>
  <c r="W142" i="1"/>
  <c r="W16" i="1"/>
  <c r="W205" i="1"/>
  <c r="AI219" i="1"/>
  <c r="AI223" i="1"/>
  <c r="U32" i="1"/>
  <c r="S32" i="1" s="1"/>
  <c r="AI32" i="1"/>
  <c r="U134" i="1"/>
  <c r="S134" i="1" s="1"/>
  <c r="AI134" i="1"/>
  <c r="U100" i="1"/>
  <c r="S100" i="1" s="1"/>
  <c r="AI100" i="1"/>
  <c r="U24" i="1"/>
  <c r="S24" i="1" s="1"/>
  <c r="AI24" i="1"/>
  <c r="W146" i="1"/>
  <c r="U154" i="1"/>
  <c r="S154" i="1" s="1"/>
  <c r="AI154" i="1"/>
  <c r="W197" i="1"/>
  <c r="W24" i="1"/>
  <c r="W120" i="1"/>
  <c r="U209" i="1"/>
  <c r="S209" i="1" s="1"/>
  <c r="AI209" i="1"/>
  <c r="U201" i="1"/>
  <c r="S201" i="1" s="1"/>
  <c r="AI201" i="1"/>
  <c r="AI227" i="1"/>
  <c r="W122" i="1"/>
  <c r="U84" i="1"/>
  <c r="S84" i="1" s="1"/>
  <c r="AI84" i="1"/>
  <c r="W112" i="1"/>
  <c r="U138" i="1"/>
  <c r="S138" i="1" s="1"/>
  <c r="AI138" i="1"/>
  <c r="U213" i="1"/>
  <c r="S213" i="1" s="1"/>
  <c r="AI213" i="1"/>
  <c r="U150" i="1"/>
  <c r="S150" i="1" s="1"/>
  <c r="AI150" i="1"/>
  <c r="W32" i="1"/>
  <c r="W126" i="1"/>
  <c r="W195" i="1"/>
  <c r="U43" i="1"/>
  <c r="S43" i="1" s="1"/>
  <c r="AI43" i="1"/>
  <c r="W43" i="1"/>
  <c r="AI26" i="1"/>
  <c r="U26" i="1"/>
  <c r="S26" i="1" s="1"/>
  <c r="U71" i="1"/>
  <c r="S71" i="1" s="1"/>
  <c r="AI71" i="1"/>
  <c r="AI79" i="1"/>
  <c r="U79" i="1"/>
  <c r="S79" i="1" s="1"/>
  <c r="U23" i="1"/>
  <c r="S23" i="1" s="1"/>
  <c r="AI23" i="1"/>
  <c r="AI14" i="1"/>
  <c r="U14" i="1"/>
  <c r="S14" i="1" s="1"/>
  <c r="AI30" i="1"/>
  <c r="U30" i="1"/>
  <c r="S30" i="1" s="1"/>
  <c r="W23" i="1"/>
  <c r="AI49" i="1"/>
  <c r="U49" i="1"/>
  <c r="S49" i="1" s="1"/>
  <c r="U59" i="1"/>
  <c r="S59" i="1" s="1"/>
  <c r="AI59" i="1"/>
  <c r="U75" i="1"/>
  <c r="S75" i="1" s="1"/>
  <c r="AI75" i="1"/>
  <c r="W30" i="1"/>
  <c r="AI42" i="1"/>
  <c r="U42" i="1"/>
  <c r="S42" i="1" s="1"/>
  <c r="W75" i="1"/>
  <c r="AI83" i="1"/>
  <c r="U83" i="1"/>
  <c r="S83" i="1" s="1"/>
  <c r="AI99" i="1"/>
  <c r="U99" i="1"/>
  <c r="S99" i="1" s="1"/>
  <c r="AI115" i="1"/>
  <c r="U115" i="1"/>
  <c r="S115" i="1" s="1"/>
  <c r="W83" i="1"/>
  <c r="U231" i="1"/>
  <c r="S231" i="1"/>
  <c r="AI178" i="1"/>
  <c r="AI137" i="1"/>
  <c r="U137" i="1"/>
  <c r="S137" i="1" s="1"/>
  <c r="S153" i="1"/>
  <c r="AI153" i="1"/>
  <c r="U153" i="1"/>
  <c r="AI169" i="1"/>
  <c r="U222" i="1"/>
  <c r="S222" i="1" s="1"/>
  <c r="AI185" i="1"/>
  <c r="U163" i="1"/>
  <c r="S163" i="1" s="1"/>
  <c r="W222" i="1"/>
  <c r="U171" i="1"/>
  <c r="S171" i="1" s="1"/>
  <c r="AI193" i="1"/>
  <c r="U19" i="1"/>
  <c r="S19" i="1" s="1"/>
  <c r="AI19" i="1"/>
  <c r="U35" i="1"/>
  <c r="S35" i="1" s="1"/>
  <c r="W35" i="1"/>
  <c r="AI35" i="1"/>
  <c r="AI38" i="1"/>
  <c r="U38" i="1"/>
  <c r="S38" i="1" s="1"/>
  <c r="AI119" i="1"/>
  <c r="U119" i="1"/>
  <c r="S119" i="1" s="1"/>
  <c r="U123" i="1"/>
  <c r="S123" i="1" s="1"/>
  <c r="AI123" i="1"/>
  <c r="U227" i="1"/>
  <c r="S227" i="1" s="1"/>
  <c r="AI174" i="1"/>
  <c r="AI125" i="1"/>
  <c r="U125" i="1"/>
  <c r="S125" i="1" s="1"/>
  <c r="AI141" i="1"/>
  <c r="U141" i="1"/>
  <c r="S141" i="1" s="1"/>
  <c r="AI157" i="1"/>
  <c r="U204" i="1"/>
  <c r="S204" i="1" s="1"/>
  <c r="AI173" i="1"/>
  <c r="U226" i="1"/>
  <c r="S226" i="1" s="1"/>
  <c r="W125" i="1"/>
  <c r="W204" i="1"/>
  <c r="W137" i="1"/>
  <c r="W226" i="1"/>
  <c r="W231" i="1"/>
  <c r="AI189" i="1"/>
  <c r="U167" i="1"/>
  <c r="S167" i="1" s="1"/>
  <c r="AI197" i="1"/>
  <c r="U175" i="1"/>
  <c r="S175" i="1" s="1"/>
  <c r="U50" i="1"/>
  <c r="S50" i="1" s="1"/>
  <c r="AI50" i="1"/>
  <c r="U47" i="1"/>
  <c r="S47" i="1"/>
  <c r="AI47" i="1"/>
  <c r="U63" i="1"/>
  <c r="S63" i="1" s="1"/>
  <c r="AI63" i="1"/>
  <c r="W71" i="1"/>
  <c r="AI87" i="1"/>
  <c r="U87" i="1"/>
  <c r="S87" i="1" s="1"/>
  <c r="AI103" i="1"/>
  <c r="U103" i="1"/>
  <c r="S103" i="1" s="1"/>
  <c r="U31" i="1"/>
  <c r="S31" i="1"/>
  <c r="AI31" i="1"/>
  <c r="U39" i="1"/>
  <c r="S39" i="1" s="1"/>
  <c r="AI39" i="1"/>
  <c r="AI22" i="1"/>
  <c r="U22" i="1"/>
  <c r="S22" i="1" s="1"/>
  <c r="W19" i="1"/>
  <c r="U67" i="1"/>
  <c r="S67" i="1" s="1"/>
  <c r="AI67" i="1"/>
  <c r="W49" i="1"/>
  <c r="W26" i="1"/>
  <c r="W39" i="1"/>
  <c r="W59" i="1"/>
  <c r="U80" i="1"/>
  <c r="S80" i="1" s="1"/>
  <c r="AI80" i="1"/>
  <c r="AI91" i="1"/>
  <c r="U91" i="1"/>
  <c r="S91" i="1" s="1"/>
  <c r="AI107" i="1"/>
  <c r="U107" i="1"/>
  <c r="S107" i="1" s="1"/>
  <c r="W63" i="1"/>
  <c r="W99" i="1"/>
  <c r="U223" i="1"/>
  <c r="S223" i="1" s="1"/>
  <c r="AI170" i="1"/>
  <c r="U164" i="1"/>
  <c r="S164" i="1" s="1"/>
  <c r="AI186" i="1"/>
  <c r="AI129" i="1"/>
  <c r="U129" i="1"/>
  <c r="S129" i="1" s="1"/>
  <c r="AI145" i="1"/>
  <c r="U145" i="1"/>
  <c r="S145" i="1" s="1"/>
  <c r="AI161" i="1"/>
  <c r="U208" i="1"/>
  <c r="S208" i="1" s="1"/>
  <c r="AI177" i="1"/>
  <c r="U230" i="1"/>
  <c r="S230" i="1" s="1"/>
  <c r="W87" i="1"/>
  <c r="W163" i="1"/>
  <c r="W129" i="1"/>
  <c r="W208" i="1"/>
  <c r="W230" i="1"/>
  <c r="AI225" i="1"/>
  <c r="U203" i="1"/>
  <c r="S203" i="1" s="1"/>
  <c r="AI18" i="1"/>
  <c r="U18" i="1"/>
  <c r="S18" i="1" s="1"/>
  <c r="AI34" i="1"/>
  <c r="U34" i="1"/>
  <c r="S34" i="1" s="1"/>
  <c r="U27" i="1"/>
  <c r="S27" i="1"/>
  <c r="AI27" i="1"/>
  <c r="U55" i="1"/>
  <c r="S55" i="1" s="1"/>
  <c r="AI55" i="1"/>
  <c r="W47" i="1"/>
  <c r="AI95" i="1"/>
  <c r="U95" i="1"/>
  <c r="S95" i="1" s="1"/>
  <c r="AI111" i="1"/>
  <c r="U111" i="1"/>
  <c r="S111" i="1" s="1"/>
  <c r="W95" i="1"/>
  <c r="U219" i="1"/>
  <c r="S219" i="1" s="1"/>
  <c r="AI166" i="1"/>
  <c r="U160" i="1"/>
  <c r="S160" i="1" s="1"/>
  <c r="AI182" i="1"/>
  <c r="U168" i="1"/>
  <c r="S168" i="1"/>
  <c r="AI190" i="1"/>
  <c r="W115" i="1"/>
  <c r="AI133" i="1"/>
  <c r="U133" i="1"/>
  <c r="S133" i="1" s="1"/>
  <c r="AI149" i="1"/>
  <c r="U149" i="1"/>
  <c r="S149" i="1" s="1"/>
  <c r="AI165" i="1"/>
  <c r="U218" i="1"/>
  <c r="S218" i="1" s="1"/>
  <c r="S159" i="1"/>
  <c r="AI181" i="1"/>
  <c r="U159" i="1"/>
  <c r="W159" i="1"/>
  <c r="U215" i="1"/>
  <c r="S215" i="1" s="1"/>
  <c r="AI229" i="1"/>
  <c r="W175" i="1"/>
  <c r="W215" i="1"/>
  <c r="AE37" i="3"/>
  <c r="T39" i="3"/>
  <c r="Y39" i="3"/>
  <c r="B55" i="9" l="1"/>
  <c r="B56" i="9"/>
  <c r="B57" i="9"/>
  <c r="C57" i="9" s="1"/>
  <c r="B58" i="9"/>
  <c r="B59" i="9"/>
  <c r="C59" i="9" s="1"/>
  <c r="B60" i="9"/>
  <c r="B61" i="9"/>
  <c r="C61" i="9" s="1"/>
  <c r="B62" i="9"/>
  <c r="C62" i="9" l="1"/>
  <c r="C60" i="9"/>
  <c r="C58" i="9"/>
  <c r="C56" i="9"/>
  <c r="AD39" i="3" l="1"/>
  <c r="AE39" i="3"/>
  <c r="B50" i="9" l="1"/>
  <c r="B51" i="9"/>
  <c r="B52" i="9"/>
  <c r="C52" i="9" s="1"/>
  <c r="B53" i="9"/>
  <c r="B54" i="9"/>
  <c r="C54" i="9" l="1"/>
  <c r="C55" i="9"/>
  <c r="C53" i="9"/>
  <c r="C51" i="9"/>
  <c r="Y13" i="1"/>
  <c r="K13" i="1"/>
  <c r="L13" i="1"/>
  <c r="M13" i="1"/>
  <c r="V13" i="1"/>
  <c r="Z13" i="1"/>
  <c r="AB13" i="1"/>
  <c r="AC13" i="1"/>
  <c r="AD13" i="1"/>
  <c r="X14" i="1" s="1"/>
  <c r="AE13" i="1"/>
  <c r="AF13" i="1"/>
  <c r="AM13" i="1"/>
  <c r="AN13" i="1"/>
  <c r="T13" i="1" l="1"/>
  <c r="X13" i="1"/>
  <c r="AA13" i="1"/>
  <c r="AG13" i="1"/>
  <c r="W13" i="1" l="1"/>
  <c r="U13" i="1"/>
  <c r="S13" i="1" s="1"/>
  <c r="AI13" i="1"/>
  <c r="M28" i="5" l="1"/>
  <c r="B33" i="9" l="1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C50" i="9" s="1"/>
  <c r="C46" i="9" l="1"/>
  <c r="C38" i="9"/>
  <c r="C45" i="9"/>
  <c r="C35" i="9"/>
  <c r="C36" i="9"/>
  <c r="C43" i="9"/>
  <c r="C37" i="9"/>
  <c r="C48" i="9"/>
  <c r="C44" i="9"/>
  <c r="C40" i="9"/>
  <c r="C47" i="9"/>
  <c r="C39" i="9"/>
  <c r="C49" i="9"/>
  <c r="C42" i="9"/>
  <c r="C41" i="9"/>
  <c r="C34" i="9"/>
  <c r="M23" i="5" l="1"/>
  <c r="B31" i="9" l="1"/>
  <c r="B32" i="9"/>
  <c r="C33" i="9" s="1"/>
  <c r="C32" i="9" l="1"/>
  <c r="B3" i="6" l="1"/>
  <c r="I3" i="6" s="1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N12" i="3" s="1"/>
  <c r="G28" i="4"/>
  <c r="N42" i="3" s="1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N9" i="3" s="1"/>
  <c r="G60" i="4"/>
  <c r="G61" i="4"/>
  <c r="G62" i="4"/>
  <c r="G63" i="4"/>
  <c r="G64" i="4"/>
  <c r="G65" i="4"/>
  <c r="G66" i="4"/>
  <c r="G67" i="4"/>
  <c r="N19" i="3" s="1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N7" i="3" s="1"/>
  <c r="G81" i="4"/>
  <c r="N13" i="3" s="1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N14" i="3" s="1"/>
  <c r="G96" i="4"/>
  <c r="G97" i="4"/>
  <c r="G98" i="4"/>
  <c r="G99" i="4"/>
  <c r="G100" i="4"/>
  <c r="G101" i="4"/>
  <c r="G102" i="4"/>
  <c r="G103" i="4"/>
  <c r="N32" i="3" s="1"/>
  <c r="G104" i="4"/>
  <c r="N8" i="3" s="1"/>
  <c r="G105" i="4"/>
  <c r="G106" i="4"/>
  <c r="G107" i="4"/>
  <c r="G108" i="4"/>
  <c r="G109" i="4"/>
  <c r="G110" i="4"/>
  <c r="G111" i="4"/>
  <c r="G112" i="4"/>
  <c r="G113" i="4"/>
  <c r="G114" i="4"/>
  <c r="G115" i="4"/>
  <c r="G116" i="4"/>
  <c r="N20" i="3" s="1"/>
  <c r="G117" i="4"/>
  <c r="G118" i="4"/>
  <c r="G119" i="4"/>
  <c r="G120" i="4"/>
  <c r="G121" i="4"/>
  <c r="N21" i="3" s="1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N16" i="3" s="1"/>
  <c r="G137" i="4"/>
  <c r="G138" i="4"/>
  <c r="G139" i="4"/>
  <c r="G140" i="4"/>
  <c r="G141" i="4"/>
  <c r="G142" i="4"/>
  <c r="G143" i="4"/>
  <c r="N39" i="3" s="1"/>
  <c r="G144" i="4"/>
  <c r="G145" i="4"/>
  <c r="G146" i="4"/>
  <c r="N41" i="3" s="1"/>
  <c r="G147" i="4"/>
  <c r="G148" i="4"/>
  <c r="N27" i="3" s="1"/>
  <c r="G149" i="4"/>
  <c r="G150" i="4"/>
  <c r="N33" i="3" s="1"/>
  <c r="G151" i="4"/>
  <c r="G152" i="4"/>
  <c r="G153" i="4"/>
  <c r="G154" i="4"/>
  <c r="G155" i="4"/>
  <c r="G156" i="4"/>
  <c r="N28" i="3" s="1"/>
  <c r="G157" i="4"/>
  <c r="G158" i="4"/>
  <c r="G159" i="4"/>
  <c r="G160" i="4"/>
  <c r="G161" i="4"/>
  <c r="G162" i="4"/>
  <c r="G163" i="4"/>
  <c r="N29" i="3" s="1"/>
  <c r="G164" i="4"/>
  <c r="G165" i="4"/>
  <c r="G166" i="4"/>
  <c r="G167" i="4"/>
  <c r="G168" i="4"/>
  <c r="G169" i="4"/>
  <c r="G170" i="4"/>
  <c r="N22" i="3" s="1"/>
  <c r="G171" i="4"/>
  <c r="G172" i="4"/>
  <c r="G173" i="4"/>
  <c r="G174" i="4"/>
  <c r="G175" i="4"/>
  <c r="G176" i="4"/>
  <c r="G177" i="4"/>
  <c r="N17" i="3" s="1"/>
  <c r="G178" i="4"/>
  <c r="N15" i="3" s="1"/>
  <c r="G179" i="4"/>
  <c r="N40" i="3" s="1"/>
  <c r="G180" i="4"/>
  <c r="G181" i="4"/>
  <c r="G182" i="4"/>
  <c r="G183" i="4"/>
  <c r="G184" i="4"/>
  <c r="G185" i="4"/>
  <c r="N18" i="3" s="1"/>
  <c r="G186" i="4"/>
  <c r="G187" i="4"/>
  <c r="G188" i="4"/>
  <c r="G189" i="4"/>
  <c r="G190" i="4"/>
  <c r="G191" i="4"/>
  <c r="G192" i="4"/>
  <c r="G193" i="4"/>
  <c r="G194" i="4"/>
  <c r="G195" i="4"/>
  <c r="G196" i="4"/>
  <c r="G197" i="4"/>
  <c r="N10" i="3" s="1"/>
  <c r="G198" i="4"/>
  <c r="G199" i="4"/>
  <c r="G200" i="4"/>
  <c r="G201" i="4"/>
  <c r="G202" i="4"/>
  <c r="G203" i="4"/>
  <c r="G204" i="4"/>
  <c r="N31" i="3" s="1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N11" i="3" s="1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" i="4"/>
  <c r="N30" i="3" l="1"/>
  <c r="N24" i="3"/>
  <c r="N34" i="3"/>
  <c r="N35" i="3"/>
  <c r="N25" i="3"/>
  <c r="N26" i="3"/>
  <c r="N36" i="3"/>
  <c r="N37" i="3"/>
  <c r="N23" i="3"/>
  <c r="N38" i="3"/>
  <c r="G3" i="6"/>
  <c r="F3" i="6"/>
  <c r="J3" i="6"/>
  <c r="H3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C31" i="9" s="1"/>
  <c r="C26" i="9" l="1"/>
  <c r="B1" i="9"/>
  <c r="C1" i="9" s="1"/>
  <c r="C4" i="9"/>
  <c r="C7" i="9"/>
  <c r="C24" i="9"/>
  <c r="C10" i="9"/>
  <c r="C15" i="9"/>
  <c r="C30" i="9"/>
  <c r="C16" i="9"/>
  <c r="C29" i="9"/>
  <c r="C12" i="9"/>
  <c r="C13" i="9"/>
  <c r="C25" i="9" l="1"/>
  <c r="C19" i="9"/>
  <c r="C22" i="9"/>
  <c r="C17" i="9"/>
  <c r="C18" i="9"/>
  <c r="C20" i="9"/>
  <c r="C8" i="9"/>
  <c r="C9" i="9"/>
  <c r="C5" i="9"/>
  <c r="C6" i="9"/>
  <c r="C27" i="9"/>
  <c r="C14" i="9"/>
  <c r="C28" i="9"/>
  <c r="C11" i="9"/>
  <c r="C2" i="9"/>
  <c r="C3" i="9"/>
  <c r="C21" i="9"/>
  <c r="C23" i="9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B4" i="6" l="1"/>
  <c r="I4" i="6" s="1"/>
  <c r="F282" i="4"/>
  <c r="G282" i="4" s="1"/>
  <c r="F283" i="4"/>
  <c r="G283" i="4" s="1"/>
  <c r="F284" i="4"/>
  <c r="G284" i="4" s="1"/>
  <c r="F285" i="4"/>
  <c r="G285" i="4" s="1"/>
  <c r="F286" i="4"/>
  <c r="G286" i="4" s="1"/>
  <c r="F287" i="4"/>
  <c r="G287" i="4" s="1"/>
  <c r="F288" i="4"/>
  <c r="G288" i="4" s="1"/>
  <c r="F289" i="4"/>
  <c r="G289" i="4" s="1"/>
  <c r="F290" i="4"/>
  <c r="G290" i="4" s="1"/>
  <c r="F291" i="4"/>
  <c r="G291" i="4" s="1"/>
  <c r="F292" i="4"/>
  <c r="G292" i="4" s="1"/>
  <c r="F293" i="4"/>
  <c r="G293" i="4" s="1"/>
  <c r="F294" i="4"/>
  <c r="G294" i="4" s="1"/>
  <c r="F295" i="4"/>
  <c r="G295" i="4" s="1"/>
  <c r="F296" i="4"/>
  <c r="G296" i="4" s="1"/>
  <c r="F297" i="4"/>
  <c r="G297" i="4" s="1"/>
  <c r="F298" i="4"/>
  <c r="G298" i="4" s="1"/>
  <c r="F299" i="4"/>
  <c r="G299" i="4" s="1"/>
  <c r="F300" i="4"/>
  <c r="G300" i="4" s="1"/>
  <c r="F301" i="4"/>
  <c r="G301" i="4" s="1"/>
  <c r="F302" i="4"/>
  <c r="G302" i="4" s="1"/>
  <c r="F303" i="4"/>
  <c r="G303" i="4" s="1"/>
  <c r="F304" i="4"/>
  <c r="G304" i="4" s="1"/>
  <c r="F305" i="4"/>
  <c r="G305" i="4" s="1"/>
  <c r="F306" i="4"/>
  <c r="G306" i="4" s="1"/>
  <c r="F307" i="4"/>
  <c r="G307" i="4" s="1"/>
  <c r="F308" i="4"/>
  <c r="G308" i="4" s="1"/>
  <c r="F309" i="4"/>
  <c r="G309" i="4" s="1"/>
  <c r="F310" i="4"/>
  <c r="G310" i="4" s="1"/>
  <c r="F311" i="4"/>
  <c r="G311" i="4" s="1"/>
  <c r="F312" i="4"/>
  <c r="G312" i="4" s="1"/>
  <c r="F313" i="4"/>
  <c r="G313" i="4" s="1"/>
  <c r="F314" i="4"/>
  <c r="G314" i="4" s="1"/>
  <c r="F315" i="4"/>
  <c r="G315" i="4" s="1"/>
  <c r="F316" i="4"/>
  <c r="G316" i="4" s="1"/>
  <c r="F317" i="4"/>
  <c r="G317" i="4" s="1"/>
  <c r="F318" i="4"/>
  <c r="G318" i="4" s="1"/>
  <c r="F319" i="4"/>
  <c r="G319" i="4" s="1"/>
  <c r="F320" i="4"/>
  <c r="G320" i="4" s="1"/>
  <c r="F321" i="4"/>
  <c r="G321" i="4" s="1"/>
  <c r="F322" i="4"/>
  <c r="G322" i="4" s="1"/>
  <c r="F323" i="4"/>
  <c r="G323" i="4" s="1"/>
  <c r="F324" i="4"/>
  <c r="G324" i="4" s="1"/>
  <c r="F325" i="4"/>
  <c r="G325" i="4" s="1"/>
  <c r="F326" i="4"/>
  <c r="G326" i="4" s="1"/>
  <c r="F327" i="4"/>
  <c r="G327" i="4" s="1"/>
  <c r="F328" i="4"/>
  <c r="G328" i="4" s="1"/>
  <c r="F329" i="4"/>
  <c r="G329" i="4" s="1"/>
  <c r="F330" i="4"/>
  <c r="G330" i="4" s="1"/>
  <c r="F331" i="4"/>
  <c r="G331" i="4" s="1"/>
  <c r="F332" i="4"/>
  <c r="G332" i="4" s="1"/>
  <c r="F333" i="4"/>
  <c r="G333" i="4" s="1"/>
  <c r="F334" i="4"/>
  <c r="G334" i="4" s="1"/>
  <c r="F335" i="4"/>
  <c r="G335" i="4" s="1"/>
  <c r="F336" i="4"/>
  <c r="G336" i="4" s="1"/>
  <c r="F337" i="4"/>
  <c r="G337" i="4" s="1"/>
  <c r="F338" i="4"/>
  <c r="G338" i="4" s="1"/>
  <c r="F339" i="4"/>
  <c r="G339" i="4" s="1"/>
  <c r="F340" i="4"/>
  <c r="G340" i="4" s="1"/>
  <c r="F341" i="4"/>
  <c r="G341" i="4" s="1"/>
  <c r="F342" i="4"/>
  <c r="G342" i="4" s="1"/>
  <c r="F343" i="4"/>
  <c r="G343" i="4" s="1"/>
  <c r="F344" i="4"/>
  <c r="G344" i="4" s="1"/>
  <c r="F345" i="4"/>
  <c r="G345" i="4" s="1"/>
  <c r="F346" i="4"/>
  <c r="G346" i="4" s="1"/>
  <c r="F347" i="4"/>
  <c r="G347" i="4" s="1"/>
  <c r="F348" i="4"/>
  <c r="G348" i="4" s="1"/>
  <c r="F349" i="4"/>
  <c r="G349" i="4" s="1"/>
  <c r="F350" i="4"/>
  <c r="G350" i="4" s="1"/>
  <c r="F351" i="4"/>
  <c r="G351" i="4" s="1"/>
  <c r="F352" i="4"/>
  <c r="G352" i="4" s="1"/>
  <c r="F353" i="4"/>
  <c r="G353" i="4" s="1"/>
  <c r="F354" i="4"/>
  <c r="G354" i="4" s="1"/>
  <c r="F355" i="4"/>
  <c r="G355" i="4" s="1"/>
  <c r="F356" i="4"/>
  <c r="G356" i="4" s="1"/>
  <c r="F357" i="4"/>
  <c r="G357" i="4" s="1"/>
  <c r="F358" i="4"/>
  <c r="G358" i="4" s="1"/>
  <c r="F359" i="4"/>
  <c r="G359" i="4" s="1"/>
  <c r="F360" i="4"/>
  <c r="G360" i="4" s="1"/>
  <c r="F361" i="4"/>
  <c r="G361" i="4" s="1"/>
  <c r="F362" i="4"/>
  <c r="G362" i="4" s="1"/>
  <c r="F363" i="4"/>
  <c r="G363" i="4" s="1"/>
  <c r="F364" i="4"/>
  <c r="G364" i="4" s="1"/>
  <c r="F365" i="4"/>
  <c r="G365" i="4" s="1"/>
  <c r="F366" i="4"/>
  <c r="G366" i="4" s="1"/>
  <c r="F367" i="4"/>
  <c r="G367" i="4" s="1"/>
  <c r="F368" i="4"/>
  <c r="G368" i="4" s="1"/>
  <c r="F369" i="4"/>
  <c r="G369" i="4" s="1"/>
  <c r="F370" i="4"/>
  <c r="G370" i="4" s="1"/>
  <c r="F371" i="4"/>
  <c r="G371" i="4" s="1"/>
  <c r="F372" i="4"/>
  <c r="G372" i="4" s="1"/>
  <c r="F373" i="4"/>
  <c r="G373" i="4" s="1"/>
  <c r="F374" i="4"/>
  <c r="G374" i="4" s="1"/>
  <c r="F375" i="4"/>
  <c r="G375" i="4" s="1"/>
  <c r="F376" i="4"/>
  <c r="G376" i="4" s="1"/>
  <c r="F377" i="4"/>
  <c r="G377" i="4" s="1"/>
  <c r="F378" i="4"/>
  <c r="G378" i="4" s="1"/>
  <c r="F379" i="4"/>
  <c r="G379" i="4" s="1"/>
  <c r="F380" i="4"/>
  <c r="G380" i="4" s="1"/>
  <c r="F381" i="4"/>
  <c r="G381" i="4" s="1"/>
  <c r="F382" i="4"/>
  <c r="G382" i="4" s="1"/>
  <c r="F383" i="4"/>
  <c r="G383" i="4" s="1"/>
  <c r="F384" i="4"/>
  <c r="G384" i="4" s="1"/>
  <c r="F385" i="4"/>
  <c r="G385" i="4" s="1"/>
  <c r="F386" i="4"/>
  <c r="G386" i="4" s="1"/>
  <c r="F387" i="4"/>
  <c r="G387" i="4" s="1"/>
  <c r="F388" i="4"/>
  <c r="G388" i="4" s="1"/>
  <c r="F389" i="4"/>
  <c r="G389" i="4" s="1"/>
  <c r="F390" i="4"/>
  <c r="G390" i="4" s="1"/>
  <c r="F391" i="4"/>
  <c r="G391" i="4" s="1"/>
  <c r="F392" i="4"/>
  <c r="G392" i="4" s="1"/>
  <c r="F393" i="4"/>
  <c r="G393" i="4" s="1"/>
  <c r="F394" i="4"/>
  <c r="G394" i="4" s="1"/>
  <c r="F395" i="4"/>
  <c r="G395" i="4" s="1"/>
  <c r="F396" i="4"/>
  <c r="G396" i="4" s="1"/>
  <c r="F397" i="4"/>
  <c r="G397" i="4" s="1"/>
  <c r="F398" i="4"/>
  <c r="G398" i="4" s="1"/>
  <c r="F399" i="4"/>
  <c r="G399" i="4" s="1"/>
  <c r="F400" i="4"/>
  <c r="G400" i="4" s="1"/>
  <c r="F401" i="4"/>
  <c r="G401" i="4" s="1"/>
  <c r="F402" i="4"/>
  <c r="G402" i="4" s="1"/>
  <c r="F403" i="4"/>
  <c r="G403" i="4" s="1"/>
  <c r="F404" i="4"/>
  <c r="G404" i="4" s="1"/>
  <c r="F405" i="4"/>
  <c r="G405" i="4" s="1"/>
  <c r="F406" i="4"/>
  <c r="G406" i="4" s="1"/>
  <c r="F407" i="4"/>
  <c r="G407" i="4" s="1"/>
  <c r="F408" i="4"/>
  <c r="G408" i="4" s="1"/>
  <c r="F409" i="4"/>
  <c r="G409" i="4" s="1"/>
  <c r="F410" i="4"/>
  <c r="G410" i="4" s="1"/>
  <c r="F411" i="4"/>
  <c r="G411" i="4" s="1"/>
  <c r="F412" i="4"/>
  <c r="G412" i="4" s="1"/>
  <c r="F413" i="4"/>
  <c r="G413" i="4" s="1"/>
  <c r="F414" i="4"/>
  <c r="G414" i="4" s="1"/>
  <c r="F415" i="4"/>
  <c r="G415" i="4" s="1"/>
  <c r="F416" i="4"/>
  <c r="G416" i="4" s="1"/>
  <c r="F417" i="4"/>
  <c r="G417" i="4" s="1"/>
  <c r="F418" i="4"/>
  <c r="G418" i="4" s="1"/>
  <c r="F419" i="4"/>
  <c r="G419" i="4" s="1"/>
  <c r="F420" i="4"/>
  <c r="G420" i="4" s="1"/>
  <c r="F421" i="4"/>
  <c r="G421" i="4" s="1"/>
  <c r="F422" i="4"/>
  <c r="G422" i="4" s="1"/>
  <c r="F423" i="4"/>
  <c r="G423" i="4" s="1"/>
  <c r="F424" i="4"/>
  <c r="G424" i="4" s="1"/>
  <c r="F425" i="4"/>
  <c r="G425" i="4" s="1"/>
  <c r="F426" i="4"/>
  <c r="G426" i="4" s="1"/>
  <c r="F427" i="4"/>
  <c r="G427" i="4" s="1"/>
  <c r="F428" i="4"/>
  <c r="G428" i="4" s="1"/>
  <c r="F429" i="4"/>
  <c r="G429" i="4" s="1"/>
  <c r="F430" i="4"/>
  <c r="G430" i="4" s="1"/>
  <c r="F431" i="4"/>
  <c r="G431" i="4" s="1"/>
  <c r="F432" i="4"/>
  <c r="G432" i="4" s="1"/>
  <c r="F433" i="4"/>
  <c r="G433" i="4" s="1"/>
  <c r="F434" i="4"/>
  <c r="G434" i="4" s="1"/>
  <c r="F435" i="4"/>
  <c r="G435" i="4" s="1"/>
  <c r="F436" i="4"/>
  <c r="G436" i="4" s="1"/>
  <c r="F437" i="4"/>
  <c r="G437" i="4" s="1"/>
  <c r="F438" i="4"/>
  <c r="G438" i="4" s="1"/>
  <c r="F439" i="4"/>
  <c r="G439" i="4" s="1"/>
  <c r="F440" i="4"/>
  <c r="G440" i="4" s="1"/>
  <c r="F441" i="4"/>
  <c r="G441" i="4" s="1"/>
  <c r="F442" i="4"/>
  <c r="G442" i="4" s="1"/>
  <c r="F443" i="4"/>
  <c r="G443" i="4" s="1"/>
  <c r="F444" i="4"/>
  <c r="G444" i="4" s="1"/>
  <c r="F445" i="4"/>
  <c r="G445" i="4" s="1"/>
  <c r="F446" i="4"/>
  <c r="G446" i="4" s="1"/>
  <c r="F447" i="4"/>
  <c r="G447" i="4" s="1"/>
  <c r="F448" i="4"/>
  <c r="G448" i="4" s="1"/>
  <c r="F449" i="4"/>
  <c r="G449" i="4" s="1"/>
  <c r="F450" i="4"/>
  <c r="G450" i="4" s="1"/>
  <c r="F451" i="4"/>
  <c r="G451" i="4" s="1"/>
  <c r="F452" i="4"/>
  <c r="G452" i="4" s="1"/>
  <c r="F453" i="4"/>
  <c r="G453" i="4" s="1"/>
  <c r="F454" i="4"/>
  <c r="G454" i="4" s="1"/>
  <c r="F455" i="4"/>
  <c r="G455" i="4" s="1"/>
  <c r="F456" i="4"/>
  <c r="G456" i="4" s="1"/>
  <c r="F457" i="4"/>
  <c r="G457" i="4" s="1"/>
  <c r="F458" i="4"/>
  <c r="G458" i="4" s="1"/>
  <c r="F459" i="4"/>
  <c r="G459" i="4" s="1"/>
  <c r="F460" i="4"/>
  <c r="G460" i="4" s="1"/>
  <c r="F461" i="4"/>
  <c r="G461" i="4" s="1"/>
  <c r="F462" i="4"/>
  <c r="G462" i="4" s="1"/>
  <c r="F463" i="4"/>
  <c r="G463" i="4" s="1"/>
  <c r="F464" i="4"/>
  <c r="G464" i="4" s="1"/>
  <c r="F465" i="4"/>
  <c r="G465" i="4" s="1"/>
  <c r="F466" i="4"/>
  <c r="G466" i="4" s="1"/>
  <c r="F467" i="4"/>
  <c r="G467" i="4" s="1"/>
  <c r="F468" i="4"/>
  <c r="G468" i="4" s="1"/>
  <c r="F469" i="4"/>
  <c r="G469" i="4" s="1"/>
  <c r="F470" i="4"/>
  <c r="G470" i="4" s="1"/>
  <c r="F471" i="4"/>
  <c r="G471" i="4" s="1"/>
  <c r="F472" i="4"/>
  <c r="G472" i="4" s="1"/>
  <c r="F473" i="4"/>
  <c r="G473" i="4" s="1"/>
  <c r="F474" i="4"/>
  <c r="G474" i="4" s="1"/>
  <c r="F475" i="4"/>
  <c r="G475" i="4" s="1"/>
  <c r="F476" i="4"/>
  <c r="G476" i="4" s="1"/>
  <c r="F477" i="4"/>
  <c r="G477" i="4" s="1"/>
  <c r="F478" i="4"/>
  <c r="G478" i="4" s="1"/>
  <c r="F479" i="4"/>
  <c r="G479" i="4" s="1"/>
  <c r="F480" i="4"/>
  <c r="G480" i="4" s="1"/>
  <c r="F481" i="4"/>
  <c r="G481" i="4" s="1"/>
  <c r="F482" i="4"/>
  <c r="G482" i="4" s="1"/>
  <c r="F483" i="4"/>
  <c r="G483" i="4" s="1"/>
  <c r="F484" i="4"/>
  <c r="G484" i="4" s="1"/>
  <c r="F485" i="4"/>
  <c r="G485" i="4" s="1"/>
  <c r="F486" i="4"/>
  <c r="G486" i="4" s="1"/>
  <c r="F487" i="4"/>
  <c r="G487" i="4" s="1"/>
  <c r="F488" i="4"/>
  <c r="G488" i="4" s="1"/>
  <c r="F489" i="4"/>
  <c r="G489" i="4" s="1"/>
  <c r="F490" i="4"/>
  <c r="G490" i="4" s="1"/>
  <c r="F491" i="4"/>
  <c r="G491" i="4" s="1"/>
  <c r="F492" i="4"/>
  <c r="G492" i="4" s="1"/>
  <c r="F493" i="4"/>
  <c r="G493" i="4" s="1"/>
  <c r="F494" i="4"/>
  <c r="G494" i="4" s="1"/>
  <c r="F495" i="4"/>
  <c r="G495" i="4" s="1"/>
  <c r="F496" i="4"/>
  <c r="G496" i="4" s="1"/>
  <c r="F497" i="4"/>
  <c r="G497" i="4" s="1"/>
  <c r="F498" i="4"/>
  <c r="G498" i="4" s="1"/>
  <c r="F499" i="4"/>
  <c r="G499" i="4" s="1"/>
  <c r="F500" i="4"/>
  <c r="G500" i="4" s="1"/>
  <c r="F501" i="4"/>
  <c r="G501" i="4" s="1"/>
  <c r="F502" i="4"/>
  <c r="G502" i="4" s="1"/>
  <c r="F503" i="4"/>
  <c r="G503" i="4" s="1"/>
  <c r="F504" i="4"/>
  <c r="G504" i="4" s="1"/>
  <c r="F505" i="4"/>
  <c r="G505" i="4" s="1"/>
  <c r="F506" i="4"/>
  <c r="G506" i="4" s="1"/>
  <c r="F507" i="4"/>
  <c r="G507" i="4" s="1"/>
  <c r="F508" i="4"/>
  <c r="G508" i="4" s="1"/>
  <c r="F509" i="4"/>
  <c r="G509" i="4" s="1"/>
  <c r="F510" i="4"/>
  <c r="G510" i="4" s="1"/>
  <c r="F511" i="4"/>
  <c r="G511" i="4" s="1"/>
  <c r="F512" i="4"/>
  <c r="G512" i="4" s="1"/>
  <c r="F513" i="4"/>
  <c r="G513" i="4" s="1"/>
  <c r="F514" i="4"/>
  <c r="G514" i="4" s="1"/>
  <c r="F515" i="4"/>
  <c r="G515" i="4" s="1"/>
  <c r="F516" i="4"/>
  <c r="G516" i="4" s="1"/>
  <c r="F517" i="4"/>
  <c r="G517" i="4" s="1"/>
  <c r="F518" i="4"/>
  <c r="G518" i="4" s="1"/>
  <c r="F519" i="4"/>
  <c r="G519" i="4" s="1"/>
  <c r="F520" i="4"/>
  <c r="G520" i="4" s="1"/>
  <c r="F521" i="4"/>
  <c r="G521" i="4" s="1"/>
  <c r="F522" i="4"/>
  <c r="G522" i="4" s="1"/>
  <c r="F523" i="4"/>
  <c r="G523" i="4" s="1"/>
  <c r="F524" i="4"/>
  <c r="G524" i="4" s="1"/>
  <c r="F525" i="4"/>
  <c r="G525" i="4" s="1"/>
  <c r="F526" i="4"/>
  <c r="G526" i="4" s="1"/>
  <c r="F527" i="4"/>
  <c r="G527" i="4" s="1"/>
  <c r="F528" i="4"/>
  <c r="G528" i="4" s="1"/>
  <c r="F529" i="4"/>
  <c r="G529" i="4" s="1"/>
  <c r="F530" i="4"/>
  <c r="G530" i="4" s="1"/>
  <c r="F531" i="4"/>
  <c r="G531" i="4" s="1"/>
  <c r="F532" i="4"/>
  <c r="G532" i="4" s="1"/>
  <c r="F533" i="4"/>
  <c r="G533" i="4" s="1"/>
  <c r="F534" i="4"/>
  <c r="G534" i="4" s="1"/>
  <c r="F535" i="4"/>
  <c r="G535" i="4" s="1"/>
  <c r="F536" i="4"/>
  <c r="G536" i="4" s="1"/>
  <c r="F537" i="4"/>
  <c r="G537" i="4" s="1"/>
  <c r="F538" i="4"/>
  <c r="G538" i="4" s="1"/>
  <c r="F539" i="4"/>
  <c r="G539" i="4" s="1"/>
  <c r="F540" i="4"/>
  <c r="G540" i="4" s="1"/>
  <c r="F541" i="4"/>
  <c r="G541" i="4" s="1"/>
  <c r="F542" i="4"/>
  <c r="G542" i="4" s="1"/>
  <c r="F543" i="4"/>
  <c r="G543" i="4" s="1"/>
  <c r="B5" i="6" l="1"/>
  <c r="I5" i="6" s="1"/>
  <c r="G4" i="6"/>
  <c r="F4" i="6"/>
  <c r="J4" i="6"/>
  <c r="H4" i="6"/>
  <c r="V5" i="1"/>
  <c r="V8" i="1" s="1"/>
  <c r="G266" i="4"/>
  <c r="G267" i="4"/>
  <c r="G268" i="4"/>
  <c r="G269" i="4"/>
  <c r="G270" i="4"/>
  <c r="G271" i="4"/>
  <c r="G272" i="4"/>
  <c r="G273" i="4"/>
  <c r="F274" i="4"/>
  <c r="G274" i="4" s="1"/>
  <c r="F275" i="4"/>
  <c r="G275" i="4" s="1"/>
  <c r="F276" i="4"/>
  <c r="G276" i="4" s="1"/>
  <c r="F277" i="4"/>
  <c r="G277" i="4" s="1"/>
  <c r="F278" i="4"/>
  <c r="G278" i="4" s="1"/>
  <c r="F279" i="4"/>
  <c r="G279" i="4" s="1"/>
  <c r="F280" i="4"/>
  <c r="G280" i="4" s="1"/>
  <c r="F281" i="4"/>
  <c r="G281" i="4" s="1"/>
  <c r="B6" i="6" l="1"/>
  <c r="I6" i="6" s="1"/>
  <c r="F5" i="6"/>
  <c r="J5" i="6"/>
  <c r="G5" i="6"/>
  <c r="H5" i="6"/>
  <c r="G259" i="4"/>
  <c r="G260" i="4"/>
  <c r="G261" i="4"/>
  <c r="G262" i="4"/>
  <c r="G263" i="4"/>
  <c r="G264" i="4"/>
  <c r="G265" i="4"/>
  <c r="F6" i="6" l="1"/>
  <c r="J6" i="6"/>
  <c r="G6" i="6"/>
  <c r="H6" i="6"/>
  <c r="B7" i="6"/>
  <c r="I7" i="6" s="1"/>
  <c r="M14" i="5"/>
  <c r="M13" i="5"/>
  <c r="M12" i="5"/>
  <c r="M11" i="5"/>
  <c r="M10" i="5"/>
  <c r="M9" i="5"/>
  <c r="M8" i="5"/>
  <c r="M7" i="5"/>
  <c r="M6" i="5"/>
  <c r="M5" i="5"/>
  <c r="M4" i="5"/>
  <c r="M3" i="5"/>
  <c r="F7" i="6" l="1"/>
  <c r="H7" i="6"/>
  <c r="J7" i="6"/>
  <c r="G7" i="6"/>
  <c r="B8" i="6"/>
  <c r="I8" i="6" s="1"/>
  <c r="O2" i="3"/>
  <c r="O3" i="3" s="1"/>
  <c r="F8" i="6" l="1"/>
  <c r="J8" i="6"/>
  <c r="G8" i="6"/>
  <c r="H8" i="6"/>
  <c r="B9" i="6"/>
  <c r="I9" i="6" s="1"/>
  <c r="S7" i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9" i="6" l="1"/>
  <c r="F9" i="6"/>
  <c r="G9" i="6"/>
  <c r="H9" i="6"/>
  <c r="B10" i="6"/>
  <c r="I10" i="6" s="1"/>
  <c r="J8" i="1"/>
  <c r="J4" i="1"/>
  <c r="S8" i="1"/>
  <c r="S4" i="1"/>
  <c r="F10" i="6" l="1"/>
  <c r="J10" i="6"/>
  <c r="H10" i="6"/>
  <c r="G10" i="6"/>
  <c r="B11" i="6"/>
  <c r="I11" i="6" s="1"/>
  <c r="S9" i="1"/>
  <c r="J9" i="1"/>
  <c r="B12" i="6" l="1"/>
  <c r="I12" i="6" s="1"/>
  <c r="F11" i="6"/>
  <c r="G11" i="6"/>
  <c r="J11" i="6"/>
  <c r="H11" i="6"/>
  <c r="S11" i="1"/>
  <c r="A11" i="1"/>
  <c r="B13" i="6" l="1"/>
  <c r="I13" i="6" s="1"/>
  <c r="G12" i="6"/>
  <c r="H12" i="6"/>
  <c r="J12" i="6"/>
  <c r="F12" i="6"/>
  <c r="B1" i="6"/>
  <c r="A5" i="3"/>
  <c r="G13" i="6" l="1"/>
  <c r="F13" i="6"/>
  <c r="J13" i="6"/>
  <c r="H13" i="6"/>
  <c r="B14" i="6"/>
  <c r="I14" i="6" s="1"/>
  <c r="F14" i="6" l="1"/>
  <c r="J14" i="6"/>
  <c r="G14" i="6"/>
  <c r="H14" i="6"/>
  <c r="B15" i="6"/>
  <c r="I15" i="6" s="1"/>
  <c r="B16" i="6" l="1"/>
  <c r="I16" i="6" s="1"/>
  <c r="J15" i="6"/>
  <c r="G15" i="6"/>
  <c r="F15" i="6"/>
  <c r="H15" i="6"/>
  <c r="F16" i="6" l="1"/>
  <c r="G16" i="6"/>
  <c r="H16" i="6"/>
  <c r="J16" i="6"/>
  <c r="B17" i="6"/>
  <c r="I17" i="6" s="1"/>
  <c r="J17" i="6" l="1"/>
  <c r="H17" i="6"/>
  <c r="F17" i="6"/>
  <c r="G17" i="6"/>
  <c r="B18" i="6"/>
  <c r="I18" i="6" s="1"/>
  <c r="B19" i="6" l="1"/>
  <c r="I19" i="6" s="1"/>
  <c r="J18" i="6"/>
  <c r="F18" i="6"/>
  <c r="H18" i="6"/>
  <c r="G18" i="6"/>
  <c r="F19" i="6" l="1"/>
  <c r="G19" i="6"/>
  <c r="H19" i="6"/>
  <c r="J19" i="6"/>
  <c r="B20" i="6"/>
  <c r="I20" i="6" s="1"/>
  <c r="G20" i="6" l="1"/>
  <c r="H20" i="6"/>
  <c r="J20" i="6"/>
  <c r="F20" i="6"/>
  <c r="B21" i="6"/>
  <c r="I21" i="6" s="1"/>
  <c r="F21" i="6" l="1"/>
  <c r="H21" i="6"/>
  <c r="J21" i="6"/>
  <c r="G21" i="6"/>
  <c r="B22" i="6"/>
  <c r="I22" i="6" s="1"/>
  <c r="F22" i="6" l="1"/>
  <c r="J22" i="6"/>
  <c r="G22" i="6"/>
  <c r="H22" i="6"/>
  <c r="B23" i="6"/>
  <c r="I23" i="6" s="1"/>
  <c r="B24" i="6" l="1"/>
  <c r="I24" i="6" s="1"/>
  <c r="F23" i="6"/>
  <c r="H23" i="6"/>
  <c r="J23" i="6"/>
  <c r="G23" i="6"/>
  <c r="F24" i="6" l="1"/>
  <c r="H24" i="6"/>
  <c r="J24" i="6"/>
  <c r="G24" i="6"/>
  <c r="B25" i="6"/>
  <c r="I25" i="6" s="1"/>
  <c r="J25" i="6" l="1"/>
  <c r="H25" i="6"/>
  <c r="F25" i="6"/>
  <c r="G25" i="6"/>
  <c r="B26" i="6"/>
  <c r="I26" i="6" s="1"/>
  <c r="B27" i="6" l="1"/>
  <c r="I27" i="6" s="1"/>
  <c r="F26" i="6"/>
  <c r="G26" i="6"/>
  <c r="H26" i="6"/>
  <c r="J26" i="6"/>
  <c r="B28" i="6" l="1"/>
  <c r="I28" i="6" s="1"/>
  <c r="H27" i="6"/>
  <c r="F27" i="6"/>
  <c r="J27" i="6"/>
  <c r="G27" i="6"/>
  <c r="B29" i="6" l="1"/>
  <c r="I29" i="6" s="1"/>
  <c r="F28" i="6"/>
  <c r="H28" i="6"/>
  <c r="J28" i="6"/>
  <c r="G28" i="6"/>
  <c r="F29" i="6" l="1"/>
  <c r="G29" i="6"/>
  <c r="J29" i="6"/>
  <c r="H29" i="6"/>
  <c r="B30" i="6"/>
  <c r="I30" i="6" s="1"/>
  <c r="F30" i="6" l="1"/>
  <c r="J30" i="6"/>
  <c r="H30" i="6"/>
  <c r="G30" i="6"/>
  <c r="B31" i="6"/>
  <c r="I31" i="6" s="1"/>
  <c r="F31" i="6" l="1"/>
  <c r="H31" i="6"/>
  <c r="G31" i="6"/>
  <c r="J31" i="6"/>
  <c r="B32" i="6"/>
  <c r="I32" i="6" s="1"/>
  <c r="B33" i="6" l="1"/>
  <c r="I33" i="6" s="1"/>
  <c r="G32" i="6"/>
  <c r="F32" i="6"/>
  <c r="H32" i="6"/>
  <c r="J32" i="6"/>
  <c r="J33" i="6" l="1"/>
  <c r="H33" i="6"/>
  <c r="F33" i="6"/>
  <c r="G33" i="6"/>
  <c r="B34" i="6"/>
  <c r="I34" i="6" s="1"/>
  <c r="H34" i="6" l="1"/>
  <c r="J34" i="6"/>
  <c r="F34" i="6"/>
  <c r="G34" i="6"/>
  <c r="B35" i="6"/>
  <c r="I35" i="6" s="1"/>
  <c r="H35" i="6" l="1"/>
  <c r="J35" i="6"/>
  <c r="F35" i="6"/>
  <c r="G35" i="6"/>
  <c r="B36" i="6"/>
  <c r="I36" i="6" s="1"/>
  <c r="H36" i="6" l="1"/>
  <c r="J36" i="6"/>
  <c r="F36" i="6"/>
  <c r="G36" i="6"/>
  <c r="B37" i="6"/>
  <c r="I37" i="6" s="1"/>
  <c r="G37" i="6" l="1"/>
  <c r="F37" i="6"/>
  <c r="H37" i="6"/>
  <c r="J37" i="6"/>
  <c r="B38" i="6"/>
  <c r="I38" i="6" s="1"/>
  <c r="B39" i="6" l="1"/>
  <c r="I39" i="6" s="1"/>
  <c r="J38" i="6"/>
  <c r="G38" i="6"/>
  <c r="F38" i="6"/>
  <c r="H38" i="6"/>
  <c r="B40" i="6" l="1"/>
  <c r="I40" i="6" s="1"/>
  <c r="J39" i="6"/>
  <c r="G39" i="6"/>
  <c r="F39" i="6"/>
  <c r="H39" i="6"/>
  <c r="F40" i="6" l="1"/>
  <c r="H40" i="6"/>
  <c r="J40" i="6"/>
  <c r="G40" i="6"/>
  <c r="B41" i="6"/>
  <c r="I41" i="6" s="1"/>
  <c r="B42" i="6" l="1"/>
  <c r="I42" i="6" s="1"/>
  <c r="F41" i="6"/>
  <c r="G41" i="6"/>
  <c r="J41" i="6"/>
  <c r="H41" i="6"/>
  <c r="G42" i="6" l="1"/>
  <c r="F42" i="6"/>
  <c r="H42" i="6"/>
  <c r="J42" i="6"/>
  <c r="B43" i="6"/>
  <c r="I43" i="6" s="1"/>
  <c r="F43" i="6" l="1"/>
  <c r="J43" i="6"/>
  <c r="G43" i="6"/>
  <c r="H43" i="6"/>
  <c r="B44" i="6"/>
  <c r="I44" i="6" s="1"/>
  <c r="G44" i="6" l="1"/>
  <c r="H44" i="6"/>
  <c r="J44" i="6"/>
  <c r="F44" i="6"/>
  <c r="B45" i="6"/>
  <c r="I45" i="6" s="1"/>
  <c r="B46" i="6" l="1"/>
  <c r="I46" i="6" s="1"/>
  <c r="J45" i="6"/>
  <c r="H45" i="6"/>
  <c r="F45" i="6"/>
  <c r="G45" i="6"/>
  <c r="J46" i="6" l="1"/>
  <c r="G46" i="6"/>
  <c r="F46" i="6"/>
  <c r="H46" i="6"/>
  <c r="B47" i="6"/>
  <c r="I47" i="6" s="1"/>
  <c r="B48" i="6" l="1"/>
  <c r="I48" i="6" s="1"/>
  <c r="G47" i="6"/>
  <c r="J47" i="6"/>
  <c r="F47" i="6"/>
  <c r="H47" i="6"/>
  <c r="F48" i="6" l="1"/>
  <c r="G48" i="6"/>
  <c r="J48" i="6"/>
  <c r="H48" i="6"/>
  <c r="B49" i="6"/>
  <c r="I49" i="6" s="1"/>
  <c r="B50" i="6" l="1"/>
  <c r="I50" i="6" s="1"/>
  <c r="F49" i="6"/>
  <c r="G49" i="6"/>
  <c r="J49" i="6"/>
  <c r="H49" i="6"/>
  <c r="G50" i="6" l="1"/>
  <c r="H50" i="6"/>
  <c r="J50" i="6"/>
  <c r="F50" i="6"/>
  <c r="B51" i="6"/>
  <c r="I51" i="6" s="1"/>
  <c r="B52" i="6" l="1"/>
  <c r="I52" i="6" s="1"/>
  <c r="G51" i="6"/>
  <c r="H51" i="6"/>
  <c r="J51" i="6"/>
  <c r="F51" i="6"/>
  <c r="F52" i="6" l="1"/>
  <c r="G52" i="6"/>
  <c r="H52" i="6"/>
  <c r="J52" i="6"/>
  <c r="B53" i="6"/>
  <c r="I53" i="6" s="1"/>
  <c r="G53" i="6" l="1"/>
  <c r="F53" i="6"/>
  <c r="H53" i="6"/>
  <c r="J53" i="6"/>
  <c r="B54" i="6"/>
  <c r="I54" i="6" s="1"/>
  <c r="B55" i="6" l="1"/>
  <c r="I55" i="6" s="1"/>
  <c r="J54" i="6"/>
  <c r="G54" i="6"/>
  <c r="F54" i="6"/>
  <c r="H54" i="6"/>
  <c r="B56" i="6" l="1"/>
  <c r="I56" i="6" s="1"/>
  <c r="J55" i="6"/>
  <c r="G55" i="6"/>
  <c r="F55" i="6"/>
  <c r="H55" i="6"/>
  <c r="H56" i="6" l="1"/>
  <c r="F56" i="6"/>
  <c r="G56" i="6"/>
  <c r="J56" i="6"/>
  <c r="B57" i="6"/>
  <c r="I57" i="6" s="1"/>
  <c r="B58" i="6" l="1"/>
  <c r="I58" i="6" s="1"/>
  <c r="F57" i="6"/>
  <c r="G57" i="6"/>
  <c r="J57" i="6"/>
  <c r="H57" i="6"/>
  <c r="B59" i="6" l="1"/>
  <c r="I59" i="6" s="1"/>
  <c r="J58" i="6"/>
  <c r="F58" i="6"/>
  <c r="G58" i="6"/>
  <c r="H58" i="6"/>
  <c r="F59" i="6" l="1"/>
  <c r="J59" i="6"/>
  <c r="G59" i="6"/>
  <c r="H59" i="6"/>
  <c r="B60" i="6"/>
  <c r="I60" i="6" s="1"/>
  <c r="H60" i="6" l="1"/>
  <c r="J60" i="6"/>
  <c r="G60" i="6"/>
  <c r="F60" i="6"/>
  <c r="B61" i="6"/>
  <c r="I61" i="6" s="1"/>
  <c r="B62" i="6" l="1"/>
  <c r="I62" i="6" s="1"/>
  <c r="J61" i="6"/>
  <c r="H61" i="6"/>
  <c r="F61" i="6"/>
  <c r="G61" i="6"/>
  <c r="J62" i="6" l="1"/>
  <c r="G62" i="6"/>
  <c r="F62" i="6"/>
  <c r="H62" i="6"/>
  <c r="B63" i="6"/>
  <c r="I63" i="6" s="1"/>
  <c r="G63" i="6" l="1"/>
  <c r="H63" i="6"/>
  <c r="J63" i="6"/>
  <c r="F63" i="6"/>
  <c r="B64" i="6"/>
  <c r="I64" i="6" s="1"/>
  <c r="G64" i="6" l="1"/>
  <c r="F64" i="6"/>
  <c r="H64" i="6"/>
  <c r="J64" i="6"/>
  <c r="B65" i="6"/>
  <c r="I65" i="6" s="1"/>
  <c r="B66" i="6" l="1"/>
  <c r="I66" i="6" s="1"/>
  <c r="J65" i="6"/>
  <c r="F65" i="6"/>
  <c r="H65" i="6"/>
  <c r="G65" i="6"/>
  <c r="B67" i="6" l="1"/>
  <c r="I67" i="6" s="1"/>
  <c r="J66" i="6"/>
  <c r="F66" i="6"/>
  <c r="G66" i="6"/>
  <c r="H66" i="6"/>
  <c r="H67" i="6" l="1"/>
  <c r="G67" i="6"/>
  <c r="F67" i="6"/>
  <c r="J67" i="6"/>
  <c r="B68" i="6"/>
  <c r="I68" i="6" s="1"/>
  <c r="G68" i="6" l="1"/>
  <c r="H68" i="6"/>
  <c r="J68" i="6"/>
  <c r="F68" i="6"/>
  <c r="B69" i="6"/>
  <c r="I69" i="6" s="1"/>
  <c r="B70" i="6" l="1"/>
  <c r="I70" i="6" s="1"/>
  <c r="J69" i="6"/>
  <c r="F69" i="6"/>
  <c r="H69" i="6"/>
  <c r="G69" i="6"/>
  <c r="B71" i="6" l="1"/>
  <c r="I71" i="6" s="1"/>
  <c r="J70" i="6"/>
  <c r="F70" i="6"/>
  <c r="G70" i="6"/>
  <c r="H70" i="6"/>
  <c r="B72" i="6" l="1"/>
  <c r="I72" i="6" s="1"/>
  <c r="J71" i="6"/>
  <c r="F71" i="6"/>
  <c r="G71" i="6"/>
  <c r="H71" i="6"/>
  <c r="J72" i="6" l="1"/>
  <c r="F72" i="6"/>
  <c r="H72" i="6"/>
  <c r="G72" i="6"/>
  <c r="B73" i="6"/>
  <c r="I73" i="6" s="1"/>
  <c r="F73" i="6" l="1"/>
  <c r="J73" i="6"/>
  <c r="H73" i="6"/>
  <c r="G73" i="6"/>
  <c r="B74" i="6"/>
  <c r="I74" i="6" s="1"/>
  <c r="J74" i="6" l="1"/>
  <c r="G74" i="6"/>
  <c r="F74" i="6"/>
  <c r="H74" i="6"/>
  <c r="B75" i="6"/>
  <c r="I75" i="6" s="1"/>
  <c r="B76" i="6" l="1"/>
  <c r="I76" i="6" s="1"/>
  <c r="F75" i="6"/>
  <c r="G75" i="6"/>
  <c r="H75" i="6"/>
  <c r="J75" i="6"/>
  <c r="F76" i="6" l="1"/>
  <c r="G76" i="6"/>
  <c r="H76" i="6"/>
  <c r="J76" i="6"/>
  <c r="B77" i="6"/>
  <c r="I77" i="6" s="1"/>
  <c r="B78" i="6" l="1"/>
  <c r="I78" i="6" s="1"/>
  <c r="J77" i="6"/>
  <c r="F77" i="6"/>
  <c r="G77" i="6"/>
  <c r="H77" i="6"/>
  <c r="F78" i="6" l="1"/>
  <c r="H78" i="6"/>
  <c r="G78" i="6"/>
  <c r="J78" i="6"/>
  <c r="B79" i="6"/>
  <c r="I79" i="6" s="1"/>
  <c r="B80" i="6" l="1"/>
  <c r="I80" i="6" s="1"/>
  <c r="H79" i="6"/>
  <c r="G79" i="6"/>
  <c r="F79" i="6"/>
  <c r="J79" i="6"/>
  <c r="B81" i="6" l="1"/>
  <c r="I81" i="6" s="1"/>
  <c r="J80" i="6"/>
  <c r="H80" i="6"/>
  <c r="F80" i="6"/>
  <c r="G80" i="6"/>
  <c r="J81" i="6" l="1"/>
  <c r="H81" i="6"/>
  <c r="F81" i="6"/>
  <c r="G81" i="6"/>
  <c r="B82" i="6"/>
  <c r="I82" i="6" s="1"/>
  <c r="J82" i="6" l="1"/>
  <c r="F82" i="6"/>
  <c r="H82" i="6"/>
  <c r="G82" i="6"/>
  <c r="B83" i="6"/>
  <c r="I83" i="6" s="1"/>
  <c r="B84" i="6" l="1"/>
  <c r="I84" i="6" s="1"/>
  <c r="F83" i="6"/>
  <c r="J83" i="6"/>
  <c r="G83" i="6"/>
  <c r="H83" i="6"/>
  <c r="B85" i="6" l="1"/>
  <c r="I85" i="6" s="1"/>
  <c r="F84" i="6"/>
  <c r="G84" i="6"/>
  <c r="H84" i="6"/>
  <c r="J84" i="6"/>
  <c r="B86" i="6" l="1"/>
  <c r="I86" i="6" s="1"/>
  <c r="J85" i="6"/>
  <c r="H85" i="6"/>
  <c r="G85" i="6"/>
  <c r="F85" i="6"/>
  <c r="B87" i="6" l="1"/>
  <c r="I87" i="6" s="1"/>
  <c r="H86" i="6"/>
  <c r="J86" i="6"/>
  <c r="F86" i="6"/>
  <c r="G86" i="6"/>
  <c r="G87" i="6" l="1"/>
  <c r="H87" i="6"/>
  <c r="J87" i="6"/>
  <c r="F87" i="6"/>
  <c r="B88" i="6"/>
  <c r="I88" i="6" s="1"/>
  <c r="B89" i="6" l="1"/>
  <c r="I89" i="6" s="1"/>
  <c r="G88" i="6"/>
  <c r="J88" i="6"/>
  <c r="H88" i="6"/>
  <c r="F88" i="6"/>
  <c r="F89" i="6" l="1"/>
  <c r="H89" i="6"/>
  <c r="J89" i="6"/>
  <c r="G89" i="6"/>
  <c r="B90" i="6"/>
  <c r="I90" i="6" s="1"/>
  <c r="H90" i="6" l="1"/>
  <c r="F90" i="6"/>
  <c r="G90" i="6"/>
  <c r="J90" i="6"/>
  <c r="B91" i="6"/>
  <c r="I91" i="6" s="1"/>
  <c r="H91" i="6" l="1"/>
  <c r="G91" i="6"/>
  <c r="F91" i="6"/>
  <c r="J91" i="6"/>
  <c r="B92" i="6"/>
  <c r="I92" i="6" s="1"/>
  <c r="H92" i="6" l="1"/>
  <c r="J92" i="6"/>
  <c r="G92" i="6"/>
  <c r="F92" i="6"/>
  <c r="B93" i="6"/>
  <c r="I93" i="6" s="1"/>
  <c r="J93" i="6" l="1"/>
  <c r="G93" i="6"/>
  <c r="F93" i="6"/>
  <c r="H93" i="6"/>
  <c r="B94" i="6"/>
  <c r="I94" i="6" s="1"/>
  <c r="J94" i="6" l="1"/>
  <c r="F94" i="6"/>
  <c r="H94" i="6"/>
  <c r="G94" i="6"/>
  <c r="B95" i="6"/>
  <c r="I95" i="6" s="1"/>
  <c r="G95" i="6" l="1"/>
  <c r="H95" i="6"/>
  <c r="F95" i="6"/>
  <c r="J95" i="6"/>
  <c r="B96" i="6"/>
  <c r="I96" i="6" s="1"/>
  <c r="B97" i="6" l="1"/>
  <c r="I97" i="6" s="1"/>
  <c r="J96" i="6"/>
  <c r="G96" i="6"/>
  <c r="H96" i="6"/>
  <c r="F96" i="6"/>
  <c r="J97" i="6" l="1"/>
  <c r="F97" i="6"/>
  <c r="H97" i="6"/>
  <c r="G97" i="6"/>
  <c r="B98" i="6"/>
  <c r="I98" i="6" s="1"/>
  <c r="B99" i="6" l="1"/>
  <c r="I99" i="6" s="1"/>
  <c r="J98" i="6"/>
  <c r="G98" i="6"/>
  <c r="H98" i="6"/>
  <c r="F98" i="6"/>
  <c r="B100" i="6" l="1"/>
  <c r="I100" i="6" s="1"/>
  <c r="F99" i="6"/>
  <c r="H99" i="6"/>
  <c r="G99" i="6"/>
  <c r="J99" i="6"/>
  <c r="B101" i="6" l="1"/>
  <c r="I101" i="6" s="1"/>
  <c r="J100" i="6"/>
  <c r="F100" i="6"/>
  <c r="G100" i="6"/>
  <c r="H100" i="6"/>
  <c r="B102" i="6" l="1"/>
  <c r="I102" i="6" s="1"/>
  <c r="J101" i="6"/>
  <c r="H101" i="6"/>
  <c r="G101" i="6"/>
  <c r="F101" i="6"/>
  <c r="G102" i="6" l="1"/>
  <c r="H102" i="6"/>
  <c r="J102" i="6"/>
  <c r="F102" i="6"/>
  <c r="B103" i="6"/>
  <c r="I103" i="6" s="1"/>
  <c r="B104" i="6" l="1"/>
  <c r="I104" i="6" s="1"/>
  <c r="J103" i="6"/>
  <c r="F103" i="6"/>
  <c r="G103" i="6"/>
  <c r="H103" i="6"/>
  <c r="F104" i="6" l="1"/>
  <c r="G104" i="6"/>
  <c r="H104" i="6"/>
  <c r="J104" i="6"/>
  <c r="B105" i="6"/>
  <c r="I105" i="6" s="1"/>
  <c r="F105" i="6" l="1"/>
  <c r="H105" i="6"/>
  <c r="G105" i="6"/>
  <c r="J105" i="6"/>
  <c r="B106" i="6"/>
  <c r="I106" i="6" s="1"/>
  <c r="J106" i="6" l="1"/>
  <c r="H106" i="6"/>
  <c r="F106" i="6"/>
  <c r="G106" i="6"/>
  <c r="B107" i="6"/>
  <c r="I107" i="6" s="1"/>
  <c r="F107" i="6" l="1"/>
  <c r="H107" i="6"/>
  <c r="G107" i="6"/>
  <c r="J107" i="6"/>
  <c r="B108" i="6"/>
  <c r="I108" i="6" s="1"/>
  <c r="F108" i="6" l="1"/>
  <c r="H108" i="6"/>
  <c r="G108" i="6"/>
  <c r="J108" i="6"/>
  <c r="B109" i="6"/>
  <c r="I109" i="6" s="1"/>
  <c r="J109" i="6" l="1"/>
  <c r="F109" i="6"/>
  <c r="G109" i="6"/>
  <c r="H109" i="6"/>
  <c r="B110" i="6"/>
  <c r="I110" i="6" s="1"/>
  <c r="G110" i="6" l="1"/>
  <c r="H110" i="6"/>
  <c r="J110" i="6"/>
  <c r="F110" i="6"/>
  <c r="B111" i="6"/>
  <c r="I111" i="6" s="1"/>
  <c r="B112" i="6" l="1"/>
  <c r="I112" i="6" s="1"/>
  <c r="H111" i="6"/>
  <c r="G111" i="6"/>
  <c r="J111" i="6"/>
  <c r="F111" i="6"/>
  <c r="B113" i="6" l="1"/>
  <c r="I113" i="6" s="1"/>
  <c r="J112" i="6"/>
  <c r="G112" i="6"/>
  <c r="H112" i="6"/>
  <c r="F112" i="6"/>
  <c r="H113" i="6" l="1"/>
  <c r="F113" i="6"/>
  <c r="G113" i="6"/>
  <c r="J113" i="6"/>
  <c r="B114" i="6"/>
  <c r="I114" i="6" s="1"/>
  <c r="F114" i="6" l="1"/>
  <c r="H114" i="6"/>
  <c r="J114" i="6"/>
  <c r="G114" i="6"/>
  <c r="B115" i="6"/>
  <c r="I115" i="6" s="1"/>
  <c r="F115" i="6" l="1"/>
  <c r="G115" i="6"/>
  <c r="J115" i="6"/>
  <c r="H115" i="6"/>
  <c r="B116" i="6"/>
  <c r="I116" i="6" s="1"/>
  <c r="B117" i="6" l="1"/>
  <c r="I117" i="6" s="1"/>
  <c r="H116" i="6"/>
  <c r="J116" i="6"/>
  <c r="F116" i="6"/>
  <c r="G116" i="6"/>
  <c r="B118" i="6" l="1"/>
  <c r="I118" i="6" s="1"/>
  <c r="J117" i="6"/>
  <c r="H117" i="6"/>
  <c r="G117" i="6"/>
  <c r="F117" i="6"/>
  <c r="B120" i="6" l="1"/>
  <c r="I120" i="6" s="1"/>
  <c r="B119" i="6"/>
  <c r="I119" i="6" s="1"/>
  <c r="F118" i="6"/>
  <c r="G118" i="6"/>
  <c r="H118" i="6"/>
  <c r="J118" i="6"/>
  <c r="G119" i="6" l="1"/>
  <c r="H119" i="6"/>
  <c r="J119" i="6"/>
  <c r="F119" i="6"/>
  <c r="J120" i="6"/>
  <c r="F120" i="6"/>
  <c r="G120" i="6"/>
  <c r="H120" i="6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<sst xmlns="http://schemas.openxmlformats.org/spreadsheetml/2006/main" count="2638" uniqueCount="953">
  <si>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</si>
  <si>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</si>
  <si>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</si>
  <si>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</si>
  <si>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</si>
  <si>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</si>
  <si>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</si>
  <si>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</si>
  <si>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</si>
  <si>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</si>
  <si>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</si>
  <si>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</si>
  <si>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</si>
  <si>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</si>
  <si>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</si>
  <si>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</si>
  <si>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</si>
  <si>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</si>
  <si>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</si>
  <si>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</si>
  <si>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</si>
  <si>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</si>
  <si>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</si>
  <si>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</si>
  <si>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</si>
  <si>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</si>
  <si>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</si>
  <si>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</si>
  <si>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</si>
  <si>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</si>
  <si>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</si>
  <si>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</si>
  <si>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</si>
  <si>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</si>
  <si>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</si>
  <si>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</si>
  <si>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</si>
  <si>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</si>
  <si>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</si>
  <si>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</si>
  <si>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</si>
  <si>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</si>
  <si>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</si>
  <si>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</si>
  <si>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</si>
  <si>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</si>
  <si>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</si>
  <si>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</si>
  <si>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</si>
  <si>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</si>
  <si>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</si>
  <si>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</si>
  <si>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</si>
  <si>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</si>
  <si>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</si>
  <si>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</si>
  <si>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</si>
  <si>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</si>
  <si>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</si>
  <si>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</si>
  <si>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</si>
  <si>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</si>
  <si>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</si>
  <si>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</si>
  <si>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</si>
  <si>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</si>
  <si>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</si>
  <si>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</si>
  <si>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</si>
  <si>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</si>
  <si>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</si>
  <si>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</si>
  <si>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</si>
  <si>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</si>
  <si>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</si>
  <si>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</si>
  <si>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</si>
  <si>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</si>
  <si>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</si>
  <si>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</si>
  <si>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</si>
  <si>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</si>
  <si>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</si>
  <si>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</si>
  <si>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</si>
  <si>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</si>
  <si>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</si>
  <si>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</si>
  <si>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</si>
  <si>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</si>
  <si>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</si>
  <si>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</si>
  <si>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</si>
  <si>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</si>
  <si>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</si>
  <si>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</si>
  <si>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</si>
  <si>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</si>
  <si>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</si>
  <si>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</si>
  <si>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</si>
  <si>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</si>
  <si>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</si>
  <si>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</si>
  <si>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</si>
  <si>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</si>
  <si>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</si>
  <si>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</si>
  <si>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</si>
  <si>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</si>
  <si>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</si>
  <si>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</si>
  <si>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</si>
  <si>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</si>
  <si>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</si>
  <si>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</si>
  <si>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</si>
  <si>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</si>
  <si>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</si>
  <si>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</si>
  <si>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</si>
  <si>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</si>
  <si>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</si>
  <si>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</si>
  <si>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</si>
  <si>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</si>
  <si>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</si>
  <si>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</si>
  <si>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</si>
  <si>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</si>
  <si>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</si>
  <si>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</si>
  <si>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</si>
  <si>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</si>
  <si>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</si>
  <si>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</si>
  <si>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</si>
  <si>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</si>
  <si>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</si>
  <si>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</si>
  <si>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</si>
  <si>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</si>
  <si>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</si>
  <si>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</si>
  <si>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</si>
  <si>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</si>
  <si>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</si>
  <si>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</si>
  <si>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</si>
  <si>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</si>
  <si>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</si>
  <si>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</si>
  <si>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</si>
  <si>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</si>
  <si>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</si>
  <si>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</si>
  <si>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</si>
  <si>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</si>
  <si>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</si>
  <si>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</si>
  <si>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</si>
  <si>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</si>
  <si>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</si>
  <si>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</si>
  <si>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</si>
  <si>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</si>
  <si>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</si>
  <si>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</si>
  <si>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</si>
  <si>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</si>
  <si>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</si>
  <si>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</si>
  <si>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</si>
  <si>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</si>
  <si>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</si>
  <si>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</si>
  <si>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</si>
  <si>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</si>
  <si>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s3://rtdc.mdm.uploadarchive.raw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</si>
  <si>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</si>
  <si>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</si>
  <si>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</si>
  <si>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</si>
  <si>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</si>
  <si>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</si>
  <si>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N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</si>
  <si>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</si>
  <si>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</si>
  <si>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</si>
  <si>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</si>
  <si>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</si>
  <si>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</si>
  <si>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rtdc.l.rtdc.4011:itc</t>
  </si>
  <si>
    <t>DE.1.0.8.0</t>
  </si>
  <si>
    <t>Human Factors</t>
  </si>
  <si>
    <t>rtdc.l.rtdc.4012:itc</t>
  </si>
  <si>
    <t>204:150</t>
  </si>
  <si>
    <t>rtdc.l.rtdc.4038:itc</t>
  </si>
  <si>
    <t>CLI Grep2 (for slice disagreement)</t>
  </si>
  <si>
    <t>204:145</t>
  </si>
  <si>
    <t>GRADE CROSSING</t>
  </si>
  <si>
    <t>Bulletin (2)</t>
  </si>
  <si>
    <t>JAMES</t>
  </si>
  <si>
    <t>Last + First</t>
  </si>
  <si>
    <t>Employee First Name</t>
  </si>
  <si>
    <t>204:147</t>
  </si>
  <si>
    <t>MICHAEL</t>
  </si>
  <si>
    <t>204:160</t>
  </si>
  <si>
    <t>204:462</t>
  </si>
  <si>
    <t>NEWELL</t>
  </si>
  <si>
    <t>204:449</t>
  </si>
  <si>
    <t>204:152</t>
  </si>
  <si>
    <t>204:158</t>
  </si>
  <si>
    <t>rtdc.l.rtdc.4030:itc</t>
  </si>
  <si>
    <t>AWS CP Parallel</t>
  </si>
  <si>
    <t>DownloadS3Logs</t>
  </si>
  <si>
    <t>%USERPROFILE%\Documents\GitHub\eaglep3\Utilities\DownloadLogsFromS3.py</t>
  </si>
  <si>
    <t>:.+((SYSTEM_STATE.+slice.+state.+changed )|(ment ac)|(multiple cpu faults)|(system.+state.+changed )|(\[timeout)|(PRM\|1\|D)|(kpr)|(kdp)|(\|lc)|(penalty))</t>
  </si>
  <si>
    <t>PERMANENT SPEED RESTRICTION</t>
  </si>
  <si>
    <t>Speed (6)</t>
  </si>
  <si>
    <t>Y</t>
  </si>
  <si>
    <t>204:469</t>
  </si>
  <si>
    <t>204:233299</t>
  </si>
  <si>
    <t>rtdc.l.rtdc.4026:itc</t>
  </si>
  <si>
    <t>204:154</t>
  </si>
  <si>
    <t>204:458</t>
  </si>
  <si>
    <t>HILLS</t>
  </si>
  <si>
    <t>DUSTIN</t>
  </si>
  <si>
    <t>rtdc.l.rtdc.4046:itc</t>
  </si>
  <si>
    <t>rtdc.l.rtdc.4045:itc</t>
  </si>
  <si>
    <t>Uncaught Wi-MAX GREP</t>
  </si>
  <si>
    <t>rtdc.l.rtdc.4028:itc</t>
  </si>
  <si>
    <t>rtdc.l.rtdc.4027:itc</t>
  </si>
  <si>
    <t>MCREYNOLDS</t>
  </si>
  <si>
    <t>KYLE</t>
  </si>
  <si>
    <t>204:143</t>
  </si>
  <si>
    <t>rtdc.l.rtdc.4015:itc</t>
  </si>
  <si>
    <t>rtdc.l.rtdc.4029:itc</t>
  </si>
  <si>
    <t>204:451</t>
  </si>
  <si>
    <t>204:457</t>
  </si>
  <si>
    <t>STORY</t>
  </si>
  <si>
    <t>SAMANTHA</t>
  </si>
  <si>
    <t>204:460</t>
  </si>
  <si>
    <t>rtdc.l.rtdc.4007:itc</t>
  </si>
  <si>
    <t>BROWN</t>
  </si>
  <si>
    <t>JACOB</t>
  </si>
  <si>
    <t>rtdc.l.rtdc.4025:itc</t>
  </si>
  <si>
    <t>78-18</t>
  </si>
  <si>
    <t>NELSON</t>
  </si>
  <si>
    <t>ARIANE</t>
  </si>
  <si>
    <t>80-18</t>
  </si>
  <si>
    <t>81-18</t>
  </si>
  <si>
    <t>77-18</t>
  </si>
  <si>
    <t>rtdc.l.rtdc.4054:itc</t>
  </si>
  <si>
    <t>85-18</t>
  </si>
  <si>
    <t>COMELLA</t>
  </si>
  <si>
    <t>JUSTIN</t>
  </si>
  <si>
    <t>86-18</t>
  </si>
  <si>
    <t>rtdc.l.rtdc.4053:itc</t>
  </si>
  <si>
    <t>244-18</t>
  </si>
  <si>
    <t>313-18</t>
  </si>
  <si>
    <t>315-18</t>
  </si>
  <si>
    <t>rtdc.l.rtdc.4043:itc</t>
  </si>
  <si>
    <t>STAMBAUGH</t>
  </si>
  <si>
    <t>244-20</t>
  </si>
  <si>
    <t>311-20</t>
  </si>
  <si>
    <t>313-20</t>
  </si>
  <si>
    <t>302-21</t>
  </si>
  <si>
    <t>SANTIZO</t>
  </si>
  <si>
    <t>D. EDY</t>
  </si>
  <si>
    <t>partly-cloudy-night</t>
  </si>
  <si>
    <t>partly-cloudy-day</t>
  </si>
  <si>
    <t>Partly Cloudy</t>
  </si>
  <si>
    <t>204:453</t>
  </si>
  <si>
    <t>204:471</t>
  </si>
  <si>
    <t>rtdc.l.rtdc.4003:itc</t>
  </si>
  <si>
    <t>rtdc.l.rtdc.4004:itc</t>
  </si>
  <si>
    <t>CHANDLER</t>
  </si>
  <si>
    <t>KELVIN</t>
  </si>
  <si>
    <t>rtdc.l.rtdc.4041:itc</t>
  </si>
  <si>
    <t>rtdc.l.rtdc.4042:itc</t>
  </si>
  <si>
    <t>204:232982</t>
  </si>
  <si>
    <t>204:233301</t>
  </si>
  <si>
    <t>204:232994</t>
  </si>
  <si>
    <t>204:467</t>
  </si>
  <si>
    <t>204:233307</t>
  </si>
  <si>
    <t>204:156</t>
  </si>
  <si>
    <t>204:446</t>
  </si>
  <si>
    <t>204:455</t>
  </si>
  <si>
    <t>rtdc.l.rtdc.4051:itc</t>
  </si>
  <si>
    <t>rtdc.l.rtdc.4052:itc</t>
  </si>
  <si>
    <t>241-26</t>
  </si>
  <si>
    <t>242-26</t>
  </si>
  <si>
    <t>239-26</t>
  </si>
  <si>
    <t>238-26</t>
  </si>
  <si>
    <t>243-26</t>
  </si>
  <si>
    <t>240-26</t>
  </si>
  <si>
    <t>309-26</t>
  </si>
  <si>
    <t>311-26</t>
  </si>
  <si>
    <t>244-26</t>
  </si>
  <si>
    <t>313-26</t>
  </si>
  <si>
    <t>315-26</t>
  </si>
  <si>
    <t>204:233308</t>
  </si>
  <si>
    <t>204:139</t>
  </si>
  <si>
    <t>204:232998</t>
  </si>
  <si>
    <t>204:232979</t>
  </si>
  <si>
    <t>204:437</t>
  </si>
  <si>
    <t>204:233278</t>
  </si>
  <si>
    <t>204:233304</t>
  </si>
  <si>
    <t>204:232976</t>
  </si>
  <si>
    <t>rtdc.l.rtdc.4016:itc</t>
  </si>
  <si>
    <t>Mostly Cloudy</t>
  </si>
  <si>
    <t>204:447</t>
  </si>
  <si>
    <t>204:232993</t>
  </si>
  <si>
    <t>204:233317</t>
  </si>
  <si>
    <t>204:233291</t>
  </si>
  <si>
    <t>rtdc.l.rtdc.4009:itc</t>
  </si>
  <si>
    <t>204:232977</t>
  </si>
  <si>
    <t>204:138</t>
  </si>
  <si>
    <t>204:167</t>
  </si>
  <si>
    <t>204:233309</t>
  </si>
  <si>
    <t>204:233303</t>
  </si>
  <si>
    <t>204:232985</t>
  </si>
  <si>
    <t>300:23346</t>
  </si>
  <si>
    <t>300:58624</t>
  </si>
  <si>
    <t>rtdc.l.rtdc.4055:itc</t>
  </si>
  <si>
    <t>rtdc.l.rtdc.4057:itc</t>
  </si>
  <si>
    <t>311-01</t>
  </si>
  <si>
    <t>313-01</t>
  </si>
  <si>
    <t>315-01</t>
  </si>
  <si>
    <t>204:232978</t>
  </si>
  <si>
    <t>204:233302</t>
  </si>
  <si>
    <t>204:232991</t>
  </si>
  <si>
    <t>204:233293</t>
  </si>
  <si>
    <t>204:442</t>
  </si>
  <si>
    <t>204:233289</t>
  </si>
  <si>
    <t>rtdc.l.rtdc.4019:itc</t>
  </si>
  <si>
    <t>SOUTH57-02</t>
  </si>
  <si>
    <t>SMITH</t>
  </si>
  <si>
    <t>MACDONALD</t>
  </si>
  <si>
    <t>THOMAS</t>
  </si>
  <si>
    <t>SIMMONS</t>
  </si>
  <si>
    <t>SHYHESHA</t>
  </si>
  <si>
    <t>NORTH55-02</t>
  </si>
  <si>
    <t>311-02</t>
  </si>
  <si>
    <t>244-02</t>
  </si>
  <si>
    <t>313-02</t>
  </si>
  <si>
    <t>315-02</t>
  </si>
  <si>
    <t>204:233334</t>
  </si>
  <si>
    <t>204:233310</t>
  </si>
  <si>
    <t>204:464</t>
  </si>
  <si>
    <t>204:233315</t>
  </si>
  <si>
    <t>204:165</t>
  </si>
  <si>
    <t>204:169</t>
  </si>
  <si>
    <t>204:466</t>
  </si>
  <si>
    <t>204:233300</t>
  </si>
  <si>
    <t>204:435</t>
  </si>
  <si>
    <t>204:478</t>
  </si>
  <si>
    <t>204:232971</t>
  </si>
  <si>
    <t>rtdc.l.rtdc.4031:itc</t>
  </si>
  <si>
    <t>SAFIEF</t>
  </si>
  <si>
    <t>AEIMEN</t>
  </si>
  <si>
    <t>rtdc.l.rtdc.4040:itc</t>
  </si>
  <si>
    <t>rtdc.l.rtdc.4037:itc</t>
  </si>
  <si>
    <t>DAVIS</t>
  </si>
  <si>
    <t>WENDY</t>
  </si>
  <si>
    <t>BERLING</t>
  </si>
  <si>
    <t>GARY</t>
  </si>
  <si>
    <t>rtdc.l.rtdc.4032:itc</t>
  </si>
  <si>
    <t>rtdc.l.rtdc.4039:itc</t>
  </si>
  <si>
    <t>ROMERO</t>
  </si>
  <si>
    <t>CHAD</t>
  </si>
  <si>
    <t>STEWART</t>
  </si>
  <si>
    <t>LEVIN</t>
  </si>
  <si>
    <t>SCOTT</t>
  </si>
  <si>
    <t>204:233297</t>
  </si>
  <si>
    <t>204:161</t>
  </si>
  <si>
    <t>204:233013</t>
  </si>
  <si>
    <t>204:233320</t>
  </si>
  <si>
    <t>204:233001</t>
  </si>
  <si>
    <t>204:163</t>
  </si>
  <si>
    <t>204:233336</t>
  </si>
  <si>
    <t>204:132</t>
  </si>
  <si>
    <t>300:58928</t>
  </si>
  <si>
    <t>300:58615</t>
  </si>
  <si>
    <t>300:58929</t>
  </si>
  <si>
    <t>300:58941</t>
  </si>
  <si>
    <t>204:726</t>
  </si>
  <si>
    <t>300:58638</t>
  </si>
  <si>
    <t>204:233319</t>
  </si>
  <si>
    <t>204:233295</t>
  </si>
  <si>
    <t>204:232989</t>
  </si>
  <si>
    <t>204:233305</t>
  </si>
  <si>
    <t>300:23306</t>
  </si>
  <si>
    <t>Cancelled due to Form C violation on previous run</t>
  </si>
  <si>
    <t>rtdc.l.rtdc.4020:itc</t>
  </si>
  <si>
    <t>YANAI</t>
  </si>
  <si>
    <t>IAN</t>
  </si>
  <si>
    <t>STARKS</t>
  </si>
  <si>
    <t>ANGELINA</t>
  </si>
  <si>
    <t>ROCHA</t>
  </si>
  <si>
    <t>YAOTL</t>
  </si>
  <si>
    <t>SPECTOR</t>
  </si>
  <si>
    <t>MOSES</t>
  </si>
  <si>
    <t>BRADLEY</t>
  </si>
  <si>
    <t>CLARK</t>
  </si>
  <si>
    <t>KATHLEEN</t>
  </si>
  <si>
    <t>LEVERE</t>
  </si>
  <si>
    <t>CRAIG</t>
  </si>
  <si>
    <t>rtdc.l.rtdc.4044:itc</t>
  </si>
  <si>
    <t>59-06</t>
  </si>
  <si>
    <t>242-06</t>
  </si>
  <si>
    <t>309-06</t>
  </si>
  <si>
    <t>244-06</t>
  </si>
  <si>
    <t>60-06</t>
  </si>
  <si>
    <t>311-06</t>
  </si>
  <si>
    <t>313-06</t>
  </si>
  <si>
    <t>204:233361</t>
  </si>
  <si>
    <t>204:141</t>
  </si>
  <si>
    <t>204:233010</t>
  </si>
  <si>
    <t>204:233284</t>
  </si>
  <si>
    <t>204:232967</t>
  </si>
  <si>
    <t>204:735</t>
  </si>
  <si>
    <t>204:232987</t>
  </si>
  <si>
    <t>204:194</t>
  </si>
  <si>
    <t>204:130</t>
  </si>
  <si>
    <t>204:233286</t>
  </si>
  <si>
    <t>204:482</t>
  </si>
  <si>
    <t>204:473</t>
  </si>
  <si>
    <t>204:232973</t>
  </si>
  <si>
    <t>204:233287</t>
  </si>
  <si>
    <t>204:232983</t>
  </si>
  <si>
    <t>204:232990</t>
  </si>
  <si>
    <t>204:233321</t>
  </si>
  <si>
    <t>204:233019</t>
  </si>
  <si>
    <t>204:486</t>
  </si>
  <si>
    <t>204:233298</t>
  </si>
  <si>
    <t>204:480</t>
  </si>
  <si>
    <t>DE.1.0.9.0</t>
  </si>
  <si>
    <t>204:392</t>
  </si>
  <si>
    <t>300:25090</t>
  </si>
  <si>
    <t>300:25294</t>
  </si>
  <si>
    <t>300:24733</t>
  </si>
  <si>
    <t>204:95</t>
  </si>
  <si>
    <t>300:24767</t>
  </si>
  <si>
    <t>204:153</t>
  </si>
  <si>
    <t>204:650</t>
  </si>
  <si>
    <t>204:946</t>
  </si>
  <si>
    <t>204:967</t>
  </si>
  <si>
    <t>204:957</t>
  </si>
  <si>
    <t>300:59005</t>
  </si>
  <si>
    <t>300:58698</t>
  </si>
  <si>
    <t>204:953</t>
  </si>
  <si>
    <t>300:58963</t>
  </si>
  <si>
    <t>204:974</t>
  </si>
  <si>
    <t>300:58948</t>
  </si>
  <si>
    <t>204:682</t>
  </si>
  <si>
    <t>300:58956</t>
  </si>
  <si>
    <t>300:58931</t>
  </si>
  <si>
    <t>300:58619</t>
  </si>
  <si>
    <t>300:58608</t>
  </si>
  <si>
    <t>start /low /b %USERPROFILE%\Documents\GitHub\eaglep3\Utilities\DownloadLogsFromS3.py --loco 4011 --day 2017-02-07</t>
  </si>
  <si>
    <t>Early arrival</t>
  </si>
  <si>
    <t>Banner w/o braking</t>
  </si>
  <si>
    <t>901-07</t>
  </si>
  <si>
    <t>109-07</t>
  </si>
  <si>
    <t>804-07</t>
  </si>
  <si>
    <t>124-07</t>
  </si>
  <si>
    <t>135-07</t>
  </si>
  <si>
    <t>143-07</t>
  </si>
  <si>
    <t>145-07</t>
  </si>
  <si>
    <t>155-07</t>
  </si>
  <si>
    <t>817-07</t>
  </si>
  <si>
    <t>156-07</t>
  </si>
  <si>
    <t>171-07</t>
  </si>
  <si>
    <t>UNKNOWN</t>
  </si>
  <si>
    <t>175-07</t>
  </si>
  <si>
    <t>rtdc.l.rtdc.4001:itc</t>
  </si>
  <si>
    <t>182-07</t>
  </si>
  <si>
    <t>904-07</t>
  </si>
  <si>
    <t>826-07</t>
  </si>
  <si>
    <t>827-07</t>
  </si>
  <si>
    <t>828-07</t>
  </si>
  <si>
    <t>830-07</t>
  </si>
  <si>
    <t>831-07</t>
  </si>
  <si>
    <t>832-07</t>
  </si>
  <si>
    <t>211-07</t>
  </si>
  <si>
    <t>54-07</t>
  </si>
  <si>
    <t>215-07</t>
  </si>
  <si>
    <t>208-07</t>
  </si>
  <si>
    <t>212-07</t>
  </si>
  <si>
    <t>839-07</t>
  </si>
  <si>
    <t>218-07</t>
  </si>
  <si>
    <t>840-07</t>
  </si>
  <si>
    <t>847-07</t>
  </si>
  <si>
    <t>244-07</t>
  </si>
  <si>
    <t>302-07</t>
  </si>
  <si>
    <t>OUN</t>
  </si>
  <si>
    <t>ZACK</t>
  </si>
  <si>
    <t>101-07</t>
  </si>
  <si>
    <t>304-07</t>
  </si>
  <si>
    <t>MAELZER</t>
  </si>
  <si>
    <t>KURT</t>
  </si>
  <si>
    <t>103-07</t>
  </si>
  <si>
    <t>306-07</t>
  </si>
  <si>
    <t>105-07</t>
  </si>
  <si>
    <t>102-07</t>
  </si>
  <si>
    <t>107-07</t>
  </si>
  <si>
    <t>BONDS</t>
  </si>
  <si>
    <t>REYNALDO</t>
  </si>
  <si>
    <t>104-07</t>
  </si>
  <si>
    <t>BEAM</t>
  </si>
  <si>
    <t>ROSS</t>
  </si>
  <si>
    <t>111-07</t>
  </si>
  <si>
    <t>LOZA</t>
  </si>
  <si>
    <t>FIDEL</t>
  </si>
  <si>
    <t>800-07</t>
  </si>
  <si>
    <t>106-07</t>
  </si>
  <si>
    <t>113-07</t>
  </si>
  <si>
    <t>108-07</t>
  </si>
  <si>
    <t>117-07</t>
  </si>
  <si>
    <t>115-07</t>
  </si>
  <si>
    <t>110-07</t>
  </si>
  <si>
    <t>801-07</t>
  </si>
  <si>
    <t>112-07</t>
  </si>
  <si>
    <t>119-07</t>
  </si>
  <si>
    <t>114-07</t>
  </si>
  <si>
    <t>902-07</t>
  </si>
  <si>
    <t>802-07</t>
  </si>
  <si>
    <t>121-07</t>
  </si>
  <si>
    <t>803-07</t>
  </si>
  <si>
    <t>116-07</t>
  </si>
  <si>
    <t>123-07</t>
  </si>
  <si>
    <t>118-07</t>
  </si>
  <si>
    <t>120-07</t>
  </si>
  <si>
    <t>rtdc.l.rtdc.4002:itc</t>
  </si>
  <si>
    <t>125-07</t>
  </si>
  <si>
    <t>805-07</t>
  </si>
  <si>
    <t>127-07</t>
  </si>
  <si>
    <t>806-07</t>
  </si>
  <si>
    <t>122-07</t>
  </si>
  <si>
    <t>129-07</t>
  </si>
  <si>
    <t>807-07</t>
  </si>
  <si>
    <t>131-07</t>
  </si>
  <si>
    <t>808-07</t>
  </si>
  <si>
    <t>59-07</t>
  </si>
  <si>
    <t>126-07</t>
  </si>
  <si>
    <t>133-07</t>
  </si>
  <si>
    <t>809-07</t>
  </si>
  <si>
    <t>128-07</t>
  </si>
  <si>
    <t>810-07</t>
  </si>
  <si>
    <t>137-07</t>
  </si>
  <si>
    <t>130-07</t>
  </si>
  <si>
    <t>52-07</t>
  </si>
  <si>
    <t>811-07</t>
  </si>
  <si>
    <t>132-07</t>
  </si>
  <si>
    <t>139-07</t>
  </si>
  <si>
    <t>903-07</t>
  </si>
  <si>
    <t>812-07</t>
  </si>
  <si>
    <t>141-07</t>
  </si>
  <si>
    <t>134-07</t>
  </si>
  <si>
    <t>136-07</t>
  </si>
  <si>
    <t>138-07</t>
  </si>
  <si>
    <t>813-07</t>
  </si>
  <si>
    <t>140-07</t>
  </si>
  <si>
    <t>147-07</t>
  </si>
  <si>
    <t>142-07</t>
  </si>
  <si>
    <t>814-07</t>
  </si>
  <si>
    <t>149-07</t>
  </si>
  <si>
    <t>144-07</t>
  </si>
  <si>
    <t>151-07</t>
  </si>
  <si>
    <t>146-07</t>
  </si>
  <si>
    <t>153-07</t>
  </si>
  <si>
    <t>815-07</t>
  </si>
  <si>
    <t>148-07</t>
  </si>
  <si>
    <t>150-07</t>
  </si>
  <si>
    <t>816-07</t>
  </si>
  <si>
    <t>157-07</t>
  </si>
  <si>
    <t>152-07</t>
  </si>
  <si>
    <t>159-07</t>
  </si>
  <si>
    <t>154-07</t>
  </si>
  <si>
    <t>161-07</t>
  </si>
  <si>
    <t>163-07</t>
  </si>
  <si>
    <t>818-07</t>
  </si>
  <si>
    <t>158-07</t>
  </si>
  <si>
    <t>165-07</t>
  </si>
  <si>
    <t>167-07</t>
  </si>
  <si>
    <t>160-07</t>
  </si>
  <si>
    <t>162-07</t>
  </si>
  <si>
    <t>169-07</t>
  </si>
  <si>
    <t>819-07</t>
  </si>
  <si>
    <t>164-07</t>
  </si>
  <si>
    <t>166-07</t>
  </si>
  <si>
    <t>HOLCOMB</t>
  </si>
  <si>
    <t>KAMDEN</t>
  </si>
  <si>
    <t>820-07</t>
  </si>
  <si>
    <t>173-07</t>
  </si>
  <si>
    <t>168-07</t>
  </si>
  <si>
    <t>170-07</t>
  </si>
  <si>
    <t>177-07</t>
  </si>
  <si>
    <t>821-07</t>
  </si>
  <si>
    <t>172-07</t>
  </si>
  <si>
    <t>179-07</t>
  </si>
  <si>
    <t>822-07</t>
  </si>
  <si>
    <t>181-07</t>
  </si>
  <si>
    <t>174-07</t>
  </si>
  <si>
    <t>176-07</t>
  </si>
  <si>
    <t>183-07</t>
  </si>
  <si>
    <t>178-07</t>
  </si>
  <si>
    <t>185-07</t>
  </si>
  <si>
    <t>BRANNON</t>
  </si>
  <si>
    <t>JEFFREY</t>
  </si>
  <si>
    <t>823-07</t>
  </si>
  <si>
    <t>180-07</t>
  </si>
  <si>
    <t>187-07</t>
  </si>
  <si>
    <t>824-07</t>
  </si>
  <si>
    <t>189-07</t>
  </si>
  <si>
    <t>184-07</t>
  </si>
  <si>
    <t>191-07</t>
  </si>
  <si>
    <t>186-07</t>
  </si>
  <si>
    <t>193-07</t>
  </si>
  <si>
    <t>825-07</t>
  </si>
  <si>
    <t>188-07</t>
  </si>
  <si>
    <t>195-07</t>
  </si>
  <si>
    <t>190-07</t>
  </si>
  <si>
    <t>197-07</t>
  </si>
  <si>
    <t>192-07</t>
  </si>
  <si>
    <t>199-07</t>
  </si>
  <si>
    <t>194-07</t>
  </si>
  <si>
    <t>829-07</t>
  </si>
  <si>
    <t>201-07</t>
  </si>
  <si>
    <t>196-07</t>
  </si>
  <si>
    <t>198-07</t>
  </si>
  <si>
    <t>203-07</t>
  </si>
  <si>
    <t>200-07</t>
  </si>
  <si>
    <t>205-07</t>
  </si>
  <si>
    <t>207-07</t>
  </si>
  <si>
    <t>202-07</t>
  </si>
  <si>
    <t>209-07</t>
  </si>
  <si>
    <t>833-07</t>
  </si>
  <si>
    <t>204-07</t>
  </si>
  <si>
    <t>65-07</t>
  </si>
  <si>
    <t>STRICKLAND</t>
  </si>
  <si>
    <t>EVAN</t>
  </si>
  <si>
    <t>835-07</t>
  </si>
  <si>
    <t>206-07</t>
  </si>
  <si>
    <t>834-07</t>
  </si>
  <si>
    <t>213-07</t>
  </si>
  <si>
    <t>210-07</t>
  </si>
  <si>
    <t>836-07</t>
  </si>
  <si>
    <t>837-07</t>
  </si>
  <si>
    <t>217-07</t>
  </si>
  <si>
    <t>219-07</t>
  </si>
  <si>
    <t>56-07</t>
  </si>
  <si>
    <t>DUNCAN</t>
  </si>
  <si>
    <t>SHEILA</t>
  </si>
  <si>
    <t>214-07</t>
  </si>
  <si>
    <t>51-07</t>
  </si>
  <si>
    <t>838-07</t>
  </si>
  <si>
    <t>303-07</t>
  </si>
  <si>
    <t>216-07</t>
  </si>
  <si>
    <t>221-07</t>
  </si>
  <si>
    <t>906-07</t>
  </si>
  <si>
    <t>220-07</t>
  </si>
  <si>
    <t>305-07</t>
  </si>
  <si>
    <t>841-07</t>
  </si>
  <si>
    <t>223-07</t>
  </si>
  <si>
    <t>307-07</t>
  </si>
  <si>
    <t>222-07</t>
  </si>
  <si>
    <t>225-07</t>
  </si>
  <si>
    <t>227-07</t>
  </si>
  <si>
    <t>224-07</t>
  </si>
  <si>
    <t>843-07</t>
  </si>
  <si>
    <t>842-07</t>
  </si>
  <si>
    <t>226-07</t>
  </si>
  <si>
    <t>229-07</t>
  </si>
  <si>
    <t>845-07</t>
  </si>
  <si>
    <t>231-07</t>
  </si>
  <si>
    <t>228-07</t>
  </si>
  <si>
    <t>844-07</t>
  </si>
  <si>
    <t>233-07</t>
  </si>
  <si>
    <t>230-07</t>
  </si>
  <si>
    <t>235-07</t>
  </si>
  <si>
    <t>232-07</t>
  </si>
  <si>
    <t>908-07</t>
  </si>
  <si>
    <t>234-07</t>
  </si>
  <si>
    <t>237-07</t>
  </si>
  <si>
    <t>239-07</t>
  </si>
  <si>
    <t>236-07</t>
  </si>
  <si>
    <t>238-07</t>
  </si>
  <si>
    <t>241-07</t>
  </si>
  <si>
    <t>243-07</t>
  </si>
  <si>
    <t>240-07</t>
  </si>
  <si>
    <t>242-07</t>
  </si>
  <si>
    <t>315-07</t>
  </si>
  <si>
    <t>309-07</t>
  </si>
  <si>
    <t>precipType</t>
  </si>
  <si>
    <t>rain</t>
  </si>
  <si>
    <t>Drizzle</t>
  </si>
  <si>
    <t>204:64789</t>
  </si>
  <si>
    <t>204:232692</t>
  </si>
  <si>
    <t>204:741</t>
  </si>
  <si>
    <t>204:232677</t>
  </si>
  <si>
    <t>204:704</t>
  </si>
  <si>
    <t>204:233362</t>
  </si>
  <si>
    <t>204:232706</t>
  </si>
  <si>
    <t>204:232992</t>
  </si>
  <si>
    <t>204:338</t>
  </si>
  <si>
    <t>204:781</t>
  </si>
  <si>
    <t>204:233004</t>
  </si>
  <si>
    <t>204:1177</t>
  </si>
  <si>
    <t>204:444</t>
  </si>
  <si>
    <t>204:233015</t>
  </si>
  <si>
    <t>204:752</t>
  </si>
  <si>
    <t>204:438</t>
  </si>
  <si>
    <t>204:233316</t>
  </si>
  <si>
    <t>204:232996</t>
  </si>
  <si>
    <t>204:719</t>
  </si>
  <si>
    <t>204:233312</t>
  </si>
  <si>
    <t>204:233002</t>
  </si>
  <si>
    <t>204:233276</t>
  </si>
  <si>
    <t>204:630</t>
  </si>
  <si>
    <t>204:316</t>
  </si>
  <si>
    <t>204:233347</t>
  </si>
  <si>
    <t>204:233034</t>
  </si>
  <si>
    <t>204:426</t>
  </si>
  <si>
    <t>204:233332</t>
  </si>
  <si>
    <t>204:233323</t>
  </si>
  <si>
    <t>204:233008</t>
  </si>
  <si>
    <t>204:232980</t>
  </si>
  <si>
    <t>204:427</t>
  </si>
  <si>
    <t>204:433</t>
  </si>
  <si>
    <t>204:440</t>
  </si>
  <si>
    <t>204:233349</t>
  </si>
  <si>
    <t>204:233009</t>
  </si>
  <si>
    <t>204:233025</t>
  </si>
  <si>
    <t>204:233311</t>
  </si>
  <si>
    <t>204:477</t>
  </si>
  <si>
    <t>204:233006</t>
  </si>
  <si>
    <t>204:233372</t>
  </si>
  <si>
    <t>204:233080</t>
  </si>
  <si>
    <t>204:125</t>
  </si>
  <si>
    <t>204:233374</t>
  </si>
  <si>
    <t>204:233045</t>
  </si>
  <si>
    <t>204:233343</t>
  </si>
  <si>
    <t>204:233046</t>
  </si>
  <si>
    <t>204:183</t>
  </si>
  <si>
    <t>204:172</t>
  </si>
  <si>
    <t>204:233385</t>
  </si>
  <si>
    <t>204:233074</t>
  </si>
  <si>
    <t>204:232986</t>
  </si>
  <si>
    <t>204:181</t>
  </si>
  <si>
    <t>204:511</t>
  </si>
  <si>
    <t>204:233318</t>
  </si>
  <si>
    <t>204:136</t>
  </si>
  <si>
    <t>204:491</t>
  </si>
  <si>
    <t>204:121</t>
  </si>
  <si>
    <t>204:232984</t>
  </si>
  <si>
    <t>204:232981</t>
  </si>
  <si>
    <t>204:220</t>
  </si>
  <si>
    <t>204:232965</t>
  </si>
  <si>
    <t>204:233221</t>
  </si>
  <si>
    <t>204:232909</t>
  </si>
  <si>
    <t>204:81</t>
  </si>
  <si>
    <t>204:233417</t>
  </si>
  <si>
    <t>204:233083</t>
  </si>
  <si>
    <t>204:1203</t>
  </si>
  <si>
    <t>204:233017</t>
  </si>
  <si>
    <t>204:324</t>
  </si>
  <si>
    <t>204:1941</t>
  </si>
  <si>
    <t>204:778</t>
  </si>
  <si>
    <t>204:18705</t>
  </si>
  <si>
    <t>204:622</t>
  </si>
  <si>
    <t>204:22960</t>
  </si>
  <si>
    <t>204:528</t>
  </si>
  <si>
    <t>300:30417</t>
  </si>
  <si>
    <t>300:30411</t>
  </si>
  <si>
    <t>300:31426</t>
  </si>
  <si>
    <t>300:23035</t>
  </si>
  <si>
    <t>300:19383</t>
  </si>
  <si>
    <t>204:381</t>
  </si>
  <si>
    <t>300:23314</t>
  </si>
  <si>
    <t>204:1070</t>
  </si>
  <si>
    <t>300:23126</t>
  </si>
  <si>
    <t>204:302</t>
  </si>
  <si>
    <t>300:23304</t>
  </si>
  <si>
    <t>300:22841</t>
  </si>
  <si>
    <t>204:1169</t>
  </si>
  <si>
    <t>300:22448</t>
  </si>
  <si>
    <t>300:21647</t>
  </si>
  <si>
    <t>300:21738</t>
  </si>
  <si>
    <t>204:888</t>
  </si>
  <si>
    <t>300:25103</t>
  </si>
  <si>
    <t>204:459</t>
  </si>
  <si>
    <t>300:23002</t>
  </si>
  <si>
    <t>300:24790</t>
  </si>
  <si>
    <t>204:155</t>
  </si>
  <si>
    <t>300:24976</t>
  </si>
  <si>
    <t>204:142</t>
  </si>
  <si>
    <t>204:1467</t>
  </si>
  <si>
    <t>204:1483</t>
  </si>
  <si>
    <t>204:1484</t>
  </si>
  <si>
    <t>300:58651</t>
  </si>
  <si>
    <t>204:740</t>
  </si>
  <si>
    <t>204:1016</t>
  </si>
  <si>
    <t>300:58958</t>
  </si>
  <si>
    <t>300:58645</t>
  </si>
  <si>
    <t>204:708</t>
  </si>
  <si>
    <t>204:1025</t>
  </si>
  <si>
    <t>300:58961</t>
  </si>
  <si>
    <t>300:58649</t>
  </si>
  <si>
    <t>204:1069</t>
  </si>
  <si>
    <t>204:1000</t>
  </si>
  <si>
    <t>300:58984</t>
  </si>
  <si>
    <t>300:58668</t>
  </si>
  <si>
    <t>204:710</t>
  </si>
  <si>
    <t>204:1009</t>
  </si>
  <si>
    <t>300:58944</t>
  </si>
  <si>
    <t>204:745</t>
  </si>
  <si>
    <t>300:58975</t>
  </si>
  <si>
    <t>300:58655</t>
  </si>
  <si>
    <t>204:1042</t>
  </si>
  <si>
    <t>300:58973</t>
  </si>
  <si>
    <t>300:58658</t>
  </si>
  <si>
    <t>204:722</t>
  </si>
  <si>
    <t>204:1023</t>
  </si>
  <si>
    <t>204:1021</t>
  </si>
  <si>
    <t>300:58999</t>
  </si>
  <si>
    <t>300:58679</t>
  </si>
  <si>
    <t>204:727</t>
  </si>
  <si>
    <t>204:715</t>
  </si>
  <si>
    <t>204:1006</t>
  </si>
  <si>
    <t>300:58621</t>
  </si>
  <si>
    <t>204:939</t>
  </si>
  <si>
    <t>300:58623</t>
  </si>
  <si>
    <t>204:656</t>
  </si>
  <si>
    <t>204:944</t>
  </si>
  <si>
    <t>204:986</t>
  </si>
  <si>
    <t>300:58687</t>
  </si>
  <si>
    <t>204:640</t>
  </si>
  <si>
    <t>300:58960</t>
  </si>
  <si>
    <t>300:58643</t>
  </si>
  <si>
    <t>204:990</t>
  </si>
  <si>
    <t>204:666</t>
  </si>
  <si>
    <t>204:948</t>
  </si>
  <si>
    <t>300:58982</t>
  </si>
  <si>
    <t>300:58666</t>
  </si>
  <si>
    <t>204:657</t>
  </si>
  <si>
    <t>300:58606</t>
  </si>
  <si>
    <t>300:58978</t>
  </si>
  <si>
    <t>300:58935</t>
  </si>
  <si>
    <t>300:58677</t>
  </si>
  <si>
    <t>300:58995</t>
  </si>
  <si>
    <t>204:958</t>
  </si>
  <si>
    <t>300:32998</t>
  </si>
  <si>
    <t>300:23404</t>
  </si>
  <si>
    <t>300:24231</t>
  </si>
  <si>
    <t>300:23084</t>
  </si>
  <si>
    <t>204:691</t>
  </si>
  <si>
    <t>300:58656</t>
  </si>
  <si>
    <t>300:28740</t>
  </si>
  <si>
    <t>300:58625</t>
  </si>
  <si>
    <t>300:21237</t>
  </si>
  <si>
    <t>start /low /b %USERPROFILE%\Documents\GitHub\eaglep3\Utilities\DownloadLogsFromS3.py --loco 4029 --day 2017-02-07</t>
  </si>
  <si>
    <t>start /low /b %USERPROFILE%\Documents\GitHub\eaglep3\Utilities\DownloadLogsFromS3.py --loco 4045 --day 2017-02-08</t>
  </si>
  <si>
    <t>start /low /b %USERPROFILE%\Documents\GitHub\eaglep3\Utilities\DownloadLogsFromS3.py --loco 4039 --day 2017-02-08</t>
  </si>
  <si>
    <t>start /low /b %USERPROFILE%\Documents\GitHub\eaglep3\Utilities\DownloadLogsFromS3.py --loco 4031 --day 2017-02-07</t>
  </si>
  <si>
    <t>start /low /b %USERPROFILE%\Documents\GitHub\eaglep3\Utilities\DownloadLogsFromS3.py --loco 4037 --day 2017-02-07</t>
  </si>
  <si>
    <t>start /low /b %USERPROFILE%\Documents\GitHub\eaglep3\Utilities\DownloadLogsFromS3.py --loco 4012 --day 2017-02-07</t>
  </si>
  <si>
    <t>start /low /b %USERPROFILE%\Documents\GitHub\eaglep3\Utilities\DownloadLogsFromS3.py --loco 4025 --day 2017-02-07</t>
  </si>
  <si>
    <t>start /low /b %USERPROFILE%\Documents\GitHub\eaglep3\Utilities\DownloadLogsFromS3.py --loco 4038 --day 2017-02-07</t>
  </si>
  <si>
    <t>start /low /b %USERPROFILE%\Documents\GitHub\eaglep3\Utilities\DownloadLogsFromS3.py --loco 4025 --day 2017-02-08</t>
  </si>
  <si>
    <t>start /low /b %USERPROFILE%\Documents\GitHub\eaglep3\Utilities\DownloadLogsFromS3.py --loco 4001 --day 2017-02-07</t>
  </si>
  <si>
    <t>start /low /b %USERPROFILE%\Documents\GitHub\eaglep3\Utilities\DownloadLogsFromS3.py --loco 4012 --day 2017-02-08</t>
  </si>
  <si>
    <t>start /low /b %USERPROFILE%\Documents\GitHub\eaglep3\Utilities\DownloadLogsFromS3.py --loco 4037 --day 2017-02-08</t>
  </si>
  <si>
    <t>start /low /b %USERPROFILE%\Documents\GitHub\eaglep3\Utilities\DownloadLogsFromS3.py --loco 4040 --day 2017-02-07</t>
  </si>
  <si>
    <t>start /low /b %USERPROFILE%\Documents\GitHub\eaglep3\Utilities\DownloadLogsFromS3.py --loco 4046 --day 2017-02-07</t>
  </si>
  <si>
    <t>start /low /b %USERPROFILE%\Documents\GitHub\eaglep3\Utilities\DownloadLogsFromS3.py --loco 4038 --day 2017-02-08</t>
  </si>
  <si>
    <t>start /low /b %USERPROFILE%\Documents\GitHub\eaglep3\Utilities\DownloadLogsFromS3.py --loco 4027 --day 2017-02-08</t>
  </si>
  <si>
    <t>start /low /b %USERPROFILE%\Documents\GitHub\eaglep3\Utilities\DownloadLogsFromS3.py --loco 4052 --day 2017-02-08</t>
  </si>
  <si>
    <t>start /low /b %USERPROFILE%\Documents\GitHub\eaglep3\Utilities\DownloadLogsFromS3.py --loco 4028 --day 2017-02-07</t>
  </si>
  <si>
    <t>start /low /b %USERPROFILE%\Documents\GitHub\eaglep3\Utilities\DownloadLogsFromS3.py --loco 4052 --day 2017-02-07</t>
  </si>
  <si>
    <t>start /low /b %USERPROFILE%\Documents\GitHub\eaglep3\Utilities\DownloadLogsFromS3.py --loco 4028 --day 2017-02-08</t>
  </si>
  <si>
    <t>start /low /b %USERPROFILE%\Documents\GitHub\eaglep3\Utilities\DownloadLogsFromS3.py --loco 4027 --day 2017-02-07</t>
  </si>
  <si>
    <t>start /low /b %USERPROFILE%\Documents\GitHub\eaglep3\Utilities\DownloadLogsFromS3.py --loco 4051 --day 2017-02-07</t>
  </si>
  <si>
    <t>start /low /b %USERPROFILE%\Documents\GitHub\eaglep3\Utilities\DownloadLogsFromS3.py --loco 4051 --day 2017-02-08</t>
  </si>
  <si>
    <t>Onboard in-route failure</t>
  </si>
  <si>
    <t>DUS 28S STOP</t>
  </si>
  <si>
    <t>Premature downgrade at EC0816RH 75-1T 1N - false occupancy 81-1T</t>
  </si>
  <si>
    <t>Track warrant enforcements prevented entry into Track 8 - operator handling?</t>
  </si>
  <si>
    <t>SYS :2017/02/07 12:00:56.685:ENFORCEMENT:Predictive Enforcement Action:  Target Number: 00006033  Target Speed:   0.0  Current Speed:  59.9</t>
  </si>
  <si>
    <t>SYS :2017/02/07 13:55:01.354:ENFORCEMENT:Predictive Enforcement Action:  Target Number: 00001004  Target Speed:   0.0  Current Speed:  15.6</t>
  </si>
  <si>
    <t>SYS :2017/02/07 13:55:01.553:ENFORCEMENT:Predictive Enforcement Action:  Target Number: 00001004  Target Speed:   0.0  Current Speed:  15.6</t>
  </si>
  <si>
    <t>SYS :2017/02/07 13:55:51.548:ENFORCEMENT:Predictive Enforcement Action:  Target Number: 00001004  Target Speed:   0.0  Current Speed:   6.7</t>
  </si>
  <si>
    <t>SYS :2017/02/07 13:55:55.355:ENFORCEMENT:Predictive Enforcement Action:  Target Number: 00001004  Target Speed:   0.0  Current Speed:   7.5</t>
  </si>
  <si>
    <t>SYS :2017/02/07 14:47:08.050:ENFORCEMENT:Predictive Enforcement Action:  Target Number: 00017021  Target Speed:  50.0  Current Speed:  55.6</t>
  </si>
  <si>
    <t>SYS :2017/02/07 14:47:11.537:ENFORCEMENT:Predictive Enforcement Action:  Target Number: 00017021  Target Speed:  47.0  Current Speed:  53.8</t>
  </si>
  <si>
    <t>SYS :2017/02/07 15:36:46.745:ENFORCEMENT:Predictive Enforcement Action:  Target Number: 00001007  Target Speed:   0.0  Current Speed:   4.6</t>
  </si>
  <si>
    <t>SYS :2017/02/07 15:36:46.852:ENFORCEMENT:Predictive Enforcement Action:  Target Number: 00001007  Target Speed:   0.0  Current Speed:   4.6</t>
  </si>
  <si>
    <t>SYS :2017/02/07 15:36:46.859:ENFORCEMENT:Predictive Enforcement Action:  Target Number: 00001007  Target Speed:   0.0  Current Speed:   4.6</t>
  </si>
  <si>
    <t>SYS :2017/02/07 16:06:13.604:ENFORCEMENT:Predictive Enforcement Action:  Target Number: 00017048  Target Speed:   0.0  Current Speed:  23.8</t>
  </si>
  <si>
    <t>SYS :2017/02/07 16:06:14.075:ENFORCEMENT:Predictive Enforcement Action:  Target Number: 00017048  Target Speed:   0.0  Current Speed:  22.8</t>
  </si>
  <si>
    <t>SYS :2017/02/07 16:06:15.192:ENFORCEMENT:Predictive Enforcement Action:  Target Number: 00017048  Target Speed:   0.0  Current Speed:  22.1</t>
  </si>
  <si>
    <t>SYS :2017/02/07 16:30:46.483:ENFORCEMENT:Predictive Enforcement Action:  Target Number: 000060CE  Target Speed:   0.0  Current Speed:  64.8</t>
  </si>
  <si>
    <t>SYS :2017/02/07 17:34:23.659:ENFORCEMENT:Predictive Enforcement Action:  Target Number: 0000100D  Target Speed:   0.0  Current Speed:   5.3</t>
  </si>
  <si>
    <t>SYS :2017/02/07 17:45:09.428:ENFORCEMENT:Predictive Enforcement Action:  Target Number: 00006127  Target Speed:   0.0  Current Speed:  73.7</t>
  </si>
  <si>
    <t>SYS :2017/02/07 17:45:10.066:ENFORCEMENT:Predictive Enforcement Action:  Target Number: 0000612A  Target Speed:   0.0  Current Speed:  73.7</t>
  </si>
  <si>
    <t>SYS :2017/02/07 18:34:46.658:ENFORCEMENT:Predictive Enforcement Action:  Target Number: 00001010  Target Speed:   0.0  Current Speed:   8.6</t>
  </si>
  <si>
    <t>SYS :2017/02/07 18:34:47.434:ENFORCEMENT:Predictive Enforcement Action:  Target Number: 00001010  Target Speed:   0.0  Current Speed:   8.6</t>
  </si>
  <si>
    <t>SYS :2017/02/07 18:55:06.290:ENFORCEMENT:Predictive Enforcement Action:  Target Number: 0001706F  Target Speed:   0.0  Current Speed:  18.4</t>
  </si>
  <si>
    <t>SYS :2017/02/07 18:55:06.899:ENFORCEMENT:Reactive Enforcement Action:  Target Number: 0001706F  Target Speed:   0.0  Current Speed:  18.1</t>
  </si>
  <si>
    <t>SYS :2017/02/07 20:05:48.057:ENFORCEMENT:Predictive Enforcement Action:  Target Number: 0000100F  Target Speed:   0.0  Current Speed:   5.6</t>
  </si>
  <si>
    <t>SYS :2017/02/07 20:05:48.181:ENFORCEMENT:Predictive Enforcement Action:  Target Number: 0000100F  Target Speed:   0.0  Current Speed:   5.6</t>
  </si>
  <si>
    <t>SYS :2017/02/07 20:34:23.331:ENFORCEMENT:Predictive Enforcement Action:  Target Number: 00001009  Target Speed:   0.0  Current Speed:   7.0</t>
  </si>
  <si>
    <t>SYS :2017/02/07 20:36:24.264:ENFORCEMENT:Predictive Enforcement Action:  Target Number: 0000100F  Target Speed:   0.0  Current Speed:   5.3</t>
  </si>
  <si>
    <t>SYS :2017/02/07 20:36:24.468:ENFORCEMENT:Predictive Enforcement Action:  Target Number: 0000100F  Target Speed:   0.0  Current Speed:   5.3</t>
  </si>
  <si>
    <t>SYS :2017/02/07 20:36:24.508:ENFORCEMENT:Predictive Enforcement Action:  Target Number: 0000100F  Target Speed:   0.0  Current Speed:   5.3</t>
  </si>
  <si>
    <t>SYS :2017/02/07 22:35:57.811:ENFORCEMENT:Predictive Enforcement Action:  Target Number: 00001004  Target Speed:   0.0  Current Speed:   4.9</t>
  </si>
  <si>
    <t>SYS :2017/02/07 22:35:57.849:ENFORCEMENT:Predictive Enforcement Action:  Target Number: 00001010  Target Speed:   0.0  Current Speed:   4.9</t>
  </si>
  <si>
    <t>SYS :2017/02/07 22:35:57.963:ENFORCEMENT:Predictive Enforcement Action:  Target Number: 00001010  Target Speed:   0.0  Current Speed:   4.9</t>
  </si>
  <si>
    <t>SYS :2017/02/07 23:09:55.846:ENFORCEMENT:Predictive Enforcement Action:  Target Number: 00001019  Target Speed:   0.0  Current Speed:   1.5</t>
  </si>
  <si>
    <t>SYS :2017/02/07 23:09:57.307:ENFORCEMENT:Predictive Enforcement Action:  Target Number: 00001019  Target Speed:   0.0  Current Speed:   1.5</t>
  </si>
  <si>
    <t>SYS :2017/02/07 23:09:58.017:ENFORCEMENT:Predictive Enforcement Action:  Target Number: 00001018  Target Speed:   0.0  Current Speed:   1.7</t>
  </si>
  <si>
    <t>SYS :2017/02/07 23:26:24.807:ENFORCEMENT:Predictive Enforcement Action:  Target Number: 00001007  Target Speed:   0.0  Current Speed:   2.3</t>
  </si>
  <si>
    <t>SYS :2017/02/07 23:26:24.850:ENFORCEMENT:Predictive Enforcement Action:  Target Number: 00001013  Target Speed:   0.0  Current Speed:   2.3</t>
  </si>
  <si>
    <t>SYS :2017/02/07 23:26:24.964:ENFORCEMENT:Predictive Enforcement Action:  Target Number: 00001012  Target Speed:   0.0  Current Speed:   2.3</t>
  </si>
  <si>
    <t>SYS :2017/02/08 00:04:18.849:ENFORCEMENT:Predictive Enforcement Action:  Target Number: 0000101D  Target Speed:   0.0  Current Speed:   7.8</t>
  </si>
  <si>
    <t>SYS :2017/02/08 00:04:19.016:ENFORCEMENT:Predictive Enforcement Action:  Target Number: 0000101C  Target Speed:   0.0  Current Speed:   7.8</t>
  </si>
  <si>
    <t>SYS :2017/02/08 00:04:19.306:ENFORCEMENT:Predictive Enforcement Action:  Target Number: 0000101D  Target Speed:   0.0  Current Speed:   7.8</t>
  </si>
  <si>
    <t>SYS :2017/02/08 00:05:21.847:ENFORCEMENT:Predictive Enforcement Action:  Target Number: 0000101D  Target Speed:   0.0  Current Speed:   0.9</t>
  </si>
  <si>
    <t>SYS :2017/02/08 00:05:22.014:ENFORCEMENT:Predictive Enforcement Action:  Target Number: 0000101C  Target Speed:   0.0  Current Speed:   0.9</t>
  </si>
  <si>
    <t>SYS :2017/02/08 00:05:22.303:ENFORCEMENT:Predictive Enforcement Action:  Target Number: 0000101D  Target Speed:   0.0  Current Speed:   0.9</t>
  </si>
  <si>
    <t>SYS :2017/02/08 00:23:05.855:ENFORCEMENT:Predictive Enforcement Action:  Target Number: 0000610A  Target Speed:   0.0  Current Speed:   6.0</t>
  </si>
  <si>
    <t>SYS :2017/02/08 00:23:05.963:ENFORCEMENT:Predictive Enforcement Action:  Target Number: 000060D3  Target Speed:   0.0  Current Speed:   6.0</t>
  </si>
  <si>
    <t>SYS :2017/02/08 00:23:06.816:ENFORCEMENT:Predictive Enforcement Action:  Target Number: 00006071  Target Speed:   0.0  Current Speed:   6.0</t>
  </si>
  <si>
    <t>SYS :2017/02/08 00:25:34.816:ENFORCEMENT:Predictive Enforcement Action:  Target Number: 0000100E  Target Speed:   0.0  Current Speed:   3.9</t>
  </si>
  <si>
    <t>SYS :2017/02/08 00:25:34.849:ENFORCEMENT:Predictive Enforcement Action:  Target Number: 0000101A  Target Speed:   0.0  Current Speed:   3.9</t>
  </si>
  <si>
    <t>SYS :2017/02/08 00:25:34.957:ENFORCEMENT:Predictive Enforcement Action:  Target Number: 00001019  Target Speed:   0.0  Current Speed:   3.9</t>
  </si>
  <si>
    <t>SYS :2017/02/08 01:15:29.705:ENFORCEMENT:Predictive Enforcement Action:  Target Number: 00006115  Target Speed:   0.0  Current Speed:  78.8</t>
  </si>
  <si>
    <t>SYS :2017/02/08 01:37:02.029:ENFORCEMENT:Predictive Enforcement Action:  Target Number: 00001014  Target Speed:   0.0  Current Speed:   7.0</t>
  </si>
  <si>
    <t>SYS :2017/02/08 02:06:00.018:ENFORCEMENT:Predictive Enforcement Action:  Target Number: 00001023  Target Speed:   0.0  Current Speed:   8.8</t>
  </si>
  <si>
    <t>SYS :2017/02/08 02:06:01.465:ENFORCEMENT:Predictive Enforcement Action:  Target Number: 00001018  Target Speed:   0.0  Current Speed:   3.1</t>
  </si>
  <si>
    <t>SYS :2017/02/08 02:06:01.888:ENFORCEMENT:Predictive Enforcement Action:  Target Number: 00001018  Target Speed:   0.0  Current Speed:   3.1</t>
  </si>
  <si>
    <t>SYS :2017/02/08 02:06:02.284:ENFORCEMENT:Predictive Enforcement Action:  Target Number: 00001018  Target Speed:   0.0  Current Speed:   3.1</t>
  </si>
  <si>
    <t>SYS :2017/02/08 02:06:41.308:ENFORCEMENT:Predictive Enforcement Action:  Target Number: 00001024  Target Speed:   0.0  Current Speed:   1.7</t>
  </si>
  <si>
    <t>SYS :2017/02/08 02:06:41.848:ENFORCEMENT:Predictive Enforcement Action:  Target Number: 00001024  Target Speed:   0.0  Current Speed:   1.4</t>
  </si>
  <si>
    <t>SYS :2017/02/08 02:06:42.018:ENFORCEMENT:Predictive Enforcement Action:  Target Number: 00001023  Target Speed:   0.0  Current Speed:   1.7</t>
  </si>
  <si>
    <t>SYS :2017/02/08 02:41:52.549:ENFORCEMENT:Predictive Enforcement Action:  Target Number: 0001010E  Target Speed:  30.0  Current Speed:  45.9</t>
  </si>
  <si>
    <t>SYS :2017/02/08 02:41:52.827:ENFORCEMENT:Predictive Enforcement Action:  Target Number: 0001010E  Target Speed:  30.0  Current Speed:  45.9</t>
  </si>
  <si>
    <t>SYS :2017/02/08 02:41:53.183:ENFORCEMENT:Predictive Enforcement Action:  Target Number: 0001010E  Target Speed:  30.0  Current Speed:  45.9</t>
  </si>
  <si>
    <t>SYS :2017/02/08 08:41:20.651:ENFORCEMENT:Predictive Enforcement Action:  Target Number: 000101A9  Target Speed:  40.0  Current Speed:  56.1</t>
  </si>
  <si>
    <t>SYS :2017/02/08 08:41:20.659:ENFORCEMENT:Predictive Enforcement Action:  Target Number: 000101A9  Target Speed:  40.0  Current Speed:  56.1</t>
  </si>
  <si>
    <t>Track maintenance (DUS de-energized)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</si>
</sst>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</cellStyleXfs>
  <cellXfs count="197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0" fillId="0" borderId="0" xfId="0" applyNumberFormat="1" applyAlignment="1"/>
    <xf numFmtId="169" fontId="0" fillId="2" borderId="13" xfId="0" applyNumberFormat="1" applyFill="1" applyBorder="1" applyAlignment="1"/>
    <xf numFmtId="169" fontId="0" fillId="0" borderId="16" xfId="0" applyNumberFormat="1" applyBorder="1" applyAlignment="1"/>
    <xf numFmtId="169" fontId="13" fillId="0" borderId="5" xfId="0" applyNumberFormat="1" applyFont="1" applyFill="1" applyBorder="1" applyAlignment="1">
      <alignment horizontal="center" vertical="center" wrapText="1"/>
    </xf>
    <xf numFmtId="169" fontId="0" fillId="0" borderId="5" xfId="0" applyNumberFormat="1" applyFill="1" applyBorder="1" applyAlignment="1"/>
    <xf numFmtId="169" fontId="6" fillId="0" borderId="0" xfId="0" applyFont="1"/>
    <xf numFmtId="169" fontId="6" fillId="0" borderId="0" xfId="0" applyFont="1" applyBorder="1" applyAlignment="1">
      <alignment horizontal="center" vertical="center" wrapText="1"/>
    </xf>
    <xf numFmtId="169" fontId="6" fillId="0" borderId="0" xfId="0" applyFont="1" applyAlignment="1">
      <alignment horizontal="center" vertical="center"/>
    </xf>
    <xf numFmtId="169" fontId="6" fillId="0" borderId="0" xfId="0" applyFont="1" applyFill="1"/>
    <xf numFmtId="169" fontId="8" fillId="4" borderId="9" xfId="1" applyNumberFormat="1" applyFont="1" applyFill="1" applyBorder="1" applyAlignment="1">
      <alignment horizontal="center"/>
    </xf>
    <xf numFmtId="169" fontId="8" fillId="4" borderId="0" xfId="1" applyNumberFormat="1" applyFont="1" applyFill="1" applyBorder="1" applyAlignment="1">
      <alignment horizontal="center"/>
    </xf>
    <xf numFmtId="169" fontId="8" fillId="0" borderId="10" xfId="1" applyNumberFormat="1" applyFont="1" applyFill="1" applyBorder="1" applyAlignment="1">
      <alignment wrapText="1"/>
    </xf>
    <xf numFmtId="169" fontId="8" fillId="0" borderId="10" xfId="1" applyNumberFormat="1" applyFont="1" applyFill="1" applyBorder="1" applyAlignment="1">
      <alignment horizontal="right" wrapText="1"/>
    </xf>
    <xf numFmtId="169" fontId="0" fillId="0" borderId="0" xfId="0" applyNumberFormat="1" applyFill="1" applyBorder="1"/>
    <xf numFmtId="169" fontId="9" fillId="0" borderId="0" xfId="0" applyFont="1"/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0" xfId="0" applyNumberFormat="1" applyFill="1" applyAlignment="1">
      <alignment horizontal="left" wrapText="1"/>
    </xf>
    <xf numFmtId="0" fontId="0" fillId="0" borderId="4" xfId="0" applyNumberFormat="1" applyBorder="1" applyAlignment="1">
      <alignment horizontal="left"/>
    </xf>
    <xf numFmtId="0" fontId="1" fillId="0" borderId="1" xfId="0" applyNumberFormat="1" applyFont="1" applyFill="1" applyBorder="1" applyAlignment="1"/>
    <xf numFmtId="0" fontId="1" fillId="0" borderId="4" xfId="0" applyNumberFormat="1" applyFont="1" applyBorder="1" applyAlignment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left" vertical="center"/>
    </xf>
    <xf numFmtId="0" fontId="0" fillId="0" borderId="3" xfId="0" applyNumberFormat="1" applyFill="1" applyBorder="1" applyAlignment="1">
      <alignment horizontal="left" vertical="center"/>
    </xf>
    <xf numFmtId="0" fontId="0" fillId="0" borderId="3" xfId="0" applyNumberFormat="1" applyBorder="1" applyAlignment="1">
      <alignment horizontal="left" vertical="center"/>
    </xf>
    <xf numFmtId="0" fontId="0" fillId="0" borderId="2" xfId="0" applyNumberFormat="1" applyBorder="1" applyAlignment="1">
      <alignment horizontal="center" vertical="center"/>
    </xf>
    <xf numFmtId="0" fontId="0" fillId="0" borderId="4" xfId="0" applyNumberFormat="1" applyBorder="1" applyAlignment="1">
      <alignment horizontal="left" vertical="center"/>
    </xf>
    <xf numFmtId="0" fontId="0" fillId="0" borderId="0" xfId="0" applyNumberFormat="1" applyFill="1" applyAlignment="1">
      <alignment horizontal="left"/>
    </xf>
    <xf numFmtId="0" fontId="0" fillId="0" borderId="0" xfId="0" applyNumberFormat="1" applyAlignment="1"/>
    <xf numFmtId="0" fontId="5" fillId="0" borderId="0" xfId="0" applyNumberFormat="1" applyFont="1" applyFill="1"/>
    <xf numFmtId="0" fontId="5" fillId="0" borderId="0" xfId="0" applyNumberFormat="1" applyFont="1"/>
    <xf numFmtId="0" fontId="0" fillId="0" borderId="5" xfId="0" applyNumberFormat="1" applyBorder="1" applyAlignment="1">
      <alignment horizontal="center" vertical="center" wrapText="1"/>
    </xf>
    <xf numFmtId="0" fontId="9" fillId="8" borderId="0" xfId="0" applyNumberFormat="1" applyFont="1" applyFill="1" applyBorder="1" applyAlignment="1">
      <alignment horizontal="center" vertical="center" wrapText="1"/>
    </xf>
    <xf numFmtId="0" fontId="9" fillId="0" borderId="0" xfId="0" applyNumberFormat="1" applyFont="1" applyBorder="1" applyAlignment="1">
      <alignment horizontal="center" vertical="center" wrapText="1"/>
    </xf>
    <xf numFmtId="0" fontId="0" fillId="0" borderId="5" xfId="0" applyNumberFormat="1" applyFill="1" applyBorder="1"/>
    <xf numFmtId="0" fontId="9" fillId="8" borderId="0" xfId="0" applyNumberFormat="1" applyFont="1" applyFill="1" applyBorder="1"/>
    <xf numFmtId="0" fontId="9" fillId="0" borderId="0" xfId="0" applyNumberFormat="1" applyFont="1" applyFill="1" applyBorder="1"/>
    <xf numFmtId="0" fontId="5" fillId="8" borderId="0" xfId="0" applyNumberFormat="1" applyFont="1" applyFill="1"/>
    <xf numFmtId="0" fontId="0" fillId="0" borderId="0" xfId="0" applyNumberFormat="1" applyBorder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4"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CM256"/>
  <sheetViews>
    <sheetView zoomScaleNormal="100" workbookViewId="0">
      <selection activeCell="R161" sqref="R161"/>
    </sheetView>
  </sheetViews>
  <sheetFormatPr defaultRowHeight="15" x14ac:dyDescent="0.25"/>
  <cols>
    <col min="1" max="1" width="8" style="35" customWidth="1"/>
    <col min="2" max="2" width="6.140625" style="37" customWidth="1"/>
    <col min="3" max="3" width="13.5703125" style="27" hidden="1" customWidth="1"/>
    <col min="4" max="4" width="16.140625" style="27" hidden="1" customWidth="1"/>
    <col min="5" max="5" width="19.5703125" style="34" hidden="1" customWidth="1"/>
    <col min="6" max="6" width="18.28515625" style="34" customWidth="1"/>
    <col min="7" max="7" width="4.85546875" style="37" hidden="1" customWidth="1"/>
    <col min="8" max="8" width="22.140625" style="34" hidden="1" customWidth="1"/>
    <col min="9" max="9" width="18.5703125" style="34" customWidth="1"/>
    <col min="10" max="10" width="7.28515625" style="37" customWidth="1"/>
    <col min="11" max="11" width="10.42578125" style="27" customWidth="1"/>
    <col min="12" max="12" width="12" style="27" customWidth="1"/>
    <col min="13" max="13" width="7.42578125" style="36" customWidth="1"/>
    <col min="14" max="14" width="3.85546875" style="37" customWidth="1"/>
    <col min="15" max="15" width="3.71093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0" customWidth="1"/>
    <col min="20" max="20" width="3.85546875" customWidth="1"/>
    <col min="21" max="21" width="5" style="171" customWidth="1"/>
    <col min="22" max="22" width="5.7109375" style="193" customWidth="1"/>
    <col min="23" max="23" width="3.85546875" style="186" customWidth="1"/>
    <col min="24" max="24" width="6.5703125" style="186" customWidth="1"/>
    <col min="25" max="25" width="11.5703125" style="60" bestFit="1" customWidth="1"/>
    <col min="26" max="26" width="7.28515625" style="60" customWidth="1"/>
    <col min="27" max="27" width="9.140625" style="60"/>
    <col min="28" max="28" width="10.7109375" style="57" hidden="1" customWidth="1"/>
    <col min="29" max="29" width="9.42578125" style="51" hidden="1" customWidth="1"/>
    <col min="30" max="30" width="7.85546875" style="52" customWidth="1"/>
    <col min="31" max="31" width="4.5703125" style="83" customWidth="1"/>
    <col min="32" max="32" width="6.28515625" style="80" customWidth="1"/>
    <col min="33" max="33" width="5.42578125" customWidth="1"/>
    <col min="34" max="34" width="5" style="86" customWidth="1"/>
    <col min="35" max="35" width="5.7109375" style="100" customWidth="1"/>
    <col min="36" max="36" width="9.85546875" customWidth="1"/>
    <col min="37" max="37" width="7.7109375" customWidth="1"/>
    <col min="38" max="38" width="7.85546875" customWidth="1"/>
    <col min="39" max="39" width="9.140625" style="158"/>
  </cols>
  <sheetData>
    <row r="1" spans="1:91" s="20" customFormat="1" ht="15.75" thickBot="1" x14ac:dyDescent="0.3">
      <c r="A1" s="35"/>
      <c r="B1" s="37"/>
      <c r="C1" s="27"/>
      <c r="D1" s="27"/>
      <c r="E1" s="34"/>
      <c r="F1" s="34"/>
      <c r="G1" s="37"/>
      <c r="H1" s="34"/>
      <c r="I1" s="34" t="s">
        <v>105</v>
      </c>
      <c r="J1" s="37"/>
      <c r="K1" s="27"/>
      <c r="L1" s="27"/>
      <c r="M1" s="36"/>
      <c r="N1" s="37"/>
      <c r="O1" s="2"/>
      <c r="P1" s="2"/>
      <c r="R1" s="34" t="s">
        <v>106</v>
      </c>
      <c r="S1" s="37"/>
      <c r="T1" s="27"/>
      <c r="U1" s="172"/>
      <c r="V1" s="173"/>
      <c r="W1" s="172"/>
      <c r="X1" s="171"/>
      <c r="Y1" s="60"/>
      <c r="Z1" s="60"/>
      <c r="AA1" s="60"/>
      <c r="AB1" s="57"/>
      <c r="AC1" s="51"/>
      <c r="AD1" s="52"/>
      <c r="AE1" s="1"/>
      <c r="AF1" s="1"/>
      <c r="AG1" s="1"/>
      <c r="AH1" s="48"/>
      <c r="AI1" s="1"/>
      <c r="AM1" s="158"/>
    </row>
    <row r="2" spans="1:91" s="20" customFormat="1" ht="15.75" thickBot="1" x14ac:dyDescent="0.3">
      <c r="A2" s="35"/>
      <c r="B2" s="37"/>
      <c r="C2" s="27"/>
      <c r="D2" s="27"/>
      <c r="E2" s="34"/>
      <c r="F2" s="34"/>
      <c r="G2" s="37"/>
      <c r="H2" s="34"/>
      <c r="I2" s="65">
        <f>Variables!$A$2</f>
        <v>42773</v>
      </c>
      <c r="J2" s="66"/>
      <c r="K2" s="67"/>
      <c r="L2" s="67"/>
      <c r="M2" s="68" t="s">
        <v>8</v>
      </c>
      <c r="N2" s="69"/>
      <c r="O2" s="70"/>
      <c r="P2" s="2"/>
      <c r="R2" s="65">
        <f>Variables!$A$2</f>
        <v>42773</v>
      </c>
      <c r="S2" s="66"/>
      <c r="T2" s="67"/>
      <c r="U2" s="174"/>
      <c r="V2" s="175" t="s">
        <v>8</v>
      </c>
      <c r="W2" s="176"/>
      <c r="X2" s="177"/>
      <c r="Y2" s="60"/>
      <c r="Z2" s="60"/>
      <c r="AA2" s="60"/>
      <c r="AB2" s="57"/>
      <c r="AC2" s="51"/>
      <c r="AD2" s="52"/>
      <c r="AE2" s="1"/>
      <c r="AF2" s="1"/>
      <c r="AG2" s="1"/>
      <c r="AH2" s="48"/>
      <c r="AI2" s="1"/>
      <c r="AM2" s="158"/>
    </row>
    <row r="3" spans="1:91" s="20" customFormat="1" ht="15.75" thickBot="1" x14ac:dyDescent="0.3">
      <c r="A3" s="35"/>
      <c r="B3" s="37"/>
      <c r="C3" s="27"/>
      <c r="D3" s="27"/>
      <c r="E3" s="34"/>
      <c r="F3" s="34"/>
      <c r="G3" s="37"/>
      <c r="H3" s="34"/>
      <c r="I3" s="71" t="s">
        <v>10</v>
      </c>
      <c r="J3" s="72"/>
      <c r="K3" s="73"/>
      <c r="L3" s="73"/>
      <c r="M3" s="38" t="s">
        <v>11</v>
      </c>
      <c r="N3" s="39" t="s">
        <v>12</v>
      </c>
      <c r="O3" s="3" t="s">
        <v>13</v>
      </c>
      <c r="P3" s="2"/>
      <c r="R3" s="71" t="s">
        <v>10</v>
      </c>
      <c r="S3" s="72"/>
      <c r="T3" s="73"/>
      <c r="U3" s="178"/>
      <c r="V3" s="179" t="s">
        <v>11</v>
      </c>
      <c r="W3" s="180" t="s">
        <v>12</v>
      </c>
      <c r="X3" s="181" t="s">
        <v>13</v>
      </c>
      <c r="Y3" s="60"/>
      <c r="Z3" s="60"/>
      <c r="AA3" s="60"/>
      <c r="AB3" s="57"/>
      <c r="AC3" s="51"/>
      <c r="AD3" s="52"/>
      <c r="AE3" s="1"/>
      <c r="AF3" s="1"/>
      <c r="AG3" s="1"/>
      <c r="AH3" s="48"/>
      <c r="AI3" s="1"/>
      <c r="AM3" s="158"/>
    </row>
    <row r="4" spans="1:91" s="20" customFormat="1" ht="15.75" thickBot="1" x14ac:dyDescent="0.3">
      <c r="A4" s="35"/>
      <c r="B4" s="37"/>
      <c r="C4" s="27"/>
      <c r="D4" s="27"/>
      <c r="E4" s="34"/>
      <c r="F4" s="34"/>
      <c r="G4" s="37"/>
      <c r="H4" s="34"/>
      <c r="I4" s="74" t="s">
        <v>14</v>
      </c>
      <c r="J4" s="50">
        <f>SUM(J5:J7)</f>
        <v>144</v>
      </c>
      <c r="K4" s="40"/>
      <c r="L4" s="40"/>
      <c r="M4" s="41" t="s">
        <v>15</v>
      </c>
      <c r="N4" s="39" t="s">
        <v>15</v>
      </c>
      <c r="O4" s="3" t="s">
        <v>15</v>
      </c>
      <c r="P4" s="2"/>
      <c r="R4" s="74" t="s">
        <v>14</v>
      </c>
      <c r="S4" s="50">
        <f>SUM(S5:S7)</f>
        <v>47</v>
      </c>
      <c r="T4" s="40"/>
      <c r="U4" s="182"/>
      <c r="V4" s="179" t="s">
        <v>15</v>
      </c>
      <c r="W4" s="180" t="s">
        <v>15</v>
      </c>
      <c r="X4" s="181" t="s">
        <v>15</v>
      </c>
      <c r="Y4" s="60"/>
      <c r="Z4" s="60"/>
      <c r="AA4" s="60"/>
      <c r="AB4" s="57"/>
      <c r="AC4" s="51"/>
      <c r="AD4" s="52"/>
      <c r="AE4" s="1"/>
      <c r="AF4" s="1"/>
      <c r="AG4" s="1"/>
      <c r="AH4" s="48"/>
      <c r="AI4" s="1"/>
      <c r="AM4" s="158"/>
    </row>
    <row r="5" spans="1:91" s="20" customFormat="1" ht="15.75" thickBot="1" x14ac:dyDescent="0.3">
      <c r="A5" s="35"/>
      <c r="B5" s="37"/>
      <c r="C5" s="27"/>
      <c r="D5" s="27"/>
      <c r="E5" s="34"/>
      <c r="F5" s="34"/>
      <c r="G5" s="37"/>
      <c r="H5" s="34"/>
      <c r="I5" s="74" t="s">
        <v>17</v>
      </c>
      <c r="J5" s="50">
        <f>COUNTIFS($N$13:$N$9350,"&gt;0",$AG$13:$AG$9350,I1)</f>
        <v>143</v>
      </c>
      <c r="K5" s="40"/>
      <c r="L5" s="40"/>
      <c r="M5" s="41">
        <f>AVERAGEIFS($N$13:$N$9350,$AG$13:$AG$9350,I1)</f>
        <v>37.680419580416647</v>
      </c>
      <c r="N5" s="39">
        <f t="array" ref="N5">MIN(IF($AG$13:$AG$9350=I1,IF(ISNUMBER($N$13:$N$9350),IF($N$13:$N$9350&gt;0,$N$13:$N$9350))))</f>
        <v>31.350000004749745</v>
      </c>
      <c r="O5" s="3">
        <f t="array" ref="O5">MAX(IF($AG$13:$AG$9350=I1,IF(ISNUMBER($N$13:$N$9350),IF($N$13:$N$9350&gt;0,$N$13:$N$9350))))</f>
        <v>43.016666664043441</v>
      </c>
      <c r="P5" s="2"/>
      <c r="R5" s="74" t="s">
        <v>17</v>
      </c>
      <c r="S5" s="50">
        <f>COUNTIFS($N$13:$N$9350,"&gt;0",$AG$13:$AG$9350,R1)</f>
        <v>47</v>
      </c>
      <c r="T5" s="40"/>
      <c r="U5" s="182"/>
      <c r="V5" s="179">
        <f>AVERAGEIFS($N$13:$N$9350,$AG$13:$AG$9350,R1)</f>
        <v>15.341843971586291</v>
      </c>
      <c r="W5" s="180">
        <f t="array" ref="W5">MIN(IF($AG$13:$AG$9350=R1,IF(ISNUMBER($N$13:$N$9350),IF($N$13:$N$9350&gt;0,$N$13:$N$9350))))</f>
        <v>12.500000009313226</v>
      </c>
      <c r="X5" s="181">
        <f t="array" ref="X5">MAX(IF($AG$13:$AG$9350=R1,IF(ISNUMBER($N$13:$N$9350),IF($N$13:$N$9350&gt;0,$N$13:$N$9350))))</f>
        <v>24.866666664602235</v>
      </c>
      <c r="Y5" s="60"/>
      <c r="Z5" s="60"/>
      <c r="AA5" s="60"/>
      <c r="AB5" s="57"/>
      <c r="AC5" s="51"/>
      <c r="AD5" s="52"/>
      <c r="AE5" s="1"/>
      <c r="AF5" s="1"/>
      <c r="AG5" s="1"/>
      <c r="AH5" s="48"/>
      <c r="AI5" s="1"/>
      <c r="AM5" s="158"/>
    </row>
    <row r="6" spans="1:91" s="20" customFormat="1" ht="15.75" thickBot="1" x14ac:dyDescent="0.3">
      <c r="A6" s="35"/>
      <c r="B6" s="37"/>
      <c r="C6" s="27"/>
      <c r="D6" s="27"/>
      <c r="E6" s="34"/>
      <c r="F6" s="34"/>
      <c r="G6" s="37"/>
      <c r="H6" s="34"/>
      <c r="I6" s="75" t="s">
        <v>43</v>
      </c>
      <c r="J6" s="50">
        <f>COUNT($O$13:$O$113)</f>
        <v>0</v>
      </c>
      <c r="K6" s="40"/>
      <c r="L6" s="40"/>
      <c r="M6" s="41">
        <f>IFERROR(AVERAGE($O$13:$O$113),0)</f>
        <v>0</v>
      </c>
      <c r="N6" s="39">
        <f>MIN($O$13:$O$113)</f>
        <v>0</v>
      </c>
      <c r="O6" s="3">
        <f>MAX($O$13:$O$113)</f>
        <v>0</v>
      </c>
      <c r="P6" s="2"/>
      <c r="R6" s="75" t="s">
        <v>43</v>
      </c>
      <c r="S6" s="50">
        <f>COUNT($O$13:$O$113)</f>
        <v>0</v>
      </c>
      <c r="T6" s="40"/>
      <c r="U6" s="182"/>
      <c r="V6" s="179">
        <f>IFERROR(AVERAGE($O$13:$O$113),0)</f>
        <v>0</v>
      </c>
      <c r="W6" s="180">
        <f>MIN($O$13:$O$113)</f>
        <v>0</v>
      </c>
      <c r="X6" s="181">
        <f>MAX($O$13:$O$113)</f>
        <v>0</v>
      </c>
      <c r="Y6" s="60"/>
      <c r="Z6" s="60"/>
      <c r="AA6" s="60"/>
      <c r="AB6" s="57"/>
      <c r="AC6" s="51"/>
      <c r="AD6" s="52"/>
      <c r="AE6" s="1"/>
      <c r="AF6" s="1"/>
      <c r="AG6" s="1"/>
      <c r="AH6" s="48"/>
      <c r="AI6" s="1"/>
      <c r="AM6" s="158"/>
    </row>
    <row r="7" spans="1:91" s="20" customFormat="1" ht="15.75" thickBot="1" x14ac:dyDescent="0.3">
      <c r="A7" s="35"/>
      <c r="B7" s="37"/>
      <c r="C7" s="27"/>
      <c r="D7" s="27"/>
      <c r="E7" s="34"/>
      <c r="F7" s="34"/>
      <c r="G7" s="37"/>
      <c r="H7" s="34"/>
      <c r="I7" s="76" t="s">
        <v>9</v>
      </c>
      <c r="J7" s="50">
        <f>COUNTIFS($P$13:$P$9350,"&gt;0",$AG$13:$AG$9350,I1)</f>
        <v>1</v>
      </c>
      <c r="K7" s="40"/>
      <c r="L7" s="40"/>
      <c r="M7" s="39" t="s">
        <v>15</v>
      </c>
      <c r="N7" s="39" t="s">
        <v>15</v>
      </c>
      <c r="O7" s="3" t="s">
        <v>15</v>
      </c>
      <c r="P7" s="2"/>
      <c r="R7" s="76" t="s">
        <v>9</v>
      </c>
      <c r="S7" s="50">
        <f>COUNTIFS($P$13:$P$9350,"&gt;0",$AG$13:$AG$9350,R1)</f>
        <v>0</v>
      </c>
      <c r="T7" s="40"/>
      <c r="U7" s="182"/>
      <c r="V7" s="179" t="s">
        <v>15</v>
      </c>
      <c r="W7" s="180" t="s">
        <v>15</v>
      </c>
      <c r="X7" s="181" t="s">
        <v>15</v>
      </c>
      <c r="Y7" s="60"/>
      <c r="Z7" s="60"/>
      <c r="AA7" s="60"/>
      <c r="AB7" s="57"/>
      <c r="AC7" s="51"/>
      <c r="AD7" s="52"/>
      <c r="AE7" s="1"/>
      <c r="AF7" s="1"/>
      <c r="AG7" s="1"/>
      <c r="AH7" s="48"/>
      <c r="AI7" s="1"/>
      <c r="AM7" s="158"/>
    </row>
    <row r="8" spans="1:91" s="20" customFormat="1" ht="15.75" thickBot="1" x14ac:dyDescent="0.3">
      <c r="A8" s="35"/>
      <c r="B8" s="37"/>
      <c r="C8" s="27"/>
      <c r="D8" s="27"/>
      <c r="E8" s="34"/>
      <c r="F8" s="34"/>
      <c r="G8" s="37"/>
      <c r="H8" s="34"/>
      <c r="I8" s="74" t="s">
        <v>16</v>
      </c>
      <c r="J8" s="50">
        <f>J5</f>
        <v>143</v>
      </c>
      <c r="K8" s="40"/>
      <c r="L8" s="40"/>
      <c r="M8" s="41">
        <f>M5</f>
        <v>37.680419580416647</v>
      </c>
      <c r="N8" s="39">
        <f>N5</f>
        <v>31.350000004749745</v>
      </c>
      <c r="O8" s="3">
        <f>O5</f>
        <v>43.016666664043441</v>
      </c>
      <c r="P8" s="2"/>
      <c r="R8" s="74" t="s">
        <v>16</v>
      </c>
      <c r="S8" s="50">
        <f>S5</f>
        <v>47</v>
      </c>
      <c r="T8" s="40"/>
      <c r="U8" s="182"/>
      <c r="V8" s="179">
        <f>V5</f>
        <v>15.341843971586291</v>
      </c>
      <c r="W8" s="180">
        <f>W5</f>
        <v>12.500000009313226</v>
      </c>
      <c r="X8" s="181">
        <f>X5</f>
        <v>24.866666664602235</v>
      </c>
      <c r="Y8" s="60"/>
      <c r="Z8" s="60"/>
      <c r="AA8" s="60"/>
      <c r="AB8" s="57"/>
      <c r="AC8" s="51"/>
      <c r="AD8" s="52"/>
      <c r="AE8" s="1"/>
      <c r="AF8" s="1"/>
      <c r="AG8" s="1"/>
      <c r="AH8" s="48"/>
      <c r="AI8" s="1"/>
      <c r="AM8" s="158"/>
    </row>
    <row r="9" spans="1:91" s="20" customFormat="1" ht="15.75" thickBot="1" x14ac:dyDescent="0.3">
      <c r="A9" s="35"/>
      <c r="B9" s="37"/>
      <c r="C9" s="27"/>
      <c r="D9" s="27"/>
      <c r="E9" s="34"/>
      <c r="F9" s="34"/>
      <c r="G9" s="37"/>
      <c r="H9" s="34"/>
      <c r="I9" s="74" t="s">
        <v>19</v>
      </c>
      <c r="J9" s="135">
        <f>J8/J4</f>
        <v>0.99305555555555558</v>
      </c>
      <c r="K9" s="42"/>
      <c r="L9" s="42"/>
      <c r="M9" s="77"/>
      <c r="N9" s="37"/>
      <c r="O9" s="78"/>
      <c r="P9" s="2"/>
      <c r="R9" s="74" t="s">
        <v>19</v>
      </c>
      <c r="S9" s="135">
        <f>S8/S4</f>
        <v>1</v>
      </c>
      <c r="T9" s="42"/>
      <c r="U9" s="172"/>
      <c r="V9" s="183"/>
      <c r="W9" s="172"/>
      <c r="X9" s="184"/>
      <c r="Y9" s="60"/>
      <c r="Z9" s="60"/>
      <c r="AA9" s="60"/>
      <c r="AB9" s="57"/>
      <c r="AC9" s="51"/>
      <c r="AD9" s="52"/>
      <c r="AE9" s="1"/>
      <c r="AF9" s="1"/>
      <c r="AG9" s="1"/>
      <c r="AH9" s="48"/>
      <c r="AI9" s="1"/>
      <c r="AM9" s="158"/>
    </row>
    <row r="10" spans="1:91" s="20" customFormat="1" x14ac:dyDescent="0.25">
      <c r="A10" s="35"/>
      <c r="B10" s="37"/>
      <c r="C10" s="27"/>
      <c r="D10" s="27"/>
      <c r="E10" s="34"/>
      <c r="F10" s="34"/>
      <c r="G10" s="37"/>
      <c r="H10" s="34"/>
      <c r="I10" s="34"/>
      <c r="J10" s="37"/>
      <c r="K10" s="27"/>
      <c r="L10" s="27"/>
      <c r="M10" s="36"/>
      <c r="N10" s="37"/>
      <c r="O10" s="2"/>
      <c r="P10" s="2"/>
      <c r="U10" s="171"/>
      <c r="V10" s="185"/>
      <c r="W10" s="186"/>
      <c r="X10" s="186"/>
      <c r="Y10" s="60"/>
      <c r="Z10" s="60"/>
      <c r="AA10" s="60"/>
      <c r="AB10" s="57"/>
      <c r="AC10" s="51"/>
      <c r="AD10" s="52"/>
      <c r="AE10" s="1"/>
      <c r="AF10" s="1"/>
      <c r="AG10" s="1"/>
      <c r="AH10" s="48"/>
      <c r="AI10" s="1"/>
      <c r="AM10" s="158"/>
    </row>
    <row r="11" spans="1:91" ht="16.5" thickBot="1" x14ac:dyDescent="0.3">
      <c r="A11" s="195" t="str">
        <f>"Eagle P3 System Performance - "&amp;TEXT(Variables!A2,"yyyy-mm-dd")</f>
        <v>Eagle P3 System Performance - 2017-02-07</v>
      </c>
      <c r="B11" s="195"/>
      <c r="C11" s="195"/>
      <c r="D11" s="195"/>
      <c r="E11" s="195"/>
      <c r="F11" s="195"/>
      <c r="G11" s="195"/>
      <c r="H11" s="195"/>
      <c r="I11" s="195"/>
      <c r="J11" s="195"/>
      <c r="K11" s="195"/>
      <c r="L11" s="195"/>
      <c r="M11" s="195"/>
      <c r="N11" s="195"/>
      <c r="O11" s="195"/>
      <c r="P11" s="195"/>
      <c r="S11" s="64">
        <f>AVERAGE(S13:S80)</f>
        <v>0.99632352941176472</v>
      </c>
      <c r="V11" s="185"/>
      <c r="AE11" s="1"/>
      <c r="AF11" s="1"/>
      <c r="AG11" s="1"/>
      <c r="AH11" s="48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79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49" t="s">
        <v>64</v>
      </c>
      <c r="U12" s="187" t="s">
        <v>65</v>
      </c>
      <c r="V12" s="188" t="s">
        <v>45</v>
      </c>
      <c r="W12" s="189" t="s">
        <v>23</v>
      </c>
      <c r="X12" s="189" t="s">
        <v>48</v>
      </c>
      <c r="Y12" s="61" t="s">
        <v>20</v>
      </c>
      <c r="Z12" s="61" t="s">
        <v>21</v>
      </c>
      <c r="AA12" s="61" t="s">
        <v>22</v>
      </c>
      <c r="AB12" s="58" t="s">
        <v>39</v>
      </c>
      <c r="AC12" s="54" t="s">
        <v>40</v>
      </c>
      <c r="AD12" s="53" t="s">
        <v>82</v>
      </c>
      <c r="AE12" s="84" t="s">
        <v>89</v>
      </c>
      <c r="AF12" s="81" t="s">
        <v>94</v>
      </c>
      <c r="AG12" s="4" t="s">
        <v>107</v>
      </c>
      <c r="AH12" s="87" t="s">
        <v>109</v>
      </c>
      <c r="AI12" s="107" t="s">
        <v>147</v>
      </c>
      <c r="AJ12" s="47" t="s">
        <v>148</v>
      </c>
      <c r="AK12" s="47" t="s">
        <v>121</v>
      </c>
      <c r="AL12" s="47" t="s">
        <v>149</v>
      </c>
      <c r="AM12" s="159" t="s">
        <v>214</v>
      </c>
      <c r="AN12" s="47" t="s">
        <v>230</v>
      </c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3" t="s">
        <v>499</v>
      </c>
      <c r="B13" s="7">
        <v>4029</v>
      </c>
      <c r="C13" s="21" t="s">
        <v>193</v>
      </c>
      <c r="D13" s="21" t="s">
        <v>422</v>
      </c>
      <c r="E13" s="13">
        <v>42773.132523148146</v>
      </c>
      <c r="F13" s="13">
        <v>42773.135648148149</v>
      </c>
      <c r="G13" s="7">
        <v>2</v>
      </c>
      <c r="H13" s="21" t="s">
        <v>699</v>
      </c>
      <c r="I13" s="13">
        <v>42773.145127314812</v>
      </c>
      <c r="J13" s="7">
        <v>0</v>
      </c>
      <c r="K13" s="98" t="str">
        <f>IF(ISEVEN(B13),(B13-1)&amp;"/"&amp;B13,B13&amp;"/"&amp;(B13+1))</f>
        <v>4029/4030</v>
      </c>
      <c r="L13" s="21" t="str">
        <f>VLOOKUP(A13,'Trips&amp;Operators'!$C$1:$G$99999,5,FALSE)</f>
        <v>OUN ZACK</v>
      </c>
      <c r="M13" s="6">
        <f>I13-F13</f>
        <v>9.4791666633682325E-3</v>
      </c>
      <c r="N13" s="7"/>
      <c r="O13" s="7"/>
      <c r="P13" s="7">
        <f>24*60*SUM($M13:$M13)</f>
        <v>13.649999995250255</v>
      </c>
      <c r="Q13" s="22"/>
      <c r="R13" s="22" t="s">
        <v>886</v>
      </c>
      <c r="S13" s="31">
        <f>SUM(U13:U13)/IF(AG13="EC",12,1)</f>
        <v>0.75</v>
      </c>
      <c r="T13" s="46" t="str">
        <f>IF(ISEVEN(LEFT(AD13,4)),"Southbound","NorthBound")</f>
        <v>NorthBound</v>
      </c>
      <c r="U13" s="190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9</v>
      </c>
      <c r="V13" s="191" t="str">
        <f>"https://d0f6bd738d7f1b3e5a7ca70fe4ff75f0.us-east-1.aws.found.io/app/kibana#/discover/Steve-Slow-Train-Analysis-(2080s-and-2083s)?_g="&amp;"(refreshInterval:(display:Off,pause:!f,section:0,value:0),time:(from:'"&amp;TEXT(E13-1/24,"yyyy-MM-DDThh:mm:ss")&amp;utc_offset&amp;"00"&amp;"',mode:absolute,to:'"&amp;TEXT(I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&amp;"%22')),sort:!(Time.ISO8601,asc))"</f>
        <v>https://d0f6bd738d7f1b3e5a7ca70fe4ff75f0.us-east-1.aws.found.io/app/kibana#/discover/Steve-Slow-Train-Analysis-(2080s-and-2083s)?_g=(refreshInterval:(display:Off,pause:!f,section:0,value:0),time:(from:'2017-02-07T02:10:50-0700',mode:absolute,to:'2017-02-07T04:28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13" s="192" t="str">
        <f>IF(AA13&lt;IF(AG13="EC",23,5.65),"Y","N")</f>
        <v>Y</v>
      </c>
      <c r="X13" s="192" t="e">
        <f>VALUE(LEFT(AD13,4))-VALUE(LEFT(AD12,4))</f>
        <v>#VALUE!</v>
      </c>
      <c r="Y13" s="62">
        <f>RIGHT(D13,LEN(D13)-4)/10000</f>
        <v>7.3499999999999996E-2</v>
      </c>
      <c r="Z13" s="62">
        <f>RIGHT(H13,LEN(H13)-4)/10000</f>
        <v>6.4789000000000003</v>
      </c>
      <c r="AA13" s="62">
        <f>ABS(Z13-Y13)</f>
        <v>6.4054000000000002</v>
      </c>
      <c r="AB13" s="59" t="e">
        <f>VLOOKUP(A13,Enforcements!$C$7:$K$14,8,0)</f>
        <v>#N/A</v>
      </c>
      <c r="AC13" s="55" t="e">
        <f>VLOOKUP(A13,Enforcements!$C$7:$E$14,3,0)</f>
        <v>#N/A</v>
      </c>
      <c r="AD13" s="56" t="str">
        <f>IF(LEN(A13)=6,"0"&amp;A13,A13)</f>
        <v>0101-07</v>
      </c>
      <c r="AE13" s="85" t="str">
        <f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s3://rtdc.mdm.uploadarchive.raw/RTDC4029/ "%USERPROFILE%\AppData\Local\Temp\OnboardLogs"\RTDC4029\2017-02-07 --exclude "*" --recursive --include "*20170207*" &amp; "%USERPROFILE%\Documents\GitHub\mrs-test-scripts\Headless Mode &amp; Sideloading\WalkAndUnGZ.bat" "%USERPROFILE%\AppData\Local\Temp\OnboardLogs"\RTDC4029\2017-02-07 &amp; aws s3 cp s3://rtdc.mdm.uploadarchive.raw/RTDC4029/ "%USERPROFILE%\AppData\Local\Temp\OnboardLogs"\RTDC4029\2017-02-08 --exclude "*" --recursive --include "*20170208*" &amp; "%USERPROFILE%\Documents\GitHub\mrs-test-scripts\Headless Mode &amp; Sideloading\WalkAndUnGZ.bat" "%USERPROFILE%\AppData\Local\Temp\OnboardLogs"\RTDC4029\2017-02-08</v>
      </c>
      <c r="AF13" s="82" t="str">
        <f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/stypes="app*4029*20170207*" /stext=" 10:.+((SYSTEM_STATE.+slice.+state.+changed )|(ment ac)|(multiple cpu faults)|(system.+state.+changed )|(\[timeout)|(PRM\|1\|D)|(kpr)|(kdp)|(\|lc)|(penalty))" /e /r /s</v>
      </c>
      <c r="AG13" s="1" t="str">
        <f>IFERROR(IF(VALUE(LEFT(AD13,2))&lt;=2,"EC",IF(OR(VALUE(LEFT(AD13,2))=8,VALUE(LEFT(AD13,2))=18),"NW","Other")),"Other")</f>
        <v>EC</v>
      </c>
      <c r="AH13" s="86" t="str">
        <f t="shared" ref="AH13" si="0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101-07 --locoid 4029 --swversion DE.1.0.8.0 --startMP 204:735 --initTime 2017-02-07T03:10:50 --startdatetime 2017-02-07T03:15:20 --delay 2 --endMP 204:64789 --enddatetime 2017-02-07T03:28:59 --enforcementcount 0 &gt;&gt;C:\Users\stu\Documents\GitHub\eaglep3-reporting\EC\2017-02-07-refined-times.txt</v>
      </c>
      <c r="AI13" s="108" t="str">
        <f t="shared" ref="AI13" si="1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{"issue":{"subject":"Onboard in-route failure","project_id":79,"tracker_id":40,"status_id":1,"priority_id":2,"assigned_to_id":23,"start_date":"2017-02-07","description":"","custom_fields":[{"id":1,"name":"Subdivision","value":"EC"},{"id":4,"name":"Milepost","value":"6.4789"},{"id":17,"name":"Train ID","value":"101-07"},{"id":16,"name":"Locomotive ID","value":"4029"},{"id":130,"name":"Impact","value":""},{"id":150,"name":"Time of Event (Mountain Time)","value":"03:28:59"},{"id":151,"name":"Denver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48"/>
      <c r="AK13" s="48"/>
      <c r="AL13" s="48"/>
      <c r="AM13" s="158" t="str">
        <f t="shared" ref="AM13" si="2">"start /low /b "&amp;dls3logs&amp;" --loco "&amp;B13&amp;" --day "&amp;TEXT(F13,"YYYY-MM-DD")</f>
        <v>start /low /b %USERPROFILE%\Documents\GitHub\eaglep3\Utilities\DownloadLogsFromS3.py --loco 4029 --day 2017-02-07</v>
      </c>
      <c r="AN13" s="167" t="str">
        <f>"grep -SE -B400 ""CHR.+\|PRM\|1\|D.+(SWITCH|SIGNAL).+UNKNOWN"" "&amp;search_path&amp;"\RTDC"&amp;B13&amp;"\*"&amp;B13&amp;"*"&amp;TEXT(AVERAGE(F13,I13)-utc_offset/24,"YYYYMMDD")&amp;"*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"%USERPROFILE%\AppData\Local\Temp\OnboardLogs"\RTDC4029\*4029*20170207* | grep -SE "(Enforcement Action)|(\[TIMEOUT)|(CHR.+\|PRM\|1\|D.+(SWITCH|SIGNAL).+UNKNOWN)" - &gt;&gt; 2017-02-07-UncaughtWiMAX.txt</v>
      </c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3" t="s">
        <v>506</v>
      </c>
      <c r="B14" s="7">
        <v>4037</v>
      </c>
      <c r="C14" s="21" t="s">
        <v>193</v>
      </c>
      <c r="D14" s="21" t="s">
        <v>700</v>
      </c>
      <c r="E14" s="13">
        <v>42773.169293981482</v>
      </c>
      <c r="F14" s="13">
        <v>42773.17460648148</v>
      </c>
      <c r="G14" s="7">
        <v>1</v>
      </c>
      <c r="H14" s="21" t="s">
        <v>303</v>
      </c>
      <c r="I14" s="13">
        <v>42773.203090277777</v>
      </c>
      <c r="J14" s="7">
        <v>0</v>
      </c>
      <c r="K14" s="98" t="str">
        <f>IF(ISEVEN(B14),(B14-1)&amp;"/"&amp;B14,B14&amp;"/"&amp;(B14+1))</f>
        <v>4037/4038</v>
      </c>
      <c r="L14" s="21" t="str">
        <f>VLOOKUP(A14,'Trips&amp;Operators'!$C$1:$G$99999,5,FALSE)</f>
        <v>OUN ZACK</v>
      </c>
      <c r="M14" s="6">
        <f>I14-F14</f>
        <v>2.8483796297223307E-2</v>
      </c>
      <c r="N14" s="7">
        <f>24*60*SUM($M14:$M14)</f>
        <v>41.016666668001562</v>
      </c>
      <c r="O14" s="7"/>
      <c r="P14" s="7"/>
      <c r="Q14" s="22"/>
      <c r="R14" s="22"/>
      <c r="S14" s="31">
        <f>SUM(U14:U14)/IF(AG14="EC",12,1)</f>
        <v>1</v>
      </c>
      <c r="T14" s="46" t="str">
        <f>IF(ISEVEN(LEFT(AD14,4)),"Southbound","NorthBound")</f>
        <v>Southbound</v>
      </c>
      <c r="U14" s="190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191" t="str">
        <f>"https://d0f6bd738d7f1b3e5a7ca70fe4ff75f0.us-east-1.aws.found.io/app/kibana#/discover/Steve-Slow-Train-Analysis-(2080s-and-2083s)?_g="&amp;"(refreshInterval:(display:Off,pause:!f,section:0,value:0),time:(from:'"&amp;TEXT(E14-1/24,"yyyy-MM-DDThh:mm:ss")&amp;utc_offset&amp;"00"&amp;"',mode:absolute,to:'"&amp;TEXT(I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&amp;"%22')),sort:!(Time.ISO8601,asc))"</f>
        <v>https://d0f6bd738d7f1b3e5a7ca70fe4ff75f0.us-east-1.aws.found.io/app/kibana#/discover/Steve-Slow-Train-Analysis-(2080s-and-2083s)?_g=(refreshInterval:(display:Off,pause:!f,section:0,value:0),time:(from:'2017-02-07T03:03:47-0700',mode:absolute,to:'2017-02-07T05:52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4" s="192" t="str">
        <f>IF(AA14&lt;IF(AG14="EC",23,5.65),"Y","N")</f>
        <v>N</v>
      </c>
      <c r="X14" s="192">
        <f>VALUE(LEFT(AD14,4))-VALUE(LEFT(AD13,4))</f>
        <v>1</v>
      </c>
      <c r="Y14" s="62">
        <f>RIGHT(D14,LEN(D14)-4)/10000</f>
        <v>23.269200000000001</v>
      </c>
      <c r="Z14" s="62">
        <f>RIGHT(H14,LEN(H14)-4)/10000</f>
        <v>1.3899999999999999E-2</v>
      </c>
      <c r="AA14" s="62">
        <f>ABS(Z14-Y14)</f>
        <v>23.255300000000002</v>
      </c>
      <c r="AB14" s="59" t="e">
        <f>VLOOKUP(A14,Enforcements!$C$7:$K$14,8,0)</f>
        <v>#N/A</v>
      </c>
      <c r="AC14" s="55" t="e">
        <f>VLOOKUP(A14,Enforcements!$C$7:$E$14,3,0)</f>
        <v>#N/A</v>
      </c>
      <c r="AD14" s="56" t="str">
        <f>IF(LEN(A14)=6,"0"&amp;A14,A14)</f>
        <v>0102-07</v>
      </c>
      <c r="AE14" s="85" t="str">
        <f>"aws s3 cp "&amp;s3_bucket&amp;"/RTDC"&amp;B14&amp;"/ "&amp;search_path&amp;"\RTDC"&amp;B14&amp;"\"&amp;TEXT(F14,"YYYY-MM-DD")&amp;" --exclude ""*"" --recursive --include ""*"&amp;TEXT(F14,"YYYYMMDD")&amp;"*"" &amp; """&amp;walkandungz&amp;""" "&amp;search_path&amp;"\RTDC"&amp;B14&amp;"\"&amp;TEXT(F14,"YYYY-MM-DD")
&amp;" &amp; "&amp;"aws s3 cp "&amp;s3_bucket&amp;"/RTDC"&amp;B14&amp;"/ "&amp;search_path&amp;"\RTDC"&amp;B14&amp;"\"&amp;TEXT(F14+1,"YYYY-MM-DD")&amp;" --exclude ""*"" --recursive --include ""*"&amp;TEXT(F14+1,"YYYYMMDD")&amp;"*"" &amp; """&amp;walkandungz&amp;""" "&amp;search_path&amp;"\RTDC"&amp;B14&amp;"\"&amp;TEXT(F14+1,"YYYY-MM-DD")</f>
        <v>aws s3 cp s3://rtdc.mdm.uploadarchive.raw/RTDC4037/ "%USERPROFILE%\AppData\Local\Temp\OnboardLogs"\RTDC4037\2017-02-07 --exclude "*" --recursive --include "*20170207*" &amp; "%USERPROFILE%\Documents\GitHub\mrs-test-scripts\Headless Mode &amp; Sideloading\WalkAndUnGZ.bat" "%USERPROFILE%\AppData\Local\Temp\OnboardLogs"\RTDC4037\2017-02-07 &amp; aws s3 cp s3://rtdc.mdm.uploadarchive.raw/RTDC4037/ "%USERPROFILE%\AppData\Local\Temp\OnboardLogs"\RTDC4037\2017-02-08 --exclude "*" --recursive --include "*20170208*" &amp; "%USERPROFILE%\Documents\GitHub\mrs-test-scripts\Headless Mode &amp; Sideloading\WalkAndUnGZ.bat" "%USERPROFILE%\AppData\Local\Temp\OnboardLogs"\RTDC4037\2017-02-08</v>
      </c>
      <c r="AF14" s="82" t="str">
        <f>astrogrep_path&amp;" /spath="&amp;search_path&amp;" /stypes=""app*"&amp;B14&amp;"*"&amp;TEXT(I14-utc_offset/24,"YYYYMMDD")&amp;"*"" /stext="" "&amp;TEXT(I14-utc_offset/24,"HH")&amp;search_regexp&amp;""" /e /r /s"</f>
        <v>"C:\Program Files (x86)\AstroGrep\AstroGrep.exe" /spath="%USERPROFILE%\AppData\Local\Temp\OnboardLogs" /stypes="app*4037*20170207*" /stext=" 11:.+((SYSTEM_STATE.+slice.+state.+changed )|(ment ac)|(multiple cpu faults)|(system.+state.+changed )|(\[timeout)|(PRM\|1\|D)|(kpr)|(kdp)|(\|lc)|(penalty))" /e /r /s</v>
      </c>
      <c r="AG14" s="1" t="str">
        <f>IFERROR(IF(VALUE(LEFT(AD14,2))&lt;=2,"EC",IF(OR(VALUE(LEFT(AD14,2))=8,VALUE(LEFT(AD14,2))=18),"NW","Other")),"Other")</f>
        <v>EC</v>
      </c>
      <c r="AH14" s="86" t="str">
        <f t="shared" ref="AH14:AH77" si="3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102-07 --locoid 4037 --swversion DE.1.0.8.0 --startMP 204:232692 --initTime 2017-02-07T04:03:47 --startdatetime 2017-02-07T04:11:26 --delay 1 --endMP 204:139 --enddatetime 2017-02-07T04:52:27 --enforcementcount 0 &gt;&gt;C:\Users\stu\Documents\GitHub\eaglep3-reporting\EC\2017-02-07-refined-times.txt</v>
      </c>
      <c r="AI14" s="108" t="str">
        <f t="shared" ref="AI14:AI77" si="4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{"issue":{"subject":"","project_id":79,"tracker_id":40,"status_id":1,"priority_id":2,"assigned_to_id":23,"start_date":"2017-02-07","description":"","custom_fields":[{"id":1,"name":"Subdivision","value":"EC"},{"id":4,"name":"Milepost","value":"0.0139"},{"id":17,"name":"Train ID","value":"102-07"},{"id":16,"name":"Locomotive ID","value":"4037"},{"id":130,"name":"Impact","value":""},{"id":150,"name":"Time of Event (Mountain Time)","value":"04:52:27"},{"id":151,"name":"Denver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48"/>
      <c r="AK14" s="48"/>
      <c r="AL14" s="48"/>
      <c r="AM14" s="158" t="str">
        <f t="shared" ref="AM14:AM77" si="5">"start /low /b "&amp;dls3logs&amp;" --loco "&amp;B14&amp;" --day "&amp;TEXT(F14,"YYYY-MM-DD")</f>
        <v>start /low /b %USERPROFILE%\Documents\GitHub\eaglep3\Utilities\DownloadLogsFromS3.py --loco 4037 --day 2017-02-07</v>
      </c>
      <c r="AN14" s="167" t="str">
        <f>"grep -SE -B400 ""CHR.+\|PRM\|1\|D.+(SWITCH|SIGNAL).+UNKNOWN"" "&amp;search_path&amp;"\RTDC"&amp;B14&amp;"\*"&amp;B14&amp;"*"&amp;TEXT(AVERAGE(F14,I14)-utc_offset/24,"YYYYMMDD")&amp;"*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"%USERPROFILE%\AppData\Local\Temp\OnboardLogs"\RTDC4037\*4037*20170207* | grep -SE "(Enforcement Action)|(\[TIMEOUT)|(CHR.+\|PRM\|1\|D.+(SWITCH|SIGNAL).+UNKNOWN)" - &gt;&gt; 2017-02-07-UncaughtWiMAX.txt</v>
      </c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3" t="s">
        <v>503</v>
      </c>
      <c r="B15" s="7">
        <v>4031</v>
      </c>
      <c r="C15" s="21" t="s">
        <v>193</v>
      </c>
      <c r="D15" s="21" t="s">
        <v>701</v>
      </c>
      <c r="E15" s="13">
        <v>42773.154317129629</v>
      </c>
      <c r="F15" s="13">
        <v>42773.1565625</v>
      </c>
      <c r="G15" s="7">
        <v>1</v>
      </c>
      <c r="H15" s="21" t="s">
        <v>381</v>
      </c>
      <c r="I15" s="13">
        <v>42773.181481481479</v>
      </c>
      <c r="J15" s="7">
        <v>0</v>
      </c>
      <c r="K15" s="98" t="str">
        <f>IF(ISEVEN(B15),(B15-1)&amp;"/"&amp;B15,B15&amp;"/"&amp;(B15+1))</f>
        <v>4031/4032</v>
      </c>
      <c r="L15" s="21" t="str">
        <f>VLOOKUP(A15,'Trips&amp;Operators'!$C$1:$G$99999,5,FALSE)</f>
        <v>MAELZER KURT</v>
      </c>
      <c r="M15" s="6">
        <f>I15-F15</f>
        <v>2.491898147854954E-2</v>
      </c>
      <c r="N15" s="7">
        <f>24*60*SUM($M15:$M15)</f>
        <v>35.883333329111338</v>
      </c>
      <c r="O15" s="7"/>
      <c r="P15" s="7"/>
      <c r="Q15" s="22"/>
      <c r="R15" s="22"/>
      <c r="S15" s="31">
        <f>SUM(U15:U15)/IF(AG15="EC",12,1)</f>
        <v>1</v>
      </c>
      <c r="T15" s="46" t="str">
        <f>IF(ISEVEN(LEFT(AD15,4)),"Southbound","NorthBound")</f>
        <v>NorthBound</v>
      </c>
      <c r="U15" s="190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191" t="str">
        <f>"https://d0f6bd738d7f1b3e5a7ca70fe4ff75f0.us-east-1.aws.found.io/app/kibana#/discover/Steve-Slow-Train-Analysis-(2080s-and-2083s)?_g="&amp;"(refreshInterval:(display:Off,pause:!f,section:0,value:0),time:(from:'"&amp;TEXT(E15-1/24,"yyyy-MM-DDThh:mm:ss")&amp;utc_offset&amp;"00"&amp;"',mode:absolute,to:'"&amp;TEXT(I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&amp;"%22')),sort:!(Time.ISO8601,asc))"</f>
        <v>https://d0f6bd738d7f1b3e5a7ca70fe4ff75f0.us-east-1.aws.found.io/app/kibana#/discover/Steve-Slow-Train-Analysis-(2080s-and-2083s)?_g=(refreshInterval:(display:Off,pause:!f,section:0,value:0),time:(from:'2017-02-07T02:42:13-0700',mode:absolute,to:'2017-02-07T05:21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" s="192" t="str">
        <f>IF(AA15&lt;IF(AG15="EC",23,5.65),"Y","N")</f>
        <v>N</v>
      </c>
      <c r="X15" s="192">
        <f>VALUE(LEFT(AD15,4))-VALUE(LEFT(AD14,4))</f>
        <v>1</v>
      </c>
      <c r="Y15" s="62">
        <f>RIGHT(D15,LEN(D15)-4)/10000</f>
        <v>7.4099999999999999E-2</v>
      </c>
      <c r="Z15" s="62">
        <f>RIGHT(H15,LEN(H15)-4)/10000</f>
        <v>23.333600000000001</v>
      </c>
      <c r="AA15" s="62">
        <f>ABS(Z15-Y15)</f>
        <v>23.259499999999999</v>
      </c>
      <c r="AB15" s="59" t="e">
        <f>VLOOKUP(A15,Enforcements!$C$7:$K$14,8,0)</f>
        <v>#N/A</v>
      </c>
      <c r="AC15" s="55" t="e">
        <f>VLOOKUP(A15,Enforcements!$C$7:$E$14,3,0)</f>
        <v>#N/A</v>
      </c>
      <c r="AD15" s="56" t="str">
        <f>IF(LEN(A15)=6,"0"&amp;A15,A15)</f>
        <v>0103-07</v>
      </c>
      <c r="AE15" s="85" t="str">
        <f>"aws s3 cp "&amp;s3_bucket&amp;"/RTDC"&amp;B15&amp;"/ "&amp;search_path&amp;"\RTDC"&amp;B15&amp;"\"&amp;TEXT(F15,"YYYY-MM-DD")&amp;" --exclude ""*"" --recursive --include ""*"&amp;TEXT(F15,"YYYYMMDD")&amp;"*"" &amp; """&amp;walkandungz&amp;""" "&amp;search_path&amp;"\RTDC"&amp;B15&amp;"\"&amp;TEXT(F15,"YYYY-MM-DD")
&amp;" &amp; "&amp;"aws s3 cp "&amp;s3_bucket&amp;"/RTDC"&amp;B15&amp;"/ "&amp;search_path&amp;"\RTDC"&amp;B15&amp;"\"&amp;TEXT(F15+1,"YYYY-MM-DD")&amp;" --exclude ""*"" --recursive --include ""*"&amp;TEXT(F15+1,"YYYYMMDD")&amp;"*"" &amp; """&amp;walkandungz&amp;""" "&amp;search_path&amp;"\RTDC"&amp;B15&amp;"\"&amp;TEXT(F15+1,"YYYY-MM-DD")</f>
        <v>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 &amp; aws s3 cp s3://rtdc.mdm.uploadarchive.raw/RTDC4031/ "%USERPROFILE%\AppData\Local\Temp\OnboardLogs"\RTDC4031\2017-02-08 --exclude "*" --recursive --include "*20170208*" &amp; "%USERPROFILE%\Documents\GitHub\mrs-test-scripts\Headless Mode &amp; Sideloading\WalkAndUnGZ.bat" "%USERPROFILE%\AppData\Local\Temp\OnboardLogs"\RTDC4031\2017-02-08</v>
      </c>
      <c r="AF15" s="82" t="str">
        <f>astrogrep_path&amp;" /spath="&amp;search_path&amp;" /stypes=""app*"&amp;B15&amp;"*"&amp;TEXT(I15-utc_offset/24,"YYYYMMDD")&amp;"*"" /stext="" "&amp;TEXT(I15-utc_offset/24,"HH")&amp;search_regexp&amp;""" /e /r /s"</f>
        <v>"C:\Program Files (x86)\AstroGrep\AstroGrep.exe" /spath="%USERPROFILE%\AppData\Local\Temp\OnboardLogs" /stypes="app*4031*20170207*" /stext=" 11:.+((SYSTEM_STATE.+slice.+state.+changed )|(ment ac)|(multiple cpu faults)|(system.+state.+changed )|(\[timeout)|(PRM\|1\|D)|(kpr)|(kdp)|(\|lc)|(penalty))" /e /r /s</v>
      </c>
      <c r="AG15" s="1" t="str">
        <f>IFERROR(IF(VALUE(LEFT(AD15,2))&lt;=2,"EC",IF(OR(VALUE(LEFT(AD15,2))=8,VALUE(LEFT(AD15,2))=18),"NW","Other")),"Other")</f>
        <v>EC</v>
      </c>
      <c r="AH15" s="86" t="str">
        <f t="shared" si="3"/>
        <v>"%USERPROFILE%\Documents\GitHub\eaglep3\Utilities\RefineRTDCRunTimes.py" --tripid 103-07 --locoid 4031 --swversion DE.1.0.8.0 --startMP 204:741 --initTime 2017-02-07T03:42:13 --startdatetime 2017-02-07T03:45:27 --delay 1 --endMP 204:233336 --enddatetime 2017-02-07T04:21:20 --enforcementcount 0 &gt;&gt;C:\Users\stu\Documents\GitHub\eaglep3-reporting\EC\2017-02-07-refined-times.txt</v>
      </c>
      <c r="AI15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{"issue":{"subject":"","project_id":79,"tracker_id":40,"status_id":1,"priority_id":2,"assigned_to_id":23,"start_date":"2017-02-07","description":"","custom_fields":[{"id":1,"name":"Subdivision","value":"EC"},{"id":4,"name":"Milepost","value":"23.3336"},{"id":17,"name":"Train ID","value":"103-07"},{"id":16,"name":"Locomotive ID","value":"4031"},{"id":130,"name":"Impact","value":""},{"id":150,"name":"Time of Event (Mountain Time)","value":"04:21:20"},{"id":151,"name":"Denver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48"/>
      <c r="AK15" s="48"/>
      <c r="AL15" s="48"/>
      <c r="AM15" s="158" t="str">
        <f t="shared" si="5"/>
        <v>start /low /b %USERPROFILE%\Documents\GitHub\eaglep3\Utilities\DownloadLogsFromS3.py --loco 4031 --day 2017-02-07</v>
      </c>
      <c r="AN15" s="167" t="str">
        <f>"grep -SE -B400 ""CHR.+\|PRM\|1\|D.+(SWITCH|SIGNAL).+UNKNOWN"" "&amp;search_path&amp;"\RTDC"&amp;B15&amp;"\*"&amp;B15&amp;"*"&amp;TEXT(AVERAGE(F15,I15)-utc_offset/24,"YYYYMMDD")&amp;"*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"%USERPROFILE%\AppData\Local\Temp\OnboardLogs"\RTDC4031\*4031*20170207* | grep -SE "(Enforcement Action)|(\[TIMEOUT)|(CHR.+\|PRM\|1\|D.+(SWITCH|SIGNAL).+UNKNOWN)" - &gt;&gt; 2017-02-07-UncaughtWiMAX.txt</v>
      </c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3" t="s">
        <v>510</v>
      </c>
      <c r="B16" s="7">
        <v>4026</v>
      </c>
      <c r="C16" s="21" t="s">
        <v>193</v>
      </c>
      <c r="D16" s="21" t="s">
        <v>702</v>
      </c>
      <c r="E16" s="13">
        <v>42773.1872337963</v>
      </c>
      <c r="F16" s="13">
        <v>42773.195416666669</v>
      </c>
      <c r="G16" s="7">
        <v>1</v>
      </c>
      <c r="H16" s="21" t="s">
        <v>199</v>
      </c>
      <c r="I16" s="13">
        <v>42773.222372685188</v>
      </c>
      <c r="J16" s="7">
        <v>0</v>
      </c>
      <c r="K16" s="98" t="str">
        <f>IF(ISEVEN(B16),(B16-1)&amp;"/"&amp;B16,B16&amp;"/"&amp;(B16+1))</f>
        <v>4025/4026</v>
      </c>
      <c r="L16" s="21" t="str">
        <f>VLOOKUP(A16,'Trips&amp;Operators'!$C$1:$G$99999,5,FALSE)</f>
        <v>MAELZER KURT</v>
      </c>
      <c r="M16" s="6">
        <f>I16-F16</f>
        <v>2.6956018518831115E-2</v>
      </c>
      <c r="N16" s="7">
        <f>24*60*SUM($M16:$M16)</f>
        <v>38.816666667116806</v>
      </c>
      <c r="O16" s="7"/>
      <c r="P16" s="7"/>
      <c r="Q16" s="22"/>
      <c r="R16" s="22"/>
      <c r="S16" s="31">
        <f>SUM(U16:U16)/IF(AG16="EC",12,1)</f>
        <v>1</v>
      </c>
      <c r="T16" s="46" t="str">
        <f>IF(ISEVEN(LEFT(AD16,4)),"Southbound","NorthBound")</f>
        <v>Southbound</v>
      </c>
      <c r="U16" s="190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191" t="str">
        <f>"https://d0f6bd738d7f1b3e5a7ca70fe4ff75f0.us-east-1.aws.found.io/app/kibana#/discover/Steve-Slow-Train-Analysis-(2080s-and-2083s)?_g="&amp;"(refreshInterval:(display:Off,pause:!f,section:0,value:0),time:(from:'"&amp;TEXT(E16-1/24,"yyyy-MM-DDThh:mm:ss")&amp;utc_offset&amp;"00"&amp;"',mode:absolute,to:'"&amp;TEXT(I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&amp;"%22')),sort:!(Time.ISO8601,asc))"</f>
        <v>https://d0f6bd738d7f1b3e5a7ca70fe4ff75f0.us-east-1.aws.found.io/app/kibana#/discover/Steve-Slow-Train-Analysis-(2080s-and-2083s)?_g=(refreshInterval:(display:Off,pause:!f,section:0,value:0),time:(from:'2017-02-07T03:29:37-0700',mode:absolute,to:'2017-02-07T06:20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6" s="192" t="str">
        <f>IF(AA16&lt;IF(AG16="EC",23,5.65),"Y","N")</f>
        <v>N</v>
      </c>
      <c r="X16" s="192">
        <f>VALUE(LEFT(AD16,4))-VALUE(LEFT(AD15,4))</f>
        <v>1</v>
      </c>
      <c r="Y16" s="62">
        <f>RIGHT(D16,LEN(D16)-4)/10000</f>
        <v>23.267700000000001</v>
      </c>
      <c r="Z16" s="62">
        <f>RIGHT(H16,LEN(H16)-4)/10000</f>
        <v>1.4500000000000001E-2</v>
      </c>
      <c r="AA16" s="62">
        <f>ABS(Z16-Y16)</f>
        <v>23.2532</v>
      </c>
      <c r="AB16" s="59" t="e">
        <f>VLOOKUP(A16,Enforcements!$C$7:$K$14,8,0)</f>
        <v>#N/A</v>
      </c>
      <c r="AC16" s="55" t="e">
        <f>VLOOKUP(A16,Enforcements!$C$7:$E$14,3,0)</f>
        <v>#N/A</v>
      </c>
      <c r="AD16" s="56" t="str">
        <f>IF(LEN(A16)=6,"0"&amp;A16,A16)</f>
        <v>0104-07</v>
      </c>
      <c r="AE16" s="85" t="str">
        <f>"aws s3 cp "&amp;s3_bucket&amp;"/RTDC"&amp;B16&amp;"/ "&amp;search_path&amp;"\RTDC"&amp;B16&amp;"\"&amp;TEXT(F16,"YYYY-MM-DD")&amp;" --exclude ""*"" --recursive --include ""*"&amp;TEXT(F16,"YYYYMMDD")&amp;"*"" &amp; """&amp;walkandungz&amp;""" "&amp;search_path&amp;"\RTDC"&amp;B16&amp;"\"&amp;TEXT(F16,"YYYY-MM-DD")
&amp;" &amp; "&amp;"aws s3 cp "&amp;s3_bucket&amp;"/RTDC"&amp;B16&amp;"/ "&amp;search_path&amp;"\RTDC"&amp;B16&amp;"\"&amp;TEXT(F16+1,"YYYY-MM-DD")&amp;" --exclude ""*"" --recursive --include ""*"&amp;TEXT(F16+1,"YYYYMMDD")&amp;"*"" &amp; """&amp;walkandungz&amp;""" "&amp;search_path&amp;"\RTDC"&amp;B16&amp;"\"&amp;TEXT(F16+1,"YYYY-MM-DD")</f>
        <v>aws s3 cp s3://rtdc.mdm.uploadarchive.raw/RTDC4026/ "%USERPROFILE%\AppData\Local\Temp\OnboardLogs"\RTDC4026\2017-02-07 --exclude "*" --recursive --include "*20170207*" &amp; "%USERPROFILE%\Documents\GitHub\mrs-test-scripts\Headless Mode &amp; Sideloading\WalkAndUnGZ.bat" "%USERPROFILE%\AppData\Local\Temp\OnboardLogs"\RTDC4026\2017-02-07 &amp; 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</v>
      </c>
      <c r="AF16" s="82" t="str">
        <f>astrogrep_path&amp;" /spath="&amp;search_path&amp;" /stypes=""app*"&amp;B16&amp;"*"&amp;TEXT(I16-utc_offset/24,"YYYYMMDD")&amp;"*"" /stext="" "&amp;TEXT(I16-utc_offset/24,"HH")&amp;search_regexp&amp;""" /e /r /s"</f>
        <v>"C:\Program Files (x86)\AstroGrep\AstroGrep.exe" /spath="%USERPROFILE%\AppData\Local\Temp\OnboardLogs" /stypes="app*4026*20170207*" /stext=" 12:.+((SYSTEM_STATE.+slice.+state.+changed )|(ment ac)|(multiple cpu faults)|(system.+state.+changed )|(\[timeout)|(PRM\|1\|D)|(kpr)|(kdp)|(\|lc)|(penalty))" /e /r /s</v>
      </c>
      <c r="AG16" s="1" t="str">
        <f>IFERROR(IF(VALUE(LEFT(AD16,2))&lt;=2,"EC",IF(OR(VALUE(LEFT(AD16,2))=8,VALUE(LEFT(AD16,2))=18),"NW","Other")),"Other")</f>
        <v>EC</v>
      </c>
      <c r="AH16" s="86" t="str">
        <f t="shared" si="3"/>
        <v>"%USERPROFILE%\Documents\GitHub\eaglep3\Utilities\RefineRTDCRunTimes.py" --tripid 104-07 --locoid 4026 --swversion DE.1.0.8.0 --startMP 204:232677 --initTime 2017-02-07T04:29:37 --startdatetime 2017-02-07T04:41:24 --delay 1 --endMP 204:145 --enddatetime 2017-02-07T05:20:13 --enforcementcount 0 &gt;&gt;C:\Users\stu\Documents\GitHub\eaglep3-reporting\EC\2017-02-07-refined-times.txt</v>
      </c>
      <c r="AI16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{"issue":{"subject":"","project_id":79,"tracker_id":40,"status_id":1,"priority_id":2,"assigned_to_id":23,"start_date":"2017-02-07","description":"","custom_fields":[{"id":1,"name":"Subdivision","value":"EC"},{"id":4,"name":"Milepost","value":"0.0145"},{"id":17,"name":"Train ID","value":"104-07"},{"id":16,"name":"Locomotive ID","value":"4026"},{"id":130,"name":"Impact","value":""},{"id":150,"name":"Time of Event (Mountain Time)","value":"05:20:13"},{"id":151,"name":"Denver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48"/>
      <c r="AK16" s="48"/>
      <c r="AL16" s="48"/>
      <c r="AM16" s="158" t="str">
        <f t="shared" si="5"/>
        <v>start /low /b %USERPROFILE%\Documents\GitHub\eaglep3\Utilities\DownloadLogsFromS3.py --loco 4026 --day 2017-02-07</v>
      </c>
      <c r="AN16" s="167" t="str">
        <f>"grep -SE -B400 ""CHR.+\|PRM\|1\|D.+(SWITCH|SIGNAL).+UNKNOWN"" "&amp;search_path&amp;"\RTDC"&amp;B16&amp;"\*"&amp;B16&amp;"*"&amp;TEXT(AVERAGE(F16,I16)-utc_offset/24,"YYYYMMDD")&amp;"*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"%USERPROFILE%\AppData\Local\Temp\OnboardLogs"\RTDC4026\*4026*20170207* | grep -SE "(Enforcement Action)|(\[TIMEOUT)|(CHR.+\|PRM\|1\|D.+(SWITCH|SIGNAL).+UNKNOWN)" - &gt;&gt; 2017-02-07-UncaughtWiMAX.txt</v>
      </c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3" t="s">
        <v>505</v>
      </c>
      <c r="B17" s="7">
        <v>4046</v>
      </c>
      <c r="C17" s="21" t="s">
        <v>193</v>
      </c>
      <c r="D17" s="21" t="s">
        <v>703</v>
      </c>
      <c r="E17" s="13">
        <v>42773.166539351849</v>
      </c>
      <c r="F17" s="13">
        <v>42773.177349537036</v>
      </c>
      <c r="G17" s="7">
        <v>1</v>
      </c>
      <c r="H17" s="21" t="s">
        <v>704</v>
      </c>
      <c r="I17" s="13">
        <v>42773.201793981483</v>
      </c>
      <c r="J17" s="7">
        <v>0</v>
      </c>
      <c r="K17" s="98" t="str">
        <f>IF(ISEVEN(B17),(B17-1)&amp;"/"&amp;B17,B17&amp;"/"&amp;(B17+1))</f>
        <v>4045/4046</v>
      </c>
      <c r="L17" s="21" t="str">
        <f>VLOOKUP(A17,'Trips&amp;Operators'!$C$1:$G$99999,5,FALSE)</f>
        <v>YANAI IAN</v>
      </c>
      <c r="M17" s="6">
        <f>I17-F17</f>
        <v>2.4444444446999114E-2</v>
      </c>
      <c r="N17" s="7">
        <f>24*60*SUM($M17:$M17)</f>
        <v>35.200000003678724</v>
      </c>
      <c r="O17" s="7"/>
      <c r="P17" s="7"/>
      <c r="Q17" s="22"/>
      <c r="R17" s="22"/>
      <c r="S17" s="31">
        <f>SUM(U17:U17)/IF(AG17="EC",12,1)</f>
        <v>1</v>
      </c>
      <c r="T17" s="46" t="str">
        <f>IF(ISEVEN(LEFT(AD17,4)),"Southbound","NorthBound")</f>
        <v>NorthBound</v>
      </c>
      <c r="U17" s="190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191" t="str">
        <f>"https://d0f6bd738d7f1b3e5a7ca70fe4ff75f0.us-east-1.aws.found.io/app/kibana#/discover/Steve-Slow-Train-Analysis-(2080s-and-2083s)?_g="&amp;"(refreshInterval:(display:Off,pause:!f,section:0,value:0),time:(from:'"&amp;TEXT(E17-1/24,"yyyy-MM-DDThh:mm:ss")&amp;utc_offset&amp;"00"&amp;"',mode:absolute,to:'"&amp;TEXT(I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&amp;"%22')),sort:!(Time.ISO8601,asc))"</f>
        <v>https://d0f6bd738d7f1b3e5a7ca70fe4ff75f0.us-east-1.aws.found.io/app/kibana#/discover/Steve-Slow-Train-Analysis-(2080s-and-2083s)?_g=(refreshInterval:(display:Off,pause:!f,section:0,value:0),time:(from:'2017-02-07T02:59:49-0700',mode:absolute,to:'2017-02-07T05:50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7" s="192" t="str">
        <f>IF(AA17&lt;IF(AG17="EC",23,5.65),"Y","N")</f>
        <v>N</v>
      </c>
      <c r="X17" s="192">
        <f>VALUE(LEFT(AD17,4))-VALUE(LEFT(AD16,4))</f>
        <v>1</v>
      </c>
      <c r="Y17" s="62">
        <f>RIGHT(D17,LEN(D17)-4)/10000</f>
        <v>7.0400000000000004E-2</v>
      </c>
      <c r="Z17" s="62">
        <f>RIGHT(H17,LEN(H17)-4)/10000</f>
        <v>23.336200000000002</v>
      </c>
      <c r="AA17" s="62">
        <f>ABS(Z17-Y17)</f>
        <v>23.265800000000002</v>
      </c>
      <c r="AB17" s="59" t="e">
        <f>VLOOKUP(A17,Enforcements!$C$7:$K$14,8,0)</f>
        <v>#N/A</v>
      </c>
      <c r="AC17" s="55" t="e">
        <f>VLOOKUP(A17,Enforcements!$C$7:$E$14,3,0)</f>
        <v>#N/A</v>
      </c>
      <c r="AD17" s="56" t="str">
        <f>IF(LEN(A17)=6,"0"&amp;A17,A17)</f>
        <v>0105-07</v>
      </c>
      <c r="AE17" s="85" t="str">
        <f>"aws s3 cp "&amp;s3_bucket&amp;"/RTDC"&amp;B17&amp;"/ "&amp;search_path&amp;"\RTDC"&amp;B17&amp;"\"&amp;TEXT(F17,"YYYY-MM-DD")&amp;" --exclude ""*"" --recursive --include ""*"&amp;TEXT(F17,"YYYYMMDD")&amp;"*"" &amp; """&amp;walkandungz&amp;""" "&amp;search_path&amp;"\RTDC"&amp;B17&amp;"\"&amp;TEXT(F17,"YYYY-MM-DD")
&amp;" &amp; "&amp;"aws s3 cp "&amp;s3_bucket&amp;"/RTDC"&amp;B17&amp;"/ "&amp;search_path&amp;"\RTDC"&amp;B17&amp;"\"&amp;TEXT(F17+1,"YYYY-MM-DD")&amp;" --exclude ""*"" --recursive --include ""*"&amp;TEXT(F17+1,"YYYYMMDD")&amp;"*"" &amp; """&amp;walkandungz&amp;""" "&amp;search_path&amp;"\RTDC"&amp;B17&amp;"\"&amp;TEXT(F17+1,"YYYY-MM-DD")</f>
        <v>aws s3 cp s3://rtdc.mdm.uploadarchive.raw/RTDC4046/ "%USERPROFILE%\AppData\Local\Temp\OnboardLogs"\RTDC4046\2017-02-07 --exclude "*" --recursive --include "*20170207*" &amp; "%USERPROFILE%\Documents\GitHub\mrs-test-scripts\Headless Mode &amp; Sideloading\WalkAndUnGZ.bat" "%USERPROFILE%\AppData\Local\Temp\OnboardLogs"\RTDC4046\2017-02-07 &amp; aws s3 cp s3://rtdc.mdm.uploadarchive.raw/RTDC4046/ "%USERPROFILE%\AppData\Local\Temp\OnboardLogs"\RTDC4046\2017-02-08 --exclude "*" --recursive --include "*20170208*" &amp; "%USERPROFILE%\Documents\GitHub\mrs-test-scripts\Headless Mode &amp; Sideloading\WalkAndUnGZ.bat" "%USERPROFILE%\AppData\Local\Temp\OnboardLogs"\RTDC4046\2017-02-08</v>
      </c>
      <c r="AF17" s="82" t="str">
        <f>astrogrep_path&amp;" /spath="&amp;search_path&amp;" /stypes=""app*"&amp;B17&amp;"*"&amp;TEXT(I17-utc_offset/24,"YYYYMMDD")&amp;"*"" /stext="" "&amp;TEXT(I17-utc_offset/24,"HH")&amp;search_regexp&amp;""" /e /r /s"</f>
        <v>"C:\Program Files (x86)\AstroGrep\AstroGrep.exe" /spath="%USERPROFILE%\AppData\Local\Temp\OnboardLogs" /stypes="app*4046*20170207*" /stext=" 11:.+((SYSTEM_STATE.+slice.+state.+changed )|(ment ac)|(multiple cpu faults)|(system.+state.+changed )|(\[timeout)|(PRM\|1\|D)|(kpr)|(kdp)|(\|lc)|(penalty))" /e /r /s</v>
      </c>
      <c r="AG17" s="1" t="str">
        <f>IFERROR(IF(VALUE(LEFT(AD17,2))&lt;=2,"EC",IF(OR(VALUE(LEFT(AD17,2))=8,VALUE(LEFT(AD17,2))=18),"NW","Other")),"Other")</f>
        <v>EC</v>
      </c>
      <c r="AH17" s="86" t="str">
        <f t="shared" si="3"/>
        <v>"%USERPROFILE%\Documents\GitHub\eaglep3\Utilities\RefineRTDCRunTimes.py" --tripid 105-07 --locoid 4046 --swversion DE.1.0.8.0 --startMP 204:704 --initTime 2017-02-07T03:59:49 --startdatetime 2017-02-07T04:15:23 --delay 1 --endMP 204:233362 --enddatetime 2017-02-07T04:50:35 --enforcementcount 0 &gt;&gt;C:\Users\stu\Documents\GitHub\eaglep3-reporting\EC\2017-02-07-refined-times.txt</v>
      </c>
      <c r="AI17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{"issue":{"subject":"","project_id":79,"tracker_id":40,"status_id":1,"priority_id":2,"assigned_to_id":23,"start_date":"2017-02-07","description":"","custom_fields":[{"id":1,"name":"Subdivision","value":"EC"},{"id":4,"name":"Milepost","value":"23.3362"},{"id":17,"name":"Train ID","value":"105-07"},{"id":16,"name":"Locomotive ID","value":"4046"},{"id":130,"name":"Impact","value":""},{"id":150,"name":"Time of Event (Mountain Time)","value":"04:50:35"},{"id":151,"name":"Denver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48"/>
      <c r="AK17" s="48"/>
      <c r="AL17" s="48"/>
      <c r="AM17" s="158" t="str">
        <f t="shared" si="5"/>
        <v>start /low /b %USERPROFILE%\Documents\GitHub\eaglep3\Utilities\DownloadLogsFromS3.py --loco 4046 --day 2017-02-07</v>
      </c>
      <c r="AN17" s="167" t="str">
        <f>"grep -SE -B400 ""CHR.+\|PRM\|1\|D.+(SWITCH|SIGNAL).+UNKNOWN"" "&amp;search_path&amp;"\RTDC"&amp;B17&amp;"\*"&amp;B17&amp;"*"&amp;TEXT(AVERAGE(F17,I17)-utc_offset/24,"YYYYMMDD")&amp;"*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"%USERPROFILE%\AppData\Local\Temp\OnboardLogs"\RTDC4046\*4046*20170207* | grep -SE "(Enforcement Action)|(\[TIMEOUT)|(CHR.+\|PRM\|1\|D.+(SWITCH|SIGNAL).+UNKNOWN)" - &gt;&gt; 2017-02-07-UncaughtWiMAX.txt</v>
      </c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3" t="s">
        <v>517</v>
      </c>
      <c r="B18" s="7">
        <v>4001</v>
      </c>
      <c r="C18" s="21" t="s">
        <v>193</v>
      </c>
      <c r="D18" s="21" t="s">
        <v>705</v>
      </c>
      <c r="E18" s="13">
        <v>42773.211585648147</v>
      </c>
      <c r="F18" s="13">
        <v>42773.216180555559</v>
      </c>
      <c r="G18" s="7">
        <v>1</v>
      </c>
      <c r="H18" s="21" t="s">
        <v>196</v>
      </c>
      <c r="I18" s="13">
        <v>42773.242951388886</v>
      </c>
      <c r="J18" s="7">
        <v>0</v>
      </c>
      <c r="K18" s="98" t="str">
        <f>IF(ISEVEN(B18),(B18-1)&amp;"/"&amp;B18,B18&amp;"/"&amp;(B18+1))</f>
        <v>4001/4002</v>
      </c>
      <c r="L18" s="21" t="str">
        <f>VLOOKUP(A18,'Trips&amp;Operators'!$C$1:$G$99999,5,FALSE)</f>
        <v>YANAI IAN</v>
      </c>
      <c r="M18" s="6">
        <f>I18-F18</f>
        <v>2.6770833326736465E-2</v>
      </c>
      <c r="N18" s="7">
        <f>24*60*SUM($M18:$M18)</f>
        <v>38.54999999050051</v>
      </c>
      <c r="O18" s="7"/>
      <c r="P18" s="7"/>
      <c r="Q18" s="22"/>
      <c r="R18" s="22"/>
      <c r="S18" s="31">
        <f>SUM(U18:U18)/IF(AG18="EC",12,1)</f>
        <v>1</v>
      </c>
      <c r="T18" s="46" t="str">
        <f>IF(ISEVEN(LEFT(AD18,4)),"Southbound","NorthBound")</f>
        <v>Southbound</v>
      </c>
      <c r="U18" s="190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191" t="str">
        <f>"https://d0f6bd738d7f1b3e5a7ca70fe4ff75f0.us-east-1.aws.found.io/app/kibana#/discover/Steve-Slow-Train-Analysis-(2080s-and-2083s)?_g="&amp;"(refreshInterval:(display:Off,pause:!f,section:0,value:0),time:(from:'"&amp;TEXT(E18-1/24,"yyyy-MM-DDThh:mm:ss")&amp;utc_offset&amp;"00"&amp;"',mode:absolute,to:'"&amp;TEXT(I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&amp;"%22')),sort:!(Time.ISO8601,asc))"</f>
        <v>https://d0f6bd738d7f1b3e5a7ca70fe4ff75f0.us-east-1.aws.found.io/app/kibana#/discover/Steve-Slow-Train-Analysis-(2080s-and-2083s)?_g=(refreshInterval:(display:Off,pause:!f,section:0,value:0),time:(from:'2017-02-07T04:04:41-0700',mode:absolute,to:'2017-02-07T06:49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8" s="192" t="str">
        <f>IF(AA18&lt;IF(AG18="EC",23,5.65),"Y","N")</f>
        <v>N</v>
      </c>
      <c r="X18" s="192">
        <f>VALUE(LEFT(AD18,4))-VALUE(LEFT(AD17,4))</f>
        <v>1</v>
      </c>
      <c r="Y18" s="62">
        <f>RIGHT(D18,LEN(D18)-4)/10000</f>
        <v>23.270600000000002</v>
      </c>
      <c r="Z18" s="62">
        <f>RIGHT(H18,LEN(H18)-4)/10000</f>
        <v>1.4999999999999999E-2</v>
      </c>
      <c r="AA18" s="62">
        <f>ABS(Z18-Y18)</f>
        <v>23.255600000000001</v>
      </c>
      <c r="AB18" s="59" t="e">
        <f>VLOOKUP(A18,Enforcements!$C$7:$K$14,8,0)</f>
        <v>#N/A</v>
      </c>
      <c r="AC18" s="55" t="e">
        <f>VLOOKUP(A18,Enforcements!$C$7:$E$14,3,0)</f>
        <v>#N/A</v>
      </c>
      <c r="AD18" s="56" t="str">
        <f>IF(LEN(A18)=6,"0"&amp;A18,A18)</f>
        <v>0106-07</v>
      </c>
      <c r="AE18" s="85" t="str">
        <f>"aws s3 cp "&amp;s3_bucket&amp;"/RTDC"&amp;B18&amp;"/ "&amp;search_path&amp;"\RTDC"&amp;B18&amp;"\"&amp;TEXT(F18,"YYYY-MM-DD")&amp;" --exclude ""*"" --recursive --include ""*"&amp;TEXT(F18,"YYYYMMDD")&amp;"*"" &amp; """&amp;walkandungz&amp;""" "&amp;search_path&amp;"\RTDC"&amp;B18&amp;"\"&amp;TEXT(F18,"YYYY-MM-DD")
&amp;" &amp; "&amp;"aws s3 cp "&amp;s3_bucket&amp;"/RTDC"&amp;B18&amp;"/ "&amp;search_path&amp;"\RTDC"&amp;B18&amp;"\"&amp;TEXT(F18+1,"YYYY-MM-DD")&amp;" --exclude ""*"" --recursive --include ""*"&amp;TEXT(F18+1,"YYYYMMDD")&amp;"*"" &amp; """&amp;walkandungz&amp;""" "&amp;search_path&amp;"\RTDC"&amp;B18&amp;"\"&amp;TEXT(F18+1,"YYYY-MM-DD")</f>
        <v>aws s3 cp s3://rtdc.mdm.uploadarchive.raw/RTDC4001/ "%USERPROFILE%\AppData\Local\Temp\OnboardLogs"\RTDC4001\2017-02-07 --exclude "*" --recursive --include "*20170207*" &amp; "%USERPROFILE%\Documents\GitHub\mrs-test-scripts\Headless Mode &amp; Sideloading\WalkAndUnGZ.bat" "%USERPROFILE%\AppData\Local\Temp\OnboardLogs"\RTDC4001\2017-02-07 &amp; aws s3 cp s3://rtdc.mdm.uploadarchive.raw/RTDC4001/ "%USERPROFILE%\AppData\Local\Temp\OnboardLogs"\RTDC4001\2017-02-08 --exclude "*" --recursive --include "*20170208*" &amp; "%USERPROFILE%\Documents\GitHub\mrs-test-scripts\Headless Mode &amp; Sideloading\WalkAndUnGZ.bat" "%USERPROFILE%\AppData\Local\Temp\OnboardLogs"\RTDC4001\2017-02-08</v>
      </c>
      <c r="AF18" s="82" t="str">
        <f>astrogrep_path&amp;" /spath="&amp;search_path&amp;" /stypes=""app*"&amp;B18&amp;"*"&amp;TEXT(I18-utc_offset/24,"YYYYMMDD")&amp;"*"" /stext="" "&amp;TEXT(I18-utc_offset/24,"HH")&amp;search_regexp&amp;""" /e /r /s"</f>
        <v>"C:\Program Files (x86)\AstroGrep\AstroGrep.exe" /spath="%USERPROFILE%\AppData\Local\Temp\OnboardLogs" /stypes="app*4001*20170207*" /stext=" 12:.+((SYSTEM_STATE.+slice.+state.+changed )|(ment ac)|(multiple cpu faults)|(system.+state.+changed )|(\[timeout)|(PRM\|1\|D)|(kpr)|(kdp)|(\|lc)|(penalty))" /e /r /s</v>
      </c>
      <c r="AG18" s="1" t="str">
        <f>IFERROR(IF(VALUE(LEFT(AD18,2))&lt;=2,"EC",IF(OR(VALUE(LEFT(AD18,2))=8,VALUE(LEFT(AD18,2))=18),"NW","Other")),"Other")</f>
        <v>EC</v>
      </c>
      <c r="AH18" s="86" t="str">
        <f t="shared" si="3"/>
        <v>"%USERPROFILE%\Documents\GitHub\eaglep3\Utilities\RefineRTDCRunTimes.py" --tripid 106-07 --locoid 4001 --swversion DE.1.0.8.0 --startMP 204:232706 --initTime 2017-02-07T05:04:41 --startdatetime 2017-02-07T05:11:18 --delay 1 --endMP 204:150 --enddatetime 2017-02-07T05:49:51 --enforcementcount 0 &gt;&gt;C:\Users\stu\Documents\GitHub\eaglep3-reporting\EC\2017-02-07-refined-times.txt</v>
      </c>
      <c r="AI18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{"issue":{"subject":"","project_id":79,"tracker_id":40,"status_id":1,"priority_id":2,"assigned_to_id":23,"start_date":"2017-02-07","description":"","custom_fields":[{"id":1,"name":"Subdivision","value":"EC"},{"id":4,"name":"Milepost","value":"0.015"},{"id":17,"name":"Train ID","value":"106-07"},{"id":16,"name":"Locomotive ID","value":"4001"},{"id":130,"name":"Impact","value":""},{"id":150,"name":"Time of Event (Mountain Time)","value":"05:49:51"},{"id":151,"name":"Denver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48"/>
      <c r="AK18" s="48"/>
      <c r="AL18" s="48"/>
      <c r="AM18" s="158" t="str">
        <f t="shared" si="5"/>
        <v>start /low /b %USERPROFILE%\Documents\GitHub\eaglep3\Utilities\DownloadLogsFromS3.py --loco 4001 --day 2017-02-07</v>
      </c>
      <c r="AN18" s="167" t="str">
        <f>"grep -SE -B400 ""CHR.+\|PRM\|1\|D.+(SWITCH|SIGNAL).+UNKNOWN"" "&amp;search_path&amp;"\RTDC"&amp;B18&amp;"\*"&amp;B18&amp;"*"&amp;TEXT(AVERAGE(F18,I18)-utc_offset/24,"YYYYMMDD")&amp;"*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"%USERPROFILE%\AppData\Local\Temp\OnboardLogs"\RTDC4001\*4001*20170207* | grep -SE "(Enforcement Action)|(\[TIMEOUT)|(CHR.+\|PRM\|1\|D.+(SWITCH|SIGNAL).+UNKNOWN)" - &gt;&gt; 2017-02-07-UncaughtWiMAX.txt</v>
      </c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3" t="s">
        <v>507</v>
      </c>
      <c r="B19" s="7">
        <v>4040</v>
      </c>
      <c r="C19" s="21" t="s">
        <v>193</v>
      </c>
      <c r="D19" s="21" t="s">
        <v>312</v>
      </c>
      <c r="E19" s="13">
        <v>42773.182928240742</v>
      </c>
      <c r="F19" s="13">
        <v>42773.187731481485</v>
      </c>
      <c r="G19" s="7">
        <v>1</v>
      </c>
      <c r="H19" s="21" t="s">
        <v>335</v>
      </c>
      <c r="I19" s="13">
        <v>42773.214629629627</v>
      </c>
      <c r="J19" s="7">
        <v>0</v>
      </c>
      <c r="K19" s="98" t="str">
        <f>IF(ISEVEN(B19),(B19-1)&amp;"/"&amp;B19,B19&amp;"/"&amp;(B19+1))</f>
        <v>4039/4040</v>
      </c>
      <c r="L19" s="21" t="str">
        <f>VLOOKUP(A19,'Trips&amp;Operators'!$C$1:$G$99999,5,FALSE)</f>
        <v>BONDS REYNALDO</v>
      </c>
      <c r="M19" s="6">
        <f>I19-F19</f>
        <v>2.6898148142208811E-2</v>
      </c>
      <c r="N19" s="7">
        <f>24*60*SUM($M19:$M19)</f>
        <v>38.733333324780688</v>
      </c>
      <c r="O19" s="7"/>
      <c r="P19" s="7"/>
      <c r="Q19" s="22"/>
      <c r="R19" s="22"/>
      <c r="S19" s="31">
        <f>SUM(U19:U19)/IF(AG19="EC",12,1)</f>
        <v>1</v>
      </c>
      <c r="T19" s="46" t="str">
        <f>IF(ISEVEN(LEFT(AD19,4)),"Southbound","NorthBound")</f>
        <v>NorthBound</v>
      </c>
      <c r="U19" s="190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191" t="str">
        <f>"https://d0f6bd738d7f1b3e5a7ca70fe4ff75f0.us-east-1.aws.found.io/app/kibana#/discover/Steve-Slow-Train-Analysis-(2080s-and-2083s)?_g="&amp;"(refreshInterval:(display:Off,pause:!f,section:0,value:0),time:(from:'"&amp;TEXT(E19-1/24,"yyyy-MM-DDThh:mm:ss")&amp;utc_offset&amp;"00"&amp;"',mode:absolute,to:'"&amp;TEXT(I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&amp;"%22')),sort:!(Time.ISO8601,asc))"</f>
        <v>https://d0f6bd738d7f1b3e5a7ca70fe4ff75f0.us-east-1.aws.found.io/app/kibana#/discover/Steve-Slow-Train-Analysis-(2080s-and-2083s)?_g=(refreshInterval:(display:Off,pause:!f,section:0,value:0),time:(from:'2017-02-07T03:23:25-0700',mode:absolute,to:'2017-02-07T06:09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9" s="192" t="str">
        <f>IF(AA19&lt;IF(AG19="EC",23,5.65),"Y","N")</f>
        <v>N</v>
      </c>
      <c r="X19" s="192">
        <f>VALUE(LEFT(AD19,4))-VALUE(LEFT(AD18,4))</f>
        <v>1</v>
      </c>
      <c r="Y19" s="62">
        <f>RIGHT(D19,LEN(D19)-4)/10000</f>
        <v>4.4699999999999997E-2</v>
      </c>
      <c r="Z19" s="62">
        <f>RIGHT(H19,LEN(H19)-4)/10000</f>
        <v>23.328900000000001</v>
      </c>
      <c r="AA19" s="62">
        <f>ABS(Z19-Y19)</f>
        <v>23.284200000000002</v>
      </c>
      <c r="AB19" s="59" t="e">
        <f>VLOOKUP(A19,Enforcements!$C$7:$K$14,8,0)</f>
        <v>#N/A</v>
      </c>
      <c r="AC19" s="55" t="e">
        <f>VLOOKUP(A19,Enforcements!$C$7:$E$14,3,0)</f>
        <v>#N/A</v>
      </c>
      <c r="AD19" s="56" t="str">
        <f>IF(LEN(A19)=6,"0"&amp;A19,A19)</f>
        <v>0107-07</v>
      </c>
      <c r="AE19" s="85" t="str">
        <f>"aws s3 cp "&amp;s3_bucket&amp;"/RTDC"&amp;B19&amp;"/ "&amp;search_path&amp;"\RTDC"&amp;B19&amp;"\"&amp;TEXT(F19,"YYYY-MM-DD")&amp;" --exclude ""*"" --recursive --include ""*"&amp;TEXT(F19,"YYYYMMDD")&amp;"*"" &amp; """&amp;walkandungz&amp;""" "&amp;search_path&amp;"\RTDC"&amp;B19&amp;"\"&amp;TEXT(F19,"YYYY-MM-DD")
&amp;" &amp; "&amp;"aws s3 cp "&amp;s3_bucket&amp;"/RTDC"&amp;B19&amp;"/ "&amp;search_path&amp;"\RTDC"&amp;B19&amp;"\"&amp;TEXT(F19+1,"YYYY-MM-DD")&amp;" --exclude ""*"" --recursive --include ""*"&amp;TEXT(F19+1,"YYYYMMDD")&amp;"*"" &amp; """&amp;walkandungz&amp;""" "&amp;search_path&amp;"\RTDC"&amp;B19&amp;"\"&amp;TEXT(F19+1,"YYYY-MM-DD")</f>
        <v>aws s3 cp s3://rtdc.mdm.uploadarchive.raw/RTDC4040/ "%USERPROFILE%\AppData\Local\Temp\OnboardLogs"\RTDC4040\2017-02-07 --exclude "*" --recursive --include "*20170207*" &amp; "%USERPROFILE%\Documents\GitHub\mrs-test-scripts\Headless Mode &amp; Sideloading\WalkAndUnGZ.bat" "%USERPROFILE%\AppData\Local\Temp\OnboardLogs"\RTDC4040\2017-02-07 &amp; aws s3 cp s3://rtdc.mdm.uploadarchive.raw/RTDC4040/ "%USERPROFILE%\AppData\Local\Temp\OnboardLogs"\RTDC4040\2017-02-08 --exclude "*" --recursive --include "*20170208*" &amp; "%USERPROFILE%\Documents\GitHub\mrs-test-scripts\Headless Mode &amp; Sideloading\WalkAndUnGZ.bat" "%USERPROFILE%\AppData\Local\Temp\OnboardLogs"\RTDC4040\2017-02-08</v>
      </c>
      <c r="AF19" s="82" t="str">
        <f>astrogrep_path&amp;" /spath="&amp;search_path&amp;" /stypes=""app*"&amp;B19&amp;"*"&amp;TEXT(I19-utc_offset/24,"YYYYMMDD")&amp;"*"" /stext="" "&amp;TEXT(I19-utc_offset/24,"HH")&amp;search_regexp&amp;""" /e /r /s"</f>
        <v>"C:\Program Files (x86)\AstroGrep\AstroGrep.exe" /spath="%USERPROFILE%\AppData\Local\Temp\OnboardLogs" /stypes="app*4040*20170207*" /stext=" 12:.+((SYSTEM_STATE.+slice.+state.+changed )|(ment ac)|(multiple cpu faults)|(system.+state.+changed )|(\[timeout)|(PRM\|1\|D)|(kpr)|(kdp)|(\|lc)|(penalty))" /e /r /s</v>
      </c>
      <c r="AG19" s="1" t="str">
        <f>IFERROR(IF(VALUE(LEFT(AD19,2))&lt;=2,"EC",IF(OR(VALUE(LEFT(AD19,2))=8,VALUE(LEFT(AD19,2))=18),"NW","Other")),"Other")</f>
        <v>EC</v>
      </c>
      <c r="AH19" s="86" t="str">
        <f t="shared" si="3"/>
        <v>"%USERPROFILE%\Documents\GitHub\eaglep3\Utilities\RefineRTDCRunTimes.py" --tripid 107-07 --locoid 4040 --swversion DE.1.0.8.0 --startMP 204:447 --initTime 2017-02-07T04:23:25 --startdatetime 2017-02-07T04:30:20 --delay 1 --endMP 204:233289 --enddatetime 2017-02-07T05:09:04 --enforcementcount 0 &gt;&gt;C:\Users\stu\Documents\GitHub\eaglep3-reporting\EC\2017-02-07-refined-times.txt</v>
      </c>
      <c r="AI19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{"issue":{"subject":"","project_id":79,"tracker_id":40,"status_id":1,"priority_id":2,"assigned_to_id":23,"start_date":"2017-02-07","description":"","custom_fields":[{"id":1,"name":"Subdivision","value":"EC"},{"id":4,"name":"Milepost","value":"23.3289"},{"id":17,"name":"Train ID","value":"107-07"},{"id":16,"name":"Locomotive ID","value":"4040"},{"id":130,"name":"Impact","value":""},{"id":150,"name":"Time of Event (Mountain Time)","value":"05:09:04"},{"id":151,"name":"Denver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48"/>
      <c r="AK19" s="48"/>
      <c r="AL19" s="48"/>
      <c r="AM19" s="158" t="str">
        <f t="shared" si="5"/>
        <v>start /low /b %USERPROFILE%\Documents\GitHub\eaglep3\Utilities\DownloadLogsFromS3.py --loco 4040 --day 2017-02-07</v>
      </c>
      <c r="AN19" s="167" t="str">
        <f>"grep -SE -B400 ""CHR.+\|PRM\|1\|D.+(SWITCH|SIGNAL).+UNKNOWN"" "&amp;search_path&amp;"\RTDC"&amp;B19&amp;"\*"&amp;B19&amp;"*"&amp;TEXT(AVERAGE(F19,I19)-utc_offset/24,"YYYYMMDD")&amp;"*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"%USERPROFILE%\AppData\Local\Temp\OnboardLogs"\RTDC4040\*4040*20170207* | grep -SE "(Enforcement Action)|(\[TIMEOUT)|(CHR.+\|PRM\|1\|D.+(SWITCH|SIGNAL).+UNKNOWN)" - &gt;&gt; 2017-02-07-UncaughtWiMAX.txt</v>
      </c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3" t="s">
        <v>519</v>
      </c>
      <c r="B20" s="7">
        <v>4039</v>
      </c>
      <c r="C20" s="21" t="s">
        <v>193</v>
      </c>
      <c r="D20" s="21" t="s">
        <v>317</v>
      </c>
      <c r="E20" s="13">
        <v>42773.21947916667</v>
      </c>
      <c r="F20" s="13">
        <v>42773.2265625</v>
      </c>
      <c r="G20" s="7">
        <v>1</v>
      </c>
      <c r="H20" s="21" t="s">
        <v>184</v>
      </c>
      <c r="I20" s="13">
        <v>42773.254155092596</v>
      </c>
      <c r="J20" s="7">
        <v>0</v>
      </c>
      <c r="K20" s="98" t="str">
        <f>IF(ISEVEN(B20),(B20-1)&amp;"/"&amp;B20,B20&amp;"/"&amp;(B20+1))</f>
        <v>4039/4040</v>
      </c>
      <c r="L20" s="21" t="str">
        <f>VLOOKUP(A20,'Trips&amp;Operators'!$C$1:$G$99999,5,FALSE)</f>
        <v>BONDS REYNALDO</v>
      </c>
      <c r="M20" s="6">
        <f>I20-F20</f>
        <v>2.7592592596192844E-2</v>
      </c>
      <c r="N20" s="7">
        <f>24*60*SUM($M20:$M20)</f>
        <v>39.733333338517696</v>
      </c>
      <c r="O20" s="7"/>
      <c r="P20" s="7"/>
      <c r="Q20" s="22"/>
      <c r="R20" s="22"/>
      <c r="S20" s="31">
        <f>SUM(U20:U20)/IF(AG20="EC",12,1)</f>
        <v>1</v>
      </c>
      <c r="T20" s="46" t="str">
        <f>IF(ISEVEN(LEFT(AD20,4)),"Southbound","NorthBound")</f>
        <v>Southbound</v>
      </c>
      <c r="U20" s="190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191" t="str">
        <f>"https://d0f6bd738d7f1b3e5a7ca70fe4ff75f0.us-east-1.aws.found.io/app/kibana#/discover/Steve-Slow-Train-Analysis-(2080s-and-2083s)?_g="&amp;"(refreshInterval:(display:Off,pause:!f,section:0,value:0),time:(from:'"&amp;TEXT(E20-1/24,"yyyy-MM-DDThh:mm:ss")&amp;utc_offset&amp;"00"&amp;"',mode:absolute,to:'"&amp;TEXT(I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&amp;"%22')),sort:!(Time.ISO8601,asc))"</f>
        <v>https://d0f6bd738d7f1b3e5a7ca70fe4ff75f0.us-east-1.aws.found.io/app/kibana#/discover/Steve-Slow-Train-Analysis-(2080s-and-2083s)?_g=(refreshInterval:(display:Off,pause:!f,section:0,value:0),time:(from:'2017-02-07T04:16:03-0700',mode:absolute,to:'2017-02-07T07:05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20" s="192" t="str">
        <f>IF(AA20&lt;IF(AG20="EC",23,5.65),"Y","N")</f>
        <v>N</v>
      </c>
      <c r="X20" s="192">
        <f>VALUE(LEFT(AD20,4))-VALUE(LEFT(AD19,4))</f>
        <v>1</v>
      </c>
      <c r="Y20" s="62">
        <f>RIGHT(D20,LEN(D20)-4)/10000</f>
        <v>23.297699999999999</v>
      </c>
      <c r="Z20" s="62">
        <f>RIGHT(H20,LEN(H20)-4)/10000</f>
        <v>1.49E-2</v>
      </c>
      <c r="AA20" s="62">
        <f>ABS(Z20-Y20)</f>
        <v>23.282799999999998</v>
      </c>
      <c r="AB20" s="59" t="e">
        <f>VLOOKUP(A20,Enforcements!$C$7:$K$14,8,0)</f>
        <v>#N/A</v>
      </c>
      <c r="AC20" s="55" t="e">
        <f>VLOOKUP(A20,Enforcements!$C$7:$E$14,3,0)</f>
        <v>#N/A</v>
      </c>
      <c r="AD20" s="56" t="str">
        <f>IF(LEN(A20)=6,"0"&amp;A20,A20)</f>
        <v>0108-07</v>
      </c>
      <c r="AE20" s="85" t="str">
        <f>"aws s3 cp "&amp;s3_bucket&amp;"/RTDC"&amp;B20&amp;"/ "&amp;search_path&amp;"\RTDC"&amp;B20&amp;"\"&amp;TEXT(F20,"YYYY-MM-DD")&amp;" --exclude ""*"" --recursive --include ""*"&amp;TEXT(F20,"YYYYMMDD")&amp;"*"" &amp; """&amp;walkandungz&amp;""" "&amp;search_path&amp;"\RTDC"&amp;B20&amp;"\"&amp;TEXT(F20,"YYYY-MM-DD")
&amp;" &amp; "&amp;"aws s3 cp "&amp;s3_bucket&amp;"/RTDC"&amp;B20&amp;"/ "&amp;search_path&amp;"\RTDC"&amp;B20&amp;"\"&amp;TEXT(F20+1,"YYYY-MM-DD")&amp;" --exclude ""*"" --recursive --include ""*"&amp;TEXT(F20+1,"YYYYMMDD")&amp;"*"" &amp; """&amp;walkandungz&amp;""" "&amp;search_path&amp;"\RTDC"&amp;B20&amp;"\"&amp;TEXT(F20+1,"YYYY-MM-DD")</f>
        <v>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 &amp; aws s3 cp s3://rtdc.mdm.uploadarchive.raw/RTDC4039/ "%USERPROFILE%\AppData\Local\Temp\OnboardLogs"\RTDC4039\2017-02-08 --exclude "*" --recursive --include "*20170208*" &amp; "%USERPROFILE%\Documents\GitHub\mrs-test-scripts\Headless Mode &amp; Sideloading\WalkAndUnGZ.bat" "%USERPROFILE%\AppData\Local\Temp\OnboardLogs"\RTDC4039\2017-02-08</v>
      </c>
      <c r="AF20" s="82" t="str">
        <f>astrogrep_path&amp;" /spath="&amp;search_path&amp;" /stypes=""app*"&amp;B20&amp;"*"&amp;TEXT(I20-utc_offset/24,"YYYYMMDD")&amp;"*"" /stext="" "&amp;TEXT(I20-utc_offset/24,"HH")&amp;search_regexp&amp;""" /e /r /s"</f>
        <v>"C:\Program Files (x86)\AstroGrep\AstroGrep.exe" /spath="%USERPROFILE%\AppData\Local\Temp\OnboardLogs" /stypes="app*4039*20170207*" /stext=" 13:.+((SYSTEM_STATE.+slice.+state.+changed )|(ment ac)|(multiple cpu faults)|(system.+state.+changed )|(\[timeout)|(PRM\|1\|D)|(kpr)|(kdp)|(\|lc)|(penalty))" /e /r /s</v>
      </c>
      <c r="AG20" s="1" t="str">
        <f>IFERROR(IF(VALUE(LEFT(AD20,2))&lt;=2,"EC",IF(OR(VALUE(LEFT(AD20,2))=8,VALUE(LEFT(AD20,2))=18),"NW","Other")),"Other")</f>
        <v>EC</v>
      </c>
      <c r="AH20" s="86" t="str">
        <f t="shared" si="3"/>
        <v>"%USERPROFILE%\Documents\GitHub\eaglep3\Utilities\RefineRTDCRunTimes.py" --tripid 108-07 --locoid 4039 --swversion DE.1.0.8.0 --startMP 204:232977 --initTime 2017-02-07T05:16:03 --startdatetime 2017-02-07T05:26:15 --delay 1 --endMP 204:149 --enddatetime 2017-02-07T06:05:59 --enforcementcount 0 &gt;&gt;C:\Users\stu\Documents\GitHub\eaglep3-reporting\EC\2017-02-07-refined-times.txt</v>
      </c>
      <c r="AI20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{"issue":{"subject":"","project_id":79,"tracker_id":40,"status_id":1,"priority_id":2,"assigned_to_id":23,"start_date":"2017-02-07","description":"","custom_fields":[{"id":1,"name":"Subdivision","value":"EC"},{"id":4,"name":"Milepost","value":"0.0149"},{"id":17,"name":"Train ID","value":"108-07"},{"id":16,"name":"Locomotive ID","value":"4039"},{"id":130,"name":"Impact","value":""},{"id":150,"name":"Time of Event (Mountain Time)","value":"06:05:59"},{"id":151,"name":"Denver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48"/>
      <c r="AK20" s="48"/>
      <c r="AL20" s="48"/>
      <c r="AM20" s="158" t="str">
        <f t="shared" si="5"/>
        <v>start /low /b %USERPROFILE%\Documents\GitHub\eaglep3\Utilities\DownloadLogsFromS3.py --loco 4039 --day 2017-02-07</v>
      </c>
      <c r="AN20" s="167" t="str">
        <f>"grep -SE -B400 ""CHR.+\|PRM\|1\|D.+(SWITCH|SIGNAL).+UNKNOWN"" "&amp;search_path&amp;"\RTDC"&amp;B20&amp;"\*"&amp;B20&amp;"*"&amp;TEXT(AVERAGE(F20,I20)-utc_offset/24,"YYYYMMDD")&amp;"*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"%USERPROFILE%\AppData\Local\Temp\OnboardLogs"\RTDC4039\*4039*20170207* | grep -SE "(Enforcement Action)|(\[TIMEOUT)|(CHR.+\|PRM\|1\|D.+(SWITCH|SIGNAL).+UNKNOWN)" - &gt;&gt; 2017-02-07-UncaughtWiMAX.txt</v>
      </c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3" t="s">
        <v>465</v>
      </c>
      <c r="B21" s="7">
        <v>4011</v>
      </c>
      <c r="C21" s="21" t="s">
        <v>193</v>
      </c>
      <c r="D21" s="21" t="s">
        <v>239</v>
      </c>
      <c r="E21" s="13">
        <v>42773.19635416667</v>
      </c>
      <c r="F21" s="13">
        <v>42773.198101851849</v>
      </c>
      <c r="G21" s="7">
        <v>1</v>
      </c>
      <c r="H21" s="21" t="s">
        <v>392</v>
      </c>
      <c r="I21" s="13">
        <v>42773.224675925929</v>
      </c>
      <c r="J21" s="7">
        <v>0</v>
      </c>
      <c r="K21" s="98" t="str">
        <f>IF(ISEVEN(B21),(B21-1)&amp;"/"&amp;B21,B21&amp;"/"&amp;(B21+1))</f>
        <v>4011/4012</v>
      </c>
      <c r="L21" s="21" t="str">
        <f>VLOOKUP(A21,'Trips&amp;Operators'!$C$1:$G$99999,5,FALSE)</f>
        <v>DAVIS WENDY</v>
      </c>
      <c r="M21" s="6">
        <f>I21-F21</f>
        <v>2.6574074079690035E-2</v>
      </c>
      <c r="N21" s="7">
        <f>24*60*SUM($M21:$M21)</f>
        <v>38.266666674753651</v>
      </c>
      <c r="O21" s="7"/>
      <c r="P21" s="7"/>
      <c r="Q21" s="22"/>
      <c r="R21" s="22"/>
      <c r="S21" s="31">
        <f>SUM(U21:U21)/IF(AG21="EC",12,1)</f>
        <v>1</v>
      </c>
      <c r="T21" s="46" t="str">
        <f>IF(ISEVEN(LEFT(AD21,4)),"Southbound","NorthBound")</f>
        <v>NorthBound</v>
      </c>
      <c r="U21" s="190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191" t="str">
        <f>"https://d0f6bd738d7f1b3e5a7ca70fe4ff75f0.us-east-1.aws.found.io/app/kibana#/discover/Steve-Slow-Train-Analysis-(2080s-and-2083s)?_g="&amp;"(refreshInterval:(display:Off,pause:!f,section:0,value:0),time:(from:'"&amp;TEXT(E21-1/24,"yyyy-MM-DDThh:mm:ss")&amp;utc_offset&amp;"00"&amp;"',mode:absolute,to:'"&amp;TEXT(I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&amp;"%22')),sort:!(Time.ISO8601,asc))"</f>
        <v>https://d0f6bd738d7f1b3e5a7ca70fe4ff75f0.us-east-1.aws.found.io/app/kibana#/discover/Steve-Slow-Train-Analysis-(2080s-and-2083s)?_g=(refreshInterval:(display:Off,pause:!f,section:0,value:0),time:(from:'2017-02-07T03:42:45-0700',mode:absolute,to:'2017-02-07T06:23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1" s="192" t="str">
        <f>IF(AA21&lt;IF(AG21="EC",23,5.65),"Y","N")</f>
        <v>N</v>
      </c>
      <c r="X21" s="192">
        <f>VALUE(LEFT(AD21,4))-VALUE(LEFT(AD20,4))</f>
        <v>1</v>
      </c>
      <c r="Y21" s="62">
        <f>RIGHT(D21,LEN(D21)-4)/10000</f>
        <v>4.5699999999999998E-2</v>
      </c>
      <c r="Z21" s="62">
        <f>RIGHT(H21,LEN(H21)-4)/10000</f>
        <v>23.330500000000001</v>
      </c>
      <c r="AA21" s="62">
        <f>ABS(Z21-Y21)</f>
        <v>23.284800000000001</v>
      </c>
      <c r="AB21" s="59" t="str">
        <f>VLOOKUP(A21,Enforcements!$C$7:$K$14,8,0)</f>
        <v>Signal based authority (5)</v>
      </c>
      <c r="AC21" s="55" t="str">
        <f>VLOOKUP(A21,Enforcements!$C$7:$E$14,3,0)</f>
        <v>SIGNAL</v>
      </c>
      <c r="AD21" s="56" t="str">
        <f>IF(LEN(A21)=6,"0"&amp;A21,A21)</f>
        <v>0109-07</v>
      </c>
      <c r="AE21" s="85" t="str">
        <f>"aws s3 cp "&amp;s3_bucket&amp;"/RTDC"&amp;B21&amp;"/ "&amp;search_path&amp;"\RTDC"&amp;B21&amp;"\"&amp;TEXT(F21,"YYYY-MM-DD")&amp;" --exclude ""*"" --recursive --include ""*"&amp;TEXT(F21,"YYYYMMDD")&amp;"*"" &amp; """&amp;walkandungz&amp;""" "&amp;search_path&amp;"\RTDC"&amp;B21&amp;"\"&amp;TEXT(F21,"YYYY-MM-DD")
&amp;" &amp; "&amp;"aws s3 cp "&amp;s3_bucket&amp;"/RTDC"&amp;B21&amp;"/ "&amp;search_path&amp;"\RTDC"&amp;B21&amp;"\"&amp;TEXT(F21+1,"YYYY-MM-DD")&amp;" --exclude ""*"" --recursive --include ""*"&amp;TEXT(F21+1,"YYYYMMDD")&amp;"*"" &amp; """&amp;walkandungz&amp;""" "&amp;search_path&amp;"\RTDC"&amp;B21&amp;"\"&amp;TEXT(F21+1,"YYYY-MM-DD")</f>
        <v>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 &amp; aws s3 cp s3://rtdc.mdm.uploadarchive.raw/RTDC4011/ "%USERPROFILE%\AppData\Local\Temp\OnboardLogs"\RTDC4011\2017-02-08 --exclude "*" --recursive --include "*20170208*" &amp; "%USERPROFILE%\Documents\GitHub\mrs-test-scripts\Headless Mode &amp; Sideloading\WalkAndUnGZ.bat" "%USERPROFILE%\AppData\Local\Temp\OnboardLogs"\RTDC4011\2017-02-08</v>
      </c>
      <c r="AF21" s="82" t="str">
        <f>astrogrep_path&amp;" /spath="&amp;search_path&amp;" /stypes=""app*"&amp;B21&amp;"*"&amp;TEXT(I21-utc_offset/24,"YYYYMMDD")&amp;"*"" /stext="" "&amp;TEXT(I21-utc_offset/24,"HH")&amp;search_regexp&amp;""" /e /r /s"</f>
        <v>"C:\Program Files (x86)\AstroGrep\AstroGrep.exe" /spath="%USERPROFILE%\AppData\Local\Temp\OnboardLogs" /stypes="app*4011*20170207*" /stext=" 12:.+((SYSTEM_STATE.+slice.+state.+changed )|(ment ac)|(multiple cpu faults)|(system.+state.+changed )|(\[timeout)|(PRM\|1\|D)|(kpr)|(kdp)|(\|lc)|(penalty))" /e /r /s</v>
      </c>
      <c r="AG21" s="1" t="str">
        <f>IFERROR(IF(VALUE(LEFT(AD21,2))&lt;=2,"EC",IF(OR(VALUE(LEFT(AD21,2))=8,VALUE(LEFT(AD21,2))=18),"NW","Other")),"Other")</f>
        <v>EC</v>
      </c>
      <c r="AH21" s="86" t="str">
        <f t="shared" si="3"/>
        <v>"%USERPROFILE%\Documents\GitHub\eaglep3\Utilities\RefineRTDCRunTimes.py" --tripid 109-07 --locoid 4011 --swversion DE.1.0.8.0 --startMP 204:457 --initTime 2017-02-07T04:42:45 --startdatetime 2017-02-07T04:45:16 --delay 1 --endMP 204:233305 --enddatetime 2017-02-07T05:23:32 --enforcementcount 0 &gt;&gt;C:\Users\stu\Documents\GitHub\eaglep3-reporting\EC\2017-02-07-refined-times.txt</v>
      </c>
      <c r="AI21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{"issue":{"subject":"","project_id":79,"tracker_id":40,"status_id":1,"priority_id":2,"assigned_to_id":23,"start_date":"2017-02-07","description":"","custom_fields":[{"id":1,"name":"Subdivision","value":"EC"},{"id":4,"name":"Milepost","value":"23.3305"},{"id":17,"name":"Train ID","value":"109-07"},{"id":16,"name":"Locomotive ID","value":"4011"},{"id":130,"name":"Impact","value":""},{"id":150,"name":"Time of Event (Mountain Time)","value":"05:23:32"},{"id":151,"name":"Denver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48"/>
      <c r="AK21" s="48"/>
      <c r="AL21" s="48"/>
      <c r="AM21" s="158" t="str">
        <f t="shared" si="5"/>
        <v>start /low /b %USERPROFILE%\Documents\GitHub\eaglep3\Utilities\DownloadLogsFromS3.py --loco 4011 --day 2017-02-07</v>
      </c>
      <c r="AN21" s="167" t="str">
        <f>"grep -SE -B400 ""CHR.+\|PRM\|1\|D.+(SWITCH|SIGNAL).+UNKNOWN"" "&amp;search_path&amp;"\RTDC"&amp;B21&amp;"\*"&amp;B21&amp;"*"&amp;TEXT(AVERAGE(F21,I21)-utc_offset/24,"YYYYMMDD")&amp;"*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"%USERPROFILE%\AppData\Local\Temp\OnboardLogs"\RTDC4011\*4011*20170207* | grep -SE "(Enforcement Action)|(\[TIMEOUT)|(CHR.+\|PRM\|1\|D.+(SWITCH|SIGNAL).+UNKNOWN)" - &gt;&gt; 2017-02-07-UncaughtWiMAX.txt</v>
      </c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3" t="s">
        <v>522</v>
      </c>
      <c r="B22" s="7">
        <v>4012</v>
      </c>
      <c r="C22" s="21" t="s">
        <v>193</v>
      </c>
      <c r="D22" s="21" t="s">
        <v>706</v>
      </c>
      <c r="E22" s="13">
        <v>42773.233449074076</v>
      </c>
      <c r="F22" s="13">
        <v>42773.236979166664</v>
      </c>
      <c r="G22" s="7">
        <v>1</v>
      </c>
      <c r="H22" s="21" t="s">
        <v>707</v>
      </c>
      <c r="I22" s="13">
        <v>42773.266076388885</v>
      </c>
      <c r="J22" s="7">
        <v>0</v>
      </c>
      <c r="K22" s="98" t="str">
        <f>IF(ISEVEN(B22),(B22-1)&amp;"/"&amp;B22,B22&amp;"/"&amp;(B22+1))</f>
        <v>4011/4012</v>
      </c>
      <c r="L22" s="21" t="str">
        <f>VLOOKUP(A22,'Trips&amp;Operators'!$C$1:$G$99999,5,FALSE)</f>
        <v>DAVIS WENDY</v>
      </c>
      <c r="M22" s="6">
        <f>I22-F22</f>
        <v>2.9097222221025731E-2</v>
      </c>
      <c r="N22" s="7">
        <f>24*60*SUM($M22:$M22)</f>
        <v>41.899999998277053</v>
      </c>
      <c r="O22" s="7"/>
      <c r="P22" s="7"/>
      <c r="Q22" s="22"/>
      <c r="R22" s="22"/>
      <c r="S22" s="31">
        <f>SUM(U22:U22)/IF(AG22="EC",12,1)</f>
        <v>1</v>
      </c>
      <c r="T22" s="46" t="str">
        <f>IF(ISEVEN(LEFT(AD22,4)),"Southbound","NorthBound")</f>
        <v>Southbound</v>
      </c>
      <c r="U22" s="190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12</v>
      </c>
      <c r="V22" s="191" t="str">
        <f>"https://d0f6bd738d7f1b3e5a7ca70fe4ff75f0.us-east-1.aws.found.io/app/kibana#/discover/Steve-Slow-Train-Analysis-(2080s-and-2083s)?_g="&amp;"(refreshInterval:(display:Off,pause:!f,section:0,value:0),time:(from:'"&amp;TEXT(E22-1/24,"yyyy-MM-DDThh:mm:ss")&amp;utc_offset&amp;"00"&amp;"',mode:absolute,to:'"&amp;TEXT(I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&amp;"%22')),sort:!(Time.ISO8601,asc))"</f>
        <v>https://d0f6bd738d7f1b3e5a7ca70fe4ff75f0.us-east-1.aws.found.io/app/kibana#/discover/Steve-Slow-Train-Analysis-(2080s-and-2083s)?_g=(refreshInterval:(display:Off,pause:!f,section:0,value:0),time:(from:'2017-02-07T04:36:10-0700',mode:absolute,to:'2017-02-07T07:23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22" s="192" t="str">
        <f>IF(AA22&lt;IF(AG22="EC",23,5.65),"Y","N")</f>
        <v>N</v>
      </c>
      <c r="X22" s="192">
        <f>VALUE(LEFT(AD22,4))-VALUE(LEFT(AD21,4))</f>
        <v>1</v>
      </c>
      <c r="Y22" s="62">
        <f>RIGHT(D22,LEN(D22)-4)/10000</f>
        <v>23.299199999999999</v>
      </c>
      <c r="Z22" s="62">
        <f>RIGHT(H22,LEN(H22)-4)/10000</f>
        <v>3.3799999999999997E-2</v>
      </c>
      <c r="AA22" s="62">
        <f>ABS(Z22-Y22)</f>
        <v>23.2654</v>
      </c>
      <c r="AB22" s="59" t="e">
        <f>VLOOKUP(A22,Enforcements!$C$7:$K$14,8,0)</f>
        <v>#N/A</v>
      </c>
      <c r="AC22" s="55" t="e">
        <f>VLOOKUP(A22,Enforcements!$C$7:$E$14,3,0)</f>
        <v>#N/A</v>
      </c>
      <c r="AD22" s="56" t="str">
        <f>IF(LEN(A22)=6,"0"&amp;A22,A22)</f>
        <v>0110-07</v>
      </c>
      <c r="AE22" s="85" t="str">
        <f>"aws s3 cp "&amp;s3_bucket&amp;"/RTDC"&amp;B22&amp;"/ "&amp;search_path&amp;"\RTDC"&amp;B22&amp;"\"&amp;TEXT(F22,"YYYY-MM-DD")&amp;" --exclude ""*"" --recursive --include ""*"&amp;TEXT(F22,"YYYYMMDD")&amp;"*"" &amp; """&amp;walkandungz&amp;""" "&amp;search_path&amp;"\RTDC"&amp;B22&amp;"\"&amp;TEXT(F22,"YYYY-MM-DD")
&amp;" &amp; "&amp;"aws s3 cp "&amp;s3_bucket&amp;"/RTDC"&amp;B22&amp;"/ "&amp;search_path&amp;"\RTDC"&amp;B22&amp;"\"&amp;TEXT(F22+1,"YYYY-MM-DD")&amp;" --exclude ""*"" --recursive --include ""*"&amp;TEXT(F22+1,"YYYYMMDD")&amp;"*"" &amp; """&amp;walkandungz&amp;""" "&amp;search_path&amp;"\RTDC"&amp;B22&amp;"\"&amp;TEXT(F22+1,"YYYY-MM-DD")</f>
        <v>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 &amp; aws s3 cp s3://rtdc.mdm.uploadarchive.raw/RTDC4012/ "%USERPROFILE%\AppData\Local\Temp\OnboardLogs"\RTDC4012\2017-02-08 --exclude "*" --recursive --include "*20170208*" &amp; "%USERPROFILE%\Documents\GitHub\mrs-test-scripts\Headless Mode &amp; Sideloading\WalkAndUnGZ.bat" "%USERPROFILE%\AppData\Local\Temp\OnboardLogs"\RTDC4012\2017-02-08</v>
      </c>
      <c r="AF22" s="82" t="str">
        <f>astrogrep_path&amp;" /spath="&amp;search_path&amp;" /stypes=""app*"&amp;B22&amp;"*"&amp;TEXT(I22-utc_offset/24,"YYYYMMDD")&amp;"*"" /stext="" "&amp;TEXT(I22-utc_offset/24,"HH")&amp;search_regexp&amp;""" /e /r /s"</f>
        <v>"C:\Program Files (x86)\AstroGrep\AstroGrep.exe" /spath="%USERPROFILE%\AppData\Local\Temp\OnboardLogs" /stypes="app*4012*20170207*" /stext=" 13:.+((SYSTEM_STATE.+slice.+state.+changed )|(ment ac)|(multiple cpu faults)|(system.+state.+changed )|(\[timeout)|(PRM\|1\|D)|(kpr)|(kdp)|(\|lc)|(penalty))" /e /r /s</v>
      </c>
      <c r="AG22" s="1" t="str">
        <f>IFERROR(IF(VALUE(LEFT(AD22,2))&lt;=2,"EC",IF(OR(VALUE(LEFT(AD22,2))=8,VALUE(LEFT(AD22,2))=18),"NW","Other")),"Other")</f>
        <v>EC</v>
      </c>
      <c r="AH22" s="86" t="str">
        <f t="shared" si="3"/>
        <v>"%USERPROFILE%\Documents\GitHub\eaglep3\Utilities\RefineRTDCRunTimes.py" --tripid 110-07 --locoid 4012 --swversion DE.1.0.8.0 --startMP 204:232992 --initTime 2017-02-07T05:36:10 --startdatetime 2017-02-07T05:41:15 --delay 1 --endMP 204:338 --enddatetime 2017-02-07T06:23:09 --enforcementcount 0 &gt;&gt;C:\Users\stu\Documents\GitHub\eaglep3-reporting\EC\2017-02-07-refined-times.txt</v>
      </c>
      <c r="AI22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{"issue":{"subject":"","project_id":79,"tracker_id":40,"status_id":1,"priority_id":2,"assigned_to_id":23,"start_date":"2017-02-07","description":"","custom_fields":[{"id":1,"name":"Subdivision","value":"EC"},{"id":4,"name":"Milepost","value":"0.0338"},{"id":17,"name":"Train ID","value":"110-07"},{"id":16,"name":"Locomotive ID","value":"4012"},{"id":130,"name":"Impact","value":""},{"id":150,"name":"Time of Event (Mountain Time)","value":"06:23:09"},{"id":151,"name":"Denver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48"/>
      <c r="AK22" s="48"/>
      <c r="AL22" s="48"/>
      <c r="AM22" s="158" t="str">
        <f t="shared" si="5"/>
        <v>start /low /b %USERPROFILE%\Documents\GitHub\eaglep3\Utilities\DownloadLogsFromS3.py --loco 4012 --day 2017-02-07</v>
      </c>
      <c r="AN22" s="167" t="str">
        <f>"grep -SE -B400 ""CHR.+\|PRM\|1\|D.+(SWITCH|SIGNAL).+UNKNOWN"" "&amp;search_path&amp;"\RTDC"&amp;B22&amp;"\*"&amp;B22&amp;"*"&amp;TEXT(AVERAGE(F22,I22)-utc_offset/24,"YYYYMMDD")&amp;"*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"%USERPROFILE%\AppData\Local\Temp\OnboardLogs"\RTDC4012\*4012*20170207* | grep -SE "(Enforcement Action)|(\[TIMEOUT)|(CHR.+\|PRM\|1\|D.+(SWITCH|SIGNAL).+UNKNOWN)" - &gt;&gt; 2017-02-07-UncaughtWiMAX.txt</v>
      </c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3" t="s">
        <v>513</v>
      </c>
      <c r="B23" s="7">
        <v>4029</v>
      </c>
      <c r="C23" s="21" t="s">
        <v>193</v>
      </c>
      <c r="D23" s="21" t="s">
        <v>708</v>
      </c>
      <c r="E23" s="13">
        <v>42773.206423611111</v>
      </c>
      <c r="F23" s="13">
        <v>42773.208645833336</v>
      </c>
      <c r="G23" s="7">
        <v>2</v>
      </c>
      <c r="H23" s="21" t="s">
        <v>351</v>
      </c>
      <c r="I23" s="13">
        <v>42773.234247685185</v>
      </c>
      <c r="J23" s="7">
        <v>0</v>
      </c>
      <c r="K23" s="98" t="str">
        <f>IF(ISEVEN(B23),(B23-1)&amp;"/"&amp;B23,B23&amp;"/"&amp;(B23+1))</f>
        <v>4029/4030</v>
      </c>
      <c r="L23" s="21" t="str">
        <f>VLOOKUP(A23,'Trips&amp;Operators'!$C$1:$G$99999,5,FALSE)</f>
        <v>LOZA FIDEL</v>
      </c>
      <c r="M23" s="6">
        <f>I23-F23</f>
        <v>2.5601851848477963E-2</v>
      </c>
      <c r="N23" s="7">
        <f>24*60*SUM($M23:$M23)</f>
        <v>36.866666661808267</v>
      </c>
      <c r="O23" s="7"/>
      <c r="P23" s="7"/>
      <c r="Q23" s="22"/>
      <c r="R23" s="22"/>
      <c r="S23" s="31">
        <f>SUM(U23:U23)/IF(AG23="EC",12,1)</f>
        <v>1</v>
      </c>
      <c r="T23" s="46" t="str">
        <f>IF(ISEVEN(LEFT(AD23,4)),"Southbound","NorthBound")</f>
        <v>NorthBound</v>
      </c>
      <c r="U23" s="190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191" t="str">
        <f>"https://d0f6bd738d7f1b3e5a7ca70fe4ff75f0.us-east-1.aws.found.io/app/kibana#/discover/Steve-Slow-Train-Analysis-(2080s-and-2083s)?_g="&amp;"(refreshInterval:(display:Off,pause:!f,section:0,value:0),time:(from:'"&amp;TEXT(E23-1/24,"yyyy-MM-DDThh:mm:ss")&amp;utc_offset&amp;"00"&amp;"',mode:absolute,to:'"&amp;TEXT(I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&amp;"%22')),sort:!(Time.ISO8601,asc))"</f>
        <v>https://d0f6bd738d7f1b3e5a7ca70fe4ff75f0.us-east-1.aws.found.io/app/kibana#/discover/Steve-Slow-Train-Analysis-(2080s-and-2083s)?_g=(refreshInterval:(display:Off,pause:!f,section:0,value:0),time:(from:'2017-02-07T03:57:15-0700',mode:absolute,to:'2017-02-07T06:37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4029%22')),sort:!(Time.ISO8601,asc))</v>
      </c>
      <c r="W23" s="192" t="str">
        <f>IF(AA23&lt;IF(AG23="EC",23,5.65),"Y","N")</f>
        <v>N</v>
      </c>
      <c r="X23" s="192">
        <f>VALUE(LEFT(AD23,4))-VALUE(LEFT(AD22,4))</f>
        <v>1</v>
      </c>
      <c r="Y23" s="62">
        <f>RIGHT(D23,LEN(D23)-4)/10000</f>
        <v>7.8100000000000003E-2</v>
      </c>
      <c r="Z23" s="62">
        <f>RIGHT(H23,LEN(H23)-4)/10000</f>
        <v>23.331499999999998</v>
      </c>
      <c r="AA23" s="62">
        <f>ABS(Z23-Y23)</f>
        <v>23.253399999999999</v>
      </c>
      <c r="AB23" s="59" t="e">
        <f>VLOOKUP(A23,Enforcements!$C$7:$K$14,8,0)</f>
        <v>#N/A</v>
      </c>
      <c r="AC23" s="55" t="e">
        <f>VLOOKUP(A23,Enforcements!$C$7:$E$14,3,0)</f>
        <v>#N/A</v>
      </c>
      <c r="AD23" s="56" t="str">
        <f>IF(LEN(A23)=6,"0"&amp;A23,A23)</f>
        <v>0111-07</v>
      </c>
      <c r="AE23" s="85" t="str">
        <f>"aws s3 cp "&amp;s3_bucket&amp;"/RTDC"&amp;B23&amp;"/ "&amp;search_path&amp;"\RTDC"&amp;B23&amp;"\"&amp;TEXT(F23,"YYYY-MM-DD")&amp;" --exclude ""*"" --recursive --include ""*"&amp;TEXT(F23,"YYYYMMDD")&amp;"*"" &amp; """&amp;walkandungz&amp;""" "&amp;search_path&amp;"\RTDC"&amp;B23&amp;"\"&amp;TEXT(F23,"YYYY-MM-DD")
&amp;" &amp; "&amp;"aws s3 cp "&amp;s3_bucket&amp;"/RTDC"&amp;B23&amp;"/ "&amp;search_path&amp;"\RTDC"&amp;B23&amp;"\"&amp;TEXT(F23+1,"YYYY-MM-DD")&amp;" --exclude ""*"" --recursive --include ""*"&amp;TEXT(F23+1,"YYYYMMDD")&amp;"*"" &amp; """&amp;walkandungz&amp;""" "&amp;search_path&amp;"\RTDC"&amp;B23&amp;"\"&amp;TEXT(F23+1,"YYYY-MM-DD")</f>
        <v>aws s3 cp s3://rtdc.mdm.uploadarchive.raw/RTDC4029/ "%USERPROFILE%\AppData\Local\Temp\OnboardLogs"\RTDC4029\2017-02-07 --exclude "*" --recursive --include "*20170207*" &amp; "%USERPROFILE%\Documents\GitHub\mrs-test-scripts\Headless Mode &amp; Sideloading\WalkAndUnGZ.bat" "%USERPROFILE%\AppData\Local\Temp\OnboardLogs"\RTDC4029\2017-02-07 &amp; aws s3 cp s3://rtdc.mdm.uploadarchive.raw/RTDC4029/ "%USERPROFILE%\AppData\Local\Temp\OnboardLogs"\RTDC4029\2017-02-08 --exclude "*" --recursive --include "*20170208*" &amp; "%USERPROFILE%\Documents\GitHub\mrs-test-scripts\Headless Mode &amp; Sideloading\WalkAndUnGZ.bat" "%USERPROFILE%\AppData\Local\Temp\OnboardLogs"\RTDC4029\2017-02-08</v>
      </c>
      <c r="AF23" s="82" t="str">
        <f>astrogrep_path&amp;" /spath="&amp;search_path&amp;" /stypes=""app*"&amp;B23&amp;"*"&amp;TEXT(I23-utc_offset/24,"YYYYMMDD")&amp;"*"" /stext="" "&amp;TEXT(I23-utc_offset/24,"HH")&amp;search_regexp&amp;""" /e /r /s"</f>
        <v>"C:\Program Files (x86)\AstroGrep\AstroGrep.exe" /spath="%USERPROFILE%\AppData\Local\Temp\OnboardLogs" /stypes="app*4029*20170207*" /stext=" 12:.+((SYSTEM_STATE.+slice.+state.+changed )|(ment ac)|(multiple cpu faults)|(system.+state.+changed )|(\[timeout)|(PRM\|1\|D)|(kpr)|(kdp)|(\|lc)|(penalty))" /e /r /s</v>
      </c>
      <c r="AG23" s="1" t="str">
        <f>IFERROR(IF(VALUE(LEFT(AD23,2))&lt;=2,"EC",IF(OR(VALUE(LEFT(AD23,2))=8,VALUE(LEFT(AD23,2))=18),"NW","Other")),"Other")</f>
        <v>EC</v>
      </c>
      <c r="AH23" s="86" t="str">
        <f t="shared" si="3"/>
        <v>"%USERPROFILE%\Documents\GitHub\eaglep3\Utilities\RefineRTDCRunTimes.py" --tripid 111-07 --locoid 4029 --swversion DE.1.0.8.0 --startMP 204:781 --initTime 2017-02-07T04:57:15 --startdatetime 2017-02-07T05:00:27 --delay 2 --endMP 204:233315 --enddatetime 2017-02-07T05:37:19 --enforcementcount 0 &gt;&gt;C:\Users\stu\Documents\GitHub\eaglep3-reporting\EC\2017-02-07-refined-times.txt</v>
      </c>
      <c r="AI23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{"issue":{"subject":"","project_id":79,"tracker_id":40,"status_id":1,"priority_id":2,"assigned_to_id":23,"start_date":"2017-02-07","description":"","custom_fields":[{"id":1,"name":"Subdivision","value":"EC"},{"id":4,"name":"Milepost","value":"23.3315"},{"id":17,"name":"Train ID","value":"111-07"},{"id":16,"name":"Locomotive ID","value":"4029"},{"id":130,"name":"Impact","value":""},{"id":150,"name":"Time of Event (Mountain Time)","value":"05:37:19"},{"id":151,"name":"Denver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48"/>
      <c r="AK23" s="48"/>
      <c r="AL23" s="48"/>
      <c r="AM23" s="158" t="str">
        <f t="shared" si="5"/>
        <v>start /low /b %USERPROFILE%\Documents\GitHub\eaglep3\Utilities\DownloadLogsFromS3.py --loco 4029 --day 2017-02-07</v>
      </c>
      <c r="AN23" s="167" t="str">
        <f>"grep -SE -B400 ""CHR.+\|PRM\|1\|D.+(SWITCH|SIGNAL).+UNKNOWN"" "&amp;search_path&amp;"\RTDC"&amp;B23&amp;"\*"&amp;B23&amp;"*"&amp;TEXT(AVERAGE(F23,I23)-utc_offset/24,"YYYYMMDD")&amp;"*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"%USERPROFILE%\AppData\Local\Temp\OnboardLogs"\RTDC4029\*4029*20170207* | grep -SE "(Enforcement Action)|(\[TIMEOUT)|(CHR.+\|PRM\|1\|D.+(SWITCH|SIGNAL).+UNKNOWN)" - &gt;&gt; 2017-02-07-UncaughtWiMAX.txt</v>
      </c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3" t="s">
        <v>524</v>
      </c>
      <c r="B24" s="7">
        <v>4030</v>
      </c>
      <c r="C24" s="21" t="s">
        <v>193</v>
      </c>
      <c r="D24" s="21" t="s">
        <v>709</v>
      </c>
      <c r="E24" s="13">
        <v>42773.243275462963</v>
      </c>
      <c r="F24" s="13">
        <v>42773.247453703705</v>
      </c>
      <c r="G24" s="7">
        <v>1</v>
      </c>
      <c r="H24" s="21" t="s">
        <v>710</v>
      </c>
      <c r="I24" s="13">
        <v>42773.274583333332</v>
      </c>
      <c r="J24" s="7">
        <v>0</v>
      </c>
      <c r="K24" s="98" t="str">
        <f>IF(ISEVEN(B24),(B24-1)&amp;"/"&amp;B24,B24&amp;"/"&amp;(B24+1))</f>
        <v>4029/4030</v>
      </c>
      <c r="L24" s="21" t="str">
        <f>VLOOKUP(A24,'Trips&amp;Operators'!$C$1:$G$99999,5,FALSE)</f>
        <v>LOZA FIDEL</v>
      </c>
      <c r="M24" s="6">
        <f>I24-F24</f>
        <v>2.7129629626870155E-2</v>
      </c>
      <c r="N24" s="7">
        <f>24*60*SUM($M24:$M24)</f>
        <v>39.066666662693024</v>
      </c>
      <c r="O24" s="7"/>
      <c r="P24" s="7"/>
      <c r="Q24" s="22"/>
      <c r="R24" s="22"/>
      <c r="S24" s="31">
        <f>SUM(U24:U24)/IF(AG24="EC",12,1)</f>
        <v>1</v>
      </c>
      <c r="T24" s="46" t="str">
        <f>IF(ISEVEN(LEFT(AD24,4)),"Southbound","NorthBound")</f>
        <v>Southbound</v>
      </c>
      <c r="U24" s="190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191" t="str">
        <f>"https://d0f6bd738d7f1b3e5a7ca70fe4ff75f0.us-east-1.aws.found.io/app/kibana#/discover/Steve-Slow-Train-Analysis-(2080s-and-2083s)?_g="&amp;"(refreshInterval:(display:Off,pause:!f,section:0,value:0),time:(from:'"&amp;TEXT(E24-1/24,"yyyy-MM-DDThh:mm:ss")&amp;utc_offset&amp;"00"&amp;"',mode:absolute,to:'"&amp;TEXT(I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24&amp;"%22')),sort:!(Time.ISO8601,asc))"</f>
        <v>https://d0f6bd738d7f1b3e5a7ca70fe4ff75f0.us-east-1.aws.found.io/app/kibana#/discover/Steve-Slow-Train-Analysis-(2080s-and-2083s)?_g=(refreshInterval:(display:Off,pause:!f,section:0,value:0),time:(from:'2017-02-07T04:50:19-0700',mode:absolute,to:'2017-02-07T07:35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4030%22')),sort:!(Time.ISO8601,asc))</v>
      </c>
      <c r="W24" s="192" t="str">
        <f>IF(AA24&lt;IF(AG24="EC",23,5.65),"Y","N")</f>
        <v>N</v>
      </c>
      <c r="X24" s="192">
        <f>VALUE(LEFT(AD24,4))-VALUE(LEFT(AD23,4))</f>
        <v>1</v>
      </c>
      <c r="Y24" s="62">
        <f>RIGHT(D24,LEN(D24)-4)/10000</f>
        <v>23.3004</v>
      </c>
      <c r="Z24" s="62">
        <f>RIGHT(H24,LEN(H24)-4)/10000</f>
        <v>0.1177</v>
      </c>
      <c r="AA24" s="62">
        <f>ABS(Z24-Y24)</f>
        <v>23.182700000000001</v>
      </c>
      <c r="AB24" s="59" t="e">
        <f>VLOOKUP(A24,Enforcements!$C$7:$K$14,8,0)</f>
        <v>#N/A</v>
      </c>
      <c r="AC24" s="55" t="e">
        <f>VLOOKUP(A24,Enforcements!$C$7:$E$14,3,0)</f>
        <v>#N/A</v>
      </c>
      <c r="AD24" s="56" t="str">
        <f>IF(LEN(A24)=6,"0"&amp;A24,A24)</f>
        <v>0112-07</v>
      </c>
      <c r="AE24" s="85" t="str">
        <f>"aws s3 cp "&amp;s3_bucket&amp;"/RTDC"&amp;B24&amp;"/ "&amp;search_path&amp;"\RTDC"&amp;B24&amp;"\"&amp;TEXT(F24,"YYYY-MM-DD")&amp;" --exclude ""*"" --recursive --include ""*"&amp;TEXT(F24,"YYYYMMDD")&amp;"*"" &amp; """&amp;walkandungz&amp;""" "&amp;search_path&amp;"\RTDC"&amp;B24&amp;"\"&amp;TEXT(F24,"YYYY-MM-DD")
&amp;" &amp; "&amp;"aws s3 cp "&amp;s3_bucket&amp;"/RTDC"&amp;B24&amp;"/ "&amp;search_path&amp;"\RTDC"&amp;B24&amp;"\"&amp;TEXT(F24+1,"YYYY-MM-DD")&amp;" --exclude ""*"" --recursive --include ""*"&amp;TEXT(F24+1,"YYYYMMDD")&amp;"*"" &amp; """&amp;walkandungz&amp;""" "&amp;search_path&amp;"\RTDC"&amp;B24&amp;"\"&amp;TEXT(F24+1,"YYYY-MM-DD")</f>
        <v>aws s3 cp s3://rtdc.mdm.uploadarchive.raw/RTDC4030/ "%USERPROFILE%\AppData\Local\Temp\OnboardLogs"\RTDC4030\2017-02-07 --exclude "*" --recursive --include "*20170207*" &amp; "%USERPROFILE%\Documents\GitHub\mrs-test-scripts\Headless Mode &amp; Sideloading\WalkAndUnGZ.bat" "%USERPROFILE%\AppData\Local\Temp\OnboardLogs"\RTDC4030\2017-02-07 &amp; aws s3 cp s3://rtdc.mdm.uploadarchive.raw/RTDC4030/ "%USERPROFILE%\AppData\Local\Temp\OnboardLogs"\RTDC4030\2017-02-08 --exclude "*" --recursive --include "*20170208*" &amp; "%USERPROFILE%\Documents\GitHub\mrs-test-scripts\Headless Mode &amp; Sideloading\WalkAndUnGZ.bat" "%USERPROFILE%\AppData\Local\Temp\OnboardLogs"\RTDC4030\2017-02-08</v>
      </c>
      <c r="AF24" s="82" t="str">
        <f>astrogrep_path&amp;" /spath="&amp;search_path&amp;" /stypes=""app*"&amp;B24&amp;"*"&amp;TEXT(I24-utc_offset/24,"YYYYMMDD")&amp;"*"" /stext="" "&amp;TEXT(I24-utc_offset/24,"HH")&amp;search_regexp&amp;""" /e /r /s"</f>
        <v>"C:\Program Files (x86)\AstroGrep\AstroGrep.exe" /spath="%USERPROFILE%\AppData\Local\Temp\OnboardLogs" /stypes="app*4030*20170207*" /stext=" 13:.+((SYSTEM_STATE.+slice.+state.+changed )|(ment ac)|(multiple cpu faults)|(system.+state.+changed )|(\[timeout)|(PRM\|1\|D)|(kpr)|(kdp)|(\|lc)|(penalty))" /e /r /s</v>
      </c>
      <c r="AG24" s="1" t="str">
        <f>IFERROR(IF(VALUE(LEFT(AD24,2))&lt;=2,"EC",IF(OR(VALUE(LEFT(AD24,2))=8,VALUE(LEFT(AD24,2))=18),"NW","Other")),"Other")</f>
        <v>EC</v>
      </c>
      <c r="AH24" s="86" t="str">
        <f t="shared" si="3"/>
        <v>"%USERPROFILE%\Documents\GitHub\eaglep3\Utilities\RefineRTDCRunTimes.py" --tripid 112-07 --locoid 4030 --swversion DE.1.0.8.0 --startMP 204:233004 --initTime 2017-02-07T05:50:19 --startdatetime 2017-02-07T05:56:20 --delay 1 --endMP 204:1177 --enddatetime 2017-02-07T06:35:24 --enforcementcount 0 &gt;&gt;C:\Users\stu\Documents\GitHub\eaglep3-reporting\EC\2017-02-07-refined-times.txt</v>
      </c>
      <c r="AI24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{"issue":{"subject":"","project_id":79,"tracker_id":40,"status_id":1,"priority_id":2,"assigned_to_id":23,"start_date":"2017-02-07","description":"","custom_fields":[{"id":1,"name":"Subdivision","value":"EC"},{"id":4,"name":"Milepost","value":"0.1177"},{"id":17,"name":"Train ID","value":"112-07"},{"id":16,"name":"Locomotive ID","value":"4030"},{"id":130,"name":"Impact","value":""},{"id":150,"name":"Time of Event (Mountain Time)","value":"06:35:24"},{"id":151,"name":"Denver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48"/>
      <c r="AK24" s="48"/>
      <c r="AL24" s="48"/>
      <c r="AM24" s="158" t="str">
        <f t="shared" si="5"/>
        <v>start /low /b %USERPROFILE%\Documents\GitHub\eaglep3\Utilities\DownloadLogsFromS3.py --loco 4030 --day 2017-02-07</v>
      </c>
      <c r="AN24" s="167" t="str">
        <f>"grep -SE -B400 ""CHR.+\|PRM\|1\|D.+(SWITCH|SIGNAL).+UNKNOWN"" "&amp;search_path&amp;"\RTDC"&amp;B24&amp;"\*"&amp;B24&amp;"*"&amp;TEXT(AVERAGE(F24,I24)-utc_offset/24,"YYYYMMDD")&amp;"*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"%USERPROFILE%\AppData\Local\Temp\OnboardLogs"\RTDC4030\*4030*20170207* | grep -SE "(Enforcement Action)|(\[TIMEOUT)|(CHR.+\|PRM\|1\|D.+(SWITCH|SIGNAL).+UNKNOWN)" - &gt;&gt; 2017-02-07-UncaughtWiMAX.txt</v>
      </c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3" t="s">
        <v>518</v>
      </c>
      <c r="B25" s="7">
        <v>4038</v>
      </c>
      <c r="C25" s="21" t="s">
        <v>193</v>
      </c>
      <c r="D25" s="21" t="s">
        <v>711</v>
      </c>
      <c r="E25" s="13">
        <v>42773.211793981478</v>
      </c>
      <c r="F25" s="13">
        <v>42773.218993055554</v>
      </c>
      <c r="G25" s="7">
        <v>1</v>
      </c>
      <c r="H25" s="21" t="s">
        <v>348</v>
      </c>
      <c r="I25" s="13">
        <v>42773.244050925925</v>
      </c>
      <c r="J25" s="7">
        <v>0</v>
      </c>
      <c r="K25" s="98" t="str">
        <f>IF(ISEVEN(B25),(B25-1)&amp;"/"&amp;B25,B25&amp;"/"&amp;(B25+1))</f>
        <v>4037/4038</v>
      </c>
      <c r="L25" s="21" t="str">
        <f>VLOOKUP(A25,'Trips&amp;Operators'!$C$1:$G$99999,5,FALSE)</f>
        <v>OUN ZACK</v>
      </c>
      <c r="M25" s="6">
        <f>I25-F25</f>
        <v>2.5057870370801538E-2</v>
      </c>
      <c r="N25" s="7">
        <f>24*60*SUM($M25:$M25)</f>
        <v>36.083333333954215</v>
      </c>
      <c r="O25" s="7"/>
      <c r="P25" s="7"/>
      <c r="Q25" s="22"/>
      <c r="R25" s="22"/>
      <c r="S25" s="31">
        <f>SUM(U25:U25)/IF(AG25="EC",12,1)</f>
        <v>1</v>
      </c>
      <c r="T25" s="46" t="str">
        <f>IF(ISEVEN(LEFT(AD25,4)),"Southbound","NorthBound")</f>
        <v>NorthBound</v>
      </c>
      <c r="U25" s="190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191" t="str">
        <f>"https://d0f6bd738d7f1b3e5a7ca70fe4ff75f0.us-east-1.aws.found.io/app/kibana#/discover/Steve-Slow-Train-Analysis-(2080s-and-2083s)?_g="&amp;"(refreshInterval:(display:Off,pause:!f,section:0,value:0),time:(from:'"&amp;TEXT(E25-1/24,"yyyy-MM-DDThh:mm:ss")&amp;utc_offset&amp;"00"&amp;"',mode:absolute,to:'"&amp;TEXT(I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25&amp;"%22')),sort:!(Time.ISO8601,asc))"</f>
        <v>https://d0f6bd738d7f1b3e5a7ca70fe4ff75f0.us-east-1.aws.found.io/app/kibana#/discover/Steve-Slow-Train-Analysis-(2080s-and-2083s)?_g=(refreshInterval:(display:Off,pause:!f,section:0,value:0),time:(from:'2017-02-07T04:04:59-0700',mode:absolute,to:'2017-02-07T06:51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5" s="192" t="str">
        <f>IF(AA25&lt;IF(AG25="EC",23,5.65),"Y","N")</f>
        <v>N</v>
      </c>
      <c r="X25" s="192">
        <f>VALUE(LEFT(AD25,4))-VALUE(LEFT(AD24,4))</f>
        <v>1</v>
      </c>
      <c r="Y25" s="62">
        <f>RIGHT(D25,LEN(D25)-4)/10000</f>
        <v>4.4400000000000002E-2</v>
      </c>
      <c r="Z25" s="62">
        <f>RIGHT(H25,LEN(H25)-4)/10000</f>
        <v>23.333400000000001</v>
      </c>
      <c r="AA25" s="62">
        <f>ABS(Z25-Y25)</f>
        <v>23.289000000000001</v>
      </c>
      <c r="AB25" s="59" t="e">
        <f>VLOOKUP(A25,Enforcements!$C$7:$K$14,8,0)</f>
        <v>#N/A</v>
      </c>
      <c r="AC25" s="55" t="e">
        <f>VLOOKUP(A25,Enforcements!$C$7:$E$14,3,0)</f>
        <v>#N/A</v>
      </c>
      <c r="AD25" s="56" t="str">
        <f>IF(LEN(A25)=6,"0"&amp;A25,A25)</f>
        <v>0113-07</v>
      </c>
      <c r="AE25" s="85" t="str">
        <f>"aws s3 cp "&amp;s3_bucket&amp;"/RTDC"&amp;B25&amp;"/ "&amp;search_path&amp;"\RTDC"&amp;B25&amp;"\"&amp;TEXT(F25,"YYYY-MM-DD")&amp;" --exclude ""*"" --recursive --include ""*"&amp;TEXT(F25,"YYYYMMDD")&amp;"*"" &amp; """&amp;walkandungz&amp;""" "&amp;search_path&amp;"\RTDC"&amp;B25&amp;"\"&amp;TEXT(F25,"YYYY-MM-DD")
&amp;" &amp; "&amp;"aws s3 cp "&amp;s3_bucket&amp;"/RTDC"&amp;B25&amp;"/ "&amp;search_path&amp;"\RTDC"&amp;B25&amp;"\"&amp;TEXT(F25+1,"YYYY-MM-DD")&amp;" --exclude ""*"" --recursive --include ""*"&amp;TEXT(F25+1,"YYYYMMDD")&amp;"*"" &amp; """&amp;walkandungz&amp;""" "&amp;search_path&amp;"\RTDC"&amp;B25&amp;"\"&amp;TEXT(F25+1,"YYYY-MM-DD")</f>
        <v>aws s3 cp s3://rtdc.mdm.uploadarchive.raw/RTDC4038/ "%USERPROFILE%\AppData\Local\Temp\OnboardLogs"\RTDC4038\2017-02-07 --exclude "*" --recursive --include "*20170207*" &amp; "%USERPROFILE%\Documents\GitHub\mrs-test-scripts\Headless Mode &amp; Sideloading\WalkAndUnGZ.bat" "%USERPROFILE%\AppData\Local\Temp\OnboardLogs"\RTDC4038\2017-02-07 &amp; aws s3 cp s3://rtdc.mdm.uploadarchive.raw/RTDC4038/ "%USERPROFILE%\AppData\Local\Temp\OnboardLogs"\RTDC4038\2017-02-08 --exclude "*" --recursive --include "*20170208*" &amp; "%USERPROFILE%\Documents\GitHub\mrs-test-scripts\Headless Mode &amp; Sideloading\WalkAndUnGZ.bat" "%USERPROFILE%\AppData\Local\Temp\OnboardLogs"\RTDC4038\2017-02-08</v>
      </c>
      <c r="AF25" s="82" t="str">
        <f>astrogrep_path&amp;" /spath="&amp;search_path&amp;" /stypes=""app*"&amp;B25&amp;"*"&amp;TEXT(I25-utc_offset/24,"YYYYMMDD")&amp;"*"" /stext="" "&amp;TEXT(I25-utc_offset/24,"HH")&amp;search_regexp&amp;""" /e /r /s"</f>
        <v>"C:\Program Files (x86)\AstroGrep\AstroGrep.exe" /spath="%USERPROFILE%\AppData\Local\Temp\OnboardLogs" /stypes="app*4038*20170207*" /stext=" 12:.+((SYSTEM_STATE.+slice.+state.+changed )|(ment ac)|(multiple cpu faults)|(system.+state.+changed )|(\[timeout)|(PRM\|1\|D)|(kpr)|(kdp)|(\|lc)|(penalty))" /e /r /s</v>
      </c>
      <c r="AG25" s="1" t="str">
        <f>IFERROR(IF(VALUE(LEFT(AD25,2))&lt;=2,"EC",IF(OR(VALUE(LEFT(AD25,2))=8,VALUE(LEFT(AD25,2))=18),"NW","Other")),"Other")</f>
        <v>EC</v>
      </c>
      <c r="AH25" s="86" t="str">
        <f t="shared" si="3"/>
        <v>"%USERPROFILE%\Documents\GitHub\eaglep3\Utilities\RefineRTDCRunTimes.py" --tripid 113-07 --locoid 4038 --swversion DE.1.0.8.0 --startMP 204:444 --initTime 2017-02-07T05:04:59 --startdatetime 2017-02-07T05:15:21 --delay 1 --endMP 204:233334 --enddatetime 2017-02-07T05:51:26 --enforcementcount 0 &gt;&gt;C:\Users\stu\Documents\GitHub\eaglep3-reporting\EC\2017-02-07-refined-times.txt</v>
      </c>
      <c r="AI25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{"issue":{"subject":"","project_id":79,"tracker_id":40,"status_id":1,"priority_id":2,"assigned_to_id":23,"start_date":"2017-02-07","description":"","custom_fields":[{"id":1,"name":"Subdivision","value":"EC"},{"id":4,"name":"Milepost","value":"23.3334"},{"id":17,"name":"Train ID","value":"113-07"},{"id":16,"name":"Locomotive ID","value":"4038"},{"id":130,"name":"Impact","value":""},{"id":150,"name":"Time of Event (Mountain Time)","value":"05:51:26"},{"id":151,"name":"Denver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48"/>
      <c r="AK25" s="48"/>
      <c r="AL25" s="48"/>
      <c r="AM25" s="158" t="str">
        <f t="shared" si="5"/>
        <v>start /low /b %USERPROFILE%\Documents\GitHub\eaglep3\Utilities\DownloadLogsFromS3.py --loco 4038 --day 2017-02-07</v>
      </c>
      <c r="AN25" s="167" t="str">
        <f>"grep -SE -B400 ""CHR.+\|PRM\|1\|D.+(SWITCH|SIGNAL).+UNKNOWN"" "&amp;search_path&amp;"\RTDC"&amp;B25&amp;"\*"&amp;B25&amp;"*"&amp;TEXT(AVERAGE(F25,I25)-utc_offset/24,"YYYYMMDD")&amp;"*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"%USERPROFILE%\AppData\Local\Temp\OnboardLogs"\RTDC4038\*4038*20170207* | grep -SE "(Enforcement Action)|(\[TIMEOUT)|(CHR.+\|PRM\|1\|D.+(SWITCH|SIGNAL).+UNKNOWN)" - &gt;&gt; 2017-02-07-UncaughtWiMAX.txt</v>
      </c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3" t="s">
        <v>526</v>
      </c>
      <c r="B26" s="7">
        <v>4037</v>
      </c>
      <c r="C26" s="21" t="s">
        <v>193</v>
      </c>
      <c r="D26" s="21" t="s">
        <v>712</v>
      </c>
      <c r="E26" s="13">
        <v>42773.251458333332</v>
      </c>
      <c r="F26" s="13">
        <v>42773.257893518516</v>
      </c>
      <c r="G26" s="7">
        <v>1</v>
      </c>
      <c r="H26" s="21" t="s">
        <v>211</v>
      </c>
      <c r="I26" s="13">
        <v>42773.284594907411</v>
      </c>
      <c r="J26" s="7">
        <v>0</v>
      </c>
      <c r="K26" s="98" t="str">
        <f>IF(ISEVEN(B26),(B26-1)&amp;"/"&amp;B26,B26&amp;"/"&amp;(B26+1))</f>
        <v>4037/4038</v>
      </c>
      <c r="L26" s="21" t="str">
        <f>VLOOKUP(A26,'Trips&amp;Operators'!$C$1:$G$99999,5,FALSE)</f>
        <v>OUN ZACK</v>
      </c>
      <c r="M26" s="6">
        <f>I26-F26</f>
        <v>2.6701388895162381E-2</v>
      </c>
      <c r="N26" s="7">
        <f>24*60*SUM($M26:$M26)</f>
        <v>38.450000009033829</v>
      </c>
      <c r="O26" s="7"/>
      <c r="P26" s="7"/>
      <c r="Q26" s="22"/>
      <c r="R26" s="22"/>
      <c r="S26" s="31">
        <f>SUM(U26:U26)/IF(AG26="EC",12,1)</f>
        <v>1</v>
      </c>
      <c r="T26" s="46" t="str">
        <f>IF(ISEVEN(LEFT(AD26,4)),"Southbound","NorthBound")</f>
        <v>Southbound</v>
      </c>
      <c r="U26" s="190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191" t="str">
        <f>"https://d0f6bd738d7f1b3e5a7ca70fe4ff75f0.us-east-1.aws.found.io/app/kibana#/discover/Steve-Slow-Train-Analysis-(2080s-and-2083s)?_g="&amp;"(refreshInterval:(display:Off,pause:!f,section:0,value:0),time:(from:'"&amp;TEXT(E26-1/24,"yyyy-MM-DDThh:mm:ss")&amp;utc_offset&amp;"00"&amp;"',mode:absolute,to:'"&amp;TEXT(I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26&amp;"%22')),sort:!(Time.ISO8601,asc))"</f>
        <v>https://d0f6bd738d7f1b3e5a7ca70fe4ff75f0.us-east-1.aws.found.io/app/kibana#/discover/Steve-Slow-Train-Analysis-(2080s-and-2083s)?_g=(refreshInterval:(display:Off,pause:!f,section:0,value:0),time:(from:'2017-02-07T05:02:06-0700',mode:absolute,to:'2017-02-07T07:49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26" s="192" t="str">
        <f>IF(AA26&lt;IF(AG26="EC",23,5.65),"Y","N")</f>
        <v>N</v>
      </c>
      <c r="X26" s="192">
        <f>VALUE(LEFT(AD26,4))-VALUE(LEFT(AD25,4))</f>
        <v>1</v>
      </c>
      <c r="Y26" s="62">
        <f>RIGHT(D26,LEN(D26)-4)/10000</f>
        <v>23.301500000000001</v>
      </c>
      <c r="Z26" s="62">
        <f>RIGHT(H26,LEN(H26)-4)/10000</f>
        <v>1.52E-2</v>
      </c>
      <c r="AA26" s="62">
        <f>ABS(Z26-Y26)</f>
        <v>23.286300000000001</v>
      </c>
      <c r="AB26" s="59" t="e">
        <f>VLOOKUP(A26,Enforcements!$C$7:$K$14,8,0)</f>
        <v>#N/A</v>
      </c>
      <c r="AC26" s="55" t="e">
        <f>VLOOKUP(A26,Enforcements!$C$7:$E$14,3,0)</f>
        <v>#N/A</v>
      </c>
      <c r="AD26" s="56" t="str">
        <f>IF(LEN(A26)=6,"0"&amp;A26,A26)</f>
        <v>0114-07</v>
      </c>
      <c r="AE26" s="85" t="str">
        <f>"aws s3 cp "&amp;s3_bucket&amp;"/RTDC"&amp;B26&amp;"/ "&amp;search_path&amp;"\RTDC"&amp;B26&amp;"\"&amp;TEXT(F26,"YYYY-MM-DD")&amp;" --exclude ""*"" --recursive --include ""*"&amp;TEXT(F26,"YYYYMMDD")&amp;"*"" &amp; """&amp;walkandungz&amp;""" "&amp;search_path&amp;"\RTDC"&amp;B26&amp;"\"&amp;TEXT(F26,"YYYY-MM-DD")
&amp;" &amp; "&amp;"aws s3 cp "&amp;s3_bucket&amp;"/RTDC"&amp;B26&amp;"/ "&amp;search_path&amp;"\RTDC"&amp;B26&amp;"\"&amp;TEXT(F26+1,"YYYY-MM-DD")&amp;" --exclude ""*"" --recursive --include ""*"&amp;TEXT(F26+1,"YYYYMMDD")&amp;"*"" &amp; """&amp;walkandungz&amp;""" "&amp;search_path&amp;"\RTDC"&amp;B26&amp;"\"&amp;TEXT(F26+1,"YYYY-MM-DD")</f>
        <v>aws s3 cp s3://rtdc.mdm.uploadarchive.raw/RTDC4037/ "%USERPROFILE%\AppData\Local\Temp\OnboardLogs"\RTDC4037\2017-02-07 --exclude "*" --recursive --include "*20170207*" &amp; "%USERPROFILE%\Documents\GitHub\mrs-test-scripts\Headless Mode &amp; Sideloading\WalkAndUnGZ.bat" "%USERPROFILE%\AppData\Local\Temp\OnboardLogs"\RTDC4037\2017-02-07 &amp; aws s3 cp s3://rtdc.mdm.uploadarchive.raw/RTDC4037/ "%USERPROFILE%\AppData\Local\Temp\OnboardLogs"\RTDC4037\2017-02-08 --exclude "*" --recursive --include "*20170208*" &amp; "%USERPROFILE%\Documents\GitHub\mrs-test-scripts\Headless Mode &amp; Sideloading\WalkAndUnGZ.bat" "%USERPROFILE%\AppData\Local\Temp\OnboardLogs"\RTDC4037\2017-02-08</v>
      </c>
      <c r="AF26" s="82" t="str">
        <f>astrogrep_path&amp;" /spath="&amp;search_path&amp;" /stypes=""app*"&amp;B26&amp;"*"&amp;TEXT(I26-utc_offset/24,"YYYYMMDD")&amp;"*"" /stext="" "&amp;TEXT(I26-utc_offset/24,"HH")&amp;search_regexp&amp;""" /e /r /s"</f>
        <v>"C:\Program Files (x86)\AstroGrep\AstroGrep.exe" /spath="%USERPROFILE%\AppData\Local\Temp\OnboardLogs" /stypes="app*4037*20170207*" /stext=" 13:.+((SYSTEM_STATE.+slice.+state.+changed )|(ment ac)|(multiple cpu faults)|(system.+state.+changed )|(\[timeout)|(PRM\|1\|D)|(kpr)|(kdp)|(\|lc)|(penalty))" /e /r /s</v>
      </c>
      <c r="AG26" s="1" t="str">
        <f>IFERROR(IF(VALUE(LEFT(AD26,2))&lt;=2,"EC",IF(OR(VALUE(LEFT(AD26,2))=8,VALUE(LEFT(AD26,2))=18),"NW","Other")),"Other")</f>
        <v>EC</v>
      </c>
      <c r="AH26" s="86" t="str">
        <f t="shared" si="3"/>
        <v>"%USERPROFILE%\Documents\GitHub\eaglep3\Utilities\RefineRTDCRunTimes.py" --tripid 114-07 --locoid 4037 --swversion DE.1.0.8.0 --startMP 204:233015 --initTime 2017-02-07T06:02:06 --startdatetime 2017-02-07T06:11:22 --delay 1 --endMP 204:152 --enddatetime 2017-02-07T06:49:49 --enforcementcount 0 &gt;&gt;C:\Users\stu\Documents\GitHub\eaglep3-reporting\EC\2017-02-07-refined-times.txt</v>
      </c>
      <c r="AI26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{"issue":{"subject":"","project_id":79,"tracker_id":40,"status_id":1,"priority_id":2,"assigned_to_id":23,"start_date":"2017-02-07","description":"","custom_fields":[{"id":1,"name":"Subdivision","value":"EC"},{"id":4,"name":"Milepost","value":"0.0152"},{"id":17,"name":"Train ID","value":"114-07"},{"id":16,"name":"Locomotive ID","value":"4037"},{"id":130,"name":"Impact","value":""},{"id":150,"name":"Time of Event (Mountain Time)","value":"06:49:49"},{"id":151,"name":"Denver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48"/>
      <c r="AK26" s="48"/>
      <c r="AL26" s="48"/>
      <c r="AM26" s="158" t="str">
        <f t="shared" si="5"/>
        <v>start /low /b %USERPROFILE%\Documents\GitHub\eaglep3\Utilities\DownloadLogsFromS3.py --loco 4037 --day 2017-02-07</v>
      </c>
      <c r="AN26" s="167" t="str">
        <f>"grep -SE -B400 ""CHR.+\|PRM\|1\|D.+(SWITCH|SIGNAL).+UNKNOWN"" "&amp;search_path&amp;"\RTDC"&amp;B26&amp;"\*"&amp;B26&amp;"*"&amp;TEXT(AVERAGE(F26,I26)-utc_offset/24,"YYYYMMDD")&amp;"*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"%USERPROFILE%\AppData\Local\Temp\OnboardLogs"\RTDC4037\*4037*20170207* | grep -SE "(Enforcement Action)|(\[TIMEOUT)|(CHR.+\|PRM\|1\|D.+(SWITCH|SIGNAL).+UNKNOWN)" - &gt;&gt; 2017-02-07-UncaughtWiMAX.txt</v>
      </c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3" t="s">
        <v>521</v>
      </c>
      <c r="B27" s="7">
        <v>4031</v>
      </c>
      <c r="C27" s="21" t="s">
        <v>193</v>
      </c>
      <c r="D27" s="21" t="s">
        <v>713</v>
      </c>
      <c r="E27" s="13">
        <v>42773.225763888891</v>
      </c>
      <c r="F27" s="13">
        <v>42773.229328703703</v>
      </c>
      <c r="G27" s="7">
        <v>0</v>
      </c>
      <c r="H27" s="21" t="s">
        <v>302</v>
      </c>
      <c r="I27" s="13">
        <v>42773.254918981482</v>
      </c>
      <c r="J27" s="7">
        <v>0</v>
      </c>
      <c r="K27" s="98" t="str">
        <f>IF(ISEVEN(B27),(B27-1)&amp;"/"&amp;B27,B27&amp;"/"&amp;(B27+1))</f>
        <v>4031/4032</v>
      </c>
      <c r="L27" s="21" t="str">
        <f>VLOOKUP(A27,'Trips&amp;Operators'!$C$1:$G$99999,5,FALSE)</f>
        <v>ROCHA YAOTL</v>
      </c>
      <c r="M27" s="6">
        <f>I27-F27</f>
        <v>2.5590277778974269E-2</v>
      </c>
      <c r="N27" s="7">
        <f>24*60*SUM($M27:$M27)</f>
        <v>36.850000001722947</v>
      </c>
      <c r="O27" s="7"/>
      <c r="P27" s="7"/>
      <c r="Q27" s="22"/>
      <c r="R27" s="22"/>
      <c r="S27" s="31">
        <f>SUM(U27:U27)/IF(AG27="EC",12,1)</f>
        <v>1</v>
      </c>
      <c r="T27" s="46" t="str">
        <f>IF(ISEVEN(LEFT(AD27,4)),"Southbound","NorthBound")</f>
        <v>NorthBound</v>
      </c>
      <c r="U27" s="190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191" t="str">
        <f>"https://d0f6bd738d7f1b3e5a7ca70fe4ff75f0.us-east-1.aws.found.io/app/kibana#/discover/Steve-Slow-Train-Analysis-(2080s-and-2083s)?_g="&amp;"(refreshInterval:(display:Off,pause:!f,section:0,value:0),time:(from:'"&amp;TEXT(E27-1/24,"yyyy-MM-DDThh:mm:ss")&amp;utc_offset&amp;"00"&amp;"',mode:absolute,to:'"&amp;TEXT(I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27&amp;"%22')),sort:!(Time.ISO8601,asc))"</f>
        <v>https://d0f6bd738d7f1b3e5a7ca70fe4ff75f0.us-east-1.aws.found.io/app/kibana#/discover/Steve-Slow-Train-Analysis-(2080s-and-2083s)?_g=(refreshInterval:(display:Off,pause:!f,section:0,value:0),time:(from:'2017-02-07T04:25:06-0700',mode:absolute,to:'2017-02-07T07:07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7" s="192" t="str">
        <f>IF(AA27&lt;IF(AG27="EC",23,5.65),"Y","N")</f>
        <v>N</v>
      </c>
      <c r="X27" s="192">
        <f>VALUE(LEFT(AD27,4))-VALUE(LEFT(AD26,4))</f>
        <v>1</v>
      </c>
      <c r="Y27" s="62">
        <f>RIGHT(D27,LEN(D27)-4)/10000</f>
        <v>7.5200000000000003E-2</v>
      </c>
      <c r="Z27" s="62">
        <f>RIGHT(H27,LEN(H27)-4)/10000</f>
        <v>23.3308</v>
      </c>
      <c r="AA27" s="62">
        <f>ABS(Z27-Y27)</f>
        <v>23.255600000000001</v>
      </c>
      <c r="AB27" s="59" t="e">
        <f>VLOOKUP(A27,Enforcements!$C$7:$K$14,8,0)</f>
        <v>#N/A</v>
      </c>
      <c r="AC27" s="55" t="e">
        <f>VLOOKUP(A27,Enforcements!$C$7:$E$14,3,0)</f>
        <v>#N/A</v>
      </c>
      <c r="AD27" s="56" t="str">
        <f>IF(LEN(A27)=6,"0"&amp;A27,A27)</f>
        <v>0115-07</v>
      </c>
      <c r="AE27" s="85" t="str">
        <f>"aws s3 cp "&amp;s3_bucket&amp;"/RTDC"&amp;B27&amp;"/ "&amp;search_path&amp;"\RTDC"&amp;B27&amp;"\"&amp;TEXT(F27,"YYYY-MM-DD")&amp;" --exclude ""*"" --recursive --include ""*"&amp;TEXT(F27,"YYYYMMDD")&amp;"*"" &amp; """&amp;walkandungz&amp;""" "&amp;search_path&amp;"\RTDC"&amp;B27&amp;"\"&amp;TEXT(F27,"YYYY-MM-DD")
&amp;" &amp; "&amp;"aws s3 cp "&amp;s3_bucket&amp;"/RTDC"&amp;B27&amp;"/ "&amp;search_path&amp;"\RTDC"&amp;B27&amp;"\"&amp;TEXT(F27+1,"YYYY-MM-DD")&amp;" --exclude ""*"" --recursive --include ""*"&amp;TEXT(F27+1,"YYYYMMDD")&amp;"*"" &amp; """&amp;walkandungz&amp;""" "&amp;search_path&amp;"\RTDC"&amp;B27&amp;"\"&amp;TEXT(F27+1,"YYYY-MM-DD")</f>
        <v>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 &amp; aws s3 cp s3://rtdc.mdm.uploadarchive.raw/RTDC4031/ "%USERPROFILE%\AppData\Local\Temp\OnboardLogs"\RTDC4031\2017-02-08 --exclude "*" --recursive --include "*20170208*" &amp; "%USERPROFILE%\Documents\GitHub\mrs-test-scripts\Headless Mode &amp; Sideloading\WalkAndUnGZ.bat" "%USERPROFILE%\AppData\Local\Temp\OnboardLogs"\RTDC4031\2017-02-08</v>
      </c>
      <c r="AF27" s="82" t="str">
        <f>astrogrep_path&amp;" /spath="&amp;search_path&amp;" /stypes=""app*"&amp;B27&amp;"*"&amp;TEXT(I27-utc_offset/24,"YYYYMMDD")&amp;"*"" /stext="" "&amp;TEXT(I27-utc_offset/24,"HH")&amp;search_regexp&amp;""" /e /r /s"</f>
        <v>"C:\Program Files (x86)\AstroGrep\AstroGrep.exe" /spath="%USERPROFILE%\AppData\Local\Temp\OnboardLogs" /stypes="app*4031*20170207*" /stext=" 13:.+((SYSTEM_STATE.+slice.+state.+changed )|(ment ac)|(multiple cpu faults)|(system.+state.+changed )|(\[timeout)|(PRM\|1\|D)|(kpr)|(kdp)|(\|lc)|(penalty))" /e /r /s</v>
      </c>
      <c r="AG27" s="1" t="str">
        <f>IFERROR(IF(VALUE(LEFT(AD27,2))&lt;=2,"EC",IF(OR(VALUE(LEFT(AD27,2))=8,VALUE(LEFT(AD27,2))=18),"NW","Other")),"Other")</f>
        <v>EC</v>
      </c>
      <c r="AH27" s="86" t="str">
        <f t="shared" si="3"/>
        <v>"%USERPROFILE%\Documents\GitHub\eaglep3\Utilities\RefineRTDCRunTimes.py" --tripid 115-07 --locoid 4031 --swversion DE.1.0.8.0 --startMP 204:752 --initTime 2017-02-07T05:25:06 --startdatetime 2017-02-07T05:30:14 --delay 0 --endMP 204:233308 --enddatetime 2017-02-07T06:07:05 --enforcementcount 0 &gt;&gt;C:\Users\stu\Documents\GitHub\eaglep3-reporting\EC\2017-02-07-refined-times.txt</v>
      </c>
      <c r="AI27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{"issue":{"subject":"","project_id":79,"tracker_id":40,"status_id":1,"priority_id":2,"assigned_to_id":23,"start_date":"2017-02-07","description":"","custom_fields":[{"id":1,"name":"Subdivision","value":"EC"},{"id":4,"name":"Milepost","value":"23.3308"},{"id":17,"name":"Train ID","value":"115-07"},{"id":16,"name":"Locomotive ID","value":"4031"},{"id":130,"name":"Impact","value":""},{"id":150,"name":"Time of Event (Mountain Time)","value":"06:07:05"},{"id":151,"name":"Denver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48"/>
      <c r="AK27" s="48"/>
      <c r="AL27" s="48"/>
      <c r="AM27" s="158" t="str">
        <f t="shared" si="5"/>
        <v>start /low /b %USERPROFILE%\Documents\GitHub\eaglep3\Utilities\DownloadLogsFromS3.py --loco 4031 --day 2017-02-07</v>
      </c>
      <c r="AN27" s="167" t="str">
        <f>"grep -SE -B400 ""CHR.+\|PRM\|1\|D.+(SWITCH|SIGNAL).+UNKNOWN"" "&amp;search_path&amp;"\RTDC"&amp;B27&amp;"\*"&amp;B27&amp;"*"&amp;TEXT(AVERAGE(F27,I27)-utc_offset/24,"YYYYMMDD")&amp;"*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"%USERPROFILE%\AppData\Local\Temp\OnboardLogs"\RTDC4031\*4031*20170207* | grep -SE "(Enforcement Action)|(\[TIMEOUT)|(CHR.+\|PRM\|1\|D.+(SWITCH|SIGNAL).+UNKNOWN)" - &gt;&gt; 2017-02-07-UncaughtWiMAX.txt</v>
      </c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3" t="s">
        <v>531</v>
      </c>
      <c r="B28" s="7">
        <v>4032</v>
      </c>
      <c r="C28" s="21" t="s">
        <v>193</v>
      </c>
      <c r="D28" s="21" t="s">
        <v>434</v>
      </c>
      <c r="E28" s="13">
        <v>42773.266886574071</v>
      </c>
      <c r="F28" s="13">
        <v>42773.268483796295</v>
      </c>
      <c r="G28" s="7">
        <v>1</v>
      </c>
      <c r="H28" s="21" t="s">
        <v>205</v>
      </c>
      <c r="I28" s="13">
        <v>42773.29446759259</v>
      </c>
      <c r="J28" s="7">
        <v>0</v>
      </c>
      <c r="K28" s="98" t="str">
        <f>IF(ISEVEN(B28),(B28-1)&amp;"/"&amp;B28,B28&amp;"/"&amp;(B28+1))</f>
        <v>4031/4032</v>
      </c>
      <c r="L28" s="21" t="str">
        <f>VLOOKUP(A28,'Trips&amp;Operators'!$C$1:$G$99999,5,FALSE)</f>
        <v>ROCHA YAOTL</v>
      </c>
      <c r="M28" s="6">
        <f>I28-F28</f>
        <v>2.5983796294895001E-2</v>
      </c>
      <c r="N28" s="7">
        <f>24*60*SUM($M28:$M28)</f>
        <v>37.416666664648801</v>
      </c>
      <c r="O28" s="7"/>
      <c r="P28" s="7"/>
      <c r="Q28" s="22"/>
      <c r="R28" s="22"/>
      <c r="S28" s="31">
        <f>SUM(U28:U28)/IF(AG28="EC",12,1)</f>
        <v>1</v>
      </c>
      <c r="T28" s="46" t="str">
        <f>IF(ISEVEN(LEFT(AD28,4)),"Southbound","NorthBound")</f>
        <v>Southbound</v>
      </c>
      <c r="U28" s="190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191" t="str">
        <f>"https://d0f6bd738d7f1b3e5a7ca70fe4ff75f0.us-east-1.aws.found.io/app/kibana#/discover/Steve-Slow-Train-Analysis-(2080s-and-2083s)?_g="&amp;"(refreshInterval:(display:Off,pause:!f,section:0,value:0),time:(from:'"&amp;TEXT(E28-1/24,"yyyy-MM-DDThh:mm:ss")&amp;utc_offset&amp;"00"&amp;"',mode:absolute,to:'"&amp;TEXT(I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28&amp;"%22')),sort:!(Time.ISO8601,asc))"</f>
        <v>https://d0f6bd738d7f1b3e5a7ca70fe4ff75f0.us-east-1.aws.found.io/app/kibana#/discover/Steve-Slow-Train-Analysis-(2080s-and-2083s)?_g=(refreshInterval:(display:Off,pause:!f,section:0,value:0),time:(from:'2017-02-07T05:24:19-0700',mode:absolute,to:'2017-02-07T08:04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28" s="192" t="str">
        <f>IF(AA28&lt;IF(AG28="EC",23,5.65),"Y","N")</f>
        <v>N</v>
      </c>
      <c r="X28" s="192">
        <f>VALUE(LEFT(AD28,4))-VALUE(LEFT(AD27,4))</f>
        <v>1</v>
      </c>
      <c r="Y28" s="62">
        <f>RIGHT(D28,LEN(D28)-4)/10000</f>
        <v>23.3019</v>
      </c>
      <c r="Z28" s="62">
        <f>RIGHT(H28,LEN(H28)-4)/10000</f>
        <v>1.47E-2</v>
      </c>
      <c r="AA28" s="62">
        <f>ABS(Z28-Y28)</f>
        <v>23.287199999999999</v>
      </c>
      <c r="AB28" s="59" t="e">
        <f>VLOOKUP(A28,Enforcements!$C$7:$K$14,8,0)</f>
        <v>#N/A</v>
      </c>
      <c r="AC28" s="55" t="e">
        <f>VLOOKUP(A28,Enforcements!$C$7:$E$14,3,0)</f>
        <v>#N/A</v>
      </c>
      <c r="AD28" s="56" t="str">
        <f>IF(LEN(A28)=6,"0"&amp;A28,A28)</f>
        <v>0116-07</v>
      </c>
      <c r="AE28" s="85" t="str">
        <f>"aws s3 cp "&amp;s3_bucket&amp;"/RTDC"&amp;B28&amp;"/ "&amp;search_path&amp;"\RTDC"&amp;B28&amp;"\"&amp;TEXT(F28,"YYYY-MM-DD")&amp;" --exclude ""*"" --recursive --include ""*"&amp;TEXT(F28,"YYYYMMDD")&amp;"*"" &amp; """&amp;walkandungz&amp;""" "&amp;search_path&amp;"\RTDC"&amp;B28&amp;"\"&amp;TEXT(F28,"YYYY-MM-DD")
&amp;" &amp; "&amp;"aws s3 cp "&amp;s3_bucket&amp;"/RTDC"&amp;B28&amp;"/ "&amp;search_path&amp;"\RTDC"&amp;B28&amp;"\"&amp;TEXT(F28+1,"YYYY-MM-DD")&amp;" --exclude ""*"" --recursive --include ""*"&amp;TEXT(F28+1,"YYYYMMDD")&amp;"*"" &amp; """&amp;walkandungz&amp;""" "&amp;search_path&amp;"\RTDC"&amp;B28&amp;"\"&amp;TEXT(F28+1,"YYYY-MM-DD")</f>
        <v>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 &amp; aws s3 cp s3://rtdc.mdm.uploadarchive.raw/RTDC4032/ "%USERPROFILE%\AppData\Local\Temp\OnboardLogs"\RTDC4032\2017-02-08 --exclude "*" --recursive --include "*20170208*" &amp; "%USERPROFILE%\Documents\GitHub\mrs-test-scripts\Headless Mode &amp; Sideloading\WalkAndUnGZ.bat" "%USERPROFILE%\AppData\Local\Temp\OnboardLogs"\RTDC4032\2017-02-08</v>
      </c>
      <c r="AF28" s="82" t="str">
        <f>astrogrep_path&amp;" /spath="&amp;search_path&amp;" /stypes=""app*"&amp;B28&amp;"*"&amp;TEXT(I28-utc_offset/24,"YYYYMMDD")&amp;"*"" /stext="" "&amp;TEXT(I28-utc_offset/24,"HH")&amp;search_regexp&amp;""" /e /r /s"</f>
        <v>"C:\Program Files (x86)\AstroGrep\AstroGrep.exe" /spath="%USERPROFILE%\AppData\Local\Temp\OnboardLogs" /stypes="app*4032*20170207*" /stext=" 14:.+((SYSTEM_STATE.+slice.+state.+changed )|(ment ac)|(multiple cpu faults)|(system.+state.+changed )|(\[timeout)|(PRM\|1\|D)|(kpr)|(kdp)|(\|lc)|(penalty))" /e /r /s</v>
      </c>
      <c r="AG28" s="1" t="str">
        <f>IFERROR(IF(VALUE(LEFT(AD28,2))&lt;=2,"EC",IF(OR(VALUE(LEFT(AD28,2))=8,VALUE(LEFT(AD28,2))=18),"NW","Other")),"Other")</f>
        <v>EC</v>
      </c>
      <c r="AH28" s="86" t="str">
        <f t="shared" si="3"/>
        <v>"%USERPROFILE%\Documents\GitHub\eaglep3\Utilities\RefineRTDCRunTimes.py" --tripid 116-07 --locoid 4032 --swversion DE.1.0.8.0 --startMP 204:233019 --initTime 2017-02-07T06:24:19 --startdatetime 2017-02-07T06:26:37 --delay 1 --endMP 204:147 --enddatetime 2017-02-07T07:04:02 --enforcementcount 0 &gt;&gt;C:\Users\stu\Documents\GitHub\eaglep3-reporting\EC\2017-02-07-refined-times.txt</v>
      </c>
      <c r="AI28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{"issue":{"subject":"","project_id":79,"tracker_id":40,"status_id":1,"priority_id":2,"assigned_to_id":23,"start_date":"2017-02-07","description":"","custom_fields":[{"id":1,"name":"Subdivision","value":"EC"},{"id":4,"name":"Milepost","value":"0.0147"},{"id":17,"name":"Train ID","value":"116-07"},{"id":16,"name":"Locomotive ID","value":"4032"},{"id":130,"name":"Impact","value":""},{"id":150,"name":"Time of Event (Mountain Time)","value":"07:04:02"},{"id":151,"name":"Denver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48"/>
      <c r="AK28" s="48"/>
      <c r="AL28" s="48"/>
      <c r="AM28" s="158" t="str">
        <f t="shared" si="5"/>
        <v>start /low /b %USERPROFILE%\Documents\GitHub\eaglep3\Utilities\DownloadLogsFromS3.py --loco 4032 --day 2017-02-07</v>
      </c>
      <c r="AN28" s="167" t="str">
        <f>"grep -SE -B400 ""CHR.+\|PRM\|1\|D.+(SWITCH|SIGNAL).+UNKNOWN"" "&amp;search_path&amp;"\RTDC"&amp;B28&amp;"\*"&amp;B28&amp;"*"&amp;TEXT(AVERAGE(F28,I28)-utc_offset/24,"YYYYMMDD")&amp;"*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"%USERPROFILE%\AppData\Local\Temp\OnboardLogs"\RTDC4032\*4032*20170207* | grep -SE "(Enforcement Action)|(\[TIMEOUT)|(CHR.+\|PRM\|1\|D.+(SWITCH|SIGNAL).+UNKNOWN)" - &gt;&gt; 2017-02-07-UncaughtWiMAX.txt</v>
      </c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3" t="s">
        <v>520</v>
      </c>
      <c r="B29" s="7">
        <v>4025</v>
      </c>
      <c r="C29" s="21" t="s">
        <v>193</v>
      </c>
      <c r="D29" s="21" t="s">
        <v>714</v>
      </c>
      <c r="E29" s="13">
        <v>42773.225173611114</v>
      </c>
      <c r="F29" s="13">
        <v>42773.239837962959</v>
      </c>
      <c r="G29" s="7">
        <v>1</v>
      </c>
      <c r="H29" s="21" t="s">
        <v>715</v>
      </c>
      <c r="I29" s="13">
        <v>42773.264918981484</v>
      </c>
      <c r="J29" s="7">
        <v>0</v>
      </c>
      <c r="K29" s="98" t="str">
        <f>IF(ISEVEN(B29),(B29-1)&amp;"/"&amp;B29,B29&amp;"/"&amp;(B29+1))</f>
        <v>4025/4026</v>
      </c>
      <c r="L29" s="21" t="str">
        <f>VLOOKUP(A29,'Trips&amp;Operators'!$C$1:$G$99999,5,FALSE)</f>
        <v>MAELZER KURT</v>
      </c>
      <c r="M29" s="6">
        <f>I29-F29</f>
        <v>2.5081018524360843E-2</v>
      </c>
      <c r="N29" s="7">
        <f>24*60*SUM($M29:$M29)</f>
        <v>36.116666675079614</v>
      </c>
      <c r="O29" s="7"/>
      <c r="P29" s="7"/>
      <c r="Q29" s="22"/>
      <c r="R29" s="22"/>
      <c r="S29" s="31">
        <f>SUM(U29:U29)/IF(AG29="EC",12,1)</f>
        <v>1</v>
      </c>
      <c r="T29" s="46" t="str">
        <f>IF(ISEVEN(LEFT(AD29,4)),"Southbound","NorthBound")</f>
        <v>NorthBound</v>
      </c>
      <c r="U29" s="190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191" t="str">
        <f>"https://d0f6bd738d7f1b3e5a7ca70fe4ff75f0.us-east-1.aws.found.io/app/kibana#/discover/Steve-Slow-Train-Analysis-(2080s-and-2083s)?_g="&amp;"(refreshInterval:(display:Off,pause:!f,section:0,value:0),time:(from:'"&amp;TEXT(E29-1/24,"yyyy-MM-DDThh:mm:ss")&amp;utc_offset&amp;"00"&amp;"',mode:absolute,to:'"&amp;TEXT(I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29&amp;"%22')),sort:!(Time.ISO8601,asc))"</f>
        <v>https://d0f6bd738d7f1b3e5a7ca70fe4ff75f0.us-east-1.aws.found.io/app/kibana#/discover/Steve-Slow-Train-Analysis-(2080s-and-2083s)?_g=(refreshInterval:(display:Off,pause:!f,section:0,value:0),time:(from:'2017-02-07T04:24:15-0700',mode:absolute,to:'2017-02-07T07:21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9" s="192" t="str">
        <f>IF(AA29&lt;IF(AG29="EC",23,5.65),"Y","N")</f>
        <v>N</v>
      </c>
      <c r="X29" s="192">
        <f>VALUE(LEFT(AD29,4))-VALUE(LEFT(AD28,4))</f>
        <v>1</v>
      </c>
      <c r="Y29" s="62">
        <f>RIGHT(D29,LEN(D29)-4)/10000</f>
        <v>4.3799999999999999E-2</v>
      </c>
      <c r="Z29" s="62">
        <f>RIGHT(H29,LEN(H29)-4)/10000</f>
        <v>23.331600000000002</v>
      </c>
      <c r="AA29" s="62">
        <f>ABS(Z29-Y29)</f>
        <v>23.287800000000001</v>
      </c>
      <c r="AB29" s="59" t="e">
        <f>VLOOKUP(A29,Enforcements!$C$7:$K$14,8,0)</f>
        <v>#N/A</v>
      </c>
      <c r="AC29" s="55" t="e">
        <f>VLOOKUP(A29,Enforcements!$C$7:$E$14,3,0)</f>
        <v>#N/A</v>
      </c>
      <c r="AD29" s="56" t="str">
        <f>IF(LEN(A29)=6,"0"&amp;A29,A29)</f>
        <v>0117-07</v>
      </c>
      <c r="AE29" s="85" t="str">
        <f>"aws s3 cp "&amp;s3_bucket&amp;"/RTDC"&amp;B29&amp;"/ "&amp;search_path&amp;"\RTDC"&amp;B29&amp;"\"&amp;TEXT(F29,"YYYY-MM-DD")&amp;" --exclude ""*"" --recursive --include ""*"&amp;TEXT(F29,"YYYYMMDD")&amp;"*"" &amp; """&amp;walkandungz&amp;""" "&amp;search_path&amp;"\RTDC"&amp;B29&amp;"\"&amp;TEXT(F29,"YYYY-MM-DD")
&amp;" &amp; "&amp;"aws s3 cp "&amp;s3_bucket&amp;"/RTDC"&amp;B29&amp;"/ "&amp;search_path&amp;"\RTDC"&amp;B29&amp;"\"&amp;TEXT(F29+1,"YYYY-MM-DD")&amp;" --exclude ""*"" --recursive --include ""*"&amp;TEXT(F29+1,"YYYYMMDD")&amp;"*"" &amp; """&amp;walkandungz&amp;""" "&amp;search_path&amp;"\RTDC"&amp;B29&amp;"\"&amp;TEXT(F29+1,"YYYY-MM-DD")</f>
        <v>aws s3 cp s3://rtdc.mdm.uploadarchive.raw/RTDC4025/ "%USERPROFILE%\AppData\Local\Temp\OnboardLogs"\RTDC4025\2017-02-07 --exclude "*" --recursive --include "*20170207*" &amp; "%USERPROFILE%\Documents\GitHub\mrs-test-scripts\Headless Mode &amp; Sideloading\WalkAndUnGZ.bat" "%USERPROFILE%\AppData\Local\Temp\OnboardLogs"\RTDC4025\2017-02-07 &amp; aws s3 cp s3://rtdc.mdm.uploadarchive.raw/RTDC4025/ "%USERPROFILE%\AppData\Local\Temp\OnboardLogs"\RTDC4025\2017-02-08 --exclude "*" --recursive --include "*20170208*" &amp; "%USERPROFILE%\Documents\GitHub\mrs-test-scripts\Headless Mode &amp; Sideloading\WalkAndUnGZ.bat" "%USERPROFILE%\AppData\Local\Temp\OnboardLogs"\RTDC4025\2017-02-08</v>
      </c>
      <c r="AF29" s="82" t="str">
        <f>astrogrep_path&amp;" /spath="&amp;search_path&amp;" /stypes=""app*"&amp;B29&amp;"*"&amp;TEXT(I29-utc_offset/24,"YYYYMMDD")&amp;"*"" /stext="" "&amp;TEXT(I29-utc_offset/24,"HH")&amp;search_regexp&amp;""" /e /r /s"</f>
        <v>"C:\Program Files (x86)\AstroGrep\AstroGrep.exe" /spath="%USERPROFILE%\AppData\Local\Temp\OnboardLogs" /stypes="app*4025*20170207*" /stext=" 13:.+((SYSTEM_STATE.+slice.+state.+changed )|(ment ac)|(multiple cpu faults)|(system.+state.+changed )|(\[timeout)|(PRM\|1\|D)|(kpr)|(kdp)|(\|lc)|(penalty))" /e /r /s</v>
      </c>
      <c r="AG29" s="1" t="str">
        <f>IFERROR(IF(VALUE(LEFT(AD29,2))&lt;=2,"EC",IF(OR(VALUE(LEFT(AD29,2))=8,VALUE(LEFT(AD29,2))=18),"NW","Other")),"Other")</f>
        <v>EC</v>
      </c>
      <c r="AH29" s="86" t="str">
        <f t="shared" si="3"/>
        <v>"%USERPROFILE%\Documents\GitHub\eaglep3\Utilities\RefineRTDCRunTimes.py" --tripid 117-07 --locoid 4025 --swversion DE.1.0.8.0 --startMP 204:438 --initTime 2017-02-07T05:24:15 --startdatetime 2017-02-07T05:45:22 --delay 1 --endMP 204:233316 --enddatetime 2017-02-07T06:21:29 --enforcementcount 0 &gt;&gt;C:\Users\stu\Documents\GitHub\eaglep3-reporting\EC\2017-02-07-refined-times.txt</v>
      </c>
      <c r="AI29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{"issue":{"subject":"","project_id":79,"tracker_id":40,"status_id":1,"priority_id":2,"assigned_to_id":23,"start_date":"2017-02-07","description":"","custom_fields":[{"id":1,"name":"Subdivision","value":"EC"},{"id":4,"name":"Milepost","value":"23.3316"},{"id":17,"name":"Train ID","value":"117-07"},{"id":16,"name":"Locomotive ID","value":"4025"},{"id":130,"name":"Impact","value":""},{"id":150,"name":"Time of Event (Mountain Time)","value":"06:21:29"},{"id":151,"name":"Denver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48"/>
      <c r="AK29" s="48"/>
      <c r="AL29" s="48"/>
      <c r="AM29" s="158" t="str">
        <f t="shared" si="5"/>
        <v>start /low /b %USERPROFILE%\Documents\GitHub\eaglep3\Utilities\DownloadLogsFromS3.py --loco 4025 --day 2017-02-07</v>
      </c>
      <c r="AN29" s="167" t="str">
        <f>"grep -SE -B400 ""CHR.+\|PRM\|1\|D.+(SWITCH|SIGNAL).+UNKNOWN"" "&amp;search_path&amp;"\RTDC"&amp;B29&amp;"\*"&amp;B29&amp;"*"&amp;TEXT(AVERAGE(F29,I29)-utc_offset/24,"YYYYMMDD")&amp;"*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"%USERPROFILE%\AppData\Local\Temp\OnboardLogs"\RTDC4025\*4025*20170207* | grep -SE "(Enforcement Action)|(\[TIMEOUT)|(CHR.+\|PRM\|1\|D.+(SWITCH|SIGNAL).+UNKNOWN)" - &gt;&gt; 2017-02-07-UncaughtWiMAX.txt</v>
      </c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3" t="s">
        <v>533</v>
      </c>
      <c r="B30" s="7">
        <v>4026</v>
      </c>
      <c r="C30" s="21" t="s">
        <v>193</v>
      </c>
      <c r="D30" s="21" t="s">
        <v>716</v>
      </c>
      <c r="E30" s="13">
        <v>42773.274780092594</v>
      </c>
      <c r="F30" s="13">
        <v>42773.278726851851</v>
      </c>
      <c r="G30" s="7">
        <v>1</v>
      </c>
      <c r="H30" s="21" t="s">
        <v>205</v>
      </c>
      <c r="I30" s="13">
        <v>42773.30605324074</v>
      </c>
      <c r="J30" s="7">
        <v>0</v>
      </c>
      <c r="K30" s="98" t="str">
        <f>IF(ISEVEN(B30),(B30-1)&amp;"/"&amp;B30,B30&amp;"/"&amp;(B30+1))</f>
        <v>4025/4026</v>
      </c>
      <c r="L30" s="21" t="str">
        <f>VLOOKUP(A30,'Trips&amp;Operators'!$C$1:$G$99999,5,FALSE)</f>
        <v>MAELZER KURT</v>
      </c>
      <c r="M30" s="6">
        <f>I30-F30</f>
        <v>2.73263888884685E-2</v>
      </c>
      <c r="N30" s="7">
        <f>24*60*SUM($M30:$M30)</f>
        <v>39.34999999939464</v>
      </c>
      <c r="O30" s="7"/>
      <c r="P30" s="7"/>
      <c r="Q30" s="22"/>
      <c r="R30" s="22"/>
      <c r="S30" s="31">
        <f>SUM(U30:U30)/IF(AG30="EC",12,1)</f>
        <v>1</v>
      </c>
      <c r="T30" s="46" t="str">
        <f>IF(ISEVEN(LEFT(AD30,4)),"Southbound","NorthBound")</f>
        <v>Southbound</v>
      </c>
      <c r="U30" s="190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191" t="str">
        <f>"https://d0f6bd738d7f1b3e5a7ca70fe4ff75f0.us-east-1.aws.found.io/app/kibana#/discover/Steve-Slow-Train-Analysis-(2080s-and-2083s)?_g="&amp;"(refreshInterval:(display:Off,pause:!f,section:0,value:0),time:(from:'"&amp;TEXT(E30-1/24,"yyyy-MM-DDThh:mm:ss")&amp;utc_offset&amp;"00"&amp;"',mode:absolute,to:'"&amp;TEXT(I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30&amp;"%22')),sort:!(Time.ISO8601,asc))"</f>
        <v>https://d0f6bd738d7f1b3e5a7ca70fe4ff75f0.us-east-1.aws.found.io/app/kibana#/discover/Steve-Slow-Train-Analysis-(2080s-and-2083s)?_g=(refreshInterval:(display:Off,pause:!f,section:0,value:0),time:(from:'2017-02-07T05:35:41-0700',mode:absolute,to:'2017-02-07T08:20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30" s="192" t="str">
        <f>IF(AA30&lt;IF(AG30="EC",23,5.65),"Y","N")</f>
        <v>N</v>
      </c>
      <c r="X30" s="192">
        <f>VALUE(LEFT(AD30,4))-VALUE(LEFT(AD29,4))</f>
        <v>1</v>
      </c>
      <c r="Y30" s="62">
        <f>RIGHT(D30,LEN(D30)-4)/10000</f>
        <v>23.299600000000002</v>
      </c>
      <c r="Z30" s="62">
        <f>RIGHT(H30,LEN(H30)-4)/10000</f>
        <v>1.47E-2</v>
      </c>
      <c r="AA30" s="62">
        <f>ABS(Z30-Y30)</f>
        <v>23.2849</v>
      </c>
      <c r="AB30" s="59" t="e">
        <f>VLOOKUP(A30,Enforcements!$C$7:$K$14,8,0)</f>
        <v>#N/A</v>
      </c>
      <c r="AC30" s="55" t="e">
        <f>VLOOKUP(A30,Enforcements!$C$7:$E$14,3,0)</f>
        <v>#N/A</v>
      </c>
      <c r="AD30" s="56" t="str">
        <f>IF(LEN(A30)=6,"0"&amp;A30,A30)</f>
        <v>0118-07</v>
      </c>
      <c r="AE30" s="85" t="str">
        <f>"aws s3 cp "&amp;s3_bucket&amp;"/RTDC"&amp;B30&amp;"/ "&amp;search_path&amp;"\RTDC"&amp;B30&amp;"\"&amp;TEXT(F30,"YYYY-MM-DD")&amp;" --exclude ""*"" --recursive --include ""*"&amp;TEXT(F30,"YYYYMMDD")&amp;"*"" &amp; """&amp;walkandungz&amp;""" "&amp;search_path&amp;"\RTDC"&amp;B30&amp;"\"&amp;TEXT(F30,"YYYY-MM-DD")
&amp;" &amp; "&amp;"aws s3 cp "&amp;s3_bucket&amp;"/RTDC"&amp;B30&amp;"/ "&amp;search_path&amp;"\RTDC"&amp;B30&amp;"\"&amp;TEXT(F30+1,"YYYY-MM-DD")&amp;" --exclude ""*"" --recursive --include ""*"&amp;TEXT(F30+1,"YYYYMMDD")&amp;"*"" &amp; """&amp;walkandungz&amp;""" "&amp;search_path&amp;"\RTDC"&amp;B30&amp;"\"&amp;TEXT(F30+1,"YYYY-MM-DD")</f>
        <v>aws s3 cp s3://rtdc.mdm.uploadarchive.raw/RTDC4026/ "%USERPROFILE%\AppData\Local\Temp\OnboardLogs"\RTDC4026\2017-02-07 --exclude "*" --recursive --include "*20170207*" &amp; "%USERPROFILE%\Documents\GitHub\mrs-test-scripts\Headless Mode &amp; Sideloading\WalkAndUnGZ.bat" "%USERPROFILE%\AppData\Local\Temp\OnboardLogs"\RTDC4026\2017-02-07 &amp; 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</v>
      </c>
      <c r="AF30" s="82" t="str">
        <f>astrogrep_path&amp;" /spath="&amp;search_path&amp;" /stypes=""app*"&amp;B30&amp;"*"&amp;TEXT(I30-utc_offset/24,"YYYYMMDD")&amp;"*"" /stext="" "&amp;TEXT(I30-utc_offset/24,"HH")&amp;search_regexp&amp;""" /e /r /s"</f>
        <v>"C:\Program Files (x86)\AstroGrep\AstroGrep.exe" /spath="%USERPROFILE%\AppData\Local\Temp\OnboardLogs" /stypes="app*4026*20170207*" /stext=" 14:.+((SYSTEM_STATE.+slice.+state.+changed )|(ment ac)|(multiple cpu faults)|(system.+state.+changed )|(\[timeout)|(PRM\|1\|D)|(kpr)|(kdp)|(\|lc)|(penalty))" /e /r /s</v>
      </c>
      <c r="AG30" s="1" t="str">
        <f>IFERROR(IF(VALUE(LEFT(AD30,2))&lt;=2,"EC",IF(OR(VALUE(LEFT(AD30,2))=8,VALUE(LEFT(AD30,2))=18),"NW","Other")),"Other")</f>
        <v>EC</v>
      </c>
      <c r="AH30" s="86" t="str">
        <f t="shared" si="3"/>
        <v>"%USERPROFILE%\Documents\GitHub\eaglep3\Utilities\RefineRTDCRunTimes.py" --tripid 118-07 --locoid 4026 --swversion DE.1.0.8.0 --startMP 204:232996 --initTime 2017-02-07T06:35:41 --startdatetime 2017-02-07T06:41:22 --delay 1 --endMP 204:147 --enddatetime 2017-02-07T07:20:43 --enforcementcount 0 &gt;&gt;C:\Users\stu\Documents\GitHub\eaglep3-reporting\EC\2017-02-07-refined-times.txt</v>
      </c>
      <c r="AI30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{"issue":{"subject":"","project_id":79,"tracker_id":40,"status_id":1,"priority_id":2,"assigned_to_id":23,"start_date":"2017-02-07","description":"","custom_fields":[{"id":1,"name":"Subdivision","value":"EC"},{"id":4,"name":"Milepost","value":"0.0147"},{"id":17,"name":"Train ID","value":"118-07"},{"id":16,"name":"Locomotive ID","value":"4026"},{"id":130,"name":"Impact","value":""},{"id":150,"name":"Time of Event (Mountain Time)","value":"07:20:43"},{"id":151,"name":"Denver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48"/>
      <c r="AK30" s="48"/>
      <c r="AL30" s="48"/>
      <c r="AM30" s="158" t="str">
        <f t="shared" si="5"/>
        <v>start /low /b %USERPROFILE%\Documents\GitHub\eaglep3\Utilities\DownloadLogsFromS3.py --loco 4026 --day 2017-02-07</v>
      </c>
      <c r="AN30" s="167" t="str">
        <f>"grep -SE -B400 ""CHR.+\|PRM\|1\|D.+(SWITCH|SIGNAL).+UNKNOWN"" "&amp;search_path&amp;"\RTDC"&amp;B30&amp;"\*"&amp;B30&amp;"*"&amp;TEXT(AVERAGE(F30,I30)-utc_offset/24,"YYYYMMDD")&amp;"*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"%USERPROFILE%\AppData\Local\Temp\OnboardLogs"\RTDC4026\*4026*20170207* | grep -SE "(Enforcement Action)|(\[TIMEOUT)|(CHR.+\|PRM\|1\|D.+(SWITCH|SIGNAL).+UNKNOWN)" - &gt;&gt; 2017-02-07-UncaughtWiMAX.txt</v>
      </c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3" t="s">
        <v>525</v>
      </c>
      <c r="B31" s="7">
        <v>4046</v>
      </c>
      <c r="C31" s="21" t="s">
        <v>193</v>
      </c>
      <c r="D31" s="21" t="s">
        <v>717</v>
      </c>
      <c r="E31" s="13">
        <v>42773.245821759258</v>
      </c>
      <c r="F31" s="13">
        <v>42773.250231481485</v>
      </c>
      <c r="G31" s="7">
        <v>1</v>
      </c>
      <c r="H31" s="21" t="s">
        <v>718</v>
      </c>
      <c r="I31" s="13">
        <v>42773.275416666664</v>
      </c>
      <c r="J31" s="7">
        <v>0</v>
      </c>
      <c r="K31" s="98" t="str">
        <f>IF(ISEVEN(B31),(B31-1)&amp;"/"&amp;B31,B31&amp;"/"&amp;(B31+1))</f>
        <v>4045/4046</v>
      </c>
      <c r="L31" s="21" t="str">
        <f>VLOOKUP(A31,'Trips&amp;Operators'!$C$1:$G$99999,5,FALSE)</f>
        <v>YANAI IAN</v>
      </c>
      <c r="M31" s="6">
        <f>I31-F31</f>
        <v>2.5185185178997926E-2</v>
      </c>
      <c r="N31" s="7">
        <f>24*60*SUM($M31:$M31)</f>
        <v>36.266666657757014</v>
      </c>
      <c r="O31" s="7"/>
      <c r="P31" s="7"/>
      <c r="Q31" s="22"/>
      <c r="R31" s="22"/>
      <c r="S31" s="31">
        <f>SUM(U31:U31)/IF(AG31="EC",12,1)</f>
        <v>1</v>
      </c>
      <c r="T31" s="46" t="str">
        <f>IF(ISEVEN(LEFT(AD31,4)),"Southbound","NorthBound")</f>
        <v>NorthBound</v>
      </c>
      <c r="U31" s="190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191" t="str">
        <f>"https://d0f6bd738d7f1b3e5a7ca70fe4ff75f0.us-east-1.aws.found.io/app/kibana#/discover/Steve-Slow-Train-Analysis-(2080s-and-2083s)?_g="&amp;"(refreshInterval:(display:Off,pause:!f,section:0,value:0),time:(from:'"&amp;TEXT(E31-1/24,"yyyy-MM-DDThh:mm:ss")&amp;utc_offset&amp;"00"&amp;"',mode:absolute,to:'"&amp;TEXT(I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31&amp;"%22')),sort:!(Time.ISO8601,asc))"</f>
        <v>https://d0f6bd738d7f1b3e5a7ca70fe4ff75f0.us-east-1.aws.found.io/app/kibana#/discover/Steve-Slow-Train-Analysis-(2080s-and-2083s)?_g=(refreshInterval:(display:Off,pause:!f,section:0,value:0),time:(from:'2017-02-07T04:53:59-0700',mode:absolute,to:'2017-02-07T07:36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31" s="192" t="str">
        <f>IF(AA31&lt;IF(AG31="EC",23,5.65),"Y","N")</f>
        <v>N</v>
      </c>
      <c r="X31" s="192">
        <f>VALUE(LEFT(AD31,4))-VALUE(LEFT(AD30,4))</f>
        <v>1</v>
      </c>
      <c r="Y31" s="62">
        <f>RIGHT(D31,LEN(D31)-4)/10000</f>
        <v>7.1900000000000006E-2</v>
      </c>
      <c r="Z31" s="62">
        <f>RIGHT(H31,LEN(H31)-4)/10000</f>
        <v>23.331199999999999</v>
      </c>
      <c r="AA31" s="62">
        <f>ABS(Z31-Y31)</f>
        <v>23.2593</v>
      </c>
      <c r="AB31" s="59" t="e">
        <f>VLOOKUP(A31,Enforcements!$C$7:$K$14,8,0)</f>
        <v>#N/A</v>
      </c>
      <c r="AC31" s="55" t="e">
        <f>VLOOKUP(A31,Enforcements!$C$7:$E$14,3,0)</f>
        <v>#N/A</v>
      </c>
      <c r="AD31" s="56" t="str">
        <f>IF(LEN(A31)=6,"0"&amp;A31,A31)</f>
        <v>0119-07</v>
      </c>
      <c r="AE31" s="85" t="str">
        <f>"aws s3 cp "&amp;s3_bucket&amp;"/RTDC"&amp;B31&amp;"/ "&amp;search_path&amp;"\RTDC"&amp;B31&amp;"\"&amp;TEXT(F31,"YYYY-MM-DD")&amp;" --exclude ""*"" --recursive --include ""*"&amp;TEXT(F31,"YYYYMMDD")&amp;"*"" &amp; """&amp;walkandungz&amp;""" "&amp;search_path&amp;"\RTDC"&amp;B31&amp;"\"&amp;TEXT(F31,"YYYY-MM-DD")
&amp;" &amp; "&amp;"aws s3 cp "&amp;s3_bucket&amp;"/RTDC"&amp;B31&amp;"/ "&amp;search_path&amp;"\RTDC"&amp;B31&amp;"\"&amp;TEXT(F31+1,"YYYY-MM-DD")&amp;" --exclude ""*"" --recursive --include ""*"&amp;TEXT(F31+1,"YYYYMMDD")&amp;"*"" &amp; """&amp;walkandungz&amp;""" "&amp;search_path&amp;"\RTDC"&amp;B31&amp;"\"&amp;TEXT(F31+1,"YYYY-MM-DD")</f>
        <v>aws s3 cp s3://rtdc.mdm.uploadarchive.raw/RTDC4046/ "%USERPROFILE%\AppData\Local\Temp\OnboardLogs"\RTDC4046\2017-02-07 --exclude "*" --recursive --include "*20170207*" &amp; "%USERPROFILE%\Documents\GitHub\mrs-test-scripts\Headless Mode &amp; Sideloading\WalkAndUnGZ.bat" "%USERPROFILE%\AppData\Local\Temp\OnboardLogs"\RTDC4046\2017-02-07 &amp; aws s3 cp s3://rtdc.mdm.uploadarchive.raw/RTDC4046/ "%USERPROFILE%\AppData\Local\Temp\OnboardLogs"\RTDC4046\2017-02-08 --exclude "*" --recursive --include "*20170208*" &amp; "%USERPROFILE%\Documents\GitHub\mrs-test-scripts\Headless Mode &amp; Sideloading\WalkAndUnGZ.bat" "%USERPROFILE%\AppData\Local\Temp\OnboardLogs"\RTDC4046\2017-02-08</v>
      </c>
      <c r="AF31" s="82" t="str">
        <f>astrogrep_path&amp;" /spath="&amp;search_path&amp;" /stypes=""app*"&amp;B31&amp;"*"&amp;TEXT(I31-utc_offset/24,"YYYYMMDD")&amp;"*"" /stext="" "&amp;TEXT(I31-utc_offset/24,"HH")&amp;search_regexp&amp;""" /e /r /s"</f>
        <v>"C:\Program Files (x86)\AstroGrep\AstroGrep.exe" /spath="%USERPROFILE%\AppData\Local\Temp\OnboardLogs" /stypes="app*4046*20170207*" /stext=" 13:.+((SYSTEM_STATE.+slice.+state.+changed )|(ment ac)|(multiple cpu faults)|(system.+state.+changed )|(\[timeout)|(PRM\|1\|D)|(kpr)|(kdp)|(\|lc)|(penalty))" /e /r /s</v>
      </c>
      <c r="AG31" s="1" t="str">
        <f>IFERROR(IF(VALUE(LEFT(AD31,2))&lt;=2,"EC",IF(OR(VALUE(LEFT(AD31,2))=8,VALUE(LEFT(AD31,2))=18),"NW","Other")),"Other")</f>
        <v>EC</v>
      </c>
      <c r="AH31" s="86" t="str">
        <f t="shared" si="3"/>
        <v>"%USERPROFILE%\Documents\GitHub\eaglep3\Utilities\RefineRTDCRunTimes.py" --tripid 119-07 --locoid 4046 --swversion DE.1.0.8.0 --startMP 204:719 --initTime 2017-02-07T05:53:59 --startdatetime 2017-02-07T06:00:20 --delay 1 --endMP 204:233312 --enddatetime 2017-02-07T06:36:36 --enforcementcount 0 &gt;&gt;C:\Users\stu\Documents\GitHub\eaglep3-reporting\EC\2017-02-07-refined-times.txt</v>
      </c>
      <c r="AI31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{"issue":{"subject":"","project_id":79,"tracker_id":40,"status_id":1,"priority_id":2,"assigned_to_id":23,"start_date":"2017-02-07","description":"","custom_fields":[{"id":1,"name":"Subdivision","value":"EC"},{"id":4,"name":"Milepost","value":"23.3312"},{"id":17,"name":"Train ID","value":"119-07"},{"id":16,"name":"Locomotive ID","value":"4046"},{"id":130,"name":"Impact","value":""},{"id":150,"name":"Time of Event (Mountain Time)","value":"06:36:36"},{"id":151,"name":"Denver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48"/>
      <c r="AK31" s="48"/>
      <c r="AL31" s="48"/>
      <c r="AM31" s="158" t="str">
        <f t="shared" si="5"/>
        <v>start /low /b %USERPROFILE%\Documents\GitHub\eaglep3\Utilities\DownloadLogsFromS3.py --loco 4046 --day 2017-02-07</v>
      </c>
      <c r="AN31" s="167" t="str">
        <f>"grep -SE -B400 ""CHR.+\|PRM\|1\|D.+(SWITCH|SIGNAL).+UNKNOWN"" "&amp;search_path&amp;"\RTDC"&amp;B31&amp;"\*"&amp;B31&amp;"*"&amp;TEXT(AVERAGE(F31,I31)-utc_offset/24,"YYYYMMDD")&amp;"*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"%USERPROFILE%\AppData\Local\Temp\OnboardLogs"\RTDC4046\*4046*20170207* | grep -SE "(Enforcement Action)|(\[TIMEOUT)|(CHR.+\|PRM\|1\|D.+(SWITCH|SIGNAL).+UNKNOWN)" - &gt;&gt; 2017-02-07-UncaughtWiMAX.txt</v>
      </c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3" t="s">
        <v>534</v>
      </c>
      <c r="B32" s="7">
        <v>4045</v>
      </c>
      <c r="C32" s="21" t="s">
        <v>193</v>
      </c>
      <c r="D32" s="21" t="s">
        <v>719</v>
      </c>
      <c r="E32" s="13">
        <v>42773.27715277778</v>
      </c>
      <c r="F32" s="13">
        <v>42773.289050925923</v>
      </c>
      <c r="G32" s="7">
        <v>1</v>
      </c>
      <c r="H32" s="21" t="s">
        <v>205</v>
      </c>
      <c r="I32" s="13">
        <v>42773.316932870373</v>
      </c>
      <c r="J32" s="7">
        <v>0</v>
      </c>
      <c r="K32" s="98" t="str">
        <f>IF(ISEVEN(B32),(B32-1)&amp;"/"&amp;B32,B32&amp;"/"&amp;(B32+1))</f>
        <v>4045/4046</v>
      </c>
      <c r="L32" s="21" t="str">
        <f>VLOOKUP(A32,'Trips&amp;Operators'!$C$1:$G$99999,5,FALSE)</f>
        <v>YANAI IAN</v>
      </c>
      <c r="M32" s="6">
        <f>I32-F32</f>
        <v>2.7881944450200535E-2</v>
      </c>
      <c r="N32" s="7">
        <f>24*60*SUM($M32:$M32)</f>
        <v>40.150000008288771</v>
      </c>
      <c r="O32" s="7"/>
      <c r="P32" s="7"/>
      <c r="Q32" s="22"/>
      <c r="R32" s="22"/>
      <c r="S32" s="31">
        <f>SUM(U32:U32)/IF(AG32="EC",12,1)</f>
        <v>1</v>
      </c>
      <c r="T32" s="46" t="str">
        <f>IF(ISEVEN(LEFT(AD32,4)),"Southbound","NorthBound")</f>
        <v>Southbound</v>
      </c>
      <c r="U32" s="190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191" t="str">
        <f>"https://d0f6bd738d7f1b3e5a7ca70fe4ff75f0.us-east-1.aws.found.io/app/kibana#/discover/Steve-Slow-Train-Analysis-(2080s-and-2083s)?_g="&amp;"(refreshInterval:(display:Off,pause:!f,section:0,value:0),time:(from:'"&amp;TEXT(E32-1/24,"yyyy-MM-DDThh:mm:ss")&amp;utc_offset&amp;"00"&amp;"',mode:absolute,to:'"&amp;TEXT(I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32&amp;"%22')),sort:!(Time.ISO8601,asc))"</f>
        <v>https://d0f6bd738d7f1b3e5a7ca70fe4ff75f0.us-east-1.aws.found.io/app/kibana#/discover/Steve-Slow-Train-Analysis-(2080s-and-2083s)?_g=(refreshInterval:(display:Off,pause:!f,section:0,value:0),time:(from:'2017-02-07T05:39:06-0700',mode:absolute,to:'2017-02-07T08:36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32" s="192" t="str">
        <f>IF(AA32&lt;IF(AG32="EC",23,5.65),"Y","N")</f>
        <v>N</v>
      </c>
      <c r="X32" s="192">
        <f>VALUE(LEFT(AD32,4))-VALUE(LEFT(AD31,4))</f>
        <v>1</v>
      </c>
      <c r="Y32" s="62">
        <f>RIGHT(D32,LEN(D32)-4)/10000</f>
        <v>23.3002</v>
      </c>
      <c r="Z32" s="62">
        <f>RIGHT(H32,LEN(H32)-4)/10000</f>
        <v>1.47E-2</v>
      </c>
      <c r="AA32" s="62">
        <f>ABS(Z32-Y32)</f>
        <v>23.285499999999999</v>
      </c>
      <c r="AB32" s="59" t="e">
        <f>VLOOKUP(A32,Enforcements!$C$7:$K$14,8,0)</f>
        <v>#N/A</v>
      </c>
      <c r="AC32" s="55" t="e">
        <f>VLOOKUP(A32,Enforcements!$C$7:$E$14,3,0)</f>
        <v>#N/A</v>
      </c>
      <c r="AD32" s="56" t="str">
        <f>IF(LEN(A32)=6,"0"&amp;A32,A32)</f>
        <v>0120-07</v>
      </c>
      <c r="AE32" s="85" t="str">
        <f>"aws s3 cp "&amp;s3_bucket&amp;"/RTDC"&amp;B32&amp;"/ "&amp;search_path&amp;"\RTDC"&amp;B32&amp;"\"&amp;TEXT(F32,"YYYY-MM-DD")&amp;" --exclude ""*"" --recursive --include ""*"&amp;TEXT(F32,"YYYYMMDD")&amp;"*"" &amp; """&amp;walkandungz&amp;""" "&amp;search_path&amp;"\RTDC"&amp;B32&amp;"\"&amp;TEXT(F32,"YYYY-MM-DD")
&amp;" &amp; "&amp;"aws s3 cp "&amp;s3_bucket&amp;"/RTDC"&amp;B32&amp;"/ "&amp;search_path&amp;"\RTDC"&amp;B32&amp;"\"&amp;TEXT(F32+1,"YYYY-MM-DD")&amp;" --exclude ""*"" --recursive --include ""*"&amp;TEXT(F32+1,"YYYYMMDD")&amp;"*"" &amp; """&amp;walkandungz&amp;""" "&amp;search_path&amp;"\RTDC"&amp;B32&amp;"\"&amp;TEXT(F32+1,"YYYY-MM-DD")</f>
        <v>aws s3 cp s3://rtdc.mdm.uploadarchive.raw/RTDC4045/ "%USERPROFILE%\AppData\Local\Temp\OnboardLogs"\RTDC4045\2017-02-07 --exclude "*" --recursive --include "*20170207*" &amp; "%USERPROFILE%\Documents\GitHub\mrs-test-scripts\Headless Mode &amp; Sideloading\WalkAndUnGZ.bat" "%USERPROFILE%\AppData\Local\Temp\OnboardLogs"\RTDC4045\2017-02-07 &amp; aws s3 cp s3://rtdc.mdm.uploadarchive.raw/RTDC4045/ "%USERPROFILE%\AppData\Local\Temp\OnboardLogs"\RTDC4045\2017-02-08 --exclude "*" --recursive --include "*20170208*" &amp; "%USERPROFILE%\Documents\GitHub\mrs-test-scripts\Headless Mode &amp; Sideloading\WalkAndUnGZ.bat" "%USERPROFILE%\AppData\Local\Temp\OnboardLogs"\RTDC4045\2017-02-08</v>
      </c>
      <c r="AF32" s="82" t="str">
        <f>astrogrep_path&amp;" /spath="&amp;search_path&amp;" /stypes=""app*"&amp;B32&amp;"*"&amp;TEXT(I32-utc_offset/24,"YYYYMMDD")&amp;"*"" /stext="" "&amp;TEXT(I32-utc_offset/24,"HH")&amp;search_regexp&amp;""" /e /r /s"</f>
        <v>"C:\Program Files (x86)\AstroGrep\AstroGrep.exe" /spath="%USERPROFILE%\AppData\Local\Temp\OnboardLogs" /stypes="app*4045*20170207*" /stext=" 14:.+((SYSTEM_STATE.+slice.+state.+changed )|(ment ac)|(multiple cpu faults)|(system.+state.+changed )|(\[timeout)|(PRM\|1\|D)|(kpr)|(kdp)|(\|lc)|(penalty))" /e /r /s</v>
      </c>
      <c r="AG32" s="1" t="str">
        <f>IFERROR(IF(VALUE(LEFT(AD32,2))&lt;=2,"EC",IF(OR(VALUE(LEFT(AD32,2))=8,VALUE(LEFT(AD32,2))=18),"NW","Other")),"Other")</f>
        <v>EC</v>
      </c>
      <c r="AH32" s="86" t="str">
        <f t="shared" si="3"/>
        <v>"%USERPROFILE%\Documents\GitHub\eaglep3\Utilities\RefineRTDCRunTimes.py" --tripid 120-07 --locoid 4045 --swversion DE.1.0.8.0 --startMP 204:233002 --initTime 2017-02-07T06:39:06 --startdatetime 2017-02-07T06:56:14 --delay 1 --endMP 204:147 --enddatetime 2017-02-07T07:36:23 --enforcementcount 0 &gt;&gt;C:\Users\stu\Documents\GitHub\eaglep3-reporting\EC\2017-02-07-refined-times.txt</v>
      </c>
      <c r="AI32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{"issue":{"subject":"","project_id":79,"tracker_id":40,"status_id":1,"priority_id":2,"assigned_to_id":23,"start_date":"2017-02-07","description":"","custom_fields":[{"id":1,"name":"Subdivision","value":"EC"},{"id":4,"name":"Milepost","value":"0.0147"},{"id":17,"name":"Train ID","value":"120-07"},{"id":16,"name":"Locomotive ID","value":"4045"},{"id":130,"name":"Impact","value":""},{"id":150,"name":"Time of Event (Mountain Time)","value":"07:36:23"},{"id":151,"name":"Denver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48"/>
      <c r="AK32" s="48"/>
      <c r="AL32" s="48"/>
      <c r="AM32" s="158" t="str">
        <f t="shared" si="5"/>
        <v>start /low /b %USERPROFILE%\Documents\GitHub\eaglep3\Utilities\DownloadLogsFromS3.py --loco 4045 --day 2017-02-07</v>
      </c>
      <c r="AN32" s="167" t="str">
        <f>"grep -SE -B400 ""CHR.+\|PRM\|1\|D.+(SWITCH|SIGNAL).+UNKNOWN"" "&amp;search_path&amp;"\RTDC"&amp;B32&amp;"\*"&amp;B32&amp;"*"&amp;TEXT(AVERAGE(F32,I32)-utc_offset/24,"YYYYMMDD")&amp;"*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"%USERPROFILE%\AppData\Local\Temp\OnboardLogs"\RTDC4045\*4045*20170207* | grep -SE "(Enforcement Action)|(\[TIMEOUT)|(CHR.+\|PRM\|1\|D.+(SWITCH|SIGNAL).+UNKNOWN)" - &gt;&gt; 2017-02-07-UncaughtWiMAX.txt</v>
      </c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3" t="s">
        <v>529</v>
      </c>
      <c r="B33" s="7">
        <v>4040</v>
      </c>
      <c r="C33" s="21" t="s">
        <v>193</v>
      </c>
      <c r="D33" s="21" t="s">
        <v>428</v>
      </c>
      <c r="E33" s="13">
        <v>42773.256331018521</v>
      </c>
      <c r="F33" s="13">
        <v>42773.260775462964</v>
      </c>
      <c r="G33" s="7">
        <v>1</v>
      </c>
      <c r="H33" s="21" t="s">
        <v>720</v>
      </c>
      <c r="I33" s="13">
        <v>42773.287523148145</v>
      </c>
      <c r="J33" s="7">
        <v>0</v>
      </c>
      <c r="K33" s="98" t="str">
        <f>IF(ISEVEN(B33),(B33-1)&amp;"/"&amp;B33,B33&amp;"/"&amp;(B33+1))</f>
        <v>4039/4040</v>
      </c>
      <c r="L33" s="21" t="str">
        <f>VLOOKUP(A33,'Trips&amp;Operators'!$C$1:$G$99999,5,FALSE)</f>
        <v>BONDS REYNALDO</v>
      </c>
      <c r="M33" s="6">
        <f>I33-F33</f>
        <v>2.6747685180453118E-2</v>
      </c>
      <c r="N33" s="7">
        <f>24*60*SUM($M33:$M33)</f>
        <v>38.51666665985249</v>
      </c>
      <c r="O33" s="7"/>
      <c r="P33" s="7"/>
      <c r="Q33" s="22"/>
      <c r="R33" s="22"/>
      <c r="S33" s="31">
        <f>SUM(U33:U33)/IF(AG33="EC",12,1)</f>
        <v>1</v>
      </c>
      <c r="T33" s="46" t="str">
        <f>IF(ISEVEN(LEFT(AD33,4)),"Southbound","NorthBound")</f>
        <v>NorthBound</v>
      </c>
      <c r="U33" s="190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191" t="str">
        <f>"https://d0f6bd738d7f1b3e5a7ca70fe4ff75f0.us-east-1.aws.found.io/app/kibana#/discover/Steve-Slow-Train-Analysis-(2080s-and-2083s)?_g="&amp;"(refreshInterval:(display:Off,pause:!f,section:0,value:0),time:(from:'"&amp;TEXT(E33-1/24,"yyyy-MM-DDThh:mm:ss")&amp;utc_offset&amp;"00"&amp;"',mode:absolute,to:'"&amp;TEXT(I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33&amp;"%22')),sort:!(Time.ISO8601,asc))"</f>
        <v>https://d0f6bd738d7f1b3e5a7ca70fe4ff75f0.us-east-1.aws.found.io/app/kibana#/discover/Steve-Slow-Train-Analysis-(2080s-and-2083s)?_g=(refreshInterval:(display:Off,pause:!f,section:0,value:0),time:(from:'2017-02-07T05:09:07-0700',mode:absolute,to:'2017-02-07T07:54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33" s="192" t="str">
        <f>IF(AA33&lt;IF(AG33="EC",23,5.65),"Y","N")</f>
        <v>N</v>
      </c>
      <c r="X33" s="192">
        <f>VALUE(LEFT(AD33,4))-VALUE(LEFT(AD32,4))</f>
        <v>1</v>
      </c>
      <c r="Y33" s="62">
        <f>RIGHT(D33,LEN(D33)-4)/10000</f>
        <v>4.7300000000000002E-2</v>
      </c>
      <c r="Z33" s="62">
        <f>RIGHT(H33,LEN(H33)-4)/10000</f>
        <v>23.3276</v>
      </c>
      <c r="AA33" s="62">
        <f>ABS(Z33-Y33)</f>
        <v>23.2803</v>
      </c>
      <c r="AB33" s="59" t="e">
        <f>VLOOKUP(A33,Enforcements!$C$7:$K$14,8,0)</f>
        <v>#N/A</v>
      </c>
      <c r="AC33" s="55" t="e">
        <f>VLOOKUP(A33,Enforcements!$C$7:$E$14,3,0)</f>
        <v>#N/A</v>
      </c>
      <c r="AD33" s="56" t="str">
        <f>IF(LEN(A33)=6,"0"&amp;A33,A33)</f>
        <v>0121-07</v>
      </c>
      <c r="AE33" s="85" t="str">
        <f>"aws s3 cp "&amp;s3_bucket&amp;"/RTDC"&amp;B33&amp;"/ "&amp;search_path&amp;"\RTDC"&amp;B33&amp;"\"&amp;TEXT(F33,"YYYY-MM-DD")&amp;" --exclude ""*"" --recursive --include ""*"&amp;TEXT(F33,"YYYYMMDD")&amp;"*"" &amp; """&amp;walkandungz&amp;""" "&amp;search_path&amp;"\RTDC"&amp;B33&amp;"\"&amp;TEXT(F33,"YYYY-MM-DD")
&amp;" &amp; "&amp;"aws s3 cp "&amp;s3_bucket&amp;"/RTDC"&amp;B33&amp;"/ "&amp;search_path&amp;"\RTDC"&amp;B33&amp;"\"&amp;TEXT(F33+1,"YYYY-MM-DD")&amp;" --exclude ""*"" --recursive --include ""*"&amp;TEXT(F33+1,"YYYYMMDD")&amp;"*"" &amp; """&amp;walkandungz&amp;""" "&amp;search_path&amp;"\RTDC"&amp;B33&amp;"\"&amp;TEXT(F33+1,"YYYY-MM-DD")</f>
        <v>aws s3 cp s3://rtdc.mdm.uploadarchive.raw/RTDC4040/ "%USERPROFILE%\AppData\Local\Temp\OnboardLogs"\RTDC4040\2017-02-07 --exclude "*" --recursive --include "*20170207*" &amp; "%USERPROFILE%\Documents\GitHub\mrs-test-scripts\Headless Mode &amp; Sideloading\WalkAndUnGZ.bat" "%USERPROFILE%\AppData\Local\Temp\OnboardLogs"\RTDC4040\2017-02-07 &amp; aws s3 cp s3://rtdc.mdm.uploadarchive.raw/RTDC4040/ "%USERPROFILE%\AppData\Local\Temp\OnboardLogs"\RTDC4040\2017-02-08 --exclude "*" --recursive --include "*20170208*" &amp; "%USERPROFILE%\Documents\GitHub\mrs-test-scripts\Headless Mode &amp; Sideloading\WalkAndUnGZ.bat" "%USERPROFILE%\AppData\Local\Temp\OnboardLogs"\RTDC4040\2017-02-08</v>
      </c>
      <c r="AF33" s="82" t="str">
        <f>astrogrep_path&amp;" /spath="&amp;search_path&amp;" /stypes=""app*"&amp;B33&amp;"*"&amp;TEXT(I33-utc_offset/24,"YYYYMMDD")&amp;"*"" /stext="" "&amp;TEXT(I33-utc_offset/24,"HH")&amp;search_regexp&amp;""" /e /r /s"</f>
        <v>"C:\Program Files (x86)\AstroGrep\AstroGrep.exe" /spath="%USERPROFILE%\AppData\Local\Temp\OnboardLogs" /stypes="app*4040*20170207*" /stext=" 13:.+((SYSTEM_STATE.+slice.+state.+changed )|(ment ac)|(multiple cpu faults)|(system.+state.+changed )|(\[timeout)|(PRM\|1\|D)|(kpr)|(kdp)|(\|lc)|(penalty))" /e /r /s</v>
      </c>
      <c r="AG33" s="1" t="str">
        <f>IFERROR(IF(VALUE(LEFT(AD33,2))&lt;=2,"EC",IF(OR(VALUE(LEFT(AD33,2))=8,VALUE(LEFT(AD33,2))=18),"NW","Other")),"Other")</f>
        <v>EC</v>
      </c>
      <c r="AH33" s="86" t="str">
        <f t="shared" si="3"/>
        <v>"%USERPROFILE%\Documents\GitHub\eaglep3\Utilities\RefineRTDCRunTimes.py" --tripid 121-07 --locoid 4040 --swversion DE.1.0.8.0 --startMP 204:473 --initTime 2017-02-07T06:09:07 --startdatetime 2017-02-07T06:15:31 --delay 1 --endMP 204:233276 --enddatetime 2017-02-07T06:54:02 --enforcementcount 0 &gt;&gt;C:\Users\stu\Documents\GitHub\eaglep3-reporting\EC\2017-02-07-refined-times.txt</v>
      </c>
      <c r="AI33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{"issue":{"subject":"","project_id":79,"tracker_id":40,"status_id":1,"priority_id":2,"assigned_to_id":23,"start_date":"2017-02-07","description":"","custom_fields":[{"id":1,"name":"Subdivision","value":"EC"},{"id":4,"name":"Milepost","value":"23.3276"},{"id":17,"name":"Train ID","value":"121-07"},{"id":16,"name":"Locomotive ID","value":"4040"},{"id":130,"name":"Impact","value":""},{"id":150,"name":"Time of Event (Mountain Time)","value":"06:54:02"},{"id":151,"name":"Denver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48"/>
      <c r="AK33" s="48"/>
      <c r="AL33" s="48"/>
      <c r="AM33" s="158" t="str">
        <f t="shared" si="5"/>
        <v>start /low /b %USERPROFILE%\Documents\GitHub\eaglep3\Utilities\DownloadLogsFromS3.py --loco 4040 --day 2017-02-07</v>
      </c>
      <c r="AN33" s="167" t="str">
        <f>"grep -SE -B400 ""CHR.+\|PRM\|1\|D.+(SWITCH|SIGNAL).+UNKNOWN"" "&amp;search_path&amp;"\RTDC"&amp;B33&amp;"\*"&amp;B33&amp;"*"&amp;TEXT(AVERAGE(F33,I33)-utc_offset/24,"YYYYMMDD")&amp;"*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"%USERPROFILE%\AppData\Local\Temp\OnboardLogs"\RTDC4040\*4040*20170207* | grep -SE "(Enforcement Action)|(\[TIMEOUT)|(CHR.+\|PRM\|1\|D.+(SWITCH|SIGNAL).+UNKNOWN)" - &gt;&gt; 2017-02-07-UncaughtWiMAX.txt</v>
      </c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3" t="s">
        <v>540</v>
      </c>
      <c r="B34" s="7">
        <v>4039</v>
      </c>
      <c r="C34" s="21" t="s">
        <v>193</v>
      </c>
      <c r="D34" s="21" t="s">
        <v>317</v>
      </c>
      <c r="E34" s="13">
        <v>42773.29760416667</v>
      </c>
      <c r="F34" s="13">
        <v>42773.300439814811</v>
      </c>
      <c r="G34" s="7">
        <v>1</v>
      </c>
      <c r="H34" s="21" t="s">
        <v>199</v>
      </c>
      <c r="I34" s="13">
        <v>42773.329039351855</v>
      </c>
      <c r="J34" s="7">
        <v>0</v>
      </c>
      <c r="K34" s="98" t="str">
        <f>IF(ISEVEN(B34),(B34-1)&amp;"/"&amp;B34,B34&amp;"/"&amp;(B34+1))</f>
        <v>4039/4040</v>
      </c>
      <c r="L34" s="21" t="str">
        <f>VLOOKUP(A34,'Trips&amp;Operators'!$C$1:$G$99999,5,FALSE)</f>
        <v>BONDS REYNALDO</v>
      </c>
      <c r="M34" s="6">
        <f>I34-F34</f>
        <v>2.8599537043191958E-2</v>
      </c>
      <c r="N34" s="7">
        <f>24*60*SUM($M34:$M34)</f>
        <v>41.18333334219642</v>
      </c>
      <c r="O34" s="7"/>
      <c r="P34" s="7"/>
      <c r="Q34" s="22"/>
      <c r="R34" s="22"/>
      <c r="S34" s="31">
        <f>SUM(U34:U34)/IF(AG34="EC",12,1)</f>
        <v>1</v>
      </c>
      <c r="T34" s="46" t="str">
        <f>IF(ISEVEN(LEFT(AD34,4)),"Southbound","NorthBound")</f>
        <v>Southbound</v>
      </c>
      <c r="U34" s="190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191" t="str">
        <f>"https://d0f6bd738d7f1b3e5a7ca70fe4ff75f0.us-east-1.aws.found.io/app/kibana#/discover/Steve-Slow-Train-Analysis-(2080s-and-2083s)?_g="&amp;"(refreshInterval:(display:Off,pause:!f,section:0,value:0),time:(from:'"&amp;TEXT(E34-1/24,"yyyy-MM-DDThh:mm:ss")&amp;utc_offset&amp;"00"&amp;"',mode:absolute,to:'"&amp;TEXT(I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34&amp;"%22')),sort:!(Time.ISO8601,asc))"</f>
        <v>https://d0f6bd738d7f1b3e5a7ca70fe4ff75f0.us-east-1.aws.found.io/app/kibana#/discover/Steve-Slow-Train-Analysis-(2080s-and-2083s)?_g=(refreshInterval:(display:Off,pause:!f,section:0,value:0),time:(from:'2017-02-07T06:08:33-0700',mode:absolute,to:'2017-02-07T08:53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34" s="192" t="str">
        <f>IF(AA34&lt;IF(AG34="EC",23,5.65),"Y","N")</f>
        <v>N</v>
      </c>
      <c r="X34" s="192">
        <f>VALUE(LEFT(AD34,4))-VALUE(LEFT(AD33,4))</f>
        <v>1</v>
      </c>
      <c r="Y34" s="62">
        <f>RIGHT(D34,LEN(D34)-4)/10000</f>
        <v>23.297699999999999</v>
      </c>
      <c r="Z34" s="62">
        <f>RIGHT(H34,LEN(H34)-4)/10000</f>
        <v>1.4500000000000001E-2</v>
      </c>
      <c r="AA34" s="62">
        <f>ABS(Z34-Y34)</f>
        <v>23.283199999999997</v>
      </c>
      <c r="AB34" s="59" t="e">
        <f>VLOOKUP(A34,Enforcements!$C$7:$K$14,8,0)</f>
        <v>#N/A</v>
      </c>
      <c r="AC34" s="55" t="e">
        <f>VLOOKUP(A34,Enforcements!$C$7:$E$14,3,0)</f>
        <v>#N/A</v>
      </c>
      <c r="AD34" s="56" t="str">
        <f>IF(LEN(A34)=6,"0"&amp;A34,A34)</f>
        <v>0122-07</v>
      </c>
      <c r="AE34" s="85" t="str">
        <f>"aws s3 cp "&amp;s3_bucket&amp;"/RTDC"&amp;B34&amp;"/ "&amp;search_path&amp;"\RTDC"&amp;B34&amp;"\"&amp;TEXT(F34,"YYYY-MM-DD")&amp;" --exclude ""*"" --recursive --include ""*"&amp;TEXT(F34,"YYYYMMDD")&amp;"*"" &amp; """&amp;walkandungz&amp;""" "&amp;search_path&amp;"\RTDC"&amp;B34&amp;"\"&amp;TEXT(F34,"YYYY-MM-DD")
&amp;" &amp; "&amp;"aws s3 cp "&amp;s3_bucket&amp;"/RTDC"&amp;B34&amp;"/ "&amp;search_path&amp;"\RTDC"&amp;B34&amp;"\"&amp;TEXT(F34+1,"YYYY-MM-DD")&amp;" --exclude ""*"" --recursive --include ""*"&amp;TEXT(F34+1,"YYYYMMDD")&amp;"*"" &amp; """&amp;walkandungz&amp;""" "&amp;search_path&amp;"\RTDC"&amp;B34&amp;"\"&amp;TEXT(F34+1,"YYYY-MM-DD")</f>
        <v>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 &amp; aws s3 cp s3://rtdc.mdm.uploadarchive.raw/RTDC4039/ "%USERPROFILE%\AppData\Local\Temp\OnboardLogs"\RTDC4039\2017-02-08 --exclude "*" --recursive --include "*20170208*" &amp; "%USERPROFILE%\Documents\GitHub\mrs-test-scripts\Headless Mode &amp; Sideloading\WalkAndUnGZ.bat" "%USERPROFILE%\AppData\Local\Temp\OnboardLogs"\RTDC4039\2017-02-08</v>
      </c>
      <c r="AF34" s="82" t="str">
        <f>astrogrep_path&amp;" /spath="&amp;search_path&amp;" /stypes=""app*"&amp;B34&amp;"*"&amp;TEXT(I34-utc_offset/24,"YYYYMMDD")&amp;"*"" /stext="" "&amp;TEXT(I34-utc_offset/24,"HH")&amp;search_regexp&amp;""" /e /r /s"</f>
        <v>"C:\Program Files (x86)\AstroGrep\AstroGrep.exe" /spath="%USERPROFILE%\AppData\Local\Temp\OnboardLogs" /stypes="app*4039*20170207*" /stext=" 14:.+((SYSTEM_STATE.+slice.+state.+changed )|(ment ac)|(multiple cpu faults)|(system.+state.+changed )|(\[timeout)|(PRM\|1\|D)|(kpr)|(kdp)|(\|lc)|(penalty))" /e /r /s</v>
      </c>
      <c r="AG34" s="1" t="str">
        <f>IFERROR(IF(VALUE(LEFT(AD34,2))&lt;=2,"EC",IF(OR(VALUE(LEFT(AD34,2))=8,VALUE(LEFT(AD34,2))=18),"NW","Other")),"Other")</f>
        <v>EC</v>
      </c>
      <c r="AH34" s="86" t="str">
        <f t="shared" si="3"/>
        <v>"%USERPROFILE%\Documents\GitHub\eaglep3\Utilities\RefineRTDCRunTimes.py" --tripid 122-07 --locoid 4039 --swversion DE.1.0.8.0 --startMP 204:232977 --initTime 2017-02-07T07:08:33 --startdatetime 2017-02-07T07:12:38 --delay 1 --endMP 204:145 --enddatetime 2017-02-07T07:53:49 --enforcementcount 0 &gt;&gt;C:\Users\stu\Documents\GitHub\eaglep3-reporting\EC\2017-02-07-refined-times.txt</v>
      </c>
      <c r="AI34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{"issue":{"subject":"","project_id":79,"tracker_id":40,"status_id":1,"priority_id":2,"assigned_to_id":23,"start_date":"2017-02-07","description":"","custom_fields":[{"id":1,"name":"Subdivision","value":"EC"},{"id":4,"name":"Milepost","value":"0.0145"},{"id":17,"name":"Train ID","value":"122-07"},{"id":16,"name":"Locomotive ID","value":"4039"},{"id":130,"name":"Impact","value":""},{"id":150,"name":"Time of Event (Mountain Time)","value":"07:53:49"},{"id":151,"name":"Denver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48"/>
      <c r="AK34" s="48"/>
      <c r="AL34" s="48"/>
      <c r="AM34" s="158" t="str">
        <f t="shared" si="5"/>
        <v>start /low /b %USERPROFILE%\Documents\GitHub\eaglep3\Utilities\DownloadLogsFromS3.py --loco 4039 --day 2017-02-07</v>
      </c>
      <c r="AN34" s="167" t="str">
        <f>"grep -SE -B400 ""CHR.+\|PRM\|1\|D.+(SWITCH|SIGNAL).+UNKNOWN"" "&amp;search_path&amp;"\RTDC"&amp;B34&amp;"\*"&amp;B34&amp;"*"&amp;TEXT(AVERAGE(F34,I34)-utc_offset/24,"YYYYMMDD")&amp;"*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"%USERPROFILE%\AppData\Local\Temp\OnboardLogs"\RTDC4039\*4039*20170207* | grep -SE "(Enforcement Action)|(\[TIMEOUT)|(CHR.+\|PRM\|1\|D.+(SWITCH|SIGNAL).+UNKNOWN)" - &gt;&gt; 2017-02-07-UncaughtWiMAX.txt</v>
      </c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3" t="s">
        <v>532</v>
      </c>
      <c r="B35" s="7">
        <v>4011</v>
      </c>
      <c r="C35" s="21" t="s">
        <v>193</v>
      </c>
      <c r="D35" s="21" t="s">
        <v>721</v>
      </c>
      <c r="E35" s="13">
        <v>42773.267731481479</v>
      </c>
      <c r="F35" s="13">
        <v>42773.271087962959</v>
      </c>
      <c r="G35" s="7">
        <v>1</v>
      </c>
      <c r="H35" s="21" t="s">
        <v>308</v>
      </c>
      <c r="I35" s="13">
        <v>42773.296284722222</v>
      </c>
      <c r="J35" s="7">
        <v>0</v>
      </c>
      <c r="K35" s="98" t="str">
        <f>IF(ISEVEN(B35),(B35-1)&amp;"/"&amp;B35,B35&amp;"/"&amp;(B35+1))</f>
        <v>4011/4012</v>
      </c>
      <c r="L35" s="21" t="str">
        <f>VLOOKUP(A35,'Trips&amp;Operators'!$C$1:$G$99999,5,FALSE)</f>
        <v>DAVIS WENDY</v>
      </c>
      <c r="M35" s="6">
        <f>I35-F35</f>
        <v>2.5196759263053536E-2</v>
      </c>
      <c r="N35" s="7">
        <f>24*60*SUM($M35:$M35)</f>
        <v>36.283333338797092</v>
      </c>
      <c r="O35" s="7"/>
      <c r="P35" s="7"/>
      <c r="Q35" s="22"/>
      <c r="R35" s="22"/>
      <c r="S35" s="31">
        <f>SUM(U35:U35)/IF(AG35="EC",12,1)</f>
        <v>1</v>
      </c>
      <c r="T35" s="46" t="str">
        <f>IF(ISEVEN(LEFT(AD35,4)),"Southbound","NorthBound")</f>
        <v>NorthBound</v>
      </c>
      <c r="U35" s="190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191" t="str">
        <f>"https://d0f6bd738d7f1b3e5a7ca70fe4ff75f0.us-east-1.aws.found.io/app/kibana#/discover/Steve-Slow-Train-Analysis-(2080s-and-2083s)?_g="&amp;"(refreshInterval:(display:Off,pause:!f,section:0,value:0),time:(from:'"&amp;TEXT(E35-1/24,"yyyy-MM-DDThh:mm:ss")&amp;utc_offset&amp;"00"&amp;"',mode:absolute,to:'"&amp;TEXT(I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35&amp;"%22')),sort:!(Time.ISO8601,asc))"</f>
        <v>https://d0f6bd738d7f1b3e5a7ca70fe4ff75f0.us-east-1.aws.found.io/app/kibana#/discover/Steve-Slow-Train-Analysis-(2080s-and-2083s)?_g=(refreshInterval:(display:Off,pause:!f,section:0,value:0),time:(from:'2017-02-07T05:25:32-0700',mode:absolute,to:'2017-02-07T08:06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35" s="192" t="str">
        <f>IF(AA35&lt;IF(AG35="EC",23,5.65),"Y","N")</f>
        <v>N</v>
      </c>
      <c r="X35" s="192">
        <f>VALUE(LEFT(AD35,4))-VALUE(LEFT(AD34,4))</f>
        <v>1</v>
      </c>
      <c r="Y35" s="62">
        <f>RIGHT(D35,LEN(D35)-4)/10000</f>
        <v>6.3E-2</v>
      </c>
      <c r="Z35" s="62">
        <f>RIGHT(H35,LEN(H35)-4)/10000</f>
        <v>23.330400000000001</v>
      </c>
      <c r="AA35" s="62">
        <f>ABS(Z35-Y35)</f>
        <v>23.267400000000002</v>
      </c>
      <c r="AB35" s="59" t="e">
        <f>VLOOKUP(A35,Enforcements!$C$7:$K$14,8,0)</f>
        <v>#N/A</v>
      </c>
      <c r="AC35" s="55" t="e">
        <f>VLOOKUP(A35,Enforcements!$C$7:$E$14,3,0)</f>
        <v>#N/A</v>
      </c>
      <c r="AD35" s="56" t="str">
        <f>IF(LEN(A35)=6,"0"&amp;A35,A35)</f>
        <v>0123-07</v>
      </c>
      <c r="AE35" s="85" t="str">
        <f>"aws s3 cp "&amp;s3_bucket&amp;"/RTDC"&amp;B35&amp;"/ "&amp;search_path&amp;"\RTDC"&amp;B35&amp;"\"&amp;TEXT(F35,"YYYY-MM-DD")&amp;" --exclude ""*"" --recursive --include ""*"&amp;TEXT(F35,"YYYYMMDD")&amp;"*"" &amp; """&amp;walkandungz&amp;""" "&amp;search_path&amp;"\RTDC"&amp;B35&amp;"\"&amp;TEXT(F35,"YYYY-MM-DD")
&amp;" &amp; "&amp;"aws s3 cp "&amp;s3_bucket&amp;"/RTDC"&amp;B35&amp;"/ "&amp;search_path&amp;"\RTDC"&amp;B35&amp;"\"&amp;TEXT(F35+1,"YYYY-MM-DD")&amp;" --exclude ""*"" --recursive --include ""*"&amp;TEXT(F35+1,"YYYYMMDD")&amp;"*"" &amp; """&amp;walkandungz&amp;""" "&amp;search_path&amp;"\RTDC"&amp;B35&amp;"\"&amp;TEXT(F35+1,"YYYY-MM-DD")</f>
        <v>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 &amp; aws s3 cp s3://rtdc.mdm.uploadarchive.raw/RTDC4011/ "%USERPROFILE%\AppData\Local\Temp\OnboardLogs"\RTDC4011\2017-02-08 --exclude "*" --recursive --include "*20170208*" &amp; "%USERPROFILE%\Documents\GitHub\mrs-test-scripts\Headless Mode &amp; Sideloading\WalkAndUnGZ.bat" "%USERPROFILE%\AppData\Local\Temp\OnboardLogs"\RTDC4011\2017-02-08</v>
      </c>
      <c r="AF35" s="82" t="str">
        <f>astrogrep_path&amp;" /spath="&amp;search_path&amp;" /stypes=""app*"&amp;B35&amp;"*"&amp;TEXT(I35-utc_offset/24,"YYYYMMDD")&amp;"*"" /stext="" "&amp;TEXT(I35-utc_offset/24,"HH")&amp;search_regexp&amp;""" /e /r /s"</f>
        <v>"C:\Program Files (x86)\AstroGrep\AstroGrep.exe" /spath="%USERPROFILE%\AppData\Local\Temp\OnboardLogs" /stypes="app*4011*20170207*" /stext=" 14:.+((SYSTEM_STATE.+slice.+state.+changed )|(ment ac)|(multiple cpu faults)|(system.+state.+changed )|(\[timeout)|(PRM\|1\|D)|(kpr)|(kdp)|(\|lc)|(penalty))" /e /r /s</v>
      </c>
      <c r="AG35" s="1" t="str">
        <f>IFERROR(IF(VALUE(LEFT(AD35,2))&lt;=2,"EC",IF(OR(VALUE(LEFT(AD35,2))=8,VALUE(LEFT(AD35,2))=18),"NW","Other")),"Other")</f>
        <v>EC</v>
      </c>
      <c r="AH35" s="86" t="str">
        <f t="shared" si="3"/>
        <v>"%USERPROFILE%\Documents\GitHub\eaglep3\Utilities\RefineRTDCRunTimes.py" --tripid 123-07 --locoid 4011 --swversion DE.1.0.8.0 --startMP 204:630 --initTime 2017-02-07T06:25:32 --startdatetime 2017-02-07T06:30:22 --delay 1 --endMP 204:233304 --enddatetime 2017-02-07T07:06:39 --enforcementcount 0 &gt;&gt;C:\Users\stu\Documents\GitHub\eaglep3-reporting\EC\2017-02-07-refined-times.txt</v>
      </c>
      <c r="AI35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{"issue":{"subject":"","project_id":79,"tracker_id":40,"status_id":1,"priority_id":2,"assigned_to_id":23,"start_date":"2017-02-07","description":"","custom_fields":[{"id":1,"name":"Subdivision","value":"EC"},{"id":4,"name":"Milepost","value":"23.3304"},{"id":17,"name":"Train ID","value":"123-07"},{"id":16,"name":"Locomotive ID","value":"4011"},{"id":130,"name":"Impact","value":""},{"id":150,"name":"Time of Event (Mountain Time)","value":"07:06:39"},{"id":151,"name":"Denver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48"/>
      <c r="AK35" s="48"/>
      <c r="AL35" s="48"/>
      <c r="AM35" s="158" t="str">
        <f t="shared" si="5"/>
        <v>start /low /b %USERPROFILE%\Documents\GitHub\eaglep3\Utilities\DownloadLogsFromS3.py --loco 4011 --day 2017-02-07</v>
      </c>
      <c r="AN35" s="167" t="str">
        <f>"grep -SE -B400 ""CHR.+\|PRM\|1\|D.+(SWITCH|SIGNAL).+UNKNOWN"" "&amp;search_path&amp;"\RTDC"&amp;B35&amp;"\*"&amp;B35&amp;"*"&amp;TEXT(AVERAGE(F35,I35)-utc_offset/24,"YYYYMMDD")&amp;"*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"%USERPROFILE%\AppData\Local\Temp\OnboardLogs"\RTDC4011\*4011*20170207* | grep -SE "(Enforcement Action)|(\[TIMEOUT)|(CHR.+\|PRM\|1\|D.+(SWITCH|SIGNAL).+UNKNOWN)" - &gt;&gt; 2017-02-07-UncaughtWiMAX.txt</v>
      </c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3" t="s">
        <v>467</v>
      </c>
      <c r="B36" s="7">
        <v>4012</v>
      </c>
      <c r="C36" s="21" t="s">
        <v>193</v>
      </c>
      <c r="D36" s="21" t="s">
        <v>313</v>
      </c>
      <c r="E36" s="13">
        <v>42773.30804398148</v>
      </c>
      <c r="F36" s="13">
        <v>42773.309872685182</v>
      </c>
      <c r="G36" s="7">
        <v>0</v>
      </c>
      <c r="H36" s="21" t="s">
        <v>196</v>
      </c>
      <c r="I36" s="13">
        <v>42773.337847222225</v>
      </c>
      <c r="J36" s="7">
        <v>0</v>
      </c>
      <c r="K36" s="98" t="str">
        <f>IF(ISEVEN(B36),(B36-1)&amp;"/"&amp;B36,B36&amp;"/"&amp;(B36+1))</f>
        <v>4011/4012</v>
      </c>
      <c r="L36" s="21" t="str">
        <f>VLOOKUP(A36,'Trips&amp;Operators'!$C$1:$G$99999,5,FALSE)</f>
        <v>DAVIS WENDY</v>
      </c>
      <c r="M36" s="6">
        <f>I36-F36</f>
        <v>2.7974537042609882E-2</v>
      </c>
      <c r="N36" s="7">
        <f>24*60*SUM($M36:$M36)</f>
        <v>40.28333334135823</v>
      </c>
      <c r="O36" s="7"/>
      <c r="P36" s="7"/>
      <c r="Q36" s="22"/>
      <c r="R36" s="22"/>
      <c r="S36" s="31">
        <f>SUM(U36:U36)/IF(AG36="EC",12,1)</f>
        <v>1</v>
      </c>
      <c r="T36" s="46" t="str">
        <f>IF(ISEVEN(LEFT(AD36,4)),"Southbound","NorthBound")</f>
        <v>Southbound</v>
      </c>
      <c r="U36" s="190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191" t="str">
        <f>"https://d0f6bd738d7f1b3e5a7ca70fe4ff75f0.us-east-1.aws.found.io/app/kibana#/discover/Steve-Slow-Train-Analysis-(2080s-and-2083s)?_g="&amp;"(refreshInterval:(display:Off,pause:!f,section:0,value:0),time:(from:'"&amp;TEXT(E36-1/24,"yyyy-MM-DDThh:mm:ss")&amp;utc_offset&amp;"00"&amp;"',mode:absolute,to:'"&amp;TEXT(I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36&amp;"%22')),sort:!(Time.ISO8601,asc))"</f>
        <v>https://d0f6bd738d7f1b3e5a7ca70fe4ff75f0.us-east-1.aws.found.io/app/kibana#/discover/Steve-Slow-Train-Analysis-(2080s-and-2083s)?_g=(refreshInterval:(display:Off,pause:!f,section:0,value:0),time:(from:'2017-02-07T06:23:35-0700',mode:absolute,to:'2017-02-07T09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36" s="192" t="str">
        <f>IF(AA36&lt;IF(AG36="EC",23,5.65),"Y","N")</f>
        <v>N</v>
      </c>
      <c r="X36" s="192">
        <f>VALUE(LEFT(AD36,4))-VALUE(LEFT(AD35,4))</f>
        <v>1</v>
      </c>
      <c r="Y36" s="62">
        <f>RIGHT(D36,LEN(D36)-4)/10000</f>
        <v>23.299299999999999</v>
      </c>
      <c r="Z36" s="62">
        <f>RIGHT(H36,LEN(H36)-4)/10000</f>
        <v>1.4999999999999999E-2</v>
      </c>
      <c r="AA36" s="62">
        <f>ABS(Z36-Y36)</f>
        <v>23.284299999999998</v>
      </c>
      <c r="AB36" s="59" t="str">
        <f>VLOOKUP(A36,Enforcements!$C$7:$K$14,8,0)</f>
        <v>Bulletin (2)</v>
      </c>
      <c r="AC36" s="55" t="str">
        <f>VLOOKUP(A36,Enforcements!$C$7:$E$14,3,0)</f>
        <v>GRADE CROSSING</v>
      </c>
      <c r="AD36" s="56" t="str">
        <f>IF(LEN(A36)=6,"0"&amp;A36,A36)</f>
        <v>0124-07</v>
      </c>
      <c r="AE36" s="85" t="str">
        <f>"aws s3 cp "&amp;s3_bucket&amp;"/RTDC"&amp;B36&amp;"/ "&amp;search_path&amp;"\RTDC"&amp;B36&amp;"\"&amp;TEXT(F36,"YYYY-MM-DD")&amp;" --exclude ""*"" --recursive --include ""*"&amp;TEXT(F36,"YYYYMMDD")&amp;"*"" &amp; """&amp;walkandungz&amp;""" "&amp;search_path&amp;"\RTDC"&amp;B36&amp;"\"&amp;TEXT(F36,"YYYY-MM-DD")
&amp;" &amp; "&amp;"aws s3 cp "&amp;s3_bucket&amp;"/RTDC"&amp;B36&amp;"/ "&amp;search_path&amp;"\RTDC"&amp;B36&amp;"\"&amp;TEXT(F36+1,"YYYY-MM-DD")&amp;" --exclude ""*"" --recursive --include ""*"&amp;TEXT(F36+1,"YYYYMMDD")&amp;"*"" &amp; """&amp;walkandungz&amp;""" "&amp;search_path&amp;"\RTDC"&amp;B36&amp;"\"&amp;TEXT(F36+1,"YYYY-MM-DD")</f>
        <v>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 &amp; aws s3 cp s3://rtdc.mdm.uploadarchive.raw/RTDC4012/ "%USERPROFILE%\AppData\Local\Temp\OnboardLogs"\RTDC4012\2017-02-08 --exclude "*" --recursive --include "*20170208*" &amp; "%USERPROFILE%\Documents\GitHub\mrs-test-scripts\Headless Mode &amp; Sideloading\WalkAndUnGZ.bat" "%USERPROFILE%\AppData\Local\Temp\OnboardLogs"\RTDC4012\2017-02-08</v>
      </c>
      <c r="AF36" s="82" t="str">
        <f>astrogrep_path&amp;" /spath="&amp;search_path&amp;" /stypes=""app*"&amp;B36&amp;"*"&amp;TEXT(I36-utc_offset/24,"YYYYMMDD")&amp;"*"" /stext="" "&amp;TEXT(I36-utc_offset/24,"HH")&amp;search_regexp&amp;""" /e /r /s"</f>
        <v>"C:\Program Files (x86)\AstroGrep\AstroGrep.exe" /spath="%USERPROFILE%\AppData\Local\Temp\OnboardLogs" /stypes="app*4012*20170207*" /stext=" 15:.+((SYSTEM_STATE.+slice.+state.+changed )|(ment ac)|(multiple cpu faults)|(system.+state.+changed )|(\[timeout)|(PRM\|1\|D)|(kpr)|(kdp)|(\|lc)|(penalty))" /e /r /s</v>
      </c>
      <c r="AG36" s="1" t="str">
        <f>IFERROR(IF(VALUE(LEFT(AD36,2))&lt;=2,"EC",IF(OR(VALUE(LEFT(AD36,2))=8,VALUE(LEFT(AD36,2))=18),"NW","Other")),"Other")</f>
        <v>EC</v>
      </c>
      <c r="AH36" s="86" t="str">
        <f t="shared" si="3"/>
        <v>"%USERPROFILE%\Documents\GitHub\eaglep3\Utilities\RefineRTDCRunTimes.py" --tripid 124-07 --locoid 4012 --swversion DE.1.0.8.0 --startMP 204:232993 --initTime 2017-02-07T07:23:35 --startdatetime 2017-02-07T07:26:13 --delay 0 --endMP 204:150 --enddatetime 2017-02-07T08:06:30 --enforcementcount 0 &gt;&gt;C:\Users\stu\Documents\GitHub\eaglep3-reporting\EC\2017-02-07-refined-times.txt</v>
      </c>
      <c r="AI36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{"issue":{"subject":"","project_id":79,"tracker_id":40,"status_id":1,"priority_id":2,"assigned_to_id":23,"start_date":"2017-02-07","description":"","custom_fields":[{"id":1,"name":"Subdivision","value":"EC"},{"id":4,"name":"Milepost","value":"0.015"},{"id":17,"name":"Train ID","value":"124-07"},{"id":16,"name":"Locomotive ID","value":"4012"},{"id":130,"name":"Impact","value":""},{"id":150,"name":"Time of Event (Mountain Time)","value":"08:06:30"},{"id":151,"name":"Denver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48"/>
      <c r="AK36" s="48"/>
      <c r="AL36" s="48"/>
      <c r="AM36" s="158" t="str">
        <f t="shared" si="5"/>
        <v>start /low /b %USERPROFILE%\Documents\GitHub\eaglep3\Utilities\DownloadLogsFromS3.py --loco 4012 --day 2017-02-07</v>
      </c>
      <c r="AN36" s="167" t="str">
        <f>"grep -SE -B400 ""CHR.+\|PRM\|1\|D.+(SWITCH|SIGNAL).+UNKNOWN"" "&amp;search_path&amp;"\RTDC"&amp;B36&amp;"\*"&amp;B36&amp;"*"&amp;TEXT(AVERAGE(F36,I36)-utc_offset/24,"YYYYMMDD")&amp;"*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"%USERPROFILE%\AppData\Local\Temp\OnboardLogs"\RTDC4012\*4012*20170207* | grep -SE "(Enforcement Action)|(\[TIMEOUT)|(CHR.+\|PRM\|1\|D.+(SWITCH|SIGNAL).+UNKNOWN)" - &gt;&gt; 2017-02-07-UncaughtWiMAX.txt</v>
      </c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3" t="s">
        <v>536</v>
      </c>
      <c r="B37" s="7">
        <v>4002</v>
      </c>
      <c r="C37" s="21" t="s">
        <v>193</v>
      </c>
      <c r="D37" s="21" t="s">
        <v>722</v>
      </c>
      <c r="E37" s="13">
        <v>42773.283634259256</v>
      </c>
      <c r="F37" s="13">
        <v>42773.285729166666</v>
      </c>
      <c r="G37" s="7">
        <v>2</v>
      </c>
      <c r="H37" s="21" t="s">
        <v>718</v>
      </c>
      <c r="I37" s="13">
        <v>42773.309374999997</v>
      </c>
      <c r="J37" s="7">
        <v>0</v>
      </c>
      <c r="K37" s="98" t="str">
        <f>IF(ISEVEN(B37),(B37-1)&amp;"/"&amp;B37,B37&amp;"/"&amp;(B37+1))</f>
        <v>4001/4002</v>
      </c>
      <c r="L37" s="21" t="str">
        <f>VLOOKUP(A37,'Trips&amp;Operators'!$C$1:$G$99999,5,FALSE)</f>
        <v>LOZA FIDEL</v>
      </c>
      <c r="M37" s="6">
        <f>I37-F37</f>
        <v>2.364583333110204E-2</v>
      </c>
      <c r="N37" s="7">
        <f>24*60*SUM($M37:$M37)</f>
        <v>34.049999996786937</v>
      </c>
      <c r="O37" s="7"/>
      <c r="P37" s="7"/>
      <c r="Q37" s="22"/>
      <c r="R37" s="22"/>
      <c r="S37" s="31">
        <f>SUM(U37:U37)/IF(AG37="EC",12,1)</f>
        <v>1</v>
      </c>
      <c r="T37" s="46" t="str">
        <f>IF(ISEVEN(LEFT(AD37,4)),"Southbound","NorthBound")</f>
        <v>NorthBound</v>
      </c>
      <c r="U37" s="190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191" t="str">
        <f>"https://d0f6bd738d7f1b3e5a7ca70fe4ff75f0.us-east-1.aws.found.io/app/kibana#/discover/Steve-Slow-Train-Analysis-(2080s-and-2083s)?_g="&amp;"(refreshInterval:(display:Off,pause:!f,section:0,value:0),time:(from:'"&amp;TEXT(E37-1/24,"yyyy-MM-DDThh:mm:ss")&amp;utc_offset&amp;"00"&amp;"',mode:absolute,to:'"&amp;TEXT(I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37&amp;"%22')),sort:!(Time.ISO8601,asc))"</f>
        <v>https://d0f6bd738d7f1b3e5a7ca70fe4ff75f0.us-east-1.aws.found.io/app/kibana#/discover/Steve-Slow-Train-Analysis-(2080s-and-2083s)?_g=(refreshInterval:(display:Off,pause:!f,section:0,value:0),time:(from:'2017-02-07T05:48:26-0700',mode:absolute,to:'2017-02-07T08:25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37" s="192" t="str">
        <f>IF(AA37&lt;IF(AG37="EC",23,5.65),"Y","N")</f>
        <v>N</v>
      </c>
      <c r="X37" s="192">
        <f>VALUE(LEFT(AD37,4))-VALUE(LEFT(AD36,4))</f>
        <v>1</v>
      </c>
      <c r="Y37" s="62">
        <f>RIGHT(D37,LEN(D37)-4)/10000</f>
        <v>3.1600000000000003E-2</v>
      </c>
      <c r="Z37" s="62">
        <f>RIGHT(H37,LEN(H37)-4)/10000</f>
        <v>23.331199999999999</v>
      </c>
      <c r="AA37" s="62">
        <f>ABS(Z37-Y37)</f>
        <v>23.299599999999998</v>
      </c>
      <c r="AB37" s="59" t="e">
        <f>VLOOKUP(A37,Enforcements!$C$7:$K$14,8,0)</f>
        <v>#N/A</v>
      </c>
      <c r="AC37" s="55" t="e">
        <f>VLOOKUP(A37,Enforcements!$C$7:$E$14,3,0)</f>
        <v>#N/A</v>
      </c>
      <c r="AD37" s="56" t="str">
        <f>IF(LEN(A37)=6,"0"&amp;A37,A37)</f>
        <v>0125-07</v>
      </c>
      <c r="AE37" s="85" t="str">
        <f>"aws s3 cp "&amp;s3_bucket&amp;"/RTDC"&amp;B37&amp;"/ "&amp;search_path&amp;"\RTDC"&amp;B37&amp;"\"&amp;TEXT(F37,"YYYY-MM-DD")&amp;" --exclude ""*"" --recursive --include ""*"&amp;TEXT(F37,"YYYYMMDD")&amp;"*"" &amp; """&amp;walkandungz&amp;""" "&amp;search_path&amp;"\RTDC"&amp;B37&amp;"\"&amp;TEXT(F37,"YYYY-MM-DD")
&amp;" &amp; "&amp;"aws s3 cp "&amp;s3_bucket&amp;"/RTDC"&amp;B37&amp;"/ "&amp;search_path&amp;"\RTDC"&amp;B37&amp;"\"&amp;TEXT(F37+1,"YYYY-MM-DD")&amp;" --exclude ""*"" --recursive --include ""*"&amp;TEXT(F37+1,"YYYYMMDD")&amp;"*"" &amp; """&amp;walkandungz&amp;""" "&amp;search_path&amp;"\RTDC"&amp;B37&amp;"\"&amp;TEXT(F37+1,"YYYY-MM-DD")</f>
        <v>aws s3 cp s3://rtdc.mdm.uploadarchive.raw/RTDC4002/ "%USERPROFILE%\AppData\Local\Temp\OnboardLogs"\RTDC4002\2017-02-07 --exclude "*" --recursive --include "*20170207*" &amp; "%USERPROFILE%\Documents\GitHub\mrs-test-scripts\Headless Mode &amp; Sideloading\WalkAndUnGZ.bat" "%USERPROFILE%\AppData\Local\Temp\OnboardLogs"\RTDC4002\2017-02-07 &amp; aws s3 cp s3://rtdc.mdm.uploadarchive.raw/RTDC4002/ "%USERPROFILE%\AppData\Local\Temp\OnboardLogs"\RTDC4002\2017-02-08 --exclude "*" --recursive --include "*20170208*" &amp; "%USERPROFILE%\Documents\GitHub\mrs-test-scripts\Headless Mode &amp; Sideloading\WalkAndUnGZ.bat" "%USERPROFILE%\AppData\Local\Temp\OnboardLogs"\RTDC4002\2017-02-08</v>
      </c>
      <c r="AF37" s="82" t="str">
        <f>astrogrep_path&amp;" /spath="&amp;search_path&amp;" /stypes=""app*"&amp;B37&amp;"*"&amp;TEXT(I37-utc_offset/24,"YYYYMMDD")&amp;"*"" /stext="" "&amp;TEXT(I37-utc_offset/24,"HH")&amp;search_regexp&amp;""" /e /r /s"</f>
        <v>"C:\Program Files (x86)\AstroGrep\AstroGrep.exe" /spath="%USERPROFILE%\AppData\Local\Temp\OnboardLogs" /stypes="app*4002*20170207*" /stext=" 14:.+((SYSTEM_STATE.+slice.+state.+changed )|(ment ac)|(multiple cpu faults)|(system.+state.+changed )|(\[timeout)|(PRM\|1\|D)|(kpr)|(kdp)|(\|lc)|(penalty))" /e /r /s</v>
      </c>
      <c r="AG37" s="1" t="str">
        <f>IFERROR(IF(VALUE(LEFT(AD37,2))&lt;=2,"EC",IF(OR(VALUE(LEFT(AD37,2))=8,VALUE(LEFT(AD37,2))=18),"NW","Other")),"Other")</f>
        <v>EC</v>
      </c>
      <c r="AH37" s="86" t="str">
        <f t="shared" si="3"/>
        <v>"%USERPROFILE%\Documents\GitHub\eaglep3\Utilities\RefineRTDCRunTimes.py" --tripid 125-07 --locoid 4002 --swversion DE.1.0.8.0 --startMP 204:316 --initTime 2017-02-07T06:48:26 --startdatetime 2017-02-07T06:51:27 --delay 2 --endMP 204:233312 --enddatetime 2017-02-07T07:25:30 --enforcementcount 0 &gt;&gt;C:\Users\stu\Documents\GitHub\eaglep3-reporting\EC\2017-02-07-refined-times.txt</v>
      </c>
      <c r="AI37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{"issue":{"subject":"","project_id":79,"tracker_id":40,"status_id":1,"priority_id":2,"assigned_to_id":23,"start_date":"2017-02-07","description":"","custom_fields":[{"id":1,"name":"Subdivision","value":"EC"},{"id":4,"name":"Milepost","value":"23.3312"},{"id":17,"name":"Train ID","value":"125-07"},{"id":16,"name":"Locomotive ID","value":"4002"},{"id":130,"name":"Impact","value":""},{"id":150,"name":"Time of Event (Mountain Time)","value":"07:25:30"},{"id":151,"name":"Denver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48"/>
      <c r="AK37" s="48"/>
      <c r="AL37" s="48"/>
      <c r="AM37" s="158" t="str">
        <f t="shared" si="5"/>
        <v>start /low /b %USERPROFILE%\Documents\GitHub\eaglep3\Utilities\DownloadLogsFromS3.py --loco 4002 --day 2017-02-07</v>
      </c>
      <c r="AN37" s="167" t="str">
        <f>"grep -SE -B400 ""CHR.+\|PRM\|1\|D.+(SWITCH|SIGNAL).+UNKNOWN"" "&amp;search_path&amp;"\RTDC"&amp;B37&amp;"\*"&amp;B37&amp;"*"&amp;TEXT(AVERAGE(F37,I37)-utc_offset/24,"YYYYMMDD")&amp;"*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"%USERPROFILE%\AppData\Local\Temp\OnboardLogs"\RTDC4002\*4002*20170207* | grep -SE "(Enforcement Action)|(\[TIMEOUT)|(CHR.+\|PRM\|1\|D.+(SWITCH|SIGNAL).+UNKNOWN)" - &gt;&gt; 2017-02-07-UncaughtWiMAX.txt</v>
      </c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3" t="s">
        <v>546</v>
      </c>
      <c r="B38" s="7">
        <v>4001</v>
      </c>
      <c r="C38" s="21" t="s">
        <v>193</v>
      </c>
      <c r="D38" s="21" t="s">
        <v>432</v>
      </c>
      <c r="E38" s="13">
        <v>42773.316643518519</v>
      </c>
      <c r="F38" s="13">
        <v>42773.320601851854</v>
      </c>
      <c r="G38" s="7">
        <v>2</v>
      </c>
      <c r="H38" s="21" t="s">
        <v>205</v>
      </c>
      <c r="I38" s="13">
        <v>42773.346863425926</v>
      </c>
      <c r="J38" s="7">
        <v>0</v>
      </c>
      <c r="K38" s="98" t="str">
        <f>IF(ISEVEN(B38),(B38-1)&amp;"/"&amp;B38,B38&amp;"/"&amp;(B38+1))</f>
        <v>4001/4002</v>
      </c>
      <c r="L38" s="21" t="str">
        <f>VLOOKUP(A38,'Trips&amp;Operators'!$C$1:$G$99999,5,FALSE)</f>
        <v>LOZA FIDEL</v>
      </c>
      <c r="M38" s="6">
        <f>I38-F38</f>
        <v>2.626157407212304E-2</v>
      </c>
      <c r="N38" s="7">
        <f>24*60*SUM($M38:$M38)</f>
        <v>37.816666663857177</v>
      </c>
      <c r="O38" s="7"/>
      <c r="P38" s="7"/>
      <c r="Q38" s="22"/>
      <c r="R38" s="22"/>
      <c r="S38" s="31">
        <f>SUM(U38:U38)/IF(AG38="EC",12,1)</f>
        <v>1</v>
      </c>
      <c r="T38" s="46" t="str">
        <f>IF(ISEVEN(LEFT(AD38,4)),"Southbound","NorthBound")</f>
        <v>Southbound</v>
      </c>
      <c r="U38" s="190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191" t="str">
        <f>"https://d0f6bd738d7f1b3e5a7ca70fe4ff75f0.us-east-1.aws.found.io/app/kibana#/discover/Steve-Slow-Train-Analysis-(2080s-and-2083s)?_g="&amp;"(refreshInterval:(display:Off,pause:!f,section:0,value:0),time:(from:'"&amp;TEXT(E38-1/24,"yyyy-MM-DDThh:mm:ss")&amp;utc_offset&amp;"00"&amp;"',mode:absolute,to:'"&amp;TEXT(I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38&amp;"%22')),sort:!(Time.ISO8601,asc))"</f>
        <v>https://d0f6bd738d7f1b3e5a7ca70fe4ff75f0.us-east-1.aws.found.io/app/kibana#/discover/Steve-Slow-Train-Analysis-(2080s-and-2083s)?_g=(refreshInterval:(display:Off,pause:!f,section:0,value:0),time:(from:'2017-02-07T06:35:58-0700',mode:absolute,to:'2017-02-07T09:19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38" s="192" t="str">
        <f>IF(AA38&lt;IF(AG38="EC",23,5.65),"Y","N")</f>
        <v>N</v>
      </c>
      <c r="X38" s="192">
        <f>VALUE(LEFT(AD38,4))-VALUE(LEFT(AD37,4))</f>
        <v>1</v>
      </c>
      <c r="Y38" s="62">
        <f>RIGHT(D38,LEN(D38)-4)/10000</f>
        <v>23.298999999999999</v>
      </c>
      <c r="Z38" s="62">
        <f>RIGHT(H38,LEN(H38)-4)/10000</f>
        <v>1.47E-2</v>
      </c>
      <c r="AA38" s="62">
        <f>ABS(Z38-Y38)</f>
        <v>23.284299999999998</v>
      </c>
      <c r="AB38" s="59" t="e">
        <f>VLOOKUP(A38,Enforcements!$C$7:$K$14,8,0)</f>
        <v>#N/A</v>
      </c>
      <c r="AC38" s="55" t="e">
        <f>VLOOKUP(A38,Enforcements!$C$7:$E$14,3,0)</f>
        <v>#N/A</v>
      </c>
      <c r="AD38" s="56" t="str">
        <f>IF(LEN(A38)=6,"0"&amp;A38,A38)</f>
        <v>0126-07</v>
      </c>
      <c r="AE38" s="85" t="str">
        <f>"aws s3 cp "&amp;s3_bucket&amp;"/RTDC"&amp;B38&amp;"/ "&amp;search_path&amp;"\RTDC"&amp;B38&amp;"\"&amp;TEXT(F38,"YYYY-MM-DD")&amp;" --exclude ""*"" --recursive --include ""*"&amp;TEXT(F38,"YYYYMMDD")&amp;"*"" &amp; """&amp;walkandungz&amp;""" "&amp;search_path&amp;"\RTDC"&amp;B38&amp;"\"&amp;TEXT(F38,"YYYY-MM-DD")
&amp;" &amp; "&amp;"aws s3 cp "&amp;s3_bucket&amp;"/RTDC"&amp;B38&amp;"/ "&amp;search_path&amp;"\RTDC"&amp;B38&amp;"\"&amp;TEXT(F38+1,"YYYY-MM-DD")&amp;" --exclude ""*"" --recursive --include ""*"&amp;TEXT(F38+1,"YYYYMMDD")&amp;"*"" &amp; """&amp;walkandungz&amp;""" "&amp;search_path&amp;"\RTDC"&amp;B38&amp;"\"&amp;TEXT(F38+1,"YYYY-MM-DD")</f>
        <v>aws s3 cp s3://rtdc.mdm.uploadarchive.raw/RTDC4001/ "%USERPROFILE%\AppData\Local\Temp\OnboardLogs"\RTDC4001\2017-02-07 --exclude "*" --recursive --include "*20170207*" &amp; "%USERPROFILE%\Documents\GitHub\mrs-test-scripts\Headless Mode &amp; Sideloading\WalkAndUnGZ.bat" "%USERPROFILE%\AppData\Local\Temp\OnboardLogs"\RTDC4001\2017-02-07 &amp; aws s3 cp s3://rtdc.mdm.uploadarchive.raw/RTDC4001/ "%USERPROFILE%\AppData\Local\Temp\OnboardLogs"\RTDC4001\2017-02-08 --exclude "*" --recursive --include "*20170208*" &amp; "%USERPROFILE%\Documents\GitHub\mrs-test-scripts\Headless Mode &amp; Sideloading\WalkAndUnGZ.bat" "%USERPROFILE%\AppData\Local\Temp\OnboardLogs"\RTDC4001\2017-02-08</v>
      </c>
      <c r="AF38" s="82" t="str">
        <f>astrogrep_path&amp;" /spath="&amp;search_path&amp;" /stypes=""app*"&amp;B38&amp;"*"&amp;TEXT(I38-utc_offset/24,"YYYYMMDD")&amp;"*"" /stext="" "&amp;TEXT(I38-utc_offset/24,"HH")&amp;search_regexp&amp;""" /e /r /s"</f>
        <v>"C:\Program Files (x86)\AstroGrep\AstroGrep.exe" /spath="%USERPROFILE%\AppData\Local\Temp\OnboardLogs" /stypes="app*4001*20170207*" /stext=" 15:.+((SYSTEM_STATE.+slice.+state.+changed )|(ment ac)|(multiple cpu faults)|(system.+state.+changed )|(\[timeout)|(PRM\|1\|D)|(kpr)|(kdp)|(\|lc)|(penalty))" /e /r /s</v>
      </c>
      <c r="AG38" s="1" t="str">
        <f>IFERROR(IF(VALUE(LEFT(AD38,2))&lt;=2,"EC",IF(OR(VALUE(LEFT(AD38,2))=8,VALUE(LEFT(AD38,2))=18),"NW","Other")),"Other")</f>
        <v>EC</v>
      </c>
      <c r="AH38" s="86" t="str">
        <f t="shared" si="3"/>
        <v>"%USERPROFILE%\Documents\GitHub\eaglep3\Utilities\RefineRTDCRunTimes.py" --tripid 126-07 --locoid 4001 --swversion DE.1.0.8.0 --startMP 204:232990 --initTime 2017-02-07T07:35:58 --startdatetime 2017-02-07T07:41:40 --delay 2 --endMP 204:147 --enddatetime 2017-02-07T08:19:29 --enforcementcount 0 &gt;&gt;C:\Users\stu\Documents\GitHub\eaglep3-reporting\EC\2017-02-07-refined-times.txt</v>
      </c>
      <c r="AI38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{"issue":{"subject":"","project_id":79,"tracker_id":40,"status_id":1,"priority_id":2,"assigned_to_id":23,"start_date":"2017-02-07","description":"","custom_fields":[{"id":1,"name":"Subdivision","value":"EC"},{"id":4,"name":"Milepost","value":"0.0147"},{"id":17,"name":"Train ID","value":"126-07"},{"id":16,"name":"Locomotive ID","value":"4001"},{"id":130,"name":"Impact","value":""},{"id":150,"name":"Time of Event (Mountain Time)","value":"08:19:29"},{"id":151,"name":"Denver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48"/>
      <c r="AK38" s="48"/>
      <c r="AL38" s="48"/>
      <c r="AM38" s="158" t="str">
        <f t="shared" si="5"/>
        <v>start /low /b %USERPROFILE%\Documents\GitHub\eaglep3\Utilities\DownloadLogsFromS3.py --loco 4001 --day 2017-02-07</v>
      </c>
      <c r="AN38" s="167" t="str">
        <f>"grep -SE -B400 ""CHR.+\|PRM\|1\|D.+(SWITCH|SIGNAL).+UNKNOWN"" "&amp;search_path&amp;"\RTDC"&amp;B38&amp;"\*"&amp;B38&amp;"*"&amp;TEXT(AVERAGE(F38,I38)-utc_offset/24,"YYYYMMDD")&amp;"*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"%USERPROFILE%\AppData\Local\Temp\OnboardLogs"\RTDC4001\*4001*20170207* | grep -SE "(Enforcement Action)|(\[TIMEOUT)|(CHR.+\|PRM\|1\|D.+(SWITCH|SIGNAL).+UNKNOWN)" - &gt;&gt; 2017-02-07-UncaughtWiMAX.txt</v>
      </c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3" t="s">
        <v>538</v>
      </c>
      <c r="B39" s="7">
        <v>4038</v>
      </c>
      <c r="C39" s="21" t="s">
        <v>193</v>
      </c>
      <c r="D39" s="21" t="s">
        <v>242</v>
      </c>
      <c r="E39" s="13">
        <v>42773.286724537036</v>
      </c>
      <c r="F39" s="13">
        <v>42773.291921296295</v>
      </c>
      <c r="G39" s="7">
        <v>1</v>
      </c>
      <c r="H39" s="21" t="s">
        <v>723</v>
      </c>
      <c r="I39" s="13">
        <v>42773.317418981482</v>
      </c>
      <c r="J39" s="7">
        <v>0</v>
      </c>
      <c r="K39" s="98" t="str">
        <f>IF(ISEVEN(B39),(B39-1)&amp;"/"&amp;B39,B39&amp;"/"&amp;(B39+1))</f>
        <v>4037/4038</v>
      </c>
      <c r="L39" s="21" t="str">
        <f>VLOOKUP(A39,'Trips&amp;Operators'!$C$1:$G$99999,5,FALSE)</f>
        <v>OUN ZACK</v>
      </c>
      <c r="M39" s="6">
        <f>I39-F39</f>
        <v>2.5497685186564922E-2</v>
      </c>
      <c r="N39" s="7">
        <f>24*60*SUM($M39:$M39)</f>
        <v>36.716666668653488</v>
      </c>
      <c r="O39" s="7"/>
      <c r="P39" s="7"/>
      <c r="Q39" s="22"/>
      <c r="R39" s="22"/>
      <c r="S39" s="31">
        <f>SUM(U39:U39)/IF(AG39="EC",12,1)</f>
        <v>1</v>
      </c>
      <c r="T39" s="46" t="str">
        <f>IF(ISEVEN(LEFT(AD39,4)),"Southbound","NorthBound")</f>
        <v>NorthBound</v>
      </c>
      <c r="U39" s="190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191" t="str">
        <f>"https://d0f6bd738d7f1b3e5a7ca70fe4ff75f0.us-east-1.aws.found.io/app/kibana#/discover/Steve-Slow-Train-Analysis-(2080s-and-2083s)?_g="&amp;"(refreshInterval:(display:Off,pause:!f,section:0,value:0),time:(from:'"&amp;TEXT(E39-1/24,"yyyy-MM-DDThh:mm:ss")&amp;utc_offset&amp;"00"&amp;"',mode:absolute,to:'"&amp;TEXT(I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39&amp;"%22')),sort:!(Time.ISO8601,asc))"</f>
        <v>https://d0f6bd738d7f1b3e5a7ca70fe4ff75f0.us-east-1.aws.found.io/app/kibana#/discover/Steve-Slow-Train-Analysis-(2080s-and-2083s)?_g=(refreshInterval:(display:Off,pause:!f,section:0,value:0),time:(from:'2017-02-07T05:52:53-0700',mode:absolute,to:'2017-02-07T08:37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39" s="192" t="str">
        <f>IF(AA39&lt;IF(AG39="EC",23,5.65),"Y","N")</f>
        <v>N</v>
      </c>
      <c r="X39" s="192">
        <f>VALUE(LEFT(AD39,4))-VALUE(LEFT(AD38,4))</f>
        <v>1</v>
      </c>
      <c r="Y39" s="62">
        <f>RIGHT(D39,LEN(D39)-4)/10000</f>
        <v>4.5999999999999999E-2</v>
      </c>
      <c r="Z39" s="62">
        <f>RIGHT(H39,LEN(H39)-4)/10000</f>
        <v>23.334700000000002</v>
      </c>
      <c r="AA39" s="62">
        <f>ABS(Z39-Y39)</f>
        <v>23.288700000000002</v>
      </c>
      <c r="AB39" s="59" t="e">
        <f>VLOOKUP(A39,Enforcements!$C$7:$K$14,8,0)</f>
        <v>#N/A</v>
      </c>
      <c r="AC39" s="55" t="e">
        <f>VLOOKUP(A39,Enforcements!$C$7:$E$14,3,0)</f>
        <v>#N/A</v>
      </c>
      <c r="AD39" s="56" t="str">
        <f>IF(LEN(A39)=6,"0"&amp;A39,A39)</f>
        <v>0127-07</v>
      </c>
      <c r="AE39" s="85" t="str">
        <f>"aws s3 cp "&amp;s3_bucket&amp;"/RTDC"&amp;B39&amp;"/ "&amp;search_path&amp;"\RTDC"&amp;B39&amp;"\"&amp;TEXT(F39,"YYYY-MM-DD")&amp;" --exclude ""*"" --recursive --include ""*"&amp;TEXT(F39,"YYYYMMDD")&amp;"*"" &amp; """&amp;walkandungz&amp;""" "&amp;search_path&amp;"\RTDC"&amp;B39&amp;"\"&amp;TEXT(F39,"YYYY-MM-DD")
&amp;" &amp; "&amp;"aws s3 cp "&amp;s3_bucket&amp;"/RTDC"&amp;B39&amp;"/ "&amp;search_path&amp;"\RTDC"&amp;B39&amp;"\"&amp;TEXT(F39+1,"YYYY-MM-DD")&amp;" --exclude ""*"" --recursive --include ""*"&amp;TEXT(F39+1,"YYYYMMDD")&amp;"*"" &amp; """&amp;walkandungz&amp;""" "&amp;search_path&amp;"\RTDC"&amp;B39&amp;"\"&amp;TEXT(F39+1,"YYYY-MM-DD")</f>
        <v>aws s3 cp s3://rtdc.mdm.uploadarchive.raw/RTDC4038/ "%USERPROFILE%\AppData\Local\Temp\OnboardLogs"\RTDC4038\2017-02-07 --exclude "*" --recursive --include "*20170207*" &amp; "%USERPROFILE%\Documents\GitHub\mrs-test-scripts\Headless Mode &amp; Sideloading\WalkAndUnGZ.bat" "%USERPROFILE%\AppData\Local\Temp\OnboardLogs"\RTDC4038\2017-02-07 &amp; aws s3 cp s3://rtdc.mdm.uploadarchive.raw/RTDC4038/ "%USERPROFILE%\AppData\Local\Temp\OnboardLogs"\RTDC4038\2017-02-08 --exclude "*" --recursive --include "*20170208*" &amp; "%USERPROFILE%\Documents\GitHub\mrs-test-scripts\Headless Mode &amp; Sideloading\WalkAndUnGZ.bat" "%USERPROFILE%\AppData\Local\Temp\OnboardLogs"\RTDC4038\2017-02-08</v>
      </c>
      <c r="AF39" s="82" t="str">
        <f>astrogrep_path&amp;" /spath="&amp;search_path&amp;" /stypes=""app*"&amp;B39&amp;"*"&amp;TEXT(I39-utc_offset/24,"YYYYMMDD")&amp;"*"" /stext="" "&amp;TEXT(I39-utc_offset/24,"HH")&amp;search_regexp&amp;""" /e /r /s"</f>
        <v>"C:\Program Files (x86)\AstroGrep\AstroGrep.exe" /spath="%USERPROFILE%\AppData\Local\Temp\OnboardLogs" /stypes="app*4038*20170207*" /stext=" 14:.+((SYSTEM_STATE.+slice.+state.+changed )|(ment ac)|(multiple cpu faults)|(system.+state.+changed )|(\[timeout)|(PRM\|1\|D)|(kpr)|(kdp)|(\|lc)|(penalty))" /e /r /s</v>
      </c>
      <c r="AG39" s="1" t="str">
        <f>IFERROR(IF(VALUE(LEFT(AD39,2))&lt;=2,"EC",IF(OR(VALUE(LEFT(AD39,2))=8,VALUE(LEFT(AD39,2))=18),"NW","Other")),"Other")</f>
        <v>EC</v>
      </c>
      <c r="AH39" s="86" t="str">
        <f t="shared" si="3"/>
        <v>"%USERPROFILE%\Documents\GitHub\eaglep3\Utilities\RefineRTDCRunTimes.py" --tripid 127-07 --locoid 4038 --swversion DE.1.0.8.0 --startMP 204:460 --initTime 2017-02-07T06:52:53 --startdatetime 2017-02-07T07:00:22 --delay 1 --endMP 204:233347 --enddatetime 2017-02-07T07:37:05 --enforcementcount 0 &gt;&gt;C:\Users\stu\Documents\GitHub\eaglep3-reporting\EC\2017-02-07-refined-times.txt</v>
      </c>
      <c r="AI39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{"issue":{"subject":"","project_id":79,"tracker_id":40,"status_id":1,"priority_id":2,"assigned_to_id":23,"start_date":"2017-02-07","description":"","custom_fields":[{"id":1,"name":"Subdivision","value":"EC"},{"id":4,"name":"Milepost","value":"23.3347"},{"id":17,"name":"Train ID","value":"127-07"},{"id":16,"name":"Locomotive ID","value":"4038"},{"id":130,"name":"Impact","value":""},{"id":150,"name":"Time of Event (Mountain Time)","value":"07:37:05"},{"id":151,"name":"Denver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48"/>
      <c r="AK39" s="48"/>
      <c r="AL39" s="48"/>
      <c r="AM39" s="158" t="str">
        <f t="shared" si="5"/>
        <v>start /low /b %USERPROFILE%\Documents\GitHub\eaglep3\Utilities\DownloadLogsFromS3.py --loco 4038 --day 2017-02-07</v>
      </c>
      <c r="AN39" s="167" t="str">
        <f>"grep -SE -B400 ""CHR.+\|PRM\|1\|D.+(SWITCH|SIGNAL).+UNKNOWN"" "&amp;search_path&amp;"\RTDC"&amp;B39&amp;"\*"&amp;B39&amp;"*"&amp;TEXT(AVERAGE(F39,I39)-utc_offset/24,"YYYYMMDD")&amp;"*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"%USERPROFILE%\AppData\Local\Temp\OnboardLogs"\RTDC4038\*4038*20170207* | grep -SE "(Enforcement Action)|(\[TIMEOUT)|(CHR.+\|PRM\|1\|D.+(SWITCH|SIGNAL).+UNKNOWN)" - &gt;&gt; 2017-02-07-UncaughtWiMAX.txt</v>
      </c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3" t="s">
        <v>549</v>
      </c>
      <c r="B40" s="7">
        <v>4037</v>
      </c>
      <c r="C40" s="21" t="s">
        <v>193</v>
      </c>
      <c r="D40" s="21" t="s">
        <v>724</v>
      </c>
      <c r="E40" s="13">
        <v>42773.326006944444</v>
      </c>
      <c r="F40" s="13">
        <v>42773.330891203703</v>
      </c>
      <c r="G40" s="7">
        <v>1</v>
      </c>
      <c r="H40" s="21" t="s">
        <v>303</v>
      </c>
      <c r="I40" s="13">
        <v>42773.357233796298</v>
      </c>
      <c r="J40" s="7">
        <v>0</v>
      </c>
      <c r="K40" s="98" t="str">
        <f>IF(ISEVEN(B40),(B40-1)&amp;"/"&amp;B40,B40&amp;"/"&amp;(B40+1))</f>
        <v>4037/4038</v>
      </c>
      <c r="L40" s="21" t="str">
        <f>VLOOKUP(A40,'Trips&amp;Operators'!$C$1:$G$99999,5,FALSE)</f>
        <v>OUN ZACK</v>
      </c>
      <c r="M40" s="6">
        <f>I40-F40</f>
        <v>2.6342592595028691E-2</v>
      </c>
      <c r="N40" s="7">
        <f>24*60*SUM($M40:$M40)</f>
        <v>37.933333336841315</v>
      </c>
      <c r="O40" s="7"/>
      <c r="P40" s="7"/>
      <c r="Q40" s="22"/>
      <c r="R40" s="22"/>
      <c r="S40" s="31">
        <f>SUM(U40:U40)/IF(AG40="EC",12,1)</f>
        <v>1</v>
      </c>
      <c r="T40" s="46" t="str">
        <f>IF(ISEVEN(LEFT(AD40,4)),"Southbound","NorthBound")</f>
        <v>Southbound</v>
      </c>
      <c r="U40" s="190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191" t="str">
        <f>"https://d0f6bd738d7f1b3e5a7ca70fe4ff75f0.us-east-1.aws.found.io/app/kibana#/discover/Steve-Slow-Train-Analysis-(2080s-and-2083s)?_g="&amp;"(refreshInterval:(display:Off,pause:!f,section:0,value:0),time:(from:'"&amp;TEXT(E40-1/24,"yyyy-MM-DDThh:mm:ss")&amp;utc_offset&amp;"00"&amp;"',mode:absolute,to:'"&amp;TEXT(I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40&amp;"%22')),sort:!(Time.ISO8601,asc))"</f>
        <v>https://d0f6bd738d7f1b3e5a7ca70fe4ff75f0.us-east-1.aws.found.io/app/kibana#/discover/Steve-Slow-Train-Analysis-(2080s-and-2083s)?_g=(refreshInterval:(display:Off,pause:!f,section:0,value:0),time:(from:'2017-02-07T06:49:27-0700',mode:absolute,to:'2017-02-07T09:34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40" s="192" t="str">
        <f>IF(AA40&lt;IF(AG40="EC",23,5.65),"Y","N")</f>
        <v>N</v>
      </c>
      <c r="X40" s="192">
        <f>VALUE(LEFT(AD40,4))-VALUE(LEFT(AD39,4))</f>
        <v>1</v>
      </c>
      <c r="Y40" s="62">
        <f>RIGHT(D40,LEN(D40)-4)/10000</f>
        <v>23.3034</v>
      </c>
      <c r="Z40" s="62">
        <f>RIGHT(H40,LEN(H40)-4)/10000</f>
        <v>1.3899999999999999E-2</v>
      </c>
      <c r="AA40" s="62">
        <f>ABS(Z40-Y40)</f>
        <v>23.2895</v>
      </c>
      <c r="AB40" s="59" t="e">
        <f>VLOOKUP(A40,Enforcements!$C$7:$K$14,8,0)</f>
        <v>#N/A</v>
      </c>
      <c r="AC40" s="55" t="e">
        <f>VLOOKUP(A40,Enforcements!$C$7:$E$14,3,0)</f>
        <v>#N/A</v>
      </c>
      <c r="AD40" s="56" t="str">
        <f>IF(LEN(A40)=6,"0"&amp;A40,A40)</f>
        <v>0128-07</v>
      </c>
      <c r="AE40" s="85" t="str">
        <f>"aws s3 cp "&amp;s3_bucket&amp;"/RTDC"&amp;B40&amp;"/ "&amp;search_path&amp;"\RTDC"&amp;B40&amp;"\"&amp;TEXT(F40,"YYYY-MM-DD")&amp;" --exclude ""*"" --recursive --include ""*"&amp;TEXT(F40,"YYYYMMDD")&amp;"*"" &amp; """&amp;walkandungz&amp;""" "&amp;search_path&amp;"\RTDC"&amp;B40&amp;"\"&amp;TEXT(F40,"YYYY-MM-DD")
&amp;" &amp; "&amp;"aws s3 cp "&amp;s3_bucket&amp;"/RTDC"&amp;B40&amp;"/ "&amp;search_path&amp;"\RTDC"&amp;B40&amp;"\"&amp;TEXT(F40+1,"YYYY-MM-DD")&amp;" --exclude ""*"" --recursive --include ""*"&amp;TEXT(F40+1,"YYYYMMDD")&amp;"*"" &amp; """&amp;walkandungz&amp;""" "&amp;search_path&amp;"\RTDC"&amp;B40&amp;"\"&amp;TEXT(F40+1,"YYYY-MM-DD")</f>
        <v>aws s3 cp s3://rtdc.mdm.uploadarchive.raw/RTDC4037/ "%USERPROFILE%\AppData\Local\Temp\OnboardLogs"\RTDC4037\2017-02-07 --exclude "*" --recursive --include "*20170207*" &amp; "%USERPROFILE%\Documents\GitHub\mrs-test-scripts\Headless Mode &amp; Sideloading\WalkAndUnGZ.bat" "%USERPROFILE%\AppData\Local\Temp\OnboardLogs"\RTDC4037\2017-02-07 &amp; aws s3 cp s3://rtdc.mdm.uploadarchive.raw/RTDC4037/ "%USERPROFILE%\AppData\Local\Temp\OnboardLogs"\RTDC4037\2017-02-08 --exclude "*" --recursive --include "*20170208*" &amp; "%USERPROFILE%\Documents\GitHub\mrs-test-scripts\Headless Mode &amp; Sideloading\WalkAndUnGZ.bat" "%USERPROFILE%\AppData\Local\Temp\OnboardLogs"\RTDC4037\2017-02-08</v>
      </c>
      <c r="AF40" s="82" t="str">
        <f>astrogrep_path&amp;" /spath="&amp;search_path&amp;" /stypes=""app*"&amp;B40&amp;"*"&amp;TEXT(I40-utc_offset/24,"YYYYMMDD")&amp;"*"" /stext="" "&amp;TEXT(I40-utc_offset/24,"HH")&amp;search_regexp&amp;""" /e /r /s"</f>
        <v>"C:\Program Files (x86)\AstroGrep\AstroGrep.exe" /spath="%USERPROFILE%\AppData\Local\Temp\OnboardLogs" /stypes="app*4037*20170207*" /stext=" 15:.+((SYSTEM_STATE.+slice.+state.+changed )|(ment ac)|(multiple cpu faults)|(system.+state.+changed )|(\[timeout)|(PRM\|1\|D)|(kpr)|(kdp)|(\|lc)|(penalty))" /e /r /s</v>
      </c>
      <c r="AG40" s="1" t="str">
        <f>IFERROR(IF(VALUE(LEFT(AD40,2))&lt;=2,"EC",IF(OR(VALUE(LEFT(AD40,2))=8,VALUE(LEFT(AD40,2))=18),"NW","Other")),"Other")</f>
        <v>EC</v>
      </c>
      <c r="AH40" s="86" t="str">
        <f t="shared" si="3"/>
        <v>"%USERPROFILE%\Documents\GitHub\eaglep3\Utilities\RefineRTDCRunTimes.py" --tripid 128-07 --locoid 4037 --swversion DE.1.0.8.0 --startMP 204:233034 --initTime 2017-02-07T07:49:27 --startdatetime 2017-02-07T07:56:29 --delay 1 --endMP 204:139 --enddatetime 2017-02-07T08:34:25 --enforcementcount 0 &gt;&gt;C:\Users\stu\Documents\GitHub\eaglep3-reporting\EC\2017-02-07-refined-times.txt</v>
      </c>
      <c r="AI40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{"issue":{"subject":"","project_id":79,"tracker_id":40,"status_id":1,"priority_id":2,"assigned_to_id":23,"start_date":"2017-02-07","description":"","custom_fields":[{"id":1,"name":"Subdivision","value":"EC"},{"id":4,"name":"Milepost","value":"0.0139"},{"id":17,"name":"Train ID","value":"128-07"},{"id":16,"name":"Locomotive ID","value":"4037"},{"id":130,"name":"Impact","value":""},{"id":150,"name":"Time of Event (Mountain Time)","value":"08:34:25"},{"id":151,"name":"Denver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48"/>
      <c r="AK40" s="48"/>
      <c r="AL40" s="48"/>
      <c r="AM40" s="158" t="str">
        <f t="shared" si="5"/>
        <v>start /low /b %USERPROFILE%\Documents\GitHub\eaglep3\Utilities\DownloadLogsFromS3.py --loco 4037 --day 2017-02-07</v>
      </c>
      <c r="AN40" s="167" t="str">
        <f>"grep -SE -B400 ""CHR.+\|PRM\|1\|D.+(SWITCH|SIGNAL).+UNKNOWN"" "&amp;search_path&amp;"\RTDC"&amp;B40&amp;"\*"&amp;B40&amp;"*"&amp;TEXT(AVERAGE(F40,I40)-utc_offset/24,"YYYYMMDD")&amp;"*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"%USERPROFILE%\AppData\Local\Temp\OnboardLogs"\RTDC4037\*4037*20170207* | grep -SE "(Enforcement Action)|(\[TIMEOUT)|(CHR.+\|PRM\|1\|D.+(SWITCH|SIGNAL).+UNKNOWN)" - &gt;&gt; 2017-02-07-UncaughtWiMAX.txt</v>
      </c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3" t="s">
        <v>541</v>
      </c>
      <c r="B41" s="7">
        <v>4031</v>
      </c>
      <c r="C41" s="21" t="s">
        <v>193</v>
      </c>
      <c r="D41" s="21" t="s">
        <v>725</v>
      </c>
      <c r="E41" s="13">
        <v>42773.299560185187</v>
      </c>
      <c r="F41" s="13">
        <v>42773.302314814813</v>
      </c>
      <c r="G41" s="7">
        <v>1</v>
      </c>
      <c r="H41" s="21" t="s">
        <v>726</v>
      </c>
      <c r="I41" s="13">
        <v>42773.326655092591</v>
      </c>
      <c r="J41" s="7">
        <v>0</v>
      </c>
      <c r="K41" s="98" t="str">
        <f>IF(ISEVEN(B41),(B41-1)&amp;"/"&amp;B41,B41&amp;"/"&amp;(B41+1))</f>
        <v>4031/4032</v>
      </c>
      <c r="L41" s="21" t="str">
        <f>VLOOKUP(A41,'Trips&amp;Operators'!$C$1:$G$99999,5,FALSE)</f>
        <v>ROCHA YAOTL</v>
      </c>
      <c r="M41" s="6">
        <f>I41-F41</f>
        <v>2.4340277777810115E-2</v>
      </c>
      <c r="N41" s="7">
        <f>24*60*SUM($M41:$M41)</f>
        <v>35.050000000046566</v>
      </c>
      <c r="O41" s="7"/>
      <c r="P41" s="7"/>
      <c r="Q41" s="22"/>
      <c r="R41" s="22"/>
      <c r="S41" s="31">
        <f>SUM(U41:U41)/IF(AG41="EC",12,1)</f>
        <v>1</v>
      </c>
      <c r="T41" s="46" t="str">
        <f>IF(ISEVEN(LEFT(AD41,4)),"Southbound","NorthBound")</f>
        <v>NorthBound</v>
      </c>
      <c r="U41" s="190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191" t="str">
        <f>"https://d0f6bd738d7f1b3e5a7ca70fe4ff75f0.us-east-1.aws.found.io/app/kibana#/discover/Steve-Slow-Train-Analysis-(2080s-and-2083s)?_g="&amp;"(refreshInterval:(display:Off,pause:!f,section:0,value:0),time:(from:'"&amp;TEXT(E41-1/24,"yyyy-MM-DDThh:mm:ss")&amp;utc_offset&amp;"00"&amp;"',mode:absolute,to:'"&amp;TEXT(I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41&amp;"%22')),sort:!(Time.ISO8601,asc))"</f>
        <v>https://d0f6bd738d7f1b3e5a7ca70fe4ff75f0.us-east-1.aws.found.io/app/kibana#/discover/Steve-Slow-Train-Analysis-(2080s-and-2083s)?_g=(refreshInterval:(display:Off,pause:!f,section:0,value:0),time:(from:'2017-02-07T06:11:22-0700',mode:absolute,to:'2017-02-07T08:50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41" s="192" t="str">
        <f>IF(AA41&lt;IF(AG41="EC",23,5.65),"Y","N")</f>
        <v>N</v>
      </c>
      <c r="X41" s="192">
        <f>VALUE(LEFT(AD41,4))-VALUE(LEFT(AD40,4))</f>
        <v>1</v>
      </c>
      <c r="Y41" s="62">
        <f>RIGHT(D41,LEN(D41)-4)/10000</f>
        <v>4.2599999999999999E-2</v>
      </c>
      <c r="Z41" s="62">
        <f>RIGHT(H41,LEN(H41)-4)/10000</f>
        <v>23.333200000000001</v>
      </c>
      <c r="AA41" s="62">
        <f>ABS(Z41-Y41)</f>
        <v>23.290600000000001</v>
      </c>
      <c r="AB41" s="59" t="e">
        <f>VLOOKUP(A41,Enforcements!$C$7:$K$14,8,0)</f>
        <v>#N/A</v>
      </c>
      <c r="AC41" s="55" t="e">
        <f>VLOOKUP(A41,Enforcements!$C$7:$E$14,3,0)</f>
        <v>#N/A</v>
      </c>
      <c r="AD41" s="56" t="str">
        <f>IF(LEN(A41)=6,"0"&amp;A41,A41)</f>
        <v>0129-07</v>
      </c>
      <c r="AE41" s="85" t="str">
        <f>"aws s3 cp "&amp;s3_bucket&amp;"/RTDC"&amp;B41&amp;"/ "&amp;search_path&amp;"\RTDC"&amp;B41&amp;"\"&amp;TEXT(F41,"YYYY-MM-DD")&amp;" --exclude ""*"" --recursive --include ""*"&amp;TEXT(F41,"YYYYMMDD")&amp;"*"" &amp; """&amp;walkandungz&amp;""" "&amp;search_path&amp;"\RTDC"&amp;B41&amp;"\"&amp;TEXT(F41,"YYYY-MM-DD")
&amp;" &amp; "&amp;"aws s3 cp "&amp;s3_bucket&amp;"/RTDC"&amp;B41&amp;"/ "&amp;search_path&amp;"\RTDC"&amp;B41&amp;"\"&amp;TEXT(F41+1,"YYYY-MM-DD")&amp;" --exclude ""*"" --recursive --include ""*"&amp;TEXT(F41+1,"YYYYMMDD")&amp;"*"" &amp; """&amp;walkandungz&amp;""" "&amp;search_path&amp;"\RTDC"&amp;B41&amp;"\"&amp;TEXT(F41+1,"YYYY-MM-DD")</f>
        <v>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 &amp; aws s3 cp s3://rtdc.mdm.uploadarchive.raw/RTDC4031/ "%USERPROFILE%\AppData\Local\Temp\OnboardLogs"\RTDC4031\2017-02-08 --exclude "*" --recursive --include "*20170208*" &amp; "%USERPROFILE%\Documents\GitHub\mrs-test-scripts\Headless Mode &amp; Sideloading\WalkAndUnGZ.bat" "%USERPROFILE%\AppData\Local\Temp\OnboardLogs"\RTDC4031\2017-02-08</v>
      </c>
      <c r="AF41" s="82" t="str">
        <f>astrogrep_path&amp;" /spath="&amp;search_path&amp;" /stypes=""app*"&amp;B41&amp;"*"&amp;TEXT(I41-utc_offset/24,"YYYYMMDD")&amp;"*"" /stext="" "&amp;TEXT(I41-utc_offset/24,"HH")&amp;search_regexp&amp;""" /e /r /s"</f>
        <v>"C:\Program Files (x86)\AstroGrep\AstroGrep.exe" /spath="%USERPROFILE%\AppData\Local\Temp\OnboardLogs" /stypes="app*4031*20170207*" /stext=" 14:.+((SYSTEM_STATE.+slice.+state.+changed )|(ment ac)|(multiple cpu faults)|(system.+state.+changed )|(\[timeout)|(PRM\|1\|D)|(kpr)|(kdp)|(\|lc)|(penalty))" /e /r /s</v>
      </c>
      <c r="AG41" s="1" t="str">
        <f>IFERROR(IF(VALUE(LEFT(AD41,2))&lt;=2,"EC",IF(OR(VALUE(LEFT(AD41,2))=8,VALUE(LEFT(AD41,2))=18),"NW","Other")),"Other")</f>
        <v>EC</v>
      </c>
      <c r="AH41" s="86" t="str">
        <f t="shared" si="3"/>
        <v>"%USERPROFILE%\Documents\GitHub\eaglep3\Utilities\RefineRTDCRunTimes.py" --tripid 129-07 --locoid 4031 --swversion DE.1.0.8.0 --startMP 204:426 --initTime 2017-02-07T07:11:22 --startdatetime 2017-02-07T07:15:20 --delay 1 --endMP 204:233332 --enddatetime 2017-02-07T07:50:23 --enforcementcount 0 &gt;&gt;C:\Users\stu\Documents\GitHub\eaglep3-reporting\EC\2017-02-07-refined-times.txt</v>
      </c>
      <c r="AI41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{"issue":{"subject":"","project_id":79,"tracker_id":40,"status_id":1,"priority_id":2,"assigned_to_id":23,"start_date":"2017-02-07","description":"","custom_fields":[{"id":1,"name":"Subdivision","value":"EC"},{"id":4,"name":"Milepost","value":"23.3332"},{"id":17,"name":"Train ID","value":"129-07"},{"id":16,"name":"Locomotive ID","value":"4031"},{"id":130,"name":"Impact","value":""},{"id":150,"name":"Time of Event (Mountain Time)","value":"07:50:23"},{"id":151,"name":"Denver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48"/>
      <c r="AK41" s="48"/>
      <c r="AL41" s="48"/>
      <c r="AM41" s="158" t="str">
        <f t="shared" si="5"/>
        <v>start /low /b %USERPROFILE%\Documents\GitHub\eaglep3\Utilities\DownloadLogsFromS3.py --loco 4031 --day 2017-02-07</v>
      </c>
      <c r="AN41" s="167" t="str">
        <f>"grep -SE -B400 ""CHR.+\|PRM\|1\|D.+(SWITCH|SIGNAL).+UNKNOWN"" "&amp;search_path&amp;"\RTDC"&amp;B41&amp;"\*"&amp;B41&amp;"*"&amp;TEXT(AVERAGE(F41,I41)-utc_offset/24,"YYYYMMDD")&amp;"*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"%USERPROFILE%\AppData\Local\Temp\OnboardLogs"\RTDC4031\*4031*20170207* | grep -SE "(Enforcement Action)|(\[TIMEOUT)|(CHR.+\|PRM\|1\|D.+(SWITCH|SIGNAL).+UNKNOWN)" - &gt;&gt; 2017-02-07-UncaughtWiMAX.txt</v>
      </c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3" t="s">
        <v>552</v>
      </c>
      <c r="B42" s="7">
        <v>4032</v>
      </c>
      <c r="C42" s="21" t="s">
        <v>193</v>
      </c>
      <c r="D42" s="21" t="s">
        <v>379</v>
      </c>
      <c r="E42" s="13">
        <v>42773.340254629627</v>
      </c>
      <c r="F42" s="13">
        <v>42773.341932870368</v>
      </c>
      <c r="G42" s="7">
        <v>1</v>
      </c>
      <c r="H42" s="21" t="s">
        <v>224</v>
      </c>
      <c r="I42" s="13">
        <v>42773.367662037039</v>
      </c>
      <c r="J42" s="7">
        <v>0</v>
      </c>
      <c r="K42" s="98" t="str">
        <f>IF(ISEVEN(B42),(B42-1)&amp;"/"&amp;B42,B42&amp;"/"&amp;(B42+1))</f>
        <v>4031/4032</v>
      </c>
      <c r="L42" s="21" t="str">
        <f>VLOOKUP(A42,'Trips&amp;Operators'!$C$1:$G$99999,5,FALSE)</f>
        <v>ROCHA YAOTL</v>
      </c>
      <c r="M42" s="6">
        <f>I42-F42</f>
        <v>2.5729166671226267E-2</v>
      </c>
      <c r="N42" s="7">
        <f>24*60*SUM($M42:$M42)</f>
        <v>37.050000006565824</v>
      </c>
      <c r="O42" s="7"/>
      <c r="P42" s="7"/>
      <c r="Q42" s="22"/>
      <c r="R42" s="22"/>
      <c r="S42" s="31">
        <f>SUM(U42:U42)/IF(AG42="EC",12,1)</f>
        <v>1</v>
      </c>
      <c r="T42" s="46" t="str">
        <f>IF(ISEVEN(LEFT(AD42,4)),"Southbound","NorthBound")</f>
        <v>Southbound</v>
      </c>
      <c r="U42" s="190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191" t="str">
        <f>"https://d0f6bd738d7f1b3e5a7ca70fe4ff75f0.us-east-1.aws.found.io/app/kibana#/discover/Steve-Slow-Train-Analysis-(2080s-and-2083s)?_g="&amp;"(refreshInterval:(display:Off,pause:!f,section:0,value:0),time:(from:'"&amp;TEXT(E42-1/24,"yyyy-MM-DDThh:mm:ss")&amp;utc_offset&amp;"00"&amp;"',mode:absolute,to:'"&amp;TEXT(I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42&amp;"%22')),sort:!(Time.ISO8601,asc))"</f>
        <v>https://d0f6bd738d7f1b3e5a7ca70fe4ff75f0.us-east-1.aws.found.io/app/kibana#/discover/Steve-Slow-Train-Analysis-(2080s-and-2083s)?_g=(refreshInterval:(display:Off,pause:!f,section:0,value:0),time:(from:'2017-02-07T07:09:58-0700',mode:absolute,to:'2017-02-07T09:49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42" s="192" t="str">
        <f>IF(AA42&lt;IF(AG42="EC",23,5.65),"Y","N")</f>
        <v>N</v>
      </c>
      <c r="X42" s="192">
        <f>VALUE(LEFT(AD42,4))-VALUE(LEFT(AD41,4))</f>
        <v>1</v>
      </c>
      <c r="Y42" s="62">
        <f>RIGHT(D42,LEN(D42)-4)/10000</f>
        <v>23.3001</v>
      </c>
      <c r="Z42" s="62">
        <f>RIGHT(H42,LEN(H42)-4)/10000</f>
        <v>1.54E-2</v>
      </c>
      <c r="AA42" s="62">
        <f>ABS(Z42-Y42)</f>
        <v>23.284700000000001</v>
      </c>
      <c r="AB42" s="59" t="e">
        <f>VLOOKUP(A42,Enforcements!$C$7:$K$14,8,0)</f>
        <v>#N/A</v>
      </c>
      <c r="AC42" s="55" t="e">
        <f>VLOOKUP(A42,Enforcements!$C$7:$E$14,3,0)</f>
        <v>#N/A</v>
      </c>
      <c r="AD42" s="56" t="str">
        <f>IF(LEN(A42)=6,"0"&amp;A42,A42)</f>
        <v>0130-07</v>
      </c>
      <c r="AE42" s="85" t="str">
        <f>"aws s3 cp "&amp;s3_bucket&amp;"/RTDC"&amp;B42&amp;"/ "&amp;search_path&amp;"\RTDC"&amp;B42&amp;"\"&amp;TEXT(F42,"YYYY-MM-DD")&amp;" --exclude ""*"" --recursive --include ""*"&amp;TEXT(F42,"YYYYMMDD")&amp;"*"" &amp; """&amp;walkandungz&amp;""" "&amp;search_path&amp;"\RTDC"&amp;B42&amp;"\"&amp;TEXT(F42,"YYYY-MM-DD")
&amp;" &amp; "&amp;"aws s3 cp "&amp;s3_bucket&amp;"/RTDC"&amp;B42&amp;"/ "&amp;search_path&amp;"\RTDC"&amp;B42&amp;"\"&amp;TEXT(F42+1,"YYYY-MM-DD")&amp;" --exclude ""*"" --recursive --include ""*"&amp;TEXT(F42+1,"YYYYMMDD")&amp;"*"" &amp; """&amp;walkandungz&amp;""" "&amp;search_path&amp;"\RTDC"&amp;B42&amp;"\"&amp;TEXT(F42+1,"YYYY-MM-DD")</f>
        <v>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 &amp; aws s3 cp s3://rtdc.mdm.uploadarchive.raw/RTDC4032/ "%USERPROFILE%\AppData\Local\Temp\OnboardLogs"\RTDC4032\2017-02-08 --exclude "*" --recursive --include "*20170208*" &amp; "%USERPROFILE%\Documents\GitHub\mrs-test-scripts\Headless Mode &amp; Sideloading\WalkAndUnGZ.bat" "%USERPROFILE%\AppData\Local\Temp\OnboardLogs"\RTDC4032\2017-02-08</v>
      </c>
      <c r="AF42" s="82" t="str">
        <f>astrogrep_path&amp;" /spath="&amp;search_path&amp;" /stypes=""app*"&amp;B42&amp;"*"&amp;TEXT(I42-utc_offset/24,"YYYYMMDD")&amp;"*"" /stext="" "&amp;TEXT(I42-utc_offset/24,"HH")&amp;search_regexp&amp;""" /e /r /s"</f>
        <v>"C:\Program Files (x86)\AstroGrep\AstroGrep.exe" /spath="%USERPROFILE%\AppData\Local\Temp\OnboardLogs" /stypes="app*4032*20170207*" /stext=" 15:.+((SYSTEM_STATE.+slice.+state.+changed )|(ment ac)|(multiple cpu faults)|(system.+state.+changed )|(\[timeout)|(PRM\|1\|D)|(kpr)|(kdp)|(\|lc)|(penalty))" /e /r /s</v>
      </c>
      <c r="AG42" s="1" t="str">
        <f>IFERROR(IF(VALUE(LEFT(AD42,2))&lt;=2,"EC",IF(OR(VALUE(LEFT(AD42,2))=8,VALUE(LEFT(AD42,2))=18),"NW","Other")),"Other")</f>
        <v>EC</v>
      </c>
      <c r="AH42" s="86" t="str">
        <f t="shared" si="3"/>
        <v>"%USERPROFILE%\Documents\GitHub\eaglep3\Utilities\RefineRTDCRunTimes.py" --tripid 130-07 --locoid 4032 --swversion DE.1.0.8.0 --startMP 204:233001 --initTime 2017-02-07T08:09:58 --startdatetime 2017-02-07T08:12:23 --delay 1 --endMP 204:154 --enddatetime 2017-02-07T08:49:26 --enforcementcount 0 &gt;&gt;C:\Users\stu\Documents\GitHub\eaglep3-reporting\EC\2017-02-07-refined-times.txt</v>
      </c>
      <c r="AI42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{"issue":{"subject":"","project_id":79,"tracker_id":40,"status_id":1,"priority_id":2,"assigned_to_id":23,"start_date":"2017-02-07","description":"","custom_fields":[{"id":1,"name":"Subdivision","value":"EC"},{"id":4,"name":"Milepost","value":"0.0154"},{"id":17,"name":"Train ID","value":"130-07"},{"id":16,"name":"Locomotive ID","value":"4032"},{"id":130,"name":"Impact","value":""},{"id":150,"name":"Time of Event (Mountain Time)","value":"08:49:26"},{"id":151,"name":"Denver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48"/>
      <c r="AK42" s="48"/>
      <c r="AL42" s="48"/>
      <c r="AM42" s="158" t="str">
        <f t="shared" si="5"/>
        <v>start /low /b %USERPROFILE%\Documents\GitHub\eaglep3\Utilities\DownloadLogsFromS3.py --loco 4032 --day 2017-02-07</v>
      </c>
      <c r="AN42" s="167" t="str">
        <f>"grep -SE -B400 ""CHR.+\|PRM\|1\|D.+(SWITCH|SIGNAL).+UNKNOWN"" "&amp;search_path&amp;"\RTDC"&amp;B42&amp;"\*"&amp;B42&amp;"*"&amp;TEXT(AVERAGE(F42,I42)-utc_offset/24,"YYYYMMDD")&amp;"*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"%USERPROFILE%\AppData\Local\Temp\OnboardLogs"\RTDC4032\*4032*20170207* | grep -SE "(Enforcement Action)|(\[TIMEOUT)|(CHR.+\|PRM\|1\|D.+(SWITCH|SIGNAL).+UNKNOWN)" - &gt;&gt; 2017-02-07-UncaughtWiMAX.txt</v>
      </c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3" t="s">
        <v>543</v>
      </c>
      <c r="B43" s="7">
        <v>4025</v>
      </c>
      <c r="C43" s="21" t="s">
        <v>193</v>
      </c>
      <c r="D43" s="21" t="s">
        <v>238</v>
      </c>
      <c r="E43" s="13">
        <v>42773.30945601852</v>
      </c>
      <c r="F43" s="13">
        <v>42773.313043981485</v>
      </c>
      <c r="G43" s="7">
        <v>1</v>
      </c>
      <c r="H43" s="21" t="s">
        <v>727</v>
      </c>
      <c r="I43" s="13">
        <v>42773.337881944448</v>
      </c>
      <c r="J43" s="7">
        <v>0</v>
      </c>
      <c r="K43" s="98" t="str">
        <f>IF(ISEVEN(B43),(B43-1)&amp;"/"&amp;B43,B43&amp;"/"&amp;(B43+1))</f>
        <v>4025/4026</v>
      </c>
      <c r="L43" s="21" t="str">
        <f>VLOOKUP(A43,'Trips&amp;Operators'!$C$1:$G$99999,5,FALSE)</f>
        <v>MAELZER KURT</v>
      </c>
      <c r="M43" s="6">
        <f>I43-F43</f>
        <v>2.4837962962919846E-2</v>
      </c>
      <c r="N43" s="7">
        <f>24*60*SUM($M43:$M43)</f>
        <v>35.766666666604578</v>
      </c>
      <c r="O43" s="7"/>
      <c r="P43" s="7"/>
      <c r="Q43" s="22"/>
      <c r="R43" s="22"/>
      <c r="S43" s="31">
        <f>SUM(U43:U43)/IF(AG43="EC",12,1)</f>
        <v>1</v>
      </c>
      <c r="T43" s="46" t="str">
        <f>IF(ISEVEN(LEFT(AD43,4)),"Southbound","NorthBound")</f>
        <v>NorthBound</v>
      </c>
      <c r="U43" s="190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191" t="str">
        <f>"https://d0f6bd738d7f1b3e5a7ca70fe4ff75f0.us-east-1.aws.found.io/app/kibana#/discover/Steve-Slow-Train-Analysis-(2080s-and-2083s)?_g="&amp;"(refreshInterval:(display:Off,pause:!f,section:0,value:0),time:(from:'"&amp;TEXT(E43-1/24,"yyyy-MM-DDThh:mm:ss")&amp;utc_offset&amp;"00"&amp;"',mode:absolute,to:'"&amp;TEXT(I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43&amp;"%22')),sort:!(Time.ISO8601,asc))"</f>
        <v>https://d0f6bd738d7f1b3e5a7ca70fe4ff75f0.us-east-1.aws.found.io/app/kibana#/discover/Steve-Slow-Train-Analysis-(2080s-and-2083s)?_g=(refreshInterval:(display:Off,pause:!f,section:0,value:0),time:(from:'2017-02-07T06:25:37-0700',mode:absolute,to:'2017-02-07T09:06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43" s="192" t="str">
        <f>IF(AA43&lt;IF(AG43="EC",23,5.65),"Y","N")</f>
        <v>N</v>
      </c>
      <c r="X43" s="192">
        <f>VALUE(LEFT(AD43,4))-VALUE(LEFT(AD42,4))</f>
        <v>1</v>
      </c>
      <c r="Y43" s="62">
        <f>RIGHT(D43,LEN(D43)-4)/10000</f>
        <v>4.5100000000000001E-2</v>
      </c>
      <c r="Z43" s="62">
        <f>RIGHT(H43,LEN(H43)-4)/10000</f>
        <v>23.3323</v>
      </c>
      <c r="AA43" s="62">
        <f>ABS(Z43-Y43)</f>
        <v>23.287199999999999</v>
      </c>
      <c r="AB43" s="59" t="e">
        <f>VLOOKUP(A43,Enforcements!$C$7:$K$14,8,0)</f>
        <v>#N/A</v>
      </c>
      <c r="AC43" s="55" t="e">
        <f>VLOOKUP(A43,Enforcements!$C$7:$E$14,3,0)</f>
        <v>#N/A</v>
      </c>
      <c r="AD43" s="56" t="str">
        <f>IF(LEN(A43)=6,"0"&amp;A43,A43)</f>
        <v>0131-07</v>
      </c>
      <c r="AE43" s="85" t="str">
        <f>"aws s3 cp "&amp;s3_bucket&amp;"/RTDC"&amp;B43&amp;"/ "&amp;search_path&amp;"\RTDC"&amp;B43&amp;"\"&amp;TEXT(F43,"YYYY-MM-DD")&amp;" --exclude ""*"" --recursive --include ""*"&amp;TEXT(F43,"YYYYMMDD")&amp;"*"" &amp; """&amp;walkandungz&amp;""" "&amp;search_path&amp;"\RTDC"&amp;B43&amp;"\"&amp;TEXT(F43,"YYYY-MM-DD")
&amp;" &amp; "&amp;"aws s3 cp "&amp;s3_bucket&amp;"/RTDC"&amp;B43&amp;"/ "&amp;search_path&amp;"\RTDC"&amp;B43&amp;"\"&amp;TEXT(F43+1,"YYYY-MM-DD")&amp;" --exclude ""*"" --recursive --include ""*"&amp;TEXT(F43+1,"YYYYMMDD")&amp;"*"" &amp; """&amp;walkandungz&amp;""" "&amp;search_path&amp;"\RTDC"&amp;B43&amp;"\"&amp;TEXT(F43+1,"YYYY-MM-DD")</f>
        <v>aws s3 cp s3://rtdc.mdm.uploadarchive.raw/RTDC4025/ "%USERPROFILE%\AppData\Local\Temp\OnboardLogs"\RTDC4025\2017-02-07 --exclude "*" --recursive --include "*20170207*" &amp; "%USERPROFILE%\Documents\GitHub\mrs-test-scripts\Headless Mode &amp; Sideloading\WalkAndUnGZ.bat" "%USERPROFILE%\AppData\Local\Temp\OnboardLogs"\RTDC4025\2017-02-07 &amp; aws s3 cp s3://rtdc.mdm.uploadarchive.raw/RTDC4025/ "%USERPROFILE%\AppData\Local\Temp\OnboardLogs"\RTDC4025\2017-02-08 --exclude "*" --recursive --include "*20170208*" &amp; "%USERPROFILE%\Documents\GitHub\mrs-test-scripts\Headless Mode &amp; Sideloading\WalkAndUnGZ.bat" "%USERPROFILE%\AppData\Local\Temp\OnboardLogs"\RTDC4025\2017-02-08</v>
      </c>
      <c r="AF43" s="82" t="str">
        <f>astrogrep_path&amp;" /spath="&amp;search_path&amp;" /stypes=""app*"&amp;B43&amp;"*"&amp;TEXT(I43-utc_offset/24,"YYYYMMDD")&amp;"*"" /stext="" "&amp;TEXT(I43-utc_offset/24,"HH")&amp;search_regexp&amp;""" /e /r /s"</f>
        <v>"C:\Program Files (x86)\AstroGrep\AstroGrep.exe" /spath="%USERPROFILE%\AppData\Local\Temp\OnboardLogs" /stypes="app*4025*20170207*" /stext=" 15:.+((SYSTEM_STATE.+slice.+state.+changed )|(ment ac)|(multiple cpu faults)|(system.+state.+changed )|(\[timeout)|(PRM\|1\|D)|(kpr)|(kdp)|(\|lc)|(penalty))" /e /r /s</v>
      </c>
      <c r="AG43" s="1" t="str">
        <f>IFERROR(IF(VALUE(LEFT(AD43,2))&lt;=2,"EC",IF(OR(VALUE(LEFT(AD43,2))=8,VALUE(LEFT(AD43,2))=18),"NW","Other")),"Other")</f>
        <v>EC</v>
      </c>
      <c r="AH43" s="86" t="str">
        <f t="shared" si="3"/>
        <v>"%USERPROFILE%\Documents\GitHub\eaglep3\Utilities\RefineRTDCRunTimes.py" --tripid 131-07 --locoid 4025 --swversion DE.1.0.8.0 --startMP 204:451 --initTime 2017-02-07T07:25:37 --startdatetime 2017-02-07T07:30:47 --delay 1 --endMP 204:233323 --enddatetime 2017-02-07T08:06:33 --enforcementcount 0 &gt;&gt;C:\Users\stu\Documents\GitHub\eaglep3-reporting\EC\2017-02-07-refined-times.txt</v>
      </c>
      <c r="AI43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{"issue":{"subject":"","project_id":79,"tracker_id":40,"status_id":1,"priority_id":2,"assigned_to_id":23,"start_date":"2017-02-07","description":"","custom_fields":[{"id":1,"name":"Subdivision","value":"EC"},{"id":4,"name":"Milepost","value":"23.3323"},{"id":17,"name":"Train ID","value":"131-07"},{"id":16,"name":"Locomotive ID","value":"4025"},{"id":130,"name":"Impact","value":""},{"id":150,"name":"Time of Event (Mountain Time)","value":"08:06:33"},{"id":151,"name":"Denver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48"/>
      <c r="AK43" s="48"/>
      <c r="AL43" s="48"/>
      <c r="AM43" s="158" t="str">
        <f t="shared" si="5"/>
        <v>start /low /b %USERPROFILE%\Documents\GitHub\eaglep3\Utilities\DownloadLogsFromS3.py --loco 4025 --day 2017-02-07</v>
      </c>
      <c r="AN43" s="167" t="str">
        <f>"grep -SE -B400 ""CHR.+\|PRM\|1\|D.+(SWITCH|SIGNAL).+UNKNOWN"" "&amp;search_path&amp;"\RTDC"&amp;B43&amp;"\*"&amp;B43&amp;"*"&amp;TEXT(AVERAGE(F43,I43)-utc_offset/24,"YYYYMMDD")&amp;"*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"%USERPROFILE%\AppData\Local\Temp\OnboardLogs"\RTDC4025\*4025*20170207* | grep -SE "(Enforcement Action)|(\[TIMEOUT)|(CHR.+\|PRM\|1\|D.+(SWITCH|SIGNAL).+UNKNOWN)" - &gt;&gt; 2017-02-07-UncaughtWiMAX.txt</v>
      </c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3" t="s">
        <v>555</v>
      </c>
      <c r="B44" s="7">
        <v>4026</v>
      </c>
      <c r="C44" s="21" t="s">
        <v>193</v>
      </c>
      <c r="D44" s="21" t="s">
        <v>728</v>
      </c>
      <c r="E44" s="13">
        <v>42773.345277777778</v>
      </c>
      <c r="F44" s="13">
        <v>42773.352175925924</v>
      </c>
      <c r="G44" s="7">
        <v>0</v>
      </c>
      <c r="H44" s="21" t="s">
        <v>184</v>
      </c>
      <c r="I44" s="13">
        <v>42773.378645833334</v>
      </c>
      <c r="J44" s="7">
        <v>0</v>
      </c>
      <c r="K44" s="98" t="str">
        <f>IF(ISEVEN(B44),(B44-1)&amp;"/"&amp;B44,B44&amp;"/"&amp;(B44+1))</f>
        <v>4025/4026</v>
      </c>
      <c r="L44" s="21" t="str">
        <f>VLOOKUP(A44,'Trips&amp;Operators'!$C$1:$G$99999,5,FALSE)</f>
        <v>MAELZER KURT</v>
      </c>
      <c r="M44" s="6">
        <f>I44-F44</f>
        <v>2.6469907410501037E-2</v>
      </c>
      <c r="N44" s="7">
        <f>24*60*SUM($M44:$M44)</f>
        <v>38.116666671121493</v>
      </c>
      <c r="O44" s="7"/>
      <c r="P44" s="7"/>
      <c r="Q44" s="22"/>
      <c r="R44" s="22"/>
      <c r="S44" s="31">
        <f>SUM(U44:U44)/IF(AG44="EC",12,1)</f>
        <v>1</v>
      </c>
      <c r="T44" s="46" t="str">
        <f>IF(ISEVEN(LEFT(AD44,4)),"Southbound","NorthBound")</f>
        <v>Southbound</v>
      </c>
      <c r="U44" s="190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191" t="str">
        <f>"https://d0f6bd738d7f1b3e5a7ca70fe4ff75f0.us-east-1.aws.found.io/app/kibana#/discover/Steve-Slow-Train-Analysis-(2080s-and-2083s)?_g="&amp;"(refreshInterval:(display:Off,pause:!f,section:0,value:0),time:(from:'"&amp;TEXT(E44-1/24,"yyyy-MM-DDThh:mm:ss")&amp;utc_offset&amp;"00"&amp;"',mode:absolute,to:'"&amp;TEXT(I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44&amp;"%22')),sort:!(Time.ISO8601,asc))"</f>
        <v>https://d0f6bd738d7f1b3e5a7ca70fe4ff75f0.us-east-1.aws.found.io/app/kibana#/discover/Steve-Slow-Train-Analysis-(2080s-and-2083s)?_g=(refreshInterval:(display:Off,pause:!f,section:0,value:0),time:(from:'2017-02-07T07:17:12-0700',mode:absolute,to:'2017-02-07T10:05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44" s="192" t="str">
        <f>IF(AA44&lt;IF(AG44="EC",23,5.65),"Y","N")</f>
        <v>N</v>
      </c>
      <c r="X44" s="192">
        <f>VALUE(LEFT(AD44,4))-VALUE(LEFT(AD43,4))</f>
        <v>1</v>
      </c>
      <c r="Y44" s="62">
        <f>RIGHT(D44,LEN(D44)-4)/10000</f>
        <v>23.300799999999999</v>
      </c>
      <c r="Z44" s="62">
        <f>RIGHT(H44,LEN(H44)-4)/10000</f>
        <v>1.49E-2</v>
      </c>
      <c r="AA44" s="62">
        <f>ABS(Z44-Y44)</f>
        <v>23.285899999999998</v>
      </c>
      <c r="AB44" s="59" t="e">
        <f>VLOOKUP(A44,Enforcements!$C$7:$K$14,8,0)</f>
        <v>#N/A</v>
      </c>
      <c r="AC44" s="55" t="e">
        <f>VLOOKUP(A44,Enforcements!$C$7:$E$14,3,0)</f>
        <v>#N/A</v>
      </c>
      <c r="AD44" s="56" t="str">
        <f>IF(LEN(A44)=6,"0"&amp;A44,A44)</f>
        <v>0132-07</v>
      </c>
      <c r="AE44" s="85" t="str">
        <f>"aws s3 cp "&amp;s3_bucket&amp;"/RTDC"&amp;B44&amp;"/ "&amp;search_path&amp;"\RTDC"&amp;B44&amp;"\"&amp;TEXT(F44,"YYYY-MM-DD")&amp;" --exclude ""*"" --recursive --include ""*"&amp;TEXT(F44,"YYYYMMDD")&amp;"*"" &amp; """&amp;walkandungz&amp;""" "&amp;search_path&amp;"\RTDC"&amp;B44&amp;"\"&amp;TEXT(F44,"YYYY-MM-DD")
&amp;" &amp; "&amp;"aws s3 cp "&amp;s3_bucket&amp;"/RTDC"&amp;B44&amp;"/ "&amp;search_path&amp;"\RTDC"&amp;B44&amp;"\"&amp;TEXT(F44+1,"YYYY-MM-DD")&amp;" --exclude ""*"" --recursive --include ""*"&amp;TEXT(F44+1,"YYYYMMDD")&amp;"*"" &amp; """&amp;walkandungz&amp;""" "&amp;search_path&amp;"\RTDC"&amp;B44&amp;"\"&amp;TEXT(F44+1,"YYYY-MM-DD")</f>
        <v>aws s3 cp s3://rtdc.mdm.uploadarchive.raw/RTDC4026/ "%USERPROFILE%\AppData\Local\Temp\OnboardLogs"\RTDC4026\2017-02-07 --exclude "*" --recursive --include "*20170207*" &amp; "%USERPROFILE%\Documents\GitHub\mrs-test-scripts\Headless Mode &amp; Sideloading\WalkAndUnGZ.bat" "%USERPROFILE%\AppData\Local\Temp\OnboardLogs"\RTDC4026\2017-02-07 &amp; 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</v>
      </c>
      <c r="AF44" s="82" t="str">
        <f>astrogrep_path&amp;" /spath="&amp;search_path&amp;" /stypes=""app*"&amp;B44&amp;"*"&amp;TEXT(I44-utc_offset/24,"YYYYMMDD")&amp;"*"" /stext="" "&amp;TEXT(I44-utc_offset/24,"HH")&amp;search_regexp&amp;""" /e /r /s"</f>
        <v>"C:\Program Files (x86)\AstroGrep\AstroGrep.exe" /spath="%USERPROFILE%\AppData\Local\Temp\OnboardLogs" /stypes="app*4026*20170207*" /stext=" 16:.+((SYSTEM_STATE.+slice.+state.+changed )|(ment ac)|(multiple cpu faults)|(system.+state.+changed )|(\[timeout)|(PRM\|1\|D)|(kpr)|(kdp)|(\|lc)|(penalty))" /e /r /s</v>
      </c>
      <c r="AG44" s="1" t="str">
        <f>IFERROR(IF(VALUE(LEFT(AD44,2))&lt;=2,"EC",IF(OR(VALUE(LEFT(AD44,2))=8,VALUE(LEFT(AD44,2))=18),"NW","Other")),"Other")</f>
        <v>EC</v>
      </c>
      <c r="AH44" s="86" t="str">
        <f t="shared" si="3"/>
        <v>"%USERPROFILE%\Documents\GitHub\eaglep3\Utilities\RefineRTDCRunTimes.py" --tripid 132-07 --locoid 4026 --swversion DE.1.0.8.0 --startMP 204:233008 --initTime 2017-02-07T08:17:12 --startdatetime 2017-02-07T08:27:08 --delay 0 --endMP 204:149 --enddatetime 2017-02-07T09:05:15 --enforcementcount 0 &gt;&gt;C:\Users\stu\Documents\GitHub\eaglep3-reporting\EC\2017-02-07-refined-times.txt</v>
      </c>
      <c r="AI44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{"issue":{"subject":"","project_id":79,"tracker_id":40,"status_id":1,"priority_id":2,"assigned_to_id":23,"start_date":"2017-02-07","description":"","custom_fields":[{"id":1,"name":"Subdivision","value":"EC"},{"id":4,"name":"Milepost","value":"0.0149"},{"id":17,"name":"Train ID","value":"132-07"},{"id":16,"name":"Locomotive ID","value":"4026"},{"id":130,"name":"Impact","value":""},{"id":150,"name":"Time of Event (Mountain Time)","value":"09:05:15"},{"id":151,"name":"Denver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48"/>
      <c r="AK44" s="48"/>
      <c r="AL44" s="48"/>
      <c r="AM44" s="158" t="str">
        <f t="shared" si="5"/>
        <v>start /low /b %USERPROFILE%\Documents\GitHub\eaglep3\Utilities\DownloadLogsFromS3.py --loco 4026 --day 2017-02-07</v>
      </c>
      <c r="AN44" s="167" t="str">
        <f>"grep -SE -B400 ""CHR.+\|PRM\|1\|D.+(SWITCH|SIGNAL).+UNKNOWN"" "&amp;search_path&amp;"\RTDC"&amp;B44&amp;"\*"&amp;B44&amp;"*"&amp;TEXT(AVERAGE(F44,I44)-utc_offset/24,"YYYYMMDD")&amp;"*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"%USERPROFILE%\AppData\Local\Temp\OnboardLogs"\RTDC4026\*4026*20170207* | grep -SE "(Enforcement Action)|(\[TIMEOUT)|(CHR.+\|PRM\|1\|D.+(SWITCH|SIGNAL).+UNKNOWN)" - &gt;&gt; 2017-02-07-UncaughtWiMAX.txt</v>
      </c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3" t="s">
        <v>547</v>
      </c>
      <c r="B45" s="7">
        <v>4046</v>
      </c>
      <c r="C45" s="21" t="s">
        <v>193</v>
      </c>
      <c r="D45" s="21" t="s">
        <v>356</v>
      </c>
      <c r="E45" s="13">
        <v>42773.318564814814</v>
      </c>
      <c r="F45" s="13">
        <v>42773.323530092595</v>
      </c>
      <c r="G45" s="7">
        <v>1</v>
      </c>
      <c r="H45" s="21" t="s">
        <v>390</v>
      </c>
      <c r="I45" s="13">
        <v>42773.347974537035</v>
      </c>
      <c r="J45" s="7">
        <v>0</v>
      </c>
      <c r="K45" s="98" t="str">
        <f>IF(ISEVEN(B45),(B45-1)&amp;"/"&amp;B45,B45&amp;"/"&amp;(B45+1))</f>
        <v>4045/4046</v>
      </c>
      <c r="L45" s="21" t="str">
        <f>VLOOKUP(A45,'Trips&amp;Operators'!$C$1:$G$99999,5,FALSE)</f>
        <v>STARKS ANGELINA</v>
      </c>
      <c r="M45" s="6">
        <f>I45-F45</f>
        <v>2.4444444439723156E-2</v>
      </c>
      <c r="N45" s="7">
        <f>24*60*SUM($M45:$M45)</f>
        <v>35.199999993201345</v>
      </c>
      <c r="O45" s="7"/>
      <c r="P45" s="7"/>
      <c r="Q45" s="22"/>
      <c r="R45" s="22"/>
      <c r="S45" s="31">
        <f>SUM(U45:U45)/IF(AG45="EC",12,1)</f>
        <v>1</v>
      </c>
      <c r="T45" s="46" t="str">
        <f>IF(ISEVEN(LEFT(AD45,4)),"Southbound","NorthBound")</f>
        <v>NorthBound</v>
      </c>
      <c r="U45" s="190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191" t="str">
        <f>"https://d0f6bd738d7f1b3e5a7ca70fe4ff75f0.us-east-1.aws.found.io/app/kibana#/discover/Steve-Slow-Train-Analysis-(2080s-and-2083s)?_g="&amp;"(refreshInterval:(display:Off,pause:!f,section:0,value:0),time:(from:'"&amp;TEXT(E45-1/24,"yyyy-MM-DDThh:mm:ss")&amp;utc_offset&amp;"00"&amp;"',mode:absolute,to:'"&amp;TEXT(I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45&amp;"%22')),sort:!(Time.ISO8601,asc))"</f>
        <v>https://d0f6bd738d7f1b3e5a7ca70fe4ff75f0.us-east-1.aws.found.io/app/kibana#/discover/Steve-Slow-Train-Analysis-(2080s-and-2083s)?_g=(refreshInterval:(display:Off,pause:!f,section:0,value:0),time:(from:'2017-02-07T06:38:44-0700',mode:absolute,to:'2017-02-07T09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45" s="192" t="str">
        <f>IF(AA45&lt;IF(AG45="EC",23,5.65),"Y","N")</f>
        <v>N</v>
      </c>
      <c r="X45" s="192">
        <f>VALUE(LEFT(AD45,4))-VALUE(LEFT(AD44,4))</f>
        <v>1</v>
      </c>
      <c r="Y45" s="62">
        <f>RIGHT(D45,LEN(D45)-4)/10000</f>
        <v>4.3499999999999997E-2</v>
      </c>
      <c r="Z45" s="62">
        <f>RIGHT(H45,LEN(H45)-4)/10000</f>
        <v>23.329499999999999</v>
      </c>
      <c r="AA45" s="62">
        <f>ABS(Z45-Y45)</f>
        <v>23.285999999999998</v>
      </c>
      <c r="AB45" s="59" t="e">
        <f>VLOOKUP(A45,Enforcements!$C$7:$K$14,8,0)</f>
        <v>#N/A</v>
      </c>
      <c r="AC45" s="55" t="e">
        <f>VLOOKUP(A45,Enforcements!$C$7:$E$14,3,0)</f>
        <v>#N/A</v>
      </c>
      <c r="AD45" s="56" t="str">
        <f>IF(LEN(A45)=6,"0"&amp;A45,A45)</f>
        <v>0133-07</v>
      </c>
      <c r="AE45" s="85" t="str">
        <f>"aws s3 cp "&amp;s3_bucket&amp;"/RTDC"&amp;B45&amp;"/ "&amp;search_path&amp;"\RTDC"&amp;B45&amp;"\"&amp;TEXT(F45,"YYYY-MM-DD")&amp;" --exclude ""*"" --recursive --include ""*"&amp;TEXT(F45,"YYYYMMDD")&amp;"*"" &amp; """&amp;walkandungz&amp;""" "&amp;search_path&amp;"\RTDC"&amp;B45&amp;"\"&amp;TEXT(F45,"YYYY-MM-DD")
&amp;" &amp; "&amp;"aws s3 cp "&amp;s3_bucket&amp;"/RTDC"&amp;B45&amp;"/ "&amp;search_path&amp;"\RTDC"&amp;B45&amp;"\"&amp;TEXT(F45+1,"YYYY-MM-DD")&amp;" --exclude ""*"" --recursive --include ""*"&amp;TEXT(F45+1,"YYYYMMDD")&amp;"*"" &amp; """&amp;walkandungz&amp;""" "&amp;search_path&amp;"\RTDC"&amp;B45&amp;"\"&amp;TEXT(F45+1,"YYYY-MM-DD")</f>
        <v>aws s3 cp s3://rtdc.mdm.uploadarchive.raw/RTDC4046/ "%USERPROFILE%\AppData\Local\Temp\OnboardLogs"\RTDC4046\2017-02-07 --exclude "*" --recursive --include "*20170207*" &amp; "%USERPROFILE%\Documents\GitHub\mrs-test-scripts\Headless Mode &amp; Sideloading\WalkAndUnGZ.bat" "%USERPROFILE%\AppData\Local\Temp\OnboardLogs"\RTDC4046\2017-02-07 &amp; aws s3 cp s3://rtdc.mdm.uploadarchive.raw/RTDC4046/ "%USERPROFILE%\AppData\Local\Temp\OnboardLogs"\RTDC4046\2017-02-08 --exclude "*" --recursive --include "*20170208*" &amp; "%USERPROFILE%\Documents\GitHub\mrs-test-scripts\Headless Mode &amp; Sideloading\WalkAndUnGZ.bat" "%USERPROFILE%\AppData\Local\Temp\OnboardLogs"\RTDC4046\2017-02-08</v>
      </c>
      <c r="AF45" s="82" t="str">
        <f>astrogrep_path&amp;" /spath="&amp;search_path&amp;" /stypes=""app*"&amp;B45&amp;"*"&amp;TEXT(I45-utc_offset/24,"YYYYMMDD")&amp;"*"" /stext="" "&amp;TEXT(I45-utc_offset/24,"HH")&amp;search_regexp&amp;""" /e /r /s"</f>
        <v>"C:\Program Files (x86)\AstroGrep\AstroGrep.exe" /spath="%USERPROFILE%\AppData\Local\Temp\OnboardLogs" /stypes="app*4046*20170207*" /stext=" 15:.+((SYSTEM_STATE.+slice.+state.+changed )|(ment ac)|(multiple cpu faults)|(system.+state.+changed )|(\[timeout)|(PRM\|1\|D)|(kpr)|(kdp)|(\|lc)|(penalty))" /e /r /s</v>
      </c>
      <c r="AG45" s="1" t="str">
        <f>IFERROR(IF(VALUE(LEFT(AD45,2))&lt;=2,"EC",IF(OR(VALUE(LEFT(AD45,2))=8,VALUE(LEFT(AD45,2))=18),"NW","Other")),"Other")</f>
        <v>EC</v>
      </c>
      <c r="AH45" s="86" t="str">
        <f t="shared" si="3"/>
        <v>"%USERPROFILE%\Documents\GitHub\eaglep3\Utilities\RefineRTDCRunTimes.py" --tripid 133-07 --locoid 4046 --swversion DE.1.0.8.0 --startMP 204:435 --initTime 2017-02-07T07:38:44 --startdatetime 2017-02-07T07:45:53 --delay 1 --endMP 204:233295 --enddatetime 2017-02-07T08:21:05 --enforcementcount 0 &gt;&gt;C:\Users\stu\Documents\GitHub\eaglep3-reporting\EC\2017-02-07-refined-times.txt</v>
      </c>
      <c r="AI45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{"issue":{"subject":"","project_id":79,"tracker_id":40,"status_id":1,"priority_id":2,"assigned_to_id":23,"start_date":"2017-02-07","description":"","custom_fields":[{"id":1,"name":"Subdivision","value":"EC"},{"id":4,"name":"Milepost","value":"23.3295"},{"id":17,"name":"Train ID","value":"133-07"},{"id":16,"name":"Locomotive ID","value":"4046"},{"id":130,"name":"Impact","value":""},{"id":150,"name":"Time of Event (Mountain Time)","value":"08:21:05"},{"id":151,"name":"Denver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48"/>
      <c r="AK45" s="48"/>
      <c r="AL45" s="48"/>
      <c r="AM45" s="158" t="str">
        <f t="shared" si="5"/>
        <v>start /low /b %USERPROFILE%\Documents\GitHub\eaglep3\Utilities\DownloadLogsFromS3.py --loco 4046 --day 2017-02-07</v>
      </c>
      <c r="AN45" s="167" t="str">
        <f>"grep -SE -B400 ""CHR.+\|PRM\|1\|D.+(SWITCH|SIGNAL).+UNKNOWN"" "&amp;search_path&amp;"\RTDC"&amp;B45&amp;"\*"&amp;B45&amp;"*"&amp;TEXT(AVERAGE(F45,I45)-utc_offset/24,"YYYYMMDD")&amp;"*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"%USERPROFILE%\AppData\Local\Temp\OnboardLogs"\RTDC4046\*4046*20170207* | grep -SE "(Enforcement Action)|(\[TIMEOUT)|(CHR.+\|PRM\|1\|D.+(SWITCH|SIGNAL).+UNKNOWN)" - &gt;&gt; 2017-02-07-UncaughtWiMAX.txt</v>
      </c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3" t="s">
        <v>560</v>
      </c>
      <c r="B46" s="7">
        <v>4045</v>
      </c>
      <c r="C46" s="21" t="s">
        <v>193</v>
      </c>
      <c r="D46" s="21" t="s">
        <v>729</v>
      </c>
      <c r="E46" s="13">
        <v>42773.358796296299</v>
      </c>
      <c r="F46" s="13">
        <v>42773.362581018519</v>
      </c>
      <c r="G46" s="7">
        <v>1</v>
      </c>
      <c r="H46" s="21" t="s">
        <v>199</v>
      </c>
      <c r="I46" s="13">
        <v>42773.389085648145</v>
      </c>
      <c r="J46" s="7">
        <v>0</v>
      </c>
      <c r="K46" s="98" t="str">
        <f>IF(ISEVEN(B46),(B46-1)&amp;"/"&amp;B46,B46&amp;"/"&amp;(B46+1))</f>
        <v>4045/4046</v>
      </c>
      <c r="L46" s="21" t="str">
        <f>VLOOKUP(A46,'Trips&amp;Operators'!$C$1:$G$99999,5,FALSE)</f>
        <v>STARKS ANGELINA</v>
      </c>
      <c r="M46" s="6">
        <f>I46-F46</f>
        <v>2.6504629626288079E-2</v>
      </c>
      <c r="N46" s="7">
        <f>24*60*SUM($M46:$M46)</f>
        <v>38.166666661854833</v>
      </c>
      <c r="O46" s="7"/>
      <c r="P46" s="7"/>
      <c r="Q46" s="22"/>
      <c r="R46" s="22"/>
      <c r="S46" s="31">
        <f>SUM(U46:U46)/IF(AG46="EC",12,1)</f>
        <v>1</v>
      </c>
      <c r="T46" s="46" t="str">
        <f>IF(ISEVEN(LEFT(AD46,4)),"Southbound","NorthBound")</f>
        <v>Southbound</v>
      </c>
      <c r="U46" s="190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191" t="str">
        <f>"https://d0f6bd738d7f1b3e5a7ca70fe4ff75f0.us-east-1.aws.found.io/app/kibana#/discover/Steve-Slow-Train-Analysis-(2080s-and-2083s)?_g="&amp;"(refreshInterval:(display:Off,pause:!f,section:0,value:0),time:(from:'"&amp;TEXT(E46-1/24,"yyyy-MM-DDThh:mm:ss")&amp;utc_offset&amp;"00"&amp;"',mode:absolute,to:'"&amp;TEXT(I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46&amp;"%22')),sort:!(Time.ISO8601,asc))"</f>
        <v>https://d0f6bd738d7f1b3e5a7ca70fe4ff75f0.us-east-1.aws.found.io/app/kibana#/discover/Steve-Slow-Train-Analysis-(2080s-and-2083s)?_g=(refreshInterval:(display:Off,pause:!f,section:0,value:0),time:(from:'2017-02-07T07:36:40-0700',mode:absolute,to:'2017-02-07T10:20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46" s="192" t="str">
        <f>IF(AA46&lt;IF(AG46="EC",23,5.65),"Y","N")</f>
        <v>N</v>
      </c>
      <c r="X46" s="192">
        <f>VALUE(LEFT(AD46,4))-VALUE(LEFT(AD45,4))</f>
        <v>1</v>
      </c>
      <c r="Y46" s="62">
        <f>RIGHT(D46,LEN(D46)-4)/10000</f>
        <v>23.297999999999998</v>
      </c>
      <c r="Z46" s="62">
        <f>RIGHT(H46,LEN(H46)-4)/10000</f>
        <v>1.4500000000000001E-2</v>
      </c>
      <c r="AA46" s="62">
        <f>ABS(Z46-Y46)</f>
        <v>23.283499999999997</v>
      </c>
      <c r="AB46" s="59" t="e">
        <f>VLOOKUP(A46,Enforcements!$C$7:$K$14,8,0)</f>
        <v>#N/A</v>
      </c>
      <c r="AC46" s="55" t="e">
        <f>VLOOKUP(A46,Enforcements!$C$7:$E$14,3,0)</f>
        <v>#N/A</v>
      </c>
      <c r="AD46" s="56" t="str">
        <f>IF(LEN(A46)=6,"0"&amp;A46,A46)</f>
        <v>0134-07</v>
      </c>
      <c r="AE46" s="85" t="str">
        <f>"aws s3 cp "&amp;s3_bucket&amp;"/RTDC"&amp;B46&amp;"/ "&amp;search_path&amp;"\RTDC"&amp;B46&amp;"\"&amp;TEXT(F46,"YYYY-MM-DD")&amp;" --exclude ""*"" --recursive --include ""*"&amp;TEXT(F46,"YYYYMMDD")&amp;"*"" &amp; """&amp;walkandungz&amp;""" "&amp;search_path&amp;"\RTDC"&amp;B46&amp;"\"&amp;TEXT(F46,"YYYY-MM-DD")
&amp;" &amp; "&amp;"aws s3 cp "&amp;s3_bucket&amp;"/RTDC"&amp;B46&amp;"/ "&amp;search_path&amp;"\RTDC"&amp;B46&amp;"\"&amp;TEXT(F46+1,"YYYY-MM-DD")&amp;" --exclude ""*"" --recursive --include ""*"&amp;TEXT(F46+1,"YYYYMMDD")&amp;"*"" &amp; """&amp;walkandungz&amp;""" "&amp;search_path&amp;"\RTDC"&amp;B46&amp;"\"&amp;TEXT(F46+1,"YYYY-MM-DD")</f>
        <v>aws s3 cp s3://rtdc.mdm.uploadarchive.raw/RTDC4045/ "%USERPROFILE%\AppData\Local\Temp\OnboardLogs"\RTDC4045\2017-02-07 --exclude "*" --recursive --include "*20170207*" &amp; "%USERPROFILE%\Documents\GitHub\mrs-test-scripts\Headless Mode &amp; Sideloading\WalkAndUnGZ.bat" "%USERPROFILE%\AppData\Local\Temp\OnboardLogs"\RTDC4045\2017-02-07 &amp; aws s3 cp s3://rtdc.mdm.uploadarchive.raw/RTDC4045/ "%USERPROFILE%\AppData\Local\Temp\OnboardLogs"\RTDC4045\2017-02-08 --exclude "*" --recursive --include "*20170208*" &amp; "%USERPROFILE%\Documents\GitHub\mrs-test-scripts\Headless Mode &amp; Sideloading\WalkAndUnGZ.bat" "%USERPROFILE%\AppData\Local\Temp\OnboardLogs"\RTDC4045\2017-02-08</v>
      </c>
      <c r="AF46" s="82" t="str">
        <f>astrogrep_path&amp;" /spath="&amp;search_path&amp;" /stypes=""app*"&amp;B46&amp;"*"&amp;TEXT(I46-utc_offset/24,"YYYYMMDD")&amp;"*"" /stext="" "&amp;TEXT(I46-utc_offset/24,"HH")&amp;search_regexp&amp;""" /e /r /s"</f>
        <v>"C:\Program Files (x86)\AstroGrep\AstroGrep.exe" /spath="%USERPROFILE%\AppData\Local\Temp\OnboardLogs" /stypes="app*4045*20170207*" /stext=" 16:.+((SYSTEM_STATE.+slice.+state.+changed )|(ment ac)|(multiple cpu faults)|(system.+state.+changed )|(\[timeout)|(PRM\|1\|D)|(kpr)|(kdp)|(\|lc)|(penalty))" /e /r /s</v>
      </c>
      <c r="AG46" s="1" t="str">
        <f>IFERROR(IF(VALUE(LEFT(AD46,2))&lt;=2,"EC",IF(OR(VALUE(LEFT(AD46,2))=8,VALUE(LEFT(AD46,2))=18),"NW","Other")),"Other")</f>
        <v>EC</v>
      </c>
      <c r="AH46" s="86" t="str">
        <f t="shared" si="3"/>
        <v>"%USERPROFILE%\Documents\GitHub\eaglep3\Utilities\RefineRTDCRunTimes.py" --tripid 134-07 --locoid 4045 --swversion DE.1.0.8.0 --startMP 204:232980 --initTime 2017-02-07T08:36:40 --startdatetime 2017-02-07T08:42:07 --delay 1 --endMP 204:145 --enddatetime 2017-02-07T09:20:17 --enforcementcount 0 &gt;&gt;C:\Users\stu\Documents\GitHub\eaglep3-reporting\EC\2017-02-07-refined-times.txt</v>
      </c>
      <c r="AI46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{"issue":{"subject":"","project_id":79,"tracker_id":40,"status_id":1,"priority_id":2,"assigned_to_id":23,"start_date":"2017-02-07","description":"","custom_fields":[{"id":1,"name":"Subdivision","value":"EC"},{"id":4,"name":"Milepost","value":"0.0145"},{"id":17,"name":"Train ID","value":"134-07"},{"id":16,"name":"Locomotive ID","value":"4045"},{"id":130,"name":"Impact","value":""},{"id":150,"name":"Time of Event (Mountain Time)","value":"09:20:17"},{"id":151,"name":"Denver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48"/>
      <c r="AK46" s="48"/>
      <c r="AL46" s="48"/>
      <c r="AM46" s="158" t="str">
        <f t="shared" si="5"/>
        <v>start /low /b %USERPROFILE%\Documents\GitHub\eaglep3\Utilities\DownloadLogsFromS3.py --loco 4045 --day 2017-02-07</v>
      </c>
      <c r="AN46" s="167" t="str">
        <f>"grep -SE -B400 ""CHR.+\|PRM\|1\|D.+(SWITCH|SIGNAL).+UNKNOWN"" "&amp;search_path&amp;"\RTDC"&amp;B46&amp;"\*"&amp;B46&amp;"*"&amp;TEXT(AVERAGE(F46,I46)-utc_offset/24,"YYYYMMDD")&amp;"*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"%USERPROFILE%\AppData\Local\Temp\OnboardLogs"\RTDC4045\*4045*20170207* | grep -SE "(Enforcement Action)|(\[TIMEOUT)|(CHR.+\|PRM\|1\|D.+(SWITCH|SIGNAL).+UNKNOWN)" - &gt;&gt; 2017-02-07-UncaughtWiMAX.txt</v>
      </c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3" t="s">
        <v>468</v>
      </c>
      <c r="B47" s="7">
        <v>4040</v>
      </c>
      <c r="C47" s="21" t="s">
        <v>193</v>
      </c>
      <c r="D47" s="21" t="s">
        <v>730</v>
      </c>
      <c r="E47" s="13">
        <v>42773.330694444441</v>
      </c>
      <c r="F47" s="13">
        <v>42773.333506944444</v>
      </c>
      <c r="G47" s="7">
        <v>1</v>
      </c>
      <c r="H47" s="21" t="s">
        <v>436</v>
      </c>
      <c r="I47" s="13">
        <v>42773.358935185184</v>
      </c>
      <c r="J47" s="7">
        <v>0</v>
      </c>
      <c r="K47" s="98" t="str">
        <f>IF(ISEVEN(B47),(B47-1)&amp;"/"&amp;B47,B47&amp;"/"&amp;(B47+1))</f>
        <v>4039/4040</v>
      </c>
      <c r="L47" s="21" t="str">
        <f>VLOOKUP(A47,'Trips&amp;Operators'!$C$1:$G$99999,5,FALSE)</f>
        <v>BONDS REYNALDO</v>
      </c>
      <c r="M47" s="6">
        <f>I47-F47</f>
        <v>2.5428240740438923E-2</v>
      </c>
      <c r="N47" s="7">
        <f>24*60*SUM($M47:$M47)</f>
        <v>36.616666666232049</v>
      </c>
      <c r="O47" s="7"/>
      <c r="P47" s="7"/>
      <c r="Q47" s="22"/>
      <c r="R47" s="22"/>
      <c r="S47" s="31">
        <f>SUM(U47:U47)/IF(AG47="EC",12,1)</f>
        <v>1</v>
      </c>
      <c r="T47" s="46" t="str">
        <f>IF(ISEVEN(LEFT(AD47,4)),"Southbound","NorthBound")</f>
        <v>NorthBound</v>
      </c>
      <c r="U47" s="190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191" t="str">
        <f>"https://d0f6bd738d7f1b3e5a7ca70fe4ff75f0.us-east-1.aws.found.io/app/kibana#/discover/Steve-Slow-Train-Analysis-(2080s-and-2083s)?_g="&amp;"(refreshInterval:(display:Off,pause:!f,section:0,value:0),time:(from:'"&amp;TEXT(E47-1/24,"yyyy-MM-DDThh:mm:ss")&amp;utc_offset&amp;"00"&amp;"',mode:absolute,to:'"&amp;TEXT(I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47&amp;"%22')),sort:!(Time.ISO8601,asc))"</f>
        <v>https://d0f6bd738d7f1b3e5a7ca70fe4ff75f0.us-east-1.aws.found.io/app/kibana#/discover/Steve-Slow-Train-Analysis-(2080s-and-2083s)?_g=(refreshInterval:(display:Off,pause:!f,section:0,value:0),time:(from:'2017-02-07T06:56:12-0700',mode:absolute,to:'2017-02-07T09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47" s="192" t="str">
        <f>IF(AA47&lt;IF(AG47="EC",23,5.65),"Y","N")</f>
        <v>N</v>
      </c>
      <c r="X47" s="192">
        <f>VALUE(LEFT(AD47,4))-VALUE(LEFT(AD46,4))</f>
        <v>1</v>
      </c>
      <c r="Y47" s="62">
        <f>RIGHT(D47,LEN(D47)-4)/10000</f>
        <v>4.2700000000000002E-2</v>
      </c>
      <c r="Z47" s="62">
        <f>RIGHT(H47,LEN(H47)-4)/10000</f>
        <v>23.329799999999999</v>
      </c>
      <c r="AA47" s="62">
        <f>ABS(Z47-Y47)</f>
        <v>23.287099999999999</v>
      </c>
      <c r="AB47" s="59" t="e">
        <f>VLOOKUP(A47,Enforcements!$C$7:$K$14,8,0)</f>
        <v>#N/A</v>
      </c>
      <c r="AC47" s="55" t="e">
        <f>VLOOKUP(A47,Enforcements!$C$7:$E$14,3,0)</f>
        <v>#N/A</v>
      </c>
      <c r="AD47" s="56" t="str">
        <f>IF(LEN(A47)=6,"0"&amp;A47,A47)</f>
        <v>0135-07</v>
      </c>
      <c r="AE47" s="85" t="str">
        <f>"aws s3 cp "&amp;s3_bucket&amp;"/RTDC"&amp;B47&amp;"/ "&amp;search_path&amp;"\RTDC"&amp;B47&amp;"\"&amp;TEXT(F47,"YYYY-MM-DD")&amp;" --exclude ""*"" --recursive --include ""*"&amp;TEXT(F47,"YYYYMMDD")&amp;"*"" &amp; """&amp;walkandungz&amp;""" "&amp;search_path&amp;"\RTDC"&amp;B47&amp;"\"&amp;TEXT(F47,"YYYY-MM-DD")
&amp;" &amp; "&amp;"aws s3 cp "&amp;s3_bucket&amp;"/RTDC"&amp;B47&amp;"/ "&amp;search_path&amp;"\RTDC"&amp;B47&amp;"\"&amp;TEXT(F47+1,"YYYY-MM-DD")&amp;" --exclude ""*"" --recursive --include ""*"&amp;TEXT(F47+1,"YYYYMMDD")&amp;"*"" &amp; """&amp;walkandungz&amp;""" "&amp;search_path&amp;"\RTDC"&amp;B47&amp;"\"&amp;TEXT(F47+1,"YYYY-MM-DD")</f>
        <v>aws s3 cp s3://rtdc.mdm.uploadarchive.raw/RTDC4040/ "%USERPROFILE%\AppData\Local\Temp\OnboardLogs"\RTDC4040\2017-02-07 --exclude "*" --recursive --include "*20170207*" &amp; "%USERPROFILE%\Documents\GitHub\mrs-test-scripts\Headless Mode &amp; Sideloading\WalkAndUnGZ.bat" "%USERPROFILE%\AppData\Local\Temp\OnboardLogs"\RTDC4040\2017-02-07 &amp; aws s3 cp s3://rtdc.mdm.uploadarchive.raw/RTDC4040/ "%USERPROFILE%\AppData\Local\Temp\OnboardLogs"\RTDC4040\2017-02-08 --exclude "*" --recursive --include "*20170208*" &amp; "%USERPROFILE%\Documents\GitHub\mrs-test-scripts\Headless Mode &amp; Sideloading\WalkAndUnGZ.bat" "%USERPROFILE%\AppData\Local\Temp\OnboardLogs"\RTDC4040\2017-02-08</v>
      </c>
      <c r="AF47" s="82" t="str">
        <f>astrogrep_path&amp;" /spath="&amp;search_path&amp;" /stypes=""app*"&amp;B47&amp;"*"&amp;TEXT(I47-utc_offset/24,"YYYYMMDD")&amp;"*"" /stext="" "&amp;TEXT(I47-utc_offset/24,"HH")&amp;search_regexp&amp;""" /e /r /s"</f>
        <v>"C:\Program Files (x86)\AstroGrep\AstroGrep.exe" /spath="%USERPROFILE%\AppData\Local\Temp\OnboardLogs" /stypes="app*4040*20170207*" /stext=" 15:.+((SYSTEM_STATE.+slice.+state.+changed )|(ment ac)|(multiple cpu faults)|(system.+state.+changed )|(\[timeout)|(PRM\|1\|D)|(kpr)|(kdp)|(\|lc)|(penalty))" /e /r /s</v>
      </c>
      <c r="AG47" s="1" t="str">
        <f>IFERROR(IF(VALUE(LEFT(AD47,2))&lt;=2,"EC",IF(OR(VALUE(LEFT(AD47,2))=8,VALUE(LEFT(AD47,2))=18),"NW","Other")),"Other")</f>
        <v>EC</v>
      </c>
      <c r="AH47" s="86" t="str">
        <f t="shared" si="3"/>
        <v>"%USERPROFILE%\Documents\GitHub\eaglep3\Utilities\RefineRTDCRunTimes.py" --tripid 135-07 --locoid 4040 --swversion DE.1.0.8.0 --startMP 204:427 --initTime 2017-02-07T07:56:12 --startdatetime 2017-02-07T08:00:15 --delay 1 --endMP 204:233298 --enddatetime 2017-02-07T08:36:52 --enforcementcount 0 &gt;&gt;C:\Users\stu\Documents\GitHub\eaglep3-reporting\EC\2017-02-07-refined-times.txt</v>
      </c>
      <c r="AI47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{"issue":{"subject":"","project_id":79,"tracker_id":40,"status_id":1,"priority_id":2,"assigned_to_id":23,"start_date":"2017-02-07","description":"","custom_fields":[{"id":1,"name":"Subdivision","value":"EC"},{"id":4,"name":"Milepost","value":"23.3298"},{"id":17,"name":"Train ID","value":"135-07"},{"id":16,"name":"Locomotive ID","value":"4040"},{"id":130,"name":"Impact","value":""},{"id":150,"name":"Time of Event (Mountain Time)","value":"08:36:52"},{"id":151,"name":"Denver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48"/>
      <c r="AK47" s="48"/>
      <c r="AL47" s="48"/>
      <c r="AM47" s="158" t="str">
        <f t="shared" si="5"/>
        <v>start /low /b %USERPROFILE%\Documents\GitHub\eaglep3\Utilities\DownloadLogsFromS3.py --loco 4040 --day 2017-02-07</v>
      </c>
      <c r="AN47" s="167" t="str">
        <f>"grep -SE -B400 ""CHR.+\|PRM\|1\|D.+(SWITCH|SIGNAL).+UNKNOWN"" "&amp;search_path&amp;"\RTDC"&amp;B47&amp;"\*"&amp;B47&amp;"*"&amp;TEXT(AVERAGE(F47,I47)-utc_offset/24,"YYYYMMDD")&amp;"*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"%USERPROFILE%\AppData\Local\Temp\OnboardLogs"\RTDC4040\*4040*20170207* | grep -SE "(Enforcement Action)|(\[TIMEOUT)|(CHR.+\|PRM\|1\|D.+(SWITCH|SIGNAL).+UNKNOWN)" - &gt;&gt; 2017-02-07-UncaughtWiMAX.txt</v>
      </c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3" t="s">
        <v>561</v>
      </c>
      <c r="B48" s="7">
        <v>4039</v>
      </c>
      <c r="C48" s="21" t="s">
        <v>193</v>
      </c>
      <c r="D48" s="21" t="s">
        <v>332</v>
      </c>
      <c r="E48" s="13">
        <v>42773.368888888886</v>
      </c>
      <c r="F48" s="13">
        <v>42773.372430555559</v>
      </c>
      <c r="G48" s="7">
        <v>1</v>
      </c>
      <c r="H48" s="21" t="s">
        <v>184</v>
      </c>
      <c r="I48" s="13">
        <v>42773.399652777778</v>
      </c>
      <c r="J48" s="7">
        <v>0</v>
      </c>
      <c r="K48" s="98" t="str">
        <f>IF(ISEVEN(B48),(B48-1)&amp;"/"&amp;B48,B48&amp;"/"&amp;(B48+1))</f>
        <v>4039/4040</v>
      </c>
      <c r="L48" s="21" t="str">
        <f>VLOOKUP(A48,'Trips&amp;Operators'!$C$1:$G$99999,5,FALSE)</f>
        <v>BONDS REYNALDO</v>
      </c>
      <c r="M48" s="6">
        <f>I48-F48</f>
        <v>2.7222222219279502E-2</v>
      </c>
      <c r="N48" s="7">
        <f>24*60*SUM($M48:$M48)</f>
        <v>39.199999995762482</v>
      </c>
      <c r="O48" s="7"/>
      <c r="P48" s="7"/>
      <c r="Q48" s="22"/>
      <c r="R48" s="22"/>
      <c r="S48" s="31">
        <f>SUM(U48:U48)/IF(AG48="EC",12,1)</f>
        <v>1</v>
      </c>
      <c r="T48" s="46" t="str">
        <f>IF(ISEVEN(LEFT(AD48,4)),"Southbound","NorthBound")</f>
        <v>Southbound</v>
      </c>
      <c r="U48" s="190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191" t="str">
        <f>"https://d0f6bd738d7f1b3e5a7ca70fe4ff75f0.us-east-1.aws.found.io/app/kibana#/discover/Steve-Slow-Train-Analysis-(2080s-and-2083s)?_g="&amp;"(refreshInterval:(display:Off,pause:!f,section:0,value:0),time:(from:'"&amp;TEXT(E48-1/24,"yyyy-MM-DDThh:mm:ss")&amp;utc_offset&amp;"00"&amp;"',mode:absolute,to:'"&amp;TEXT(I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48&amp;"%22')),sort:!(Time.ISO8601,asc))"</f>
        <v>https://d0f6bd738d7f1b3e5a7ca70fe4ff75f0.us-east-1.aws.found.io/app/kibana#/discover/Steve-Slow-Train-Analysis-(2080s-and-2083s)?_g=(refreshInterval:(display:Off,pause:!f,section:0,value:0),time:(from:'2017-02-07T07:51:12-0700',mode:absolute,to:'2017-02-07T10:35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48" s="192" t="str">
        <f>IF(AA48&lt;IF(AG48="EC",23,5.65),"Y","N")</f>
        <v>N</v>
      </c>
      <c r="X48" s="192">
        <f>VALUE(LEFT(AD48,4))-VALUE(LEFT(AD47,4))</f>
        <v>1</v>
      </c>
      <c r="Y48" s="62">
        <f>RIGHT(D48,LEN(D48)-4)/10000</f>
        <v>23.299099999999999</v>
      </c>
      <c r="Z48" s="62">
        <f>RIGHT(H48,LEN(H48)-4)/10000</f>
        <v>1.49E-2</v>
      </c>
      <c r="AA48" s="62">
        <f>ABS(Z48-Y48)</f>
        <v>23.284199999999998</v>
      </c>
      <c r="AB48" s="59" t="e">
        <f>VLOOKUP(A48,Enforcements!$C$7:$K$14,8,0)</f>
        <v>#N/A</v>
      </c>
      <c r="AC48" s="55" t="e">
        <f>VLOOKUP(A48,Enforcements!$C$7:$E$14,3,0)</f>
        <v>#N/A</v>
      </c>
      <c r="AD48" s="56" t="str">
        <f>IF(LEN(A48)=6,"0"&amp;A48,A48)</f>
        <v>0136-07</v>
      </c>
      <c r="AE48" s="85" t="str">
        <f>"aws s3 cp "&amp;s3_bucket&amp;"/RTDC"&amp;B48&amp;"/ "&amp;search_path&amp;"\RTDC"&amp;B48&amp;"\"&amp;TEXT(F48,"YYYY-MM-DD")&amp;" --exclude ""*"" --recursive --include ""*"&amp;TEXT(F48,"YYYYMMDD")&amp;"*"" &amp; """&amp;walkandungz&amp;""" "&amp;search_path&amp;"\RTDC"&amp;B48&amp;"\"&amp;TEXT(F48,"YYYY-MM-DD")
&amp;" &amp; "&amp;"aws s3 cp "&amp;s3_bucket&amp;"/RTDC"&amp;B48&amp;"/ "&amp;search_path&amp;"\RTDC"&amp;B48&amp;"\"&amp;TEXT(F48+1,"YYYY-MM-DD")&amp;" --exclude ""*"" --recursive --include ""*"&amp;TEXT(F48+1,"YYYYMMDD")&amp;"*"" &amp; """&amp;walkandungz&amp;""" "&amp;search_path&amp;"\RTDC"&amp;B48&amp;"\"&amp;TEXT(F48+1,"YYYY-MM-DD")</f>
        <v>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 &amp; aws s3 cp s3://rtdc.mdm.uploadarchive.raw/RTDC4039/ "%USERPROFILE%\AppData\Local\Temp\OnboardLogs"\RTDC4039\2017-02-08 --exclude "*" --recursive --include "*20170208*" &amp; "%USERPROFILE%\Documents\GitHub\mrs-test-scripts\Headless Mode &amp; Sideloading\WalkAndUnGZ.bat" "%USERPROFILE%\AppData\Local\Temp\OnboardLogs"\RTDC4039\2017-02-08</v>
      </c>
      <c r="AF48" s="82" t="str">
        <f>astrogrep_path&amp;" /spath="&amp;search_path&amp;" /stypes=""app*"&amp;B48&amp;"*"&amp;TEXT(I48-utc_offset/24,"YYYYMMDD")&amp;"*"" /stext="" "&amp;TEXT(I48-utc_offset/24,"HH")&amp;search_regexp&amp;""" /e /r /s"</f>
        <v>"C:\Program Files (x86)\AstroGrep\AstroGrep.exe" /spath="%USERPROFILE%\AppData\Local\Temp\OnboardLogs" /stypes="app*4039*20170207*" /stext=" 16:.+((SYSTEM_STATE.+slice.+state.+changed )|(ment ac)|(multiple cpu faults)|(system.+state.+changed )|(\[timeout)|(PRM\|1\|D)|(kpr)|(kdp)|(\|lc)|(penalty))" /e /r /s</v>
      </c>
      <c r="AG48" s="1" t="str">
        <f>IFERROR(IF(VALUE(LEFT(AD48,2))&lt;=2,"EC",IF(OR(VALUE(LEFT(AD48,2))=8,VALUE(LEFT(AD48,2))=18),"NW","Other")),"Other")</f>
        <v>EC</v>
      </c>
      <c r="AH48" s="86" t="str">
        <f t="shared" si="3"/>
        <v>"%USERPROFILE%\Documents\GitHub\eaglep3\Utilities\RefineRTDCRunTimes.py" --tripid 136-07 --locoid 4039 --swversion DE.1.0.8.0 --startMP 204:232991 --initTime 2017-02-07T08:51:12 --startdatetime 2017-02-07T08:56:18 --delay 1 --endMP 204:149 --enddatetime 2017-02-07T09:35:30 --enforcementcount 0 &gt;&gt;C:\Users\stu\Documents\GitHub\eaglep3-reporting\EC\2017-02-07-refined-times.txt</v>
      </c>
      <c r="AI48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{"issue":{"subject":"","project_id":79,"tracker_id":40,"status_id":1,"priority_id":2,"assigned_to_id":23,"start_date":"2017-02-07","description":"","custom_fields":[{"id":1,"name":"Subdivision","value":"EC"},{"id":4,"name":"Milepost","value":"0.0149"},{"id":17,"name":"Train ID","value":"136-07"},{"id":16,"name":"Locomotive ID","value":"4039"},{"id":130,"name":"Impact","value":""},{"id":150,"name":"Time of Event (Mountain Time)","value":"09:35:30"},{"id":151,"name":"Denver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48"/>
      <c r="AK48" s="48"/>
      <c r="AL48" s="48"/>
      <c r="AM48" s="158" t="str">
        <f t="shared" si="5"/>
        <v>start /low /b %USERPROFILE%\Documents\GitHub\eaglep3\Utilities\DownloadLogsFromS3.py --loco 4039 --day 2017-02-07</v>
      </c>
      <c r="AN48" s="167" t="str">
        <f>"grep -SE -B400 ""CHR.+\|PRM\|1\|D.+(SWITCH|SIGNAL).+UNKNOWN"" "&amp;search_path&amp;"\RTDC"&amp;B48&amp;"\*"&amp;B48&amp;"*"&amp;TEXT(AVERAGE(F48,I48)-utc_offset/24,"YYYYMMDD")&amp;"*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"%USERPROFILE%\AppData\Local\Temp\OnboardLogs"\RTDC4039\*4039*20170207* | grep -SE "(Enforcement Action)|(\[TIMEOUT)|(CHR.+\|PRM\|1\|D.+(SWITCH|SIGNAL).+UNKNOWN)" - &gt;&gt; 2017-02-07-UncaughtWiMAX.txt</v>
      </c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3" t="s">
        <v>551</v>
      </c>
      <c r="B49" s="7">
        <v>4011</v>
      </c>
      <c r="C49" s="21" t="s">
        <v>193</v>
      </c>
      <c r="D49" s="21" t="s">
        <v>221</v>
      </c>
      <c r="E49" s="13">
        <v>42773.33971064815</v>
      </c>
      <c r="F49" s="13">
        <v>42773.343912037039</v>
      </c>
      <c r="G49" s="7">
        <v>1</v>
      </c>
      <c r="H49" s="21" t="s">
        <v>222</v>
      </c>
      <c r="I49" s="13">
        <v>42773.368668981479</v>
      </c>
      <c r="J49" s="7">
        <v>0</v>
      </c>
      <c r="K49" s="98" t="str">
        <f>IF(ISEVEN(B49),(B49-1)&amp;"/"&amp;B49,B49&amp;"/"&amp;(B49+1))</f>
        <v>4011/4012</v>
      </c>
      <c r="L49" s="21" t="str">
        <f>VLOOKUP(A49,'Trips&amp;Operators'!$C$1:$G$99999,5,FALSE)</f>
        <v>DAVIS WENDY</v>
      </c>
      <c r="M49" s="6">
        <f>I49-F49</f>
        <v>2.4756944440014195E-2</v>
      </c>
      <c r="N49" s="7">
        <f>24*60*SUM($M49:$M49)</f>
        <v>35.64999999362044</v>
      </c>
      <c r="O49" s="7"/>
      <c r="P49" s="7"/>
      <c r="Q49" s="22"/>
      <c r="R49" s="22"/>
      <c r="S49" s="31">
        <f>SUM(U49:U49)/IF(AG49="EC",12,1)</f>
        <v>1</v>
      </c>
      <c r="T49" s="46" t="str">
        <f>IF(ISEVEN(LEFT(AD49,4)),"Southbound","NorthBound")</f>
        <v>NorthBound</v>
      </c>
      <c r="U49" s="190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191" t="str">
        <f>"https://d0f6bd738d7f1b3e5a7ca70fe4ff75f0.us-east-1.aws.found.io/app/kibana#/discover/Steve-Slow-Train-Analysis-(2080s-and-2083s)?_g="&amp;"(refreshInterval:(display:Off,pause:!f,section:0,value:0),time:(from:'"&amp;TEXT(E49-1/24,"yyyy-MM-DDThh:mm:ss")&amp;utc_offset&amp;"00"&amp;"',mode:absolute,to:'"&amp;TEXT(I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49&amp;"%22')),sort:!(Time.ISO8601,asc))"</f>
        <v>https://d0f6bd738d7f1b3e5a7ca70fe4ff75f0.us-east-1.aws.found.io/app/kibana#/discover/Steve-Slow-Train-Analysis-(2080s-and-2083s)?_g=(refreshInterval:(display:Off,pause:!f,section:0,value:0),time:(from:'2017-02-07T07:09:11-0700',mode:absolute,to:'2017-02-07T09:50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49" s="192" t="str">
        <f>IF(AA49&lt;IF(AG49="EC",23,5.65),"Y","N")</f>
        <v>N</v>
      </c>
      <c r="X49" s="192">
        <f>VALUE(LEFT(AD49,4))-VALUE(LEFT(AD48,4))</f>
        <v>1</v>
      </c>
      <c r="Y49" s="62">
        <f>RIGHT(D49,LEN(D49)-4)/10000</f>
        <v>4.6899999999999997E-2</v>
      </c>
      <c r="Z49" s="62">
        <f>RIGHT(H49,LEN(H49)-4)/10000</f>
        <v>23.329899999999999</v>
      </c>
      <c r="AA49" s="62">
        <f>ABS(Z49-Y49)</f>
        <v>23.282999999999998</v>
      </c>
      <c r="AB49" s="59" t="e">
        <f>VLOOKUP(A49,Enforcements!$C$7:$K$14,8,0)</f>
        <v>#N/A</v>
      </c>
      <c r="AC49" s="55" t="e">
        <f>VLOOKUP(A49,Enforcements!$C$7:$E$14,3,0)</f>
        <v>#N/A</v>
      </c>
      <c r="AD49" s="56" t="str">
        <f>IF(LEN(A49)=6,"0"&amp;A49,A49)</f>
        <v>0137-07</v>
      </c>
      <c r="AE49" s="85" t="str">
        <f>"aws s3 cp "&amp;s3_bucket&amp;"/RTDC"&amp;B49&amp;"/ "&amp;search_path&amp;"\RTDC"&amp;B49&amp;"\"&amp;TEXT(F49,"YYYY-MM-DD")&amp;" --exclude ""*"" --recursive --include ""*"&amp;TEXT(F49,"YYYYMMDD")&amp;"*"" &amp; """&amp;walkandungz&amp;""" "&amp;search_path&amp;"\RTDC"&amp;B49&amp;"\"&amp;TEXT(F49,"YYYY-MM-DD")
&amp;" &amp; "&amp;"aws s3 cp "&amp;s3_bucket&amp;"/RTDC"&amp;B49&amp;"/ "&amp;search_path&amp;"\RTDC"&amp;B49&amp;"\"&amp;TEXT(F49+1,"YYYY-MM-DD")&amp;" --exclude ""*"" --recursive --include ""*"&amp;TEXT(F49+1,"YYYYMMDD")&amp;"*"" &amp; """&amp;walkandungz&amp;""" "&amp;search_path&amp;"\RTDC"&amp;B49&amp;"\"&amp;TEXT(F49+1,"YYYY-MM-DD")</f>
        <v>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 &amp; aws s3 cp s3://rtdc.mdm.uploadarchive.raw/RTDC4011/ "%USERPROFILE%\AppData\Local\Temp\OnboardLogs"\RTDC4011\2017-02-08 --exclude "*" --recursive --include "*20170208*" &amp; "%USERPROFILE%\Documents\GitHub\mrs-test-scripts\Headless Mode &amp; Sideloading\WalkAndUnGZ.bat" "%USERPROFILE%\AppData\Local\Temp\OnboardLogs"\RTDC4011\2017-02-08</v>
      </c>
      <c r="AF49" s="82" t="str">
        <f>astrogrep_path&amp;" /spath="&amp;search_path&amp;" /stypes=""app*"&amp;B49&amp;"*"&amp;TEXT(I49-utc_offset/24,"YYYYMMDD")&amp;"*"" /stext="" "&amp;TEXT(I49-utc_offset/24,"HH")&amp;search_regexp&amp;""" /e /r /s"</f>
        <v>"C:\Program Files (x86)\AstroGrep\AstroGrep.exe" /spath="%USERPROFILE%\AppData\Local\Temp\OnboardLogs" /stypes="app*4011*20170207*" /stext=" 15:.+((SYSTEM_STATE.+slice.+state.+changed )|(ment ac)|(multiple cpu faults)|(system.+state.+changed )|(\[timeout)|(PRM\|1\|D)|(kpr)|(kdp)|(\|lc)|(penalty))" /e /r /s</v>
      </c>
      <c r="AG49" s="1" t="str">
        <f>IFERROR(IF(VALUE(LEFT(AD49,2))&lt;=2,"EC",IF(OR(VALUE(LEFT(AD49,2))=8,VALUE(LEFT(AD49,2))=18),"NW","Other")),"Other")</f>
        <v>EC</v>
      </c>
      <c r="AH49" s="86" t="str">
        <f t="shared" si="3"/>
        <v>"%USERPROFILE%\Documents\GitHub\eaglep3\Utilities\RefineRTDCRunTimes.py" --tripid 137-07 --locoid 4011 --swversion DE.1.0.8.0 --startMP 204:469 --initTime 2017-02-07T08:09:11 --startdatetime 2017-02-07T08:15:14 --delay 1 --endMP 204:233299 --enddatetime 2017-02-07T08:50:53 --enforcementcount 0 &gt;&gt;C:\Users\stu\Documents\GitHub\eaglep3-reporting\EC\2017-02-07-refined-times.txt</v>
      </c>
      <c r="AI49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{"issue":{"subject":"","project_id":79,"tracker_id":40,"status_id":1,"priority_id":2,"assigned_to_id":23,"start_date":"2017-02-07","description":"","custom_fields":[{"id":1,"name":"Subdivision","value":"EC"},{"id":4,"name":"Milepost","value":"23.3299"},{"id":17,"name":"Train ID","value":"137-07"},{"id":16,"name":"Locomotive ID","value":"4011"},{"id":130,"name":"Impact","value":""},{"id":150,"name":"Time of Event (Mountain Time)","value":"08:50:53"},{"id":151,"name":"Denver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48"/>
      <c r="AK49" s="48"/>
      <c r="AL49" s="48"/>
      <c r="AM49" s="158" t="str">
        <f t="shared" si="5"/>
        <v>start /low /b %USERPROFILE%\Documents\GitHub\eaglep3\Utilities\DownloadLogsFromS3.py --loco 4011 --day 2017-02-07</v>
      </c>
      <c r="AN49" s="167" t="str">
        <f>"grep -SE -B400 ""CHR.+\|PRM\|1\|D.+(SWITCH|SIGNAL).+UNKNOWN"" "&amp;search_path&amp;"\RTDC"&amp;B49&amp;"\*"&amp;B49&amp;"*"&amp;TEXT(AVERAGE(F49,I49)-utc_offset/24,"YYYYMMDD")&amp;"*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"%USERPROFILE%\AppData\Local\Temp\OnboardLogs"\RTDC4011\*4011*20170207* | grep -SE "(Enforcement Action)|(\[TIMEOUT)|(CHR.+\|PRM\|1\|D.+(SWITCH|SIGNAL).+UNKNOWN)" - &gt;&gt; 2017-02-07-UncaughtWiMAX.txt</v>
      </c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3" t="s">
        <v>562</v>
      </c>
      <c r="B50" s="7">
        <v>4012</v>
      </c>
      <c r="C50" s="21" t="s">
        <v>193</v>
      </c>
      <c r="D50" s="21" t="s">
        <v>317</v>
      </c>
      <c r="E50" s="13">
        <v>42773.381574074076</v>
      </c>
      <c r="F50" s="13">
        <v>42773.3828125</v>
      </c>
      <c r="G50" s="7">
        <v>1</v>
      </c>
      <c r="H50" s="21" t="s">
        <v>196</v>
      </c>
      <c r="I50" s="13">
        <v>42773.409988425927</v>
      </c>
      <c r="J50" s="7">
        <v>0</v>
      </c>
      <c r="K50" s="98" t="str">
        <f>IF(ISEVEN(B50),(B50-1)&amp;"/"&amp;B50,B50&amp;"/"&amp;(B50+1))</f>
        <v>4011/4012</v>
      </c>
      <c r="L50" s="21" t="str">
        <f>VLOOKUP(A50,'Trips&amp;Operators'!$C$1:$G$99999,5,FALSE)</f>
        <v>DAVIS WENDY</v>
      </c>
      <c r="M50" s="6">
        <f>I50-F50</f>
        <v>2.7175925926712807E-2</v>
      </c>
      <c r="N50" s="7">
        <f>24*60*SUM($M50:$M50)</f>
        <v>39.133333334466442</v>
      </c>
      <c r="O50" s="7"/>
      <c r="P50" s="7"/>
      <c r="Q50" s="22"/>
      <c r="R50" s="22"/>
      <c r="S50" s="31">
        <f>SUM(U50:U50)/IF(AG50="EC",12,1)</f>
        <v>1</v>
      </c>
      <c r="T50" s="46" t="str">
        <f>IF(ISEVEN(LEFT(AD50,4)),"Southbound","NorthBound")</f>
        <v>Southbound</v>
      </c>
      <c r="U50" s="190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191" t="str">
        <f>"https://d0f6bd738d7f1b3e5a7ca70fe4ff75f0.us-east-1.aws.found.io/app/kibana#/discover/Steve-Slow-Train-Analysis-(2080s-and-2083s)?_g="&amp;"(refreshInterval:(display:Off,pause:!f,section:0,value:0),time:(from:'"&amp;TEXT(E50-1/24,"yyyy-MM-DDThh:mm:ss")&amp;utc_offset&amp;"00"&amp;"',mode:absolute,to:'"&amp;TEXT(I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50&amp;"%22')),sort:!(Time.ISO8601,asc))"</f>
        <v>https://d0f6bd738d7f1b3e5a7ca70fe4ff75f0.us-east-1.aws.found.io/app/kibana#/discover/Steve-Slow-Train-Analysis-(2080s-and-2083s)?_g=(refreshInterval:(display:Off,pause:!f,section:0,value:0),time:(from:'2017-02-07T08:09:28-0700',mode:absolute,to:'2017-02-07T10:50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50" s="192" t="str">
        <f>IF(AA50&lt;IF(AG50="EC",23,5.65),"Y","N")</f>
        <v>N</v>
      </c>
      <c r="X50" s="192">
        <f>VALUE(LEFT(AD50,4))-VALUE(LEFT(AD49,4))</f>
        <v>1</v>
      </c>
      <c r="Y50" s="62">
        <f>RIGHT(D50,LEN(D50)-4)/10000</f>
        <v>23.297699999999999</v>
      </c>
      <c r="Z50" s="62">
        <f>RIGHT(H50,LEN(H50)-4)/10000</f>
        <v>1.4999999999999999E-2</v>
      </c>
      <c r="AA50" s="62">
        <f>ABS(Z50-Y50)</f>
        <v>23.282699999999998</v>
      </c>
      <c r="AB50" s="59" t="e">
        <f>VLOOKUP(A50,Enforcements!$C$7:$K$14,8,0)</f>
        <v>#N/A</v>
      </c>
      <c r="AC50" s="55" t="e">
        <f>VLOOKUP(A50,Enforcements!$C$7:$E$14,3,0)</f>
        <v>#N/A</v>
      </c>
      <c r="AD50" s="56" t="str">
        <f>IF(LEN(A50)=6,"0"&amp;A50,A50)</f>
        <v>0138-07</v>
      </c>
      <c r="AE50" s="85" t="str">
        <f>"aws s3 cp "&amp;s3_bucket&amp;"/RTDC"&amp;B50&amp;"/ "&amp;search_path&amp;"\RTDC"&amp;B50&amp;"\"&amp;TEXT(F50,"YYYY-MM-DD")&amp;" --exclude ""*"" --recursive --include ""*"&amp;TEXT(F50,"YYYYMMDD")&amp;"*"" &amp; """&amp;walkandungz&amp;""" "&amp;search_path&amp;"\RTDC"&amp;B50&amp;"\"&amp;TEXT(F50,"YYYY-MM-DD")
&amp;" &amp; "&amp;"aws s3 cp "&amp;s3_bucket&amp;"/RTDC"&amp;B50&amp;"/ "&amp;search_path&amp;"\RTDC"&amp;B50&amp;"\"&amp;TEXT(F50+1,"YYYY-MM-DD")&amp;" --exclude ""*"" --recursive --include ""*"&amp;TEXT(F50+1,"YYYYMMDD")&amp;"*"" &amp; """&amp;walkandungz&amp;""" "&amp;search_path&amp;"\RTDC"&amp;B50&amp;"\"&amp;TEXT(F50+1,"YYYY-MM-DD")</f>
        <v>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 &amp; aws s3 cp s3://rtdc.mdm.uploadarchive.raw/RTDC4012/ "%USERPROFILE%\AppData\Local\Temp\OnboardLogs"\RTDC4012\2017-02-08 --exclude "*" --recursive --include "*20170208*" &amp; "%USERPROFILE%\Documents\GitHub\mrs-test-scripts\Headless Mode &amp; Sideloading\WalkAndUnGZ.bat" "%USERPROFILE%\AppData\Local\Temp\OnboardLogs"\RTDC4012\2017-02-08</v>
      </c>
      <c r="AF50" s="82" t="str">
        <f>astrogrep_path&amp;" /spath="&amp;search_path&amp;" /stypes=""app*"&amp;B50&amp;"*"&amp;TEXT(I50-utc_offset/24,"YYYYMMDD")&amp;"*"" /stext="" "&amp;TEXT(I50-utc_offset/24,"HH")&amp;search_regexp&amp;""" /e /r /s"</f>
        <v>"C:\Program Files (x86)\AstroGrep\AstroGrep.exe" /spath="%USERPROFILE%\AppData\Local\Temp\OnboardLogs" /stypes="app*4012*20170207*" /stext=" 16:.+((SYSTEM_STATE.+slice.+state.+changed )|(ment ac)|(multiple cpu faults)|(system.+state.+changed )|(\[timeout)|(PRM\|1\|D)|(kpr)|(kdp)|(\|lc)|(penalty))" /e /r /s</v>
      </c>
      <c r="AG50" s="1" t="str">
        <f>IFERROR(IF(VALUE(LEFT(AD50,2))&lt;=2,"EC",IF(OR(VALUE(LEFT(AD50,2))=8,VALUE(LEFT(AD50,2))=18),"NW","Other")),"Other")</f>
        <v>EC</v>
      </c>
      <c r="AH50" s="86" t="str">
        <f t="shared" si="3"/>
        <v>"%USERPROFILE%\Documents\GitHub\eaglep3\Utilities\RefineRTDCRunTimes.py" --tripid 138-07 --locoid 4012 --swversion DE.1.0.8.0 --startMP 204:232977 --initTime 2017-02-07T09:09:28 --startdatetime 2017-02-07T09:11:15 --delay 1 --endMP 204:150 --enddatetime 2017-02-07T09:50:23 --enforcementcount 0 &gt;&gt;C:\Users\stu\Documents\GitHub\eaglep3-reporting\EC\2017-02-07-refined-times.txt</v>
      </c>
      <c r="AI50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{"issue":{"subject":"","project_id":79,"tracker_id":40,"status_id":1,"priority_id":2,"assigned_to_id":23,"start_date":"2017-02-07","description":"","custom_fields":[{"id":1,"name":"Subdivision","value":"EC"},{"id":4,"name":"Milepost","value":"0.015"},{"id":17,"name":"Train ID","value":"138-07"},{"id":16,"name":"Locomotive ID","value":"4012"},{"id":130,"name":"Impact","value":""},{"id":150,"name":"Time of Event (Mountain Time)","value":"09:50:23"},{"id":151,"name":"Denver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48"/>
      <c r="AK50" s="48"/>
      <c r="AL50" s="48"/>
      <c r="AM50" s="158" t="str">
        <f t="shared" si="5"/>
        <v>start /low /b %USERPROFILE%\Documents\GitHub\eaglep3\Utilities\DownloadLogsFromS3.py --loco 4012 --day 2017-02-07</v>
      </c>
      <c r="AN50" s="167" t="str">
        <f>"grep -SE -B400 ""CHR.+\|PRM\|1\|D.+(SWITCH|SIGNAL).+UNKNOWN"" "&amp;search_path&amp;"\RTDC"&amp;B50&amp;"\*"&amp;B50&amp;"*"&amp;TEXT(AVERAGE(F50,I50)-utc_offset/24,"YYYYMMDD")&amp;"*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"%USERPROFILE%\AppData\Local\Temp\OnboardLogs"\RTDC4012\*4012*20170207* | grep -SE "(Enforcement Action)|(\[TIMEOUT)|(CHR.+\|PRM\|1\|D.+(SWITCH|SIGNAL).+UNKNOWN)" - &gt;&gt; 2017-02-07-UncaughtWiMAX.txt</v>
      </c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3" t="s">
        <v>556</v>
      </c>
      <c r="B51" s="7">
        <v>4002</v>
      </c>
      <c r="C51" s="21" t="s">
        <v>193</v>
      </c>
      <c r="D51" s="21" t="s">
        <v>731</v>
      </c>
      <c r="E51" s="13">
        <v>42773.349780092591</v>
      </c>
      <c r="F51" s="13">
        <v>42773.354594907411</v>
      </c>
      <c r="G51" s="7">
        <v>1</v>
      </c>
      <c r="H51" s="21" t="s">
        <v>308</v>
      </c>
      <c r="I51" s="13">
        <v>42773.37908564815</v>
      </c>
      <c r="J51" s="7">
        <v>0</v>
      </c>
      <c r="K51" s="98" t="str">
        <f>IF(ISEVEN(B51),(B51-1)&amp;"/"&amp;B51,B51&amp;"/"&amp;(B51+1))</f>
        <v>4001/4002</v>
      </c>
      <c r="L51" s="21" t="str">
        <f>VLOOKUP(A51,'Trips&amp;Operators'!$C$1:$G$99999,5,FALSE)</f>
        <v>LOZA FIDEL</v>
      </c>
      <c r="M51" s="6">
        <f>I51-F51</f>
        <v>2.4490740739565808E-2</v>
      </c>
      <c r="N51" s="7">
        <f>24*60*SUM($M51:$M51)</f>
        <v>35.266666664974764</v>
      </c>
      <c r="O51" s="7"/>
      <c r="P51" s="7"/>
      <c r="Q51" s="22"/>
      <c r="R51" s="22"/>
      <c r="S51" s="31">
        <f>SUM(U51:U51)/IF(AG51="EC",12,1)</f>
        <v>1</v>
      </c>
      <c r="T51" s="46" t="str">
        <f>IF(ISEVEN(LEFT(AD51,4)),"Southbound","NorthBound")</f>
        <v>NorthBound</v>
      </c>
      <c r="U51" s="190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191" t="str">
        <f>"https://d0f6bd738d7f1b3e5a7ca70fe4ff75f0.us-east-1.aws.found.io/app/kibana#/discover/Steve-Slow-Train-Analysis-(2080s-and-2083s)?_g="&amp;"(refreshInterval:(display:Off,pause:!f,section:0,value:0),time:(from:'"&amp;TEXT(E51-1/24,"yyyy-MM-DDThh:mm:ss")&amp;utc_offset&amp;"00"&amp;"',mode:absolute,to:'"&amp;TEXT(I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51&amp;"%22')),sort:!(Time.ISO8601,asc))"</f>
        <v>https://d0f6bd738d7f1b3e5a7ca70fe4ff75f0.us-east-1.aws.found.io/app/kibana#/discover/Steve-Slow-Train-Analysis-(2080s-and-2083s)?_g=(refreshInterval:(display:Off,pause:!f,section:0,value:0),time:(from:'2017-02-07T07:23:41-0700',mode:absolute,to:'2017-02-07T10:05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51" s="192" t="str">
        <f>IF(AA51&lt;IF(AG51="EC",23,5.65),"Y","N")</f>
        <v>N</v>
      </c>
      <c r="X51" s="192">
        <f>VALUE(LEFT(AD51,4))-VALUE(LEFT(AD50,4))</f>
        <v>1</v>
      </c>
      <c r="Y51" s="62">
        <f>RIGHT(D51,LEN(D51)-4)/10000</f>
        <v>4.3299999999999998E-2</v>
      </c>
      <c r="Z51" s="62">
        <f>RIGHT(H51,LEN(H51)-4)/10000</f>
        <v>23.330400000000001</v>
      </c>
      <c r="AA51" s="62">
        <f>ABS(Z51-Y51)</f>
        <v>23.287100000000002</v>
      </c>
      <c r="AB51" s="59" t="e">
        <f>VLOOKUP(A51,Enforcements!$C$7:$K$14,8,0)</f>
        <v>#N/A</v>
      </c>
      <c r="AC51" s="55" t="e">
        <f>VLOOKUP(A51,Enforcements!$C$7:$E$14,3,0)</f>
        <v>#N/A</v>
      </c>
      <c r="AD51" s="56" t="str">
        <f>IF(LEN(A51)=6,"0"&amp;A51,A51)</f>
        <v>0139-07</v>
      </c>
      <c r="AE51" s="85" t="str">
        <f>"aws s3 cp "&amp;s3_bucket&amp;"/RTDC"&amp;B51&amp;"/ "&amp;search_path&amp;"\RTDC"&amp;B51&amp;"\"&amp;TEXT(F51,"YYYY-MM-DD")&amp;" --exclude ""*"" --recursive --include ""*"&amp;TEXT(F51,"YYYYMMDD")&amp;"*"" &amp; """&amp;walkandungz&amp;""" "&amp;search_path&amp;"\RTDC"&amp;B51&amp;"\"&amp;TEXT(F51,"YYYY-MM-DD")
&amp;" &amp; "&amp;"aws s3 cp "&amp;s3_bucket&amp;"/RTDC"&amp;B51&amp;"/ "&amp;search_path&amp;"\RTDC"&amp;B51&amp;"\"&amp;TEXT(F51+1,"YYYY-MM-DD")&amp;" --exclude ""*"" --recursive --include ""*"&amp;TEXT(F51+1,"YYYYMMDD")&amp;"*"" &amp; """&amp;walkandungz&amp;""" "&amp;search_path&amp;"\RTDC"&amp;B51&amp;"\"&amp;TEXT(F51+1,"YYYY-MM-DD")</f>
        <v>aws s3 cp s3://rtdc.mdm.uploadarchive.raw/RTDC4002/ "%USERPROFILE%\AppData\Local\Temp\OnboardLogs"\RTDC4002\2017-02-07 --exclude "*" --recursive --include "*20170207*" &amp; "%USERPROFILE%\Documents\GitHub\mrs-test-scripts\Headless Mode &amp; Sideloading\WalkAndUnGZ.bat" "%USERPROFILE%\AppData\Local\Temp\OnboardLogs"\RTDC4002\2017-02-07 &amp; aws s3 cp s3://rtdc.mdm.uploadarchive.raw/RTDC4002/ "%USERPROFILE%\AppData\Local\Temp\OnboardLogs"\RTDC4002\2017-02-08 --exclude "*" --recursive --include "*20170208*" &amp; "%USERPROFILE%\Documents\GitHub\mrs-test-scripts\Headless Mode &amp; Sideloading\WalkAndUnGZ.bat" "%USERPROFILE%\AppData\Local\Temp\OnboardLogs"\RTDC4002\2017-02-08</v>
      </c>
      <c r="AF51" s="82" t="str">
        <f>astrogrep_path&amp;" /spath="&amp;search_path&amp;" /stypes=""app*"&amp;B51&amp;"*"&amp;TEXT(I51-utc_offset/24,"YYYYMMDD")&amp;"*"" /stext="" "&amp;TEXT(I51-utc_offset/24,"HH")&amp;search_regexp&amp;""" /e /r /s"</f>
        <v>"C:\Program Files (x86)\AstroGrep\AstroGrep.exe" /spath="%USERPROFILE%\AppData\Local\Temp\OnboardLogs" /stypes="app*4002*20170207*" /stext=" 16:.+((SYSTEM_STATE.+slice.+state.+changed )|(ment ac)|(multiple cpu faults)|(system.+state.+changed )|(\[timeout)|(PRM\|1\|D)|(kpr)|(kdp)|(\|lc)|(penalty))" /e /r /s</v>
      </c>
      <c r="AG51" s="1" t="str">
        <f>IFERROR(IF(VALUE(LEFT(AD51,2))&lt;=2,"EC",IF(OR(VALUE(LEFT(AD51,2))=8,VALUE(LEFT(AD51,2))=18),"NW","Other")),"Other")</f>
        <v>EC</v>
      </c>
      <c r="AH51" s="86" t="str">
        <f t="shared" si="3"/>
        <v>"%USERPROFILE%\Documents\GitHub\eaglep3\Utilities\RefineRTDCRunTimes.py" --tripid 139-07 --locoid 4002 --swversion DE.1.0.8.0 --startMP 204:433 --initTime 2017-02-07T08:23:41 --startdatetime 2017-02-07T08:30:37 --delay 1 --endMP 204:233304 --enddatetime 2017-02-07T09:05:53 --enforcementcount 0 &gt;&gt;C:\Users\stu\Documents\GitHub\eaglep3-reporting\EC\2017-02-07-refined-times.txt</v>
      </c>
      <c r="AI51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{"issue":{"subject":"","project_id":79,"tracker_id":40,"status_id":1,"priority_id":2,"assigned_to_id":23,"start_date":"2017-02-07","description":"","custom_fields":[{"id":1,"name":"Subdivision","value":"EC"},{"id":4,"name":"Milepost","value":"23.3304"},{"id":17,"name":"Train ID","value":"139-07"},{"id":16,"name":"Locomotive ID","value":"4002"},{"id":130,"name":"Impact","value":""},{"id":150,"name":"Time of Event (Mountain Time)","value":"09:05:53"},{"id":151,"name":"Denver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48"/>
      <c r="AK51" s="48"/>
      <c r="AL51" s="48"/>
      <c r="AM51" s="158" t="str">
        <f t="shared" si="5"/>
        <v>start /low /b %USERPROFILE%\Documents\GitHub\eaglep3\Utilities\DownloadLogsFromS3.py --loco 4002 --day 2017-02-07</v>
      </c>
      <c r="AN51" s="167" t="str">
        <f>"grep -SE -B400 ""CHR.+\|PRM\|1\|D.+(SWITCH|SIGNAL).+UNKNOWN"" "&amp;search_path&amp;"\RTDC"&amp;B51&amp;"\*"&amp;B51&amp;"*"&amp;TEXT(AVERAGE(F51,I51)-utc_offset/24,"YYYYMMDD")&amp;"*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"%USERPROFILE%\AppData\Local\Temp\OnboardLogs"\RTDC4002\*4002*20170207* | grep -SE "(Enforcement Action)|(\[TIMEOUT)|(CHR.+\|PRM\|1\|D.+(SWITCH|SIGNAL).+UNKNOWN)" - &gt;&gt; 2017-02-07-UncaughtWiMAX.txt</v>
      </c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3" t="s">
        <v>564</v>
      </c>
      <c r="B52" s="7">
        <v>4001</v>
      </c>
      <c r="C52" s="21" t="s">
        <v>193</v>
      </c>
      <c r="D52" s="21" t="s">
        <v>391</v>
      </c>
      <c r="E52" s="13">
        <v>42773.38989583333</v>
      </c>
      <c r="F52" s="13">
        <v>42773.393379629626</v>
      </c>
      <c r="G52" s="7">
        <v>1</v>
      </c>
      <c r="H52" s="21" t="s">
        <v>196</v>
      </c>
      <c r="I52" s="13">
        <v>42773.419814814813</v>
      </c>
      <c r="J52" s="7">
        <v>0</v>
      </c>
      <c r="K52" s="98" t="str">
        <f>IF(ISEVEN(B52),(B52-1)&amp;"/"&amp;B52,B52&amp;"/"&amp;(B52+1))</f>
        <v>4001/4002</v>
      </c>
      <c r="L52" s="21" t="str">
        <f>VLOOKUP(A52,'Trips&amp;Operators'!$C$1:$G$99999,5,FALSE)</f>
        <v>LOZA FIDEL</v>
      </c>
      <c r="M52" s="6">
        <f>I52-F52</f>
        <v>2.6435185187438037E-2</v>
      </c>
      <c r="N52" s="7">
        <f>24*60*SUM($M52:$M52)</f>
        <v>38.066666669910774</v>
      </c>
      <c r="O52" s="7"/>
      <c r="P52" s="7"/>
      <c r="Q52" s="22"/>
      <c r="R52" s="22"/>
      <c r="S52" s="31">
        <f>SUM(U52:U52)/IF(AG52="EC",12,1)</f>
        <v>1</v>
      </c>
      <c r="T52" s="46" t="str">
        <f>IF(ISEVEN(LEFT(AD52,4)),"Southbound","NorthBound")</f>
        <v>Southbound</v>
      </c>
      <c r="U52" s="190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191" t="str">
        <f>"https://d0f6bd738d7f1b3e5a7ca70fe4ff75f0.us-east-1.aws.found.io/app/kibana#/discover/Steve-Slow-Train-Analysis-(2080s-and-2083s)?_g="&amp;"(refreshInterval:(display:Off,pause:!f,section:0,value:0),time:(from:'"&amp;TEXT(E52-1/24,"yyyy-MM-DDThh:mm:ss")&amp;utc_offset&amp;"00"&amp;"',mode:absolute,to:'"&amp;TEXT(I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52&amp;"%22')),sort:!(Time.ISO8601,asc))"</f>
        <v>https://d0f6bd738d7f1b3e5a7ca70fe4ff75f0.us-east-1.aws.found.io/app/kibana#/discover/Steve-Slow-Train-Analysis-(2080s-and-2083s)?_g=(refreshInterval:(display:Off,pause:!f,section:0,value:0),time:(from:'2017-02-07T08:21:27-0700',mode:absolute,to:'2017-02-07T11:04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52" s="192" t="str">
        <f>IF(AA52&lt;IF(AG52="EC",23,5.65),"Y","N")</f>
        <v>N</v>
      </c>
      <c r="X52" s="192">
        <f>VALUE(LEFT(AD52,4))-VALUE(LEFT(AD51,4))</f>
        <v>1</v>
      </c>
      <c r="Y52" s="62">
        <f>RIGHT(D52,LEN(D52)-4)/10000</f>
        <v>23.2989</v>
      </c>
      <c r="Z52" s="62">
        <f>RIGHT(H52,LEN(H52)-4)/10000</f>
        <v>1.4999999999999999E-2</v>
      </c>
      <c r="AA52" s="62">
        <f>ABS(Z52-Y52)</f>
        <v>23.283899999999999</v>
      </c>
      <c r="AB52" s="59" t="e">
        <f>VLOOKUP(A52,Enforcements!$C$7:$K$14,8,0)</f>
        <v>#N/A</v>
      </c>
      <c r="AC52" s="55" t="e">
        <f>VLOOKUP(A52,Enforcements!$C$7:$E$14,3,0)</f>
        <v>#N/A</v>
      </c>
      <c r="AD52" s="56" t="str">
        <f>IF(LEN(A52)=6,"0"&amp;A52,A52)</f>
        <v>0140-07</v>
      </c>
      <c r="AE52" s="85" t="str">
        <f>"aws s3 cp "&amp;s3_bucket&amp;"/RTDC"&amp;B52&amp;"/ "&amp;search_path&amp;"\RTDC"&amp;B52&amp;"\"&amp;TEXT(F52,"YYYY-MM-DD")&amp;" --exclude ""*"" --recursive --include ""*"&amp;TEXT(F52,"YYYYMMDD")&amp;"*"" &amp; """&amp;walkandungz&amp;""" "&amp;search_path&amp;"\RTDC"&amp;B52&amp;"\"&amp;TEXT(F52,"YYYY-MM-DD")
&amp;" &amp; "&amp;"aws s3 cp "&amp;s3_bucket&amp;"/RTDC"&amp;B52&amp;"/ "&amp;search_path&amp;"\RTDC"&amp;B52&amp;"\"&amp;TEXT(F52+1,"YYYY-MM-DD")&amp;" --exclude ""*"" --recursive --include ""*"&amp;TEXT(F52+1,"YYYYMMDD")&amp;"*"" &amp; """&amp;walkandungz&amp;""" "&amp;search_path&amp;"\RTDC"&amp;B52&amp;"\"&amp;TEXT(F52+1,"YYYY-MM-DD")</f>
        <v>aws s3 cp s3://rtdc.mdm.uploadarchive.raw/RTDC4001/ "%USERPROFILE%\AppData\Local\Temp\OnboardLogs"\RTDC4001\2017-02-07 --exclude "*" --recursive --include "*20170207*" &amp; "%USERPROFILE%\Documents\GitHub\mrs-test-scripts\Headless Mode &amp; Sideloading\WalkAndUnGZ.bat" "%USERPROFILE%\AppData\Local\Temp\OnboardLogs"\RTDC4001\2017-02-07 &amp; aws s3 cp s3://rtdc.mdm.uploadarchive.raw/RTDC4001/ "%USERPROFILE%\AppData\Local\Temp\OnboardLogs"\RTDC4001\2017-02-08 --exclude "*" --recursive --include "*20170208*" &amp; "%USERPROFILE%\Documents\GitHub\mrs-test-scripts\Headless Mode &amp; Sideloading\WalkAndUnGZ.bat" "%USERPROFILE%\AppData\Local\Temp\OnboardLogs"\RTDC4001\2017-02-08</v>
      </c>
      <c r="AF52" s="82" t="str">
        <f>astrogrep_path&amp;" /spath="&amp;search_path&amp;" /stypes=""app*"&amp;B52&amp;"*"&amp;TEXT(I52-utc_offset/24,"YYYYMMDD")&amp;"*"" /stext="" "&amp;TEXT(I52-utc_offset/24,"HH")&amp;search_regexp&amp;""" /e /r /s"</f>
        <v>"C:\Program Files (x86)\AstroGrep\AstroGrep.exe" /spath="%USERPROFILE%\AppData\Local\Temp\OnboardLogs" /stypes="app*4001*20170207*" /stext=" 17:.+((SYSTEM_STATE.+slice.+state.+changed )|(ment ac)|(multiple cpu faults)|(system.+state.+changed )|(\[timeout)|(PRM\|1\|D)|(kpr)|(kdp)|(\|lc)|(penalty))" /e /r /s</v>
      </c>
      <c r="AG52" s="1" t="str">
        <f>IFERROR(IF(VALUE(LEFT(AD52,2))&lt;=2,"EC",IF(OR(VALUE(LEFT(AD52,2))=8,VALUE(LEFT(AD52,2))=18),"NW","Other")),"Other")</f>
        <v>EC</v>
      </c>
      <c r="AH52" s="86" t="str">
        <f t="shared" si="3"/>
        <v>"%USERPROFILE%\Documents\GitHub\eaglep3\Utilities\RefineRTDCRunTimes.py" --tripid 140-07 --locoid 4001 --swversion DE.1.0.8.0 --startMP 204:232989 --initTime 2017-02-07T09:21:27 --startdatetime 2017-02-07T09:26:28 --delay 1 --endMP 204:150 --enddatetime 2017-02-07T10:04:32 --enforcementcount 0 &gt;&gt;C:\Users\stu\Documents\GitHub\eaglep3-reporting\EC\2017-02-07-refined-times.txt</v>
      </c>
      <c r="AI52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{"issue":{"subject":"","project_id":79,"tracker_id":40,"status_id":1,"priority_id":2,"assigned_to_id":23,"start_date":"2017-02-07","description":"","custom_fields":[{"id":1,"name":"Subdivision","value":"EC"},{"id":4,"name":"Milepost","value":"0.015"},{"id":17,"name":"Train ID","value":"140-07"},{"id":16,"name":"Locomotive ID","value":"4001"},{"id":130,"name":"Impact","value":""},{"id":150,"name":"Time of Event (Mountain Time)","value":"10:04:32"},{"id":151,"name":"Denver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48"/>
      <c r="AK52" s="48"/>
      <c r="AL52" s="48"/>
      <c r="AM52" s="158" t="str">
        <f t="shared" si="5"/>
        <v>start /low /b %USERPROFILE%\Documents\GitHub\eaglep3\Utilities\DownloadLogsFromS3.py --loco 4001 --day 2017-02-07</v>
      </c>
      <c r="AN52" s="167" t="str">
        <f>"grep -SE -B400 ""CHR.+\|PRM\|1\|D.+(SWITCH|SIGNAL).+UNKNOWN"" "&amp;search_path&amp;"\RTDC"&amp;B52&amp;"\*"&amp;B52&amp;"*"&amp;TEXT(AVERAGE(F52,I52)-utc_offset/24,"YYYYMMDD")&amp;"*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"%USERPROFILE%\AppData\Local\Temp\OnboardLogs"\RTDC4001\*4001*20170207* | grep -SE "(Enforcement Action)|(\[TIMEOUT)|(CHR.+\|PRM\|1\|D.+(SWITCH|SIGNAL).+UNKNOWN)" - &gt;&gt; 2017-02-07-UncaughtWiMAX.txt</v>
      </c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3" t="s">
        <v>559</v>
      </c>
      <c r="B53" s="7">
        <v>4038</v>
      </c>
      <c r="C53" s="21" t="s">
        <v>193</v>
      </c>
      <c r="D53" s="21" t="s">
        <v>732</v>
      </c>
      <c r="E53" s="13">
        <v>42773.358935185184</v>
      </c>
      <c r="F53" s="13">
        <v>42773.364791666667</v>
      </c>
      <c r="G53" s="7">
        <v>1</v>
      </c>
      <c r="H53" s="21" t="s">
        <v>733</v>
      </c>
      <c r="I53" s="13">
        <v>42773.389722222222</v>
      </c>
      <c r="J53" s="7">
        <v>0</v>
      </c>
      <c r="K53" s="98" t="str">
        <f>IF(ISEVEN(B53),(B53-1)&amp;"/"&amp;B53,B53&amp;"/"&amp;(B53+1))</f>
        <v>4037/4038</v>
      </c>
      <c r="L53" s="21" t="str">
        <f>VLOOKUP(A53,'Trips&amp;Operators'!$C$1:$G$99999,5,FALSE)</f>
        <v>OUN ZACK</v>
      </c>
      <c r="M53" s="6">
        <f>I53-F53</f>
        <v>2.4930555555329192E-2</v>
      </c>
      <c r="N53" s="7">
        <f>24*60*SUM($M53:$M53)</f>
        <v>35.899999999674037</v>
      </c>
      <c r="O53" s="7"/>
      <c r="P53" s="7"/>
      <c r="Q53" s="22"/>
      <c r="R53" s="22"/>
      <c r="S53" s="31">
        <f>SUM(U53:U53)/IF(AG53="EC",12,1)</f>
        <v>1</v>
      </c>
      <c r="T53" s="46" t="str">
        <f>IF(ISEVEN(LEFT(AD53,4)),"Southbound","NorthBound")</f>
        <v>NorthBound</v>
      </c>
      <c r="U53" s="190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191" t="str">
        <f>"https://d0f6bd738d7f1b3e5a7ca70fe4ff75f0.us-east-1.aws.found.io/app/kibana#/discover/Steve-Slow-Train-Analysis-(2080s-and-2083s)?_g="&amp;"(refreshInterval:(display:Off,pause:!f,section:0,value:0),time:(from:'"&amp;TEXT(E53-1/24,"yyyy-MM-DDThh:mm:ss")&amp;utc_offset&amp;"00"&amp;"',mode:absolute,to:'"&amp;TEXT(I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53&amp;"%22')),sort:!(Time.ISO8601,asc))"</f>
        <v>https://d0f6bd738d7f1b3e5a7ca70fe4ff75f0.us-east-1.aws.found.io/app/kibana#/discover/Steve-Slow-Train-Analysis-(2080s-and-2083s)?_g=(refreshInterval:(display:Off,pause:!f,section:0,value:0),time:(from:'2017-02-07T07:36:52-0700',mode:absolute,to:'2017-02-07T10:21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53" s="192" t="str">
        <f>IF(AA53&lt;IF(AG53="EC",23,5.65),"Y","N")</f>
        <v>N</v>
      </c>
      <c r="X53" s="192">
        <f>VALUE(LEFT(AD53,4))-VALUE(LEFT(AD52,4))</f>
        <v>1</v>
      </c>
      <c r="Y53" s="62">
        <f>RIGHT(D53,LEN(D53)-4)/10000</f>
        <v>4.3999999999999997E-2</v>
      </c>
      <c r="Z53" s="62">
        <f>RIGHT(H53,LEN(H53)-4)/10000</f>
        <v>23.334900000000001</v>
      </c>
      <c r="AA53" s="62">
        <f>ABS(Z53-Y53)</f>
        <v>23.290900000000001</v>
      </c>
      <c r="AB53" s="59" t="e">
        <f>VLOOKUP(A53,Enforcements!$C$7:$K$14,8,0)</f>
        <v>#N/A</v>
      </c>
      <c r="AC53" s="55" t="e">
        <f>VLOOKUP(A53,Enforcements!$C$7:$E$14,3,0)</f>
        <v>#N/A</v>
      </c>
      <c r="AD53" s="56" t="str">
        <f>IF(LEN(A53)=6,"0"&amp;A53,A53)</f>
        <v>0141-07</v>
      </c>
      <c r="AE53" s="85" t="str">
        <f>"aws s3 cp "&amp;s3_bucket&amp;"/RTDC"&amp;B53&amp;"/ "&amp;search_path&amp;"\RTDC"&amp;B53&amp;"\"&amp;TEXT(F53,"YYYY-MM-DD")&amp;" --exclude ""*"" --recursive --include ""*"&amp;TEXT(F53,"YYYYMMDD")&amp;"*"" &amp; """&amp;walkandungz&amp;""" "&amp;search_path&amp;"\RTDC"&amp;B53&amp;"\"&amp;TEXT(F53,"YYYY-MM-DD")
&amp;" &amp; "&amp;"aws s3 cp "&amp;s3_bucket&amp;"/RTDC"&amp;B53&amp;"/ "&amp;search_path&amp;"\RTDC"&amp;B53&amp;"\"&amp;TEXT(F53+1,"YYYY-MM-DD")&amp;" --exclude ""*"" --recursive --include ""*"&amp;TEXT(F53+1,"YYYYMMDD")&amp;"*"" &amp; """&amp;walkandungz&amp;""" "&amp;search_path&amp;"\RTDC"&amp;B53&amp;"\"&amp;TEXT(F53+1,"YYYY-MM-DD")</f>
        <v>aws s3 cp s3://rtdc.mdm.uploadarchive.raw/RTDC4038/ "%USERPROFILE%\AppData\Local\Temp\OnboardLogs"\RTDC4038\2017-02-07 --exclude "*" --recursive --include "*20170207*" &amp; "%USERPROFILE%\Documents\GitHub\mrs-test-scripts\Headless Mode &amp; Sideloading\WalkAndUnGZ.bat" "%USERPROFILE%\AppData\Local\Temp\OnboardLogs"\RTDC4038\2017-02-07 &amp; aws s3 cp s3://rtdc.mdm.uploadarchive.raw/RTDC4038/ "%USERPROFILE%\AppData\Local\Temp\OnboardLogs"\RTDC4038\2017-02-08 --exclude "*" --recursive --include "*20170208*" &amp; "%USERPROFILE%\Documents\GitHub\mrs-test-scripts\Headless Mode &amp; Sideloading\WalkAndUnGZ.bat" "%USERPROFILE%\AppData\Local\Temp\OnboardLogs"\RTDC4038\2017-02-08</v>
      </c>
      <c r="AF53" s="82" t="str">
        <f>astrogrep_path&amp;" /spath="&amp;search_path&amp;" /stypes=""app*"&amp;B53&amp;"*"&amp;TEXT(I53-utc_offset/24,"YYYYMMDD")&amp;"*"" /stext="" "&amp;TEXT(I53-utc_offset/24,"HH")&amp;search_regexp&amp;""" /e /r /s"</f>
        <v>"C:\Program Files (x86)\AstroGrep\AstroGrep.exe" /spath="%USERPROFILE%\AppData\Local\Temp\OnboardLogs" /stypes="app*4038*20170207*" /stext=" 16:.+((SYSTEM_STATE.+slice.+state.+changed )|(ment ac)|(multiple cpu faults)|(system.+state.+changed )|(\[timeout)|(PRM\|1\|D)|(kpr)|(kdp)|(\|lc)|(penalty))" /e /r /s</v>
      </c>
      <c r="AG53" s="1" t="str">
        <f>IFERROR(IF(VALUE(LEFT(AD53,2))&lt;=2,"EC",IF(OR(VALUE(LEFT(AD53,2))=8,VALUE(LEFT(AD53,2))=18),"NW","Other")),"Other")</f>
        <v>EC</v>
      </c>
      <c r="AH53" s="86" t="str">
        <f t="shared" si="3"/>
        <v>"%USERPROFILE%\Documents\GitHub\eaglep3\Utilities\RefineRTDCRunTimes.py" --tripid 141-07 --locoid 4038 --swversion DE.1.0.8.0 --startMP 204:440 --initTime 2017-02-07T08:36:52 --startdatetime 2017-02-07T08:45:18 --delay 1 --endMP 204:233349 --enddatetime 2017-02-07T09:21:12 --enforcementcount 0 &gt;&gt;C:\Users\stu\Documents\GitHub\eaglep3-reporting\EC\2017-02-07-refined-times.txt</v>
      </c>
      <c r="AI53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{"issue":{"subject":"","project_id":79,"tracker_id":40,"status_id":1,"priority_id":2,"assigned_to_id":23,"start_date":"2017-02-07","description":"","custom_fields":[{"id":1,"name":"Subdivision","value":"EC"},{"id":4,"name":"Milepost","value":"23.3349"},{"id":17,"name":"Train ID","value":"141-07"},{"id":16,"name":"Locomotive ID","value":"4038"},{"id":130,"name":"Impact","value":""},{"id":150,"name":"Time of Event (Mountain Time)","value":"09:21:12"},{"id":151,"name":"Denver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48"/>
      <c r="AK53" s="48"/>
      <c r="AL53" s="48"/>
      <c r="AM53" s="158" t="str">
        <f t="shared" si="5"/>
        <v>start /low /b %USERPROFILE%\Documents\GitHub\eaglep3\Utilities\DownloadLogsFromS3.py --loco 4038 --day 2017-02-07</v>
      </c>
      <c r="AN53" s="167" t="str">
        <f>"grep -SE -B400 ""CHR.+\|PRM\|1\|D.+(SWITCH|SIGNAL).+UNKNOWN"" "&amp;search_path&amp;"\RTDC"&amp;B53&amp;"\*"&amp;B53&amp;"*"&amp;TEXT(AVERAGE(F53,I53)-utc_offset/24,"YYYYMMDD")&amp;"*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"%USERPROFILE%\AppData\Local\Temp\OnboardLogs"\RTDC4038\*4038*20170207* | grep -SE "(Enforcement Action)|(\[TIMEOUT)|(CHR.+\|PRM\|1\|D.+(SWITCH|SIGNAL).+UNKNOWN)" - &gt;&gt; 2017-02-07-UncaughtWiMAX.txt</v>
      </c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3" t="s">
        <v>566</v>
      </c>
      <c r="B54" s="7">
        <v>4037</v>
      </c>
      <c r="C54" s="21" t="s">
        <v>193</v>
      </c>
      <c r="D54" s="21" t="s">
        <v>734</v>
      </c>
      <c r="E54" s="13">
        <v>42773.398888888885</v>
      </c>
      <c r="F54" s="13">
        <v>42773.403657407405</v>
      </c>
      <c r="G54" s="7">
        <v>1</v>
      </c>
      <c r="H54" s="21" t="s">
        <v>286</v>
      </c>
      <c r="I54" s="13">
        <v>42773.430868055555</v>
      </c>
      <c r="J54" s="7">
        <v>0</v>
      </c>
      <c r="K54" s="98" t="str">
        <f>IF(ISEVEN(B54),(B54-1)&amp;"/"&amp;B54,B54&amp;"/"&amp;(B54+1))</f>
        <v>4037/4038</v>
      </c>
      <c r="L54" s="21" t="str">
        <f>VLOOKUP(A54,'Trips&amp;Operators'!$C$1:$G$99999,5,FALSE)</f>
        <v>OUN ZACK</v>
      </c>
      <c r="M54" s="6">
        <f>I54-F54</f>
        <v>2.7210648149775807E-2</v>
      </c>
      <c r="N54" s="7">
        <f>24*60*SUM($M54:$M54)</f>
        <v>39.183333335677162</v>
      </c>
      <c r="O54" s="7"/>
      <c r="P54" s="7"/>
      <c r="Q54" s="22"/>
      <c r="R54" s="22"/>
      <c r="S54" s="31">
        <f>SUM(U54:U54)/IF(AG54="EC",12,1)</f>
        <v>1</v>
      </c>
      <c r="T54" s="46" t="str">
        <f>IF(ISEVEN(LEFT(AD54,4)),"Southbound","NorthBound")</f>
        <v>Southbound</v>
      </c>
      <c r="U54" s="190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191" t="str">
        <f>"https://d0f6bd738d7f1b3e5a7ca70fe4ff75f0.us-east-1.aws.found.io/app/kibana#/discover/Steve-Slow-Train-Analysis-(2080s-and-2083s)?_g="&amp;"(refreshInterval:(display:Off,pause:!f,section:0,value:0),time:(from:'"&amp;TEXT(E54-1/24,"yyyy-MM-DDThh:mm:ss")&amp;utc_offset&amp;"00"&amp;"',mode:absolute,to:'"&amp;TEXT(I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54&amp;"%22')),sort:!(Time.ISO8601,asc))"</f>
        <v>https://d0f6bd738d7f1b3e5a7ca70fe4ff75f0.us-east-1.aws.found.io/app/kibana#/discover/Steve-Slow-Train-Analysis-(2080s-and-2083s)?_g=(refreshInterval:(display:Off,pause:!f,section:0,value:0),time:(from:'2017-02-07T08:34:24-0700',mode:absolute,to:'2017-02-07T11:20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54" s="192" t="str">
        <f>IF(AA54&lt;IF(AG54="EC",23,5.65),"Y","N")</f>
        <v>N</v>
      </c>
      <c r="X54" s="192">
        <f>VALUE(LEFT(AD54,4))-VALUE(LEFT(AD53,4))</f>
        <v>1</v>
      </c>
      <c r="Y54" s="62">
        <f>RIGHT(D54,LEN(D54)-4)/10000</f>
        <v>23.300899999999999</v>
      </c>
      <c r="Z54" s="62">
        <f>RIGHT(H54,LEN(H54)-4)/10000</f>
        <v>1.5599999999999999E-2</v>
      </c>
      <c r="AA54" s="62">
        <f>ABS(Z54-Y54)</f>
        <v>23.285299999999999</v>
      </c>
      <c r="AB54" s="59" t="e">
        <f>VLOOKUP(A54,Enforcements!$C$7:$K$14,8,0)</f>
        <v>#N/A</v>
      </c>
      <c r="AC54" s="55" t="e">
        <f>VLOOKUP(A54,Enforcements!$C$7:$E$14,3,0)</f>
        <v>#N/A</v>
      </c>
      <c r="AD54" s="56" t="str">
        <f>IF(LEN(A54)=6,"0"&amp;A54,A54)</f>
        <v>0142-07</v>
      </c>
      <c r="AE54" s="85" t="str">
        <f>"aws s3 cp "&amp;s3_bucket&amp;"/RTDC"&amp;B54&amp;"/ "&amp;search_path&amp;"\RTDC"&amp;B54&amp;"\"&amp;TEXT(F54,"YYYY-MM-DD")&amp;" --exclude ""*"" --recursive --include ""*"&amp;TEXT(F54,"YYYYMMDD")&amp;"*"" &amp; """&amp;walkandungz&amp;""" "&amp;search_path&amp;"\RTDC"&amp;B54&amp;"\"&amp;TEXT(F54,"YYYY-MM-DD")
&amp;" &amp; "&amp;"aws s3 cp "&amp;s3_bucket&amp;"/RTDC"&amp;B54&amp;"/ "&amp;search_path&amp;"\RTDC"&amp;B54&amp;"\"&amp;TEXT(F54+1,"YYYY-MM-DD")&amp;" --exclude ""*"" --recursive --include ""*"&amp;TEXT(F54+1,"YYYYMMDD")&amp;"*"" &amp; """&amp;walkandungz&amp;""" "&amp;search_path&amp;"\RTDC"&amp;B54&amp;"\"&amp;TEXT(F54+1,"YYYY-MM-DD")</f>
        <v>aws s3 cp s3://rtdc.mdm.uploadarchive.raw/RTDC4037/ "%USERPROFILE%\AppData\Local\Temp\OnboardLogs"\RTDC4037\2017-02-07 --exclude "*" --recursive --include "*20170207*" &amp; "%USERPROFILE%\Documents\GitHub\mrs-test-scripts\Headless Mode &amp; Sideloading\WalkAndUnGZ.bat" "%USERPROFILE%\AppData\Local\Temp\OnboardLogs"\RTDC4037\2017-02-07 &amp; aws s3 cp s3://rtdc.mdm.uploadarchive.raw/RTDC4037/ "%USERPROFILE%\AppData\Local\Temp\OnboardLogs"\RTDC4037\2017-02-08 --exclude "*" --recursive --include "*20170208*" &amp; "%USERPROFILE%\Documents\GitHub\mrs-test-scripts\Headless Mode &amp; Sideloading\WalkAndUnGZ.bat" "%USERPROFILE%\AppData\Local\Temp\OnboardLogs"\RTDC4037\2017-02-08</v>
      </c>
      <c r="AF54" s="82" t="str">
        <f>astrogrep_path&amp;" /spath="&amp;search_path&amp;" /stypes=""app*"&amp;B54&amp;"*"&amp;TEXT(I54-utc_offset/24,"YYYYMMDD")&amp;"*"" /stext="" "&amp;TEXT(I54-utc_offset/24,"HH")&amp;search_regexp&amp;""" /e /r /s"</f>
        <v>"C:\Program Files (x86)\AstroGrep\AstroGrep.exe" /spath="%USERPROFILE%\AppData\Local\Temp\OnboardLogs" /stypes="app*4037*20170207*" /stext=" 17:.+((SYSTEM_STATE.+slice.+state.+changed )|(ment ac)|(multiple cpu faults)|(system.+state.+changed )|(\[timeout)|(PRM\|1\|D)|(kpr)|(kdp)|(\|lc)|(penalty))" /e /r /s</v>
      </c>
      <c r="AG54" s="1" t="str">
        <f>IFERROR(IF(VALUE(LEFT(AD54,2))&lt;=2,"EC",IF(OR(VALUE(LEFT(AD54,2))=8,VALUE(LEFT(AD54,2))=18),"NW","Other")),"Other")</f>
        <v>EC</v>
      </c>
      <c r="AH54" s="86" t="str">
        <f t="shared" si="3"/>
        <v>"%USERPROFILE%\Documents\GitHub\eaglep3\Utilities\RefineRTDCRunTimes.py" --tripid 142-07 --locoid 4037 --swversion DE.1.0.8.0 --startMP 204:233009 --initTime 2017-02-07T09:34:24 --startdatetime 2017-02-07T09:41:16 --delay 1 --endMP 204:156 --enddatetime 2017-02-07T10:20:27 --enforcementcount 0 &gt;&gt;C:\Users\stu\Documents\GitHub\eaglep3-reporting\EC\2017-02-07-refined-times.txt</v>
      </c>
      <c r="AI54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{"issue":{"subject":"","project_id":79,"tracker_id":40,"status_id":1,"priority_id":2,"assigned_to_id":23,"start_date":"2017-02-07","description":"","custom_fields":[{"id":1,"name":"Subdivision","value":"EC"},{"id":4,"name":"Milepost","value":"0.0156"},{"id":17,"name":"Train ID","value":"142-07"},{"id":16,"name":"Locomotive ID","value":"4037"},{"id":130,"name":"Impact","value":""},{"id":150,"name":"Time of Event (Mountain Time)","value":"10:20:27"},{"id":151,"name":"Denver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48"/>
      <c r="AK54" s="48"/>
      <c r="AL54" s="48"/>
      <c r="AM54" s="158" t="str">
        <f t="shared" si="5"/>
        <v>start /low /b %USERPROFILE%\Documents\GitHub\eaglep3\Utilities\DownloadLogsFromS3.py --loco 4037 --day 2017-02-07</v>
      </c>
      <c r="AN54" s="167" t="str">
        <f>"grep -SE -B400 ""CHR.+\|PRM\|1\|D.+(SWITCH|SIGNAL).+UNKNOWN"" "&amp;search_path&amp;"\RTDC"&amp;B54&amp;"\*"&amp;B54&amp;"*"&amp;TEXT(AVERAGE(F54,I54)-utc_offset/24,"YYYYMMDD")&amp;"*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"%USERPROFILE%\AppData\Local\Temp\OnboardLogs"\RTDC4037\*4037*20170207* | grep -SE "(Enforcement Action)|(\[TIMEOUT)|(CHR.+\|PRM\|1\|D.+(SWITCH|SIGNAL).+UNKNOWN)" - &gt;&gt; 2017-02-07-UncaughtWiMAX.txt</v>
      </c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3" t="s">
        <v>469</v>
      </c>
      <c r="B55" s="7">
        <v>4031</v>
      </c>
      <c r="C55" s="21" t="s">
        <v>193</v>
      </c>
      <c r="D55" s="21" t="s">
        <v>225</v>
      </c>
      <c r="E55" s="13">
        <v>42773.373298611114</v>
      </c>
      <c r="F55" s="13">
        <v>42773.37537037037</v>
      </c>
      <c r="G55" s="7">
        <v>1</v>
      </c>
      <c r="H55" s="21" t="s">
        <v>389</v>
      </c>
      <c r="I55" s="13">
        <v>42773.400370370371</v>
      </c>
      <c r="J55" s="7">
        <v>0</v>
      </c>
      <c r="K55" s="98" t="str">
        <f>IF(ISEVEN(B55),(B55-1)&amp;"/"&amp;B55,B55&amp;"/"&amp;(B55+1))</f>
        <v>4031/4032</v>
      </c>
      <c r="L55" s="21" t="str">
        <f>VLOOKUP(A55,'Trips&amp;Operators'!$C$1:$G$99999,5,FALSE)</f>
        <v>ROCHA YAOTL</v>
      </c>
      <c r="M55" s="6">
        <f>I55-F55</f>
        <v>2.5000000001455192E-2</v>
      </c>
      <c r="N55" s="7">
        <f>24*60*SUM($M55:$M55)</f>
        <v>36.000000002095476</v>
      </c>
      <c r="O55" s="7"/>
      <c r="P55" s="7"/>
      <c r="Q55" s="22"/>
      <c r="R55" s="22"/>
      <c r="S55" s="31">
        <f>SUM(U55:U55)/IF(AG55="EC",12,1)</f>
        <v>1</v>
      </c>
      <c r="T55" s="46" t="str">
        <f>IF(ISEVEN(LEFT(AD55,4)),"Southbound","NorthBound")</f>
        <v>NorthBound</v>
      </c>
      <c r="U55" s="190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191" t="str">
        <f>"https://d0f6bd738d7f1b3e5a7ca70fe4ff75f0.us-east-1.aws.found.io/app/kibana#/discover/Steve-Slow-Train-Analysis-(2080s-and-2083s)?_g="&amp;"(refreshInterval:(display:Off,pause:!f,section:0,value:0),time:(from:'"&amp;TEXT(E55-1/24,"yyyy-MM-DDThh:mm:ss")&amp;utc_offset&amp;"00"&amp;"',mode:absolute,to:'"&amp;TEXT(I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55&amp;"%22')),sort:!(Time.ISO8601,asc))"</f>
        <v>https://d0f6bd738d7f1b3e5a7ca70fe4ff75f0.us-east-1.aws.found.io/app/kibana#/discover/Steve-Slow-Train-Analysis-(2080s-and-2083s)?_g=(refreshInterval:(display:Off,pause:!f,section:0,value:0),time:(from:'2017-02-07T07:57:33-0700',mode:absolute,to:'2017-02-07T10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55" s="192" t="str">
        <f>IF(AA55&lt;IF(AG55="EC",23,5.65),"Y","N")</f>
        <v>N</v>
      </c>
      <c r="X55" s="192">
        <f>VALUE(LEFT(AD55,4))-VALUE(LEFT(AD54,4))</f>
        <v>1</v>
      </c>
      <c r="Y55" s="62">
        <f>RIGHT(D55,LEN(D55)-4)/10000</f>
        <v>4.58E-2</v>
      </c>
      <c r="Z55" s="62">
        <f>RIGHT(H55,LEN(H55)-4)/10000</f>
        <v>23.331900000000001</v>
      </c>
      <c r="AA55" s="62">
        <f>ABS(Z55-Y55)</f>
        <v>23.286100000000001</v>
      </c>
      <c r="AB55" s="59" t="str">
        <f>VLOOKUP(A55,Enforcements!$C$7:$K$14,8,0)</f>
        <v>Bulletin (2)</v>
      </c>
      <c r="AC55" s="55" t="str">
        <f>VLOOKUP(A55,Enforcements!$C$7:$E$14,3,0)</f>
        <v>GRADE CROSSING</v>
      </c>
      <c r="AD55" s="56" t="str">
        <f>IF(LEN(A55)=6,"0"&amp;A55,A55)</f>
        <v>0143-07</v>
      </c>
      <c r="AE55" s="85" t="str">
        <f>"aws s3 cp "&amp;s3_bucket&amp;"/RTDC"&amp;B55&amp;"/ "&amp;search_path&amp;"\RTDC"&amp;B55&amp;"\"&amp;TEXT(F55,"YYYY-MM-DD")&amp;" --exclude ""*"" --recursive --include ""*"&amp;TEXT(F55,"YYYYMMDD")&amp;"*"" &amp; """&amp;walkandungz&amp;""" "&amp;search_path&amp;"\RTDC"&amp;B55&amp;"\"&amp;TEXT(F55,"YYYY-MM-DD")
&amp;" &amp; "&amp;"aws s3 cp "&amp;s3_bucket&amp;"/RTDC"&amp;B55&amp;"/ "&amp;search_path&amp;"\RTDC"&amp;B55&amp;"\"&amp;TEXT(F55+1,"YYYY-MM-DD")&amp;" --exclude ""*"" --recursive --include ""*"&amp;TEXT(F55+1,"YYYYMMDD")&amp;"*"" &amp; """&amp;walkandungz&amp;""" "&amp;search_path&amp;"\RTDC"&amp;B55&amp;"\"&amp;TEXT(F55+1,"YYYY-MM-DD")</f>
        <v>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 &amp; aws s3 cp s3://rtdc.mdm.uploadarchive.raw/RTDC4031/ "%USERPROFILE%\AppData\Local\Temp\OnboardLogs"\RTDC4031\2017-02-08 --exclude "*" --recursive --include "*20170208*" &amp; "%USERPROFILE%\Documents\GitHub\mrs-test-scripts\Headless Mode &amp; Sideloading\WalkAndUnGZ.bat" "%USERPROFILE%\AppData\Local\Temp\OnboardLogs"\RTDC4031\2017-02-08</v>
      </c>
      <c r="AF55" s="82" t="str">
        <f>astrogrep_path&amp;" /spath="&amp;search_path&amp;" /stypes=""app*"&amp;B55&amp;"*"&amp;TEXT(I55-utc_offset/24,"YYYYMMDD")&amp;"*"" /stext="" "&amp;TEXT(I55-utc_offset/24,"HH")&amp;search_regexp&amp;""" /e /r /s"</f>
        <v>"C:\Program Files (x86)\AstroGrep\AstroGrep.exe" /spath="%USERPROFILE%\AppData\Local\Temp\OnboardLogs" /stypes="app*4031*20170207*" /stext=" 16:.+((SYSTEM_STATE.+slice.+state.+changed )|(ment ac)|(multiple cpu faults)|(system.+state.+changed )|(\[timeout)|(PRM\|1\|D)|(kpr)|(kdp)|(\|lc)|(penalty))" /e /r /s</v>
      </c>
      <c r="AG55" s="1" t="str">
        <f>IFERROR(IF(VALUE(LEFT(AD55,2))&lt;=2,"EC",IF(OR(VALUE(LEFT(AD55,2))=8,VALUE(LEFT(AD55,2))=18),"NW","Other")),"Other")</f>
        <v>EC</v>
      </c>
      <c r="AH55" s="86" t="str">
        <f t="shared" si="3"/>
        <v>"%USERPROFILE%\Documents\GitHub\eaglep3\Utilities\RefineRTDCRunTimes.py" --tripid 143-07 --locoid 4031 --swversion DE.1.0.8.0 --startMP 204:458 --initTime 2017-02-07T08:57:33 --startdatetime 2017-02-07T09:00:32 --delay 1 --endMP 204:233319 --enddatetime 2017-02-07T09:36:32 --enforcementcount 0 &gt;&gt;C:\Users\stu\Documents\GitHub\eaglep3-reporting\EC\2017-02-07-refined-times.txt</v>
      </c>
      <c r="AI55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{"issue":{"subject":"","project_id":79,"tracker_id":40,"status_id":1,"priority_id":2,"assigned_to_id":23,"start_date":"2017-02-07","description":"","custom_fields":[{"id":1,"name":"Subdivision","value":"EC"},{"id":4,"name":"Milepost","value":"23.3319"},{"id":17,"name":"Train ID","value":"143-07"},{"id":16,"name":"Locomotive ID","value":"4031"},{"id":130,"name":"Impact","value":""},{"id":150,"name":"Time of Event (Mountain Time)","value":"09:36:32"},{"id":151,"name":"Denver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48"/>
      <c r="AK55" s="48"/>
      <c r="AL55" s="48"/>
      <c r="AM55" s="158" t="str">
        <f t="shared" si="5"/>
        <v>start /low /b %USERPROFILE%\Documents\GitHub\eaglep3\Utilities\DownloadLogsFromS3.py --loco 4031 --day 2017-02-07</v>
      </c>
      <c r="AN55" s="167" t="str">
        <f>"grep -SE -B400 ""CHR.+\|PRM\|1\|D.+(SWITCH|SIGNAL).+UNKNOWN"" "&amp;search_path&amp;"\RTDC"&amp;B55&amp;"\*"&amp;B55&amp;"*"&amp;TEXT(AVERAGE(F55,I55)-utc_offset/24,"YYYYMMDD")&amp;"*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"%USERPROFILE%\AppData\Local\Temp\OnboardLogs"\RTDC4031\*4031*20170207* | grep -SE "(Enforcement Action)|(\[TIMEOUT)|(CHR.+\|PRM\|1\|D.+(SWITCH|SIGNAL).+UNKNOWN)" - &gt;&gt; 2017-02-07-UncaughtWiMAX.txt</v>
      </c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1" customFormat="1" x14ac:dyDescent="0.25">
      <c r="A56" s="33" t="s">
        <v>569</v>
      </c>
      <c r="B56" s="7">
        <v>4032</v>
      </c>
      <c r="C56" s="21" t="s">
        <v>193</v>
      </c>
      <c r="D56" s="21" t="s">
        <v>735</v>
      </c>
      <c r="E56" s="13">
        <v>42773.412523148145</v>
      </c>
      <c r="F56" s="13">
        <v>42773.4141087963</v>
      </c>
      <c r="G56" s="7">
        <v>0</v>
      </c>
      <c r="H56" s="21" t="s">
        <v>286</v>
      </c>
      <c r="I56" s="13">
        <v>42773.439814814818</v>
      </c>
      <c r="J56" s="7">
        <v>0</v>
      </c>
      <c r="K56" s="98" t="str">
        <f>IF(ISEVEN(B56),(B56-1)&amp;"/"&amp;B56,B56&amp;"/"&amp;(B56+1))</f>
        <v>4031/4032</v>
      </c>
      <c r="L56" s="21" t="str">
        <f>VLOOKUP(A56,'Trips&amp;Operators'!$C$1:$G$99999,5,FALSE)</f>
        <v>ROCHA YAOTL</v>
      </c>
      <c r="M56" s="6">
        <f>I56-F56</f>
        <v>2.5706018517666962E-2</v>
      </c>
      <c r="N56" s="7">
        <f>24*60*SUM($M56:$M56)</f>
        <v>37.016666665440425</v>
      </c>
      <c r="O56" s="7"/>
      <c r="P56" s="7"/>
      <c r="Q56" s="22"/>
      <c r="R56" s="22"/>
      <c r="S56" s="31">
        <f>SUM(U56:U56)/IF(AG56="EC",12,1)</f>
        <v>1</v>
      </c>
      <c r="T56" s="46" t="str">
        <f>IF(ISEVEN(LEFT(AD56,4)),"Southbound","NorthBound")</f>
        <v>Southbound</v>
      </c>
      <c r="U56" s="190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191" t="str">
        <f>"https://d0f6bd738d7f1b3e5a7ca70fe4ff75f0.us-east-1.aws.found.io/app/kibana#/discover/Steve-Slow-Train-Analysis-(2080s-and-2083s)?_g="&amp;"(refreshInterval:(display:Off,pause:!f,section:0,value:0),time:(from:'"&amp;TEXT(E56-1/24,"yyyy-MM-DDThh:mm:ss")&amp;utc_offset&amp;"00"&amp;"',mode:absolute,to:'"&amp;TEXT(I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56&amp;"%22')),sort:!(Time.ISO8601,asc))"</f>
        <v>https://d0f6bd738d7f1b3e5a7ca70fe4ff75f0.us-east-1.aws.found.io/app/kibana#/discover/Steve-Slow-Train-Analysis-(2080s-and-2083s)?_g=(refreshInterval:(display:Off,pause:!f,section:0,value:0),time:(from:'2017-02-07T08:54:02-0700',mode:absolute,to:'2017-02-07T11:33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56" s="192" t="str">
        <f>IF(AA56&lt;IF(AG56="EC",23,5.65),"Y","N")</f>
        <v>N</v>
      </c>
      <c r="X56" s="192">
        <f>VALUE(LEFT(AD56,4))-VALUE(LEFT(AD55,4))</f>
        <v>1</v>
      </c>
      <c r="Y56" s="62">
        <f>RIGHT(D56,LEN(D56)-4)/10000</f>
        <v>23.302499999999998</v>
      </c>
      <c r="Z56" s="62">
        <f>RIGHT(H56,LEN(H56)-4)/10000</f>
        <v>1.5599999999999999E-2</v>
      </c>
      <c r="AA56" s="62">
        <f>ABS(Z56-Y56)</f>
        <v>23.286899999999999</v>
      </c>
      <c r="AB56" s="59" t="e">
        <f>VLOOKUP(A56,Enforcements!$C$7:$K$14,8,0)</f>
        <v>#N/A</v>
      </c>
      <c r="AC56" s="55" t="e">
        <f>VLOOKUP(A56,Enforcements!$C$7:$E$14,3,0)</f>
        <v>#N/A</v>
      </c>
      <c r="AD56" s="56" t="str">
        <f>IF(LEN(A56)=6,"0"&amp;A56,A56)</f>
        <v>0144-07</v>
      </c>
      <c r="AE56" s="85" t="str">
        <f>"aws s3 cp "&amp;s3_bucket&amp;"/RTDC"&amp;B56&amp;"/ "&amp;search_path&amp;"\RTDC"&amp;B56&amp;"\"&amp;TEXT(F56,"YYYY-MM-DD")&amp;" --exclude ""*"" --recursive --include ""*"&amp;TEXT(F56,"YYYYMMDD")&amp;"*"" &amp; """&amp;walkandungz&amp;""" "&amp;search_path&amp;"\RTDC"&amp;B56&amp;"\"&amp;TEXT(F56,"YYYY-MM-DD")
&amp;" &amp; "&amp;"aws s3 cp "&amp;s3_bucket&amp;"/RTDC"&amp;B56&amp;"/ "&amp;search_path&amp;"\RTDC"&amp;B56&amp;"\"&amp;TEXT(F56+1,"YYYY-MM-DD")&amp;" --exclude ""*"" --recursive --include ""*"&amp;TEXT(F56+1,"YYYYMMDD")&amp;"*"" &amp; """&amp;walkandungz&amp;""" "&amp;search_path&amp;"\RTDC"&amp;B56&amp;"\"&amp;TEXT(F56+1,"YYYY-MM-DD")</f>
        <v>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 &amp; aws s3 cp s3://rtdc.mdm.uploadarchive.raw/RTDC4032/ "%USERPROFILE%\AppData\Local\Temp\OnboardLogs"\RTDC4032\2017-02-08 --exclude "*" --recursive --include "*20170208*" &amp; "%USERPROFILE%\Documents\GitHub\mrs-test-scripts\Headless Mode &amp; Sideloading\WalkAndUnGZ.bat" "%USERPROFILE%\AppData\Local\Temp\OnboardLogs"\RTDC4032\2017-02-08</v>
      </c>
      <c r="AF56" s="82" t="str">
        <f>astrogrep_path&amp;" /spath="&amp;search_path&amp;" /stypes=""app*"&amp;B56&amp;"*"&amp;TEXT(I56-utc_offset/24,"YYYYMMDD")&amp;"*"" /stext="" "&amp;TEXT(I56-utc_offset/24,"HH")&amp;search_regexp&amp;""" /e /r /s"</f>
        <v>"C:\Program Files (x86)\AstroGrep\AstroGrep.exe" /spath="%USERPROFILE%\AppData\Local\Temp\OnboardLogs" /stypes="app*4032*20170207*" /stext=" 17:.+((SYSTEM_STATE.+slice.+state.+changed )|(ment ac)|(multiple cpu faults)|(system.+state.+changed )|(\[timeout)|(PRM\|1\|D)|(kpr)|(kdp)|(\|lc)|(penalty))" /e /r /s</v>
      </c>
      <c r="AG56" s="1" t="str">
        <f>IFERROR(IF(VALUE(LEFT(AD56,2))&lt;=2,"EC",IF(OR(VALUE(LEFT(AD56,2))=8,VALUE(LEFT(AD56,2))=18),"NW","Other")),"Other")</f>
        <v>EC</v>
      </c>
      <c r="AH56" s="86" t="str">
        <f t="shared" si="3"/>
        <v>"%USERPROFILE%\Documents\GitHub\eaglep3\Utilities\RefineRTDCRunTimes.py" --tripid 144-07 --locoid 4032 --swversion DE.1.0.8.0 --startMP 204:233025 --initTime 2017-02-07T09:54:02 --startdatetime 2017-02-07T09:56:19 --delay 0 --endMP 204:156 --enddatetime 2017-02-07T10:33:20 --enforcementcount 0 &gt;&gt;C:\Users\stu\Documents\GitHub\eaglep3-reporting\EC\2017-02-07-refined-times.txt</v>
      </c>
      <c r="AI56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{"issue":{"subject":"","project_id":79,"tracker_id":40,"status_id":1,"priority_id":2,"assigned_to_id":23,"start_date":"2017-02-07","description":"","custom_fields":[{"id":1,"name":"Subdivision","value":"EC"},{"id":4,"name":"Milepost","value":"0.0156"},{"id":17,"name":"Train ID","value":"144-07"},{"id":16,"name":"Locomotive ID","value":"4032"},{"id":130,"name":"Impact","value":""},{"id":150,"name":"Time of Event (Mountain Time)","value":"10:33:20"},{"id":151,"name":"Denver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48"/>
      <c r="AK56" s="48"/>
      <c r="AL56" s="48"/>
      <c r="AM56" s="158" t="str">
        <f t="shared" si="5"/>
        <v>start /low /b %USERPROFILE%\Documents\GitHub\eaglep3\Utilities\DownloadLogsFromS3.py --loco 4032 --day 2017-02-07</v>
      </c>
      <c r="AN56" s="167" t="str">
        <f>"grep -SE -B400 ""CHR.+\|PRM\|1\|D.+(SWITCH|SIGNAL).+UNKNOWN"" "&amp;search_path&amp;"\RTDC"&amp;B56&amp;"\*"&amp;B56&amp;"*"&amp;TEXT(AVERAGE(F56,I56)-utc_offset/24,"YYYYMMDD")&amp;"*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"%USERPROFILE%\AppData\Local\Temp\OnboardLogs"\RTDC4032\*4032*20170207* | grep -SE "(Enforcement Action)|(\[TIMEOUT)|(CHR.+\|PRM\|1\|D.+(SWITCH|SIGNAL).+UNKNOWN)" - &gt;&gt; 2017-02-07-UncaughtWiMAX.txt</v>
      </c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3" t="s">
        <v>470</v>
      </c>
      <c r="B57" s="7">
        <v>4025</v>
      </c>
      <c r="C57" s="21" t="s">
        <v>193</v>
      </c>
      <c r="D57" s="21" t="s">
        <v>225</v>
      </c>
      <c r="E57" s="13">
        <v>42773.380486111113</v>
      </c>
      <c r="F57" s="13">
        <v>42773.385682870372</v>
      </c>
      <c r="G57" s="7">
        <v>1</v>
      </c>
      <c r="H57" s="21" t="s">
        <v>736</v>
      </c>
      <c r="I57" s="13">
        <v>42773.412060185183</v>
      </c>
      <c r="J57" s="7">
        <v>0</v>
      </c>
      <c r="K57" s="98" t="str">
        <f>IF(ISEVEN(B57),(B57-1)&amp;"/"&amp;B57,B57&amp;"/"&amp;(B57+1))</f>
        <v>4025/4026</v>
      </c>
      <c r="L57" s="21" t="str">
        <f>VLOOKUP(A57,'Trips&amp;Operators'!$C$1:$G$99999,5,FALSE)</f>
        <v>MAELZER KURT</v>
      </c>
      <c r="M57" s="6">
        <f>I57-F57</f>
        <v>2.6377314810815733E-2</v>
      </c>
      <c r="N57" s="7">
        <f>24*60*SUM($M57:$M57)</f>
        <v>37.983333327574655</v>
      </c>
      <c r="O57" s="7"/>
      <c r="P57" s="7"/>
      <c r="Q57" s="22"/>
      <c r="R57" s="22"/>
      <c r="S57" s="31">
        <f>SUM(U57:U57)/IF(AG57="EC",12,1)</f>
        <v>1</v>
      </c>
      <c r="T57" s="46" t="str">
        <f>IF(ISEVEN(LEFT(AD57,4)),"Southbound","NorthBound")</f>
        <v>NorthBound</v>
      </c>
      <c r="U57" s="190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191" t="str">
        <f>"https://d0f6bd738d7f1b3e5a7ca70fe4ff75f0.us-east-1.aws.found.io/app/kibana#/discover/Steve-Slow-Train-Analysis-(2080s-and-2083s)?_g="&amp;"(refreshInterval:(display:Off,pause:!f,section:0,value:0),time:(from:'"&amp;TEXT(E57-1/24,"yyyy-MM-DDThh:mm:ss")&amp;utc_offset&amp;"00"&amp;"',mode:absolute,to:'"&amp;TEXT(I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57&amp;"%22')),sort:!(Time.ISO8601,asc))"</f>
        <v>https://d0f6bd738d7f1b3e5a7ca70fe4ff75f0.us-east-1.aws.found.io/app/kibana#/discover/Steve-Slow-Train-Analysis-(2080s-and-2083s)?_g=(refreshInterval:(display:Off,pause:!f,section:0,value:0),time:(from:'2017-02-07T08:07:54-0700',mode:absolute,to:'2017-02-07T10:53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57" s="192" t="str">
        <f>IF(AA57&lt;IF(AG57="EC",23,5.65),"Y","N")</f>
        <v>N</v>
      </c>
      <c r="X57" s="192">
        <f>VALUE(LEFT(AD57,4))-VALUE(LEFT(AD56,4))</f>
        <v>1</v>
      </c>
      <c r="Y57" s="62">
        <f>RIGHT(D57,LEN(D57)-4)/10000</f>
        <v>4.58E-2</v>
      </c>
      <c r="Z57" s="62">
        <f>RIGHT(H57,LEN(H57)-4)/10000</f>
        <v>23.331099999999999</v>
      </c>
      <c r="AA57" s="62">
        <f>ABS(Z57-Y57)</f>
        <v>23.285299999999999</v>
      </c>
      <c r="AB57" s="59" t="str">
        <f>VLOOKUP(A57,Enforcements!$C$7:$K$14,8,0)</f>
        <v>Signal based authority (5)</v>
      </c>
      <c r="AC57" s="55" t="str">
        <f>VLOOKUP(A57,Enforcements!$C$7:$E$14,3,0)</f>
        <v>SIGNAL</v>
      </c>
      <c r="AD57" s="56" t="str">
        <f>IF(LEN(A57)=6,"0"&amp;A57,A57)</f>
        <v>0145-07</v>
      </c>
      <c r="AE57" s="85" t="str">
        <f>"aws s3 cp "&amp;s3_bucket&amp;"/RTDC"&amp;B57&amp;"/ "&amp;search_path&amp;"\RTDC"&amp;B57&amp;"\"&amp;TEXT(F57,"YYYY-MM-DD")&amp;" --exclude ""*"" --recursive --include ""*"&amp;TEXT(F57,"YYYYMMDD")&amp;"*"" &amp; """&amp;walkandungz&amp;""" "&amp;search_path&amp;"\RTDC"&amp;B57&amp;"\"&amp;TEXT(F57,"YYYY-MM-DD")
&amp;" &amp; "&amp;"aws s3 cp "&amp;s3_bucket&amp;"/RTDC"&amp;B57&amp;"/ "&amp;search_path&amp;"\RTDC"&amp;B57&amp;"\"&amp;TEXT(F57+1,"YYYY-MM-DD")&amp;" --exclude ""*"" --recursive --include ""*"&amp;TEXT(F57+1,"YYYYMMDD")&amp;"*"" &amp; """&amp;walkandungz&amp;""" "&amp;search_path&amp;"\RTDC"&amp;B57&amp;"\"&amp;TEXT(F57+1,"YYYY-MM-DD")</f>
        <v>aws s3 cp s3://rtdc.mdm.uploadarchive.raw/RTDC4025/ "%USERPROFILE%\AppData\Local\Temp\OnboardLogs"\RTDC4025\2017-02-07 --exclude "*" --recursive --include "*20170207*" &amp; "%USERPROFILE%\Documents\GitHub\mrs-test-scripts\Headless Mode &amp; Sideloading\WalkAndUnGZ.bat" "%USERPROFILE%\AppData\Local\Temp\OnboardLogs"\RTDC4025\2017-02-07 &amp; aws s3 cp s3://rtdc.mdm.uploadarchive.raw/RTDC4025/ "%USERPROFILE%\AppData\Local\Temp\OnboardLogs"\RTDC4025\2017-02-08 --exclude "*" --recursive --include "*20170208*" &amp; "%USERPROFILE%\Documents\GitHub\mrs-test-scripts\Headless Mode &amp; Sideloading\WalkAndUnGZ.bat" "%USERPROFILE%\AppData\Local\Temp\OnboardLogs"\RTDC4025\2017-02-08</v>
      </c>
      <c r="AF57" s="82" t="str">
        <f>astrogrep_path&amp;" /spath="&amp;search_path&amp;" /stypes=""app*"&amp;B57&amp;"*"&amp;TEXT(I57-utc_offset/24,"YYYYMMDD")&amp;"*"" /stext="" "&amp;TEXT(I57-utc_offset/24,"HH")&amp;search_regexp&amp;""" /e /r /s"</f>
        <v>"C:\Program Files (x86)\AstroGrep\AstroGrep.exe" /spath="%USERPROFILE%\AppData\Local\Temp\OnboardLogs" /stypes="app*4025*20170207*" /stext=" 16:.+((SYSTEM_STATE.+slice.+state.+changed )|(ment ac)|(multiple cpu faults)|(system.+state.+changed )|(\[timeout)|(PRM\|1\|D)|(kpr)|(kdp)|(\|lc)|(penalty))" /e /r /s</v>
      </c>
      <c r="AG57" s="1" t="str">
        <f>IFERROR(IF(VALUE(LEFT(AD57,2))&lt;=2,"EC",IF(OR(VALUE(LEFT(AD57,2))=8,VALUE(LEFT(AD57,2))=18),"NW","Other")),"Other")</f>
        <v>EC</v>
      </c>
      <c r="AH57" s="86" t="str">
        <f t="shared" si="3"/>
        <v>"%USERPROFILE%\Documents\GitHub\eaglep3\Utilities\RefineRTDCRunTimes.py" --tripid 145-07 --locoid 4025 --swversion DE.1.0.8.0 --startMP 204:458 --initTime 2017-02-07T09:07:54 --startdatetime 2017-02-07T09:15:23 --delay 1 --endMP 204:233311 --enddatetime 2017-02-07T09:53:22 --enforcementcount 0 &gt;&gt;C:\Users\stu\Documents\GitHub\eaglep3-reporting\EC\2017-02-07-refined-times.txt</v>
      </c>
      <c r="AI57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{"issue":{"subject":"","project_id":79,"tracker_id":40,"status_id":1,"priority_id":2,"assigned_to_id":23,"start_date":"2017-02-07","description":"","custom_fields":[{"id":1,"name":"Subdivision","value":"EC"},{"id":4,"name":"Milepost","value":"23.3311"},{"id":17,"name":"Train ID","value":"145-07"},{"id":16,"name":"Locomotive ID","value":"4025"},{"id":130,"name":"Impact","value":""},{"id":150,"name":"Time of Event (Mountain Time)","value":"09:53:22"},{"id":151,"name":"Denver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48"/>
      <c r="AK57" s="48"/>
      <c r="AL57" s="48"/>
      <c r="AM57" s="158" t="str">
        <f t="shared" si="5"/>
        <v>start /low /b %USERPROFILE%\Documents\GitHub\eaglep3\Utilities\DownloadLogsFromS3.py --loco 4025 --day 2017-02-07</v>
      </c>
      <c r="AN57" s="167" t="str">
        <f>"grep -SE -B400 ""CHR.+\|PRM\|1\|D.+(SWITCH|SIGNAL).+UNKNOWN"" "&amp;search_path&amp;"\RTDC"&amp;B57&amp;"\*"&amp;B57&amp;"*"&amp;TEXT(AVERAGE(F57,I57)-utc_offset/24,"YYYYMMDD")&amp;"*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"%USERPROFILE%\AppData\Local\Temp\OnboardLogs"\RTDC4025\*4025*20170207* | grep -SE "(Enforcement Action)|(\[TIMEOUT)|(CHR.+\|PRM\|1\|D.+(SWITCH|SIGNAL).+UNKNOWN)" - &gt;&gt; 2017-02-07-UncaughtWiMAX.txt</v>
      </c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3" t="s">
        <v>571</v>
      </c>
      <c r="B58" s="7">
        <v>4026</v>
      </c>
      <c r="C58" s="21" t="s">
        <v>193</v>
      </c>
      <c r="D58" s="21" t="s">
        <v>304</v>
      </c>
      <c r="E58" s="13">
        <v>42773.416539351849</v>
      </c>
      <c r="F58" s="13">
        <v>42773.424699074072</v>
      </c>
      <c r="G58" s="7">
        <v>1</v>
      </c>
      <c r="H58" s="21" t="s">
        <v>224</v>
      </c>
      <c r="I58" s="13">
        <v>42773.451539351852</v>
      </c>
      <c r="J58" s="7">
        <v>0</v>
      </c>
      <c r="K58" s="98" t="str">
        <f>IF(ISEVEN(B58),(B58-1)&amp;"/"&amp;B58,B58&amp;"/"&amp;(B58+1))</f>
        <v>4025/4026</v>
      </c>
      <c r="L58" s="21" t="str">
        <f>VLOOKUP(A58,'Trips&amp;Operators'!$C$1:$G$99999,5,FALSE)</f>
        <v>MAELZER KURT</v>
      </c>
      <c r="M58" s="6">
        <f>I58-F58</f>
        <v>2.6840277780138422E-2</v>
      </c>
      <c r="N58" s="7">
        <f>24*60*SUM($M58:$M58)</f>
        <v>38.650000003399327</v>
      </c>
      <c r="O58" s="7"/>
      <c r="P58" s="7"/>
      <c r="Q58" s="22"/>
      <c r="R58" s="22"/>
      <c r="S58" s="31">
        <f>SUM(U58:U58)/IF(AG58="EC",12,1)</f>
        <v>1</v>
      </c>
      <c r="T58" s="46" t="str">
        <f>IF(ISEVEN(LEFT(AD58,4)),"Southbound","NorthBound")</f>
        <v>Southbound</v>
      </c>
      <c r="U58" s="190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191" t="str">
        <f>"https://d0f6bd738d7f1b3e5a7ca70fe4ff75f0.us-east-1.aws.found.io/app/kibana#/discover/Steve-Slow-Train-Analysis-(2080s-and-2083s)?_g="&amp;"(refreshInterval:(display:Off,pause:!f,section:0,value:0),time:(from:'"&amp;TEXT(E58-1/24,"yyyy-MM-DDThh:mm:ss")&amp;utc_offset&amp;"00"&amp;"',mode:absolute,to:'"&amp;TEXT(I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58&amp;"%22')),sort:!(Time.ISO8601,asc))"</f>
        <v>https://d0f6bd738d7f1b3e5a7ca70fe4ff75f0.us-east-1.aws.found.io/app/kibana#/discover/Steve-Slow-Train-Analysis-(2080s-and-2083s)?_g=(refreshInterval:(display:Off,pause:!f,section:0,value:0),time:(from:'2017-02-07T08:59:49-0700',mode:absolute,to:'2017-02-07T11:50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58" s="192" t="str">
        <f>IF(AA58&lt;IF(AG58="EC",23,5.65),"Y","N")</f>
        <v>N</v>
      </c>
      <c r="X58" s="192">
        <f>VALUE(LEFT(AD58,4))-VALUE(LEFT(AD57,4))</f>
        <v>1</v>
      </c>
      <c r="Y58" s="62">
        <f>RIGHT(D58,LEN(D58)-4)/10000</f>
        <v>23.299800000000001</v>
      </c>
      <c r="Z58" s="62">
        <f>RIGHT(H58,LEN(H58)-4)/10000</f>
        <v>1.54E-2</v>
      </c>
      <c r="AA58" s="62">
        <f>ABS(Z58-Y58)</f>
        <v>23.284400000000002</v>
      </c>
      <c r="AB58" s="59" t="e">
        <f>VLOOKUP(A58,Enforcements!$C$7:$K$14,8,0)</f>
        <v>#N/A</v>
      </c>
      <c r="AC58" s="55" t="e">
        <f>VLOOKUP(A58,Enforcements!$C$7:$E$14,3,0)</f>
        <v>#N/A</v>
      </c>
      <c r="AD58" s="56" t="str">
        <f>IF(LEN(A58)=6,"0"&amp;A58,A58)</f>
        <v>0146-07</v>
      </c>
      <c r="AE58" s="85" t="str">
        <f>"aws s3 cp "&amp;s3_bucket&amp;"/RTDC"&amp;B58&amp;"/ "&amp;search_path&amp;"\RTDC"&amp;B58&amp;"\"&amp;TEXT(F58,"YYYY-MM-DD")&amp;" --exclude ""*"" --recursive --include ""*"&amp;TEXT(F58,"YYYYMMDD")&amp;"*"" &amp; """&amp;walkandungz&amp;""" "&amp;search_path&amp;"\RTDC"&amp;B58&amp;"\"&amp;TEXT(F58,"YYYY-MM-DD")
&amp;" &amp; "&amp;"aws s3 cp "&amp;s3_bucket&amp;"/RTDC"&amp;B58&amp;"/ "&amp;search_path&amp;"\RTDC"&amp;B58&amp;"\"&amp;TEXT(F58+1,"YYYY-MM-DD")&amp;" --exclude ""*"" --recursive --include ""*"&amp;TEXT(F58+1,"YYYYMMDD")&amp;"*"" &amp; """&amp;walkandungz&amp;""" "&amp;search_path&amp;"\RTDC"&amp;B58&amp;"\"&amp;TEXT(F58+1,"YYYY-MM-DD")</f>
        <v>aws s3 cp s3://rtdc.mdm.uploadarchive.raw/RTDC4026/ "%USERPROFILE%\AppData\Local\Temp\OnboardLogs"\RTDC4026\2017-02-07 --exclude "*" --recursive --include "*20170207*" &amp; "%USERPROFILE%\Documents\GitHub\mrs-test-scripts\Headless Mode &amp; Sideloading\WalkAndUnGZ.bat" "%USERPROFILE%\AppData\Local\Temp\OnboardLogs"\RTDC4026\2017-02-07 &amp; 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</v>
      </c>
      <c r="AF58" s="82" t="str">
        <f>astrogrep_path&amp;" /spath="&amp;search_path&amp;" /stypes=""app*"&amp;B58&amp;"*"&amp;TEXT(I58-utc_offset/24,"YYYYMMDD")&amp;"*"" /stext="" "&amp;TEXT(I58-utc_offset/24,"HH")&amp;search_regexp&amp;""" /e /r /s"</f>
        <v>"C:\Program Files (x86)\AstroGrep\AstroGrep.exe" /spath="%USERPROFILE%\AppData\Local\Temp\OnboardLogs" /stypes="app*4026*20170207*" /stext=" 17:.+((SYSTEM_STATE.+slice.+state.+changed )|(ment ac)|(multiple cpu faults)|(system.+state.+changed )|(\[timeout)|(PRM\|1\|D)|(kpr)|(kdp)|(\|lc)|(penalty))" /e /r /s</v>
      </c>
      <c r="AG58" s="1" t="str">
        <f>IFERROR(IF(VALUE(LEFT(AD58,2))&lt;=2,"EC",IF(OR(VALUE(LEFT(AD58,2))=8,VALUE(LEFT(AD58,2))=18),"NW","Other")),"Other")</f>
        <v>EC</v>
      </c>
      <c r="AH58" s="86" t="str">
        <f t="shared" si="3"/>
        <v>"%USERPROFILE%\Documents\GitHub\eaglep3\Utilities\RefineRTDCRunTimes.py" --tripid 146-07 --locoid 4026 --swversion DE.1.0.8.0 --startMP 204:232998 --initTime 2017-02-07T09:59:49 --startdatetime 2017-02-07T10:11:34 --delay 1 --endMP 204:154 --enddatetime 2017-02-07T10:50:13 --enforcementcount 0 &gt;&gt;C:\Users\stu\Documents\GitHub\eaglep3-reporting\EC\2017-02-07-refined-times.txt</v>
      </c>
      <c r="AI58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{"issue":{"subject":"","project_id":79,"tracker_id":40,"status_id":1,"priority_id":2,"assigned_to_id":23,"start_date":"2017-02-07","description":"","custom_fields":[{"id":1,"name":"Subdivision","value":"EC"},{"id":4,"name":"Milepost","value":"0.0154"},{"id":17,"name":"Train ID","value":"146-07"},{"id":16,"name":"Locomotive ID","value":"4026"},{"id":130,"name":"Impact","value":""},{"id":150,"name":"Time of Event (Mountain Time)","value":"10:50:13"},{"id":151,"name":"Denver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48"/>
      <c r="AK58" s="48"/>
      <c r="AL58" s="48"/>
      <c r="AM58" s="158" t="str">
        <f t="shared" si="5"/>
        <v>start /low /b %USERPROFILE%\Documents\GitHub\eaglep3\Utilities\DownloadLogsFromS3.py --loco 4026 --day 2017-02-07</v>
      </c>
      <c r="AN58" s="167" t="str">
        <f>"grep -SE -B400 ""CHR.+\|PRM\|1\|D.+(SWITCH|SIGNAL).+UNKNOWN"" "&amp;search_path&amp;"\RTDC"&amp;B58&amp;"\*"&amp;B58&amp;"*"&amp;TEXT(AVERAGE(F58,I58)-utc_offset/24,"YYYYMMDD")&amp;"*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"%USERPROFILE%\AppData\Local\Temp\OnboardLogs"\RTDC4026\*4026*20170207* | grep -SE "(Enforcement Action)|(\[TIMEOUT)|(CHR.+\|PRM\|1\|D.+(SWITCH|SIGNAL).+UNKNOWN)" - &gt;&gt; 2017-02-07-UncaughtWiMAX.txt</v>
      </c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3" t="s">
        <v>565</v>
      </c>
      <c r="B59" s="7">
        <v>4046</v>
      </c>
      <c r="C59" s="21" t="s">
        <v>193</v>
      </c>
      <c r="D59" s="21" t="s">
        <v>208</v>
      </c>
      <c r="E59" s="13">
        <v>42773.391863425924</v>
      </c>
      <c r="F59" s="13">
        <v>42773.396006944444</v>
      </c>
      <c r="G59" s="7">
        <v>1</v>
      </c>
      <c r="H59" s="21" t="s">
        <v>349</v>
      </c>
      <c r="I59" s="13">
        <v>42773.421006944445</v>
      </c>
      <c r="J59" s="7">
        <v>0</v>
      </c>
      <c r="K59" s="98" t="str">
        <f>IF(ISEVEN(B59),(B59-1)&amp;"/"&amp;B59,B59&amp;"/"&amp;(B59+1))</f>
        <v>4045/4046</v>
      </c>
      <c r="L59" s="21" t="str">
        <f>VLOOKUP(A59,'Trips&amp;Operators'!$C$1:$G$99999,5,FALSE)</f>
        <v>STARKS ANGELINA</v>
      </c>
      <c r="M59" s="6">
        <f>I59-F59</f>
        <v>2.5000000001455192E-2</v>
      </c>
      <c r="N59" s="7">
        <f>24*60*SUM($M59:$M59)</f>
        <v>36.000000002095476</v>
      </c>
      <c r="O59" s="7"/>
      <c r="P59" s="7"/>
      <c r="Q59" s="22"/>
      <c r="R59" s="22"/>
      <c r="S59" s="31">
        <f>SUM(U59:U59)/IF(AG59="EC",12,1)</f>
        <v>1</v>
      </c>
      <c r="T59" s="46" t="str">
        <f>IF(ISEVEN(LEFT(AD59,4)),"Southbound","NorthBound")</f>
        <v>NorthBound</v>
      </c>
      <c r="U59" s="190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191" t="str">
        <f>"https://d0f6bd738d7f1b3e5a7ca70fe4ff75f0.us-east-1.aws.found.io/app/kibana#/discover/Steve-Slow-Train-Analysis-(2080s-and-2083s)?_g="&amp;"(refreshInterval:(display:Off,pause:!f,section:0,value:0),time:(from:'"&amp;TEXT(E59-1/24,"yyyy-MM-DDThh:mm:ss")&amp;utc_offset&amp;"00"&amp;"',mode:absolute,to:'"&amp;TEXT(I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59&amp;"%22')),sort:!(Time.ISO8601,asc))"</f>
        <v>https://d0f6bd738d7f1b3e5a7ca70fe4ff75f0.us-east-1.aws.found.io/app/kibana#/discover/Steve-Slow-Train-Analysis-(2080s-and-2083s)?_g=(refreshInterval:(display:Off,pause:!f,section:0,value:0),time:(from:'2017-02-07T08:24:17-0700',mode:absolute,to:'2017-02-07T11:06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59" s="192" t="str">
        <f>IF(AA59&lt;IF(AG59="EC",23,5.65),"Y","N")</f>
        <v>N</v>
      </c>
      <c r="X59" s="192">
        <f>VALUE(LEFT(AD59,4))-VALUE(LEFT(AD58,4))</f>
        <v>1</v>
      </c>
      <c r="Y59" s="62">
        <f>RIGHT(D59,LEN(D59)-4)/10000</f>
        <v>4.6199999999999998E-2</v>
      </c>
      <c r="Z59" s="62">
        <f>RIGHT(H59,LEN(H59)-4)/10000</f>
        <v>23.331</v>
      </c>
      <c r="AA59" s="62">
        <f>ABS(Z59-Y59)</f>
        <v>23.284800000000001</v>
      </c>
      <c r="AB59" s="59" t="e">
        <f>VLOOKUP(A59,Enforcements!$C$7:$K$14,8,0)</f>
        <v>#N/A</v>
      </c>
      <c r="AC59" s="55" t="e">
        <f>VLOOKUP(A59,Enforcements!$C$7:$E$14,3,0)</f>
        <v>#N/A</v>
      </c>
      <c r="AD59" s="56" t="str">
        <f>IF(LEN(A59)=6,"0"&amp;A59,A59)</f>
        <v>0147-07</v>
      </c>
      <c r="AE59" s="85" t="str">
        <f>"aws s3 cp "&amp;s3_bucket&amp;"/RTDC"&amp;B59&amp;"/ "&amp;search_path&amp;"\RTDC"&amp;B59&amp;"\"&amp;TEXT(F59,"YYYY-MM-DD")&amp;" --exclude ""*"" --recursive --include ""*"&amp;TEXT(F59,"YYYYMMDD")&amp;"*"" &amp; """&amp;walkandungz&amp;""" "&amp;search_path&amp;"\RTDC"&amp;B59&amp;"\"&amp;TEXT(F59,"YYYY-MM-DD")
&amp;" &amp; "&amp;"aws s3 cp "&amp;s3_bucket&amp;"/RTDC"&amp;B59&amp;"/ "&amp;search_path&amp;"\RTDC"&amp;B59&amp;"\"&amp;TEXT(F59+1,"YYYY-MM-DD")&amp;" --exclude ""*"" --recursive --include ""*"&amp;TEXT(F59+1,"YYYYMMDD")&amp;"*"" &amp; """&amp;walkandungz&amp;""" "&amp;search_path&amp;"\RTDC"&amp;B59&amp;"\"&amp;TEXT(F59+1,"YYYY-MM-DD")</f>
        <v>aws s3 cp s3://rtdc.mdm.uploadarchive.raw/RTDC4046/ "%USERPROFILE%\AppData\Local\Temp\OnboardLogs"\RTDC4046\2017-02-07 --exclude "*" --recursive --include "*20170207*" &amp; "%USERPROFILE%\Documents\GitHub\mrs-test-scripts\Headless Mode &amp; Sideloading\WalkAndUnGZ.bat" "%USERPROFILE%\AppData\Local\Temp\OnboardLogs"\RTDC4046\2017-02-07 &amp; aws s3 cp s3://rtdc.mdm.uploadarchive.raw/RTDC4046/ "%USERPROFILE%\AppData\Local\Temp\OnboardLogs"\RTDC4046\2017-02-08 --exclude "*" --recursive --include "*20170208*" &amp; "%USERPROFILE%\Documents\GitHub\mrs-test-scripts\Headless Mode &amp; Sideloading\WalkAndUnGZ.bat" "%USERPROFILE%\AppData\Local\Temp\OnboardLogs"\RTDC4046\2017-02-08</v>
      </c>
      <c r="AF59" s="82" t="str">
        <f>astrogrep_path&amp;" /spath="&amp;search_path&amp;" /stypes=""app*"&amp;B59&amp;"*"&amp;TEXT(I59-utc_offset/24,"YYYYMMDD")&amp;"*"" /stext="" "&amp;TEXT(I59-utc_offset/24,"HH")&amp;search_regexp&amp;""" /e /r /s"</f>
        <v>"C:\Program Files (x86)\AstroGrep\AstroGrep.exe" /spath="%USERPROFILE%\AppData\Local\Temp\OnboardLogs" /stypes="app*4046*20170207*" /stext=" 17:.+((SYSTEM_STATE.+slice.+state.+changed )|(ment ac)|(multiple cpu faults)|(system.+state.+changed )|(\[timeout)|(PRM\|1\|D)|(kpr)|(kdp)|(\|lc)|(penalty))" /e /r /s</v>
      </c>
      <c r="AG59" s="1" t="str">
        <f>IFERROR(IF(VALUE(LEFT(AD59,2))&lt;=2,"EC",IF(OR(VALUE(LEFT(AD59,2))=8,VALUE(LEFT(AD59,2))=18),"NW","Other")),"Other")</f>
        <v>EC</v>
      </c>
      <c r="AH59" s="86" t="str">
        <f t="shared" si="3"/>
        <v>"%USERPROFILE%\Documents\GitHub\eaglep3\Utilities\RefineRTDCRunTimes.py" --tripid 147-07 --locoid 4046 --swversion DE.1.0.8.0 --startMP 204:462 --initTime 2017-02-07T09:24:17 --startdatetime 2017-02-07T09:30:15 --delay 1 --endMP 204:233310 --enddatetime 2017-02-07T10:06:15 --enforcementcount 0 &gt;&gt;C:\Users\stu\Documents\GitHub\eaglep3-reporting\EC\2017-02-07-refined-times.txt</v>
      </c>
      <c r="AI59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{"issue":{"subject":"","project_id":79,"tracker_id":40,"status_id":1,"priority_id":2,"assigned_to_id":23,"start_date":"2017-02-07","description":"","custom_fields":[{"id":1,"name":"Subdivision","value":"EC"},{"id":4,"name":"Milepost","value":"23.331"},{"id":17,"name":"Train ID","value":"147-07"},{"id":16,"name":"Locomotive ID","value":"4046"},{"id":130,"name":"Impact","value":""},{"id":150,"name":"Time of Event (Mountain Time)","value":"10:06:15"},{"id":151,"name":"Denver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48"/>
      <c r="AK59" s="48"/>
      <c r="AL59" s="48"/>
      <c r="AM59" s="158" t="str">
        <f t="shared" si="5"/>
        <v>start /low /b %USERPROFILE%\Documents\GitHub\eaglep3\Utilities\DownloadLogsFromS3.py --loco 4046 --day 2017-02-07</v>
      </c>
      <c r="AN59" s="167" t="str">
        <f>"grep -SE -B400 ""CHR.+\|PRM\|1\|D.+(SWITCH|SIGNAL).+UNKNOWN"" "&amp;search_path&amp;"\RTDC"&amp;B59&amp;"\*"&amp;B59&amp;"*"&amp;TEXT(AVERAGE(F59,I59)-utc_offset/24,"YYYYMMDD")&amp;"*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"%USERPROFILE%\AppData\Local\Temp\OnboardLogs"\RTDC4046\*4046*20170207* | grep -SE "(Enforcement Action)|(\[TIMEOUT)|(CHR.+\|PRM\|1\|D.+(SWITCH|SIGNAL).+UNKNOWN)" - &gt;&gt; 2017-02-07-UncaughtWiMAX.txt</v>
      </c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3" t="s">
        <v>574</v>
      </c>
      <c r="B60" s="7">
        <v>4045</v>
      </c>
      <c r="C60" s="21" t="s">
        <v>193</v>
      </c>
      <c r="D60" s="21" t="s">
        <v>332</v>
      </c>
      <c r="E60" s="13">
        <v>42773.432453703703</v>
      </c>
      <c r="F60" s="13">
        <v>42773.434895833336</v>
      </c>
      <c r="G60" s="7">
        <v>1</v>
      </c>
      <c r="H60" s="21" t="s">
        <v>382</v>
      </c>
      <c r="I60" s="13">
        <v>42773.461122685185</v>
      </c>
      <c r="J60" s="7">
        <v>0</v>
      </c>
      <c r="K60" s="98" t="str">
        <f>IF(ISEVEN(B60),(B60-1)&amp;"/"&amp;B60,B60&amp;"/"&amp;(B60+1))</f>
        <v>4045/4046</v>
      </c>
      <c r="L60" s="21" t="str">
        <f>VLOOKUP(A60,'Trips&amp;Operators'!$C$1:$G$99999,5,FALSE)</f>
        <v>STARKS ANGELINA</v>
      </c>
      <c r="M60" s="6">
        <f>I60-F60</f>
        <v>2.622685184906004E-2</v>
      </c>
      <c r="N60" s="7">
        <f>24*60*SUM($M60:$M60)</f>
        <v>37.766666662646458</v>
      </c>
      <c r="O60" s="7"/>
      <c r="P60" s="7"/>
      <c r="Q60" s="22"/>
      <c r="R60" s="22"/>
      <c r="S60" s="31">
        <f>SUM(U60:U60)/IF(AG60="EC",12,1)</f>
        <v>1</v>
      </c>
      <c r="T60" s="46" t="str">
        <f>IF(ISEVEN(LEFT(AD60,4)),"Southbound","NorthBound")</f>
        <v>Southbound</v>
      </c>
      <c r="U60" s="190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191" t="str">
        <f>"https://d0f6bd738d7f1b3e5a7ca70fe4ff75f0.us-east-1.aws.found.io/app/kibana#/discover/Steve-Slow-Train-Analysis-(2080s-and-2083s)?_g="&amp;"(refreshInterval:(display:Off,pause:!f,section:0,value:0),time:(from:'"&amp;TEXT(E60-1/24,"yyyy-MM-DDThh:mm:ss")&amp;utc_offset&amp;"00"&amp;"',mode:absolute,to:'"&amp;TEXT(I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60&amp;"%22')),sort:!(Time.ISO8601,asc))"</f>
        <v>https://d0f6bd738d7f1b3e5a7ca70fe4ff75f0.us-east-1.aws.found.io/app/kibana#/discover/Steve-Slow-Train-Analysis-(2080s-and-2083s)?_g=(refreshInterval:(display:Off,pause:!f,section:0,value:0),time:(from:'2017-02-07T09:22:44-0700',mode:absolute,to:'2017-02-07T12:04:01-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60" s="192" t="str">
        <f>IF(AA60&lt;IF(AG60="EC",23,5.65),"Y","N")</f>
        <v>N</v>
      </c>
      <c r="X60" s="192">
        <f>VALUE(LEFT(AD60,4))-VALUE(LEFT(AD59,4))</f>
        <v>1</v>
      </c>
      <c r="Y60" s="62">
        <f>RIGHT(D60,LEN(D60)-4)/10000</f>
        <v>23.299099999999999</v>
      </c>
      <c r="Z60" s="62">
        <f>RIGHT(H60,LEN(H60)-4)/10000</f>
        <v>1.32E-2</v>
      </c>
      <c r="AA60" s="62">
        <f>ABS(Z60-Y60)</f>
        <v>23.285899999999998</v>
      </c>
      <c r="AB60" s="59" t="e">
        <f>VLOOKUP(A60,Enforcements!$C$7:$K$14,8,0)</f>
        <v>#N/A</v>
      </c>
      <c r="AC60" s="55" t="e">
        <f>VLOOKUP(A60,Enforcements!$C$7:$E$14,3,0)</f>
        <v>#N/A</v>
      </c>
      <c r="AD60" s="56" t="str">
        <f>IF(LEN(A60)=6,"0"&amp;A60,A60)</f>
        <v>0148-07</v>
      </c>
      <c r="AE60" s="85" t="str">
        <f>"aws s3 cp "&amp;s3_bucket&amp;"/RTDC"&amp;B60&amp;"/ "&amp;search_path&amp;"\RTDC"&amp;B60&amp;"\"&amp;TEXT(F60,"YYYY-MM-DD")&amp;" --exclude ""*"" --recursive --include ""*"&amp;TEXT(F60,"YYYYMMDD")&amp;"*"" &amp; """&amp;walkandungz&amp;""" "&amp;search_path&amp;"\RTDC"&amp;B60&amp;"\"&amp;TEXT(F60,"YYYY-MM-DD")
&amp;" &amp; "&amp;"aws s3 cp "&amp;s3_bucket&amp;"/RTDC"&amp;B60&amp;"/ "&amp;search_path&amp;"\RTDC"&amp;B60&amp;"\"&amp;TEXT(F60+1,"YYYY-MM-DD")&amp;" --exclude ""*"" --recursive --include ""*"&amp;TEXT(F60+1,"YYYYMMDD")&amp;"*"" &amp; """&amp;walkandungz&amp;""" "&amp;search_path&amp;"\RTDC"&amp;B60&amp;"\"&amp;TEXT(F60+1,"YYYY-MM-DD")</f>
        <v>aws s3 cp s3://rtdc.mdm.uploadarchive.raw/RTDC4045/ "%USERPROFILE%\AppData\Local\Temp\OnboardLogs"\RTDC4045\2017-02-07 --exclude "*" --recursive --include "*20170207*" &amp; "%USERPROFILE%\Documents\GitHub\mrs-test-scripts\Headless Mode &amp; Sideloading\WalkAndUnGZ.bat" "%USERPROFILE%\AppData\Local\Temp\OnboardLogs"\RTDC4045\2017-02-07 &amp; aws s3 cp s3://rtdc.mdm.uploadarchive.raw/RTDC4045/ "%USERPROFILE%\AppData\Local\Temp\OnboardLogs"\RTDC4045\2017-02-08 --exclude "*" --recursive --include "*20170208*" &amp; "%USERPROFILE%\Documents\GitHub\mrs-test-scripts\Headless Mode &amp; Sideloading\WalkAndUnGZ.bat" "%USERPROFILE%\AppData\Local\Temp\OnboardLogs"\RTDC4045\2017-02-08</v>
      </c>
      <c r="AF60" s="82" t="str">
        <f>astrogrep_path&amp;" /spath="&amp;search_path&amp;" /stypes=""app*"&amp;B60&amp;"*"&amp;TEXT(I60-utc_offset/24,"YYYYMMDD")&amp;"*"" /stext="" "&amp;TEXT(I60-utc_offset/24,"HH")&amp;search_regexp&amp;""" /e /r /s"</f>
        <v>"C:\Program Files (x86)\AstroGrep\AstroGrep.exe" /spath="%USERPROFILE%\AppData\Local\Temp\OnboardLogs" /stypes="app*4045*20170207*" /stext=" 18:.+((SYSTEM_STATE.+slice.+state.+changed )|(ment ac)|(multiple cpu faults)|(system.+state.+changed )|(\[timeout)|(PRM\|1\|D)|(kpr)|(kdp)|(\|lc)|(penalty))" /e /r /s</v>
      </c>
      <c r="AG60" s="1" t="str">
        <f>IFERROR(IF(VALUE(LEFT(AD60,2))&lt;=2,"EC",IF(OR(VALUE(LEFT(AD60,2))=8,VALUE(LEFT(AD60,2))=18),"NW","Other")),"Other")</f>
        <v>EC</v>
      </c>
      <c r="AH60" s="86" t="str">
        <f t="shared" si="3"/>
        <v>"%USERPROFILE%\Documents\GitHub\eaglep3\Utilities\RefineRTDCRunTimes.py" --tripid 148-07 --locoid 4045 --swversion DE.1.0.8.0 --startMP 204:232991 --initTime 2017-02-07T10:22:44 --startdatetime 2017-02-07T10:26:15 --delay 1 --endMP 204:132 --enddatetime 2017-02-07T11:04:01 --enforcementcount 0 &gt;&gt;C:\Users\stu\Documents\GitHub\eaglep3-reporting\EC\2017-02-07-refined-times.txt</v>
      </c>
      <c r="AI60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{"issue":{"subject":"","project_id":79,"tracker_id":40,"status_id":1,"priority_id":2,"assigned_to_id":23,"start_date":"2017-02-07","description":"","custom_fields":[{"id":1,"name":"Subdivision","value":"EC"},{"id":4,"name":"Milepost","value":"0.0132"},{"id":17,"name":"Train ID","value":"148-07"},{"id":16,"name":"Locomotive ID","value":"4045"},{"id":130,"name":"Impact","value":""},{"id":150,"name":"Time of Event (Mountain Time)","value":"11:04:01"},{"id":151,"name":"Denver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48"/>
      <c r="AK60" s="48"/>
      <c r="AL60" s="48"/>
      <c r="AM60" s="158" t="str">
        <f t="shared" si="5"/>
        <v>start /low /b %USERPROFILE%\Documents\GitHub\eaglep3\Utilities\DownloadLogsFromS3.py --loco 4045 --day 2017-02-07</v>
      </c>
      <c r="AN60" s="167" t="str">
        <f>"grep -SE -B400 ""CHR.+\|PRM\|1\|D.+(SWITCH|SIGNAL).+UNKNOWN"" "&amp;search_path&amp;"\RTDC"&amp;B60&amp;"\*"&amp;B60&amp;"*"&amp;TEXT(AVERAGE(F60,I60)-utc_offset/24,"YYYYMMDD")&amp;"*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"%USERPROFILE%\AppData\Local\Temp\OnboardLogs"\RTDC4045\*4045*20170207* | grep -SE "(Enforcement Action)|(\[TIMEOUT)|(CHR.+\|PRM\|1\|D.+(SWITCH|SIGNAL).+UNKNOWN)" - &gt;&gt; 2017-02-07-UncaughtWiMAX.txt</v>
      </c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3" t="s">
        <v>568</v>
      </c>
      <c r="B61" s="7">
        <v>4040</v>
      </c>
      <c r="C61" s="21" t="s">
        <v>193</v>
      </c>
      <c r="D61" s="21" t="s">
        <v>737</v>
      </c>
      <c r="E61" s="13">
        <v>42773.401331018518</v>
      </c>
      <c r="F61" s="13">
        <v>42773.406550925924</v>
      </c>
      <c r="G61" s="7">
        <v>1</v>
      </c>
      <c r="H61" s="21" t="s">
        <v>390</v>
      </c>
      <c r="I61" s="13">
        <v>42773.432523148149</v>
      </c>
      <c r="J61" s="7">
        <v>0</v>
      </c>
      <c r="K61" s="98" t="str">
        <f>IF(ISEVEN(B61),(B61-1)&amp;"/"&amp;B61,B61&amp;"/"&amp;(B61+1))</f>
        <v>4039/4040</v>
      </c>
      <c r="L61" s="21" t="str">
        <f>VLOOKUP(A61,'Trips&amp;Operators'!$C$1:$G$99999,5,FALSE)</f>
        <v>BONDS REYNALDO</v>
      </c>
      <c r="M61" s="6">
        <f>I61-F61</f>
        <v>2.5972222225391306E-2</v>
      </c>
      <c r="N61" s="7">
        <f>24*60*SUM($M61:$M61)</f>
        <v>37.400000004563481</v>
      </c>
      <c r="O61" s="7"/>
      <c r="P61" s="7"/>
      <c r="Q61" s="22"/>
      <c r="R61" s="22"/>
      <c r="S61" s="31">
        <f>SUM(U61:U61)/IF(AG61="EC",12,1)</f>
        <v>1</v>
      </c>
      <c r="T61" s="46" t="str">
        <f>IF(ISEVEN(LEFT(AD61,4)),"Southbound","NorthBound")</f>
        <v>NorthBound</v>
      </c>
      <c r="U61" s="190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191" t="str">
        <f>"https://d0f6bd738d7f1b3e5a7ca70fe4ff75f0.us-east-1.aws.found.io/app/kibana#/discover/Steve-Slow-Train-Analysis-(2080s-and-2083s)?_g="&amp;"(refreshInterval:(display:Off,pause:!f,section:0,value:0),time:(from:'"&amp;TEXT(E61-1/24,"yyyy-MM-DDThh:mm:ss")&amp;utc_offset&amp;"00"&amp;"',mode:absolute,to:'"&amp;TEXT(I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61&amp;"%22')),sort:!(Time.ISO8601,asc))"</f>
        <v>https://d0f6bd738d7f1b3e5a7ca70fe4ff75f0.us-east-1.aws.found.io/app/kibana#/discover/Steve-Slow-Train-Analysis-(2080s-and-2083s)?_g=(refreshInterval:(display:Off,pause:!f,section:0,value:0),time:(from:'2017-02-07T08:37:55-0700',mode:absolute,to:'2017-02-07T11:22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61" s="192" t="str">
        <f>IF(AA61&lt;IF(AG61="EC",23,5.65),"Y","N")</f>
        <v>N</v>
      </c>
      <c r="X61" s="192">
        <f>VALUE(LEFT(AD61,4))-VALUE(LEFT(AD60,4))</f>
        <v>1</v>
      </c>
      <c r="Y61" s="62">
        <f>RIGHT(D61,LEN(D61)-4)/10000</f>
        <v>4.7699999999999999E-2</v>
      </c>
      <c r="Z61" s="62">
        <f>RIGHT(H61,LEN(H61)-4)/10000</f>
        <v>23.329499999999999</v>
      </c>
      <c r="AA61" s="62">
        <f>ABS(Z61-Y61)</f>
        <v>23.2818</v>
      </c>
      <c r="AB61" s="59" t="e">
        <f>VLOOKUP(A61,Enforcements!$C$7:$K$14,8,0)</f>
        <v>#N/A</v>
      </c>
      <c r="AC61" s="55" t="e">
        <f>VLOOKUP(A61,Enforcements!$C$7:$E$14,3,0)</f>
        <v>#N/A</v>
      </c>
      <c r="AD61" s="56" t="str">
        <f>IF(LEN(A61)=6,"0"&amp;A61,A61)</f>
        <v>0149-07</v>
      </c>
      <c r="AE61" s="85" t="str">
        <f>"aws s3 cp "&amp;s3_bucket&amp;"/RTDC"&amp;B61&amp;"/ "&amp;search_path&amp;"\RTDC"&amp;B61&amp;"\"&amp;TEXT(F61,"YYYY-MM-DD")&amp;" --exclude ""*"" --recursive --include ""*"&amp;TEXT(F61,"YYYYMMDD")&amp;"*"" &amp; """&amp;walkandungz&amp;""" "&amp;search_path&amp;"\RTDC"&amp;B61&amp;"\"&amp;TEXT(F61,"YYYY-MM-DD")
&amp;" &amp; "&amp;"aws s3 cp "&amp;s3_bucket&amp;"/RTDC"&amp;B61&amp;"/ "&amp;search_path&amp;"\RTDC"&amp;B61&amp;"\"&amp;TEXT(F61+1,"YYYY-MM-DD")&amp;" --exclude ""*"" --recursive --include ""*"&amp;TEXT(F61+1,"YYYYMMDD")&amp;"*"" &amp; """&amp;walkandungz&amp;""" "&amp;search_path&amp;"\RTDC"&amp;B61&amp;"\"&amp;TEXT(F61+1,"YYYY-MM-DD")</f>
        <v>aws s3 cp s3://rtdc.mdm.uploadarchive.raw/RTDC4040/ "%USERPROFILE%\AppData\Local\Temp\OnboardLogs"\RTDC4040\2017-02-07 --exclude "*" --recursive --include "*20170207*" &amp; "%USERPROFILE%\Documents\GitHub\mrs-test-scripts\Headless Mode &amp; Sideloading\WalkAndUnGZ.bat" "%USERPROFILE%\AppData\Local\Temp\OnboardLogs"\RTDC4040\2017-02-07 &amp; aws s3 cp s3://rtdc.mdm.uploadarchive.raw/RTDC4040/ "%USERPROFILE%\AppData\Local\Temp\OnboardLogs"\RTDC4040\2017-02-08 --exclude "*" --recursive --include "*20170208*" &amp; "%USERPROFILE%\Documents\GitHub\mrs-test-scripts\Headless Mode &amp; Sideloading\WalkAndUnGZ.bat" "%USERPROFILE%\AppData\Local\Temp\OnboardLogs"\RTDC4040\2017-02-08</v>
      </c>
      <c r="AF61" s="82" t="str">
        <f>astrogrep_path&amp;" /spath="&amp;search_path&amp;" /stypes=""app*"&amp;B61&amp;"*"&amp;TEXT(I61-utc_offset/24,"YYYYMMDD")&amp;"*"" /stext="" "&amp;TEXT(I61-utc_offset/24,"HH")&amp;search_regexp&amp;""" /e /r /s"</f>
        <v>"C:\Program Files (x86)\AstroGrep\AstroGrep.exe" /spath="%USERPROFILE%\AppData\Local\Temp\OnboardLogs" /stypes="app*4040*20170207*" /stext=" 17:.+((SYSTEM_STATE.+slice.+state.+changed )|(ment ac)|(multiple cpu faults)|(system.+state.+changed )|(\[timeout)|(PRM\|1\|D)|(kpr)|(kdp)|(\|lc)|(penalty))" /e /r /s</v>
      </c>
      <c r="AG61" s="1" t="str">
        <f>IFERROR(IF(VALUE(LEFT(AD61,2))&lt;=2,"EC",IF(OR(VALUE(LEFT(AD61,2))=8,VALUE(LEFT(AD61,2))=18),"NW","Other")),"Other")</f>
        <v>EC</v>
      </c>
      <c r="AH61" s="86" t="str">
        <f t="shared" si="3"/>
        <v>"%USERPROFILE%\Documents\GitHub\eaglep3\Utilities\RefineRTDCRunTimes.py" --tripid 149-07 --locoid 4040 --swversion DE.1.0.8.0 --startMP 204:477 --initTime 2017-02-07T09:37:55 --startdatetime 2017-02-07T09:45:26 --delay 1 --endMP 204:233295 --enddatetime 2017-02-07T10:22:50 --enforcementcount 0 &gt;&gt;C:\Users\stu\Documents\GitHub\eaglep3-reporting\EC\2017-02-07-refined-times.txt</v>
      </c>
      <c r="AI61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{"issue":{"subject":"","project_id":79,"tracker_id":40,"status_id":1,"priority_id":2,"assigned_to_id":23,"start_date":"2017-02-07","description":"","custom_fields":[{"id":1,"name":"Subdivision","value":"EC"},{"id":4,"name":"Milepost","value":"23.3295"},{"id":17,"name":"Train ID","value":"149-07"},{"id":16,"name":"Locomotive ID","value":"4040"},{"id":130,"name":"Impact","value":""},{"id":150,"name":"Time of Event (Mountain Time)","value":"10:22:50"},{"id":151,"name":"Denver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48"/>
      <c r="AK61" s="48"/>
      <c r="AL61" s="48"/>
      <c r="AM61" s="158" t="str">
        <f t="shared" si="5"/>
        <v>start /low /b %USERPROFILE%\Documents\GitHub\eaglep3\Utilities\DownloadLogsFromS3.py --loco 4040 --day 2017-02-07</v>
      </c>
      <c r="AN61" s="167" t="str">
        <f>"grep -SE -B400 ""CHR.+\|PRM\|1\|D.+(SWITCH|SIGNAL).+UNKNOWN"" "&amp;search_path&amp;"\RTDC"&amp;B61&amp;"\*"&amp;B61&amp;"*"&amp;TEXT(AVERAGE(F61,I61)-utc_offset/24,"YYYYMMDD")&amp;"*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"%USERPROFILE%\AppData\Local\Temp\OnboardLogs"\RTDC4040\*4040*20170207* | grep -SE "(Enforcement Action)|(\[TIMEOUT)|(CHR.+\|PRM\|1\|D.+(SWITCH|SIGNAL).+UNKNOWN)" - &gt;&gt; 2017-02-07-UncaughtWiMAX.txt</v>
      </c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3" t="s">
        <v>575</v>
      </c>
      <c r="B62" s="7">
        <v>4039</v>
      </c>
      <c r="C62" s="21" t="s">
        <v>193</v>
      </c>
      <c r="D62" s="21" t="s">
        <v>358</v>
      </c>
      <c r="E62" s="13">
        <v>42773.440312500003</v>
      </c>
      <c r="F62" s="13">
        <v>42773.445335648146</v>
      </c>
      <c r="G62" s="7">
        <v>1</v>
      </c>
      <c r="H62" s="21" t="s">
        <v>418</v>
      </c>
      <c r="I62" s="13">
        <v>42773.472280092596</v>
      </c>
      <c r="J62" s="7">
        <v>0</v>
      </c>
      <c r="K62" s="98" t="str">
        <f>IF(ISEVEN(B62),(B62-1)&amp;"/"&amp;B62,B62&amp;"/"&amp;(B62+1))</f>
        <v>4039/4040</v>
      </c>
      <c r="L62" s="21" t="str">
        <f>VLOOKUP(A62,'Trips&amp;Operators'!$C$1:$G$99999,5,FALSE)</f>
        <v>BONDS REYNALDO</v>
      </c>
      <c r="M62" s="6">
        <f>I62-F62</f>
        <v>2.694444444932742E-2</v>
      </c>
      <c r="N62" s="7">
        <f>24*60*SUM($M62:$M62)</f>
        <v>38.800000007031485</v>
      </c>
      <c r="O62" s="7"/>
      <c r="P62" s="7"/>
      <c r="Q62" s="22"/>
      <c r="R62" s="22"/>
      <c r="S62" s="31">
        <f>SUM(U62:U62)/IF(AG62="EC",12,1)</f>
        <v>1</v>
      </c>
      <c r="T62" s="46" t="str">
        <f>IF(ISEVEN(LEFT(AD62,4)),"Southbound","NorthBound")</f>
        <v>Southbound</v>
      </c>
      <c r="U62" s="190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191" t="str">
        <f>"https://d0f6bd738d7f1b3e5a7ca70fe4ff75f0.us-east-1.aws.found.io/app/kibana#/discover/Steve-Slow-Train-Analysis-(2080s-and-2083s)?_g="&amp;"(refreshInterval:(display:Off,pause:!f,section:0,value:0),time:(from:'"&amp;TEXT(E62-1/24,"yyyy-MM-DDThh:mm:ss")&amp;utc_offset&amp;"00"&amp;"',mode:absolute,to:'"&amp;TEXT(I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62&amp;"%22')),sort:!(Time.ISO8601,asc))"</f>
        <v>https://d0f6bd738d7f1b3e5a7ca70fe4ff75f0.us-east-1.aws.found.io/app/kibana#/discover/Steve-Slow-Train-Analysis-(2080s-and-2083s)?_g=(refreshInterval:(display:Off,pause:!f,section:0,value:0),time:(from:'2017-02-07T09:34:03-0700',mode:absolute,to:'2017-02-07T12:20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62" s="192" t="str">
        <f>IF(AA62&lt;IF(AG62="EC",23,5.65),"Y","N")</f>
        <v>N</v>
      </c>
      <c r="X62" s="192">
        <f>VALUE(LEFT(AD62,4))-VALUE(LEFT(AD61,4))</f>
        <v>1</v>
      </c>
      <c r="Y62" s="62">
        <f>RIGHT(D62,LEN(D62)-4)/10000</f>
        <v>23.2971</v>
      </c>
      <c r="Z62" s="62">
        <f>RIGHT(H62,LEN(H62)-4)/10000</f>
        <v>1.41E-2</v>
      </c>
      <c r="AA62" s="62">
        <f>ABS(Z62-Y62)</f>
        <v>23.283000000000001</v>
      </c>
      <c r="AB62" s="59" t="e">
        <f>VLOOKUP(A62,Enforcements!$C$7:$K$14,8,0)</f>
        <v>#N/A</v>
      </c>
      <c r="AC62" s="55" t="e">
        <f>VLOOKUP(A62,Enforcements!$C$7:$E$14,3,0)</f>
        <v>#N/A</v>
      </c>
      <c r="AD62" s="56" t="str">
        <f>IF(LEN(A62)=6,"0"&amp;A62,A62)</f>
        <v>0150-07</v>
      </c>
      <c r="AE62" s="85" t="str">
        <f>"aws s3 cp "&amp;s3_bucket&amp;"/RTDC"&amp;B62&amp;"/ "&amp;search_path&amp;"\RTDC"&amp;B62&amp;"\"&amp;TEXT(F62,"YYYY-MM-DD")&amp;" --exclude ""*"" --recursive --include ""*"&amp;TEXT(F62,"YYYYMMDD")&amp;"*"" &amp; """&amp;walkandungz&amp;""" "&amp;search_path&amp;"\RTDC"&amp;B62&amp;"\"&amp;TEXT(F62,"YYYY-MM-DD")
&amp;" &amp; "&amp;"aws s3 cp "&amp;s3_bucket&amp;"/RTDC"&amp;B62&amp;"/ "&amp;search_path&amp;"\RTDC"&amp;B62&amp;"\"&amp;TEXT(F62+1,"YYYY-MM-DD")&amp;" --exclude ""*"" --recursive --include ""*"&amp;TEXT(F62+1,"YYYYMMDD")&amp;"*"" &amp; """&amp;walkandungz&amp;""" "&amp;search_path&amp;"\RTDC"&amp;B62&amp;"\"&amp;TEXT(F62+1,"YYYY-MM-DD")</f>
        <v>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 &amp; aws s3 cp s3://rtdc.mdm.uploadarchive.raw/RTDC4039/ "%USERPROFILE%\AppData\Local\Temp\OnboardLogs"\RTDC4039\2017-02-08 --exclude "*" --recursive --include "*20170208*" &amp; "%USERPROFILE%\Documents\GitHub\mrs-test-scripts\Headless Mode &amp; Sideloading\WalkAndUnGZ.bat" "%USERPROFILE%\AppData\Local\Temp\OnboardLogs"\RTDC4039\2017-02-08</v>
      </c>
      <c r="AF62" s="82" t="str">
        <f>astrogrep_path&amp;" /spath="&amp;search_path&amp;" /stypes=""app*"&amp;B62&amp;"*"&amp;TEXT(I62-utc_offset/24,"YYYYMMDD")&amp;"*"" /stext="" "&amp;TEXT(I62-utc_offset/24,"HH")&amp;search_regexp&amp;""" /e /r /s"</f>
        <v>"C:\Program Files (x86)\AstroGrep\AstroGrep.exe" /spath="%USERPROFILE%\AppData\Local\Temp\OnboardLogs" /stypes="app*4039*20170207*" /stext=" 18:.+((SYSTEM_STATE.+slice.+state.+changed )|(ment ac)|(multiple cpu faults)|(system.+state.+changed )|(\[timeout)|(PRM\|1\|D)|(kpr)|(kdp)|(\|lc)|(penalty))" /e /r /s</v>
      </c>
      <c r="AG62" s="1" t="str">
        <f>IFERROR(IF(VALUE(LEFT(AD62,2))&lt;=2,"EC",IF(OR(VALUE(LEFT(AD62,2))=8,VALUE(LEFT(AD62,2))=18),"NW","Other")),"Other")</f>
        <v>EC</v>
      </c>
      <c r="AH62" s="86" t="str">
        <f t="shared" si="3"/>
        <v>"%USERPROFILE%\Documents\GitHub\eaglep3\Utilities\RefineRTDCRunTimes.py" --tripid 150-07 --locoid 4039 --swversion DE.1.0.8.0 --startMP 204:232971 --initTime 2017-02-07T10:34:03 --startdatetime 2017-02-07T10:41:17 --delay 1 --endMP 204:141 --enddatetime 2017-02-07T11:20:05 --enforcementcount 0 &gt;&gt;C:\Users\stu\Documents\GitHub\eaglep3-reporting\EC\2017-02-07-refined-times.txt</v>
      </c>
      <c r="AI62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{"issue":{"subject":"","project_id":79,"tracker_id":40,"status_id":1,"priority_id":2,"assigned_to_id":23,"start_date":"2017-02-07","description":"","custom_fields":[{"id":1,"name":"Subdivision","value":"EC"},{"id":4,"name":"Milepost","value":"0.0141"},{"id":17,"name":"Train ID","value":"150-07"},{"id":16,"name":"Locomotive ID","value":"4039"},{"id":130,"name":"Impact","value":""},{"id":150,"name":"Time of Event (Mountain Time)","value":"11:20:05"},{"id":151,"name":"Denver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48"/>
      <c r="AK62" s="48"/>
      <c r="AL62" s="48"/>
      <c r="AM62" s="158" t="str">
        <f t="shared" si="5"/>
        <v>start /low /b %USERPROFILE%\Documents\GitHub\eaglep3\Utilities\DownloadLogsFromS3.py --loco 4039 --day 2017-02-07</v>
      </c>
      <c r="AN62" s="167" t="str">
        <f>"grep -SE -B400 ""CHR.+\|PRM\|1\|D.+(SWITCH|SIGNAL).+UNKNOWN"" "&amp;search_path&amp;"\RTDC"&amp;B62&amp;"\*"&amp;B62&amp;"*"&amp;TEXT(AVERAGE(F62,I62)-utc_offset/24,"YYYYMMDD")&amp;"*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"%USERPROFILE%\AppData\Local\Temp\OnboardLogs"\RTDC4039\*4039*20170207* | grep -SE "(Enforcement Action)|(\[TIMEOUT)|(CHR.+\|PRM\|1\|D.+(SWITCH|SIGNAL).+UNKNOWN)" - &gt;&gt; 2017-02-07-UncaughtWiMAX.txt</v>
      </c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3" t="s">
        <v>570</v>
      </c>
      <c r="B63" s="7">
        <v>4011</v>
      </c>
      <c r="C63" s="21" t="s">
        <v>193</v>
      </c>
      <c r="D63" s="21" t="s">
        <v>242</v>
      </c>
      <c r="E63" s="13">
        <v>42773.414409722223</v>
      </c>
      <c r="F63" s="13">
        <v>42773.416967592595</v>
      </c>
      <c r="G63" s="7">
        <v>1</v>
      </c>
      <c r="H63" s="21" t="s">
        <v>355</v>
      </c>
      <c r="I63" s="13">
        <v>42773.44222222222</v>
      </c>
      <c r="J63" s="7">
        <v>0</v>
      </c>
      <c r="K63" s="98" t="str">
        <f>IF(ISEVEN(B63),(B63-1)&amp;"/"&amp;B63,B63&amp;"/"&amp;(B63+1))</f>
        <v>4011/4012</v>
      </c>
      <c r="L63" s="21" t="str">
        <f>VLOOKUP(A63,'Trips&amp;Operators'!$C$1:$G$99999,5,FALSE)</f>
        <v>DAVIS WENDY</v>
      </c>
      <c r="M63" s="6">
        <f>I63-F63</f>
        <v>2.5254629625123926E-2</v>
      </c>
      <c r="N63" s="7">
        <f>24*60*SUM($M63:$M63)</f>
        <v>36.366666660178453</v>
      </c>
      <c r="O63" s="7"/>
      <c r="P63" s="7"/>
      <c r="Q63" s="22"/>
      <c r="R63" s="22"/>
      <c r="S63" s="31">
        <f>SUM(U63:U63)/IF(AG63="EC",12,1)</f>
        <v>1</v>
      </c>
      <c r="T63" s="46" t="str">
        <f>IF(ISEVEN(LEFT(AD63,4)),"Southbound","NorthBound")</f>
        <v>NorthBound</v>
      </c>
      <c r="U63" s="190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191" t="str">
        <f>"https://d0f6bd738d7f1b3e5a7ca70fe4ff75f0.us-east-1.aws.found.io/app/kibana#/discover/Steve-Slow-Train-Analysis-(2080s-and-2083s)?_g="&amp;"(refreshInterval:(display:Off,pause:!f,section:0,value:0),time:(from:'"&amp;TEXT(E63-1/24,"yyyy-MM-DDThh:mm:ss")&amp;utc_offset&amp;"00"&amp;"',mode:absolute,to:'"&amp;TEXT(I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63&amp;"%22')),sort:!(Time.ISO8601,asc))"</f>
        <v>https://d0f6bd738d7f1b3e5a7ca70fe4ff75f0.us-east-1.aws.found.io/app/kibana#/discover/Steve-Slow-Train-Analysis-(2080s-and-2083s)?_g=(refreshInterval:(display:Off,pause:!f,section:0,value:0),time:(from:'2017-02-07T08:56:45-0700',mode:absolute,to:'2017-02-07T11:36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63" s="192" t="str">
        <f>IF(AA63&lt;IF(AG63="EC",23,5.65),"Y","N")</f>
        <v>N</v>
      </c>
      <c r="X63" s="192">
        <f>VALUE(LEFT(AD63,4))-VALUE(LEFT(AD62,4))</f>
        <v>1</v>
      </c>
      <c r="Y63" s="62">
        <f>RIGHT(D63,LEN(D63)-4)/10000</f>
        <v>4.5999999999999999E-2</v>
      </c>
      <c r="Z63" s="62">
        <f>RIGHT(H63,LEN(H63)-4)/10000</f>
        <v>23.33</v>
      </c>
      <c r="AA63" s="62">
        <f>ABS(Z63-Y63)</f>
        <v>23.283999999999999</v>
      </c>
      <c r="AB63" s="59" t="e">
        <f>VLOOKUP(A63,Enforcements!$C$7:$K$14,8,0)</f>
        <v>#N/A</v>
      </c>
      <c r="AC63" s="55" t="e">
        <f>VLOOKUP(A63,Enforcements!$C$7:$E$14,3,0)</f>
        <v>#N/A</v>
      </c>
      <c r="AD63" s="56" t="str">
        <f>IF(LEN(A63)=6,"0"&amp;A63,A63)</f>
        <v>0151-07</v>
      </c>
      <c r="AE63" s="85" t="str">
        <f>"aws s3 cp "&amp;s3_bucket&amp;"/RTDC"&amp;B63&amp;"/ "&amp;search_path&amp;"\RTDC"&amp;B63&amp;"\"&amp;TEXT(F63,"YYYY-MM-DD")&amp;" --exclude ""*"" --recursive --include ""*"&amp;TEXT(F63,"YYYYMMDD")&amp;"*"" &amp; """&amp;walkandungz&amp;""" "&amp;search_path&amp;"\RTDC"&amp;B63&amp;"\"&amp;TEXT(F63,"YYYY-MM-DD")
&amp;" &amp; "&amp;"aws s3 cp "&amp;s3_bucket&amp;"/RTDC"&amp;B63&amp;"/ "&amp;search_path&amp;"\RTDC"&amp;B63&amp;"\"&amp;TEXT(F63+1,"YYYY-MM-DD")&amp;" --exclude ""*"" --recursive --include ""*"&amp;TEXT(F63+1,"YYYYMMDD")&amp;"*"" &amp; """&amp;walkandungz&amp;""" "&amp;search_path&amp;"\RTDC"&amp;B63&amp;"\"&amp;TEXT(F63+1,"YYYY-MM-DD")</f>
        <v>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 &amp; aws s3 cp s3://rtdc.mdm.uploadarchive.raw/RTDC4011/ "%USERPROFILE%\AppData\Local\Temp\OnboardLogs"\RTDC4011\2017-02-08 --exclude "*" --recursive --include "*20170208*" &amp; "%USERPROFILE%\Documents\GitHub\mrs-test-scripts\Headless Mode &amp; Sideloading\WalkAndUnGZ.bat" "%USERPROFILE%\AppData\Local\Temp\OnboardLogs"\RTDC4011\2017-02-08</v>
      </c>
      <c r="AF63" s="82" t="str">
        <f>astrogrep_path&amp;" /spath="&amp;search_path&amp;" /stypes=""app*"&amp;B63&amp;"*"&amp;TEXT(I63-utc_offset/24,"YYYYMMDD")&amp;"*"" /stext="" "&amp;TEXT(I63-utc_offset/24,"HH")&amp;search_regexp&amp;""" /e /r /s"</f>
        <v>"C:\Program Files (x86)\AstroGrep\AstroGrep.exe" /spath="%USERPROFILE%\AppData\Local\Temp\OnboardLogs" /stypes="app*4011*20170207*" /stext=" 17:.+((SYSTEM_STATE.+slice.+state.+changed )|(ment ac)|(multiple cpu faults)|(system.+state.+changed )|(\[timeout)|(PRM\|1\|D)|(kpr)|(kdp)|(\|lc)|(penalty))" /e /r /s</v>
      </c>
      <c r="AG63" s="1" t="str">
        <f>IFERROR(IF(VALUE(LEFT(AD63,2))&lt;=2,"EC",IF(OR(VALUE(LEFT(AD63,2))=8,VALUE(LEFT(AD63,2))=18),"NW","Other")),"Other")</f>
        <v>EC</v>
      </c>
      <c r="AH63" s="86" t="str">
        <f t="shared" si="3"/>
        <v>"%USERPROFILE%\Documents\GitHub\eaglep3\Utilities\RefineRTDCRunTimes.py" --tripid 151-07 --locoid 4011 --swversion DE.1.0.8.0 --startMP 204:460 --initTime 2017-02-07T09:56:45 --startdatetime 2017-02-07T10:00:26 --delay 1 --endMP 204:233300 --enddatetime 2017-02-07T10:36:48 --enforcementcount 0 &gt;&gt;C:\Users\stu\Documents\GitHub\eaglep3-reporting\EC\2017-02-07-refined-times.txt</v>
      </c>
      <c r="AI63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{"issue":{"subject":"","project_id":79,"tracker_id":40,"status_id":1,"priority_id":2,"assigned_to_id":23,"start_date":"2017-02-07","description":"","custom_fields":[{"id":1,"name":"Subdivision","value":"EC"},{"id":4,"name":"Milepost","value":"23.33"},{"id":17,"name":"Train ID","value":"151-07"},{"id":16,"name":"Locomotive ID","value":"4011"},{"id":130,"name":"Impact","value":""},{"id":150,"name":"Time of Event (Mountain Time)","value":"10:36:48"},{"id":151,"name":"Denver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48"/>
      <c r="AK63" s="48"/>
      <c r="AL63" s="48"/>
      <c r="AM63" s="158" t="str">
        <f t="shared" si="5"/>
        <v>start /low /b %USERPROFILE%\Documents\GitHub\eaglep3\Utilities\DownloadLogsFromS3.py --loco 4011 --day 2017-02-07</v>
      </c>
      <c r="AN63" s="167" t="str">
        <f>"grep -SE -B400 ""CHR.+\|PRM\|1\|D.+(SWITCH|SIGNAL).+UNKNOWN"" "&amp;search_path&amp;"\RTDC"&amp;B63&amp;"\*"&amp;B63&amp;"*"&amp;TEXT(AVERAGE(F63,I63)-utc_offset/24,"YYYYMMDD")&amp;"*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"%USERPROFILE%\AppData\Local\Temp\OnboardLogs"\RTDC4011\*4011*20170207* | grep -SE "(Enforcement Action)|(\[TIMEOUT)|(CHR.+\|PRM\|1\|D.+(SWITCH|SIGNAL).+UNKNOWN)" - &gt;&gt; 2017-02-07-UncaughtWiMAX.txt</v>
      </c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3" t="s">
        <v>578</v>
      </c>
      <c r="B64" s="7">
        <v>4012</v>
      </c>
      <c r="C64" s="21" t="s">
        <v>193</v>
      </c>
      <c r="D64" s="21" t="s">
        <v>283</v>
      </c>
      <c r="E64" s="13">
        <v>42773.452743055554</v>
      </c>
      <c r="F64" s="13">
        <v>42773.455740740741</v>
      </c>
      <c r="G64" s="7">
        <v>0</v>
      </c>
      <c r="H64" s="21" t="s">
        <v>319</v>
      </c>
      <c r="I64" s="13">
        <v>42773.483194444445</v>
      </c>
      <c r="J64" s="7">
        <v>0</v>
      </c>
      <c r="K64" s="98" t="str">
        <f>IF(ISEVEN(B64),(B64-1)&amp;"/"&amp;B64,B64&amp;"/"&amp;(B64+1))</f>
        <v>4011/4012</v>
      </c>
      <c r="L64" s="21" t="str">
        <f>VLOOKUP(A64,'Trips&amp;Operators'!$C$1:$G$99999,5,FALSE)</f>
        <v>DAVIS WENDY</v>
      </c>
      <c r="M64" s="6">
        <f>I64-F64</f>
        <v>2.7453703703940846E-2</v>
      </c>
      <c r="N64" s="7">
        <f>24*60*SUM($M64:$M64)</f>
        <v>39.533333333674818</v>
      </c>
      <c r="O64" s="7"/>
      <c r="P64" s="7"/>
      <c r="Q64" s="22"/>
      <c r="R64" s="22"/>
      <c r="S64" s="31">
        <f>SUM(U64:U64)/IF(AG64="EC",12,1)</f>
        <v>1</v>
      </c>
      <c r="T64" s="46" t="str">
        <f>IF(ISEVEN(LEFT(AD64,4)),"Southbound","NorthBound")</f>
        <v>Southbound</v>
      </c>
      <c r="U64" s="190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191" t="str">
        <f>"https://d0f6bd738d7f1b3e5a7ca70fe4ff75f0.us-east-1.aws.found.io/app/kibana#/discover/Steve-Slow-Train-Analysis-(2080s-and-2083s)?_g="&amp;"(refreshInterval:(display:Off,pause:!f,section:0,value:0),time:(from:'"&amp;TEXT(E64-1/24,"yyyy-MM-DDThh:mm:ss")&amp;utc_offset&amp;"00"&amp;"',mode:absolute,to:'"&amp;TEXT(I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64&amp;"%22')),sort:!(Time.ISO8601,asc))"</f>
        <v>https://d0f6bd738d7f1b3e5a7ca70fe4ff75f0.us-east-1.aws.found.io/app/kibana#/discover/Steve-Slow-Train-Analysis-(2080s-and-2083s)?_g=(refreshInterval:(display:Off,pause:!f,section:0,value:0),time:(from:'2017-02-07T09:51:57-0700',mode:absolute,to:'2017-02-07T12:35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64" s="192" t="str">
        <f>IF(AA64&lt;IF(AG64="EC",23,5.65),"Y","N")</f>
        <v>N</v>
      </c>
      <c r="X64" s="192">
        <f>VALUE(LEFT(AD64,4))-VALUE(LEFT(AD63,4))</f>
        <v>1</v>
      </c>
      <c r="Y64" s="62">
        <f>RIGHT(D64,LEN(D64)-4)/10000</f>
        <v>23.299399999999999</v>
      </c>
      <c r="Z64" s="62">
        <f>RIGHT(H64,LEN(H64)-4)/10000</f>
        <v>1.67E-2</v>
      </c>
      <c r="AA64" s="62">
        <f>ABS(Z64-Y64)</f>
        <v>23.282699999999998</v>
      </c>
      <c r="AB64" s="59" t="e">
        <f>VLOOKUP(A64,Enforcements!$C$7:$K$14,8,0)</f>
        <v>#N/A</v>
      </c>
      <c r="AC64" s="55" t="e">
        <f>VLOOKUP(A64,Enforcements!$C$7:$E$14,3,0)</f>
        <v>#N/A</v>
      </c>
      <c r="AD64" s="56" t="str">
        <f>IF(LEN(A64)=6,"0"&amp;A64,A64)</f>
        <v>0152-07</v>
      </c>
      <c r="AE64" s="85" t="str">
        <f>"aws s3 cp "&amp;s3_bucket&amp;"/RTDC"&amp;B64&amp;"/ "&amp;search_path&amp;"\RTDC"&amp;B64&amp;"\"&amp;TEXT(F64,"YYYY-MM-DD")&amp;" --exclude ""*"" --recursive --include ""*"&amp;TEXT(F64,"YYYYMMDD")&amp;"*"" &amp; """&amp;walkandungz&amp;""" "&amp;search_path&amp;"\RTDC"&amp;B64&amp;"\"&amp;TEXT(F64,"YYYY-MM-DD")
&amp;" &amp; "&amp;"aws s3 cp "&amp;s3_bucket&amp;"/RTDC"&amp;B64&amp;"/ "&amp;search_path&amp;"\RTDC"&amp;B64&amp;"\"&amp;TEXT(F64+1,"YYYY-MM-DD")&amp;" --exclude ""*"" --recursive --include ""*"&amp;TEXT(F64+1,"YYYYMMDD")&amp;"*"" &amp; """&amp;walkandungz&amp;""" "&amp;search_path&amp;"\RTDC"&amp;B64&amp;"\"&amp;TEXT(F64+1,"YYYY-MM-DD")</f>
        <v>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 &amp; aws s3 cp s3://rtdc.mdm.uploadarchive.raw/RTDC4012/ "%USERPROFILE%\AppData\Local\Temp\OnboardLogs"\RTDC4012\2017-02-08 --exclude "*" --recursive --include "*20170208*" &amp; "%USERPROFILE%\Documents\GitHub\mrs-test-scripts\Headless Mode &amp; Sideloading\WalkAndUnGZ.bat" "%USERPROFILE%\AppData\Local\Temp\OnboardLogs"\RTDC4012\2017-02-08</v>
      </c>
      <c r="AF64" s="82" t="str">
        <f>astrogrep_path&amp;" /spath="&amp;search_path&amp;" /stypes=""app*"&amp;B64&amp;"*"&amp;TEXT(I64-utc_offset/24,"YYYYMMDD")&amp;"*"" /stext="" "&amp;TEXT(I64-utc_offset/24,"HH")&amp;search_regexp&amp;""" /e /r /s"</f>
        <v>"C:\Program Files (x86)\AstroGrep\AstroGrep.exe" /spath="%USERPROFILE%\AppData\Local\Temp\OnboardLogs" /stypes="app*4012*20170207*" /stext=" 18:.+((SYSTEM_STATE.+slice.+state.+changed )|(ment ac)|(multiple cpu faults)|(system.+state.+changed )|(\[timeout)|(PRM\|1\|D)|(kpr)|(kdp)|(\|lc)|(penalty))" /e /r /s</v>
      </c>
      <c r="AG64" s="1" t="str">
        <f>IFERROR(IF(VALUE(LEFT(AD64,2))&lt;=2,"EC",IF(OR(VALUE(LEFT(AD64,2))=8,VALUE(LEFT(AD64,2))=18),"NW","Other")),"Other")</f>
        <v>EC</v>
      </c>
      <c r="AH64" s="86" t="str">
        <f t="shared" si="3"/>
        <v>"%USERPROFILE%\Documents\GitHub\eaglep3\Utilities\RefineRTDCRunTimes.py" --tripid 152-07 --locoid 4012 --swversion DE.1.0.8.0 --startMP 204:232994 --initTime 2017-02-07T10:51:57 --startdatetime 2017-02-07T10:56:16 --delay 0 --endMP 204:167 --enddatetime 2017-02-07T11:35:48 --enforcementcount 0 &gt;&gt;C:\Users\stu\Documents\GitHub\eaglep3-reporting\EC\2017-02-07-refined-times.txt</v>
      </c>
      <c r="AI64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{"issue":{"subject":"","project_id":79,"tracker_id":40,"status_id":1,"priority_id":2,"assigned_to_id":23,"start_date":"2017-02-07","description":"","custom_fields":[{"id":1,"name":"Subdivision","value":"EC"},{"id":4,"name":"Milepost","value":"0.0167"},{"id":17,"name":"Train ID","value":"152-07"},{"id":16,"name":"Locomotive ID","value":"4012"},{"id":130,"name":"Impact","value":""},{"id":150,"name":"Time of Event (Mountain Time)","value":"11:35:48"},{"id":151,"name":"Denver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48"/>
      <c r="AK64" s="48"/>
      <c r="AL64" s="48"/>
      <c r="AM64" s="158" t="str">
        <f t="shared" si="5"/>
        <v>start /low /b %USERPROFILE%\Documents\GitHub\eaglep3\Utilities\DownloadLogsFromS3.py --loco 4012 --day 2017-02-07</v>
      </c>
      <c r="AN64" s="167" t="str">
        <f>"grep -SE -B400 ""CHR.+\|PRM\|1\|D.+(SWITCH|SIGNAL).+UNKNOWN"" "&amp;search_path&amp;"\RTDC"&amp;B64&amp;"\*"&amp;B64&amp;"*"&amp;TEXT(AVERAGE(F64,I64)-utc_offset/24,"YYYYMMDD")&amp;"*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"%USERPROFILE%\AppData\Local\Temp\OnboardLogs"\RTDC4012\*4012*20170207* | grep -SE "(Enforcement Action)|(\[TIMEOUT)|(CHR.+\|PRM\|1\|D.+(SWITCH|SIGNAL).+UNKNOWN)" - &gt;&gt; 2017-02-07-UncaughtWiMAX.txt</v>
      </c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3" t="s">
        <v>572</v>
      </c>
      <c r="B65" s="7">
        <v>4002</v>
      </c>
      <c r="C65" s="21" t="s">
        <v>193</v>
      </c>
      <c r="D65" s="21" t="s">
        <v>287</v>
      </c>
      <c r="E65" s="13">
        <v>42773.42355324074</v>
      </c>
      <c r="F65" s="13">
        <v>42773.427581018521</v>
      </c>
      <c r="G65" s="7">
        <v>1</v>
      </c>
      <c r="H65" s="21" t="s">
        <v>378</v>
      </c>
      <c r="I65" s="13">
        <v>42773.451747685183</v>
      </c>
      <c r="J65" s="7">
        <v>0</v>
      </c>
      <c r="K65" s="98" t="str">
        <f>IF(ISEVEN(B65),(B65-1)&amp;"/"&amp;B65,B65&amp;"/"&amp;(B65+1))</f>
        <v>4001/4002</v>
      </c>
      <c r="L65" s="21" t="str">
        <f>VLOOKUP(A65,'Trips&amp;Operators'!$C$1:$G$99999,5,FALSE)</f>
        <v>LOZA FIDEL</v>
      </c>
      <c r="M65" s="6">
        <f>I65-F65</f>
        <v>2.4166666662495118E-2</v>
      </c>
      <c r="N65" s="7">
        <f>24*60*SUM($M65:$M65)</f>
        <v>34.799999993992969</v>
      </c>
      <c r="O65" s="7"/>
      <c r="P65" s="7"/>
      <c r="Q65" s="22"/>
      <c r="R65" s="22"/>
      <c r="S65" s="31">
        <f>SUM(U65:U65)/IF(AG65="EC",12,1)</f>
        <v>1</v>
      </c>
      <c r="T65" s="46" t="str">
        <f>IF(ISEVEN(LEFT(AD65,4)),"Southbound","NorthBound")</f>
        <v>NorthBound</v>
      </c>
      <c r="U65" s="190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191" t="str">
        <f>"https://d0f6bd738d7f1b3e5a7ca70fe4ff75f0.us-east-1.aws.found.io/app/kibana#/discover/Steve-Slow-Train-Analysis-(2080s-and-2083s)?_g="&amp;"(refreshInterval:(display:Off,pause:!f,section:0,value:0),time:(from:'"&amp;TEXT(E65-1/24,"yyyy-MM-DDThh:mm:ss")&amp;utc_offset&amp;"00"&amp;"',mode:absolute,to:'"&amp;TEXT(I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65&amp;"%22')),sort:!(Time.ISO8601,asc))"</f>
        <v>https://d0f6bd738d7f1b3e5a7ca70fe4ff75f0.us-east-1.aws.found.io/app/kibana#/discover/Steve-Slow-Train-Analysis-(2080s-and-2083s)?_g=(refreshInterval:(display:Off,pause:!f,section:0,value:0),time:(from:'2017-02-07T09:09:55-0700',mode:absolute,to:'2017-02-07T11:50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65" s="192" t="str">
        <f>IF(AA65&lt;IF(AG65="EC",23,5.65),"Y","N")</f>
        <v>N</v>
      </c>
      <c r="X65" s="192">
        <f>VALUE(LEFT(AD65,4))-VALUE(LEFT(AD64,4))</f>
        <v>1</v>
      </c>
      <c r="Y65" s="62">
        <f>RIGHT(D65,LEN(D65)-4)/10000</f>
        <v>4.4600000000000001E-2</v>
      </c>
      <c r="Z65" s="62">
        <f>RIGHT(H65,LEN(H65)-4)/10000</f>
        <v>23.332000000000001</v>
      </c>
      <c r="AA65" s="62">
        <f>ABS(Z65-Y65)</f>
        <v>23.287400000000002</v>
      </c>
      <c r="AB65" s="59" t="e">
        <f>VLOOKUP(A65,Enforcements!$C$7:$K$14,8,0)</f>
        <v>#N/A</v>
      </c>
      <c r="AC65" s="55" t="e">
        <f>VLOOKUP(A65,Enforcements!$C$7:$E$14,3,0)</f>
        <v>#N/A</v>
      </c>
      <c r="AD65" s="56" t="str">
        <f>IF(LEN(A65)=6,"0"&amp;A65,A65)</f>
        <v>0153-07</v>
      </c>
      <c r="AE65" s="85" t="str">
        <f>"aws s3 cp "&amp;s3_bucket&amp;"/RTDC"&amp;B65&amp;"/ "&amp;search_path&amp;"\RTDC"&amp;B65&amp;"\"&amp;TEXT(F65,"YYYY-MM-DD")&amp;" --exclude ""*"" --recursive --include ""*"&amp;TEXT(F65,"YYYYMMDD")&amp;"*"" &amp; """&amp;walkandungz&amp;""" "&amp;search_path&amp;"\RTDC"&amp;B65&amp;"\"&amp;TEXT(F65,"YYYY-MM-DD")
&amp;" &amp; "&amp;"aws s3 cp "&amp;s3_bucket&amp;"/RTDC"&amp;B65&amp;"/ "&amp;search_path&amp;"\RTDC"&amp;B65&amp;"\"&amp;TEXT(F65+1,"YYYY-MM-DD")&amp;" --exclude ""*"" --recursive --include ""*"&amp;TEXT(F65+1,"YYYYMMDD")&amp;"*"" &amp; """&amp;walkandungz&amp;""" "&amp;search_path&amp;"\RTDC"&amp;B65&amp;"\"&amp;TEXT(F65+1,"YYYY-MM-DD")</f>
        <v>aws s3 cp s3://rtdc.mdm.uploadarchive.raw/RTDC4002/ "%USERPROFILE%\AppData\Local\Temp\OnboardLogs"\RTDC4002\2017-02-07 --exclude "*" --recursive --include "*20170207*" &amp; "%USERPROFILE%\Documents\GitHub\mrs-test-scripts\Headless Mode &amp; Sideloading\WalkAndUnGZ.bat" "%USERPROFILE%\AppData\Local\Temp\OnboardLogs"\RTDC4002\2017-02-07 &amp; aws s3 cp s3://rtdc.mdm.uploadarchive.raw/RTDC4002/ "%USERPROFILE%\AppData\Local\Temp\OnboardLogs"\RTDC4002\2017-02-08 --exclude "*" --recursive --include "*20170208*" &amp; "%USERPROFILE%\Documents\GitHub\mrs-test-scripts\Headless Mode &amp; Sideloading\WalkAndUnGZ.bat" "%USERPROFILE%\AppData\Local\Temp\OnboardLogs"\RTDC4002\2017-02-08</v>
      </c>
      <c r="AF65" s="82" t="str">
        <f>astrogrep_path&amp;" /spath="&amp;search_path&amp;" /stypes=""app*"&amp;B65&amp;"*"&amp;TEXT(I65-utc_offset/24,"YYYYMMDD")&amp;"*"" /stext="" "&amp;TEXT(I65-utc_offset/24,"HH")&amp;search_regexp&amp;""" /e /r /s"</f>
        <v>"C:\Program Files (x86)\AstroGrep\AstroGrep.exe" /spath="%USERPROFILE%\AppData\Local\Temp\OnboardLogs" /stypes="app*4002*20170207*" /stext=" 17:.+((SYSTEM_STATE.+slice.+state.+changed )|(ment ac)|(multiple cpu faults)|(system.+state.+changed )|(\[timeout)|(PRM\|1\|D)|(kpr)|(kdp)|(\|lc)|(penalty))" /e /r /s</v>
      </c>
      <c r="AG65" s="1" t="str">
        <f>IFERROR(IF(VALUE(LEFT(AD65,2))&lt;=2,"EC",IF(OR(VALUE(LEFT(AD65,2))=8,VALUE(LEFT(AD65,2))=18),"NW","Other")),"Other")</f>
        <v>EC</v>
      </c>
      <c r="AH65" s="86" t="str">
        <f t="shared" si="3"/>
        <v>"%USERPROFILE%\Documents\GitHub\eaglep3\Utilities\RefineRTDCRunTimes.py" --tripid 153-07 --locoid 4002 --swversion DE.1.0.8.0 --startMP 204:446 --initTime 2017-02-07T10:09:55 --startdatetime 2017-02-07T10:15:43 --delay 1 --endMP 204:233320 --enddatetime 2017-02-07T10:50:31 --enforcementcount 0 &gt;&gt;C:\Users\stu\Documents\GitHub\eaglep3-reporting\EC\2017-02-07-refined-times.txt</v>
      </c>
      <c r="AI65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{"issue":{"subject":"","project_id":79,"tracker_id":40,"status_id":1,"priority_id":2,"assigned_to_id":23,"start_date":"2017-02-07","description":"","custom_fields":[{"id":1,"name":"Subdivision","value":"EC"},{"id":4,"name":"Milepost","value":"23.332"},{"id":17,"name":"Train ID","value":"153-07"},{"id":16,"name":"Locomotive ID","value":"4002"},{"id":130,"name":"Impact","value":""},{"id":150,"name":"Time of Event (Mountain Time)","value":"10:50:31"},{"id":151,"name":"Denver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48"/>
      <c r="AK65" s="48"/>
      <c r="AL65" s="48"/>
      <c r="AM65" s="158" t="str">
        <f t="shared" si="5"/>
        <v>start /low /b %USERPROFILE%\Documents\GitHub\eaglep3\Utilities\DownloadLogsFromS3.py --loco 4002 --day 2017-02-07</v>
      </c>
      <c r="AN65" s="167" t="str">
        <f>"grep -SE -B400 ""CHR.+\|PRM\|1\|D.+(SWITCH|SIGNAL).+UNKNOWN"" "&amp;search_path&amp;"\RTDC"&amp;B65&amp;"\*"&amp;B65&amp;"*"&amp;TEXT(AVERAGE(F65,I65)-utc_offset/24,"YYYYMMDD")&amp;"*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"%USERPROFILE%\AppData\Local\Temp\OnboardLogs"\RTDC4002\*4002*20170207* | grep -SE "(Enforcement Action)|(\[TIMEOUT)|(CHR.+\|PRM\|1\|D.+(SWITCH|SIGNAL).+UNKNOWN)" - &gt;&gt; 2017-02-07-UncaughtWiMAX.txt</v>
      </c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3" t="s">
        <v>580</v>
      </c>
      <c r="B66" s="7">
        <v>4001</v>
      </c>
      <c r="C66" s="21" t="s">
        <v>193</v>
      </c>
      <c r="D66" s="21" t="s">
        <v>729</v>
      </c>
      <c r="E66" s="13">
        <v>42773.463125000002</v>
      </c>
      <c r="F66" s="13">
        <v>42773.466307870367</v>
      </c>
      <c r="G66" s="7">
        <v>1</v>
      </c>
      <c r="H66" s="21" t="s">
        <v>235</v>
      </c>
      <c r="I66" s="13">
        <v>42773.492592592593</v>
      </c>
      <c r="J66" s="7">
        <v>0</v>
      </c>
      <c r="K66" s="98" t="str">
        <f>IF(ISEVEN(B66),(B66-1)&amp;"/"&amp;B66,B66&amp;"/"&amp;(B66+1))</f>
        <v>4001/4002</v>
      </c>
      <c r="L66" s="21" t="str">
        <f>VLOOKUP(A66,'Trips&amp;Operators'!$C$1:$G$99999,5,FALSE)</f>
        <v>LOZA FIDEL</v>
      </c>
      <c r="M66" s="6">
        <f>I66-F66</f>
        <v>2.6284722225682344E-2</v>
      </c>
      <c r="N66" s="7">
        <f>24*60*SUM($M66:$M66)</f>
        <v>37.850000004982576</v>
      </c>
      <c r="O66" s="7"/>
      <c r="P66" s="7"/>
      <c r="Q66" s="22"/>
      <c r="R66" s="22"/>
      <c r="S66" s="31">
        <f>SUM(U66:U66)/IF(AG66="EC",12,1)</f>
        <v>1</v>
      </c>
      <c r="T66" s="46" t="str">
        <f>IF(ISEVEN(LEFT(AD66,4)),"Southbound","NorthBound")</f>
        <v>Southbound</v>
      </c>
      <c r="U66" s="190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191" t="str">
        <f>"https://d0f6bd738d7f1b3e5a7ca70fe4ff75f0.us-east-1.aws.found.io/app/kibana#/discover/Steve-Slow-Train-Analysis-(2080s-and-2083s)?_g="&amp;"(refreshInterval:(display:Off,pause:!f,section:0,value:0),time:(from:'"&amp;TEXT(E66-1/24,"yyyy-MM-DDThh:mm:ss")&amp;utc_offset&amp;"00"&amp;"',mode:absolute,to:'"&amp;TEXT(I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66&amp;"%22')),sort:!(Time.ISO8601,asc))"</f>
        <v>https://d0f6bd738d7f1b3e5a7ca70fe4ff75f0.us-east-1.aws.found.io/app/kibana#/discover/Steve-Slow-Train-Analysis-(2080s-and-2083s)?_g=(refreshInterval:(display:Off,pause:!f,section:0,value:0),time:(from:'2017-02-07T10:06:54-0700',mode:absolute,to:'2017-02-07T12:49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66" s="192" t="str">
        <f>IF(AA66&lt;IF(AG66="EC",23,5.65),"Y","N")</f>
        <v>N</v>
      </c>
      <c r="X66" s="192">
        <f>VALUE(LEFT(AD66,4))-VALUE(LEFT(AD65,4))</f>
        <v>1</v>
      </c>
      <c r="Y66" s="62">
        <f>RIGHT(D66,LEN(D66)-4)/10000</f>
        <v>23.297999999999998</v>
      </c>
      <c r="Z66" s="62">
        <f>RIGHT(H66,LEN(H66)-4)/10000</f>
        <v>1.43E-2</v>
      </c>
      <c r="AA66" s="62">
        <f>ABS(Z66-Y66)</f>
        <v>23.2837</v>
      </c>
      <c r="AB66" s="59" t="e">
        <f>VLOOKUP(A66,Enforcements!$C$7:$K$14,8,0)</f>
        <v>#N/A</v>
      </c>
      <c r="AC66" s="55" t="e">
        <f>VLOOKUP(A66,Enforcements!$C$7:$E$14,3,0)</f>
        <v>#N/A</v>
      </c>
      <c r="AD66" s="56" t="str">
        <f>IF(LEN(A66)=6,"0"&amp;A66,A66)</f>
        <v>0154-07</v>
      </c>
      <c r="AE66" s="85" t="str">
        <f>"aws s3 cp "&amp;s3_bucket&amp;"/RTDC"&amp;B66&amp;"/ "&amp;search_path&amp;"\RTDC"&amp;B66&amp;"\"&amp;TEXT(F66,"YYYY-MM-DD")&amp;" --exclude ""*"" --recursive --include ""*"&amp;TEXT(F66,"YYYYMMDD")&amp;"*"" &amp; """&amp;walkandungz&amp;""" "&amp;search_path&amp;"\RTDC"&amp;B66&amp;"\"&amp;TEXT(F66,"YYYY-MM-DD")
&amp;" &amp; "&amp;"aws s3 cp "&amp;s3_bucket&amp;"/RTDC"&amp;B66&amp;"/ "&amp;search_path&amp;"\RTDC"&amp;B66&amp;"\"&amp;TEXT(F66+1,"YYYY-MM-DD")&amp;" --exclude ""*"" --recursive --include ""*"&amp;TEXT(F66+1,"YYYYMMDD")&amp;"*"" &amp; """&amp;walkandungz&amp;""" "&amp;search_path&amp;"\RTDC"&amp;B66&amp;"\"&amp;TEXT(F66+1,"YYYY-MM-DD")</f>
        <v>aws s3 cp s3://rtdc.mdm.uploadarchive.raw/RTDC4001/ "%USERPROFILE%\AppData\Local\Temp\OnboardLogs"\RTDC4001\2017-02-07 --exclude "*" --recursive --include "*20170207*" &amp; "%USERPROFILE%\Documents\GitHub\mrs-test-scripts\Headless Mode &amp; Sideloading\WalkAndUnGZ.bat" "%USERPROFILE%\AppData\Local\Temp\OnboardLogs"\RTDC4001\2017-02-07 &amp; aws s3 cp s3://rtdc.mdm.uploadarchive.raw/RTDC4001/ "%USERPROFILE%\AppData\Local\Temp\OnboardLogs"\RTDC4001\2017-02-08 --exclude "*" --recursive --include "*20170208*" &amp; "%USERPROFILE%\Documents\GitHub\mrs-test-scripts\Headless Mode &amp; Sideloading\WalkAndUnGZ.bat" "%USERPROFILE%\AppData\Local\Temp\OnboardLogs"\RTDC4001\2017-02-08</v>
      </c>
      <c r="AF66" s="82" t="str">
        <f>astrogrep_path&amp;" /spath="&amp;search_path&amp;" /stypes=""app*"&amp;B66&amp;"*"&amp;TEXT(I66-utc_offset/24,"YYYYMMDD")&amp;"*"" /stext="" "&amp;TEXT(I66-utc_offset/24,"HH")&amp;search_regexp&amp;""" /e /r /s"</f>
        <v>"C:\Program Files (x86)\AstroGrep\AstroGrep.exe" /spath="%USERPROFILE%\AppData\Local\Temp\OnboardLogs" /stypes="app*4001*20170207*" /stext=" 18:.+((SYSTEM_STATE.+slice.+state.+changed )|(ment ac)|(multiple cpu faults)|(system.+state.+changed )|(\[timeout)|(PRM\|1\|D)|(kpr)|(kdp)|(\|lc)|(penalty))" /e /r /s</v>
      </c>
      <c r="AG66" s="1" t="str">
        <f>IFERROR(IF(VALUE(LEFT(AD66,2))&lt;=2,"EC",IF(OR(VALUE(LEFT(AD66,2))=8,VALUE(LEFT(AD66,2))=18),"NW","Other")),"Other")</f>
        <v>EC</v>
      </c>
      <c r="AH66" s="86" t="str">
        <f t="shared" si="3"/>
        <v>"%USERPROFILE%\Documents\GitHub\eaglep3\Utilities\RefineRTDCRunTimes.py" --tripid 154-07 --locoid 4001 --swversion DE.1.0.8.0 --startMP 204:232980 --initTime 2017-02-07T11:06:54 --startdatetime 2017-02-07T11:11:29 --delay 1 --endMP 204:143 --enddatetime 2017-02-07T11:49:20 --enforcementcount 0 &gt;&gt;C:\Users\stu\Documents\GitHub\eaglep3-reporting\EC\2017-02-07-refined-times.txt</v>
      </c>
      <c r="AI66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{"issue":{"subject":"","project_id":79,"tracker_id":40,"status_id":1,"priority_id":2,"assigned_to_id":23,"start_date":"2017-02-07","description":"","custom_fields":[{"id":1,"name":"Subdivision","value":"EC"},{"id":4,"name":"Milepost","value":"0.0143"},{"id":17,"name":"Train ID","value":"154-07"},{"id":16,"name":"Locomotive ID","value":"4001"},{"id":130,"name":"Impact","value":""},{"id":150,"name":"Time of Event (Mountain Time)","value":"11:49:20"},{"id":151,"name":"Denver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48"/>
      <c r="AK66" s="48"/>
      <c r="AL66" s="48"/>
      <c r="AM66" s="158" t="str">
        <f t="shared" si="5"/>
        <v>start /low /b %USERPROFILE%\Documents\GitHub\eaglep3\Utilities\DownloadLogsFromS3.py --loco 4001 --day 2017-02-07</v>
      </c>
      <c r="AN66" s="167" t="str">
        <f>"grep -SE -B400 ""CHR.+\|PRM\|1\|D.+(SWITCH|SIGNAL).+UNKNOWN"" "&amp;search_path&amp;"\RTDC"&amp;B66&amp;"\*"&amp;B66&amp;"*"&amp;TEXT(AVERAGE(F66,I66)-utc_offset/24,"YYYYMMDD")&amp;"*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"%USERPROFILE%\AppData\Local\Temp\OnboardLogs"\RTDC4001\*4001*20170207* | grep -SE "(Enforcement Action)|(\[TIMEOUT)|(CHR.+\|PRM\|1\|D.+(SWITCH|SIGNAL).+UNKNOWN)" - &gt;&gt; 2017-02-07-UncaughtWiMAX.txt</v>
      </c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3" t="s">
        <v>471</v>
      </c>
      <c r="B67" s="7">
        <v>4038</v>
      </c>
      <c r="C67" s="21" t="s">
        <v>193</v>
      </c>
      <c r="D67" s="21" t="s">
        <v>288</v>
      </c>
      <c r="E67" s="13">
        <v>42773.435393518521</v>
      </c>
      <c r="F67" s="13">
        <v>42773.437951388885</v>
      </c>
      <c r="G67" s="7">
        <v>1</v>
      </c>
      <c r="H67" s="21" t="s">
        <v>718</v>
      </c>
      <c r="I67" s="13">
        <v>42773.462465277778</v>
      </c>
      <c r="J67" s="7">
        <v>0</v>
      </c>
      <c r="K67" s="98" t="str">
        <f>IF(ISEVEN(B67),(B67-1)&amp;"/"&amp;B67,B67&amp;"/"&amp;(B67+1))</f>
        <v>4037/4038</v>
      </c>
      <c r="L67" s="21" t="str">
        <f>VLOOKUP(A67,'Trips&amp;Operators'!$C$1:$G$99999,5,FALSE)</f>
        <v>BEAM ROSS</v>
      </c>
      <c r="M67" s="6">
        <f>I67-F67</f>
        <v>2.4513888893125113E-2</v>
      </c>
      <c r="N67" s="7">
        <f>24*60*SUM($M67:$M67)</f>
        <v>35.300000006100163</v>
      </c>
      <c r="O67" s="7"/>
      <c r="P67" s="7"/>
      <c r="Q67" s="22"/>
      <c r="R67" s="22"/>
      <c r="S67" s="31">
        <f>SUM(U67:U67)/IF(AG67="EC",12,1)</f>
        <v>1</v>
      </c>
      <c r="T67" s="46" t="str">
        <f>IF(ISEVEN(LEFT(AD67,4)),"Southbound","NorthBound")</f>
        <v>NorthBound</v>
      </c>
      <c r="U67" s="190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191" t="str">
        <f>"https://d0f6bd738d7f1b3e5a7ca70fe4ff75f0.us-east-1.aws.found.io/app/kibana#/discover/Steve-Slow-Train-Analysis-(2080s-and-2083s)?_g="&amp;"(refreshInterval:(display:Off,pause:!f,section:0,value:0),time:(from:'"&amp;TEXT(E67-1/24,"yyyy-MM-DDThh:mm:ss")&amp;utc_offset&amp;"00"&amp;"',mode:absolute,to:'"&amp;TEXT(I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67&amp;"%22')),sort:!(Time.ISO8601,asc))"</f>
        <v>https://d0f6bd738d7f1b3e5a7ca70fe4ff75f0.us-east-1.aws.found.io/app/kibana#/discover/Steve-Slow-Train-Analysis-(2080s-and-2083s)?_g=(refreshInterval:(display:Off,pause:!f,section:0,value:0),time:(from:'2017-02-07T09:26:58-0700',mode:absolute,to:'2017-02-07T12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67" s="192" t="str">
        <f>IF(AA67&lt;IF(AG67="EC",23,5.65),"Y","N")</f>
        <v>N</v>
      </c>
      <c r="X67" s="192">
        <f>VALUE(LEFT(AD67,4))-VALUE(LEFT(AD66,4))</f>
        <v>1</v>
      </c>
      <c r="Y67" s="62">
        <f>RIGHT(D67,LEN(D67)-4)/10000</f>
        <v>4.5499999999999999E-2</v>
      </c>
      <c r="Z67" s="62">
        <f>RIGHT(H67,LEN(H67)-4)/10000</f>
        <v>23.331199999999999</v>
      </c>
      <c r="AA67" s="62">
        <f>ABS(Z67-Y67)</f>
        <v>23.285699999999999</v>
      </c>
      <c r="AB67" s="59" t="str">
        <f>VLOOKUP(A67,Enforcements!$C$7:$K$14,8,0)</f>
        <v>Signal based authority (5)</v>
      </c>
      <c r="AC67" s="55" t="str">
        <f>VLOOKUP(A67,Enforcements!$C$7:$E$14,3,0)</f>
        <v>SIGNAL</v>
      </c>
      <c r="AD67" s="56" t="str">
        <f>IF(LEN(A67)=6,"0"&amp;A67,A67)</f>
        <v>0155-07</v>
      </c>
      <c r="AE67" s="85" t="str">
        <f>"aws s3 cp "&amp;s3_bucket&amp;"/RTDC"&amp;B67&amp;"/ "&amp;search_path&amp;"\RTDC"&amp;B67&amp;"\"&amp;TEXT(F67,"YYYY-MM-DD")&amp;" --exclude ""*"" --recursive --include ""*"&amp;TEXT(F67,"YYYYMMDD")&amp;"*"" &amp; """&amp;walkandungz&amp;""" "&amp;search_path&amp;"\RTDC"&amp;B67&amp;"\"&amp;TEXT(F67,"YYYY-MM-DD")
&amp;" &amp; "&amp;"aws s3 cp "&amp;s3_bucket&amp;"/RTDC"&amp;B67&amp;"/ "&amp;search_path&amp;"\RTDC"&amp;B67&amp;"\"&amp;TEXT(F67+1,"YYYY-MM-DD")&amp;" --exclude ""*"" --recursive --include ""*"&amp;TEXT(F67+1,"YYYYMMDD")&amp;"*"" &amp; """&amp;walkandungz&amp;""" "&amp;search_path&amp;"\RTDC"&amp;B67&amp;"\"&amp;TEXT(F67+1,"YYYY-MM-DD")</f>
        <v>aws s3 cp s3://rtdc.mdm.uploadarchive.raw/RTDC4038/ "%USERPROFILE%\AppData\Local\Temp\OnboardLogs"\RTDC4038\2017-02-07 --exclude "*" --recursive --include "*20170207*" &amp; "%USERPROFILE%\Documents\GitHub\mrs-test-scripts\Headless Mode &amp; Sideloading\WalkAndUnGZ.bat" "%USERPROFILE%\AppData\Local\Temp\OnboardLogs"\RTDC4038\2017-02-07 &amp; aws s3 cp s3://rtdc.mdm.uploadarchive.raw/RTDC4038/ "%USERPROFILE%\AppData\Local\Temp\OnboardLogs"\RTDC4038\2017-02-08 --exclude "*" --recursive --include "*20170208*" &amp; "%USERPROFILE%\Documents\GitHub\mrs-test-scripts\Headless Mode &amp; Sideloading\WalkAndUnGZ.bat" "%USERPROFILE%\AppData\Local\Temp\OnboardLogs"\RTDC4038\2017-02-08</v>
      </c>
      <c r="AF67" s="82" t="str">
        <f>astrogrep_path&amp;" /spath="&amp;search_path&amp;" /stypes=""app*"&amp;B67&amp;"*"&amp;TEXT(I67-utc_offset/24,"YYYYMMDD")&amp;"*"" /stext="" "&amp;TEXT(I67-utc_offset/24,"HH")&amp;search_regexp&amp;""" /e /r /s"</f>
        <v>"C:\Program Files (x86)\AstroGrep\AstroGrep.exe" /spath="%USERPROFILE%\AppData\Local\Temp\OnboardLogs" /stypes="app*4038*20170207*" /stext=" 18:.+((SYSTEM_STATE.+slice.+state.+changed )|(ment ac)|(multiple cpu faults)|(system.+state.+changed )|(\[timeout)|(PRM\|1\|D)|(kpr)|(kdp)|(\|lc)|(penalty))" /e /r /s</v>
      </c>
      <c r="AG67" s="1" t="str">
        <f>IFERROR(IF(VALUE(LEFT(AD67,2))&lt;=2,"EC",IF(OR(VALUE(LEFT(AD67,2))=8,VALUE(LEFT(AD67,2))=18),"NW","Other")),"Other")</f>
        <v>EC</v>
      </c>
      <c r="AH67" s="86" t="str">
        <f t="shared" si="3"/>
        <v>"%USERPROFILE%\Documents\GitHub\eaglep3\Utilities\RefineRTDCRunTimes.py" --tripid 155-07 --locoid 4038 --swversion DE.1.0.8.0 --startMP 204:455 --initTime 2017-02-07T10:26:58 --startdatetime 2017-02-07T10:30:39 --delay 1 --endMP 204:233312 --enddatetime 2017-02-07T11:05:57 --enforcementcount 0 &gt;&gt;C:\Users\stu\Documents\GitHub\eaglep3-reporting\EC\2017-02-07-refined-times.txt</v>
      </c>
      <c r="AI67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{"issue":{"subject":"","project_id":79,"tracker_id":40,"status_id":1,"priority_id":2,"assigned_to_id":23,"start_date":"2017-02-07","description":"","custom_fields":[{"id":1,"name":"Subdivision","value":"EC"},{"id":4,"name":"Milepost","value":"23.3312"},{"id":17,"name":"Train ID","value":"155-07"},{"id":16,"name":"Locomotive ID","value":"4038"},{"id":130,"name":"Impact","value":""},{"id":150,"name":"Time of Event (Mountain Time)","value":"11:05:57"},{"id":151,"name":"Denver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48"/>
      <c r="AK67" s="48"/>
      <c r="AL67" s="48"/>
      <c r="AM67" s="158" t="str">
        <f t="shared" si="5"/>
        <v>start /low /b %USERPROFILE%\Documents\GitHub\eaglep3\Utilities\DownloadLogsFromS3.py --loco 4038 --day 2017-02-07</v>
      </c>
      <c r="AN67" s="167" t="str">
        <f>"grep -SE -B400 ""CHR.+\|PRM\|1\|D.+(SWITCH|SIGNAL).+UNKNOWN"" "&amp;search_path&amp;"\RTDC"&amp;B67&amp;"\*"&amp;B67&amp;"*"&amp;TEXT(AVERAGE(F67,I67)-utc_offset/24,"YYYYMMDD")&amp;"*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"%USERPROFILE%\AppData\Local\Temp\OnboardLogs"\RTDC4038\*4038*20170207* | grep -SE "(Enforcement Action)|(\[TIMEOUT)|(CHR.+\|PRM\|1\|D.+(SWITCH|SIGNAL).+UNKNOWN)" - &gt;&gt; 2017-02-07-UncaughtWiMAX.txt</v>
      </c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3" t="s">
        <v>473</v>
      </c>
      <c r="B68" s="7">
        <v>4037</v>
      </c>
      <c r="C68" s="21" t="s">
        <v>193</v>
      </c>
      <c r="D68" s="21" t="s">
        <v>322</v>
      </c>
      <c r="E68" s="13">
        <v>42773.472407407404</v>
      </c>
      <c r="F68" s="13">
        <v>42773.476678240739</v>
      </c>
      <c r="G68" s="7">
        <v>1</v>
      </c>
      <c r="H68" s="21" t="s">
        <v>418</v>
      </c>
      <c r="I68" s="13">
        <v>42773.503032407411</v>
      </c>
      <c r="J68" s="7">
        <v>0</v>
      </c>
      <c r="K68" s="98" t="str">
        <f>IF(ISEVEN(B68),(B68-1)&amp;"/"&amp;B68,B68&amp;"/"&amp;(B68+1))</f>
        <v>4037/4038</v>
      </c>
      <c r="L68" s="21" t="str">
        <f>VLOOKUP(A68,'Trips&amp;Operators'!$C$1:$G$99999,5,FALSE)</f>
        <v>BEAM ROSS</v>
      </c>
      <c r="M68" s="6">
        <f>I68-F68</f>
        <v>2.6354166671808343E-2</v>
      </c>
      <c r="N68" s="7">
        <f>24*60*SUM($M68:$M68)</f>
        <v>37.950000007404014</v>
      </c>
      <c r="O68" s="7"/>
      <c r="P68" s="7"/>
      <c r="Q68" s="22"/>
      <c r="R68" s="22"/>
      <c r="S68" s="31">
        <f>SUM(U68:U68)/IF(AG68="EC",12,1)</f>
        <v>1</v>
      </c>
      <c r="T68" s="46" t="str">
        <f>IF(ISEVEN(LEFT(AD68,4)),"Southbound","NorthBound")</f>
        <v>Southbound</v>
      </c>
      <c r="U68" s="190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191" t="str">
        <f>"https://d0f6bd738d7f1b3e5a7ca70fe4ff75f0.us-east-1.aws.found.io/app/kibana#/discover/Steve-Slow-Train-Analysis-(2080s-and-2083s)?_g="&amp;"(refreshInterval:(display:Off,pause:!f,section:0,value:0),time:(from:'"&amp;TEXT(E68-1/24,"yyyy-MM-DDThh:mm:ss")&amp;utc_offset&amp;"00"&amp;"',mode:absolute,to:'"&amp;TEXT(I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68&amp;"%22')),sort:!(Time.ISO8601,asc))"</f>
        <v>https://d0f6bd738d7f1b3e5a7ca70fe4ff75f0.us-east-1.aws.found.io/app/kibana#/discover/Steve-Slow-Train-Analysis-(2080s-and-2083s)?_g=(refreshInterval:(display:Off,pause:!f,section:0,value:0),time:(from:'2017-02-07T10:20:16-0700',mode:absolute,to:'2017-02-07T13:04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68" s="192" t="str">
        <f>IF(AA68&lt;IF(AG68="EC",23,5.65),"Y","N")</f>
        <v>N</v>
      </c>
      <c r="X68" s="192">
        <f>VALUE(LEFT(AD68,4))-VALUE(LEFT(AD67,4))</f>
        <v>1</v>
      </c>
      <c r="Y68" s="62">
        <f>RIGHT(D68,LEN(D68)-4)/10000</f>
        <v>23.298500000000001</v>
      </c>
      <c r="Z68" s="62">
        <f>RIGHT(H68,LEN(H68)-4)/10000</f>
        <v>1.41E-2</v>
      </c>
      <c r="AA68" s="62">
        <f>ABS(Z68-Y68)</f>
        <v>23.284400000000002</v>
      </c>
      <c r="AB68" s="59" t="str">
        <f>VLOOKUP(A68,Enforcements!$C$7:$K$14,8,0)</f>
        <v>Bulletin (2)</v>
      </c>
      <c r="AC68" s="55" t="str">
        <f>VLOOKUP(A68,Enforcements!$C$7:$E$14,3,0)</f>
        <v>GRADE CROSSING</v>
      </c>
      <c r="AD68" s="56" t="str">
        <f>IF(LEN(A68)=6,"0"&amp;A68,A68)</f>
        <v>0156-07</v>
      </c>
      <c r="AE68" s="85" t="str">
        <f>"aws s3 cp "&amp;s3_bucket&amp;"/RTDC"&amp;B68&amp;"/ "&amp;search_path&amp;"\RTDC"&amp;B68&amp;"\"&amp;TEXT(F68,"YYYY-MM-DD")&amp;" --exclude ""*"" --recursive --include ""*"&amp;TEXT(F68,"YYYYMMDD")&amp;"*"" &amp; """&amp;walkandungz&amp;""" "&amp;search_path&amp;"\RTDC"&amp;B68&amp;"\"&amp;TEXT(F68,"YYYY-MM-DD")
&amp;" &amp; "&amp;"aws s3 cp "&amp;s3_bucket&amp;"/RTDC"&amp;B68&amp;"/ "&amp;search_path&amp;"\RTDC"&amp;B68&amp;"\"&amp;TEXT(F68+1,"YYYY-MM-DD")&amp;" --exclude ""*"" --recursive --include ""*"&amp;TEXT(F68+1,"YYYYMMDD")&amp;"*"" &amp; """&amp;walkandungz&amp;""" "&amp;search_path&amp;"\RTDC"&amp;B68&amp;"\"&amp;TEXT(F68+1,"YYYY-MM-DD")</f>
        <v>aws s3 cp s3://rtdc.mdm.uploadarchive.raw/RTDC4037/ "%USERPROFILE%\AppData\Local\Temp\OnboardLogs"\RTDC4037\2017-02-07 --exclude "*" --recursive --include "*20170207*" &amp; "%USERPROFILE%\Documents\GitHub\mrs-test-scripts\Headless Mode &amp; Sideloading\WalkAndUnGZ.bat" "%USERPROFILE%\AppData\Local\Temp\OnboardLogs"\RTDC4037\2017-02-07 &amp; aws s3 cp s3://rtdc.mdm.uploadarchive.raw/RTDC4037/ "%USERPROFILE%\AppData\Local\Temp\OnboardLogs"\RTDC4037\2017-02-08 --exclude "*" --recursive --include "*20170208*" &amp; "%USERPROFILE%\Documents\GitHub\mrs-test-scripts\Headless Mode &amp; Sideloading\WalkAndUnGZ.bat" "%USERPROFILE%\AppData\Local\Temp\OnboardLogs"\RTDC4037\2017-02-08</v>
      </c>
      <c r="AF68" s="82" t="str">
        <f>astrogrep_path&amp;" /spath="&amp;search_path&amp;" /stypes=""app*"&amp;B68&amp;"*"&amp;TEXT(I68-utc_offset/24,"YYYYMMDD")&amp;"*"" /stext="" "&amp;TEXT(I68-utc_offset/24,"HH")&amp;search_regexp&amp;""" /e /r /s"</f>
        <v>"C:\Program Files (x86)\AstroGrep\AstroGrep.exe" /spath="%USERPROFILE%\AppData\Local\Temp\OnboardLogs" /stypes="app*4037*20170207*" /stext=" 19:.+((SYSTEM_STATE.+slice.+state.+changed )|(ment ac)|(multiple cpu faults)|(system.+state.+changed )|(\[timeout)|(PRM\|1\|D)|(kpr)|(kdp)|(\|lc)|(penalty))" /e /r /s</v>
      </c>
      <c r="AG68" s="1" t="str">
        <f>IFERROR(IF(VALUE(LEFT(AD68,2))&lt;=2,"EC",IF(OR(VALUE(LEFT(AD68,2))=8,VALUE(LEFT(AD68,2))=18),"NW","Other")),"Other")</f>
        <v>EC</v>
      </c>
      <c r="AH68" s="86" t="str">
        <f t="shared" si="3"/>
        <v>"%USERPROFILE%\Documents\GitHub\eaglep3\Utilities\RefineRTDCRunTimes.py" --tripid 156-07 --locoid 4037 --swversion DE.1.0.8.0 --startMP 204:232985 --initTime 2017-02-07T11:20:16 --startdatetime 2017-02-07T11:26:25 --delay 1 --endMP 204:141 --enddatetime 2017-02-07T12:04:22 --enforcementcount 0 &gt;&gt;C:\Users\stu\Documents\GitHub\eaglep3-reporting\EC\2017-02-07-refined-times.txt</v>
      </c>
      <c r="AI68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{"issue":{"subject":"","project_id":79,"tracker_id":40,"status_id":1,"priority_id":2,"assigned_to_id":23,"start_date":"2017-02-07","description":"","custom_fields":[{"id":1,"name":"Subdivision","value":"EC"},{"id":4,"name":"Milepost","value":"0.0141"},{"id":17,"name":"Train ID","value":"156-07"},{"id":16,"name":"Locomotive ID","value":"4037"},{"id":130,"name":"Impact","value":""},{"id":150,"name":"Time of Event (Mountain Time)","value":"12:04:22"},{"id":151,"name":"Denver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48"/>
      <c r="AK68" s="48"/>
      <c r="AL68" s="48"/>
      <c r="AM68" s="158" t="str">
        <f t="shared" si="5"/>
        <v>start /low /b %USERPROFILE%\Documents\GitHub\eaglep3\Utilities\DownloadLogsFromS3.py --loco 4037 --day 2017-02-07</v>
      </c>
      <c r="AN68" s="167" t="str">
        <f>"grep -SE -B400 ""CHR.+\|PRM\|1\|D.+(SWITCH|SIGNAL).+UNKNOWN"" "&amp;search_path&amp;"\RTDC"&amp;B68&amp;"\*"&amp;B68&amp;"*"&amp;TEXT(AVERAGE(F68,I68)-utc_offset/24,"YYYYMMDD")&amp;"*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"%USERPROFILE%\AppData\Local\Temp\OnboardLogs"\RTDC4037\*4037*20170207* | grep -SE "(Enforcement Action)|(\[TIMEOUT)|(CHR.+\|PRM\|1\|D.+(SWITCH|SIGNAL).+UNKNOWN)" - &gt;&gt; 2017-02-07-UncaughtWiMAX.txt</v>
      </c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3" t="s">
        <v>577</v>
      </c>
      <c r="B69" s="7">
        <v>4031</v>
      </c>
      <c r="C69" s="21" t="s">
        <v>193</v>
      </c>
      <c r="D69" s="21" t="s">
        <v>284</v>
      </c>
      <c r="E69" s="13">
        <v>42773.44635416667</v>
      </c>
      <c r="F69" s="13">
        <v>42773.448275462964</v>
      </c>
      <c r="G69" s="7">
        <v>1</v>
      </c>
      <c r="H69" s="21" t="s">
        <v>390</v>
      </c>
      <c r="I69" s="13">
        <v>42773.472604166665</v>
      </c>
      <c r="J69" s="7">
        <v>0</v>
      </c>
      <c r="K69" s="98" t="str">
        <f>IF(ISEVEN(B69),(B69-1)&amp;"/"&amp;B69,B69&amp;"/"&amp;(B69+1))</f>
        <v>4031/4032</v>
      </c>
      <c r="L69" s="21" t="str">
        <f>VLOOKUP(A69,'Trips&amp;Operators'!$C$1:$G$99999,5,FALSE)</f>
        <v>ROCHA YAOTL</v>
      </c>
      <c r="M69" s="6">
        <f>I69-F69</f>
        <v>2.4328703701030463E-2</v>
      </c>
      <c r="N69" s="7">
        <f>24*60*SUM($M69:$M69)</f>
        <v>35.033333329483867</v>
      </c>
      <c r="O69" s="7"/>
      <c r="P69" s="7"/>
      <c r="Q69" s="22"/>
      <c r="R69" s="22"/>
      <c r="S69" s="31">
        <f>SUM(U69:U69)/IF(AG69="EC",12,1)</f>
        <v>1</v>
      </c>
      <c r="T69" s="46" t="str">
        <f>IF(ISEVEN(LEFT(AD69,4)),"Southbound","NorthBound")</f>
        <v>NorthBound</v>
      </c>
      <c r="U69" s="190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191" t="str">
        <f>"https://d0f6bd738d7f1b3e5a7ca70fe4ff75f0.us-east-1.aws.found.io/app/kibana#/discover/Steve-Slow-Train-Analysis-(2080s-and-2083s)?_g="&amp;"(refreshInterval:(display:Off,pause:!f,section:0,value:0),time:(from:'"&amp;TEXT(E69-1/24,"yyyy-MM-DDThh:mm:ss")&amp;utc_offset&amp;"00"&amp;"',mode:absolute,to:'"&amp;TEXT(I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69&amp;"%22')),sort:!(Time.ISO8601,asc))"</f>
        <v>https://d0f6bd738d7f1b3e5a7ca70fe4ff75f0.us-east-1.aws.found.io/app/kibana#/discover/Steve-Slow-Train-Analysis-(2080s-and-2083s)?_g=(refreshInterval:(display:Off,pause:!f,section:0,value:0),time:(from:'2017-02-07T09:42:45-0700',mode:absolute,to:'2017-02-07T12:20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69" s="192" t="str">
        <f>IF(AA69&lt;IF(AG69="EC",23,5.65),"Y","N")</f>
        <v>N</v>
      </c>
      <c r="X69" s="192">
        <f>VALUE(LEFT(AD69,4))-VALUE(LEFT(AD68,4))</f>
        <v>1</v>
      </c>
      <c r="Y69" s="62">
        <f>RIGHT(D69,LEN(D69)-4)/10000</f>
        <v>4.6699999999999998E-2</v>
      </c>
      <c r="Z69" s="62">
        <f>RIGHT(H69,LEN(H69)-4)/10000</f>
        <v>23.329499999999999</v>
      </c>
      <c r="AA69" s="62">
        <f>ABS(Z69-Y69)</f>
        <v>23.282799999999998</v>
      </c>
      <c r="AB69" s="59" t="e">
        <f>VLOOKUP(A69,Enforcements!$C$7:$K$14,8,0)</f>
        <v>#N/A</v>
      </c>
      <c r="AC69" s="55" t="e">
        <f>VLOOKUP(A69,Enforcements!$C$7:$E$14,3,0)</f>
        <v>#N/A</v>
      </c>
      <c r="AD69" s="56" t="str">
        <f>IF(LEN(A69)=6,"0"&amp;A69,A69)</f>
        <v>0157-07</v>
      </c>
      <c r="AE69" s="85" t="str">
        <f>"aws s3 cp "&amp;s3_bucket&amp;"/RTDC"&amp;B69&amp;"/ "&amp;search_path&amp;"\RTDC"&amp;B69&amp;"\"&amp;TEXT(F69,"YYYY-MM-DD")&amp;" --exclude ""*"" --recursive --include ""*"&amp;TEXT(F69,"YYYYMMDD")&amp;"*"" &amp; """&amp;walkandungz&amp;""" "&amp;search_path&amp;"\RTDC"&amp;B69&amp;"\"&amp;TEXT(F69,"YYYY-MM-DD")
&amp;" &amp; "&amp;"aws s3 cp "&amp;s3_bucket&amp;"/RTDC"&amp;B69&amp;"/ "&amp;search_path&amp;"\RTDC"&amp;B69&amp;"\"&amp;TEXT(F69+1,"YYYY-MM-DD")&amp;" --exclude ""*"" --recursive --include ""*"&amp;TEXT(F69+1,"YYYYMMDD")&amp;"*"" &amp; """&amp;walkandungz&amp;""" "&amp;search_path&amp;"\RTDC"&amp;B69&amp;"\"&amp;TEXT(F69+1,"YYYY-MM-DD")</f>
        <v>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 &amp; aws s3 cp s3://rtdc.mdm.uploadarchive.raw/RTDC4031/ "%USERPROFILE%\AppData\Local\Temp\OnboardLogs"\RTDC4031\2017-02-08 --exclude "*" --recursive --include "*20170208*" &amp; "%USERPROFILE%\Documents\GitHub\mrs-test-scripts\Headless Mode &amp; Sideloading\WalkAndUnGZ.bat" "%USERPROFILE%\AppData\Local\Temp\OnboardLogs"\RTDC4031\2017-02-08</v>
      </c>
      <c r="AF69" s="82" t="str">
        <f>astrogrep_path&amp;" /spath="&amp;search_path&amp;" /stypes=""app*"&amp;B69&amp;"*"&amp;TEXT(I69-utc_offset/24,"YYYYMMDD")&amp;"*"" /stext="" "&amp;TEXT(I69-utc_offset/24,"HH")&amp;search_regexp&amp;""" /e /r /s"</f>
        <v>"C:\Program Files (x86)\AstroGrep\AstroGrep.exe" /spath="%USERPROFILE%\AppData\Local\Temp\OnboardLogs" /stypes="app*4031*20170207*" /stext=" 18:.+((SYSTEM_STATE.+slice.+state.+changed )|(ment ac)|(multiple cpu faults)|(system.+state.+changed )|(\[timeout)|(PRM\|1\|D)|(kpr)|(kdp)|(\|lc)|(penalty))" /e /r /s</v>
      </c>
      <c r="AG69" s="1" t="str">
        <f>IFERROR(IF(VALUE(LEFT(AD69,2))&lt;=2,"EC",IF(OR(VALUE(LEFT(AD69,2))=8,VALUE(LEFT(AD69,2))=18),"NW","Other")),"Other")</f>
        <v>EC</v>
      </c>
      <c r="AH69" s="86" t="str">
        <f t="shared" si="3"/>
        <v>"%USERPROFILE%\Documents\GitHub\eaglep3\Utilities\RefineRTDCRunTimes.py" --tripid 157-07 --locoid 4031 --swversion DE.1.0.8.0 --startMP 204:467 --initTime 2017-02-07T10:42:45 --startdatetime 2017-02-07T10:45:31 --delay 1 --endMP 204:233295 --enddatetime 2017-02-07T11:20:33 --enforcementcount 0 &gt;&gt;C:\Users\stu\Documents\GitHub\eaglep3-reporting\EC\2017-02-07-refined-times.txt</v>
      </c>
      <c r="AI69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{"issue":{"subject":"","project_id":79,"tracker_id":40,"status_id":1,"priority_id":2,"assigned_to_id":23,"start_date":"2017-02-07","description":"","custom_fields":[{"id":1,"name":"Subdivision","value":"EC"},{"id":4,"name":"Milepost","value":"23.3295"},{"id":17,"name":"Train ID","value":"157-07"},{"id":16,"name":"Locomotive ID","value":"4031"},{"id":130,"name":"Impact","value":""},{"id":150,"name":"Time of Event (Mountain Time)","value":"11:20:33"},{"id":151,"name":"Denver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48"/>
      <c r="AK69" s="48"/>
      <c r="AL69" s="48"/>
      <c r="AM69" s="158" t="str">
        <f t="shared" si="5"/>
        <v>start /low /b %USERPROFILE%\Documents\GitHub\eaglep3\Utilities\DownloadLogsFromS3.py --loco 4031 --day 2017-02-07</v>
      </c>
      <c r="AN69" s="167" t="str">
        <f>"grep -SE -B400 ""CHR.+\|PRM\|1\|D.+(SWITCH|SIGNAL).+UNKNOWN"" "&amp;search_path&amp;"\RTDC"&amp;B69&amp;"\*"&amp;B69&amp;"*"&amp;TEXT(AVERAGE(F69,I69)-utc_offset/24,"YYYYMMDD")&amp;"*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"%USERPROFILE%\AppData\Local\Temp\OnboardLogs"\RTDC4031\*4031*20170207* | grep -SE "(Enforcement Action)|(\[TIMEOUT)|(CHR.+\|PRM\|1\|D.+(SWITCH|SIGNAL).+UNKNOWN)" - &gt;&gt; 2017-02-07-UncaughtWiMAX.txt</v>
      </c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3" t="s">
        <v>584</v>
      </c>
      <c r="B70" s="7">
        <v>4032</v>
      </c>
      <c r="C70" s="21" t="s">
        <v>193</v>
      </c>
      <c r="D70" s="21" t="s">
        <v>429</v>
      </c>
      <c r="E70" s="13">
        <v>42773.485578703701</v>
      </c>
      <c r="F70" s="13">
        <v>42773.487013888887</v>
      </c>
      <c r="G70" s="7">
        <v>1</v>
      </c>
      <c r="H70" s="21" t="s">
        <v>352</v>
      </c>
      <c r="I70" s="13">
        <v>42773.514490740738</v>
      </c>
      <c r="J70" s="7">
        <v>0</v>
      </c>
      <c r="K70" s="98" t="str">
        <f>IF(ISEVEN(B70),(B70-1)&amp;"/"&amp;B70,B70&amp;"/"&amp;(B70+1))</f>
        <v>4031/4032</v>
      </c>
      <c r="L70" s="21" t="str">
        <f>VLOOKUP(A70,'Trips&amp;Operators'!$C$1:$G$99999,5,FALSE)</f>
        <v>ROCHA YAOTL</v>
      </c>
      <c r="M70" s="6">
        <f>I70-F70</f>
        <v>2.7476851850224193E-2</v>
      </c>
      <c r="N70" s="7">
        <f>24*60*SUM($M70:$M70)</f>
        <v>39.566666664322838</v>
      </c>
      <c r="O70" s="7"/>
      <c r="P70" s="7"/>
      <c r="Q70" s="22"/>
      <c r="R70" s="22"/>
      <c r="S70" s="31">
        <f>SUM(U70:U70)/IF(AG70="EC",12,1)</f>
        <v>1</v>
      </c>
      <c r="T70" s="46" t="str">
        <f>IF(ISEVEN(LEFT(AD70,4)),"Southbound","NorthBound")</f>
        <v>Southbound</v>
      </c>
      <c r="U70" s="190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191" t="str">
        <f>"https://d0f6bd738d7f1b3e5a7ca70fe4ff75f0.us-east-1.aws.found.io/app/kibana#/discover/Steve-Slow-Train-Analysis-(2080s-and-2083s)?_g="&amp;"(refreshInterval:(display:Off,pause:!f,section:0,value:0),time:(from:'"&amp;TEXT(E70-1/24,"yyyy-MM-DDThh:mm:ss")&amp;utc_offset&amp;"00"&amp;"',mode:absolute,to:'"&amp;TEXT(I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70&amp;"%22')),sort:!(Time.ISO8601,asc))"</f>
        <v>https://d0f6bd738d7f1b3e5a7ca70fe4ff75f0.us-east-1.aws.found.io/app/kibana#/discover/Steve-Slow-Train-Analysis-(2080s-and-2083s)?_g=(refreshInterval:(display:Off,pause:!f,section:0,value:0),time:(from:'2017-02-07T10:39:14-0700',mode:absolute,to:'2017-02-07T13:20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70" s="192" t="str">
        <f>IF(AA70&lt;IF(AG70="EC",23,5.65),"Y","N")</f>
        <v>N</v>
      </c>
      <c r="X70" s="192">
        <f>VALUE(LEFT(AD70,4))-VALUE(LEFT(AD69,4))</f>
        <v>1</v>
      </c>
      <c r="Y70" s="62">
        <f>RIGHT(D70,LEN(D70)-4)/10000</f>
        <v>23.2973</v>
      </c>
      <c r="Z70" s="62">
        <f>RIGHT(H70,LEN(H70)-4)/10000</f>
        <v>1.6500000000000001E-2</v>
      </c>
      <c r="AA70" s="62">
        <f>ABS(Z70-Y70)</f>
        <v>23.280799999999999</v>
      </c>
      <c r="AB70" s="59" t="e">
        <f>VLOOKUP(A70,Enforcements!$C$7:$K$14,8,0)</f>
        <v>#N/A</v>
      </c>
      <c r="AC70" s="55" t="e">
        <f>VLOOKUP(A70,Enforcements!$C$7:$E$14,3,0)</f>
        <v>#N/A</v>
      </c>
      <c r="AD70" s="56" t="str">
        <f>IF(LEN(A70)=6,"0"&amp;A70,A70)</f>
        <v>0158-07</v>
      </c>
      <c r="AE70" s="85" t="str">
        <f>"aws s3 cp "&amp;s3_bucket&amp;"/RTDC"&amp;B70&amp;"/ "&amp;search_path&amp;"\RTDC"&amp;B70&amp;"\"&amp;TEXT(F70,"YYYY-MM-DD")&amp;" --exclude ""*"" --recursive --include ""*"&amp;TEXT(F70,"YYYYMMDD")&amp;"*"" &amp; """&amp;walkandungz&amp;""" "&amp;search_path&amp;"\RTDC"&amp;B70&amp;"\"&amp;TEXT(F70,"YYYY-MM-DD")
&amp;" &amp; "&amp;"aws s3 cp "&amp;s3_bucket&amp;"/RTDC"&amp;B70&amp;"/ "&amp;search_path&amp;"\RTDC"&amp;B70&amp;"\"&amp;TEXT(F70+1,"YYYY-MM-DD")&amp;" --exclude ""*"" --recursive --include ""*"&amp;TEXT(F70+1,"YYYYMMDD")&amp;"*"" &amp; """&amp;walkandungz&amp;""" "&amp;search_path&amp;"\RTDC"&amp;B70&amp;"\"&amp;TEXT(F70+1,"YYYY-MM-DD")</f>
        <v>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 &amp; aws s3 cp s3://rtdc.mdm.uploadarchive.raw/RTDC4032/ "%USERPROFILE%\AppData\Local\Temp\OnboardLogs"\RTDC4032\2017-02-08 --exclude "*" --recursive --include "*20170208*" &amp; "%USERPROFILE%\Documents\GitHub\mrs-test-scripts\Headless Mode &amp; Sideloading\WalkAndUnGZ.bat" "%USERPROFILE%\AppData\Local\Temp\OnboardLogs"\RTDC4032\2017-02-08</v>
      </c>
      <c r="AF70" s="82" t="str">
        <f>astrogrep_path&amp;" /spath="&amp;search_path&amp;" /stypes=""app*"&amp;B70&amp;"*"&amp;TEXT(I70-utc_offset/24,"YYYYMMDD")&amp;"*"" /stext="" "&amp;TEXT(I70-utc_offset/24,"HH")&amp;search_regexp&amp;""" /e /r /s"</f>
        <v>"C:\Program Files (x86)\AstroGrep\AstroGrep.exe" /spath="%USERPROFILE%\AppData\Local\Temp\OnboardLogs" /stypes="app*4032*20170207*" /stext=" 19:.+((SYSTEM_STATE.+slice.+state.+changed )|(ment ac)|(multiple cpu faults)|(system.+state.+changed )|(\[timeout)|(PRM\|1\|D)|(kpr)|(kdp)|(\|lc)|(penalty))" /e /r /s</v>
      </c>
      <c r="AG70" s="1" t="str">
        <f>IFERROR(IF(VALUE(LEFT(AD70,2))&lt;=2,"EC",IF(OR(VALUE(LEFT(AD70,2))=8,VALUE(LEFT(AD70,2))=18),"NW","Other")),"Other")</f>
        <v>EC</v>
      </c>
      <c r="AH70" s="86" t="str">
        <f t="shared" si="3"/>
        <v>"%USERPROFILE%\Documents\GitHub\eaglep3\Utilities\RefineRTDCRunTimes.py" --tripid 158-07 --locoid 4032 --swversion DE.1.0.8.0 --startMP 204:232973 --initTime 2017-02-07T11:39:14 --startdatetime 2017-02-07T11:41:18 --delay 1 --endMP 204:165 --enddatetime 2017-02-07T12:20:52 --enforcementcount 0 &gt;&gt;C:\Users\stu\Documents\GitHub\eaglep3-reporting\EC\2017-02-07-refined-times.txt</v>
      </c>
      <c r="AI70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{"issue":{"subject":"","project_id":79,"tracker_id":40,"status_id":1,"priority_id":2,"assigned_to_id":23,"start_date":"2017-02-07","description":"","custom_fields":[{"id":1,"name":"Subdivision","value":"EC"},{"id":4,"name":"Milepost","value":"0.0165"},{"id":17,"name":"Train ID","value":"158-07"},{"id":16,"name":"Locomotive ID","value":"4032"},{"id":130,"name":"Impact","value":""},{"id":150,"name":"Time of Event (Mountain Time)","value":"12:20:52"},{"id":151,"name":"Denver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48"/>
      <c r="AK70" s="48"/>
      <c r="AL70" s="48"/>
      <c r="AM70" s="158" t="str">
        <f t="shared" si="5"/>
        <v>start /low /b %USERPROFILE%\Documents\GitHub\eaglep3\Utilities\DownloadLogsFromS3.py --loco 4032 --day 2017-02-07</v>
      </c>
      <c r="AN70" s="167" t="str">
        <f>"grep -SE -B400 ""CHR.+\|PRM\|1\|D.+(SWITCH|SIGNAL).+UNKNOWN"" "&amp;search_path&amp;"\RTDC"&amp;B70&amp;"\*"&amp;B70&amp;"*"&amp;TEXT(AVERAGE(F70,I70)-utc_offset/24,"YYYYMMDD")&amp;"*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"%USERPROFILE%\AppData\Local\Temp\OnboardLogs"\RTDC4032\*4032*20170207* | grep -SE "(Enforcement Action)|(\[TIMEOUT)|(CHR.+\|PRM\|1\|D.+(SWITCH|SIGNAL).+UNKNOWN)" - &gt;&gt; 2017-02-07-UncaughtWiMAX.txt</v>
      </c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3" t="s">
        <v>579</v>
      </c>
      <c r="B71" s="7">
        <v>4025</v>
      </c>
      <c r="C71" s="21" t="s">
        <v>193</v>
      </c>
      <c r="D71" s="21" t="s">
        <v>354</v>
      </c>
      <c r="E71" s="13">
        <v>42773.454780092594</v>
      </c>
      <c r="F71" s="13">
        <v>42773.45857638889</v>
      </c>
      <c r="G71" s="7">
        <v>1</v>
      </c>
      <c r="H71" s="21" t="s">
        <v>390</v>
      </c>
      <c r="I71" s="13">
        <v>42773.4846412037</v>
      </c>
      <c r="J71" s="7">
        <v>0</v>
      </c>
      <c r="K71" s="98" t="str">
        <f>IF(ISEVEN(B71),(B71-1)&amp;"/"&amp;B71,B71&amp;"/"&amp;(B71+1))</f>
        <v>4025/4026</v>
      </c>
      <c r="L71" s="21" t="str">
        <f>VLOOKUP(A71,'Trips&amp;Operators'!$C$1:$G$99999,5,FALSE)</f>
        <v>DAVIS MICHAEL</v>
      </c>
      <c r="M71" s="6">
        <f>I71-F71</f>
        <v>2.6064814810524695E-2</v>
      </c>
      <c r="N71" s="7">
        <f>24*60*SUM($M71:$M71)</f>
        <v>37.53333332715556</v>
      </c>
      <c r="O71" s="7"/>
      <c r="P71" s="7"/>
      <c r="Q71" s="22"/>
      <c r="R71" s="22"/>
      <c r="S71" s="31">
        <f>SUM(U71:U71)/IF(AG71="EC",12,1)</f>
        <v>1</v>
      </c>
      <c r="T71" s="46" t="str">
        <f>IF(ISEVEN(LEFT(AD71,4)),"Southbound","NorthBound")</f>
        <v>NorthBound</v>
      </c>
      <c r="U71" s="190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191" t="str">
        <f>"https://d0f6bd738d7f1b3e5a7ca70fe4ff75f0.us-east-1.aws.found.io/app/kibana#/discover/Steve-Slow-Train-Analysis-(2080s-and-2083s)?_g="&amp;"(refreshInterval:(display:Off,pause:!f,section:0,value:0),time:(from:'"&amp;TEXT(E71-1/24,"yyyy-MM-DDThh:mm:ss")&amp;utc_offset&amp;"00"&amp;"',mode:absolute,to:'"&amp;TEXT(I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71&amp;"%22')),sort:!(Time.ISO8601,asc))"</f>
        <v>https://d0f6bd738d7f1b3e5a7ca70fe4ff75f0.us-east-1.aws.found.io/app/kibana#/discover/Steve-Slow-Train-Analysis-(2080s-and-2083s)?_g=(refreshInterval:(display:Off,pause:!f,section:0,value:0),time:(from:'2017-02-07T09:54:53-0700',mode:absolute,to:'2017-02-07T12:37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71" s="192" t="str">
        <f>IF(AA71&lt;IF(AG71="EC",23,5.65),"Y","N")</f>
        <v>N</v>
      </c>
      <c r="X71" s="192">
        <f>VALUE(LEFT(AD71,4))-VALUE(LEFT(AD70,4))</f>
        <v>1</v>
      </c>
      <c r="Y71" s="62">
        <f>RIGHT(D71,LEN(D71)-4)/10000</f>
        <v>4.6600000000000003E-2</v>
      </c>
      <c r="Z71" s="62">
        <f>RIGHT(H71,LEN(H71)-4)/10000</f>
        <v>23.329499999999999</v>
      </c>
      <c r="AA71" s="62">
        <f>ABS(Z71-Y71)</f>
        <v>23.282899999999998</v>
      </c>
      <c r="AB71" s="59" t="e">
        <f>VLOOKUP(A71,Enforcements!$C$7:$K$14,8,0)</f>
        <v>#N/A</v>
      </c>
      <c r="AC71" s="55" t="e">
        <f>VLOOKUP(A71,Enforcements!$C$7:$E$14,3,0)</f>
        <v>#N/A</v>
      </c>
      <c r="AD71" s="56" t="str">
        <f>IF(LEN(A71)=6,"0"&amp;A71,A71)</f>
        <v>0159-07</v>
      </c>
      <c r="AE71" s="85" t="str">
        <f>"aws s3 cp "&amp;s3_bucket&amp;"/RTDC"&amp;B71&amp;"/ "&amp;search_path&amp;"\RTDC"&amp;B71&amp;"\"&amp;TEXT(F71,"YYYY-MM-DD")&amp;" --exclude ""*"" --recursive --include ""*"&amp;TEXT(F71,"YYYYMMDD")&amp;"*"" &amp; """&amp;walkandungz&amp;""" "&amp;search_path&amp;"\RTDC"&amp;B71&amp;"\"&amp;TEXT(F71,"YYYY-MM-DD")
&amp;" &amp; "&amp;"aws s3 cp "&amp;s3_bucket&amp;"/RTDC"&amp;B71&amp;"/ "&amp;search_path&amp;"\RTDC"&amp;B71&amp;"\"&amp;TEXT(F71+1,"YYYY-MM-DD")&amp;" --exclude ""*"" --recursive --include ""*"&amp;TEXT(F71+1,"YYYYMMDD")&amp;"*"" &amp; """&amp;walkandungz&amp;""" "&amp;search_path&amp;"\RTDC"&amp;B71&amp;"\"&amp;TEXT(F71+1,"YYYY-MM-DD")</f>
        <v>aws s3 cp s3://rtdc.mdm.uploadarchive.raw/RTDC4025/ "%USERPROFILE%\AppData\Local\Temp\OnboardLogs"\RTDC4025\2017-02-07 --exclude "*" --recursive --include "*20170207*" &amp; "%USERPROFILE%\Documents\GitHub\mrs-test-scripts\Headless Mode &amp; Sideloading\WalkAndUnGZ.bat" "%USERPROFILE%\AppData\Local\Temp\OnboardLogs"\RTDC4025\2017-02-07 &amp; aws s3 cp s3://rtdc.mdm.uploadarchive.raw/RTDC4025/ "%USERPROFILE%\AppData\Local\Temp\OnboardLogs"\RTDC4025\2017-02-08 --exclude "*" --recursive --include "*20170208*" &amp; "%USERPROFILE%\Documents\GitHub\mrs-test-scripts\Headless Mode &amp; Sideloading\WalkAndUnGZ.bat" "%USERPROFILE%\AppData\Local\Temp\OnboardLogs"\RTDC4025\2017-02-08</v>
      </c>
      <c r="AF71" s="82" t="str">
        <f>astrogrep_path&amp;" /spath="&amp;search_path&amp;" /stypes=""app*"&amp;B71&amp;"*"&amp;TEXT(I71-utc_offset/24,"YYYYMMDD")&amp;"*"" /stext="" "&amp;TEXT(I71-utc_offset/24,"HH")&amp;search_regexp&amp;""" /e /r /s"</f>
        <v>"C:\Program Files (x86)\AstroGrep\AstroGrep.exe" /spath="%USERPROFILE%\AppData\Local\Temp\OnboardLogs" /stypes="app*4025*20170207*" /stext=" 18:.+((SYSTEM_STATE.+slice.+state.+changed )|(ment ac)|(multiple cpu faults)|(system.+state.+changed )|(\[timeout)|(PRM\|1\|D)|(kpr)|(kdp)|(\|lc)|(penalty))" /e /r /s</v>
      </c>
      <c r="AG71" s="1" t="str">
        <f>IFERROR(IF(VALUE(LEFT(AD71,2))&lt;=2,"EC",IF(OR(VALUE(LEFT(AD71,2))=8,VALUE(LEFT(AD71,2))=18),"NW","Other")),"Other")</f>
        <v>EC</v>
      </c>
      <c r="AH71" s="86" t="str">
        <f t="shared" si="3"/>
        <v>"%USERPROFILE%\Documents\GitHub\eaglep3\Utilities\RefineRTDCRunTimes.py" --tripid 159-07 --locoid 4025 --swversion DE.1.0.8.0 --startMP 204:466 --initTime 2017-02-07T10:54:53 --startdatetime 2017-02-07T11:00:21 --delay 1 --endMP 204:233295 --enddatetime 2017-02-07T11:37:53 --enforcementcount 0 &gt;&gt;C:\Users\stu\Documents\GitHub\eaglep3-reporting\EC\2017-02-07-refined-times.txt</v>
      </c>
      <c r="AI71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{"issue":{"subject":"","project_id":79,"tracker_id":40,"status_id":1,"priority_id":2,"assigned_to_id":23,"start_date":"2017-02-07","description":"","custom_fields":[{"id":1,"name":"Subdivision","value":"EC"},{"id":4,"name":"Milepost","value":"23.3295"},{"id":17,"name":"Train ID","value":"159-07"},{"id":16,"name":"Locomotive ID","value":"4025"},{"id":130,"name":"Impact","value":""},{"id":150,"name":"Time of Event (Mountain Time)","value":"11:37:53"},{"id":151,"name":"Denver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48"/>
      <c r="AK71" s="48"/>
      <c r="AL71" s="48"/>
      <c r="AM71" s="158" t="str">
        <f t="shared" si="5"/>
        <v>start /low /b %USERPROFILE%\Documents\GitHub\eaglep3\Utilities\DownloadLogsFromS3.py --loco 4025 --day 2017-02-07</v>
      </c>
      <c r="AN71" s="167" t="str">
        <f>"grep -SE -B400 ""CHR.+\|PRM\|1\|D.+(SWITCH|SIGNAL).+UNKNOWN"" "&amp;search_path&amp;"\RTDC"&amp;B71&amp;"\*"&amp;B71&amp;"*"&amp;TEXT(AVERAGE(F71,I71)-utc_offset/24,"YYYYMMDD")&amp;"*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"%USERPROFILE%\AppData\Local\Temp\OnboardLogs"\RTDC4025\*4025*20170207* | grep -SE "(Enforcement Action)|(\[TIMEOUT)|(CHR.+\|PRM\|1\|D.+(SWITCH|SIGNAL).+UNKNOWN)" - &gt;&gt; 2017-02-07-UncaughtWiMAX.txt</v>
      </c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3" t="s">
        <v>587</v>
      </c>
      <c r="B72" s="7">
        <v>4026</v>
      </c>
      <c r="C72" s="21" t="s">
        <v>193</v>
      </c>
      <c r="D72" s="21" t="s">
        <v>431</v>
      </c>
      <c r="E72" s="13">
        <v>42773.495393518519</v>
      </c>
      <c r="F72" s="13">
        <v>42773.497650462959</v>
      </c>
      <c r="G72" s="7">
        <v>1</v>
      </c>
      <c r="H72" s="21" t="s">
        <v>425</v>
      </c>
      <c r="I72" s="13">
        <v>42773.524884259263</v>
      </c>
      <c r="J72" s="7">
        <v>0</v>
      </c>
      <c r="K72" s="98" t="str">
        <f>IF(ISEVEN(B72),(B72-1)&amp;"/"&amp;B72,B72&amp;"/"&amp;(B72+1))</f>
        <v>4025/4026</v>
      </c>
      <c r="L72" s="21" t="str">
        <f>VLOOKUP(A72,'Trips&amp;Operators'!$C$1:$G$99999,5,FALSE)</f>
        <v>DAVIS MICHAEL</v>
      </c>
      <c r="M72" s="6">
        <f>I72-F72</f>
        <v>2.7233796303335112E-2</v>
      </c>
      <c r="N72" s="7">
        <f>24*60*SUM($M72:$M72)</f>
        <v>39.216666676802561</v>
      </c>
      <c r="O72" s="7"/>
      <c r="P72" s="7"/>
      <c r="Q72" s="22"/>
      <c r="R72" s="22"/>
      <c r="S72" s="31">
        <f>SUM(U72:U72)/IF(AG72="EC",12,1)</f>
        <v>1</v>
      </c>
      <c r="T72" s="46" t="str">
        <f>IF(ISEVEN(LEFT(AD72,4)),"Southbound","NorthBound")</f>
        <v>Southbound</v>
      </c>
      <c r="U72" s="190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191" t="str">
        <f>"https://d0f6bd738d7f1b3e5a7ca70fe4ff75f0.us-east-1.aws.found.io/app/kibana#/discover/Steve-Slow-Train-Analysis-(2080s-and-2083s)?_g="&amp;"(refreshInterval:(display:Off,pause:!f,section:0,value:0),time:(from:'"&amp;TEXT(E72-1/24,"yyyy-MM-DDThh:mm:ss")&amp;utc_offset&amp;"00"&amp;"',mode:absolute,to:'"&amp;TEXT(I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72&amp;"%22')),sort:!(Time.ISO8601,asc))"</f>
        <v>https://d0f6bd738d7f1b3e5a7ca70fe4ff75f0.us-east-1.aws.found.io/app/kibana#/discover/Steve-Slow-Train-Analysis-(2080s-and-2083s)?_g=(refreshInterval:(display:Off,pause:!f,section:0,value:0),time:(from:'2017-02-07T10:53:22-0700',mode:absolute,to:'2017-02-07T13:35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72" s="192" t="str">
        <f>IF(AA72&lt;IF(AG72="EC",23,5.65),"Y","N")</f>
        <v>N</v>
      </c>
      <c r="X72" s="192">
        <f>VALUE(LEFT(AD72,4))-VALUE(LEFT(AD71,4))</f>
        <v>1</v>
      </c>
      <c r="Y72" s="62">
        <f>RIGHT(D72,LEN(D72)-4)/10000</f>
        <v>23.298300000000001</v>
      </c>
      <c r="Z72" s="62">
        <f>RIGHT(H72,LEN(H72)-4)/10000</f>
        <v>1.2999999999999999E-2</v>
      </c>
      <c r="AA72" s="62">
        <f>ABS(Z72-Y72)</f>
        <v>23.285299999999999</v>
      </c>
      <c r="AB72" s="59" t="e">
        <f>VLOOKUP(A72,Enforcements!$C$7:$K$14,8,0)</f>
        <v>#N/A</v>
      </c>
      <c r="AC72" s="55" t="e">
        <f>VLOOKUP(A72,Enforcements!$C$7:$E$14,3,0)</f>
        <v>#N/A</v>
      </c>
      <c r="AD72" s="56" t="str">
        <f>IF(LEN(A72)=6,"0"&amp;A72,A72)</f>
        <v>0160-07</v>
      </c>
      <c r="AE72" s="85" t="str">
        <f>"aws s3 cp "&amp;s3_bucket&amp;"/RTDC"&amp;B72&amp;"/ "&amp;search_path&amp;"\RTDC"&amp;B72&amp;"\"&amp;TEXT(F72,"YYYY-MM-DD")&amp;" --exclude ""*"" --recursive --include ""*"&amp;TEXT(F72,"YYYYMMDD")&amp;"*"" &amp; """&amp;walkandungz&amp;""" "&amp;search_path&amp;"\RTDC"&amp;B72&amp;"\"&amp;TEXT(F72,"YYYY-MM-DD")
&amp;" &amp; "&amp;"aws s3 cp "&amp;s3_bucket&amp;"/RTDC"&amp;B72&amp;"/ "&amp;search_path&amp;"\RTDC"&amp;B72&amp;"\"&amp;TEXT(F72+1,"YYYY-MM-DD")&amp;" --exclude ""*"" --recursive --include ""*"&amp;TEXT(F72+1,"YYYYMMDD")&amp;"*"" &amp; """&amp;walkandungz&amp;""" "&amp;search_path&amp;"\RTDC"&amp;B72&amp;"\"&amp;TEXT(F72+1,"YYYY-MM-DD")</f>
        <v>aws s3 cp s3://rtdc.mdm.uploadarchive.raw/RTDC4026/ "%USERPROFILE%\AppData\Local\Temp\OnboardLogs"\RTDC4026\2017-02-07 --exclude "*" --recursive --include "*20170207*" &amp; "%USERPROFILE%\Documents\GitHub\mrs-test-scripts\Headless Mode &amp; Sideloading\WalkAndUnGZ.bat" "%USERPROFILE%\AppData\Local\Temp\OnboardLogs"\RTDC4026\2017-02-07 &amp; 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</v>
      </c>
      <c r="AF72" s="82" t="str">
        <f>astrogrep_path&amp;" /spath="&amp;search_path&amp;" /stypes=""app*"&amp;B72&amp;"*"&amp;TEXT(I72-utc_offset/24,"YYYYMMDD")&amp;"*"" /stext="" "&amp;TEXT(I72-utc_offset/24,"HH")&amp;search_regexp&amp;""" /e /r /s"</f>
        <v>"C:\Program Files (x86)\AstroGrep\AstroGrep.exe" /spath="%USERPROFILE%\AppData\Local\Temp\OnboardLogs" /stypes="app*4026*20170207*" /stext=" 19:.+((SYSTEM_STATE.+slice.+state.+changed )|(ment ac)|(multiple cpu faults)|(system.+state.+changed )|(\[timeout)|(PRM\|1\|D)|(kpr)|(kdp)|(\|lc)|(penalty))" /e /r /s</v>
      </c>
      <c r="AG72" s="1" t="str">
        <f>IFERROR(IF(VALUE(LEFT(AD72,2))&lt;=2,"EC",IF(OR(VALUE(LEFT(AD72,2))=8,VALUE(LEFT(AD72,2))=18),"NW","Other")),"Other")</f>
        <v>EC</v>
      </c>
      <c r="AH72" s="86" t="str">
        <f t="shared" si="3"/>
        <v>"%USERPROFILE%\Documents\GitHub\eaglep3\Utilities\RefineRTDCRunTimes.py" --tripid 160-07 --locoid 4026 --swversion DE.1.0.8.0 --startMP 204:232983 --initTime 2017-02-07T11:53:22 --startdatetime 2017-02-07T11:56:37 --delay 1 --endMP 204:130 --enddatetime 2017-02-07T12:35:50 --enforcementcount 0 &gt;&gt;C:\Users\stu\Documents\GitHub\eaglep3-reporting\EC\2017-02-07-refined-times.txt</v>
      </c>
      <c r="AI72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{"issue":{"subject":"","project_id":79,"tracker_id":40,"status_id":1,"priority_id":2,"assigned_to_id":23,"start_date":"2017-02-07","description":"","custom_fields":[{"id":1,"name":"Subdivision","value":"EC"},{"id":4,"name":"Milepost","value":"0.013"},{"id":17,"name":"Train ID","value":"160-07"},{"id":16,"name":"Locomotive ID","value":"4026"},{"id":130,"name":"Impact","value":""},{"id":150,"name":"Time of Event (Mountain Time)","value":"12:35:50"},{"id":151,"name":"Denver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48"/>
      <c r="AK72" s="48"/>
      <c r="AL72" s="48"/>
      <c r="AM72" s="158" t="str">
        <f t="shared" si="5"/>
        <v>start /low /b %USERPROFILE%\Documents\GitHub\eaglep3\Utilities\DownloadLogsFromS3.py --loco 4026 --day 2017-02-07</v>
      </c>
      <c r="AN72" s="167" t="str">
        <f>"grep -SE -B400 ""CHR.+\|PRM\|1\|D.+(SWITCH|SIGNAL).+UNKNOWN"" "&amp;search_path&amp;"\RTDC"&amp;B72&amp;"\*"&amp;B72&amp;"*"&amp;TEXT(AVERAGE(F72,I72)-utc_offset/24,"YYYYMMDD")&amp;"*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"%USERPROFILE%\AppData\Local\Temp\OnboardLogs"\RTDC4026\*4026*20170207* | grep -SE "(Enforcement Action)|(\[TIMEOUT)|(CHR.+\|PRM\|1\|D.+(SWITCH|SIGNAL).+UNKNOWN)" - &gt;&gt; 2017-02-07-UncaughtWiMAX.txt</v>
      </c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20" customFormat="1" x14ac:dyDescent="0.25">
      <c r="A73" s="33" t="s">
        <v>581</v>
      </c>
      <c r="B73" s="7">
        <v>4046</v>
      </c>
      <c r="C73" s="21" t="s">
        <v>193</v>
      </c>
      <c r="D73" s="21" t="s">
        <v>238</v>
      </c>
      <c r="E73" s="13">
        <v>42773.464386574073</v>
      </c>
      <c r="F73" s="13">
        <v>42773.46912037037</v>
      </c>
      <c r="G73" s="7">
        <v>2</v>
      </c>
      <c r="H73" s="21" t="s">
        <v>320</v>
      </c>
      <c r="I73" s="13">
        <v>42773.495173611111</v>
      </c>
      <c r="J73" s="7">
        <v>0</v>
      </c>
      <c r="K73" s="98" t="str">
        <f>IF(ISEVEN(B73),(B73-1)&amp;"/"&amp;B73,B73&amp;"/"&amp;(B73+1))</f>
        <v>4045/4046</v>
      </c>
      <c r="L73" s="21" t="str">
        <f>VLOOKUP(A73,'Trips&amp;Operators'!$C$1:$G$99999,5,FALSE)</f>
        <v>MOSES BRADLEY</v>
      </c>
      <c r="M73" s="6">
        <f>I73-F73</f>
        <v>2.6053240741021E-2</v>
      </c>
      <c r="N73" s="7">
        <f>24*60*SUM($M73:$M73)</f>
        <v>37.51666666707024</v>
      </c>
      <c r="O73" s="7"/>
      <c r="P73" s="7"/>
      <c r="Q73" s="22"/>
      <c r="R73" s="22"/>
      <c r="S73" s="31">
        <f>SUM(U73:U73)/IF(AG73="EC",12,1)</f>
        <v>1</v>
      </c>
      <c r="T73" s="46" t="str">
        <f>IF(ISEVEN(LEFT(AD73,4)),"Southbound","NorthBound")</f>
        <v>NorthBound</v>
      </c>
      <c r="U73" s="190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191" t="str">
        <f>"https://d0f6bd738d7f1b3e5a7ca70fe4ff75f0.us-east-1.aws.found.io/app/kibana#/discover/Steve-Slow-Train-Analysis-(2080s-and-2083s)?_g="&amp;"(refreshInterval:(display:Off,pause:!f,section:0,value:0),time:(from:'"&amp;TEXT(E73-1/24,"yyyy-MM-DDThh:mm:ss")&amp;utc_offset&amp;"00"&amp;"',mode:absolute,to:'"&amp;TEXT(I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73&amp;"%22')),sort:!(Time.ISO8601,asc))"</f>
        <v>https://d0f6bd738d7f1b3e5a7ca70fe4ff75f0.us-east-1.aws.found.io/app/kibana#/discover/Steve-Slow-Train-Analysis-(2080s-and-2083s)?_g=(refreshInterval:(display:Off,pause:!f,section:0,value:0),time:(from:'2017-02-07T10:08:43-0700',mode:absolute,to:'2017-02-07T12:53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73" s="192" t="str">
        <f>IF(AA73&lt;IF(AG73="EC",23,5.65),"Y","N")</f>
        <v>N</v>
      </c>
      <c r="X73" s="192">
        <f>VALUE(LEFT(AD73,4))-VALUE(LEFT(AD72,4))</f>
        <v>1</v>
      </c>
      <c r="Y73" s="62">
        <f>RIGHT(D73,LEN(D73)-4)/10000</f>
        <v>4.5100000000000001E-2</v>
      </c>
      <c r="Z73" s="62">
        <f>RIGHT(H73,LEN(H73)-4)/10000</f>
        <v>23.3309</v>
      </c>
      <c r="AA73" s="62">
        <f>ABS(Z73-Y73)</f>
        <v>23.285799999999998</v>
      </c>
      <c r="AB73" s="59" t="e">
        <f>VLOOKUP(A73,Enforcements!$C$7:$K$14,8,0)</f>
        <v>#N/A</v>
      </c>
      <c r="AC73" s="55" t="e">
        <f>VLOOKUP(A73,Enforcements!$C$7:$E$14,3,0)</f>
        <v>#N/A</v>
      </c>
      <c r="AD73" s="56" t="str">
        <f>IF(LEN(A73)=6,"0"&amp;A73,A73)</f>
        <v>0161-07</v>
      </c>
      <c r="AE73" s="85" t="str">
        <f>"aws s3 cp "&amp;s3_bucket&amp;"/RTDC"&amp;B73&amp;"/ "&amp;search_path&amp;"\RTDC"&amp;B73&amp;"\"&amp;TEXT(F73,"YYYY-MM-DD")&amp;" --exclude ""*"" --recursive --include ""*"&amp;TEXT(F73,"YYYYMMDD")&amp;"*"" &amp; """&amp;walkandungz&amp;""" "&amp;search_path&amp;"\RTDC"&amp;B73&amp;"\"&amp;TEXT(F73,"YYYY-MM-DD")
&amp;" &amp; "&amp;"aws s3 cp "&amp;s3_bucket&amp;"/RTDC"&amp;B73&amp;"/ "&amp;search_path&amp;"\RTDC"&amp;B73&amp;"\"&amp;TEXT(F73+1,"YYYY-MM-DD")&amp;" --exclude ""*"" --recursive --include ""*"&amp;TEXT(F73+1,"YYYYMMDD")&amp;"*"" &amp; """&amp;walkandungz&amp;""" "&amp;search_path&amp;"\RTDC"&amp;B73&amp;"\"&amp;TEXT(F73+1,"YYYY-MM-DD")</f>
        <v>aws s3 cp s3://rtdc.mdm.uploadarchive.raw/RTDC4046/ "%USERPROFILE%\AppData\Local\Temp\OnboardLogs"\RTDC4046\2017-02-07 --exclude "*" --recursive --include "*20170207*" &amp; "%USERPROFILE%\Documents\GitHub\mrs-test-scripts\Headless Mode &amp; Sideloading\WalkAndUnGZ.bat" "%USERPROFILE%\AppData\Local\Temp\OnboardLogs"\RTDC4046\2017-02-07 &amp; aws s3 cp s3://rtdc.mdm.uploadarchive.raw/RTDC4046/ "%USERPROFILE%\AppData\Local\Temp\OnboardLogs"\RTDC4046\2017-02-08 --exclude "*" --recursive --include "*20170208*" &amp; "%USERPROFILE%\Documents\GitHub\mrs-test-scripts\Headless Mode &amp; Sideloading\WalkAndUnGZ.bat" "%USERPROFILE%\AppData\Local\Temp\OnboardLogs"\RTDC4046\2017-02-08</v>
      </c>
      <c r="AF73" s="82" t="str">
        <f>astrogrep_path&amp;" /spath="&amp;search_path&amp;" /stypes=""app*"&amp;B73&amp;"*"&amp;TEXT(I73-utc_offset/24,"YYYYMMDD")&amp;"*"" /stext="" "&amp;TEXT(I73-utc_offset/24,"HH")&amp;search_regexp&amp;""" /e /r /s"</f>
        <v>"C:\Program Files (x86)\AstroGrep\AstroGrep.exe" /spath="%USERPROFILE%\AppData\Local\Temp\OnboardLogs" /stypes="app*4046*20170207*" /stext=" 18:.+((SYSTEM_STATE.+slice.+state.+changed )|(ment ac)|(multiple cpu faults)|(system.+state.+changed )|(\[timeout)|(PRM\|1\|D)|(kpr)|(kdp)|(\|lc)|(penalty))" /e /r /s</v>
      </c>
      <c r="AG73" s="1" t="str">
        <f>IFERROR(IF(VALUE(LEFT(AD73,2))&lt;=2,"EC",IF(OR(VALUE(LEFT(AD73,2))=8,VALUE(LEFT(AD73,2))=18),"NW","Other")),"Other")</f>
        <v>EC</v>
      </c>
      <c r="AH73" s="86" t="str">
        <f t="shared" si="3"/>
        <v>"%USERPROFILE%\Documents\GitHub\eaglep3\Utilities\RefineRTDCRunTimes.py" --tripid 161-07 --locoid 4046 --swversion DE.1.0.8.0 --startMP 204:451 --initTime 2017-02-07T11:08:43 --startdatetime 2017-02-07T11:15:32 --delay 2 --endMP 204:233309 --enddatetime 2017-02-07T11:53:03 --enforcementcount 0 &gt;&gt;C:\Users\stu\Documents\GitHub\eaglep3-reporting\EC\2017-02-07-refined-times.txt</v>
      </c>
      <c r="AI73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{"issue":{"subject":"","project_id":79,"tracker_id":40,"status_id":1,"priority_id":2,"assigned_to_id":23,"start_date":"2017-02-07","description":"","custom_fields":[{"id":1,"name":"Subdivision","value":"EC"},{"id":4,"name":"Milepost","value":"23.3309"},{"id":17,"name":"Train ID","value":"161-07"},{"id":16,"name":"Locomotive ID","value":"4046"},{"id":130,"name":"Impact","value":""},{"id":150,"name":"Time of Event (Mountain Time)","value":"11:53:03"},{"id":151,"name":"Denver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48"/>
      <c r="AK73" s="48"/>
      <c r="AL73" s="48"/>
      <c r="AM73" s="158" t="str">
        <f t="shared" si="5"/>
        <v>start /low /b %USERPROFILE%\Documents\GitHub\eaglep3\Utilities\DownloadLogsFromS3.py --loco 4046 --day 2017-02-07</v>
      </c>
      <c r="AN73" s="167" t="str">
        <f>"grep -SE -B400 ""CHR.+\|PRM\|1\|D.+(SWITCH|SIGNAL).+UNKNOWN"" "&amp;search_path&amp;"\RTDC"&amp;B73&amp;"\*"&amp;B73&amp;"*"&amp;TEXT(AVERAGE(F73,I73)-utc_offset/24,"YYYYMMDD")&amp;"*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"%USERPROFILE%\AppData\Local\Temp\OnboardLogs"\RTDC4046\*4046*20170207* | grep -SE "(Enforcement Action)|(\[TIMEOUT)|(CHR.+\|PRM\|1\|D.+(SWITCH|SIGNAL).+UNKNOWN)" - &gt;&gt; 2017-02-07-UncaughtWiMAX.txt</v>
      </c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20" customFormat="1" x14ac:dyDescent="0.25">
      <c r="A74" s="33" t="s">
        <v>588</v>
      </c>
      <c r="B74" s="7">
        <v>4045</v>
      </c>
      <c r="C74" s="21" t="s">
        <v>193</v>
      </c>
      <c r="D74" s="21" t="s">
        <v>716</v>
      </c>
      <c r="E74" s="13">
        <v>42773.503113425926</v>
      </c>
      <c r="F74" s="13">
        <v>42773.507870370369</v>
      </c>
      <c r="G74" s="7">
        <v>1</v>
      </c>
      <c r="H74" s="21" t="s">
        <v>380</v>
      </c>
      <c r="I74" s="13">
        <v>42773.534895833334</v>
      </c>
      <c r="J74" s="7">
        <v>0</v>
      </c>
      <c r="K74" s="98" t="str">
        <f>IF(ISEVEN(B74),(B74-1)&amp;"/"&amp;B74,B74&amp;"/"&amp;(B74+1))</f>
        <v>4045/4046</v>
      </c>
      <c r="L74" s="21" t="str">
        <f>VLOOKUP(A74,'Trips&amp;Operators'!$C$1:$G$99999,5,FALSE)</f>
        <v>MOSES BRADLEY</v>
      </c>
      <c r="M74" s="6">
        <f>I74-F74</f>
        <v>2.7025462964957114E-2</v>
      </c>
      <c r="N74" s="7">
        <f>24*60*SUM($M74:$M74)</f>
        <v>38.916666669538245</v>
      </c>
      <c r="O74" s="7"/>
      <c r="P74" s="7"/>
      <c r="Q74" s="22"/>
      <c r="R74" s="22"/>
      <c r="S74" s="31">
        <f>SUM(U74:U74)/IF(AG74="EC",12,1)</f>
        <v>1</v>
      </c>
      <c r="T74" s="46" t="str">
        <f>IF(ISEVEN(LEFT(AD74,4)),"Southbound","NorthBound")</f>
        <v>Southbound</v>
      </c>
      <c r="U74" s="190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191" t="str">
        <f>"https://d0f6bd738d7f1b3e5a7ca70fe4ff75f0.us-east-1.aws.found.io/app/kibana#/discover/Steve-Slow-Train-Analysis-(2080s-and-2083s)?_g="&amp;"(refreshInterval:(display:Off,pause:!f,section:0,value:0),time:(from:'"&amp;TEXT(E74-1/24,"yyyy-MM-DDThh:mm:ss")&amp;utc_offset&amp;"00"&amp;"',mode:absolute,to:'"&amp;TEXT(I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74&amp;"%22')),sort:!(Time.ISO8601,asc))"</f>
        <v>https://d0f6bd738d7f1b3e5a7ca70fe4ff75f0.us-east-1.aws.found.io/app/kibana#/discover/Steve-Slow-Train-Analysis-(2080s-and-2083s)?_g=(refreshInterval:(display:Off,pause:!f,section:0,value:0),time:(from:'2017-02-07T11:04:29-0700',mode:absolute,to:'2017-02-07T13:50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74" s="192" t="str">
        <f>IF(AA74&lt;IF(AG74="EC",23,5.65),"Y","N")</f>
        <v>N</v>
      </c>
      <c r="X74" s="192">
        <f>VALUE(LEFT(AD74,4))-VALUE(LEFT(AD73,4))</f>
        <v>1</v>
      </c>
      <c r="Y74" s="62">
        <f>RIGHT(D74,LEN(D74)-4)/10000</f>
        <v>23.299600000000002</v>
      </c>
      <c r="Z74" s="62">
        <f>RIGHT(H74,LEN(H74)-4)/10000</f>
        <v>1.6299999999999999E-2</v>
      </c>
      <c r="AA74" s="62">
        <f>ABS(Z74-Y74)</f>
        <v>23.283300000000001</v>
      </c>
      <c r="AB74" s="59" t="e">
        <f>VLOOKUP(A74,Enforcements!$C$7:$K$14,8,0)</f>
        <v>#N/A</v>
      </c>
      <c r="AC74" s="55" t="e">
        <f>VLOOKUP(A74,Enforcements!$C$7:$E$14,3,0)</f>
        <v>#N/A</v>
      </c>
      <c r="AD74" s="56" t="str">
        <f>IF(LEN(A74)=6,"0"&amp;A74,A74)</f>
        <v>0162-07</v>
      </c>
      <c r="AE74" s="85" t="str">
        <f>"aws s3 cp "&amp;s3_bucket&amp;"/RTDC"&amp;B74&amp;"/ "&amp;search_path&amp;"\RTDC"&amp;B74&amp;"\"&amp;TEXT(F74,"YYYY-MM-DD")&amp;" --exclude ""*"" --recursive --include ""*"&amp;TEXT(F74,"YYYYMMDD")&amp;"*"" &amp; """&amp;walkandungz&amp;""" "&amp;search_path&amp;"\RTDC"&amp;B74&amp;"\"&amp;TEXT(F74,"YYYY-MM-DD")
&amp;" &amp; "&amp;"aws s3 cp "&amp;s3_bucket&amp;"/RTDC"&amp;B74&amp;"/ "&amp;search_path&amp;"\RTDC"&amp;B74&amp;"\"&amp;TEXT(F74+1,"YYYY-MM-DD")&amp;" --exclude ""*"" --recursive --include ""*"&amp;TEXT(F74+1,"YYYYMMDD")&amp;"*"" &amp; """&amp;walkandungz&amp;""" "&amp;search_path&amp;"\RTDC"&amp;B74&amp;"\"&amp;TEXT(F74+1,"YYYY-MM-DD")</f>
        <v>aws s3 cp s3://rtdc.mdm.uploadarchive.raw/RTDC4045/ "%USERPROFILE%\AppData\Local\Temp\OnboardLogs"\RTDC4045\2017-02-07 --exclude "*" --recursive --include "*20170207*" &amp; "%USERPROFILE%\Documents\GitHub\mrs-test-scripts\Headless Mode &amp; Sideloading\WalkAndUnGZ.bat" "%USERPROFILE%\AppData\Local\Temp\OnboardLogs"\RTDC4045\2017-02-07 &amp; aws s3 cp s3://rtdc.mdm.uploadarchive.raw/RTDC4045/ "%USERPROFILE%\AppData\Local\Temp\OnboardLogs"\RTDC4045\2017-02-08 --exclude "*" --recursive --include "*20170208*" &amp; "%USERPROFILE%\Documents\GitHub\mrs-test-scripts\Headless Mode &amp; Sideloading\WalkAndUnGZ.bat" "%USERPROFILE%\AppData\Local\Temp\OnboardLogs"\RTDC4045\2017-02-08</v>
      </c>
      <c r="AF74" s="82" t="str">
        <f>astrogrep_path&amp;" /spath="&amp;search_path&amp;" /stypes=""app*"&amp;B74&amp;"*"&amp;TEXT(I74-utc_offset/24,"YYYYMMDD")&amp;"*"" /stext="" "&amp;TEXT(I74-utc_offset/24,"HH")&amp;search_regexp&amp;""" /e /r /s"</f>
        <v>"C:\Program Files (x86)\AstroGrep\AstroGrep.exe" /spath="%USERPROFILE%\AppData\Local\Temp\OnboardLogs" /stypes="app*4045*20170207*" /stext=" 19:.+((SYSTEM_STATE.+slice.+state.+changed )|(ment ac)|(multiple cpu faults)|(system.+state.+changed )|(\[timeout)|(PRM\|1\|D)|(kpr)|(kdp)|(\|lc)|(penalty))" /e /r /s</v>
      </c>
      <c r="AG74" s="1" t="str">
        <f>IFERROR(IF(VALUE(LEFT(AD74,2))&lt;=2,"EC",IF(OR(VALUE(LEFT(AD74,2))=8,VALUE(LEFT(AD74,2))=18),"NW","Other")),"Other")</f>
        <v>EC</v>
      </c>
      <c r="AH74" s="86" t="str">
        <f t="shared" si="3"/>
        <v>"%USERPROFILE%\Documents\GitHub\eaglep3\Utilities\RefineRTDCRunTimes.py" --tripid 162-07 --locoid 4045 --swversion DE.1.0.8.0 --startMP 204:232996 --initTime 2017-02-07T12:04:29 --startdatetime 2017-02-07T12:11:20 --delay 1 --endMP 204:163 --enddatetime 2017-02-07T12:50:15 --enforcementcount 0 &gt;&gt;C:\Users\stu\Documents\GitHub\eaglep3-reporting\EC\2017-02-07-refined-times.txt</v>
      </c>
      <c r="AI74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{"issue":{"subject":"","project_id":79,"tracker_id":40,"status_id":1,"priority_id":2,"assigned_to_id":23,"start_date":"2017-02-07","description":"","custom_fields":[{"id":1,"name":"Subdivision","value":"EC"},{"id":4,"name":"Milepost","value":"0.0163"},{"id":17,"name":"Train ID","value":"162-07"},{"id":16,"name":"Locomotive ID","value":"4045"},{"id":130,"name":"Impact","value":""},{"id":150,"name":"Time of Event (Mountain Time)","value":"12:50:15"},{"id":151,"name":"Denver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48"/>
      <c r="AK74" s="48"/>
      <c r="AL74" s="48"/>
      <c r="AM74" s="158" t="str">
        <f t="shared" si="5"/>
        <v>start /low /b %USERPROFILE%\Documents\GitHub\eaglep3\Utilities\DownloadLogsFromS3.py --loco 4045 --day 2017-02-07</v>
      </c>
      <c r="AN74" s="167" t="str">
        <f>"grep -SE -B400 ""CHR.+\|PRM\|1\|D.+(SWITCH|SIGNAL).+UNKNOWN"" "&amp;search_path&amp;"\RTDC"&amp;B74&amp;"\*"&amp;B74&amp;"*"&amp;TEXT(AVERAGE(F74,I74)-utc_offset/24,"YYYYMMDD")&amp;"*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"%USERPROFILE%\AppData\Local\Temp\OnboardLogs"\RTDC4045\*4045*20170207* | grep -SE "(Enforcement Action)|(\[TIMEOUT)|(CHR.+\|PRM\|1\|D.+(SWITCH|SIGNAL).+UNKNOWN)" - &gt;&gt; 2017-02-07-UncaughtWiMAX.txt</v>
      </c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20" customFormat="1" x14ac:dyDescent="0.25">
      <c r="A75" s="33" t="s">
        <v>582</v>
      </c>
      <c r="B75" s="7">
        <v>4040</v>
      </c>
      <c r="C75" s="21" t="s">
        <v>193</v>
      </c>
      <c r="D75" s="21" t="s">
        <v>210</v>
      </c>
      <c r="E75" s="13">
        <v>42773.475925925923</v>
      </c>
      <c r="F75" s="13">
        <v>42773.479456018518</v>
      </c>
      <c r="G75" s="7">
        <v>1</v>
      </c>
      <c r="H75" s="21" t="s">
        <v>314</v>
      </c>
      <c r="I75" s="13">
        <v>42773.504733796297</v>
      </c>
      <c r="J75" s="7">
        <v>0</v>
      </c>
      <c r="K75" s="98" t="str">
        <f>IF(ISEVEN(B75),(B75-1)&amp;"/"&amp;B75,B75&amp;"/"&amp;(B75+1))</f>
        <v>4039/4040</v>
      </c>
      <c r="L75" s="21" t="str">
        <f>VLOOKUP(A75,'Trips&amp;Operators'!$C$1:$G$99999,5,FALSE)</f>
        <v>LEVERE CRAIG</v>
      </c>
      <c r="M75" s="6">
        <f>I75-F75</f>
        <v>2.527777777868323E-2</v>
      </c>
      <c r="N75" s="7">
        <f>24*60*SUM($M75:$M75)</f>
        <v>36.400000001303852</v>
      </c>
      <c r="O75" s="7"/>
      <c r="P75" s="7"/>
      <c r="Q75" s="22"/>
      <c r="R75" s="22"/>
      <c r="S75" s="31">
        <f>SUM(U75:U75)/IF(AG75="EC",12,1)</f>
        <v>1</v>
      </c>
      <c r="T75" s="46" t="str">
        <f>IF(ISEVEN(LEFT(AD75,4)),"Southbound","NorthBound")</f>
        <v>NorthBound</v>
      </c>
      <c r="U75" s="190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191" t="str">
        <f>"https://d0f6bd738d7f1b3e5a7ca70fe4ff75f0.us-east-1.aws.found.io/app/kibana#/discover/Steve-Slow-Train-Analysis-(2080s-and-2083s)?_g="&amp;"(refreshInterval:(display:Off,pause:!f,section:0,value:0),time:(from:'"&amp;TEXT(E75-1/24,"yyyy-MM-DDThh:mm:ss")&amp;utc_offset&amp;"00"&amp;"',mode:absolute,to:'"&amp;TEXT(I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75&amp;"%22')),sort:!(Time.ISO8601,asc))"</f>
        <v>https://d0f6bd738d7f1b3e5a7ca70fe4ff75f0.us-east-1.aws.found.io/app/kibana#/discover/Steve-Slow-Train-Analysis-(2080s-and-2083s)?_g=(refreshInterval:(display:Off,pause:!f,section:0,value:0),time:(from:'2017-02-07T10:25:20-0700',mode:absolute,to:'2017-02-07T13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75" s="192" t="str">
        <f>IF(AA75&lt;IF(AG75="EC",23,5.65),"Y","N")</f>
        <v>N</v>
      </c>
      <c r="X75" s="192">
        <f>VALUE(LEFT(AD75,4))-VALUE(LEFT(AD74,4))</f>
        <v>1</v>
      </c>
      <c r="Y75" s="62">
        <f>RIGHT(D75,LEN(D75)-4)/10000</f>
        <v>4.4900000000000002E-2</v>
      </c>
      <c r="Z75" s="62">
        <f>RIGHT(H75,LEN(H75)-4)/10000</f>
        <v>23.331700000000001</v>
      </c>
      <c r="AA75" s="62">
        <f>ABS(Z75-Y75)</f>
        <v>23.286800000000003</v>
      </c>
      <c r="AB75" s="59" t="e">
        <f>VLOOKUP(A75,Enforcements!$C$7:$K$14,8,0)</f>
        <v>#N/A</v>
      </c>
      <c r="AC75" s="55" t="e">
        <f>VLOOKUP(A75,Enforcements!$C$7:$E$14,3,0)</f>
        <v>#N/A</v>
      </c>
      <c r="AD75" s="56" t="str">
        <f>IF(LEN(A75)=6,"0"&amp;A75,A75)</f>
        <v>0163-07</v>
      </c>
      <c r="AE75" s="85" t="str">
        <f>"aws s3 cp "&amp;s3_bucket&amp;"/RTDC"&amp;B75&amp;"/ "&amp;search_path&amp;"\RTDC"&amp;B75&amp;"\"&amp;TEXT(F75,"YYYY-MM-DD")&amp;" --exclude ""*"" --recursive --include ""*"&amp;TEXT(F75,"YYYYMMDD")&amp;"*"" &amp; """&amp;walkandungz&amp;""" "&amp;search_path&amp;"\RTDC"&amp;B75&amp;"\"&amp;TEXT(F75,"YYYY-MM-DD")
&amp;" &amp; "&amp;"aws s3 cp "&amp;s3_bucket&amp;"/RTDC"&amp;B75&amp;"/ "&amp;search_path&amp;"\RTDC"&amp;B75&amp;"\"&amp;TEXT(F75+1,"YYYY-MM-DD")&amp;" --exclude ""*"" --recursive --include ""*"&amp;TEXT(F75+1,"YYYYMMDD")&amp;"*"" &amp; """&amp;walkandungz&amp;""" "&amp;search_path&amp;"\RTDC"&amp;B75&amp;"\"&amp;TEXT(F75+1,"YYYY-MM-DD")</f>
        <v>aws s3 cp s3://rtdc.mdm.uploadarchive.raw/RTDC4040/ "%USERPROFILE%\AppData\Local\Temp\OnboardLogs"\RTDC4040\2017-02-07 --exclude "*" --recursive --include "*20170207*" &amp; "%USERPROFILE%\Documents\GitHub\mrs-test-scripts\Headless Mode &amp; Sideloading\WalkAndUnGZ.bat" "%USERPROFILE%\AppData\Local\Temp\OnboardLogs"\RTDC4040\2017-02-07 &amp; aws s3 cp s3://rtdc.mdm.uploadarchive.raw/RTDC4040/ "%USERPROFILE%\AppData\Local\Temp\OnboardLogs"\RTDC4040\2017-02-08 --exclude "*" --recursive --include "*20170208*" &amp; "%USERPROFILE%\Documents\GitHub\mrs-test-scripts\Headless Mode &amp; Sideloading\WalkAndUnGZ.bat" "%USERPROFILE%\AppData\Local\Temp\OnboardLogs"\RTDC4040\2017-02-08</v>
      </c>
      <c r="AF75" s="82" t="str">
        <f>astrogrep_path&amp;" /spath="&amp;search_path&amp;" /stypes=""app*"&amp;B75&amp;"*"&amp;TEXT(I75-utc_offset/24,"YYYYMMDD")&amp;"*"" /stext="" "&amp;TEXT(I75-utc_offset/24,"HH")&amp;search_regexp&amp;""" /e /r /s"</f>
        <v>"C:\Program Files (x86)\AstroGrep\AstroGrep.exe" /spath="%USERPROFILE%\AppData\Local\Temp\OnboardLogs" /stypes="app*4040*20170207*" /stext=" 19:.+((SYSTEM_STATE.+slice.+state.+changed )|(ment ac)|(multiple cpu faults)|(system.+state.+changed )|(\[timeout)|(PRM\|1\|D)|(kpr)|(kdp)|(\|lc)|(penalty))" /e /r /s</v>
      </c>
      <c r="AG75" s="1" t="str">
        <f>IFERROR(IF(VALUE(LEFT(AD75,2))&lt;=2,"EC",IF(OR(VALUE(LEFT(AD75,2))=8,VALUE(LEFT(AD75,2))=18),"NW","Other")),"Other")</f>
        <v>EC</v>
      </c>
      <c r="AH75" s="86" t="str">
        <f t="shared" si="3"/>
        <v>"%USERPROFILE%\Documents\GitHub\eaglep3\Utilities\RefineRTDCRunTimes.py" --tripid 163-07 --locoid 4040 --swversion DE.1.0.8.0 --startMP 204:449 --initTime 2017-02-07T11:25:20 --startdatetime 2017-02-07T11:30:25 --delay 1 --endMP 204:233317 --enddatetime 2017-02-07T12:06:49 --enforcementcount 0 &gt;&gt;C:\Users\stu\Documents\GitHub\eaglep3-reporting\EC\2017-02-07-refined-times.txt</v>
      </c>
      <c r="AI75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{"issue":{"subject":"","project_id":79,"tracker_id":40,"status_id":1,"priority_id":2,"assigned_to_id":23,"start_date":"2017-02-07","description":"","custom_fields":[{"id":1,"name":"Subdivision","value":"EC"},{"id":4,"name":"Milepost","value":"23.3317"},{"id":17,"name":"Train ID","value":"163-07"},{"id":16,"name":"Locomotive ID","value":"4040"},{"id":130,"name":"Impact","value":""},{"id":150,"name":"Time of Event (Mountain Time)","value":"12:06:49"},{"id":151,"name":"Denver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48"/>
      <c r="AK75" s="48"/>
      <c r="AL75" s="48"/>
      <c r="AM75" s="158" t="str">
        <f t="shared" si="5"/>
        <v>start /low /b %USERPROFILE%\Documents\GitHub\eaglep3\Utilities\DownloadLogsFromS3.py --loco 4040 --day 2017-02-07</v>
      </c>
      <c r="AN75" s="167" t="str">
        <f>"grep -SE -B400 ""CHR.+\|PRM\|1\|D.+(SWITCH|SIGNAL).+UNKNOWN"" "&amp;search_path&amp;"\RTDC"&amp;B75&amp;"\*"&amp;B75&amp;"*"&amp;TEXT(AVERAGE(F75,I75)-utc_offset/24,"YYYYMMDD")&amp;"*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"%USERPROFILE%\AppData\Local\Temp\OnboardLogs"\RTDC4040\*4040*20170207* | grep -SE "(Enforcement Action)|(\[TIMEOUT)|(CHR.+\|PRM\|1\|D.+(SWITCH|SIGNAL).+UNKNOWN)" - &gt;&gt; 2017-02-07-UncaughtWiMAX.txt</v>
      </c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20" customFormat="1" x14ac:dyDescent="0.25">
      <c r="A76" s="33" t="s">
        <v>591</v>
      </c>
      <c r="B76" s="7">
        <v>4039</v>
      </c>
      <c r="C76" s="21" t="s">
        <v>193</v>
      </c>
      <c r="D76" s="21" t="s">
        <v>391</v>
      </c>
      <c r="E76" s="13">
        <v>42773.511770833335</v>
      </c>
      <c r="F76" s="13">
        <v>42773.518495370372</v>
      </c>
      <c r="G76" s="7">
        <v>1</v>
      </c>
      <c r="H76" s="21" t="s">
        <v>376</v>
      </c>
      <c r="I76" s="13">
        <v>42773.545324074075</v>
      </c>
      <c r="J76" s="7">
        <v>0</v>
      </c>
      <c r="K76" s="98" t="str">
        <f>IF(ISEVEN(B76),(B76-1)&amp;"/"&amp;B76,B76&amp;"/"&amp;(B76+1))</f>
        <v>4039/4040</v>
      </c>
      <c r="L76" s="21" t="str">
        <f>VLOOKUP(A76,'Trips&amp;Operators'!$C$1:$G$99999,5,FALSE)</f>
        <v>LEVERE CRAIG</v>
      </c>
      <c r="M76" s="6">
        <f>I76-F76</f>
        <v>2.6828703703358769E-2</v>
      </c>
      <c r="N76" s="7">
        <f>24*60*SUM($M76:$M76)</f>
        <v>38.633333332836628</v>
      </c>
      <c r="O76" s="7"/>
      <c r="P76" s="7"/>
      <c r="Q76" s="22"/>
      <c r="R76" s="22"/>
      <c r="S76" s="31">
        <f>SUM(U76:U76)/IF(AG76="EC",12,1)</f>
        <v>1</v>
      </c>
      <c r="T76" s="46" t="str">
        <f>IF(ISEVEN(LEFT(AD76,4)),"Southbound","NorthBound")</f>
        <v>Southbound</v>
      </c>
      <c r="U76" s="190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191" t="str">
        <f>"https://d0f6bd738d7f1b3e5a7ca70fe4ff75f0.us-east-1.aws.found.io/app/kibana#/discover/Steve-Slow-Train-Analysis-(2080s-and-2083s)?_g="&amp;"(refreshInterval:(display:Off,pause:!f,section:0,value:0),time:(from:'"&amp;TEXT(E76-1/24,"yyyy-MM-DDThh:mm:ss")&amp;utc_offset&amp;"00"&amp;"',mode:absolute,to:'"&amp;TEXT(I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76&amp;"%22')),sort:!(Time.ISO8601,asc))"</f>
        <v>https://d0f6bd738d7f1b3e5a7ca70fe4ff75f0.us-east-1.aws.found.io/app/kibana#/discover/Steve-Slow-Train-Analysis-(2080s-and-2083s)?_g=(refreshInterval:(display:Off,pause:!f,section:0,value:0),time:(from:'2017-02-07T11:16:57-0700',mode:absolute,to:'2017-02-07T14:05:16-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76" s="192" t="str">
        <f>IF(AA76&lt;IF(AG76="EC",23,5.65),"Y","N")</f>
        <v>N</v>
      </c>
      <c r="X76" s="192">
        <f>VALUE(LEFT(AD76,4))-VALUE(LEFT(AD75,4))</f>
        <v>1</v>
      </c>
      <c r="Y76" s="62">
        <f>RIGHT(D76,LEN(D76)-4)/10000</f>
        <v>23.2989</v>
      </c>
      <c r="Z76" s="62">
        <f>RIGHT(H76,LEN(H76)-4)/10000</f>
        <v>1.61E-2</v>
      </c>
      <c r="AA76" s="62">
        <f>ABS(Z76-Y76)</f>
        <v>23.282799999999998</v>
      </c>
      <c r="AB76" s="59" t="e">
        <f>VLOOKUP(A76,Enforcements!$C$7:$K$14,8,0)</f>
        <v>#N/A</v>
      </c>
      <c r="AC76" s="55" t="e">
        <f>VLOOKUP(A76,Enforcements!$C$7:$E$14,3,0)</f>
        <v>#N/A</v>
      </c>
      <c r="AD76" s="56" t="str">
        <f>IF(LEN(A76)=6,"0"&amp;A76,A76)</f>
        <v>0164-07</v>
      </c>
      <c r="AE76" s="85" t="str">
        <f>"aws s3 cp "&amp;s3_bucket&amp;"/RTDC"&amp;B76&amp;"/ "&amp;search_path&amp;"\RTDC"&amp;B76&amp;"\"&amp;TEXT(F76,"YYYY-MM-DD")&amp;" --exclude ""*"" --recursive --include ""*"&amp;TEXT(F76,"YYYYMMDD")&amp;"*"" &amp; """&amp;walkandungz&amp;""" "&amp;search_path&amp;"\RTDC"&amp;B76&amp;"\"&amp;TEXT(F76,"YYYY-MM-DD")
&amp;" &amp; "&amp;"aws s3 cp "&amp;s3_bucket&amp;"/RTDC"&amp;B76&amp;"/ "&amp;search_path&amp;"\RTDC"&amp;B76&amp;"\"&amp;TEXT(F76+1,"YYYY-MM-DD")&amp;" --exclude ""*"" --recursive --include ""*"&amp;TEXT(F76+1,"YYYYMMDD")&amp;"*"" &amp; """&amp;walkandungz&amp;""" "&amp;search_path&amp;"\RTDC"&amp;B76&amp;"\"&amp;TEXT(F76+1,"YYYY-MM-DD")</f>
        <v>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 &amp; aws s3 cp s3://rtdc.mdm.uploadarchive.raw/RTDC4039/ "%USERPROFILE%\AppData\Local\Temp\OnboardLogs"\RTDC4039\2017-02-08 --exclude "*" --recursive --include "*20170208*" &amp; "%USERPROFILE%\Documents\GitHub\mrs-test-scripts\Headless Mode &amp; Sideloading\WalkAndUnGZ.bat" "%USERPROFILE%\AppData\Local\Temp\OnboardLogs"\RTDC4039\2017-02-08</v>
      </c>
      <c r="AF76" s="82" t="str">
        <f>astrogrep_path&amp;" /spath="&amp;search_path&amp;" /stypes=""app*"&amp;B76&amp;"*"&amp;TEXT(I76-utc_offset/24,"YYYYMMDD")&amp;"*"" /stext="" "&amp;TEXT(I76-utc_offset/24,"HH")&amp;search_regexp&amp;""" /e /r /s"</f>
        <v>"C:\Program Files (x86)\AstroGrep\AstroGrep.exe" /spath="%USERPROFILE%\AppData\Local\Temp\OnboardLogs" /stypes="app*4039*20170207*" /stext=" 20:.+((SYSTEM_STATE.+slice.+state.+changed )|(ment ac)|(multiple cpu faults)|(system.+state.+changed )|(\[timeout)|(PRM\|1\|D)|(kpr)|(kdp)|(\|lc)|(penalty))" /e /r /s</v>
      </c>
      <c r="AG76" s="1" t="str">
        <f>IFERROR(IF(VALUE(LEFT(AD76,2))&lt;=2,"EC",IF(OR(VALUE(LEFT(AD76,2))=8,VALUE(LEFT(AD76,2))=18),"NW","Other")),"Other")</f>
        <v>EC</v>
      </c>
      <c r="AH76" s="86" t="str">
        <f t="shared" si="3"/>
        <v>"%USERPROFILE%\Documents\GitHub\eaglep3\Utilities\RefineRTDCRunTimes.py" --tripid 164-07 --locoid 4039 --swversion DE.1.0.8.0 --startMP 204:232989 --initTime 2017-02-07T12:16:57 --startdatetime 2017-02-07T12:26:38 --delay 1 --endMP 204:161 --enddatetime 2017-02-07T13:05:16 --enforcementcount 0 &gt;&gt;C:\Users\stu\Documents\GitHub\eaglep3-reporting\EC\2017-02-07-refined-times.txt</v>
      </c>
      <c r="AI76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{"issue":{"subject":"","project_id":79,"tracker_id":40,"status_id":1,"priority_id":2,"assigned_to_id":23,"start_date":"2017-02-07","description":"","custom_fields":[{"id":1,"name":"Subdivision","value":"EC"},{"id":4,"name":"Milepost","value":"0.0161"},{"id":17,"name":"Train ID","value":"164-07"},{"id":16,"name":"Locomotive ID","value":"4039"},{"id":130,"name":"Impact","value":""},{"id":150,"name":"Time of Event (Mountain Time)","value":"13:05:16"},{"id":151,"name":"Denver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48"/>
      <c r="AK76" s="48"/>
      <c r="AL76" s="48"/>
      <c r="AM76" s="158" t="str">
        <f t="shared" si="5"/>
        <v>start /low /b %USERPROFILE%\Documents\GitHub\eaglep3\Utilities\DownloadLogsFromS3.py --loco 4039 --day 2017-02-07</v>
      </c>
      <c r="AN76" s="167" t="str">
        <f>"grep -SE -B400 ""CHR.+\|PRM\|1\|D.+(SWITCH|SIGNAL).+UNKNOWN"" "&amp;search_path&amp;"\RTDC"&amp;B76&amp;"\*"&amp;B76&amp;"*"&amp;TEXT(AVERAGE(F76,I76)-utc_offset/24,"YYYYMMDD")&amp;"*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"%USERPROFILE%\AppData\Local\Temp\OnboardLogs"\RTDC4039\*4039*20170207* | grep -SE "(Enforcement Action)|(\[TIMEOUT)|(CHR.+\|PRM\|1\|D.+(SWITCH|SIGNAL).+UNKNOWN)" - &gt;&gt; 2017-02-07-UncaughtWiMAX.txt</v>
      </c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x14ac:dyDescent="0.25">
      <c r="A77" s="33" t="s">
        <v>585</v>
      </c>
      <c r="B77" s="7">
        <v>4011</v>
      </c>
      <c r="C77" s="21" t="s">
        <v>193</v>
      </c>
      <c r="D77" s="21" t="s">
        <v>427</v>
      </c>
      <c r="E77" s="13">
        <v>42773.485590277778</v>
      </c>
      <c r="F77" s="13">
        <v>42773.490023148152</v>
      </c>
      <c r="G77" s="7">
        <v>2</v>
      </c>
      <c r="H77" s="21" t="s">
        <v>282</v>
      </c>
      <c r="I77" s="13">
        <v>42773.514641203707</v>
      </c>
      <c r="J77" s="7">
        <v>0</v>
      </c>
      <c r="K77" s="98" t="str">
        <f>IF(ISEVEN(B77),(B77-1)&amp;"/"&amp;B77,B77&amp;"/"&amp;(B77+1))</f>
        <v>4011/4012</v>
      </c>
      <c r="L77" s="21" t="str">
        <f>VLOOKUP(A77,'Trips&amp;Operators'!$C$1:$G$99999,5,FALSE)</f>
        <v>SANTIZO D. EDY</v>
      </c>
      <c r="M77" s="6">
        <f>I77-F77</f>
        <v>2.4618055555038154E-2</v>
      </c>
      <c r="N77" s="7">
        <f>24*60*SUM($M77:$M77)</f>
        <v>35.449999999254942</v>
      </c>
      <c r="O77" s="7"/>
      <c r="P77" s="7"/>
      <c r="Q77" s="22"/>
      <c r="R77" s="22"/>
      <c r="S77" s="31">
        <f>SUM(U77:U77)/IF(AG77="EC",12,1)</f>
        <v>1</v>
      </c>
      <c r="T77" s="46" t="str">
        <f>IF(ISEVEN(LEFT(AD77,4)),"Southbound","NorthBound")</f>
        <v>NorthBound</v>
      </c>
      <c r="U77" s="190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191" t="str">
        <f>"https://d0f6bd738d7f1b3e5a7ca70fe4ff75f0.us-east-1.aws.found.io/app/kibana#/discover/Steve-Slow-Train-Analysis-(2080s-and-2083s)?_g="&amp;"(refreshInterval:(display:Off,pause:!f,section:0,value:0),time:(from:'"&amp;TEXT(E77-1/24,"yyyy-MM-DDThh:mm:ss")&amp;utc_offset&amp;"00"&amp;"',mode:absolute,to:'"&amp;TEXT(I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77&amp;"%22')),sort:!(Time.ISO8601,asc))"</f>
        <v>https://d0f6bd738d7f1b3e5a7ca70fe4ff75f0.us-east-1.aws.found.io/app/kibana#/discover/Steve-Slow-Train-Analysis-(2080s-and-2083s)?_g=(refreshInterval:(display:Off,pause:!f,section:0,value:0),time:(from:'2017-02-07T10:39:15-0700',mode:absolute,to:'2017-02-07T13:21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77" s="192" t="str">
        <f>IF(AA77&lt;IF(AG77="EC",23,5.65),"Y","N")</f>
        <v>N</v>
      </c>
      <c r="X77" s="192">
        <f>VALUE(LEFT(AD77,4))-VALUE(LEFT(AD76,4))</f>
        <v>1</v>
      </c>
      <c r="Y77" s="62">
        <f>RIGHT(D77,LEN(D77)-4)/10000</f>
        <v>4.82E-2</v>
      </c>
      <c r="Z77" s="62">
        <f>RIGHT(H77,LEN(H77)-4)/10000</f>
        <v>23.330100000000002</v>
      </c>
      <c r="AA77" s="62">
        <f>ABS(Z77-Y77)</f>
        <v>23.2819</v>
      </c>
      <c r="AB77" s="59" t="e">
        <f>VLOOKUP(A77,Enforcements!$C$7:$K$14,8,0)</f>
        <v>#N/A</v>
      </c>
      <c r="AC77" s="55" t="e">
        <f>VLOOKUP(A77,Enforcements!$C$7:$E$14,3,0)</f>
        <v>#N/A</v>
      </c>
      <c r="AD77" s="56" t="str">
        <f>IF(LEN(A77)=6,"0"&amp;A77,A77)</f>
        <v>0165-07</v>
      </c>
      <c r="AE77" s="85" t="str">
        <f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 &amp; aws s3 cp s3://rtdc.mdm.uploadarchive.raw/RTDC4011/ "%USERPROFILE%\AppData\Local\Temp\OnboardLogs"\RTDC4011\2017-02-08 --exclude "*" --recursive --include "*20170208*" &amp; "%USERPROFILE%\Documents\GitHub\mrs-test-scripts\Headless Mode &amp; Sideloading\WalkAndUnGZ.bat" "%USERPROFILE%\AppData\Local\Temp\OnboardLogs"\RTDC4011\2017-02-08</v>
      </c>
      <c r="AF77" s="82" t="str">
        <f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/stypes="app*4011*20170207*" /stext=" 19:.+((SYSTEM_STATE.+slice.+state.+changed )|(ment ac)|(multiple cpu faults)|(system.+state.+changed )|(\[timeout)|(PRM\|1\|D)|(kpr)|(kdp)|(\|lc)|(penalty))" /e /r /s</v>
      </c>
      <c r="AG77" s="1" t="str">
        <f>IFERROR(IF(VALUE(LEFT(AD77,2))&lt;=2,"EC",IF(OR(VALUE(LEFT(AD77,2))=8,VALUE(LEFT(AD77,2))=18),"NW","Other")),"Other")</f>
        <v>EC</v>
      </c>
      <c r="AH77" s="86" t="str">
        <f t="shared" si="3"/>
        <v>"%USERPROFILE%\Documents\GitHub\eaglep3\Utilities\RefineRTDCRunTimes.py" --tripid 165-07 --locoid 4011 --swversion DE.1.0.8.0 --startMP 204:482 --initTime 2017-02-07T11:39:15 --startdatetime 2017-02-07T11:45:38 --delay 2 --endMP 204:233301 --enddatetime 2017-02-07T12:21:05 --enforcementcount 0 &gt;&gt;C:\Users\stu\Documents\GitHub\eaglep3-reporting\EC\2017-02-07-refined-times.txt</v>
      </c>
      <c r="AI77" s="108" t="str">
        <f t="shared" si="4"/>
        <v>echo {"issue":{"subject":"","project_id":79,"tracker_id":40,"status_id":1,"priority_id":2,"assigned_to_id":23,"start_date":"2017-02-07","description":"","custom_fields":[{"id":1,"name":"Subdivision","value":"EC"},{"id":4,"name":"Milepost","value":"23.3301"},{"id":17,"name":"Train ID","value":"165-07"},{"id":16,"name":"Locomotive ID","value":"4011"},{"id":130,"name":"Impact","value":""},{"id":150,"name":"Time of Event (Mountain Time)","value":"12:21:05"},{"id":151,"name":"Denver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48"/>
      <c r="AK77" s="48"/>
      <c r="AL77" s="48"/>
      <c r="AM77" s="158" t="str">
        <f t="shared" si="5"/>
        <v>start /low /b %USERPROFILE%\Documents\GitHub\eaglep3\Utilities\DownloadLogsFromS3.py --loco 4011 --day 2017-02-07</v>
      </c>
      <c r="AN77" s="167" t="str">
        <f>"grep -SE -B400 ""CHR.+\|PRM\|1\|D.+(SWITCH|SIGNAL).+UNKNOWN"" "&amp;search_path&amp;"\RTDC"&amp;B77&amp;"\*"&amp;B77&amp;"*"&amp;TEXT(AVERAGE(F77,I77)-utc_offset/24,"YYYYMMDD")&amp;"*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"%USERPROFILE%\AppData\Local\Temp\OnboardLogs"\RTDC4011\*4011*20170207* | grep -SE "(Enforcement Action)|(\[TIMEOUT)|(CHR.+\|PRM\|1\|D.+(SWITCH|SIGNAL).+UNKNOWN)" - &gt;&gt; 2017-02-07-UncaughtWiMAX.txt</v>
      </c>
    </row>
    <row r="78" spans="1:91" x14ac:dyDescent="0.25">
      <c r="A78" s="33" t="s">
        <v>592</v>
      </c>
      <c r="B78" s="7">
        <v>4012</v>
      </c>
      <c r="C78" s="21" t="s">
        <v>193</v>
      </c>
      <c r="D78" s="21" t="s">
        <v>330</v>
      </c>
      <c r="E78" s="13">
        <v>42773.515798611108</v>
      </c>
      <c r="F78" s="13">
        <v>42773.528680555559</v>
      </c>
      <c r="G78" s="7">
        <v>1</v>
      </c>
      <c r="H78" s="21" t="s">
        <v>207</v>
      </c>
      <c r="I78" s="13">
        <v>42773.554629629631</v>
      </c>
      <c r="J78" s="7">
        <v>0</v>
      </c>
      <c r="K78" s="98" t="str">
        <f>IF(ISEVEN(B78),(B78-1)&amp;"/"&amp;B78,B78&amp;"/"&amp;(B78+1))</f>
        <v>4011/4012</v>
      </c>
      <c r="L78" s="21" t="str">
        <f>VLOOKUP(A78,'Trips&amp;Operators'!$C$1:$G$99999,5,FALSE)</f>
        <v>SANTIZO D. EDY</v>
      </c>
      <c r="M78" s="6">
        <f>I78-F78</f>
        <v>2.5949074071832001E-2</v>
      </c>
      <c r="N78" s="7">
        <f>24*60*SUM($M78:$M78)</f>
        <v>37.366666663438082</v>
      </c>
      <c r="O78" s="7"/>
      <c r="P78" s="7"/>
      <c r="Q78" s="22"/>
      <c r="R78" s="22"/>
      <c r="S78" s="31">
        <f>SUM(U78:U78)/IF(AG78="EC",12,1)</f>
        <v>1</v>
      </c>
      <c r="T78" s="46" t="str">
        <f>IF(ISEVEN(LEFT(AD78,4)),"Southbound","NorthBound")</f>
        <v>Southbound</v>
      </c>
      <c r="U78" s="190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191" t="str">
        <f>"https://d0f6bd738d7f1b3e5a7ca70fe4ff75f0.us-east-1.aws.found.io/app/kibana#/discover/Steve-Slow-Train-Analysis-(2080s-and-2083s)?_g="&amp;"(refreshInterval:(display:Off,pause:!f,section:0,value:0),time:(from:'"&amp;TEXT(E78-1/24,"yyyy-MM-DDThh:mm:ss")&amp;utc_offset&amp;"00"&amp;"',mode:absolute,to:'"&amp;TEXT(I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78&amp;"%22')),sort:!(Time.ISO8601,asc))"</f>
        <v>https://d0f6bd738d7f1b3e5a7ca70fe4ff75f0.us-east-1.aws.found.io/app/kibana#/discover/Steve-Slow-Train-Analysis-(2080s-and-2083s)?_g=(refreshInterval:(display:Off,pause:!f,section:0,value:0),time:(from:'2017-02-07T11:22:45-0700',mode:absolute,to:'2017-02-07T14:18:40-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78" s="192" t="str">
        <f>IF(AA78&lt;IF(AG78="EC",23,5.65),"Y","N")</f>
        <v>N</v>
      </c>
      <c r="X78" s="192">
        <f>VALUE(LEFT(AD78,4))-VALUE(LEFT(AD77,4))</f>
        <v>1</v>
      </c>
      <c r="Y78" s="62">
        <f>RIGHT(D78,LEN(D78)-4)/10000</f>
        <v>23.297799999999999</v>
      </c>
      <c r="Z78" s="62">
        <f>RIGHT(H78,LEN(H78)-4)/10000</f>
        <v>1.6E-2</v>
      </c>
      <c r="AA78" s="62">
        <f>ABS(Z78-Y78)</f>
        <v>23.2818</v>
      </c>
      <c r="AB78" s="59" t="e">
        <f>VLOOKUP(A78,Enforcements!$C$7:$K$14,8,0)</f>
        <v>#N/A</v>
      </c>
      <c r="AC78" s="55" t="e">
        <f>VLOOKUP(A78,Enforcements!$C$7:$E$14,3,0)</f>
        <v>#N/A</v>
      </c>
      <c r="AD78" s="56" t="str">
        <f>IF(LEN(A78)=6,"0"&amp;A78,A78)</f>
        <v>0166-07</v>
      </c>
      <c r="AE78" s="85" t="str">
        <f>"aws s3 cp "&amp;s3_bucket&amp;"/RTDC"&amp;B78&amp;"/ "&amp;search_path&amp;"\RTDC"&amp;B78&amp;"\"&amp;TEXT(F78,"YYYY-MM-DD")&amp;" --exclude ""*"" --recursive --include ""*"&amp;TEXT(F78,"YYYYMMDD")&amp;"*"" &amp; """&amp;walkandungz&amp;""" "&amp;search_path&amp;"\RTDC"&amp;B78&amp;"\"&amp;TEXT(F78,"YYYY-MM-DD")
&amp;" &amp; "&amp;"aws s3 cp "&amp;s3_bucket&amp;"/RTDC"&amp;B78&amp;"/ "&amp;search_path&amp;"\RTDC"&amp;B78&amp;"\"&amp;TEXT(F78+1,"YYYY-MM-DD")&amp;" --exclude ""*"" --recursive --include ""*"&amp;TEXT(F78+1,"YYYYMMDD")&amp;"*"" &amp; """&amp;walkandungz&amp;""" "&amp;search_path&amp;"\RTDC"&amp;B78&amp;"\"&amp;TEXT(F78+1,"YYYY-MM-DD")</f>
        <v>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 &amp; aws s3 cp s3://rtdc.mdm.uploadarchive.raw/RTDC4012/ "%USERPROFILE%\AppData\Local\Temp\OnboardLogs"\RTDC4012\2017-02-08 --exclude "*" --recursive --include "*20170208*" &amp; "%USERPROFILE%\Documents\GitHub\mrs-test-scripts\Headless Mode &amp; Sideloading\WalkAndUnGZ.bat" "%USERPROFILE%\AppData\Local\Temp\OnboardLogs"\RTDC4012\2017-02-08</v>
      </c>
      <c r="AF78" s="82" t="str">
        <f>astrogrep_path&amp;" /spath="&amp;search_path&amp;" /stypes=""app*"&amp;B78&amp;"*"&amp;TEXT(I78-utc_offset/24,"YYYYMMDD")&amp;"*"" /stext="" "&amp;TEXT(I78-utc_offset/24,"HH")&amp;search_regexp&amp;""" /e /r /s"</f>
        <v>"C:\Program Files (x86)\AstroGrep\AstroGrep.exe" /spath="%USERPROFILE%\AppData\Local\Temp\OnboardLogs" /stypes="app*4012*20170207*" /stext=" 20:.+((SYSTEM_STATE.+slice.+state.+changed )|(ment ac)|(multiple cpu faults)|(system.+state.+changed )|(\[timeout)|(PRM\|1\|D)|(kpr)|(kdp)|(\|lc)|(penalty))" /e /r /s</v>
      </c>
      <c r="AG78" s="1" t="str">
        <f>IFERROR(IF(VALUE(LEFT(AD78,2))&lt;=2,"EC",IF(OR(VALUE(LEFT(AD78,2))=8,VALUE(LEFT(AD78,2))=18),"NW","Other")),"Other")</f>
        <v>EC</v>
      </c>
      <c r="AH78" s="86" t="str">
        <f t="shared" ref="AH78:AH141" si="6">refinertdcruntimes&amp;" --tripid "&amp;A78&amp;" --locoid "&amp;B78&amp;" --swversion "&amp;C78&amp;" --startMP "&amp;D78&amp;" --initTime "&amp;TEXT(E78,"yyyy-mm-ddTHH:MM:SS")&amp;" --startdatetime "&amp;TEXT(F78,"yyyy-mm-ddTHH:MM:SS")&amp;" --delay "&amp;G78&amp;" --endMP "&amp;H78&amp;" --enddatetime "&amp;TEXT(I78,"yyyy-mm-ddTHH:MM:SS")&amp;" --enforcementcount "&amp;J78&amp;IF(outputrefinedruntimes," &gt;&gt;"&amp;RefinedRTDCRunTimesOutputFile,"")</f>
        <v>"%USERPROFILE%\Documents\GitHub\eaglep3\Utilities\RefineRTDCRunTimes.py" --tripid 166-07 --locoid 4012 --swversion DE.1.0.8.0 --startMP 204:232978 --initTime 2017-02-07T12:22:45 --startdatetime 2017-02-07T12:41:18 --delay 1 --endMP 204:160 --enddatetime 2017-02-07T13:18:40 --enforcementcount 0 &gt;&gt;C:\Users\stu\Documents\GitHub\eaglep3-reporting\EC\2017-02-07-refined-times.txt</v>
      </c>
      <c r="AI78" s="108" t="str">
        <f t="shared" ref="AI78:AI141" si="7">"echo {""issue"":{""subject"":"""&amp;R78&amp;""",""project_id"":79,""tracker_id"":40,""status_id"":"&amp;redmine_status&amp;",""priority_id"":"&amp;redmine_priority&amp;",""assigned_to_id"":"&amp;redmine_assignee&amp;",""start_date"":"""&amp;TEXT(I78,"YYYY-mm-dd")&amp;""",""description"":"""&amp;AJ78&amp;""",""custom_fields"":[{""id"":1,""name"":""Subdivision"",""value"":"""&amp;AG78&amp;"""},{""id"":4,""name"":""Milepost"",""value"":"""&amp;Z78&amp;"""},{""id"":17,""name"":""Train ID"",""value"":"""&amp;A78&amp;"""},{""id"":16,""name"":""Locomotive ID"",""value"":"""&amp;B78&amp;"""},{""id"":130,""name"":""Impact"",""value"":"""&amp;AK78&amp;"""},{""id"":150,""name"":""Time of Event (Mountain Time)"",""value"":"""&amp;TEXT(I78,"hh:mm:ss")&amp;"""},{""id"":151,""name"":""Denver Issue ID"",""value"":"""&amp;"""},{""id"":178,""name"":""Operational Impact"",""value"":"""&amp;redmine_op_impact&amp;"""},{""id"":179,""name"":""Denver Segment Assigned"",""value"":"""&amp;AL78&amp;"""}]}}"&amp;"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{"issue":{"subject":"","project_id":79,"tracker_id":40,"status_id":1,"priority_id":2,"assigned_to_id":23,"start_date":"2017-02-07","description":"","custom_fields":[{"id":1,"name":"Subdivision","value":"EC"},{"id":4,"name":"Milepost","value":"0.016"},{"id":17,"name":"Train ID","value":"166-07"},{"id":16,"name":"Locomotive ID","value":"4012"},{"id":130,"name":"Impact","value":""},{"id":150,"name":"Time of Event (Mountain Time)","value":"13:18:40"},{"id":151,"name":"Denver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48"/>
      <c r="AK78" s="48"/>
      <c r="AL78" s="48"/>
      <c r="AM78" s="158" t="str">
        <f t="shared" ref="AM78:AM141" si="8">"start /low /b "&amp;dls3logs&amp;" --loco "&amp;B78&amp;" --day "&amp;TEXT(F78,"YYYY-MM-DD")</f>
        <v>start /low /b %USERPROFILE%\Documents\GitHub\eaglep3\Utilities\DownloadLogsFromS3.py --loco 4012 --day 2017-02-07</v>
      </c>
      <c r="AN78" s="167" t="str">
        <f>"grep -SE -B400 ""CHR.+\|PRM\|1\|D.+(SWITCH|SIGNAL).+UNKNOWN"" "&amp;search_path&amp;"\RTDC"&amp;B78&amp;"\*"&amp;B78&amp;"*"&amp;TEXT(AVERAGE(F78,I78)-utc_offset/24,"YYYYMMDD")&amp;"*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"%USERPROFILE%\AppData\Local\Temp\OnboardLogs"\RTDC4012\*4012*20170207* | grep -SE "(Enforcement Action)|(\[TIMEOUT)|(CHR.+\|PRM\|1\|D.+(SWITCH|SIGNAL).+UNKNOWN)" - &gt;&gt; 2017-02-07-UncaughtWiMAX.txt</v>
      </c>
    </row>
    <row r="79" spans="1:91" s="20" customFormat="1" x14ac:dyDescent="0.25">
      <c r="A79" s="33" t="s">
        <v>586</v>
      </c>
      <c r="B79" s="7">
        <v>4002</v>
      </c>
      <c r="C79" s="21" t="s">
        <v>193</v>
      </c>
      <c r="D79" s="21" t="s">
        <v>334</v>
      </c>
      <c r="E79" s="13">
        <v>42773.495046296295</v>
      </c>
      <c r="F79" s="13">
        <v>42773.500381944446</v>
      </c>
      <c r="G79" s="7">
        <v>1</v>
      </c>
      <c r="H79" s="21" t="s">
        <v>314</v>
      </c>
      <c r="I79" s="13">
        <v>42773.525358796294</v>
      </c>
      <c r="J79" s="7">
        <v>0</v>
      </c>
      <c r="K79" s="98" t="str">
        <f>IF(ISEVEN(B79),(B79-1)&amp;"/"&amp;B79,B79&amp;"/"&amp;(B79+1))</f>
        <v>4001/4002</v>
      </c>
      <c r="L79" s="21" t="str">
        <f>VLOOKUP(A79,'Trips&amp;Operators'!$C$1:$G$99999,5,FALSE)</f>
        <v>BERLING GARY</v>
      </c>
      <c r="M79" s="6">
        <f>I79-F79</f>
        <v>2.4976851847895887E-2</v>
      </c>
      <c r="N79" s="7">
        <f>24*60*SUM($M79:$M79)</f>
        <v>35.966666660970077</v>
      </c>
      <c r="O79" s="7"/>
      <c r="P79" s="7"/>
      <c r="Q79" s="22"/>
      <c r="R79" s="22"/>
      <c r="S79" s="31">
        <f>SUM(U79:U79)/IF(AG79="EC",12,1)</f>
        <v>1</v>
      </c>
      <c r="T79" s="46" t="str">
        <f>IF(ISEVEN(LEFT(AD79,4)),"Southbound","NorthBound")</f>
        <v>NorthBound</v>
      </c>
      <c r="U79" s="190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191" t="str">
        <f>"https://d0f6bd738d7f1b3e5a7ca70fe4ff75f0.us-east-1.aws.found.io/app/kibana#/discover/Steve-Slow-Train-Analysis-(2080s-and-2083s)?_g="&amp;"(refreshInterval:(display:Off,pause:!f,section:0,value:0),time:(from:'"&amp;TEXT(E79-1/24,"yyyy-MM-DDThh:mm:ss")&amp;utc_offset&amp;"00"&amp;"',mode:absolute,to:'"&amp;TEXT(I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79&amp;"%22')),sort:!(Time.ISO8601,asc))"</f>
        <v>https://d0f6bd738d7f1b3e5a7ca70fe4ff75f0.us-east-1.aws.found.io/app/kibana#/discover/Steve-Slow-Train-Analysis-(2080s-and-2083s)?_g=(refreshInterval:(display:Off,pause:!f,section:0,value:0),time:(from:'2017-02-07T10:52:52-0700',mode:absolute,to:'2017-02-07T13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79" s="192" t="str">
        <f>IF(AA79&lt;IF(AG79="EC",23,5.65),"Y","N")</f>
        <v>N</v>
      </c>
      <c r="X79" s="192">
        <f>VALUE(LEFT(AD79,4))-VALUE(LEFT(AD78,4))</f>
        <v>1</v>
      </c>
      <c r="Y79" s="62">
        <f>RIGHT(D79,LEN(D79)-4)/10000</f>
        <v>4.4200000000000003E-2</v>
      </c>
      <c r="Z79" s="62">
        <f>RIGHT(H79,LEN(H79)-4)/10000</f>
        <v>23.331700000000001</v>
      </c>
      <c r="AA79" s="62">
        <f>ABS(Z79-Y79)</f>
        <v>23.287500000000001</v>
      </c>
      <c r="AB79" s="59" t="e">
        <f>VLOOKUP(A79,Enforcements!$C$7:$K$14,8,0)</f>
        <v>#N/A</v>
      </c>
      <c r="AC79" s="55" t="e">
        <f>VLOOKUP(A79,Enforcements!$C$7:$E$14,3,0)</f>
        <v>#N/A</v>
      </c>
      <c r="AD79" s="56" t="str">
        <f>IF(LEN(A79)=6,"0"&amp;A79,A79)</f>
        <v>0167-07</v>
      </c>
      <c r="AE79" s="85" t="str">
        <f>"aws s3 cp "&amp;s3_bucket&amp;"/RTDC"&amp;B79&amp;"/ "&amp;search_path&amp;"\RTDC"&amp;B79&amp;"\"&amp;TEXT(F79,"YYYY-MM-DD")&amp;" --exclude ""*"" --recursive --include ""*"&amp;TEXT(F79,"YYYYMMDD")&amp;"*"" &amp; """&amp;walkandungz&amp;""" "&amp;search_path&amp;"\RTDC"&amp;B79&amp;"\"&amp;TEXT(F79,"YYYY-MM-DD")
&amp;" &amp; "&amp;"aws s3 cp "&amp;s3_bucket&amp;"/RTDC"&amp;B79&amp;"/ "&amp;search_path&amp;"\RTDC"&amp;B79&amp;"\"&amp;TEXT(F79+1,"YYYY-MM-DD")&amp;" --exclude ""*"" --recursive --include ""*"&amp;TEXT(F79+1,"YYYYMMDD")&amp;"*"" &amp; """&amp;walkandungz&amp;""" "&amp;search_path&amp;"\RTDC"&amp;B79&amp;"\"&amp;TEXT(F79+1,"YYYY-MM-DD")</f>
        <v>aws s3 cp s3://rtdc.mdm.uploadarchive.raw/RTDC4002/ "%USERPROFILE%\AppData\Local\Temp\OnboardLogs"\RTDC4002\2017-02-07 --exclude "*" --recursive --include "*20170207*" &amp; "%USERPROFILE%\Documents\GitHub\mrs-test-scripts\Headless Mode &amp; Sideloading\WalkAndUnGZ.bat" "%USERPROFILE%\AppData\Local\Temp\OnboardLogs"\RTDC4002\2017-02-07 &amp; aws s3 cp s3://rtdc.mdm.uploadarchive.raw/RTDC4002/ "%USERPROFILE%\AppData\Local\Temp\OnboardLogs"\RTDC4002\2017-02-08 --exclude "*" --recursive --include "*20170208*" &amp; "%USERPROFILE%\Documents\GitHub\mrs-test-scripts\Headless Mode &amp; Sideloading\WalkAndUnGZ.bat" "%USERPROFILE%\AppData\Local\Temp\OnboardLogs"\RTDC4002\2017-02-08</v>
      </c>
      <c r="AF79" s="82" t="str">
        <f>astrogrep_path&amp;" /spath="&amp;search_path&amp;" /stypes=""app*"&amp;B79&amp;"*"&amp;TEXT(I79-utc_offset/24,"YYYYMMDD")&amp;"*"" /stext="" "&amp;TEXT(I79-utc_offset/24,"HH")&amp;search_regexp&amp;""" /e /r /s"</f>
        <v>"C:\Program Files (x86)\AstroGrep\AstroGrep.exe" /spath="%USERPROFILE%\AppData\Local\Temp\OnboardLogs" /stypes="app*4002*20170207*" /stext=" 19:.+((SYSTEM_STATE.+slice.+state.+changed )|(ment ac)|(multiple cpu faults)|(system.+state.+changed )|(\[timeout)|(PRM\|1\|D)|(kpr)|(kdp)|(\|lc)|(penalty))" /e /r /s</v>
      </c>
      <c r="AG79" s="1" t="str">
        <f>IFERROR(IF(VALUE(LEFT(AD79,2))&lt;=2,"EC",IF(OR(VALUE(LEFT(AD79,2))=8,VALUE(LEFT(AD79,2))=18),"NW","Other")),"Other")</f>
        <v>EC</v>
      </c>
      <c r="AH79" s="86" t="str">
        <f t="shared" si="6"/>
        <v>"%USERPROFILE%\Documents\GitHub\eaglep3\Utilities\RefineRTDCRunTimes.py" --tripid 167-07 --locoid 4002 --swversion DE.1.0.8.0 --startMP 204:442 --initTime 2017-02-07T11:52:52 --startdatetime 2017-02-07T12:00:33 --delay 1 --endMP 204:233317 --enddatetime 2017-02-07T12:36:31 --enforcementcount 0 &gt;&gt;C:\Users\stu\Documents\GitHub\eaglep3-reporting\EC\2017-02-07-refined-times.txt</v>
      </c>
      <c r="AI79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{"issue":{"subject":"","project_id":79,"tracker_id":40,"status_id":1,"priority_id":2,"assigned_to_id":23,"start_date":"2017-02-07","description":"","custom_fields":[{"id":1,"name":"Subdivision","value":"EC"},{"id":4,"name":"Milepost","value":"23.3317"},{"id":17,"name":"Train ID","value":"167-07"},{"id":16,"name":"Locomotive ID","value":"4002"},{"id":130,"name":"Impact","value":""},{"id":150,"name":"Time of Event (Mountain Time)","value":"12:36:31"},{"id":151,"name":"Denver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48"/>
      <c r="AK79" s="48"/>
      <c r="AL79" s="48"/>
      <c r="AM79" s="158" t="str">
        <f t="shared" si="8"/>
        <v>start /low /b %USERPROFILE%\Documents\GitHub\eaglep3\Utilities\DownloadLogsFromS3.py --loco 4002 --day 2017-02-07</v>
      </c>
      <c r="AN79" s="167" t="str">
        <f>"grep -SE -B400 ""CHR.+\|PRM\|1\|D.+(SWITCH|SIGNAL).+UNKNOWN"" "&amp;search_path&amp;"\RTDC"&amp;B79&amp;"\*"&amp;B79&amp;"*"&amp;TEXT(AVERAGE(F79,I79)-utc_offset/24,"YYYYMMDD")&amp;"*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"%USERPROFILE%\AppData\Local\Temp\OnboardLogs"\RTDC4002\*4002*20170207* | grep -SE "(Enforcement Action)|(\[TIMEOUT)|(CHR.+\|PRM\|1\|D.+(SWITCH|SIGNAL).+UNKNOWN)" - &gt;&gt; 2017-02-07-UncaughtWiMAX.txt</v>
      </c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20" customFormat="1" x14ac:dyDescent="0.25">
      <c r="A80" s="33" t="s">
        <v>597</v>
      </c>
      <c r="B80" s="7">
        <v>4001</v>
      </c>
      <c r="C80" s="21" t="s">
        <v>193</v>
      </c>
      <c r="D80" s="21" t="s">
        <v>738</v>
      </c>
      <c r="E80" s="13">
        <v>42773.530729166669</v>
      </c>
      <c r="F80" s="13">
        <v>42773.539050925923</v>
      </c>
      <c r="G80" s="7">
        <v>1</v>
      </c>
      <c r="H80" s="21" t="s">
        <v>318</v>
      </c>
      <c r="I80" s="13">
        <v>42773.565694444442</v>
      </c>
      <c r="J80" s="7">
        <v>0</v>
      </c>
      <c r="K80" s="98" t="str">
        <f>IF(ISEVEN(B80),(B80-1)&amp;"/"&amp;B80,B80&amp;"/"&amp;(B80+1))</f>
        <v>4001/4002</v>
      </c>
      <c r="L80" s="21" t="str">
        <f>VLOOKUP(A80,'Trips&amp;Operators'!$C$1:$G$99999,5,FALSE)</f>
        <v>BERLING GARY</v>
      </c>
      <c r="M80" s="6">
        <f>I80-F80</f>
        <v>2.6643518518540077E-2</v>
      </c>
      <c r="N80" s="7">
        <f>24*60*SUM($M80:$M80)</f>
        <v>38.366666666697711</v>
      </c>
      <c r="O80" s="7"/>
      <c r="P80" s="7"/>
      <c r="Q80" s="22"/>
      <c r="R80" s="22"/>
      <c r="S80" s="31">
        <f>SUM(U80:U80)/IF(AG80="EC",12,1)</f>
        <v>1</v>
      </c>
      <c r="T80" s="46" t="str">
        <f>IF(ISEVEN(LEFT(AD80,4)),"Southbound","NorthBound")</f>
        <v>Southbound</v>
      </c>
      <c r="U80" s="190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191" t="str">
        <f>"https://d0f6bd738d7f1b3e5a7ca70fe4ff75f0.us-east-1.aws.found.io/app/kibana#/discover/Steve-Slow-Train-Analysis-(2080s-and-2083s)?_g="&amp;"(refreshInterval:(display:Off,pause:!f,section:0,value:0),time:(from:'"&amp;TEXT(E80-1/24,"yyyy-MM-DDThh:mm:ss")&amp;utc_offset&amp;"00"&amp;"',mode:absolute,to:'"&amp;TEXT(I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80&amp;"%22')),sort:!(Time.ISO8601,asc))"</f>
        <v>https://d0f6bd738d7f1b3e5a7ca70fe4ff75f0.us-east-1.aws.found.io/app/kibana#/discover/Steve-Slow-Train-Analysis-(2080s-and-2083s)?_g=(refreshInterval:(display:Off,pause:!f,section:0,value:0),time:(from:'2017-02-07T11:44:15-0700',mode:absolute,to:'2017-02-07T14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80" s="192" t="str">
        <f>IF(AA80&lt;IF(AG80="EC",23,5.65),"Y","N")</f>
        <v>N</v>
      </c>
      <c r="X80" s="192">
        <f>VALUE(LEFT(AD80,4))-VALUE(LEFT(AD79,4))</f>
        <v>1</v>
      </c>
      <c r="Y80" s="62">
        <f>RIGHT(D80,LEN(D80)-4)/10000</f>
        <v>23.300599999999999</v>
      </c>
      <c r="Z80" s="62">
        <f>RIGHT(H80,LEN(H80)-4)/10000</f>
        <v>1.38E-2</v>
      </c>
      <c r="AA80" s="62">
        <f>ABS(Z80-Y80)</f>
        <v>23.286799999999999</v>
      </c>
      <c r="AB80" s="59" t="e">
        <f>VLOOKUP(A80,Enforcements!$C$7:$K$14,8,0)</f>
        <v>#N/A</v>
      </c>
      <c r="AC80" s="55" t="e">
        <f>VLOOKUP(A80,Enforcements!$C$7:$E$14,3,0)</f>
        <v>#N/A</v>
      </c>
      <c r="AD80" s="56" t="str">
        <f>IF(LEN(A80)=6,"0"&amp;A80,A80)</f>
        <v>0168-07</v>
      </c>
      <c r="AE80" s="85" t="str">
        <f>"aws s3 cp "&amp;s3_bucket&amp;"/RTDC"&amp;B80&amp;"/ "&amp;search_path&amp;"\RTDC"&amp;B80&amp;"\"&amp;TEXT(F80,"YYYY-MM-DD")&amp;" --exclude ""*"" --recursive --include ""*"&amp;TEXT(F80,"YYYYMMDD")&amp;"*"" &amp; """&amp;walkandungz&amp;""" "&amp;search_path&amp;"\RTDC"&amp;B80&amp;"\"&amp;TEXT(F80,"YYYY-MM-DD")
&amp;" &amp; "&amp;"aws s3 cp "&amp;s3_bucket&amp;"/RTDC"&amp;B80&amp;"/ "&amp;search_path&amp;"\RTDC"&amp;B80&amp;"\"&amp;TEXT(F80+1,"YYYY-MM-DD")&amp;" --exclude ""*"" --recursive --include ""*"&amp;TEXT(F80+1,"YYYYMMDD")&amp;"*"" &amp; """&amp;walkandungz&amp;""" "&amp;search_path&amp;"\RTDC"&amp;B80&amp;"\"&amp;TEXT(F80+1,"YYYY-MM-DD")</f>
        <v>aws s3 cp s3://rtdc.mdm.uploadarchive.raw/RTDC4001/ "%USERPROFILE%\AppData\Local\Temp\OnboardLogs"\RTDC4001\2017-02-07 --exclude "*" --recursive --include "*20170207*" &amp; "%USERPROFILE%\Documents\GitHub\mrs-test-scripts\Headless Mode &amp; Sideloading\WalkAndUnGZ.bat" "%USERPROFILE%\AppData\Local\Temp\OnboardLogs"\RTDC4001\2017-02-07 &amp; aws s3 cp s3://rtdc.mdm.uploadarchive.raw/RTDC4001/ "%USERPROFILE%\AppData\Local\Temp\OnboardLogs"\RTDC4001\2017-02-08 --exclude "*" --recursive --include "*20170208*" &amp; "%USERPROFILE%\Documents\GitHub\mrs-test-scripts\Headless Mode &amp; Sideloading\WalkAndUnGZ.bat" "%USERPROFILE%\AppData\Local\Temp\OnboardLogs"\RTDC4001\2017-02-08</v>
      </c>
      <c r="AF80" s="82" t="str">
        <f>astrogrep_path&amp;" /spath="&amp;search_path&amp;" /stypes=""app*"&amp;B80&amp;"*"&amp;TEXT(I80-utc_offset/24,"YYYYMMDD")&amp;"*"" /stext="" "&amp;TEXT(I80-utc_offset/24,"HH")&amp;search_regexp&amp;""" /e /r /s"</f>
        <v>"C:\Program Files (x86)\AstroGrep\AstroGrep.exe" /spath="%USERPROFILE%\AppData\Local\Temp\OnboardLogs" /stypes="app*4001*20170207*" /stext=" 20:.+((SYSTEM_STATE.+slice.+state.+changed )|(ment ac)|(multiple cpu faults)|(system.+state.+changed )|(\[timeout)|(PRM\|1\|D)|(kpr)|(kdp)|(\|lc)|(penalty))" /e /r /s</v>
      </c>
      <c r="AG80" s="1" t="str">
        <f>IFERROR(IF(VALUE(LEFT(AD80,2))&lt;=2,"EC",IF(OR(VALUE(LEFT(AD80,2))=8,VALUE(LEFT(AD80,2))=18),"NW","Other")),"Other")</f>
        <v>EC</v>
      </c>
      <c r="AH80" s="86" t="str">
        <f t="shared" si="6"/>
        <v>"%USERPROFILE%\Documents\GitHub\eaglep3\Utilities\RefineRTDCRunTimes.py" --tripid 168-07 --locoid 4001 --swversion DE.1.0.8.0 --startMP 204:233006 --initTime 2017-02-07T12:44:15 --startdatetime 2017-02-07T12:56:14 --delay 1 --endMP 204:138 --enddatetime 2017-02-07T13:34:36 --enforcementcount 0 &gt;&gt;C:\Users\stu\Documents\GitHub\eaglep3-reporting\EC\2017-02-07-refined-times.txt</v>
      </c>
      <c r="AI80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{"issue":{"subject":"","project_id":79,"tracker_id":40,"status_id":1,"priority_id":2,"assigned_to_id":23,"start_date":"2017-02-07","description":"","custom_fields":[{"id":1,"name":"Subdivision","value":"EC"},{"id":4,"name":"Milepost","value":"0.0138"},{"id":17,"name":"Train ID","value":"168-07"},{"id":16,"name":"Locomotive ID","value":"4001"},{"id":130,"name":"Impact","value":""},{"id":150,"name":"Time of Event (Mountain Time)","value":"13:34:36"},{"id":151,"name":"Denver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48"/>
      <c r="AK80" s="48"/>
      <c r="AL80" s="48"/>
      <c r="AM80" s="158" t="str">
        <f t="shared" si="8"/>
        <v>start /low /b %USERPROFILE%\Documents\GitHub\eaglep3\Utilities\DownloadLogsFromS3.py --loco 4001 --day 2017-02-07</v>
      </c>
      <c r="AN80" s="167" t="str">
        <f>"grep -SE -B400 ""CHR.+\|PRM\|1\|D.+(SWITCH|SIGNAL).+UNKNOWN"" "&amp;search_path&amp;"\RTDC"&amp;B80&amp;"\*"&amp;B80&amp;"*"&amp;TEXT(AVERAGE(F80,I80)-utc_offset/24,"YYYYMMDD")&amp;"*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"%USERPROFILE%\AppData\Local\Temp\OnboardLogs"\RTDC4001\*4001*20170207* | grep -SE "(Enforcement Action)|(\[TIMEOUT)|(CHR.+\|PRM\|1\|D.+(SWITCH|SIGNAL).+UNKNOWN)" - &gt;&gt; 2017-02-07-UncaughtWiMAX.txt</v>
      </c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20" customFormat="1" x14ac:dyDescent="0.25">
      <c r="A81" s="33" t="s">
        <v>589</v>
      </c>
      <c r="B81" s="7">
        <v>4038</v>
      </c>
      <c r="C81" s="21" t="s">
        <v>193</v>
      </c>
      <c r="D81" s="21" t="s">
        <v>238</v>
      </c>
      <c r="E81" s="13">
        <v>42773.505671296298</v>
      </c>
      <c r="F81" s="13">
        <v>42773.510659722226</v>
      </c>
      <c r="G81" s="7">
        <v>1</v>
      </c>
      <c r="H81" s="21" t="s">
        <v>739</v>
      </c>
      <c r="I81" s="13">
        <v>42773.535011574073</v>
      </c>
      <c r="J81" s="7">
        <v>0</v>
      </c>
      <c r="K81" s="98" t="str">
        <f>IF(ISEVEN(B81),(B81-1)&amp;"/"&amp;B81,B81&amp;"/"&amp;(B81+1))</f>
        <v>4037/4038</v>
      </c>
      <c r="L81" s="21" t="str">
        <f>VLOOKUP(A81,'Trips&amp;Operators'!$C$1:$G$99999,5,FALSE)</f>
        <v>ROMERO CHAD</v>
      </c>
      <c r="M81" s="6">
        <f>I81-F81</f>
        <v>2.435185184731381E-2</v>
      </c>
      <c r="N81" s="7">
        <f>24*60*SUM($M81:$M81)</f>
        <v>35.066666660131887</v>
      </c>
      <c r="O81" s="7"/>
      <c r="P81" s="7"/>
      <c r="Q81" s="22"/>
      <c r="R81" s="22"/>
      <c r="S81" s="31">
        <f>SUM(U81:U81)/IF(AG81="EC",12,1)</f>
        <v>1</v>
      </c>
      <c r="T81" s="46" t="str">
        <f>IF(ISEVEN(LEFT(AD81,4)),"Southbound","NorthBound")</f>
        <v>NorthBound</v>
      </c>
      <c r="U81" s="190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191" t="str">
        <f>"https://d0f6bd738d7f1b3e5a7ca70fe4ff75f0.us-east-1.aws.found.io/app/kibana#/discover/Steve-Slow-Train-Analysis-(2080s-and-2083s)?_g="&amp;"(refreshInterval:(display:Off,pause:!f,section:0,value:0),time:(from:'"&amp;TEXT(E81-1/24,"yyyy-MM-DDThh:mm:ss")&amp;utc_offset&amp;"00"&amp;"',mode:absolute,to:'"&amp;TEXT(I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81&amp;"%22')),sort:!(Time.ISO8601,asc))"</f>
        <v>https://d0f6bd738d7f1b3e5a7ca70fe4ff75f0.us-east-1.aws.found.io/app/kibana#/discover/Steve-Slow-Train-Analysis-(2080s-and-2083s)?_g=(refreshInterval:(display:Off,pause:!f,section:0,value:0),time:(from:'2017-02-07T11:08:10-0700',mode:absolute,to:'2017-02-07T13:50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81" s="192" t="str">
        <f>IF(AA81&lt;IF(AG81="EC",23,5.65),"Y","N")</f>
        <v>N</v>
      </c>
      <c r="X81" s="192">
        <f>VALUE(LEFT(AD81,4))-VALUE(LEFT(AD80,4))</f>
        <v>1</v>
      </c>
      <c r="Y81" s="62">
        <f>RIGHT(D81,LEN(D81)-4)/10000</f>
        <v>4.5100000000000001E-2</v>
      </c>
      <c r="Z81" s="62">
        <f>RIGHT(H81,LEN(H81)-4)/10000</f>
        <v>23.337199999999999</v>
      </c>
      <c r="AA81" s="62">
        <f>ABS(Z81-Y81)</f>
        <v>23.292099999999998</v>
      </c>
      <c r="AB81" s="59" t="e">
        <f>VLOOKUP(A81,Enforcements!$C$7:$K$14,8,0)</f>
        <v>#N/A</v>
      </c>
      <c r="AC81" s="55" t="e">
        <f>VLOOKUP(A81,Enforcements!$C$7:$E$14,3,0)</f>
        <v>#N/A</v>
      </c>
      <c r="AD81" s="56" t="str">
        <f>IF(LEN(A81)=6,"0"&amp;A81,A81)</f>
        <v>0169-07</v>
      </c>
      <c r="AE81" s="85" t="str">
        <f>"aws s3 cp "&amp;s3_bucket&amp;"/RTDC"&amp;B81&amp;"/ "&amp;search_path&amp;"\RTDC"&amp;B81&amp;"\"&amp;TEXT(F81,"YYYY-MM-DD")&amp;" --exclude ""*"" --recursive --include ""*"&amp;TEXT(F81,"YYYYMMDD")&amp;"*"" &amp; """&amp;walkandungz&amp;""" "&amp;search_path&amp;"\RTDC"&amp;B81&amp;"\"&amp;TEXT(F81,"YYYY-MM-DD")
&amp;" &amp; "&amp;"aws s3 cp "&amp;s3_bucket&amp;"/RTDC"&amp;B81&amp;"/ "&amp;search_path&amp;"\RTDC"&amp;B81&amp;"\"&amp;TEXT(F81+1,"YYYY-MM-DD")&amp;" --exclude ""*"" --recursive --include ""*"&amp;TEXT(F81+1,"YYYYMMDD")&amp;"*"" &amp; """&amp;walkandungz&amp;""" "&amp;search_path&amp;"\RTDC"&amp;B81&amp;"\"&amp;TEXT(F81+1,"YYYY-MM-DD")</f>
        <v>aws s3 cp s3://rtdc.mdm.uploadarchive.raw/RTDC4038/ "%USERPROFILE%\AppData\Local\Temp\OnboardLogs"\RTDC4038\2017-02-07 --exclude "*" --recursive --include "*20170207*" &amp; "%USERPROFILE%\Documents\GitHub\mrs-test-scripts\Headless Mode &amp; Sideloading\WalkAndUnGZ.bat" "%USERPROFILE%\AppData\Local\Temp\OnboardLogs"\RTDC4038\2017-02-07 &amp; aws s3 cp s3://rtdc.mdm.uploadarchive.raw/RTDC4038/ "%USERPROFILE%\AppData\Local\Temp\OnboardLogs"\RTDC4038\2017-02-08 --exclude "*" --recursive --include "*20170208*" &amp; "%USERPROFILE%\Documents\GitHub\mrs-test-scripts\Headless Mode &amp; Sideloading\WalkAndUnGZ.bat" "%USERPROFILE%\AppData\Local\Temp\OnboardLogs"\RTDC4038\2017-02-08</v>
      </c>
      <c r="AF81" s="82" t="str">
        <f>astrogrep_path&amp;" /spath="&amp;search_path&amp;" /stypes=""app*"&amp;B81&amp;"*"&amp;TEXT(I81-utc_offset/24,"YYYYMMDD")&amp;"*"" /stext="" "&amp;TEXT(I81-utc_offset/24,"HH")&amp;search_regexp&amp;""" /e /r /s"</f>
        <v>"C:\Program Files (x86)\AstroGrep\AstroGrep.exe" /spath="%USERPROFILE%\AppData\Local\Temp\OnboardLogs" /stypes="app*4038*20170207*" /stext=" 19:.+((SYSTEM_STATE.+slice.+state.+changed )|(ment ac)|(multiple cpu faults)|(system.+state.+changed )|(\[timeout)|(PRM\|1\|D)|(kpr)|(kdp)|(\|lc)|(penalty))" /e /r /s</v>
      </c>
      <c r="AG81" s="1" t="str">
        <f>IFERROR(IF(VALUE(LEFT(AD81,2))&lt;=2,"EC",IF(OR(VALUE(LEFT(AD81,2))=8,VALUE(LEFT(AD81,2))=18),"NW","Other")),"Other")</f>
        <v>EC</v>
      </c>
      <c r="AH81" s="86" t="str">
        <f t="shared" si="6"/>
        <v>"%USERPROFILE%\Documents\GitHub\eaglep3\Utilities\RefineRTDCRunTimes.py" --tripid 169-07 --locoid 4038 --swversion DE.1.0.8.0 --startMP 204:451 --initTime 2017-02-07T12:08:10 --startdatetime 2017-02-07T12:15:21 --delay 1 --endMP 204:233372 --enddatetime 2017-02-07T12:50:25 --enforcementcount 0 &gt;&gt;C:\Users\stu\Documents\GitHub\eaglep3-reporting\EC\2017-02-07-refined-times.txt</v>
      </c>
      <c r="AI81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{"issue":{"subject":"","project_id":79,"tracker_id":40,"status_id":1,"priority_id":2,"assigned_to_id":23,"start_date":"2017-02-07","description":"","custom_fields":[{"id":1,"name":"Subdivision","value":"EC"},{"id":4,"name":"Milepost","value":"23.3372"},{"id":17,"name":"Train ID","value":"169-07"},{"id":16,"name":"Locomotive ID","value":"4038"},{"id":130,"name":"Impact","value":""},{"id":150,"name":"Time of Event (Mountain Time)","value":"12:50:25"},{"id":151,"name":"Denver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48"/>
      <c r="AK81" s="48"/>
      <c r="AL81" s="48"/>
      <c r="AM81" s="158" t="str">
        <f t="shared" si="8"/>
        <v>start /low /b %USERPROFILE%\Documents\GitHub\eaglep3\Utilities\DownloadLogsFromS3.py --loco 4038 --day 2017-02-07</v>
      </c>
      <c r="AN81" s="167" t="str">
        <f>"grep -SE -B400 ""CHR.+\|PRM\|1\|D.+(SWITCH|SIGNAL).+UNKNOWN"" "&amp;search_path&amp;"\RTDC"&amp;B81&amp;"\*"&amp;B81&amp;"*"&amp;TEXT(AVERAGE(F81,I81)-utc_offset/24,"YYYYMMDD")&amp;"*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"%USERPROFILE%\AppData\Local\Temp\OnboardLogs"\RTDC4038\*4038*20170207* | grep -SE "(Enforcement Action)|(\[TIMEOUT)|(CHR.+\|PRM\|1\|D.+(SWITCH|SIGNAL).+UNKNOWN)" - &gt;&gt; 2017-02-07-UncaughtWiMAX.txt</v>
      </c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20" customFormat="1" x14ac:dyDescent="0.25">
      <c r="A82" s="33" t="s">
        <v>598</v>
      </c>
      <c r="B82" s="7">
        <v>4037</v>
      </c>
      <c r="C82" s="21" t="s">
        <v>193</v>
      </c>
      <c r="D82" s="21" t="s">
        <v>740</v>
      </c>
      <c r="E82" s="13">
        <v>42773.536666666667</v>
      </c>
      <c r="F82" s="13">
        <v>42773.549583333333</v>
      </c>
      <c r="G82" s="7">
        <v>3</v>
      </c>
      <c r="H82" s="21" t="s">
        <v>741</v>
      </c>
      <c r="I82" s="13">
        <v>42773.575787037036</v>
      </c>
      <c r="J82" s="7">
        <v>0</v>
      </c>
      <c r="K82" s="98" t="str">
        <f>IF(ISEVEN(B82),(B82-1)&amp;"/"&amp;B82,B82&amp;"/"&amp;(B82+1))</f>
        <v>4037/4038</v>
      </c>
      <c r="L82" s="21" t="str">
        <f>VLOOKUP(A82,'Trips&amp;Operators'!$C$1:$G$99999,5,FALSE)</f>
        <v>ROMERO CHAD</v>
      </c>
      <c r="M82" s="6">
        <f>I82-F82</f>
        <v>2.6203703702776693E-2</v>
      </c>
      <c r="N82" s="7">
        <f>24*60*SUM($M82:$M82)</f>
        <v>37.733333331998438</v>
      </c>
      <c r="O82" s="7"/>
      <c r="P82" s="7"/>
      <c r="Q82" s="22"/>
      <c r="R82" s="22"/>
      <c r="S82" s="31">
        <f>SUM(U82:U82)/IF(AG82="EC",12,1)</f>
        <v>1</v>
      </c>
      <c r="T82" s="46" t="str">
        <f>IF(ISEVEN(LEFT(AD82,4)),"Southbound","NorthBound")</f>
        <v>Southbound</v>
      </c>
      <c r="U82" s="190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191" t="str">
        <f>"https://d0f6bd738d7f1b3e5a7ca70fe4ff75f0.us-east-1.aws.found.io/app/kibana#/discover/Steve-Slow-Train-Analysis-(2080s-and-2083s)?_g="&amp;"(refreshInterval:(display:Off,pause:!f,section:0,value:0),time:(from:'"&amp;TEXT(E82-1/24,"yyyy-MM-DDThh:mm:ss")&amp;utc_offset&amp;"00"&amp;"',mode:absolute,to:'"&amp;TEXT(I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82&amp;"%22')),sort:!(Time.ISO8601,asc))"</f>
        <v>https://d0f6bd738d7f1b3e5a7ca70fe4ff75f0.us-east-1.aws.found.io/app/kibana#/discover/Steve-Slow-Train-Analysis-(2080s-and-2083s)?_g=(refreshInterval:(display:Off,pause:!f,section:0,value:0),time:(from:'2017-02-07T11:52:48-0700',mode:absolute,to:'2017-02-07T14:49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82" s="192" t="str">
        <f>IF(AA82&lt;IF(AG82="EC",23,5.65),"Y","N")</f>
        <v>N</v>
      </c>
      <c r="X82" s="192">
        <f>VALUE(LEFT(AD82,4))-VALUE(LEFT(AD81,4))</f>
        <v>1</v>
      </c>
      <c r="Y82" s="62">
        <f>RIGHT(D82,LEN(D82)-4)/10000</f>
        <v>23.308</v>
      </c>
      <c r="Z82" s="62">
        <f>RIGHT(H82,LEN(H82)-4)/10000</f>
        <v>1.2500000000000001E-2</v>
      </c>
      <c r="AA82" s="62">
        <f>ABS(Z82-Y82)</f>
        <v>23.295500000000001</v>
      </c>
      <c r="AB82" s="59" t="e">
        <f>VLOOKUP(A82,Enforcements!$C$7:$K$14,8,0)</f>
        <v>#N/A</v>
      </c>
      <c r="AC82" s="55" t="e">
        <f>VLOOKUP(A82,Enforcements!$C$7:$E$14,3,0)</f>
        <v>#N/A</v>
      </c>
      <c r="AD82" s="56" t="str">
        <f>IF(LEN(A82)=6,"0"&amp;A82,A82)</f>
        <v>0170-07</v>
      </c>
      <c r="AE82" s="85" t="str">
        <f>"aws s3 cp "&amp;s3_bucket&amp;"/RTDC"&amp;B82&amp;"/ "&amp;search_path&amp;"\RTDC"&amp;B82&amp;"\"&amp;TEXT(F82,"YYYY-MM-DD")&amp;" --exclude ""*"" --recursive --include ""*"&amp;TEXT(F82,"YYYYMMDD")&amp;"*"" &amp; """&amp;walkandungz&amp;""" "&amp;search_path&amp;"\RTDC"&amp;B82&amp;"\"&amp;TEXT(F82,"YYYY-MM-DD")
&amp;" &amp; "&amp;"aws s3 cp "&amp;s3_bucket&amp;"/RTDC"&amp;B82&amp;"/ "&amp;search_path&amp;"\RTDC"&amp;B82&amp;"\"&amp;TEXT(F82+1,"YYYY-MM-DD")&amp;" --exclude ""*"" --recursive --include ""*"&amp;TEXT(F82+1,"YYYYMMDD")&amp;"*"" &amp; """&amp;walkandungz&amp;""" "&amp;search_path&amp;"\RTDC"&amp;B82&amp;"\"&amp;TEXT(F82+1,"YYYY-MM-DD")</f>
        <v>aws s3 cp s3://rtdc.mdm.uploadarchive.raw/RTDC4037/ "%USERPROFILE%\AppData\Local\Temp\OnboardLogs"\RTDC4037\2017-02-07 --exclude "*" --recursive --include "*20170207*" &amp; "%USERPROFILE%\Documents\GitHub\mrs-test-scripts\Headless Mode &amp; Sideloading\WalkAndUnGZ.bat" "%USERPROFILE%\AppData\Local\Temp\OnboardLogs"\RTDC4037\2017-02-07 &amp; aws s3 cp s3://rtdc.mdm.uploadarchive.raw/RTDC4037/ "%USERPROFILE%\AppData\Local\Temp\OnboardLogs"\RTDC4037\2017-02-08 --exclude "*" --recursive --include "*20170208*" &amp; "%USERPROFILE%\Documents\GitHub\mrs-test-scripts\Headless Mode &amp; Sideloading\WalkAndUnGZ.bat" "%USERPROFILE%\AppData\Local\Temp\OnboardLogs"\RTDC4037\2017-02-08</v>
      </c>
      <c r="AF82" s="82" t="str">
        <f>astrogrep_path&amp;" /spath="&amp;search_path&amp;" /stypes=""app*"&amp;B82&amp;"*"&amp;TEXT(I82-utc_offset/24,"YYYYMMDD")&amp;"*"" /stext="" "&amp;TEXT(I82-utc_offset/24,"HH")&amp;search_regexp&amp;""" /e /r /s"</f>
        <v>"C:\Program Files (x86)\AstroGrep\AstroGrep.exe" /spath="%USERPROFILE%\AppData\Local\Temp\OnboardLogs" /stypes="app*4037*20170207*" /stext=" 20:.+((SYSTEM_STATE.+slice.+state.+changed )|(ment ac)|(multiple cpu faults)|(system.+state.+changed )|(\[timeout)|(PRM\|1\|D)|(kpr)|(kdp)|(\|lc)|(penalty))" /e /r /s</v>
      </c>
      <c r="AG82" s="1" t="str">
        <f>IFERROR(IF(VALUE(LEFT(AD82,2))&lt;=2,"EC",IF(OR(VALUE(LEFT(AD82,2))=8,VALUE(LEFT(AD82,2))=18),"NW","Other")),"Other")</f>
        <v>EC</v>
      </c>
      <c r="AH82" s="86" t="str">
        <f t="shared" si="6"/>
        <v>"%USERPROFILE%\Documents\GitHub\eaglep3\Utilities\RefineRTDCRunTimes.py" --tripid 170-07 --locoid 4037 --swversion DE.1.0.8.0 --startMP 204:233080 --initTime 2017-02-07T12:52:48 --startdatetime 2017-02-07T13:11:24 --delay 3 --endMP 204:125 --enddatetime 2017-02-07T13:49:08 --enforcementcount 0 &gt;&gt;C:\Users\stu\Documents\GitHub\eaglep3-reporting\EC\2017-02-07-refined-times.txt</v>
      </c>
      <c r="AI82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{"issue":{"subject":"","project_id":79,"tracker_id":40,"status_id":1,"priority_id":2,"assigned_to_id":23,"start_date":"2017-02-07","description":"","custom_fields":[{"id":1,"name":"Subdivision","value":"EC"},{"id":4,"name":"Milepost","value":"0.0125"},{"id":17,"name":"Train ID","value":"170-07"},{"id":16,"name":"Locomotive ID","value":"4037"},{"id":130,"name":"Impact","value":""},{"id":150,"name":"Time of Event (Mountain Time)","value":"13:49:08"},{"id":151,"name":"Denver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48"/>
      <c r="AK82" s="48"/>
      <c r="AL82" s="48"/>
      <c r="AM82" s="158" t="str">
        <f t="shared" si="8"/>
        <v>start /low /b %USERPROFILE%\Documents\GitHub\eaglep3\Utilities\DownloadLogsFromS3.py --loco 4037 --day 2017-02-07</v>
      </c>
      <c r="AN82" s="167" t="str">
        <f>"grep -SE -B400 ""CHR.+\|PRM\|1\|D.+(SWITCH|SIGNAL).+UNKNOWN"" "&amp;search_path&amp;"\RTDC"&amp;B82&amp;"\*"&amp;B82&amp;"*"&amp;TEXT(AVERAGE(F82,I82)-utc_offset/24,"YYYYMMDD")&amp;"*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"%USERPROFILE%\AppData\Local\Temp\OnboardLogs"\RTDC4037\*4037*20170207* | grep -SE "(Enforcement Action)|(\[TIMEOUT)|(CHR.+\|PRM\|1\|D.+(SWITCH|SIGNAL).+UNKNOWN)" - &gt;&gt; 2017-02-07-UncaughtWiMAX.txt</v>
      </c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20" customFormat="1" x14ac:dyDescent="0.25">
      <c r="A83" s="33" t="s">
        <v>474</v>
      </c>
      <c r="B83" s="7">
        <v>4031</v>
      </c>
      <c r="C83" s="21" t="s">
        <v>193</v>
      </c>
      <c r="D83" s="21" t="s">
        <v>287</v>
      </c>
      <c r="E83" s="13">
        <v>42773.516643518517</v>
      </c>
      <c r="F83" s="13">
        <v>42773.521122685182</v>
      </c>
      <c r="G83" s="7">
        <v>2</v>
      </c>
      <c r="H83" s="21" t="s">
        <v>742</v>
      </c>
      <c r="I83" s="13">
        <v>42773.545775462961</v>
      </c>
      <c r="J83" s="7">
        <v>0</v>
      </c>
      <c r="K83" s="98" t="str">
        <f>IF(ISEVEN(B83),(B83-1)&amp;"/"&amp;B83,B83&amp;"/"&amp;(B83+1))</f>
        <v>4031/4032</v>
      </c>
      <c r="L83" s="21" t="str">
        <f>VLOOKUP(A83,'Trips&amp;Operators'!$C$1:$G$99999,5,FALSE)</f>
        <v>HOLCOMB KAMDEN</v>
      </c>
      <c r="M83" s="6">
        <f>I83-F83</f>
        <v>2.4652777778101154E-2</v>
      </c>
      <c r="N83" s="7">
        <f>24*60*SUM($M83:$M83)</f>
        <v>35.500000000465661</v>
      </c>
      <c r="O83" s="7"/>
      <c r="P83" s="7"/>
      <c r="Q83" s="22"/>
      <c r="R83" s="22"/>
      <c r="S83" s="31">
        <f>SUM(U83:U83)/IF(AG83="EC",12,1)</f>
        <v>1</v>
      </c>
      <c r="T83" s="46" t="str">
        <f>IF(ISEVEN(LEFT(AD83,4)),"Southbound","NorthBound")</f>
        <v>NorthBound</v>
      </c>
      <c r="U83" s="190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191" t="str">
        <f>"https://d0f6bd738d7f1b3e5a7ca70fe4ff75f0.us-east-1.aws.found.io/app/kibana#/discover/Steve-Slow-Train-Analysis-(2080s-and-2083s)?_g="&amp;"(refreshInterval:(display:Off,pause:!f,section:0,value:0),time:(from:'"&amp;TEXT(E83-1/24,"yyyy-MM-DDThh:mm:ss")&amp;utc_offset&amp;"00"&amp;"',mode:absolute,to:'"&amp;TEXT(I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83&amp;"%22')),sort:!(Time.ISO8601,asc))"</f>
        <v>https://d0f6bd738d7f1b3e5a7ca70fe4ff75f0.us-east-1.aws.found.io/app/kibana#/discover/Steve-Slow-Train-Analysis-(2080s-and-2083s)?_g=(refreshInterval:(display:Off,pause:!f,section:0,value:0),time:(from:'2017-02-07T11:23:58-0700',mode:absolute,to:'2017-02-07T14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83" s="192" t="str">
        <f>IF(AA83&lt;IF(AG83="EC",23,5.65),"Y","N")</f>
        <v>N</v>
      </c>
      <c r="X83" s="192">
        <f>VALUE(LEFT(AD83,4))-VALUE(LEFT(AD82,4))</f>
        <v>1</v>
      </c>
      <c r="Y83" s="62">
        <f>RIGHT(D83,LEN(D83)-4)/10000</f>
        <v>4.4600000000000001E-2</v>
      </c>
      <c r="Z83" s="62">
        <f>RIGHT(H83,LEN(H83)-4)/10000</f>
        <v>23.337399999999999</v>
      </c>
      <c r="AA83" s="62">
        <f>ABS(Z83-Y83)</f>
        <v>23.2928</v>
      </c>
      <c r="AB83" s="59" t="e">
        <f>VLOOKUP(A83,Enforcements!$C$7:$K$14,8,0)</f>
        <v>#N/A</v>
      </c>
      <c r="AC83" s="55" t="e">
        <f>VLOOKUP(A83,Enforcements!$C$7:$E$14,3,0)</f>
        <v>#N/A</v>
      </c>
      <c r="AD83" s="56" t="str">
        <f>IF(LEN(A83)=6,"0"&amp;A83,A83)</f>
        <v>0171-07</v>
      </c>
      <c r="AE83" s="85" t="str">
        <f>"aws s3 cp "&amp;s3_bucket&amp;"/RTDC"&amp;B83&amp;"/ "&amp;search_path&amp;"\RTDC"&amp;B83&amp;"\"&amp;TEXT(F83,"YYYY-MM-DD")&amp;" --exclude ""*"" --recursive --include ""*"&amp;TEXT(F83,"YYYYMMDD")&amp;"*"" &amp; """&amp;walkandungz&amp;""" "&amp;search_path&amp;"\RTDC"&amp;B83&amp;"\"&amp;TEXT(F83,"YYYY-MM-DD")
&amp;" &amp; "&amp;"aws s3 cp "&amp;s3_bucket&amp;"/RTDC"&amp;B83&amp;"/ "&amp;search_path&amp;"\RTDC"&amp;B83&amp;"\"&amp;TEXT(F83+1,"YYYY-MM-DD")&amp;" --exclude ""*"" --recursive --include ""*"&amp;TEXT(F83+1,"YYYYMMDD")&amp;"*"" &amp; """&amp;walkandungz&amp;""" "&amp;search_path&amp;"\RTDC"&amp;B83&amp;"\"&amp;TEXT(F83+1,"YYYY-MM-DD")</f>
        <v>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 &amp; aws s3 cp s3://rtdc.mdm.uploadarchive.raw/RTDC4031/ "%USERPROFILE%\AppData\Local\Temp\OnboardLogs"\RTDC4031\2017-02-08 --exclude "*" --recursive --include "*20170208*" &amp; "%USERPROFILE%\Documents\GitHub\mrs-test-scripts\Headless Mode &amp; Sideloading\WalkAndUnGZ.bat" "%USERPROFILE%\AppData\Local\Temp\OnboardLogs"\RTDC4031\2017-02-08</v>
      </c>
      <c r="AF83" s="82" t="str">
        <f>astrogrep_path&amp;" /spath="&amp;search_path&amp;" /stypes=""app*"&amp;B83&amp;"*"&amp;TEXT(I83-utc_offset/24,"YYYYMMDD")&amp;"*"" /stext="" "&amp;TEXT(I83-utc_offset/24,"HH")&amp;search_regexp&amp;""" /e /r /s"</f>
        <v>"C:\Program Files (x86)\AstroGrep\AstroGrep.exe" /spath="%USERPROFILE%\AppData\Local\Temp\OnboardLogs" /stypes="app*4031*20170207*" /stext=" 20:.+((SYSTEM_STATE.+slice.+state.+changed )|(ment ac)|(multiple cpu faults)|(system.+state.+changed )|(\[timeout)|(PRM\|1\|D)|(kpr)|(kdp)|(\|lc)|(penalty))" /e /r /s</v>
      </c>
      <c r="AG83" s="1" t="str">
        <f>IFERROR(IF(VALUE(LEFT(AD83,2))&lt;=2,"EC",IF(OR(VALUE(LEFT(AD83,2))=8,VALUE(LEFT(AD83,2))=18),"NW","Other")),"Other")</f>
        <v>EC</v>
      </c>
      <c r="AH83" s="86" t="str">
        <f t="shared" si="6"/>
        <v>"%USERPROFILE%\Documents\GitHub\eaglep3\Utilities\RefineRTDCRunTimes.py" --tripid 171-07 --locoid 4031 --swversion DE.1.0.8.0 --startMP 204:446 --initTime 2017-02-07T12:23:58 --startdatetime 2017-02-07T12:30:25 --delay 2 --endMP 204:233374 --enddatetime 2017-02-07T13:05:55 --enforcementcount 0 &gt;&gt;C:\Users\stu\Documents\GitHub\eaglep3-reporting\EC\2017-02-07-refined-times.txt</v>
      </c>
      <c r="AI83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{"issue":{"subject":"","project_id":79,"tracker_id":40,"status_id":1,"priority_id":2,"assigned_to_id":23,"start_date":"2017-02-07","description":"","custom_fields":[{"id":1,"name":"Subdivision","value":"EC"},{"id":4,"name":"Milepost","value":"23.3374"},{"id":17,"name":"Train ID","value":"171-07"},{"id":16,"name":"Locomotive ID","value":"4031"},{"id":130,"name":"Impact","value":""},{"id":150,"name":"Time of Event (Mountain Time)","value":"13:05:55"},{"id":151,"name":"Denver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48"/>
      <c r="AK83" s="48"/>
      <c r="AL83" s="48"/>
      <c r="AM83" s="158" t="str">
        <f t="shared" si="8"/>
        <v>start /low /b %USERPROFILE%\Documents\GitHub\eaglep3\Utilities\DownloadLogsFromS3.py --loco 4031 --day 2017-02-07</v>
      </c>
      <c r="AN83" s="167" t="str">
        <f>"grep -SE -B400 ""CHR.+\|PRM\|1\|D.+(SWITCH|SIGNAL).+UNKNOWN"" "&amp;search_path&amp;"\RTDC"&amp;B83&amp;"\*"&amp;B83&amp;"*"&amp;TEXT(AVERAGE(F83,I83)-utc_offset/24,"YYYYMMDD")&amp;"*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"%USERPROFILE%\AppData\Local\Temp\OnboardLogs"\RTDC4031\*4031*20170207* | grep -SE "(Enforcement Action)|(\[TIMEOUT)|(CHR.+\|PRM\|1\|D.+(SWITCH|SIGNAL).+UNKNOWN)" - &gt;&gt; 2017-02-07-UncaughtWiMAX.txt</v>
      </c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x14ac:dyDescent="0.25">
      <c r="A84" s="33" t="s">
        <v>601</v>
      </c>
      <c r="B84" s="7">
        <v>4032</v>
      </c>
      <c r="C84" s="21" t="s">
        <v>193</v>
      </c>
      <c r="D84" s="21" t="s">
        <v>743</v>
      </c>
      <c r="E84" s="13">
        <v>42773.552164351851</v>
      </c>
      <c r="F84" s="13">
        <v>42773.560520833336</v>
      </c>
      <c r="G84" s="7">
        <v>2</v>
      </c>
      <c r="H84" s="21" t="s">
        <v>418</v>
      </c>
      <c r="I84" s="13">
        <v>42773.586458333331</v>
      </c>
      <c r="J84" s="7">
        <v>0</v>
      </c>
      <c r="K84" s="98" t="str">
        <f>IF(ISEVEN(B84),(B84-1)&amp;"/"&amp;B84,B84&amp;"/"&amp;(B84+1))</f>
        <v>4031/4032</v>
      </c>
      <c r="L84" s="21" t="str">
        <f>VLOOKUP(A84,'Trips&amp;Operators'!$C$1:$G$99999,5,FALSE)</f>
        <v>HOLCOMB KAMDEN</v>
      </c>
      <c r="M84" s="6">
        <f>I84-F84</f>
        <v>2.5937499995052349E-2</v>
      </c>
      <c r="N84" s="7">
        <f>24*60*SUM($M84:$M84)</f>
        <v>37.349999992875382</v>
      </c>
      <c r="O84" s="7"/>
      <c r="P84" s="7"/>
      <c r="Q84" s="22"/>
      <c r="R84" s="22"/>
      <c r="S84" s="31">
        <f>SUM(U84:U84)/IF(AG84="EC",12,1)</f>
        <v>1</v>
      </c>
      <c r="T84" s="46" t="str">
        <f>IF(ISEVEN(LEFT(AD84,4)),"Southbound","NorthBound")</f>
        <v>Southbound</v>
      </c>
      <c r="U84" s="190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191" t="str">
        <f>"https://d0f6bd738d7f1b3e5a7ca70fe4ff75f0.us-east-1.aws.found.io/app/kibana#/discover/Steve-Slow-Train-Analysis-(2080s-and-2083s)?_g="&amp;"(refreshInterval:(display:Off,pause:!f,section:0,value:0),time:(from:'"&amp;TEXT(E84-1/24,"yyyy-MM-DDThh:mm:ss")&amp;utc_offset&amp;"00"&amp;"',mode:absolute,to:'"&amp;TEXT(I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84&amp;"%22')),sort:!(Time.ISO8601,asc))"</f>
        <v>https://d0f6bd738d7f1b3e5a7ca70fe4ff75f0.us-east-1.aws.found.io/app/kibana#/discover/Steve-Slow-Train-Analysis-(2080s-and-2083s)?_g=(refreshInterval:(display:Off,pause:!f,section:0,value:0),time:(from:'2017-02-07T12:15:07-0700',mode:absolute,to:'2017-02-07T15:04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84" s="192" t="str">
        <f>IF(AA84&lt;IF(AG84="EC",23,5.65),"Y","N")</f>
        <v>N</v>
      </c>
      <c r="X84" s="192">
        <f>VALUE(LEFT(AD84,4))-VALUE(LEFT(AD83,4))</f>
        <v>1</v>
      </c>
      <c r="Y84" s="62">
        <f>RIGHT(D84,LEN(D84)-4)/10000</f>
        <v>23.304500000000001</v>
      </c>
      <c r="Z84" s="62">
        <f>RIGHT(H84,LEN(H84)-4)/10000</f>
        <v>1.41E-2</v>
      </c>
      <c r="AA84" s="62">
        <f>ABS(Z84-Y84)</f>
        <v>23.290400000000002</v>
      </c>
      <c r="AB84" s="59" t="e">
        <f>VLOOKUP(A84,Enforcements!$C$7:$K$14,8,0)</f>
        <v>#N/A</v>
      </c>
      <c r="AC84" s="55" t="e">
        <f>VLOOKUP(A84,Enforcements!$C$7:$E$14,3,0)</f>
        <v>#N/A</v>
      </c>
      <c r="AD84" s="56" t="str">
        <f>IF(LEN(A84)=6,"0"&amp;A84,A84)</f>
        <v>0172-07</v>
      </c>
      <c r="AE84" s="85" t="str">
        <f>"aws s3 cp "&amp;s3_bucket&amp;"/RTDC"&amp;B84&amp;"/ "&amp;search_path&amp;"\RTDC"&amp;B84&amp;"\"&amp;TEXT(F84,"YYYY-MM-DD")&amp;" --exclude ""*"" --recursive --include ""*"&amp;TEXT(F84,"YYYYMMDD")&amp;"*"" &amp; """&amp;walkandungz&amp;""" "&amp;search_path&amp;"\RTDC"&amp;B84&amp;"\"&amp;TEXT(F84,"YYYY-MM-DD")
&amp;" &amp; "&amp;"aws s3 cp "&amp;s3_bucket&amp;"/RTDC"&amp;B84&amp;"/ "&amp;search_path&amp;"\RTDC"&amp;B84&amp;"\"&amp;TEXT(F84+1,"YYYY-MM-DD")&amp;" --exclude ""*"" --recursive --include ""*"&amp;TEXT(F84+1,"YYYYMMDD")&amp;"*"" &amp; """&amp;walkandungz&amp;""" "&amp;search_path&amp;"\RTDC"&amp;B84&amp;"\"&amp;TEXT(F84+1,"YYYY-MM-DD")</f>
        <v>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 &amp; aws s3 cp s3://rtdc.mdm.uploadarchive.raw/RTDC4032/ "%USERPROFILE%\AppData\Local\Temp\OnboardLogs"\RTDC4032\2017-02-08 --exclude "*" --recursive --include "*20170208*" &amp; "%USERPROFILE%\Documents\GitHub\mrs-test-scripts\Headless Mode &amp; Sideloading\WalkAndUnGZ.bat" "%USERPROFILE%\AppData\Local\Temp\OnboardLogs"\RTDC4032\2017-02-08</v>
      </c>
      <c r="AF84" s="82" t="str">
        <f>astrogrep_path&amp;" /spath="&amp;search_path&amp;" /stypes=""app*"&amp;B84&amp;"*"&amp;TEXT(I84-utc_offset/24,"YYYYMMDD")&amp;"*"" /stext="" "&amp;TEXT(I84-utc_offset/24,"HH")&amp;search_regexp&amp;""" /e /r /s"</f>
        <v>"C:\Program Files (x86)\AstroGrep\AstroGrep.exe" /spath="%USERPROFILE%\AppData\Local\Temp\OnboardLogs" /stypes="app*4032*20170207*" /stext=" 21:.+((SYSTEM_STATE.+slice.+state.+changed )|(ment ac)|(multiple cpu faults)|(system.+state.+changed )|(\[timeout)|(PRM\|1\|D)|(kpr)|(kdp)|(\|lc)|(penalty))" /e /r /s</v>
      </c>
      <c r="AG84" s="1" t="str">
        <f>IFERROR(IF(VALUE(LEFT(AD84,2))&lt;=2,"EC",IF(OR(VALUE(LEFT(AD84,2))=8,VALUE(LEFT(AD84,2))=18),"NW","Other")),"Other")</f>
        <v>EC</v>
      </c>
      <c r="AH84" s="86" t="str">
        <f t="shared" si="6"/>
        <v>"%USERPROFILE%\Documents\GitHub\eaglep3\Utilities\RefineRTDCRunTimes.py" --tripid 172-07 --locoid 4032 --swversion DE.1.0.8.0 --startMP 204:233045 --initTime 2017-02-07T13:15:07 --startdatetime 2017-02-07T13:27:09 --delay 2 --endMP 204:141 --enddatetime 2017-02-07T14:04:30 --enforcementcount 0 &gt;&gt;C:\Users\stu\Documents\GitHub\eaglep3-reporting\EC\2017-02-07-refined-times.txt</v>
      </c>
      <c r="AI84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{"issue":{"subject":"","project_id":79,"tracker_id":40,"status_id":1,"priority_id":2,"assigned_to_id":23,"start_date":"2017-02-07","description":"","custom_fields":[{"id":1,"name":"Subdivision","value":"EC"},{"id":4,"name":"Milepost","value":"0.0141"},{"id":17,"name":"Train ID","value":"172-07"},{"id":16,"name":"Locomotive ID","value":"4032"},{"id":130,"name":"Impact","value":""},{"id":150,"name":"Time of Event (Mountain Time)","value":"14:04:30"},{"id":151,"name":"Denver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48"/>
      <c r="AK84" s="48"/>
      <c r="AL84" s="48"/>
      <c r="AM84" s="158" t="str">
        <f t="shared" si="8"/>
        <v>start /low /b %USERPROFILE%\Documents\GitHub\eaglep3\Utilities\DownloadLogsFromS3.py --loco 4032 --day 2017-02-07</v>
      </c>
      <c r="AN84" s="167" t="str">
        <f>"grep -SE -B400 ""CHR.+\|PRM\|1\|D.+(SWITCH|SIGNAL).+UNKNOWN"" "&amp;search_path&amp;"\RTDC"&amp;B84&amp;"\*"&amp;B84&amp;"*"&amp;TEXT(AVERAGE(F84,I84)-utc_offset/24,"YYYYMMDD")&amp;"*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"%USERPROFILE%\AppData\Local\Temp\OnboardLogs"\RTDC4032\*4032*20170207* | grep -SE "(Enforcement Action)|(\[TIMEOUT)|(CHR.+\|PRM\|1\|D.+(SWITCH|SIGNAL).+UNKNOWN)" - &gt;&gt; 2017-02-07-UncaughtWiMAX.txt</v>
      </c>
    </row>
    <row r="85" spans="1:91" s="20" customFormat="1" x14ac:dyDescent="0.25">
      <c r="A85" s="33" t="s">
        <v>596</v>
      </c>
      <c r="B85" s="7">
        <v>4025</v>
      </c>
      <c r="C85" s="21" t="s">
        <v>193</v>
      </c>
      <c r="D85" s="21" t="s">
        <v>714</v>
      </c>
      <c r="E85" s="13">
        <v>42773.527685185189</v>
      </c>
      <c r="F85" s="13">
        <v>42773.531643518516</v>
      </c>
      <c r="G85" s="7">
        <v>2</v>
      </c>
      <c r="H85" s="21" t="s">
        <v>744</v>
      </c>
      <c r="I85" s="13">
        <v>42773.557974537034</v>
      </c>
      <c r="J85" s="7">
        <v>0</v>
      </c>
      <c r="K85" s="98" t="str">
        <f>IF(ISEVEN(B85),(B85-1)&amp;"/"&amp;B85,B85&amp;"/"&amp;(B85+1))</f>
        <v>4025/4026</v>
      </c>
      <c r="L85" s="21" t="str">
        <f>VLOOKUP(A85,'Trips&amp;Operators'!$C$1:$G$99999,5,FALSE)</f>
        <v>DAVIS MICHAEL</v>
      </c>
      <c r="M85" s="6">
        <f>I85-F85</f>
        <v>2.6331018518249039E-2</v>
      </c>
      <c r="N85" s="7">
        <f>24*60*SUM($M85:$M85)</f>
        <v>37.916666666278616</v>
      </c>
      <c r="O85" s="7"/>
      <c r="P85" s="7"/>
      <c r="Q85" s="22"/>
      <c r="R85" s="22"/>
      <c r="S85" s="31">
        <f>SUM(U85:U85)/IF(AG85="EC",12,1)</f>
        <v>1</v>
      </c>
      <c r="T85" s="46" t="str">
        <f>IF(ISEVEN(LEFT(AD85,4)),"Southbound","NorthBound")</f>
        <v>NorthBound</v>
      </c>
      <c r="U85" s="190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191" t="str">
        <f>"https://d0f6bd738d7f1b3e5a7ca70fe4ff75f0.us-east-1.aws.found.io/app/kibana#/discover/Steve-Slow-Train-Analysis-(2080s-and-2083s)?_g="&amp;"(refreshInterval:(display:Off,pause:!f,section:0,value:0),time:(from:'"&amp;TEXT(E85-1/24,"yyyy-MM-DDThh:mm:ss")&amp;utc_offset&amp;"00"&amp;"',mode:absolute,to:'"&amp;TEXT(I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85&amp;"%22')),sort:!(Time.ISO8601,asc))"</f>
        <v>https://d0f6bd738d7f1b3e5a7ca70fe4ff75f0.us-east-1.aws.found.io/app/kibana#/discover/Steve-Slow-Train-Analysis-(2080s-and-2083s)?_g=(refreshInterval:(display:Off,pause:!f,section:0,value:0),time:(from:'2017-02-07T11:39:52-0700',mode:absolute,to:'2017-02-07T14:23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85" s="192" t="str">
        <f>IF(AA85&lt;IF(AG85="EC",23,5.65),"Y","N")</f>
        <v>N</v>
      </c>
      <c r="X85" s="192">
        <f>VALUE(LEFT(AD85,4))-VALUE(LEFT(AD84,4))</f>
        <v>1</v>
      </c>
      <c r="Y85" s="62">
        <f>RIGHT(D85,LEN(D85)-4)/10000</f>
        <v>4.3799999999999999E-2</v>
      </c>
      <c r="Z85" s="62">
        <f>RIGHT(H85,LEN(H85)-4)/10000</f>
        <v>23.334299999999999</v>
      </c>
      <c r="AA85" s="62">
        <f>ABS(Z85-Y85)</f>
        <v>23.290499999999998</v>
      </c>
      <c r="AB85" s="59" t="e">
        <f>VLOOKUP(A85,Enforcements!$C$7:$K$14,8,0)</f>
        <v>#N/A</v>
      </c>
      <c r="AC85" s="55" t="e">
        <f>VLOOKUP(A85,Enforcements!$C$7:$E$14,3,0)</f>
        <v>#N/A</v>
      </c>
      <c r="AD85" s="56" t="str">
        <f>IF(LEN(A85)=6,"0"&amp;A85,A85)</f>
        <v>0173-07</v>
      </c>
      <c r="AE85" s="85" t="str">
        <f>"aws s3 cp "&amp;s3_bucket&amp;"/RTDC"&amp;B85&amp;"/ "&amp;search_path&amp;"\RTDC"&amp;B85&amp;"\"&amp;TEXT(F85,"YYYY-MM-DD")&amp;" --exclude ""*"" --recursive --include ""*"&amp;TEXT(F85,"YYYYMMDD")&amp;"*"" &amp; """&amp;walkandungz&amp;""" "&amp;search_path&amp;"\RTDC"&amp;B85&amp;"\"&amp;TEXT(F85,"YYYY-MM-DD")
&amp;" &amp; "&amp;"aws s3 cp "&amp;s3_bucket&amp;"/RTDC"&amp;B85&amp;"/ "&amp;search_path&amp;"\RTDC"&amp;B85&amp;"\"&amp;TEXT(F85+1,"YYYY-MM-DD")&amp;" --exclude ""*"" --recursive --include ""*"&amp;TEXT(F85+1,"YYYYMMDD")&amp;"*"" &amp; """&amp;walkandungz&amp;""" "&amp;search_path&amp;"\RTDC"&amp;B85&amp;"\"&amp;TEXT(F85+1,"YYYY-MM-DD")</f>
        <v>aws s3 cp s3://rtdc.mdm.uploadarchive.raw/RTDC4025/ "%USERPROFILE%\AppData\Local\Temp\OnboardLogs"\RTDC4025\2017-02-07 --exclude "*" --recursive --include "*20170207*" &amp; "%USERPROFILE%\Documents\GitHub\mrs-test-scripts\Headless Mode &amp; Sideloading\WalkAndUnGZ.bat" "%USERPROFILE%\AppData\Local\Temp\OnboardLogs"\RTDC4025\2017-02-07 &amp; aws s3 cp s3://rtdc.mdm.uploadarchive.raw/RTDC4025/ "%USERPROFILE%\AppData\Local\Temp\OnboardLogs"\RTDC4025\2017-02-08 --exclude "*" --recursive --include "*20170208*" &amp; "%USERPROFILE%\Documents\GitHub\mrs-test-scripts\Headless Mode &amp; Sideloading\WalkAndUnGZ.bat" "%USERPROFILE%\AppData\Local\Temp\OnboardLogs"\RTDC4025\2017-02-08</v>
      </c>
      <c r="AF85" s="82" t="str">
        <f>astrogrep_path&amp;" /spath="&amp;search_path&amp;" /stypes=""app*"&amp;B85&amp;"*"&amp;TEXT(I85-utc_offset/24,"YYYYMMDD")&amp;"*"" /stext="" "&amp;TEXT(I85-utc_offset/24,"HH")&amp;search_regexp&amp;""" /e /r /s"</f>
        <v>"C:\Program Files (x86)\AstroGrep\AstroGrep.exe" /spath="%USERPROFILE%\AppData\Local\Temp\OnboardLogs" /stypes="app*4025*20170207*" /stext=" 20:.+((SYSTEM_STATE.+slice.+state.+changed )|(ment ac)|(multiple cpu faults)|(system.+state.+changed )|(\[timeout)|(PRM\|1\|D)|(kpr)|(kdp)|(\|lc)|(penalty))" /e /r /s</v>
      </c>
      <c r="AG85" s="1" t="str">
        <f>IFERROR(IF(VALUE(LEFT(AD85,2))&lt;=2,"EC",IF(OR(VALUE(LEFT(AD85,2))=8,VALUE(LEFT(AD85,2))=18),"NW","Other")),"Other")</f>
        <v>EC</v>
      </c>
      <c r="AH85" s="86" t="str">
        <f t="shared" si="6"/>
        <v>"%USERPROFILE%\Documents\GitHub\eaglep3\Utilities\RefineRTDCRunTimes.py" --tripid 173-07 --locoid 4025 --swversion DE.1.0.8.0 --startMP 204:438 --initTime 2017-02-07T12:39:52 --startdatetime 2017-02-07T12:45:34 --delay 2 --endMP 204:233343 --enddatetime 2017-02-07T13:23:29 --enforcementcount 0 &gt;&gt;C:\Users\stu\Documents\GitHub\eaglep3-reporting\EC\2017-02-07-refined-times.txt</v>
      </c>
      <c r="AI85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{"issue":{"subject":"","project_id":79,"tracker_id":40,"status_id":1,"priority_id":2,"assigned_to_id":23,"start_date":"2017-02-07","description":"","custom_fields":[{"id":1,"name":"Subdivision","value":"EC"},{"id":4,"name":"Milepost","value":"23.3343"},{"id":17,"name":"Train ID","value":"173-07"},{"id":16,"name":"Locomotive ID","value":"4025"},{"id":130,"name":"Impact","value":""},{"id":150,"name":"Time of Event (Mountain Time)","value":"13:23:29"},{"id":151,"name":"Denver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48"/>
      <c r="AK85" s="48"/>
      <c r="AL85" s="48"/>
      <c r="AM85" s="158" t="str">
        <f t="shared" si="8"/>
        <v>start /low /b %USERPROFILE%\Documents\GitHub\eaglep3\Utilities\DownloadLogsFromS3.py --loco 4025 --day 2017-02-07</v>
      </c>
      <c r="AN85" s="167" t="str">
        <f>"grep -SE -B400 ""CHR.+\|PRM\|1\|D.+(SWITCH|SIGNAL).+UNKNOWN"" "&amp;search_path&amp;"\RTDC"&amp;B85&amp;"\*"&amp;B85&amp;"*"&amp;TEXT(AVERAGE(F85,I85)-utc_offset/24,"YYYYMMDD")&amp;"*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"%USERPROFILE%\AppData\Local\Temp\OnboardLogs"\RTDC4025\*4025*20170207* | grep -SE "(Enforcement Action)|(\[TIMEOUT)|(CHR.+\|PRM\|1\|D.+(SWITCH|SIGNAL).+UNKNOWN)" - &gt;&gt; 2017-02-07-UncaughtWiMAX.txt</v>
      </c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20" customFormat="1" x14ac:dyDescent="0.25">
      <c r="A86" s="33" t="s">
        <v>605</v>
      </c>
      <c r="B86" s="7">
        <v>4026</v>
      </c>
      <c r="C86" s="21" t="s">
        <v>193</v>
      </c>
      <c r="D86" s="21" t="s">
        <v>745</v>
      </c>
      <c r="E86" s="13">
        <v>42773.56863425926</v>
      </c>
      <c r="F86" s="13">
        <v>42773.570659722223</v>
      </c>
      <c r="G86" s="7">
        <v>1</v>
      </c>
      <c r="H86" s="21" t="s">
        <v>224</v>
      </c>
      <c r="I86" s="13">
        <v>42773.598912037036</v>
      </c>
      <c r="J86" s="7">
        <v>0</v>
      </c>
      <c r="K86" s="98" t="str">
        <f>IF(ISEVEN(B86),(B86-1)&amp;"/"&amp;B86,B86&amp;"/"&amp;(B86+1))</f>
        <v>4025/4026</v>
      </c>
      <c r="L86" s="21" t="str">
        <f>VLOOKUP(A86,'Trips&amp;Operators'!$C$1:$G$99999,5,FALSE)</f>
        <v>DAVIS MICHAEL</v>
      </c>
      <c r="M86" s="6">
        <f>I86-F86</f>
        <v>2.8252314812561963E-2</v>
      </c>
      <c r="N86" s="7">
        <f>24*60*SUM($M86:$M86)</f>
        <v>40.683333330089226</v>
      </c>
      <c r="O86" s="7"/>
      <c r="P86" s="7"/>
      <c r="Q86" s="22"/>
      <c r="R86" s="22"/>
      <c r="S86" s="31">
        <f>SUM(U86:U86)/IF(AG86="EC",12,1)</f>
        <v>1</v>
      </c>
      <c r="T86" s="46" t="str">
        <f>IF(ISEVEN(LEFT(AD86,4)),"Southbound","NorthBound")</f>
        <v>Southbound</v>
      </c>
      <c r="U86" s="190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191" t="str">
        <f>"https://d0f6bd738d7f1b3e5a7ca70fe4ff75f0.us-east-1.aws.found.io/app/kibana#/discover/Steve-Slow-Train-Analysis-(2080s-and-2083s)?_g="&amp;"(refreshInterval:(display:Off,pause:!f,section:0,value:0),time:(from:'"&amp;TEXT(E86-1/24,"yyyy-MM-DDThh:mm:ss")&amp;utc_offset&amp;"00"&amp;"',mode:absolute,to:'"&amp;TEXT(I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86&amp;"%22')),sort:!(Time.ISO8601,asc))"</f>
        <v>https://d0f6bd738d7f1b3e5a7ca70fe4ff75f0.us-east-1.aws.found.io/app/kibana#/discover/Steve-Slow-Train-Analysis-(2080s-and-2083s)?_g=(refreshInterval:(display:Off,pause:!f,section:0,value:0),time:(from:'2017-02-07T12:38:50-0700',mode:absolute,to:'2017-02-07T15:22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86" s="192" t="str">
        <f>IF(AA86&lt;IF(AG86="EC",23,5.65),"Y","N")</f>
        <v>N</v>
      </c>
      <c r="X86" s="192">
        <f>VALUE(LEFT(AD86,4))-VALUE(LEFT(AD85,4))</f>
        <v>1</v>
      </c>
      <c r="Y86" s="62">
        <f>RIGHT(D86,LEN(D86)-4)/10000</f>
        <v>23.304600000000001</v>
      </c>
      <c r="Z86" s="62">
        <f>RIGHT(H86,LEN(H86)-4)/10000</f>
        <v>1.54E-2</v>
      </c>
      <c r="AA86" s="62">
        <f>ABS(Z86-Y86)</f>
        <v>23.289200000000001</v>
      </c>
      <c r="AB86" s="59" t="e">
        <f>VLOOKUP(A86,Enforcements!$C$7:$K$14,8,0)</f>
        <v>#N/A</v>
      </c>
      <c r="AC86" s="55" t="e">
        <f>VLOOKUP(A86,Enforcements!$C$7:$E$14,3,0)</f>
        <v>#N/A</v>
      </c>
      <c r="AD86" s="56" t="str">
        <f>IF(LEN(A86)=6,"0"&amp;A86,A86)</f>
        <v>0174-07</v>
      </c>
      <c r="AE86" s="85" t="str">
        <f>"aws s3 cp "&amp;s3_bucket&amp;"/RTDC"&amp;B86&amp;"/ "&amp;search_path&amp;"\RTDC"&amp;B86&amp;"\"&amp;TEXT(F86,"YYYY-MM-DD")&amp;" --exclude ""*"" --recursive --include ""*"&amp;TEXT(F86,"YYYYMMDD")&amp;"*"" &amp; """&amp;walkandungz&amp;""" "&amp;search_path&amp;"\RTDC"&amp;B86&amp;"\"&amp;TEXT(F86,"YYYY-MM-DD")
&amp;" &amp; "&amp;"aws s3 cp "&amp;s3_bucket&amp;"/RTDC"&amp;B86&amp;"/ "&amp;search_path&amp;"\RTDC"&amp;B86&amp;"\"&amp;TEXT(F86+1,"YYYY-MM-DD")&amp;" --exclude ""*"" --recursive --include ""*"&amp;TEXT(F86+1,"YYYYMMDD")&amp;"*"" &amp; """&amp;walkandungz&amp;""" "&amp;search_path&amp;"\RTDC"&amp;B86&amp;"\"&amp;TEXT(F86+1,"YYYY-MM-DD")</f>
        <v>aws s3 cp s3://rtdc.mdm.uploadarchive.raw/RTDC4026/ "%USERPROFILE%\AppData\Local\Temp\OnboardLogs"\RTDC4026\2017-02-07 --exclude "*" --recursive --include "*20170207*" &amp; "%USERPROFILE%\Documents\GitHub\mrs-test-scripts\Headless Mode &amp; Sideloading\WalkAndUnGZ.bat" "%USERPROFILE%\AppData\Local\Temp\OnboardLogs"\RTDC4026\2017-02-07 &amp; 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</v>
      </c>
      <c r="AF86" s="82" t="str">
        <f>astrogrep_path&amp;" /spath="&amp;search_path&amp;" /stypes=""app*"&amp;B86&amp;"*"&amp;TEXT(I86-utc_offset/24,"YYYYMMDD")&amp;"*"" /stext="" "&amp;TEXT(I86-utc_offset/24,"HH")&amp;search_regexp&amp;""" /e /r /s"</f>
        <v>"C:\Program Files (x86)\AstroGrep\AstroGrep.exe" /spath="%USERPROFILE%\AppData\Local\Temp\OnboardLogs" /stypes="app*4026*20170207*" /stext=" 21:.+((SYSTEM_STATE.+slice.+state.+changed )|(ment ac)|(multiple cpu faults)|(system.+state.+changed )|(\[timeout)|(PRM\|1\|D)|(kpr)|(kdp)|(\|lc)|(penalty))" /e /r /s</v>
      </c>
      <c r="AG86" s="1" t="str">
        <f>IFERROR(IF(VALUE(LEFT(AD86,2))&lt;=2,"EC",IF(OR(VALUE(LEFT(AD86,2))=8,VALUE(LEFT(AD86,2))=18),"NW","Other")),"Other")</f>
        <v>EC</v>
      </c>
      <c r="AH86" s="86" t="str">
        <f t="shared" si="6"/>
        <v>"%USERPROFILE%\Documents\GitHub\eaglep3\Utilities\RefineRTDCRunTimes.py" --tripid 174-07 --locoid 4026 --swversion DE.1.0.8.0 --startMP 204:233046 --initTime 2017-02-07T13:38:50 --startdatetime 2017-02-07T13:41:45 --delay 1 --endMP 204:154 --enddatetime 2017-02-07T14:22:26 --enforcementcount 0 &gt;&gt;C:\Users\stu\Documents\GitHub\eaglep3-reporting\EC\2017-02-07-refined-times.txt</v>
      </c>
      <c r="AI86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{"issue":{"subject":"","project_id":79,"tracker_id":40,"status_id":1,"priority_id":2,"assigned_to_id":23,"start_date":"2017-02-07","description":"","custom_fields":[{"id":1,"name":"Subdivision","value":"EC"},{"id":4,"name":"Milepost","value":"0.0154"},{"id":17,"name":"Train ID","value":"174-07"},{"id":16,"name":"Locomotive ID","value":"4026"},{"id":130,"name":"Impact","value":""},{"id":150,"name":"Time of Event (Mountain Time)","value":"14:22:26"},{"id":151,"name":"Denver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48"/>
      <c r="AK86" s="48"/>
      <c r="AL86" s="48"/>
      <c r="AM86" s="158" t="str">
        <f t="shared" si="8"/>
        <v>start /low /b %USERPROFILE%\Documents\GitHub\eaglep3\Utilities\DownloadLogsFromS3.py --loco 4026 --day 2017-02-07</v>
      </c>
      <c r="AN86" s="167" t="str">
        <f>"grep -SE -B400 ""CHR.+\|PRM\|1\|D.+(SWITCH|SIGNAL).+UNKNOWN"" "&amp;search_path&amp;"\RTDC"&amp;B86&amp;"\*"&amp;B86&amp;"*"&amp;TEXT(AVERAGE(F86,I86)-utc_offset/24,"YYYYMMDD")&amp;"*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"%USERPROFILE%\AppData\Local\Temp\OnboardLogs"\RTDC4026\*4026*20170207* | grep -SE "(Enforcement Action)|(\[TIMEOUT)|(CHR.+\|PRM\|1\|D.+(SWITCH|SIGNAL).+UNKNOWN)" - &gt;&gt; 2017-02-07-UncaughtWiMAX.txt</v>
      </c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20" customFormat="1" x14ac:dyDescent="0.25">
      <c r="A87" s="33" t="s">
        <v>476</v>
      </c>
      <c r="B87" s="7">
        <v>4046</v>
      </c>
      <c r="C87" s="21" t="s">
        <v>193</v>
      </c>
      <c r="D87" s="21" t="s">
        <v>737</v>
      </c>
      <c r="E87" s="13">
        <v>42773.538553240738</v>
      </c>
      <c r="F87" s="13">
        <v>42773.54184027778</v>
      </c>
      <c r="G87" s="7">
        <v>1</v>
      </c>
      <c r="H87" s="21" t="s">
        <v>314</v>
      </c>
      <c r="I87" s="13">
        <v>42773.567013888889</v>
      </c>
      <c r="J87" s="7">
        <v>0</v>
      </c>
      <c r="K87" s="98" t="str">
        <f>IF(ISEVEN(B87),(B87-1)&amp;"/"&amp;B87,B87&amp;"/"&amp;(B87+1))</f>
        <v>4045/4046</v>
      </c>
      <c r="L87" s="21" t="str">
        <f>VLOOKUP(A87,'Trips&amp;Operators'!$C$1:$G$99999,5,FALSE)</f>
        <v>MOSES BRADLEY</v>
      </c>
      <c r="M87" s="6">
        <f>I87-F87</f>
        <v>2.5173611109494232E-2</v>
      </c>
      <c r="N87" s="7">
        <f>24*60*SUM($M87:$M87)</f>
        <v>36.249999997671694</v>
      </c>
      <c r="O87" s="7"/>
      <c r="P87" s="7"/>
      <c r="Q87" s="22"/>
      <c r="R87" s="22"/>
      <c r="S87" s="31">
        <f>SUM(U87:U87)/IF(AG87="EC",12,1)</f>
        <v>1</v>
      </c>
      <c r="T87" s="46" t="str">
        <f>IF(ISEVEN(LEFT(AD87,4)),"Southbound","NorthBound")</f>
        <v>NorthBound</v>
      </c>
      <c r="U87" s="190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191" t="str">
        <f>"https://d0f6bd738d7f1b3e5a7ca70fe4ff75f0.us-east-1.aws.found.io/app/kibana#/discover/Steve-Slow-Train-Analysis-(2080s-and-2083s)?_g="&amp;"(refreshInterval:(display:Off,pause:!f,section:0,value:0),time:(from:'"&amp;TEXT(E87-1/24,"yyyy-MM-DDThh:mm:ss")&amp;utc_offset&amp;"00"&amp;"',mode:absolute,to:'"&amp;TEXT(I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87&amp;"%22')),sort:!(Time.ISO8601,asc))"</f>
        <v>https://d0f6bd738d7f1b3e5a7ca70fe4ff75f0.us-east-1.aws.found.io/app/kibana#/discover/Steve-Slow-Train-Analysis-(2080s-and-2083s)?_g=(refreshInterval:(display:Off,pause:!f,section:0,value:0),time:(from:'2017-02-07T11:55:31-0700',mode:absolute,to:'2017-02-07T14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87" s="192" t="str">
        <f>IF(AA87&lt;IF(AG87="EC",23,5.65),"Y","N")</f>
        <v>N</v>
      </c>
      <c r="X87" s="192">
        <f>VALUE(LEFT(AD87,4))-VALUE(LEFT(AD86,4))</f>
        <v>1</v>
      </c>
      <c r="Y87" s="62">
        <f>RIGHT(D87,LEN(D87)-4)/10000</f>
        <v>4.7699999999999999E-2</v>
      </c>
      <c r="Z87" s="62">
        <f>RIGHT(H87,LEN(H87)-4)/10000</f>
        <v>23.331700000000001</v>
      </c>
      <c r="AA87" s="62">
        <f>ABS(Z87-Y87)</f>
        <v>23.284000000000002</v>
      </c>
      <c r="AB87" s="59" t="e">
        <f>VLOOKUP(A87,Enforcements!$C$7:$K$14,8,0)</f>
        <v>#N/A</v>
      </c>
      <c r="AC87" s="55" t="e">
        <f>VLOOKUP(A87,Enforcements!$C$7:$E$14,3,0)</f>
        <v>#N/A</v>
      </c>
      <c r="AD87" s="56" t="str">
        <f>IF(LEN(A87)=6,"0"&amp;A87,A87)</f>
        <v>0175-07</v>
      </c>
      <c r="AE87" s="85" t="str">
        <f>"aws s3 cp "&amp;s3_bucket&amp;"/RTDC"&amp;B87&amp;"/ "&amp;search_path&amp;"\RTDC"&amp;B87&amp;"\"&amp;TEXT(F87,"YYYY-MM-DD")&amp;" --exclude ""*"" --recursive --include ""*"&amp;TEXT(F87,"YYYYMMDD")&amp;"*"" &amp; """&amp;walkandungz&amp;""" "&amp;search_path&amp;"\RTDC"&amp;B87&amp;"\"&amp;TEXT(F87,"YYYY-MM-DD")
&amp;" &amp; "&amp;"aws s3 cp "&amp;s3_bucket&amp;"/RTDC"&amp;B87&amp;"/ "&amp;search_path&amp;"\RTDC"&amp;B87&amp;"\"&amp;TEXT(F87+1,"YYYY-MM-DD")&amp;" --exclude ""*"" --recursive --include ""*"&amp;TEXT(F87+1,"YYYYMMDD")&amp;"*"" &amp; """&amp;walkandungz&amp;""" "&amp;search_path&amp;"\RTDC"&amp;B87&amp;"\"&amp;TEXT(F87+1,"YYYY-MM-DD")</f>
        <v>aws s3 cp s3://rtdc.mdm.uploadarchive.raw/RTDC4046/ "%USERPROFILE%\AppData\Local\Temp\OnboardLogs"\RTDC4046\2017-02-07 --exclude "*" --recursive --include "*20170207*" &amp; "%USERPROFILE%\Documents\GitHub\mrs-test-scripts\Headless Mode &amp; Sideloading\WalkAndUnGZ.bat" "%USERPROFILE%\AppData\Local\Temp\OnboardLogs"\RTDC4046\2017-02-07 &amp; aws s3 cp s3://rtdc.mdm.uploadarchive.raw/RTDC4046/ "%USERPROFILE%\AppData\Local\Temp\OnboardLogs"\RTDC4046\2017-02-08 --exclude "*" --recursive --include "*20170208*" &amp; "%USERPROFILE%\Documents\GitHub\mrs-test-scripts\Headless Mode &amp; Sideloading\WalkAndUnGZ.bat" "%USERPROFILE%\AppData\Local\Temp\OnboardLogs"\RTDC4046\2017-02-08</v>
      </c>
      <c r="AF87" s="82" t="str">
        <f>astrogrep_path&amp;" /spath="&amp;search_path&amp;" /stypes=""app*"&amp;B87&amp;"*"&amp;TEXT(I87-utc_offset/24,"YYYYMMDD")&amp;"*"" /stext="" "&amp;TEXT(I87-utc_offset/24,"HH")&amp;search_regexp&amp;""" /e /r /s"</f>
        <v>"C:\Program Files (x86)\AstroGrep\AstroGrep.exe" /spath="%USERPROFILE%\AppData\Local\Temp\OnboardLogs" /stypes="app*4046*20170207*" /stext=" 20:.+((SYSTEM_STATE.+slice.+state.+changed )|(ment ac)|(multiple cpu faults)|(system.+state.+changed )|(\[timeout)|(PRM\|1\|D)|(kpr)|(kdp)|(\|lc)|(penalty))" /e /r /s</v>
      </c>
      <c r="AG87" s="1" t="str">
        <f>IFERROR(IF(VALUE(LEFT(AD87,2))&lt;=2,"EC",IF(OR(VALUE(LEFT(AD87,2))=8,VALUE(LEFT(AD87,2))=18),"NW","Other")),"Other")</f>
        <v>EC</v>
      </c>
      <c r="AH87" s="86" t="str">
        <f t="shared" si="6"/>
        <v>"%USERPROFILE%\Documents\GitHub\eaglep3\Utilities\RefineRTDCRunTimes.py" --tripid 175-07 --locoid 4046 --swversion DE.1.0.8.0 --startMP 204:477 --initTime 2017-02-07T12:55:31 --startdatetime 2017-02-07T13:00:15 --delay 1 --endMP 204:233317 --enddatetime 2017-02-07T13:36:30 --enforcementcount 0 &gt;&gt;C:\Users\stu\Documents\GitHub\eaglep3-reporting\EC\2017-02-07-refined-times.txt</v>
      </c>
      <c r="AI87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{"issue":{"subject":"","project_id":79,"tracker_id":40,"status_id":1,"priority_id":2,"assigned_to_id":23,"start_date":"2017-02-07","description":"","custom_fields":[{"id":1,"name":"Subdivision","value":"EC"},{"id":4,"name":"Milepost","value":"23.3317"},{"id":17,"name":"Train ID","value":"175-07"},{"id":16,"name":"Locomotive ID","value":"4046"},{"id":130,"name":"Impact","value":""},{"id":150,"name":"Time of Event (Mountain Time)","value":"13:36:30"},{"id":151,"name":"Denver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48"/>
      <c r="AK87" s="48"/>
      <c r="AL87" s="48"/>
      <c r="AM87" s="158" t="str">
        <f t="shared" si="8"/>
        <v>start /low /b %USERPROFILE%\Documents\GitHub\eaglep3\Utilities\DownloadLogsFromS3.py --loco 4046 --day 2017-02-07</v>
      </c>
      <c r="AN87" s="167" t="str">
        <f>"grep -SE -B400 ""CHR.+\|PRM\|1\|D.+(SWITCH|SIGNAL).+UNKNOWN"" "&amp;search_path&amp;"\RTDC"&amp;B87&amp;"\*"&amp;B87&amp;"*"&amp;TEXT(AVERAGE(F87,I87)-utc_offset/24,"YYYYMMDD")&amp;"*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"%USERPROFILE%\AppData\Local\Temp\OnboardLogs"\RTDC4046\*4046*20170207* | grep -SE "(Enforcement Action)|(\[TIMEOUT)|(CHR.+\|PRM\|1\|D.+(SWITCH|SIGNAL).+UNKNOWN)" - &gt;&gt; 2017-02-07-UncaughtWiMAX.txt</v>
      </c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20" customFormat="1" x14ac:dyDescent="0.25">
      <c r="A88" s="33" t="s">
        <v>606</v>
      </c>
      <c r="B88" s="7">
        <v>4045</v>
      </c>
      <c r="C88" s="21" t="s">
        <v>193</v>
      </c>
      <c r="D88" s="21" t="s">
        <v>332</v>
      </c>
      <c r="E88" s="13">
        <v>42773.574629629627</v>
      </c>
      <c r="F88" s="13">
        <v>42773.58085648148</v>
      </c>
      <c r="G88" s="7">
        <v>1</v>
      </c>
      <c r="H88" s="21" t="s">
        <v>235</v>
      </c>
      <c r="I88" s="13">
        <v>42773.607997685183</v>
      </c>
      <c r="J88" s="7">
        <v>0</v>
      </c>
      <c r="K88" s="98" t="str">
        <f>IF(ISEVEN(B88),(B88-1)&amp;"/"&amp;B88,B88&amp;"/"&amp;(B88+1))</f>
        <v>4045/4046</v>
      </c>
      <c r="L88" s="21" t="str">
        <f>VLOOKUP(A88,'Trips&amp;Operators'!$C$1:$G$99999,5,FALSE)</f>
        <v>MOSES BRADLEY</v>
      </c>
      <c r="M88" s="6">
        <f>I88-F88</f>
        <v>2.7141203703649808E-2</v>
      </c>
      <c r="N88" s="7">
        <f>24*60*SUM($M88:$M88)</f>
        <v>39.083333333255723</v>
      </c>
      <c r="O88" s="7"/>
      <c r="P88" s="7"/>
      <c r="Q88" s="22"/>
      <c r="R88" s="22"/>
      <c r="S88" s="31">
        <f>SUM(U88:U88)/IF(AG88="EC",12,1)</f>
        <v>1</v>
      </c>
      <c r="T88" s="46" t="str">
        <f>IF(ISEVEN(LEFT(AD88,4)),"Southbound","NorthBound")</f>
        <v>Southbound</v>
      </c>
      <c r="U88" s="190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191" t="str">
        <f>"https://d0f6bd738d7f1b3e5a7ca70fe4ff75f0.us-east-1.aws.found.io/app/kibana#/discover/Steve-Slow-Train-Analysis-(2080s-and-2083s)?_g="&amp;"(refreshInterval:(display:Off,pause:!f,section:0,value:0),time:(from:'"&amp;TEXT(E88-1/24,"yyyy-MM-DDThh:mm:ss")&amp;utc_offset&amp;"00"&amp;"',mode:absolute,to:'"&amp;TEXT(I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88&amp;"%22')),sort:!(Time.ISO8601,asc))"</f>
        <v>https://d0f6bd738d7f1b3e5a7ca70fe4ff75f0.us-east-1.aws.found.io/app/kibana#/discover/Steve-Slow-Train-Analysis-(2080s-and-2083s)?_g=(refreshInterval:(display:Off,pause:!f,section:0,value:0),time:(from:'2017-02-07T12:47:28-0700',mode:absolute,to:'2017-02-07T15:35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88" s="192" t="str">
        <f>IF(AA88&lt;IF(AG88="EC",23,5.65),"Y","N")</f>
        <v>N</v>
      </c>
      <c r="X88" s="192">
        <f>VALUE(LEFT(AD88,4))-VALUE(LEFT(AD87,4))</f>
        <v>1</v>
      </c>
      <c r="Y88" s="62">
        <f>RIGHT(D88,LEN(D88)-4)/10000</f>
        <v>23.299099999999999</v>
      </c>
      <c r="Z88" s="62">
        <f>RIGHT(H88,LEN(H88)-4)/10000</f>
        <v>1.43E-2</v>
      </c>
      <c r="AA88" s="62">
        <f>ABS(Z88-Y88)</f>
        <v>23.284800000000001</v>
      </c>
      <c r="AB88" s="59" t="e">
        <f>VLOOKUP(A88,Enforcements!$C$7:$K$14,8,0)</f>
        <v>#N/A</v>
      </c>
      <c r="AC88" s="55" t="e">
        <f>VLOOKUP(A88,Enforcements!$C$7:$E$14,3,0)</f>
        <v>#N/A</v>
      </c>
      <c r="AD88" s="56" t="str">
        <f>IF(LEN(A88)=6,"0"&amp;A88,A88)</f>
        <v>0176-07</v>
      </c>
      <c r="AE88" s="85" t="str">
        <f>"aws s3 cp "&amp;s3_bucket&amp;"/RTDC"&amp;B88&amp;"/ "&amp;search_path&amp;"\RTDC"&amp;B88&amp;"\"&amp;TEXT(F88,"YYYY-MM-DD")&amp;" --exclude ""*"" --recursive --include ""*"&amp;TEXT(F88,"YYYYMMDD")&amp;"*"" &amp; """&amp;walkandungz&amp;""" "&amp;search_path&amp;"\RTDC"&amp;B88&amp;"\"&amp;TEXT(F88,"YYYY-MM-DD")
&amp;" &amp; "&amp;"aws s3 cp "&amp;s3_bucket&amp;"/RTDC"&amp;B88&amp;"/ "&amp;search_path&amp;"\RTDC"&amp;B88&amp;"\"&amp;TEXT(F88+1,"YYYY-MM-DD")&amp;" --exclude ""*"" --recursive --include ""*"&amp;TEXT(F88+1,"YYYYMMDD")&amp;"*"" &amp; """&amp;walkandungz&amp;""" "&amp;search_path&amp;"\RTDC"&amp;B88&amp;"\"&amp;TEXT(F88+1,"YYYY-MM-DD")</f>
        <v>aws s3 cp s3://rtdc.mdm.uploadarchive.raw/RTDC4045/ "%USERPROFILE%\AppData\Local\Temp\OnboardLogs"\RTDC4045\2017-02-07 --exclude "*" --recursive --include "*20170207*" &amp; "%USERPROFILE%\Documents\GitHub\mrs-test-scripts\Headless Mode &amp; Sideloading\WalkAndUnGZ.bat" "%USERPROFILE%\AppData\Local\Temp\OnboardLogs"\RTDC4045\2017-02-07 &amp; aws s3 cp s3://rtdc.mdm.uploadarchive.raw/RTDC4045/ "%USERPROFILE%\AppData\Local\Temp\OnboardLogs"\RTDC4045\2017-02-08 --exclude "*" --recursive --include "*20170208*" &amp; "%USERPROFILE%\Documents\GitHub\mrs-test-scripts\Headless Mode &amp; Sideloading\WalkAndUnGZ.bat" "%USERPROFILE%\AppData\Local\Temp\OnboardLogs"\RTDC4045\2017-02-08</v>
      </c>
      <c r="AF88" s="82" t="str">
        <f>astrogrep_path&amp;" /spath="&amp;search_path&amp;" /stypes=""app*"&amp;B88&amp;"*"&amp;TEXT(I88-utc_offset/24,"YYYYMMDD")&amp;"*"" /stext="" "&amp;TEXT(I88-utc_offset/24,"HH")&amp;search_regexp&amp;""" /e /r /s"</f>
        <v>"C:\Program Files (x86)\AstroGrep\AstroGrep.exe" /spath="%USERPROFILE%\AppData\Local\Temp\OnboardLogs" /stypes="app*4045*20170207*" /stext=" 21:.+((SYSTEM_STATE.+slice.+state.+changed )|(ment ac)|(multiple cpu faults)|(system.+state.+changed )|(\[timeout)|(PRM\|1\|D)|(kpr)|(kdp)|(\|lc)|(penalty))" /e /r /s</v>
      </c>
      <c r="AG88" s="1" t="str">
        <f>IFERROR(IF(VALUE(LEFT(AD88,2))&lt;=2,"EC",IF(OR(VALUE(LEFT(AD88,2))=8,VALUE(LEFT(AD88,2))=18),"NW","Other")),"Other")</f>
        <v>EC</v>
      </c>
      <c r="AH88" s="86" t="str">
        <f t="shared" si="6"/>
        <v>"%USERPROFILE%\Documents\GitHub\eaglep3\Utilities\RefineRTDCRunTimes.py" --tripid 176-07 --locoid 4045 --swversion DE.1.0.8.0 --startMP 204:232991 --initTime 2017-02-07T13:47:28 --startdatetime 2017-02-07T13:56:26 --delay 1 --endMP 204:143 --enddatetime 2017-02-07T14:35:31 --enforcementcount 0 &gt;&gt;C:\Users\stu\Documents\GitHub\eaglep3-reporting\EC\2017-02-07-refined-times.txt</v>
      </c>
      <c r="AI88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{"issue":{"subject":"","project_id":79,"tracker_id":40,"status_id":1,"priority_id":2,"assigned_to_id":23,"start_date":"2017-02-07","description":"","custom_fields":[{"id":1,"name":"Subdivision","value":"EC"},{"id":4,"name":"Milepost","value":"0.0143"},{"id":17,"name":"Train ID","value":"176-07"},{"id":16,"name":"Locomotive ID","value":"4045"},{"id":130,"name":"Impact","value":""},{"id":150,"name":"Time of Event (Mountain Time)","value":"14:35:31"},{"id":151,"name":"Denver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48"/>
      <c r="AK88" s="48"/>
      <c r="AL88" s="48"/>
      <c r="AM88" s="158" t="str">
        <f t="shared" si="8"/>
        <v>start /low /b %USERPROFILE%\Documents\GitHub\eaglep3\Utilities\DownloadLogsFromS3.py --loco 4045 --day 2017-02-07</v>
      </c>
      <c r="AN88" s="167" t="str">
        <f>"grep -SE -B400 ""CHR.+\|PRM\|1\|D.+(SWITCH|SIGNAL).+UNKNOWN"" "&amp;search_path&amp;"\RTDC"&amp;B88&amp;"\*"&amp;B88&amp;"*"&amp;TEXT(AVERAGE(F88,I88)-utc_offset/24,"YYYYMMDD")&amp;"*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"%USERPROFILE%\AppData\Local\Temp\OnboardLogs"\RTDC4045\*4045*20170207* | grep -SE "(Enforcement Action)|(\[TIMEOUT)|(CHR.+\|PRM\|1\|D.+(SWITCH|SIGNAL).+UNKNOWN)" - &gt;&gt; 2017-02-07-UncaughtWiMAX.txt</v>
      </c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20" customFormat="1" x14ac:dyDescent="0.25">
      <c r="A89" s="33" t="s">
        <v>599</v>
      </c>
      <c r="B89" s="7">
        <v>4040</v>
      </c>
      <c r="C89" s="21" t="s">
        <v>193</v>
      </c>
      <c r="D89" s="21" t="s">
        <v>208</v>
      </c>
      <c r="E89" s="13">
        <v>42773.547395833331</v>
      </c>
      <c r="F89" s="13">
        <v>42773.552384259259</v>
      </c>
      <c r="G89" s="7">
        <v>1</v>
      </c>
      <c r="H89" s="21" t="s">
        <v>321</v>
      </c>
      <c r="I89" s="13">
        <v>42773.57739583333</v>
      </c>
      <c r="J89" s="7">
        <v>0</v>
      </c>
      <c r="K89" s="98" t="str">
        <f>IF(ISEVEN(B89),(B89-1)&amp;"/"&amp;B89,B89&amp;"/"&amp;(B89+1))</f>
        <v>4039/4040</v>
      </c>
      <c r="L89" s="21" t="str">
        <f>VLOOKUP(A89,'Trips&amp;Operators'!$C$1:$G$99999,5,FALSE)</f>
        <v>LEVERE CRAIG</v>
      </c>
      <c r="M89" s="6">
        <f>I89-F89</f>
        <v>2.5011574070958886E-2</v>
      </c>
      <c r="N89" s="7">
        <f>24*60*SUM($M89:$M89)</f>
        <v>36.016666662180796</v>
      </c>
      <c r="O89" s="7"/>
      <c r="P89" s="7"/>
      <c r="Q89" s="22"/>
      <c r="R89" s="22"/>
      <c r="S89" s="31">
        <f>SUM(U89:U89)/IF(AG89="EC",12,1)</f>
        <v>1</v>
      </c>
      <c r="T89" s="46" t="str">
        <f>IF(ISEVEN(LEFT(AD89,4)),"Southbound","NorthBound")</f>
        <v>NorthBound</v>
      </c>
      <c r="U89" s="190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191" t="str">
        <f>"https://d0f6bd738d7f1b3e5a7ca70fe4ff75f0.us-east-1.aws.found.io/app/kibana#/discover/Steve-Slow-Train-Analysis-(2080s-and-2083s)?_g="&amp;"(refreshInterval:(display:Off,pause:!f,section:0,value:0),time:(from:'"&amp;TEXT(E89-1/24,"yyyy-MM-DDThh:mm:ss")&amp;utc_offset&amp;"00"&amp;"',mode:absolute,to:'"&amp;TEXT(I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89&amp;"%22')),sort:!(Time.ISO8601,asc))"</f>
        <v>https://d0f6bd738d7f1b3e5a7ca70fe4ff75f0.us-east-1.aws.found.io/app/kibana#/discover/Steve-Slow-Train-Analysis-(2080s-and-2083s)?_g=(refreshInterval:(display:Off,pause:!f,section:0,value:0),time:(from:'2017-02-07T12:08:15-0700',mode:absolute,to:'2017-02-07T14:51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89" s="192" t="str">
        <f>IF(AA89&lt;IF(AG89="EC",23,5.65),"Y","N")</f>
        <v>N</v>
      </c>
      <c r="X89" s="192">
        <f>VALUE(LEFT(AD89,4))-VALUE(LEFT(AD88,4))</f>
        <v>1</v>
      </c>
      <c r="Y89" s="62">
        <f>RIGHT(D89,LEN(D89)-4)/10000</f>
        <v>4.6199999999999998E-2</v>
      </c>
      <c r="Z89" s="62">
        <f>RIGHT(H89,LEN(H89)-4)/10000</f>
        <v>23.330300000000001</v>
      </c>
      <c r="AA89" s="62">
        <f>ABS(Z89-Y89)</f>
        <v>23.284100000000002</v>
      </c>
      <c r="AB89" s="59" t="e">
        <f>VLOOKUP(A89,Enforcements!$C$7:$K$14,8,0)</f>
        <v>#N/A</v>
      </c>
      <c r="AC89" s="55" t="e">
        <f>VLOOKUP(A89,Enforcements!$C$7:$E$14,3,0)</f>
        <v>#N/A</v>
      </c>
      <c r="AD89" s="56" t="str">
        <f>IF(LEN(A89)=6,"0"&amp;A89,A89)</f>
        <v>0177-07</v>
      </c>
      <c r="AE89" s="85" t="str">
        <f>"aws s3 cp "&amp;s3_bucket&amp;"/RTDC"&amp;B89&amp;"/ "&amp;search_path&amp;"\RTDC"&amp;B89&amp;"\"&amp;TEXT(F89,"YYYY-MM-DD")&amp;" --exclude ""*"" --recursive --include ""*"&amp;TEXT(F89,"YYYYMMDD")&amp;"*"" &amp; """&amp;walkandungz&amp;""" "&amp;search_path&amp;"\RTDC"&amp;B89&amp;"\"&amp;TEXT(F89,"YYYY-MM-DD")
&amp;" &amp; "&amp;"aws s3 cp "&amp;s3_bucket&amp;"/RTDC"&amp;B89&amp;"/ "&amp;search_path&amp;"\RTDC"&amp;B89&amp;"\"&amp;TEXT(F89+1,"YYYY-MM-DD")&amp;" --exclude ""*"" --recursive --include ""*"&amp;TEXT(F89+1,"YYYYMMDD")&amp;"*"" &amp; """&amp;walkandungz&amp;""" "&amp;search_path&amp;"\RTDC"&amp;B89&amp;"\"&amp;TEXT(F89+1,"YYYY-MM-DD")</f>
        <v>aws s3 cp s3://rtdc.mdm.uploadarchive.raw/RTDC4040/ "%USERPROFILE%\AppData\Local\Temp\OnboardLogs"\RTDC4040\2017-02-07 --exclude "*" --recursive --include "*20170207*" &amp; "%USERPROFILE%\Documents\GitHub\mrs-test-scripts\Headless Mode &amp; Sideloading\WalkAndUnGZ.bat" "%USERPROFILE%\AppData\Local\Temp\OnboardLogs"\RTDC4040\2017-02-07 &amp; aws s3 cp s3://rtdc.mdm.uploadarchive.raw/RTDC4040/ "%USERPROFILE%\AppData\Local\Temp\OnboardLogs"\RTDC4040\2017-02-08 --exclude "*" --recursive --include "*20170208*" &amp; "%USERPROFILE%\Documents\GitHub\mrs-test-scripts\Headless Mode &amp; Sideloading\WalkAndUnGZ.bat" "%USERPROFILE%\AppData\Local\Temp\OnboardLogs"\RTDC4040\2017-02-08</v>
      </c>
      <c r="AF89" s="82" t="str">
        <f>astrogrep_path&amp;" /spath="&amp;search_path&amp;" /stypes=""app*"&amp;B89&amp;"*"&amp;TEXT(I89-utc_offset/24,"YYYYMMDD")&amp;"*"" /stext="" "&amp;TEXT(I89-utc_offset/24,"HH")&amp;search_regexp&amp;""" /e /r /s"</f>
        <v>"C:\Program Files (x86)\AstroGrep\AstroGrep.exe" /spath="%USERPROFILE%\AppData\Local\Temp\OnboardLogs" /stypes="app*4040*20170207*" /stext=" 20:.+((SYSTEM_STATE.+slice.+state.+changed )|(ment ac)|(multiple cpu faults)|(system.+state.+changed )|(\[timeout)|(PRM\|1\|D)|(kpr)|(kdp)|(\|lc)|(penalty))" /e /r /s</v>
      </c>
      <c r="AG89" s="1" t="str">
        <f>IFERROR(IF(VALUE(LEFT(AD89,2))&lt;=2,"EC",IF(OR(VALUE(LEFT(AD89,2))=8,VALUE(LEFT(AD89,2))=18),"NW","Other")),"Other")</f>
        <v>EC</v>
      </c>
      <c r="AH89" s="86" t="str">
        <f t="shared" si="6"/>
        <v>"%USERPROFILE%\Documents\GitHub\eaglep3\Utilities\RefineRTDCRunTimes.py" --tripid 177-07 --locoid 4040 --swversion DE.1.0.8.0 --startMP 204:462 --initTime 2017-02-07T13:08:15 --startdatetime 2017-02-07T13:15:26 --delay 1 --endMP 204:233303 --enddatetime 2017-02-07T13:51:27 --enforcementcount 0 &gt;&gt;C:\Users\stu\Documents\GitHub\eaglep3-reporting\EC\2017-02-07-refined-times.txt</v>
      </c>
      <c r="AI89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{"issue":{"subject":"","project_id":79,"tracker_id":40,"status_id":1,"priority_id":2,"assigned_to_id":23,"start_date":"2017-02-07","description":"","custom_fields":[{"id":1,"name":"Subdivision","value":"EC"},{"id":4,"name":"Milepost","value":"23.3303"},{"id":17,"name":"Train ID","value":"177-07"},{"id":16,"name":"Locomotive ID","value":"4040"},{"id":130,"name":"Impact","value":""},{"id":150,"name":"Time of Event (Mountain Time)","value":"13:51:27"},{"id":151,"name":"Denver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48"/>
      <c r="AK89" s="48"/>
      <c r="AL89" s="48"/>
      <c r="AM89" s="158" t="str">
        <f t="shared" si="8"/>
        <v>start /low /b %USERPROFILE%\Documents\GitHub\eaglep3\Utilities\DownloadLogsFromS3.py --loco 4040 --day 2017-02-07</v>
      </c>
      <c r="AN89" s="167" t="str">
        <f>"grep -SE -B400 ""CHR.+\|PRM\|1\|D.+(SWITCH|SIGNAL).+UNKNOWN"" "&amp;search_path&amp;"\RTDC"&amp;B89&amp;"\*"&amp;B89&amp;"*"&amp;TEXT(AVERAGE(F89,I89)-utc_offset/24,"YYYYMMDD")&amp;"*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"%USERPROFILE%\AppData\Local\Temp\OnboardLogs"\RTDC4040\*4040*20170207* | grep -SE "(Enforcement Action)|(\[TIMEOUT)|(CHR.+\|PRM\|1\|D.+(SWITCH|SIGNAL).+UNKNOWN)" - &gt;&gt; 2017-02-07-UncaughtWiMAX.txt</v>
      </c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0" customFormat="1" x14ac:dyDescent="0.25">
      <c r="A90" s="33" t="s">
        <v>608</v>
      </c>
      <c r="B90" s="7">
        <v>4039</v>
      </c>
      <c r="C90" s="21" t="s">
        <v>193</v>
      </c>
      <c r="D90" s="21" t="s">
        <v>330</v>
      </c>
      <c r="E90" s="13">
        <v>42773.584675925929</v>
      </c>
      <c r="F90" s="13">
        <v>42773.591365740744</v>
      </c>
      <c r="G90" s="7">
        <v>1</v>
      </c>
      <c r="H90" s="21" t="s">
        <v>380</v>
      </c>
      <c r="I90" s="13">
        <v>42773.618287037039</v>
      </c>
      <c r="J90" s="7">
        <v>0</v>
      </c>
      <c r="K90" s="98" t="str">
        <f>IF(ISEVEN(B90),(B90-1)&amp;"/"&amp;B90,B90&amp;"/"&amp;(B90+1))</f>
        <v>4039/4040</v>
      </c>
      <c r="L90" s="21" t="str">
        <f>VLOOKUP(A90,'Trips&amp;Operators'!$C$1:$G$99999,5,FALSE)</f>
        <v>LEVERE CRAIG</v>
      </c>
      <c r="M90" s="6">
        <f>I90-F90</f>
        <v>2.6921296295768116E-2</v>
      </c>
      <c r="N90" s="7">
        <f>24*60*SUM($M90:$M90)</f>
        <v>38.766666665906087</v>
      </c>
      <c r="O90" s="7"/>
      <c r="P90" s="7"/>
      <c r="Q90" s="22"/>
      <c r="R90" s="22"/>
      <c r="S90" s="31">
        <f>SUM(U90:U90)/IF(AG90="EC",12,1)</f>
        <v>1</v>
      </c>
      <c r="T90" s="46" t="str">
        <f>IF(ISEVEN(LEFT(AD90,4)),"Southbound","NorthBound")</f>
        <v>Southbound</v>
      </c>
      <c r="U90" s="190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191" t="str">
        <f>"https://d0f6bd738d7f1b3e5a7ca70fe4ff75f0.us-east-1.aws.found.io/app/kibana#/discover/Steve-Slow-Train-Analysis-(2080s-and-2083s)?_g="&amp;"(refreshInterval:(display:Off,pause:!f,section:0,value:0),time:(from:'"&amp;TEXT(E90-1/24,"yyyy-MM-DDThh:mm:ss")&amp;utc_offset&amp;"00"&amp;"',mode:absolute,to:'"&amp;TEXT(I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90&amp;"%22')),sort:!(Time.ISO8601,asc))"</f>
        <v>https://d0f6bd738d7f1b3e5a7ca70fe4ff75f0.us-east-1.aws.found.io/app/kibana#/discover/Steve-Slow-Train-Analysis-(2080s-and-2083s)?_g=(refreshInterval:(display:Off,pause:!f,section:0,value:0),time:(from:'2017-02-07T13:01:56-0700',mode:absolute,to:'2017-02-07T15:50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90" s="192" t="str">
        <f>IF(AA90&lt;IF(AG90="EC",23,5.65),"Y","N")</f>
        <v>N</v>
      </c>
      <c r="X90" s="192">
        <f>VALUE(LEFT(AD90,4))-VALUE(LEFT(AD89,4))</f>
        <v>1</v>
      </c>
      <c r="Y90" s="62">
        <f>RIGHT(D90,LEN(D90)-4)/10000</f>
        <v>23.297799999999999</v>
      </c>
      <c r="Z90" s="62">
        <f>RIGHT(H90,LEN(H90)-4)/10000</f>
        <v>1.6299999999999999E-2</v>
      </c>
      <c r="AA90" s="62">
        <f>ABS(Z90-Y90)</f>
        <v>23.281499999999998</v>
      </c>
      <c r="AB90" s="59" t="e">
        <f>VLOOKUP(A90,Enforcements!$C$7:$K$14,8,0)</f>
        <v>#N/A</v>
      </c>
      <c r="AC90" s="55" t="e">
        <f>VLOOKUP(A90,Enforcements!$C$7:$E$14,3,0)</f>
        <v>#N/A</v>
      </c>
      <c r="AD90" s="56" t="str">
        <f>IF(LEN(A90)=6,"0"&amp;A90,A90)</f>
        <v>0178-07</v>
      </c>
      <c r="AE90" s="85" t="str">
        <f>"aws s3 cp "&amp;s3_bucket&amp;"/RTDC"&amp;B90&amp;"/ "&amp;search_path&amp;"\RTDC"&amp;B90&amp;"\"&amp;TEXT(F90,"YYYY-MM-DD")&amp;" --exclude ""*"" --recursive --include ""*"&amp;TEXT(F90,"YYYYMMDD")&amp;"*"" &amp; """&amp;walkandungz&amp;""" "&amp;search_path&amp;"\RTDC"&amp;B90&amp;"\"&amp;TEXT(F90,"YYYY-MM-DD")
&amp;" &amp; "&amp;"aws s3 cp "&amp;s3_bucket&amp;"/RTDC"&amp;B90&amp;"/ "&amp;search_path&amp;"\RTDC"&amp;B90&amp;"\"&amp;TEXT(F90+1,"YYYY-MM-DD")&amp;" --exclude ""*"" --recursive --include ""*"&amp;TEXT(F90+1,"YYYYMMDD")&amp;"*"" &amp; """&amp;walkandungz&amp;""" "&amp;search_path&amp;"\RTDC"&amp;B90&amp;"\"&amp;TEXT(F90+1,"YYYY-MM-DD")</f>
        <v>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 &amp; aws s3 cp s3://rtdc.mdm.uploadarchive.raw/RTDC4039/ "%USERPROFILE%\AppData\Local\Temp\OnboardLogs"\RTDC4039\2017-02-08 --exclude "*" --recursive --include "*20170208*" &amp; "%USERPROFILE%\Documents\GitHub\mrs-test-scripts\Headless Mode &amp; Sideloading\WalkAndUnGZ.bat" "%USERPROFILE%\AppData\Local\Temp\OnboardLogs"\RTDC4039\2017-02-08</v>
      </c>
      <c r="AF90" s="82" t="str">
        <f>astrogrep_path&amp;" /spath="&amp;search_path&amp;" /stypes=""app*"&amp;B90&amp;"*"&amp;TEXT(I90-utc_offset/24,"YYYYMMDD")&amp;"*"" /stext="" "&amp;TEXT(I90-utc_offset/24,"HH")&amp;search_regexp&amp;""" /e /r /s"</f>
        <v>"C:\Program Files (x86)\AstroGrep\AstroGrep.exe" /spath="%USERPROFILE%\AppData\Local\Temp\OnboardLogs" /stypes="app*4039*20170207*" /stext=" 21:.+((SYSTEM_STATE.+slice.+state.+changed )|(ment ac)|(multiple cpu faults)|(system.+state.+changed )|(\[timeout)|(PRM\|1\|D)|(kpr)|(kdp)|(\|lc)|(penalty))" /e /r /s</v>
      </c>
      <c r="AG90" s="1" t="str">
        <f>IFERROR(IF(VALUE(LEFT(AD90,2))&lt;=2,"EC",IF(OR(VALUE(LEFT(AD90,2))=8,VALUE(LEFT(AD90,2))=18),"NW","Other")),"Other")</f>
        <v>EC</v>
      </c>
      <c r="AH90" s="86" t="str">
        <f t="shared" si="6"/>
        <v>"%USERPROFILE%\Documents\GitHub\eaglep3\Utilities\RefineRTDCRunTimes.py" --tripid 178-07 --locoid 4039 --swversion DE.1.0.8.0 --startMP 204:232978 --initTime 2017-02-07T14:01:56 --startdatetime 2017-02-07T14:11:34 --delay 1 --endMP 204:163 --enddatetime 2017-02-07T14:50:20 --enforcementcount 0 &gt;&gt;C:\Users\stu\Documents\GitHub\eaglep3-reporting\EC\2017-02-07-refined-times.txt</v>
      </c>
      <c r="AI90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{"issue":{"subject":"","project_id":79,"tracker_id":40,"status_id":1,"priority_id":2,"assigned_to_id":23,"start_date":"2017-02-07","description":"","custom_fields":[{"id":1,"name":"Subdivision","value":"EC"},{"id":4,"name":"Milepost","value":"0.0163"},{"id":17,"name":"Train ID","value":"178-07"},{"id":16,"name":"Locomotive ID","value":"4039"},{"id":130,"name":"Impact","value":""},{"id":150,"name":"Time of Event (Mountain Time)","value":"14:50:20"},{"id":151,"name":"Denver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48"/>
      <c r="AK90" s="48"/>
      <c r="AL90" s="48"/>
      <c r="AM90" s="158" t="str">
        <f t="shared" si="8"/>
        <v>start /low /b %USERPROFILE%\Documents\GitHub\eaglep3\Utilities\DownloadLogsFromS3.py --loco 4039 --day 2017-02-07</v>
      </c>
      <c r="AN90" s="167" t="str">
        <f>"grep -SE -B400 ""CHR.+\|PRM\|1\|D.+(SWITCH|SIGNAL).+UNKNOWN"" "&amp;search_path&amp;"\RTDC"&amp;B90&amp;"\*"&amp;B90&amp;"*"&amp;TEXT(AVERAGE(F90,I90)-utc_offset/24,"YYYYMMDD")&amp;"*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"%USERPROFILE%\AppData\Local\Temp\OnboardLogs"\RTDC4039\*4039*20170207* | grep -SE "(Enforcement Action)|(\[TIMEOUT)|(CHR.+\|PRM\|1\|D.+(SWITCH|SIGNAL).+UNKNOWN)" - &gt;&gt; 2017-02-07-UncaughtWiMAX.txt</v>
      </c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0" customFormat="1" x14ac:dyDescent="0.25">
      <c r="A91" s="33" t="s">
        <v>602</v>
      </c>
      <c r="B91" s="7">
        <v>4011</v>
      </c>
      <c r="C91" s="21" t="s">
        <v>193</v>
      </c>
      <c r="D91" s="21" t="s">
        <v>221</v>
      </c>
      <c r="E91" s="13">
        <v>42773.556423611109</v>
      </c>
      <c r="F91" s="13">
        <v>42773.562662037039</v>
      </c>
      <c r="G91" s="7">
        <v>1</v>
      </c>
      <c r="H91" s="21" t="s">
        <v>718</v>
      </c>
      <c r="I91" s="13">
        <v>42773.589108796295</v>
      </c>
      <c r="J91" s="7">
        <v>0</v>
      </c>
      <c r="K91" s="98" t="str">
        <f>IF(ISEVEN(B91),(B91-1)&amp;"/"&amp;B91,B91&amp;"/"&amp;(B91+1))</f>
        <v>4011/4012</v>
      </c>
      <c r="L91" s="21" t="str">
        <f>VLOOKUP(A91,'Trips&amp;Operators'!$C$1:$G$99999,5,FALSE)</f>
        <v>CLARK KATHLEEN</v>
      </c>
      <c r="M91" s="6">
        <f>I91-F91</f>
        <v>2.6446759256941732E-2</v>
      </c>
      <c r="N91" s="7">
        <f>24*60*SUM($M91:$M91)</f>
        <v>38.083333329996094</v>
      </c>
      <c r="O91" s="7"/>
      <c r="P91" s="7"/>
      <c r="Q91" s="22"/>
      <c r="R91" s="22"/>
      <c r="S91" s="31">
        <f>SUM(U91:U91)/IF(AG91="EC",12,1)</f>
        <v>1</v>
      </c>
      <c r="T91" s="46" t="str">
        <f>IF(ISEVEN(LEFT(AD91,4)),"Southbound","NorthBound")</f>
        <v>NorthBound</v>
      </c>
      <c r="U91" s="190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191" t="str">
        <f>"https://d0f6bd738d7f1b3e5a7ca70fe4ff75f0.us-east-1.aws.found.io/app/kibana#/discover/Steve-Slow-Train-Analysis-(2080s-and-2083s)?_g="&amp;"(refreshInterval:(display:Off,pause:!f,section:0,value:0),time:(from:'"&amp;TEXT(E91-1/24,"yyyy-MM-DDThh:mm:ss")&amp;utc_offset&amp;"00"&amp;"',mode:absolute,to:'"&amp;TEXT(I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91&amp;"%22')),sort:!(Time.ISO8601,asc))"</f>
        <v>https://d0f6bd738d7f1b3e5a7ca70fe4ff75f0.us-east-1.aws.found.io/app/kibana#/discover/Steve-Slow-Train-Analysis-(2080s-and-2083s)?_g=(refreshInterval:(display:Off,pause:!f,section:0,value:0),time:(from:'2017-02-07T12:21:15-0700',mode:absolute,to:'2017-02-07T15:08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91" s="192" t="str">
        <f>IF(AA91&lt;IF(AG91="EC",23,5.65),"Y","N")</f>
        <v>N</v>
      </c>
      <c r="X91" s="192">
        <f>VALUE(LEFT(AD91,4))-VALUE(LEFT(AD90,4))</f>
        <v>1</v>
      </c>
      <c r="Y91" s="62">
        <f>RIGHT(D91,LEN(D91)-4)/10000</f>
        <v>4.6899999999999997E-2</v>
      </c>
      <c r="Z91" s="62">
        <f>RIGHT(H91,LEN(H91)-4)/10000</f>
        <v>23.331199999999999</v>
      </c>
      <c r="AA91" s="62">
        <f>ABS(Z91-Y91)</f>
        <v>23.284299999999998</v>
      </c>
      <c r="AB91" s="59" t="e">
        <f>VLOOKUP(A91,Enforcements!$C$7:$K$14,8,0)</f>
        <v>#N/A</v>
      </c>
      <c r="AC91" s="55" t="e">
        <f>VLOOKUP(A91,Enforcements!$C$7:$E$14,3,0)</f>
        <v>#N/A</v>
      </c>
      <c r="AD91" s="56" t="str">
        <f>IF(LEN(A91)=6,"0"&amp;A91,A91)</f>
        <v>0179-07</v>
      </c>
      <c r="AE91" s="85" t="str">
        <f>"aws s3 cp "&amp;s3_bucket&amp;"/RTDC"&amp;B91&amp;"/ "&amp;search_path&amp;"\RTDC"&amp;B91&amp;"\"&amp;TEXT(F91,"YYYY-MM-DD")&amp;" --exclude ""*"" --recursive --include ""*"&amp;TEXT(F91,"YYYYMMDD")&amp;"*"" &amp; """&amp;walkandungz&amp;""" "&amp;search_path&amp;"\RTDC"&amp;B91&amp;"\"&amp;TEXT(F91,"YYYY-MM-DD")
&amp;" &amp; "&amp;"aws s3 cp "&amp;s3_bucket&amp;"/RTDC"&amp;B91&amp;"/ "&amp;search_path&amp;"\RTDC"&amp;B91&amp;"\"&amp;TEXT(F91+1,"YYYY-MM-DD")&amp;" --exclude ""*"" --recursive --include ""*"&amp;TEXT(F91+1,"YYYYMMDD")&amp;"*"" &amp; """&amp;walkandungz&amp;""" "&amp;search_path&amp;"\RTDC"&amp;B91&amp;"\"&amp;TEXT(F91+1,"YYYY-MM-DD")</f>
        <v>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 &amp; aws s3 cp s3://rtdc.mdm.uploadarchive.raw/RTDC4011/ "%USERPROFILE%\AppData\Local\Temp\OnboardLogs"\RTDC4011\2017-02-08 --exclude "*" --recursive --include "*20170208*" &amp; "%USERPROFILE%\Documents\GitHub\mrs-test-scripts\Headless Mode &amp; Sideloading\WalkAndUnGZ.bat" "%USERPROFILE%\AppData\Local\Temp\OnboardLogs"\RTDC4011\2017-02-08</v>
      </c>
      <c r="AF91" s="82" t="str">
        <f>astrogrep_path&amp;" /spath="&amp;search_path&amp;" /stypes=""app*"&amp;B91&amp;"*"&amp;TEXT(I91-utc_offset/24,"YYYYMMDD")&amp;"*"" /stext="" "&amp;TEXT(I91-utc_offset/24,"HH")&amp;search_regexp&amp;""" /e /r /s"</f>
        <v>"C:\Program Files (x86)\AstroGrep\AstroGrep.exe" /spath="%USERPROFILE%\AppData\Local\Temp\OnboardLogs" /stypes="app*4011*20170207*" /stext=" 21:.+((SYSTEM_STATE.+slice.+state.+changed )|(ment ac)|(multiple cpu faults)|(system.+state.+changed )|(\[timeout)|(PRM\|1\|D)|(kpr)|(kdp)|(\|lc)|(penalty))" /e /r /s</v>
      </c>
      <c r="AG91" s="1" t="str">
        <f>IFERROR(IF(VALUE(LEFT(AD91,2))&lt;=2,"EC",IF(OR(VALUE(LEFT(AD91,2))=8,VALUE(LEFT(AD91,2))=18),"NW","Other")),"Other")</f>
        <v>EC</v>
      </c>
      <c r="AH91" s="86" t="str">
        <f t="shared" si="6"/>
        <v>"%USERPROFILE%\Documents\GitHub\eaglep3\Utilities\RefineRTDCRunTimes.py" --tripid 179-07 --locoid 4011 --swversion DE.1.0.8.0 --startMP 204:469 --initTime 2017-02-07T13:21:15 --startdatetime 2017-02-07T13:30:14 --delay 1 --endMP 204:233312 --enddatetime 2017-02-07T14:08:19 --enforcementcount 0 &gt;&gt;C:\Users\stu\Documents\GitHub\eaglep3-reporting\EC\2017-02-07-refined-times.txt</v>
      </c>
      <c r="AI91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{"issue":{"subject":"","project_id":79,"tracker_id":40,"status_id":1,"priority_id":2,"assigned_to_id":23,"start_date":"2017-02-07","description":"","custom_fields":[{"id":1,"name":"Subdivision","value":"EC"},{"id":4,"name":"Milepost","value":"23.3312"},{"id":17,"name":"Train ID","value":"179-07"},{"id":16,"name":"Locomotive ID","value":"4011"},{"id":130,"name":"Impact","value":""},{"id":150,"name":"Time of Event (Mountain Time)","value":"14:08:19"},{"id":151,"name":"Denver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48"/>
      <c r="AK91" s="48"/>
      <c r="AL91" s="48"/>
      <c r="AM91" s="158" t="str">
        <f t="shared" si="8"/>
        <v>start /low /b %USERPROFILE%\Documents\GitHub\eaglep3\Utilities\DownloadLogsFromS3.py --loco 4011 --day 2017-02-07</v>
      </c>
      <c r="AN91" s="167" t="str">
        <f>"grep -SE -B400 ""CHR.+\|PRM\|1\|D.+(SWITCH|SIGNAL).+UNKNOWN"" "&amp;search_path&amp;"\RTDC"&amp;B91&amp;"\*"&amp;B91&amp;"*"&amp;TEXT(AVERAGE(F91,I91)-utc_offset/24,"YYYYMMDD")&amp;"*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"%USERPROFILE%\AppData\Local\Temp\OnboardLogs"\RTDC4011\*4011*20170207* | grep -SE "(Enforcement Action)|(\[TIMEOUT)|(CHR.+\|PRM\|1\|D.+(SWITCH|SIGNAL).+UNKNOWN)" - &gt;&gt; 2017-02-07-UncaughtWiMAX.txt</v>
      </c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0" customFormat="1" x14ac:dyDescent="0.25">
      <c r="A92" s="33" t="s">
        <v>613</v>
      </c>
      <c r="B92" s="7">
        <v>4012</v>
      </c>
      <c r="C92" s="21" t="s">
        <v>193</v>
      </c>
      <c r="D92" s="21" t="s">
        <v>313</v>
      </c>
      <c r="E92" s="13">
        <v>42773.596365740741</v>
      </c>
      <c r="F92" s="13">
        <v>42773.601574074077</v>
      </c>
      <c r="G92" s="7">
        <v>1</v>
      </c>
      <c r="H92" s="21" t="s">
        <v>746</v>
      </c>
      <c r="I92" s="13">
        <v>42773.629317129627</v>
      </c>
      <c r="J92" s="7">
        <v>0</v>
      </c>
      <c r="K92" s="98" t="str">
        <f>IF(ISEVEN(B92),(B92-1)&amp;"/"&amp;B92,B92&amp;"/"&amp;(B92+1))</f>
        <v>4011/4012</v>
      </c>
      <c r="L92" s="21" t="str">
        <f>VLOOKUP(A92,'Trips&amp;Operators'!$C$1:$G$99999,5,FALSE)</f>
        <v>CLARK KATHLEEN</v>
      </c>
      <c r="M92" s="6">
        <f>I92-F92</f>
        <v>2.774305555067258E-2</v>
      </c>
      <c r="N92" s="7">
        <f>24*60*SUM($M92:$M92)</f>
        <v>39.949999992968515</v>
      </c>
      <c r="O92" s="7"/>
      <c r="P92" s="7"/>
      <c r="Q92" s="22"/>
      <c r="R92" s="22"/>
      <c r="S92" s="31">
        <f>SUM(U92:U92)/IF(AG92="EC",12,1)</f>
        <v>1</v>
      </c>
      <c r="T92" s="46" t="str">
        <f>IF(ISEVEN(LEFT(AD92,4)),"Southbound","NorthBound")</f>
        <v>Southbound</v>
      </c>
      <c r="U92" s="190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191" t="str">
        <f>"https://d0f6bd738d7f1b3e5a7ca70fe4ff75f0.us-east-1.aws.found.io/app/kibana#/discover/Steve-Slow-Train-Analysis-(2080s-and-2083s)?_g="&amp;"(refreshInterval:(display:Off,pause:!f,section:0,value:0),time:(from:'"&amp;TEXT(E92-1/24,"yyyy-MM-DDThh:mm:ss")&amp;utc_offset&amp;"00"&amp;"',mode:absolute,to:'"&amp;TEXT(I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92&amp;"%22')),sort:!(Time.ISO8601,asc))"</f>
        <v>https://d0f6bd738d7f1b3e5a7ca70fe4ff75f0.us-east-1.aws.found.io/app/kibana#/discover/Steve-Slow-Train-Analysis-(2080s-and-2083s)?_g=(refreshInterval:(display:Off,pause:!f,section:0,value:0),time:(from:'2017-02-07T13:18:46-0700',mode:absolute,to:'2017-02-07T16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92" s="192" t="str">
        <f>IF(AA92&lt;IF(AG92="EC",23,5.65),"Y","N")</f>
        <v>N</v>
      </c>
      <c r="X92" s="192">
        <f>VALUE(LEFT(AD92,4))-VALUE(LEFT(AD91,4))</f>
        <v>1</v>
      </c>
      <c r="Y92" s="62">
        <f>RIGHT(D92,LEN(D92)-4)/10000</f>
        <v>23.299299999999999</v>
      </c>
      <c r="Z92" s="62">
        <f>RIGHT(H92,LEN(H92)-4)/10000</f>
        <v>1.83E-2</v>
      </c>
      <c r="AA92" s="62">
        <f>ABS(Z92-Y92)</f>
        <v>23.280999999999999</v>
      </c>
      <c r="AB92" s="59" t="e">
        <f>VLOOKUP(A92,Enforcements!$C$7:$K$14,8,0)</f>
        <v>#N/A</v>
      </c>
      <c r="AC92" s="55" t="e">
        <f>VLOOKUP(A92,Enforcements!$C$7:$E$14,3,0)</f>
        <v>#N/A</v>
      </c>
      <c r="AD92" s="56" t="str">
        <f>IF(LEN(A92)=6,"0"&amp;A92,A92)</f>
        <v>0180-07</v>
      </c>
      <c r="AE92" s="85" t="str">
        <f>"aws s3 cp "&amp;s3_bucket&amp;"/RTDC"&amp;B92&amp;"/ "&amp;search_path&amp;"\RTDC"&amp;B92&amp;"\"&amp;TEXT(F92,"YYYY-MM-DD")&amp;" --exclude ""*"" --recursive --include ""*"&amp;TEXT(F92,"YYYYMMDD")&amp;"*"" &amp; """&amp;walkandungz&amp;""" "&amp;search_path&amp;"\RTDC"&amp;B92&amp;"\"&amp;TEXT(F92,"YYYY-MM-DD")
&amp;" &amp; "&amp;"aws s3 cp "&amp;s3_bucket&amp;"/RTDC"&amp;B92&amp;"/ "&amp;search_path&amp;"\RTDC"&amp;B92&amp;"\"&amp;TEXT(F92+1,"YYYY-MM-DD")&amp;" --exclude ""*"" --recursive --include ""*"&amp;TEXT(F92+1,"YYYYMMDD")&amp;"*"" &amp; """&amp;walkandungz&amp;""" "&amp;search_path&amp;"\RTDC"&amp;B92&amp;"\"&amp;TEXT(F92+1,"YYYY-MM-DD")</f>
        <v>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 &amp; aws s3 cp s3://rtdc.mdm.uploadarchive.raw/RTDC4012/ "%USERPROFILE%\AppData\Local\Temp\OnboardLogs"\RTDC4012\2017-02-08 --exclude "*" --recursive --include "*20170208*" &amp; "%USERPROFILE%\Documents\GitHub\mrs-test-scripts\Headless Mode &amp; Sideloading\WalkAndUnGZ.bat" "%USERPROFILE%\AppData\Local\Temp\OnboardLogs"\RTDC4012\2017-02-08</v>
      </c>
      <c r="AF92" s="82" t="str">
        <f>astrogrep_path&amp;" /spath="&amp;search_path&amp;" /stypes=""app*"&amp;B92&amp;"*"&amp;TEXT(I92-utc_offset/24,"YYYYMMDD")&amp;"*"" /stext="" "&amp;TEXT(I92-utc_offset/24,"HH")&amp;search_regexp&amp;""" /e /r /s"</f>
        <v>"C:\Program Files (x86)\AstroGrep\AstroGrep.exe" /spath="%USERPROFILE%\AppData\Local\Temp\OnboardLogs" /stypes="app*4012*20170207*" /stext=" 22:.+((SYSTEM_STATE.+slice.+state.+changed )|(ment ac)|(multiple cpu faults)|(system.+state.+changed )|(\[timeout)|(PRM\|1\|D)|(kpr)|(kdp)|(\|lc)|(penalty))" /e /r /s</v>
      </c>
      <c r="AG92" s="1" t="str">
        <f>IFERROR(IF(VALUE(LEFT(AD92,2))&lt;=2,"EC",IF(OR(VALUE(LEFT(AD92,2))=8,VALUE(LEFT(AD92,2))=18),"NW","Other")),"Other")</f>
        <v>EC</v>
      </c>
      <c r="AH92" s="86" t="str">
        <f t="shared" si="6"/>
        <v>"%USERPROFILE%\Documents\GitHub\eaglep3\Utilities\RefineRTDCRunTimes.py" --tripid 180-07 --locoid 4012 --swversion DE.1.0.8.0 --startMP 204:232993 --initTime 2017-02-07T14:18:46 --startdatetime 2017-02-07T14:26:16 --delay 1 --endMP 204:183 --enddatetime 2017-02-07T15:06:13 --enforcementcount 0 &gt;&gt;C:\Users\stu\Documents\GitHub\eaglep3-reporting\EC\2017-02-07-refined-times.txt</v>
      </c>
      <c r="AI92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{"issue":{"subject":"","project_id":79,"tracker_id":40,"status_id":1,"priority_id":2,"assigned_to_id":23,"start_date":"2017-02-07","description":"","custom_fields":[{"id":1,"name":"Subdivision","value":"EC"},{"id":4,"name":"Milepost","value":"0.0183"},{"id":17,"name":"Train ID","value":"180-07"},{"id":16,"name":"Locomotive ID","value":"4012"},{"id":130,"name":"Impact","value":""},{"id":150,"name":"Time of Event (Mountain Time)","value":"15:06:13"},{"id":151,"name":"Denver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48"/>
      <c r="AK92" s="48"/>
      <c r="AL92" s="48"/>
      <c r="AM92" s="158" t="str">
        <f t="shared" si="8"/>
        <v>start /low /b %USERPROFILE%\Documents\GitHub\eaglep3\Utilities\DownloadLogsFromS3.py --loco 4012 --day 2017-02-07</v>
      </c>
      <c r="AN92" s="167" t="str">
        <f>"grep -SE -B400 ""CHR.+\|PRM\|1\|D.+(SWITCH|SIGNAL).+UNKNOWN"" "&amp;search_path&amp;"\RTDC"&amp;B92&amp;"\*"&amp;B92&amp;"*"&amp;TEXT(AVERAGE(F92,I92)-utc_offset/24,"YYYYMMDD")&amp;"*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"%USERPROFILE%\AppData\Local\Temp\OnboardLogs"\RTDC4012\*4012*20170207* | grep -SE "(Enforcement Action)|(\[TIMEOUT)|(CHR.+\|PRM\|1\|D.+(SWITCH|SIGNAL).+UNKNOWN)" - &gt;&gt; 2017-02-07-UncaughtWiMAX.txt</v>
      </c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0" customFormat="1" x14ac:dyDescent="0.25">
      <c r="A93" s="33" t="s">
        <v>604</v>
      </c>
      <c r="B93" s="7">
        <v>4002</v>
      </c>
      <c r="C93" s="21" t="s">
        <v>193</v>
      </c>
      <c r="D93" s="21" t="s">
        <v>242</v>
      </c>
      <c r="E93" s="13">
        <v>42773.567916666667</v>
      </c>
      <c r="F93" s="13">
        <v>42773.573067129626</v>
      </c>
      <c r="G93" s="7">
        <v>2</v>
      </c>
      <c r="H93" s="21" t="s">
        <v>335</v>
      </c>
      <c r="I93" s="13">
        <v>42773.599212962959</v>
      </c>
      <c r="J93" s="7">
        <v>0</v>
      </c>
      <c r="K93" s="98" t="str">
        <f>IF(ISEVEN(B93),(B93-1)&amp;"/"&amp;B93,B93&amp;"/"&amp;(B93+1))</f>
        <v>4001/4002</v>
      </c>
      <c r="L93" s="21" t="str">
        <f>VLOOKUP(A93,'Trips&amp;Operators'!$C$1:$G$99999,5,FALSE)</f>
        <v>BERLING GARY</v>
      </c>
      <c r="M93" s="6">
        <f>I93-F93</f>
        <v>2.6145833333430346E-2</v>
      </c>
      <c r="N93" s="7">
        <f>24*60*SUM($M93:$M93)</f>
        <v>37.650000000139698</v>
      </c>
      <c r="O93" s="7"/>
      <c r="P93" s="7"/>
      <c r="Q93" s="22"/>
      <c r="R93" s="22"/>
      <c r="S93" s="31">
        <f>SUM(U93:U93)/IF(AG93="EC",12,1)</f>
        <v>1</v>
      </c>
      <c r="T93" s="46" t="str">
        <f>IF(ISEVEN(LEFT(AD93,4)),"Southbound","NorthBound")</f>
        <v>NorthBound</v>
      </c>
      <c r="U93" s="190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191" t="str">
        <f>"https://d0f6bd738d7f1b3e5a7ca70fe4ff75f0.us-east-1.aws.found.io/app/kibana#/discover/Steve-Slow-Train-Analysis-(2080s-and-2083s)?_g="&amp;"(refreshInterval:(display:Off,pause:!f,section:0,value:0),time:(from:'"&amp;TEXT(E93-1/24,"yyyy-MM-DDThh:mm:ss")&amp;utc_offset&amp;"00"&amp;"',mode:absolute,to:'"&amp;TEXT(I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93&amp;"%22')),sort:!(Time.ISO8601,asc))"</f>
        <v>https://d0f6bd738d7f1b3e5a7ca70fe4ff75f0.us-east-1.aws.found.io/app/kibana#/discover/Steve-Slow-Train-Analysis-(2080s-and-2083s)?_g=(refreshInterval:(display:Off,pause:!f,section:0,value:0),time:(from:'2017-02-07T12:37:48-0700',mode:absolute,to:'2017-02-07T15:22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93" s="192" t="str">
        <f>IF(AA93&lt;IF(AG93="EC",23,5.65),"Y","N")</f>
        <v>N</v>
      </c>
      <c r="X93" s="192">
        <f>VALUE(LEFT(AD93,4))-VALUE(LEFT(AD92,4))</f>
        <v>1</v>
      </c>
      <c r="Y93" s="62">
        <f>RIGHT(D93,LEN(D93)-4)/10000</f>
        <v>4.5999999999999999E-2</v>
      </c>
      <c r="Z93" s="62">
        <f>RIGHT(H93,LEN(H93)-4)/10000</f>
        <v>23.328900000000001</v>
      </c>
      <c r="AA93" s="62">
        <f>ABS(Z93-Y93)</f>
        <v>23.282900000000001</v>
      </c>
      <c r="AB93" s="59" t="e">
        <f>VLOOKUP(A93,Enforcements!$C$7:$K$14,8,0)</f>
        <v>#N/A</v>
      </c>
      <c r="AC93" s="55" t="e">
        <f>VLOOKUP(A93,Enforcements!$C$7:$E$14,3,0)</f>
        <v>#N/A</v>
      </c>
      <c r="AD93" s="56" t="str">
        <f>IF(LEN(A93)=6,"0"&amp;A93,A93)</f>
        <v>0181-07</v>
      </c>
      <c r="AE93" s="85" t="str">
        <f>"aws s3 cp "&amp;s3_bucket&amp;"/RTDC"&amp;B93&amp;"/ "&amp;search_path&amp;"\RTDC"&amp;B93&amp;"\"&amp;TEXT(F93,"YYYY-MM-DD")&amp;" --exclude ""*"" --recursive --include ""*"&amp;TEXT(F93,"YYYYMMDD")&amp;"*"" &amp; """&amp;walkandungz&amp;""" "&amp;search_path&amp;"\RTDC"&amp;B93&amp;"\"&amp;TEXT(F93,"YYYY-MM-DD")
&amp;" &amp; "&amp;"aws s3 cp "&amp;s3_bucket&amp;"/RTDC"&amp;B93&amp;"/ "&amp;search_path&amp;"\RTDC"&amp;B93&amp;"\"&amp;TEXT(F93+1,"YYYY-MM-DD")&amp;" --exclude ""*"" --recursive --include ""*"&amp;TEXT(F93+1,"YYYYMMDD")&amp;"*"" &amp; """&amp;walkandungz&amp;""" "&amp;search_path&amp;"\RTDC"&amp;B93&amp;"\"&amp;TEXT(F93+1,"YYYY-MM-DD")</f>
        <v>aws s3 cp s3://rtdc.mdm.uploadarchive.raw/RTDC4002/ "%USERPROFILE%\AppData\Local\Temp\OnboardLogs"\RTDC4002\2017-02-07 --exclude "*" --recursive --include "*20170207*" &amp; "%USERPROFILE%\Documents\GitHub\mrs-test-scripts\Headless Mode &amp; Sideloading\WalkAndUnGZ.bat" "%USERPROFILE%\AppData\Local\Temp\OnboardLogs"\RTDC4002\2017-02-07 &amp; aws s3 cp s3://rtdc.mdm.uploadarchive.raw/RTDC4002/ "%USERPROFILE%\AppData\Local\Temp\OnboardLogs"\RTDC4002\2017-02-08 --exclude "*" --recursive --include "*20170208*" &amp; "%USERPROFILE%\Documents\GitHub\mrs-test-scripts\Headless Mode &amp; Sideloading\WalkAndUnGZ.bat" "%USERPROFILE%\AppData\Local\Temp\OnboardLogs"\RTDC4002\2017-02-08</v>
      </c>
      <c r="AF93" s="82" t="str">
        <f>astrogrep_path&amp;" /spath="&amp;search_path&amp;" /stypes=""app*"&amp;B93&amp;"*"&amp;TEXT(I93-utc_offset/24,"YYYYMMDD")&amp;"*"" /stext="" "&amp;TEXT(I93-utc_offset/24,"HH")&amp;search_regexp&amp;""" /e /r /s"</f>
        <v>"C:\Program Files (x86)\AstroGrep\AstroGrep.exe" /spath="%USERPROFILE%\AppData\Local\Temp\OnboardLogs" /stypes="app*4002*20170207*" /stext=" 21:.+((SYSTEM_STATE.+slice.+state.+changed )|(ment ac)|(multiple cpu faults)|(system.+state.+changed )|(\[timeout)|(PRM\|1\|D)|(kpr)|(kdp)|(\|lc)|(penalty))" /e /r /s</v>
      </c>
      <c r="AG93" s="1" t="str">
        <f>IFERROR(IF(VALUE(LEFT(AD93,2))&lt;=2,"EC",IF(OR(VALUE(LEFT(AD93,2))=8,VALUE(LEFT(AD93,2))=18),"NW","Other")),"Other")</f>
        <v>EC</v>
      </c>
      <c r="AH93" s="86" t="str">
        <f t="shared" si="6"/>
        <v>"%USERPROFILE%\Documents\GitHub\eaglep3\Utilities\RefineRTDCRunTimes.py" --tripid 181-07 --locoid 4002 --swversion DE.1.0.8.0 --startMP 204:460 --initTime 2017-02-07T13:37:48 --startdatetime 2017-02-07T13:45:13 --delay 2 --endMP 204:233289 --enddatetime 2017-02-07T14:22:52 --enforcementcount 0 &gt;&gt;C:\Users\stu\Documents\GitHub\eaglep3-reporting\EC\2017-02-07-refined-times.txt</v>
      </c>
      <c r="AI93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{"issue":{"subject":"","project_id":79,"tracker_id":40,"status_id":1,"priority_id":2,"assigned_to_id":23,"start_date":"2017-02-07","description":"","custom_fields":[{"id":1,"name":"Subdivision","value":"EC"},{"id":4,"name":"Milepost","value":"23.3289"},{"id":17,"name":"Train ID","value":"181-07"},{"id":16,"name":"Locomotive ID","value":"4002"},{"id":130,"name":"Impact","value":""},{"id":150,"name":"Time of Event (Mountain Time)","value":"14:22:52"},{"id":151,"name":"Denver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48"/>
      <c r="AK93" s="48"/>
      <c r="AL93" s="48"/>
      <c r="AM93" s="158" t="str">
        <f t="shared" si="8"/>
        <v>start /low /b %USERPROFILE%\Documents\GitHub\eaglep3\Utilities\DownloadLogsFromS3.py --loco 4002 --day 2017-02-07</v>
      </c>
      <c r="AN93" s="167" t="str">
        <f>"grep -SE -B400 ""CHR.+\|PRM\|1\|D.+(SWITCH|SIGNAL).+UNKNOWN"" "&amp;search_path&amp;"\RTDC"&amp;B93&amp;"\*"&amp;B93&amp;"*"&amp;TEXT(AVERAGE(F93,I93)-utc_offset/24,"YYYYMMDD")&amp;"*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"%USERPROFILE%\AppData\Local\Temp\OnboardLogs"\RTDC4002\*4002*20170207* | grep -SE "(Enforcement Action)|(\[TIMEOUT)|(CHR.+\|PRM\|1\|D.+(SWITCH|SIGNAL).+UNKNOWN)" - &gt;&gt; 2017-02-07-UncaughtWiMAX.txt</v>
      </c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3" t="s">
        <v>478</v>
      </c>
      <c r="B94" s="7">
        <v>4001</v>
      </c>
      <c r="C94" s="21" t="s">
        <v>193</v>
      </c>
      <c r="D94" s="21" t="s">
        <v>317</v>
      </c>
      <c r="E94" s="13">
        <v>42773.605497685188</v>
      </c>
      <c r="F94" s="13">
        <v>42773.612164351849</v>
      </c>
      <c r="G94" s="7">
        <v>1</v>
      </c>
      <c r="H94" s="21" t="s">
        <v>747</v>
      </c>
      <c r="I94" s="13">
        <v>42773.638842592591</v>
      </c>
      <c r="J94" s="7">
        <v>0</v>
      </c>
      <c r="K94" s="98" t="str">
        <f>IF(ISEVEN(B94),(B94-1)&amp;"/"&amp;B94,B94&amp;"/"&amp;(B94+1))</f>
        <v>4001/4002</v>
      </c>
      <c r="L94" s="21" t="str">
        <f>VLOOKUP(A94,'Trips&amp;Operators'!$C$1:$G$99999,5,FALSE)</f>
        <v>BERLING GARY</v>
      </c>
      <c r="M94" s="6">
        <f>I94-F94</f>
        <v>2.6678240741603076E-2</v>
      </c>
      <c r="N94" s="7">
        <f>24*60*SUM($M94:$M94)</f>
        <v>38.41666666790843</v>
      </c>
      <c r="O94" s="7"/>
      <c r="P94" s="7"/>
      <c r="Q94" s="22"/>
      <c r="R94" s="22"/>
      <c r="S94" s="31">
        <f>SUM(U94:U94)/IF(AG94="EC",12,1)</f>
        <v>1</v>
      </c>
      <c r="T94" s="46" t="str">
        <f>IF(ISEVEN(LEFT(AD94,4)),"Southbound","NorthBound")</f>
        <v>Southbound</v>
      </c>
      <c r="U94" s="190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191" t="str">
        <f>"https://d0f6bd738d7f1b3e5a7ca70fe4ff75f0.us-east-1.aws.found.io/app/kibana#/discover/Steve-Slow-Train-Analysis-(2080s-and-2083s)?_g="&amp;"(refreshInterval:(display:Off,pause:!f,section:0,value:0),time:(from:'"&amp;TEXT(E94-1/24,"yyyy-MM-DDThh:mm:ss")&amp;utc_offset&amp;"00"&amp;"',mode:absolute,to:'"&amp;TEXT(I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94&amp;"%22')),sort:!(Time.ISO8601,asc))"</f>
        <v>https://d0f6bd738d7f1b3e5a7ca70fe4ff75f0.us-east-1.aws.found.io/app/kibana#/discover/Steve-Slow-Train-Analysis-(2080s-and-2083s)?_g=(refreshInterval:(display:Off,pause:!f,section:0,value:0),time:(from:'2017-02-07T13:31:55-0700',mode:absolute,to:'2017-02-07T16:19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94" s="192" t="str">
        <f>IF(AA94&lt;IF(AG94="EC",23,5.65),"Y","N")</f>
        <v>N</v>
      </c>
      <c r="X94" s="192">
        <f>VALUE(LEFT(AD94,4))-VALUE(LEFT(AD93,4))</f>
        <v>1</v>
      </c>
      <c r="Y94" s="62">
        <f>RIGHT(D94,LEN(D94)-4)/10000</f>
        <v>23.297699999999999</v>
      </c>
      <c r="Z94" s="62">
        <f>RIGHT(H94,LEN(H94)-4)/10000</f>
        <v>1.72E-2</v>
      </c>
      <c r="AA94" s="62">
        <f>ABS(Z94-Y94)</f>
        <v>23.2805</v>
      </c>
      <c r="AB94" s="59" t="e">
        <f>VLOOKUP(A94,Enforcements!$C$7:$K$14,8,0)</f>
        <v>#N/A</v>
      </c>
      <c r="AC94" s="55" t="e">
        <f>VLOOKUP(A94,Enforcements!$C$7:$E$14,3,0)</f>
        <v>#N/A</v>
      </c>
      <c r="AD94" s="56" t="str">
        <f>IF(LEN(A94)=6,"0"&amp;A94,A94)</f>
        <v>0182-07</v>
      </c>
      <c r="AE94" s="85" t="str">
        <f>"aws s3 cp "&amp;s3_bucket&amp;"/RTDC"&amp;B94&amp;"/ "&amp;search_path&amp;"\RTDC"&amp;B94&amp;"\"&amp;TEXT(F94,"YYYY-MM-DD")&amp;" --exclude ""*"" --recursive --include ""*"&amp;TEXT(F94,"YYYYMMDD")&amp;"*"" &amp; """&amp;walkandungz&amp;""" "&amp;search_path&amp;"\RTDC"&amp;B94&amp;"\"&amp;TEXT(F94,"YYYY-MM-DD")
&amp;" &amp; "&amp;"aws s3 cp "&amp;s3_bucket&amp;"/RTDC"&amp;B94&amp;"/ "&amp;search_path&amp;"\RTDC"&amp;B94&amp;"\"&amp;TEXT(F94+1,"YYYY-MM-DD")&amp;" --exclude ""*"" --recursive --include ""*"&amp;TEXT(F94+1,"YYYYMMDD")&amp;"*"" &amp; """&amp;walkandungz&amp;""" "&amp;search_path&amp;"\RTDC"&amp;B94&amp;"\"&amp;TEXT(F94+1,"YYYY-MM-DD")</f>
        <v>aws s3 cp s3://rtdc.mdm.uploadarchive.raw/RTDC4001/ "%USERPROFILE%\AppData\Local\Temp\OnboardLogs"\RTDC4001\2017-02-07 --exclude "*" --recursive --include "*20170207*" &amp; "%USERPROFILE%\Documents\GitHub\mrs-test-scripts\Headless Mode &amp; Sideloading\WalkAndUnGZ.bat" "%USERPROFILE%\AppData\Local\Temp\OnboardLogs"\RTDC4001\2017-02-07 &amp; aws s3 cp s3://rtdc.mdm.uploadarchive.raw/RTDC4001/ "%USERPROFILE%\AppData\Local\Temp\OnboardLogs"\RTDC4001\2017-02-08 --exclude "*" --recursive --include "*20170208*" &amp; "%USERPROFILE%\Documents\GitHub\mrs-test-scripts\Headless Mode &amp; Sideloading\WalkAndUnGZ.bat" "%USERPROFILE%\AppData\Local\Temp\OnboardLogs"\RTDC4001\2017-02-08</v>
      </c>
      <c r="AF94" s="82" t="str">
        <f>astrogrep_path&amp;" /spath="&amp;search_path&amp;" /stypes=""app*"&amp;B94&amp;"*"&amp;TEXT(I94-utc_offset/24,"YYYYMMDD")&amp;"*"" /stext="" "&amp;TEXT(I94-utc_offset/24,"HH")&amp;search_regexp&amp;""" /e /r /s"</f>
        <v>"C:\Program Files (x86)\AstroGrep\AstroGrep.exe" /spath="%USERPROFILE%\AppData\Local\Temp\OnboardLogs" /stypes="app*4001*20170207*" /stext=" 22:.+((SYSTEM_STATE.+slice.+state.+changed )|(ment ac)|(multiple cpu faults)|(system.+state.+changed )|(\[timeout)|(PRM\|1\|D)|(kpr)|(kdp)|(\|lc)|(penalty))" /e /r /s</v>
      </c>
      <c r="AG94" s="1" t="str">
        <f>IFERROR(IF(VALUE(LEFT(AD94,2))&lt;=2,"EC",IF(OR(VALUE(LEFT(AD94,2))=8,VALUE(LEFT(AD94,2))=18),"NW","Other")),"Other")</f>
        <v>EC</v>
      </c>
      <c r="AH94" s="86" t="str">
        <f t="shared" si="6"/>
        <v>"%USERPROFILE%\Documents\GitHub\eaglep3\Utilities\RefineRTDCRunTimes.py" --tripid 182-07 --locoid 4001 --swversion DE.1.0.8.0 --startMP 204:232977 --initTime 2017-02-07T14:31:55 --startdatetime 2017-02-07T14:41:31 --delay 1 --endMP 204:172 --enddatetime 2017-02-07T15:19:56 --enforcementcount 0 &gt;&gt;C:\Users\stu\Documents\GitHub\eaglep3-reporting\EC\2017-02-07-refined-times.txt</v>
      </c>
      <c r="AI94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{"issue":{"subject":"","project_id":79,"tracker_id":40,"status_id":1,"priority_id":2,"assigned_to_id":23,"start_date":"2017-02-07","description":"","custom_fields":[{"id":1,"name":"Subdivision","value":"EC"},{"id":4,"name":"Milepost","value":"0.0172"},{"id":17,"name":"Train ID","value":"182-07"},{"id":16,"name":"Locomotive ID","value":"4001"},{"id":130,"name":"Impact","value":""},{"id":150,"name":"Time of Event (Mountain Time)","value":"15:19:56"},{"id":151,"name":"Denver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48"/>
      <c r="AK94" s="48"/>
      <c r="AL94" s="48"/>
      <c r="AM94" s="158" t="str">
        <f t="shared" si="8"/>
        <v>start /low /b %USERPROFILE%\Documents\GitHub\eaglep3\Utilities\DownloadLogsFromS3.py --loco 4001 --day 2017-02-07</v>
      </c>
      <c r="AN94" s="167" t="str">
        <f>"grep -SE -B400 ""CHR.+\|PRM\|1\|D.+(SWITCH|SIGNAL).+UNKNOWN"" "&amp;search_path&amp;"\RTDC"&amp;B94&amp;"\*"&amp;B94&amp;"*"&amp;TEXT(AVERAGE(F94,I94)-utc_offset/24,"YYYYMMDD")&amp;"*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"%USERPROFILE%\AppData\Local\Temp\OnboardLogs"\RTDC4001\*4001*20170207* | grep -SE "(Enforcement Action)|(\[TIMEOUT)|(CHR.+\|PRM\|1\|D.+(SWITCH|SIGNAL).+UNKNOWN)" - &gt;&gt; 2017-02-07-UncaughtWiMAX.txt</v>
      </c>
    </row>
    <row r="95" spans="1:91" s="20" customFormat="1" x14ac:dyDescent="0.25">
      <c r="A95" s="33" t="s">
        <v>607</v>
      </c>
      <c r="B95" s="7">
        <v>4038</v>
      </c>
      <c r="C95" s="21" t="s">
        <v>193</v>
      </c>
      <c r="D95" s="21" t="s">
        <v>711</v>
      </c>
      <c r="E95" s="13">
        <v>42773.577615740738</v>
      </c>
      <c r="F95" s="13">
        <v>42773.583564814813</v>
      </c>
      <c r="G95" s="7">
        <v>1</v>
      </c>
      <c r="H95" s="21" t="s">
        <v>748</v>
      </c>
      <c r="I95" s="13">
        <v>42773.608020833337</v>
      </c>
      <c r="J95" s="7">
        <v>0</v>
      </c>
      <c r="K95" s="98" t="str">
        <f>IF(ISEVEN(B95),(B95-1)&amp;"/"&amp;B95,B95&amp;"/"&amp;(B95+1))</f>
        <v>4037/4038</v>
      </c>
      <c r="L95" s="21" t="str">
        <f>VLOOKUP(A95,'Trips&amp;Operators'!$C$1:$G$99999,5,FALSE)</f>
        <v>ROMERO CHAD</v>
      </c>
      <c r="M95" s="6">
        <f>I95-F95</f>
        <v>2.4456018523778766E-2</v>
      </c>
      <c r="N95" s="7">
        <f>24*60*SUM($M95:$M95)</f>
        <v>35.216666674241424</v>
      </c>
      <c r="O95" s="7"/>
      <c r="P95" s="7"/>
      <c r="Q95" s="22"/>
      <c r="R95" s="22"/>
      <c r="S95" s="31">
        <f>SUM(U95:U95)/IF(AG95="EC",12,1)</f>
        <v>1</v>
      </c>
      <c r="T95" s="46" t="str">
        <f>IF(ISEVEN(LEFT(AD95,4)),"Southbound","NorthBound")</f>
        <v>NorthBound</v>
      </c>
      <c r="U95" s="190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191" t="str">
        <f>"https://d0f6bd738d7f1b3e5a7ca70fe4ff75f0.us-east-1.aws.found.io/app/kibana#/discover/Steve-Slow-Train-Analysis-(2080s-and-2083s)?_g="&amp;"(refreshInterval:(display:Off,pause:!f,section:0,value:0),time:(from:'"&amp;TEXT(E95-1/24,"yyyy-MM-DDThh:mm:ss")&amp;utc_offset&amp;"00"&amp;"',mode:absolute,to:'"&amp;TEXT(I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95&amp;"%22')),sort:!(Time.ISO8601,asc))"</f>
        <v>https://d0f6bd738d7f1b3e5a7ca70fe4ff75f0.us-east-1.aws.found.io/app/kibana#/discover/Steve-Slow-Train-Analysis-(2080s-and-2083s)?_g=(refreshInterval:(display:Off,pause:!f,section:0,value:0),time:(from:'2017-02-07T12:51:46-0700',mode:absolute,to:'2017-02-07T15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95" s="192" t="str">
        <f>IF(AA95&lt;IF(AG95="EC",23,5.65),"Y","N")</f>
        <v>N</v>
      </c>
      <c r="X95" s="192">
        <f>VALUE(LEFT(AD95,4))-VALUE(LEFT(AD94,4))</f>
        <v>1</v>
      </c>
      <c r="Y95" s="62">
        <f>RIGHT(D95,LEN(D95)-4)/10000</f>
        <v>4.4400000000000002E-2</v>
      </c>
      <c r="Z95" s="62">
        <f>RIGHT(H95,LEN(H95)-4)/10000</f>
        <v>23.3385</v>
      </c>
      <c r="AA95" s="62">
        <f>ABS(Z95-Y95)</f>
        <v>23.2941</v>
      </c>
      <c r="AB95" s="59" t="e">
        <f>VLOOKUP(A95,Enforcements!$C$7:$K$14,8,0)</f>
        <v>#N/A</v>
      </c>
      <c r="AC95" s="55" t="e">
        <f>VLOOKUP(A95,Enforcements!$C$7:$E$14,3,0)</f>
        <v>#N/A</v>
      </c>
      <c r="AD95" s="56" t="str">
        <f>IF(LEN(A95)=6,"0"&amp;A95,A95)</f>
        <v>0183-07</v>
      </c>
      <c r="AE95" s="85" t="str">
        <f>"aws s3 cp "&amp;s3_bucket&amp;"/RTDC"&amp;B95&amp;"/ "&amp;search_path&amp;"\RTDC"&amp;B95&amp;"\"&amp;TEXT(F95,"YYYY-MM-DD")&amp;" --exclude ""*"" --recursive --include ""*"&amp;TEXT(F95,"YYYYMMDD")&amp;"*"" &amp; """&amp;walkandungz&amp;""" "&amp;search_path&amp;"\RTDC"&amp;B95&amp;"\"&amp;TEXT(F95,"YYYY-MM-DD")
&amp;" &amp; "&amp;"aws s3 cp "&amp;s3_bucket&amp;"/RTDC"&amp;B95&amp;"/ "&amp;search_path&amp;"\RTDC"&amp;B95&amp;"\"&amp;TEXT(F95+1,"YYYY-MM-DD")&amp;" --exclude ""*"" --recursive --include ""*"&amp;TEXT(F95+1,"YYYYMMDD")&amp;"*"" &amp; """&amp;walkandungz&amp;""" "&amp;search_path&amp;"\RTDC"&amp;B95&amp;"\"&amp;TEXT(F95+1,"YYYY-MM-DD")</f>
        <v>aws s3 cp s3://rtdc.mdm.uploadarchive.raw/RTDC4038/ "%USERPROFILE%\AppData\Local\Temp\OnboardLogs"\RTDC4038\2017-02-07 --exclude "*" --recursive --include "*20170207*" &amp; "%USERPROFILE%\Documents\GitHub\mrs-test-scripts\Headless Mode &amp; Sideloading\WalkAndUnGZ.bat" "%USERPROFILE%\AppData\Local\Temp\OnboardLogs"\RTDC4038\2017-02-07 &amp; aws s3 cp s3://rtdc.mdm.uploadarchive.raw/RTDC4038/ "%USERPROFILE%\AppData\Local\Temp\OnboardLogs"\RTDC4038\2017-02-08 --exclude "*" --recursive --include "*20170208*" &amp; "%USERPROFILE%\Documents\GitHub\mrs-test-scripts\Headless Mode &amp; Sideloading\WalkAndUnGZ.bat" "%USERPROFILE%\AppData\Local\Temp\OnboardLogs"\RTDC4038\2017-02-08</v>
      </c>
      <c r="AF95" s="82" t="str">
        <f>astrogrep_path&amp;" /spath="&amp;search_path&amp;" /stypes=""app*"&amp;B95&amp;"*"&amp;TEXT(I95-utc_offset/24,"YYYYMMDD")&amp;"*"" /stext="" "&amp;TEXT(I95-utc_offset/24,"HH")&amp;search_regexp&amp;""" /e /r /s"</f>
        <v>"C:\Program Files (x86)\AstroGrep\AstroGrep.exe" /spath="%USERPROFILE%\AppData\Local\Temp\OnboardLogs" /stypes="app*4038*20170207*" /stext=" 21:.+((SYSTEM_STATE.+slice.+state.+changed )|(ment ac)|(multiple cpu faults)|(system.+state.+changed )|(\[timeout)|(PRM\|1\|D)|(kpr)|(kdp)|(\|lc)|(penalty))" /e /r /s</v>
      </c>
      <c r="AG95" s="1" t="str">
        <f>IFERROR(IF(VALUE(LEFT(AD95,2))&lt;=2,"EC",IF(OR(VALUE(LEFT(AD95,2))=8,VALUE(LEFT(AD95,2))=18),"NW","Other")),"Other")</f>
        <v>EC</v>
      </c>
      <c r="AH95" s="86" t="str">
        <f t="shared" si="6"/>
        <v>"%USERPROFILE%\Documents\GitHub\eaglep3\Utilities\RefineRTDCRunTimes.py" --tripid 183-07 --locoid 4038 --swversion DE.1.0.8.0 --startMP 204:444 --initTime 2017-02-07T13:51:46 --startdatetime 2017-02-07T14:00:20 --delay 1 --endMP 204:233385 --enddatetime 2017-02-07T14:35:33 --enforcementcount 0 &gt;&gt;C:\Users\stu\Documents\GitHub\eaglep3-reporting\EC\2017-02-07-refined-times.txt</v>
      </c>
      <c r="AI95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{"issue":{"subject":"","project_id":79,"tracker_id":40,"status_id":1,"priority_id":2,"assigned_to_id":23,"start_date":"2017-02-07","description":"","custom_fields":[{"id":1,"name":"Subdivision","value":"EC"},{"id":4,"name":"Milepost","value":"23.3385"},{"id":17,"name":"Train ID","value":"183-07"},{"id":16,"name":"Locomotive ID","value":"4038"},{"id":130,"name":"Impact","value":""},{"id":150,"name":"Time of Event (Mountain Time)","value":"14:35:33"},{"id":151,"name":"Denver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48"/>
      <c r="AK95" s="48"/>
      <c r="AL95" s="48"/>
      <c r="AM95" s="158" t="str">
        <f t="shared" si="8"/>
        <v>start /low /b %USERPROFILE%\Documents\GitHub\eaglep3\Utilities\DownloadLogsFromS3.py --loco 4038 --day 2017-02-07</v>
      </c>
      <c r="AN95" s="167" t="str">
        <f>"grep -SE -B400 ""CHR.+\|PRM\|1\|D.+(SWITCH|SIGNAL).+UNKNOWN"" "&amp;search_path&amp;"\RTDC"&amp;B95&amp;"\*"&amp;B95&amp;"*"&amp;TEXT(AVERAGE(F95,I95)-utc_offset/24,"YYYYMMDD")&amp;"*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"%USERPROFILE%\AppData\Local\Temp\OnboardLogs"\RTDC4038\*4038*20170207* | grep -SE "(Enforcement Action)|(\[TIMEOUT)|(CHR.+\|PRM\|1\|D.+(SWITCH|SIGNAL).+UNKNOWN)" - &gt;&gt; 2017-02-07-UncaughtWiMAX.txt</v>
      </c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</row>
    <row r="96" spans="1:91" s="20" customFormat="1" x14ac:dyDescent="0.25">
      <c r="A96" s="33" t="s">
        <v>617</v>
      </c>
      <c r="B96" s="7">
        <v>4037</v>
      </c>
      <c r="C96" s="21" t="s">
        <v>193</v>
      </c>
      <c r="D96" s="21" t="s">
        <v>749</v>
      </c>
      <c r="E96" s="13">
        <v>42773.609664351854</v>
      </c>
      <c r="F96" s="13">
        <v>42773.622372685182</v>
      </c>
      <c r="G96" s="7">
        <v>1</v>
      </c>
      <c r="H96" s="21" t="s">
        <v>184</v>
      </c>
      <c r="I96" s="13">
        <v>42773.64912037037</v>
      </c>
      <c r="J96" s="7">
        <v>0</v>
      </c>
      <c r="K96" s="98" t="str">
        <f>IF(ISEVEN(B96),(B96-1)&amp;"/"&amp;B96,B96&amp;"/"&amp;(B96+1))</f>
        <v>4037/4038</v>
      </c>
      <c r="L96" s="21" t="str">
        <f>VLOOKUP(A96,'Trips&amp;Operators'!$C$1:$G$99999,5,FALSE)</f>
        <v>ROMERO CHAD</v>
      </c>
      <c r="M96" s="6">
        <f>I96-F96</f>
        <v>2.6747685187729076E-2</v>
      </c>
      <c r="N96" s="7">
        <f>24*60*SUM($M96:$M96)</f>
        <v>38.516666670329869</v>
      </c>
      <c r="O96" s="7"/>
      <c r="P96" s="7"/>
      <c r="Q96" s="22"/>
      <c r="R96" s="22"/>
      <c r="S96" s="31">
        <f>SUM(U96:U96)/IF(AG96="EC",12,1)</f>
        <v>1</v>
      </c>
      <c r="T96" s="46" t="str">
        <f>IF(ISEVEN(LEFT(AD96,4)),"Southbound","NorthBound")</f>
        <v>Southbound</v>
      </c>
      <c r="U96" s="190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191" t="str">
        <f>"https://d0f6bd738d7f1b3e5a7ca70fe4ff75f0.us-east-1.aws.found.io/app/kibana#/discover/Steve-Slow-Train-Analysis-(2080s-and-2083s)?_g="&amp;"(refreshInterval:(display:Off,pause:!f,section:0,value:0),time:(from:'"&amp;TEXT(E96-1/24,"yyyy-MM-DDThh:mm:ss")&amp;utc_offset&amp;"00"&amp;"',mode:absolute,to:'"&amp;TEXT(I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96&amp;"%22')),sort:!(Time.ISO8601,asc))"</f>
        <v>https://d0f6bd738d7f1b3e5a7ca70fe4ff75f0.us-east-1.aws.found.io/app/kibana#/discover/Steve-Slow-Train-Analysis-(2080s-and-2083s)?_g=(refreshInterval:(display:Off,pause:!f,section:0,value:0),time:(from:'2017-02-07T13:37:55-0700',mode:absolute,to:'2017-02-07T16:34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96" s="192" t="str">
        <f>IF(AA96&lt;IF(AG96="EC",23,5.65),"Y","N")</f>
        <v>N</v>
      </c>
      <c r="X96" s="192">
        <f>VALUE(LEFT(AD96,4))-VALUE(LEFT(AD95,4))</f>
        <v>1</v>
      </c>
      <c r="Y96" s="62">
        <f>RIGHT(D96,LEN(D96)-4)/10000</f>
        <v>23.307400000000001</v>
      </c>
      <c r="Z96" s="62">
        <f>RIGHT(H96,LEN(H96)-4)/10000</f>
        <v>1.49E-2</v>
      </c>
      <c r="AA96" s="62">
        <f>ABS(Z96-Y96)</f>
        <v>23.2925</v>
      </c>
      <c r="AB96" s="59" t="e">
        <f>VLOOKUP(A96,Enforcements!$C$7:$K$14,8,0)</f>
        <v>#N/A</v>
      </c>
      <c r="AC96" s="55" t="e">
        <f>VLOOKUP(A96,Enforcements!$C$7:$E$14,3,0)</f>
        <v>#N/A</v>
      </c>
      <c r="AD96" s="56" t="str">
        <f>IF(LEN(A96)=6,"0"&amp;A96,A96)</f>
        <v>0184-07</v>
      </c>
      <c r="AE96" s="85" t="str">
        <f>"aws s3 cp "&amp;s3_bucket&amp;"/RTDC"&amp;B96&amp;"/ "&amp;search_path&amp;"\RTDC"&amp;B96&amp;"\"&amp;TEXT(F96,"YYYY-MM-DD")&amp;" --exclude ""*"" --recursive --include ""*"&amp;TEXT(F96,"YYYYMMDD")&amp;"*"" &amp; """&amp;walkandungz&amp;""" "&amp;search_path&amp;"\RTDC"&amp;B96&amp;"\"&amp;TEXT(F96,"YYYY-MM-DD")
&amp;" &amp; "&amp;"aws s3 cp "&amp;s3_bucket&amp;"/RTDC"&amp;B96&amp;"/ "&amp;search_path&amp;"\RTDC"&amp;B96&amp;"\"&amp;TEXT(F96+1,"YYYY-MM-DD")&amp;" --exclude ""*"" --recursive --include ""*"&amp;TEXT(F96+1,"YYYYMMDD")&amp;"*"" &amp; """&amp;walkandungz&amp;""" "&amp;search_path&amp;"\RTDC"&amp;B96&amp;"\"&amp;TEXT(F96+1,"YYYY-MM-DD")</f>
        <v>aws s3 cp s3://rtdc.mdm.uploadarchive.raw/RTDC4037/ "%USERPROFILE%\AppData\Local\Temp\OnboardLogs"\RTDC4037\2017-02-07 --exclude "*" --recursive --include "*20170207*" &amp; "%USERPROFILE%\Documents\GitHub\mrs-test-scripts\Headless Mode &amp; Sideloading\WalkAndUnGZ.bat" "%USERPROFILE%\AppData\Local\Temp\OnboardLogs"\RTDC4037\2017-02-07 &amp; aws s3 cp s3://rtdc.mdm.uploadarchive.raw/RTDC4037/ "%USERPROFILE%\AppData\Local\Temp\OnboardLogs"\RTDC4037\2017-02-08 --exclude "*" --recursive --include "*20170208*" &amp; "%USERPROFILE%\Documents\GitHub\mrs-test-scripts\Headless Mode &amp; Sideloading\WalkAndUnGZ.bat" "%USERPROFILE%\AppData\Local\Temp\OnboardLogs"\RTDC4037\2017-02-08</v>
      </c>
      <c r="AF96" s="82" t="str">
        <f>astrogrep_path&amp;" /spath="&amp;search_path&amp;" /stypes=""app*"&amp;B96&amp;"*"&amp;TEXT(I96-utc_offset/24,"YYYYMMDD")&amp;"*"" /stext="" "&amp;TEXT(I96-utc_offset/24,"HH")&amp;search_regexp&amp;""" /e /r /s"</f>
        <v>"C:\Program Files (x86)\AstroGrep\AstroGrep.exe" /spath="%USERPROFILE%\AppData\Local\Temp\OnboardLogs" /stypes="app*4037*20170207*" /stext=" 22:.+((SYSTEM_STATE.+slice.+state.+changed )|(ment ac)|(multiple cpu faults)|(system.+state.+changed )|(\[timeout)|(PRM\|1\|D)|(kpr)|(kdp)|(\|lc)|(penalty))" /e /r /s</v>
      </c>
      <c r="AG96" s="1" t="str">
        <f>IFERROR(IF(VALUE(LEFT(AD96,2))&lt;=2,"EC",IF(OR(VALUE(LEFT(AD96,2))=8,VALUE(LEFT(AD96,2))=18),"NW","Other")),"Other")</f>
        <v>EC</v>
      </c>
      <c r="AH96" s="86" t="str">
        <f t="shared" si="6"/>
        <v>"%USERPROFILE%\Documents\GitHub\eaglep3\Utilities\RefineRTDCRunTimes.py" --tripid 184-07 --locoid 4037 --swversion DE.1.0.8.0 --startMP 204:233074 --initTime 2017-02-07T14:37:55 --startdatetime 2017-02-07T14:56:13 --delay 1 --endMP 204:149 --enddatetime 2017-02-07T15:34:44 --enforcementcount 0 &gt;&gt;C:\Users\stu\Documents\GitHub\eaglep3-reporting\EC\2017-02-07-refined-times.txt</v>
      </c>
      <c r="AI96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{"issue":{"subject":"","project_id":79,"tracker_id":40,"status_id":1,"priority_id":2,"assigned_to_id":23,"start_date":"2017-02-07","description":"","custom_fields":[{"id":1,"name":"Subdivision","value":"EC"},{"id":4,"name":"Milepost","value":"0.0149"},{"id":17,"name":"Train ID","value":"184-07"},{"id":16,"name":"Locomotive ID","value":"4037"},{"id":130,"name":"Impact","value":""},{"id":150,"name":"Time of Event (Mountain Time)","value":"15:34:44"},{"id":151,"name":"Denver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48"/>
      <c r="AK96" s="48"/>
      <c r="AL96" s="48"/>
      <c r="AM96" s="158" t="str">
        <f t="shared" si="8"/>
        <v>start /low /b %USERPROFILE%\Documents\GitHub\eaglep3\Utilities\DownloadLogsFromS3.py --loco 4037 --day 2017-02-07</v>
      </c>
      <c r="AN96" s="167" t="str">
        <f>"grep -SE -B400 ""CHR.+\|PRM\|1\|D.+(SWITCH|SIGNAL).+UNKNOWN"" "&amp;search_path&amp;"\RTDC"&amp;B96&amp;"\*"&amp;B96&amp;"*"&amp;TEXT(AVERAGE(F96,I96)-utc_offset/24,"YYYYMMDD")&amp;"*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"%USERPROFILE%\AppData\Local\Temp\OnboardLogs"\RTDC4037\*4037*20170207* | grep -SE "(Enforcement Action)|(\[TIMEOUT)|(CHR.+\|PRM\|1\|D.+(SWITCH|SIGNAL).+UNKNOWN)" - &gt;&gt; 2017-02-07-UncaughtWiMAX.txt</v>
      </c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</row>
    <row r="97" spans="1:91" s="20" customFormat="1" x14ac:dyDescent="0.25">
      <c r="A97" s="33" t="s">
        <v>609</v>
      </c>
      <c r="B97" s="7">
        <v>4031</v>
      </c>
      <c r="C97" s="21" t="s">
        <v>193</v>
      </c>
      <c r="D97" s="21" t="s">
        <v>239</v>
      </c>
      <c r="E97" s="13">
        <v>42773.588460648149</v>
      </c>
      <c r="F97" s="13">
        <v>42773.593900462962</v>
      </c>
      <c r="G97" s="7">
        <v>1</v>
      </c>
      <c r="H97" s="21" t="s">
        <v>285</v>
      </c>
      <c r="I97" s="13">
        <v>42773.619375000002</v>
      </c>
      <c r="J97" s="7">
        <v>0</v>
      </c>
      <c r="K97" s="98" t="str">
        <f>IF(ISEVEN(B97),(B97-1)&amp;"/"&amp;B97,B97&amp;"/"&amp;(B97+1))</f>
        <v>4031/4032</v>
      </c>
      <c r="L97" s="21" t="str">
        <f>VLOOKUP(A97,'Trips&amp;Operators'!$C$1:$G$99999,5,FALSE)</f>
        <v>BRANNON JEFFREY</v>
      </c>
      <c r="M97" s="6">
        <f>I97-F97</f>
        <v>2.5474537040281575E-2</v>
      </c>
      <c r="N97" s="7">
        <f>24*60*SUM($M97:$M97)</f>
        <v>36.683333338005468</v>
      </c>
      <c r="O97" s="7"/>
      <c r="P97" s="7"/>
      <c r="Q97" s="22"/>
      <c r="R97" s="22"/>
      <c r="S97" s="31">
        <f>SUM(U97:U97)/IF(AG97="EC",12,1)</f>
        <v>1</v>
      </c>
      <c r="T97" s="46" t="str">
        <f>IF(ISEVEN(LEFT(AD97,4)),"Southbound","NorthBound")</f>
        <v>NorthBound</v>
      </c>
      <c r="U97" s="190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191" t="str">
        <f>"https://d0f6bd738d7f1b3e5a7ca70fe4ff75f0.us-east-1.aws.found.io/app/kibana#/discover/Steve-Slow-Train-Analysis-(2080s-and-2083s)?_g="&amp;"(refreshInterval:(display:Off,pause:!f,section:0,value:0),time:(from:'"&amp;TEXT(E97-1/24,"yyyy-MM-DDThh:mm:ss")&amp;utc_offset&amp;"00"&amp;"',mode:absolute,to:'"&amp;TEXT(I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97&amp;"%22')),sort:!(Time.ISO8601,asc))"</f>
        <v>https://d0f6bd738d7f1b3e5a7ca70fe4ff75f0.us-east-1.aws.found.io/app/kibana#/discover/Steve-Slow-Train-Analysis-(2080s-and-2083s)?_g=(refreshInterval:(display:Off,pause:!f,section:0,value:0),time:(from:'2017-02-07T13:07:23-0700',mode:absolute,to:'2017-02-07T15:51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97" s="192" t="str">
        <f>IF(AA97&lt;IF(AG97="EC",23,5.65),"Y","N")</f>
        <v>N</v>
      </c>
      <c r="X97" s="192">
        <f>VALUE(LEFT(AD97,4))-VALUE(LEFT(AD96,4))</f>
        <v>1</v>
      </c>
      <c r="Y97" s="62">
        <f>RIGHT(D97,LEN(D97)-4)/10000</f>
        <v>4.5699999999999998E-2</v>
      </c>
      <c r="Z97" s="62">
        <f>RIGHT(H97,LEN(H97)-4)/10000</f>
        <v>23.3307</v>
      </c>
      <c r="AA97" s="62">
        <f>ABS(Z97-Y97)</f>
        <v>23.285</v>
      </c>
      <c r="AB97" s="59" t="e">
        <f>VLOOKUP(A97,Enforcements!$C$7:$K$14,8,0)</f>
        <v>#N/A</v>
      </c>
      <c r="AC97" s="55" t="e">
        <f>VLOOKUP(A97,Enforcements!$C$7:$E$14,3,0)</f>
        <v>#N/A</v>
      </c>
      <c r="AD97" s="56" t="str">
        <f>IF(LEN(A97)=6,"0"&amp;A97,A97)</f>
        <v>0185-07</v>
      </c>
      <c r="AE97" s="85" t="str">
        <f>"aws s3 cp "&amp;s3_bucket&amp;"/RTDC"&amp;B97&amp;"/ "&amp;search_path&amp;"\RTDC"&amp;B97&amp;"\"&amp;TEXT(F97,"YYYY-MM-DD")&amp;" --exclude ""*"" --recursive --include ""*"&amp;TEXT(F97,"YYYYMMDD")&amp;"*"" &amp; """&amp;walkandungz&amp;""" "&amp;search_path&amp;"\RTDC"&amp;B97&amp;"\"&amp;TEXT(F97,"YYYY-MM-DD")
&amp;" &amp; "&amp;"aws s3 cp "&amp;s3_bucket&amp;"/RTDC"&amp;B97&amp;"/ "&amp;search_path&amp;"\RTDC"&amp;B97&amp;"\"&amp;TEXT(F97+1,"YYYY-MM-DD")&amp;" --exclude ""*"" --recursive --include ""*"&amp;TEXT(F97+1,"YYYYMMDD")&amp;"*"" &amp; """&amp;walkandungz&amp;""" "&amp;search_path&amp;"\RTDC"&amp;B97&amp;"\"&amp;TEXT(F97+1,"YYYY-MM-DD")</f>
        <v>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 &amp; aws s3 cp s3://rtdc.mdm.uploadarchive.raw/RTDC4031/ "%USERPROFILE%\AppData\Local\Temp\OnboardLogs"\RTDC4031\2017-02-08 --exclude "*" --recursive --include "*20170208*" &amp; "%USERPROFILE%\Documents\GitHub\mrs-test-scripts\Headless Mode &amp; Sideloading\WalkAndUnGZ.bat" "%USERPROFILE%\AppData\Local\Temp\OnboardLogs"\RTDC4031\2017-02-08</v>
      </c>
      <c r="AF97" s="82" t="str">
        <f>astrogrep_path&amp;" /spath="&amp;search_path&amp;" /stypes=""app*"&amp;B97&amp;"*"&amp;TEXT(I97-utc_offset/24,"YYYYMMDD")&amp;"*"" /stext="" "&amp;TEXT(I97-utc_offset/24,"HH")&amp;search_regexp&amp;""" /e /r /s"</f>
        <v>"C:\Program Files (x86)\AstroGrep\AstroGrep.exe" /spath="%USERPROFILE%\AppData\Local\Temp\OnboardLogs" /stypes="app*4031*20170207*" /stext=" 21:.+((SYSTEM_STATE.+slice.+state.+changed )|(ment ac)|(multiple cpu faults)|(system.+state.+changed )|(\[timeout)|(PRM\|1\|D)|(kpr)|(kdp)|(\|lc)|(penalty))" /e /r /s</v>
      </c>
      <c r="AG97" s="1" t="str">
        <f>IFERROR(IF(VALUE(LEFT(AD97,2))&lt;=2,"EC",IF(OR(VALUE(LEFT(AD97,2))=8,VALUE(LEFT(AD97,2))=18),"NW","Other")),"Other")</f>
        <v>EC</v>
      </c>
      <c r="AH97" s="86" t="str">
        <f t="shared" si="6"/>
        <v>"%USERPROFILE%\Documents\GitHub\eaglep3\Utilities\RefineRTDCRunTimes.py" --tripid 185-07 --locoid 4031 --swversion DE.1.0.8.0 --startMP 204:457 --initTime 2017-02-07T14:07:23 --startdatetime 2017-02-07T14:15:13 --delay 1 --endMP 204:233307 --enddatetime 2017-02-07T14:51:54 --enforcementcount 0 &gt;&gt;C:\Users\stu\Documents\GitHub\eaglep3-reporting\EC\2017-02-07-refined-times.txt</v>
      </c>
      <c r="AI97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{"issue":{"subject":"","project_id":79,"tracker_id":40,"status_id":1,"priority_id":2,"assigned_to_id":23,"start_date":"2017-02-07","description":"","custom_fields":[{"id":1,"name":"Subdivision","value":"EC"},{"id":4,"name":"Milepost","value":"23.3307"},{"id":17,"name":"Train ID","value":"185-07"},{"id":16,"name":"Locomotive ID","value":"4031"},{"id":130,"name":"Impact","value":""},{"id":150,"name":"Time of Event (Mountain Time)","value":"14:51:54"},{"id":151,"name":"Denver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48"/>
      <c r="AK97" s="48"/>
      <c r="AL97" s="48"/>
      <c r="AM97" s="158" t="str">
        <f t="shared" si="8"/>
        <v>start /low /b %USERPROFILE%\Documents\GitHub\eaglep3\Utilities\DownloadLogsFromS3.py --loco 4031 --day 2017-02-07</v>
      </c>
      <c r="AN97" s="167" t="str">
        <f>"grep -SE -B400 ""CHR.+\|PRM\|1\|D.+(SWITCH|SIGNAL).+UNKNOWN"" "&amp;search_path&amp;"\RTDC"&amp;B97&amp;"\*"&amp;B97&amp;"*"&amp;TEXT(AVERAGE(F97,I97)-utc_offset/24,"YYYYMMDD")&amp;"*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"%USERPROFILE%\AppData\Local\Temp\OnboardLogs"\RTDC4031\*4031*20170207* | grep -SE "(Enforcement Action)|(\[TIMEOUT)|(CHR.+\|PRM\|1\|D.+(SWITCH|SIGNAL).+UNKNOWN)" - &gt;&gt; 2017-02-07-UncaughtWiMAX.txt</v>
      </c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0" customFormat="1" x14ac:dyDescent="0.25">
      <c r="A98" s="33" t="s">
        <v>619</v>
      </c>
      <c r="B98" s="7">
        <v>4032</v>
      </c>
      <c r="C98" s="21" t="s">
        <v>193</v>
      </c>
      <c r="D98" s="21" t="s">
        <v>281</v>
      </c>
      <c r="E98" s="13">
        <v>42773.629594907405</v>
      </c>
      <c r="F98" s="13">
        <v>42773.632800925923</v>
      </c>
      <c r="G98" s="7">
        <v>1</v>
      </c>
      <c r="H98" s="21" t="s">
        <v>353</v>
      </c>
      <c r="I98" s="13">
        <v>42773.658506944441</v>
      </c>
      <c r="J98" s="7">
        <v>0</v>
      </c>
      <c r="K98" s="98" t="str">
        <f>IF(ISEVEN(B98),(B98-1)&amp;"/"&amp;B98,B98&amp;"/"&amp;(B98+1))</f>
        <v>4031/4032</v>
      </c>
      <c r="L98" s="21" t="str">
        <f>VLOOKUP(A98,'Trips&amp;Operators'!$C$1:$G$99999,5,FALSE)</f>
        <v>BRANNON JEFFREY</v>
      </c>
      <c r="M98" s="6">
        <f>I98-F98</f>
        <v>2.5706018517666962E-2</v>
      </c>
      <c r="N98" s="7">
        <f>24*60*SUM($M98:$M98)</f>
        <v>37.016666665440425</v>
      </c>
      <c r="O98" s="7"/>
      <c r="P98" s="7"/>
      <c r="Q98" s="22"/>
      <c r="R98" s="22"/>
      <c r="S98" s="31">
        <f>SUM(U98:U98)/IF(AG98="EC",12,1)</f>
        <v>1</v>
      </c>
      <c r="T98" s="46" t="str">
        <f>IF(ISEVEN(LEFT(AD98,4)),"Southbound","NorthBound")</f>
        <v>Southbound</v>
      </c>
      <c r="U98" s="190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191" t="str">
        <f>"https://d0f6bd738d7f1b3e5a7ca70fe4ff75f0.us-east-1.aws.found.io/app/kibana#/discover/Steve-Slow-Train-Analysis-(2080s-and-2083s)?_g="&amp;"(refreshInterval:(display:Off,pause:!f,section:0,value:0),time:(from:'"&amp;TEXT(E98-1/24,"yyyy-MM-DDThh:mm:ss")&amp;utc_offset&amp;"00"&amp;"',mode:absolute,to:'"&amp;TEXT(I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98&amp;"%22')),sort:!(Time.ISO8601,asc))"</f>
        <v>https://d0f6bd738d7f1b3e5a7ca70fe4ff75f0.us-east-1.aws.found.io/app/kibana#/discover/Steve-Slow-Train-Analysis-(2080s-and-2083s)?_g=(refreshInterval:(display:Off,pause:!f,section:0,value:0),time:(from:'2017-02-07T14:06:37-0700',mode:absolute,to:'2017-02-07T16:48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98" s="192" t="str">
        <f>IF(AA98&lt;IF(AG98="EC",23,5.65),"Y","N")</f>
        <v>N</v>
      </c>
      <c r="X98" s="192">
        <f>VALUE(LEFT(AD98,4))-VALUE(LEFT(AD97,4))</f>
        <v>1</v>
      </c>
      <c r="Y98" s="62">
        <f>RIGHT(D98,LEN(D98)-4)/10000</f>
        <v>23.298200000000001</v>
      </c>
      <c r="Z98" s="62">
        <f>RIGHT(H98,LEN(H98)-4)/10000</f>
        <v>1.6899999999999998E-2</v>
      </c>
      <c r="AA98" s="62">
        <f>ABS(Z98-Y98)</f>
        <v>23.281300000000002</v>
      </c>
      <c r="AB98" s="59" t="e">
        <f>VLOOKUP(A98,Enforcements!$C$7:$K$14,8,0)</f>
        <v>#N/A</v>
      </c>
      <c r="AC98" s="55" t="e">
        <f>VLOOKUP(A98,Enforcements!$C$7:$E$14,3,0)</f>
        <v>#N/A</v>
      </c>
      <c r="AD98" s="56" t="str">
        <f>IF(LEN(A98)=6,"0"&amp;A98,A98)</f>
        <v>0186-07</v>
      </c>
      <c r="AE98" s="85" t="str">
        <f>"aws s3 cp "&amp;s3_bucket&amp;"/RTDC"&amp;B98&amp;"/ "&amp;search_path&amp;"\RTDC"&amp;B98&amp;"\"&amp;TEXT(F98,"YYYY-MM-DD")&amp;" --exclude ""*"" --recursive --include ""*"&amp;TEXT(F98,"YYYYMMDD")&amp;"*"" &amp; """&amp;walkandungz&amp;""" "&amp;search_path&amp;"\RTDC"&amp;B98&amp;"\"&amp;TEXT(F98,"YYYY-MM-DD")
&amp;" &amp; "&amp;"aws s3 cp "&amp;s3_bucket&amp;"/RTDC"&amp;B98&amp;"/ "&amp;search_path&amp;"\RTDC"&amp;B98&amp;"\"&amp;TEXT(F98+1,"YYYY-MM-DD")&amp;" --exclude ""*"" --recursive --include ""*"&amp;TEXT(F98+1,"YYYYMMDD")&amp;"*"" &amp; """&amp;walkandungz&amp;""" "&amp;search_path&amp;"\RTDC"&amp;B98&amp;"\"&amp;TEXT(F98+1,"YYYY-MM-DD")</f>
        <v>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 &amp; aws s3 cp s3://rtdc.mdm.uploadarchive.raw/RTDC4032/ "%USERPROFILE%\AppData\Local\Temp\OnboardLogs"\RTDC4032\2017-02-08 --exclude "*" --recursive --include "*20170208*" &amp; "%USERPROFILE%\Documents\GitHub\mrs-test-scripts\Headless Mode &amp; Sideloading\WalkAndUnGZ.bat" "%USERPROFILE%\AppData\Local\Temp\OnboardLogs"\RTDC4032\2017-02-08</v>
      </c>
      <c r="AF98" s="82" t="str">
        <f>astrogrep_path&amp;" /spath="&amp;search_path&amp;" /stypes=""app*"&amp;B98&amp;"*"&amp;TEXT(I98-utc_offset/24,"YYYYMMDD")&amp;"*"" /stext="" "&amp;TEXT(I98-utc_offset/24,"HH")&amp;search_regexp&amp;""" /e /r /s"</f>
        <v>"C:\Program Files (x86)\AstroGrep\AstroGrep.exe" /spath="%USERPROFILE%\AppData\Local\Temp\OnboardLogs" /stypes="app*4032*20170207*" /stext=" 22:.+((SYSTEM_STATE.+slice.+state.+changed )|(ment ac)|(multiple cpu faults)|(system.+state.+changed )|(\[timeout)|(PRM\|1\|D)|(kpr)|(kdp)|(\|lc)|(penalty))" /e /r /s</v>
      </c>
      <c r="AG98" s="1" t="str">
        <f>IFERROR(IF(VALUE(LEFT(AD98,2))&lt;=2,"EC",IF(OR(VALUE(LEFT(AD98,2))=8,VALUE(LEFT(AD98,2))=18),"NW","Other")),"Other")</f>
        <v>EC</v>
      </c>
      <c r="AH98" s="86" t="str">
        <f t="shared" si="6"/>
        <v>"%USERPROFILE%\Documents\GitHub\eaglep3\Utilities\RefineRTDCRunTimes.py" --tripid 186-07 --locoid 4032 --swversion DE.1.0.8.0 --startMP 204:232982 --initTime 2017-02-07T15:06:37 --startdatetime 2017-02-07T15:11:14 --delay 1 --endMP 204:169 --enddatetime 2017-02-07T15:48:15 --enforcementcount 0 &gt;&gt;C:\Users\stu\Documents\GitHub\eaglep3-reporting\EC\2017-02-07-refined-times.txt</v>
      </c>
      <c r="AI98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{"issue":{"subject":"","project_id":79,"tracker_id":40,"status_id":1,"priority_id":2,"assigned_to_id":23,"start_date":"2017-02-07","description":"","custom_fields":[{"id":1,"name":"Subdivision","value":"EC"},{"id":4,"name":"Milepost","value":"0.0169"},{"id":17,"name":"Train ID","value":"186-07"},{"id":16,"name":"Locomotive ID","value":"4032"},{"id":130,"name":"Impact","value":""},{"id":150,"name":"Time of Event (Mountain Time)","value":"15:48:15"},{"id":151,"name":"Denver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48"/>
      <c r="AK98" s="48"/>
      <c r="AL98" s="48"/>
      <c r="AM98" s="158" t="str">
        <f t="shared" si="8"/>
        <v>start /low /b %USERPROFILE%\Documents\GitHub\eaglep3\Utilities\DownloadLogsFromS3.py --loco 4032 --day 2017-02-07</v>
      </c>
      <c r="AN98" s="167" t="str">
        <f>"grep -SE -B400 ""CHR.+\|PRM\|1\|D.+(SWITCH|SIGNAL).+UNKNOWN"" "&amp;search_path&amp;"\RTDC"&amp;B98&amp;"\*"&amp;B98&amp;"*"&amp;TEXT(AVERAGE(F98,I98)-utc_offset/24,"YYYYMMDD")&amp;"*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"%USERPROFILE%\AppData\Local\Temp\OnboardLogs"\RTDC4032\*4032*20170207* | grep -SE "(Enforcement Action)|(\[TIMEOUT)|(CHR.+\|PRM\|1\|D.+(SWITCH|SIGNAL).+UNKNOWN)" - &gt;&gt; 2017-02-07-UncaughtWiMAX.txt</v>
      </c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0" customFormat="1" x14ac:dyDescent="0.25">
      <c r="A99" s="33" t="s">
        <v>614</v>
      </c>
      <c r="B99" s="7">
        <v>4025</v>
      </c>
      <c r="C99" s="21" t="s">
        <v>193</v>
      </c>
      <c r="D99" s="21" t="s">
        <v>273</v>
      </c>
      <c r="E99" s="13">
        <v>42773.600868055553</v>
      </c>
      <c r="F99" s="13">
        <v>42773.604733796295</v>
      </c>
      <c r="G99" s="7">
        <v>1</v>
      </c>
      <c r="H99" s="21" t="s">
        <v>331</v>
      </c>
      <c r="I99" s="13">
        <v>42773.631168981483</v>
      </c>
      <c r="J99" s="7">
        <v>0</v>
      </c>
      <c r="K99" s="98" t="str">
        <f>IF(ISEVEN(B99),(B99-1)&amp;"/"&amp;B99,B99&amp;"/"&amp;(B99+1))</f>
        <v>4025/4026</v>
      </c>
      <c r="L99" s="21" t="str">
        <f>VLOOKUP(A99,'Trips&amp;Operators'!$C$1:$G$99999,5,FALSE)</f>
        <v>DAVIS MICHAEL</v>
      </c>
      <c r="M99" s="6">
        <f>I99-F99</f>
        <v>2.6435185187438037E-2</v>
      </c>
      <c r="N99" s="7">
        <f>24*60*SUM($M99:$M99)</f>
        <v>38.066666669910774</v>
      </c>
      <c r="O99" s="7"/>
      <c r="P99" s="7"/>
      <c r="Q99" s="22"/>
      <c r="R99" s="22"/>
      <c r="S99" s="31">
        <f>SUM(U99:U99)/IF(AG99="EC",12,1)</f>
        <v>1</v>
      </c>
      <c r="T99" s="46" t="str">
        <f>IF(ISEVEN(LEFT(AD99,4)),"Southbound","NorthBound")</f>
        <v>NorthBound</v>
      </c>
      <c r="U99" s="190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191" t="str">
        <f>"https://d0f6bd738d7f1b3e5a7ca70fe4ff75f0.us-east-1.aws.found.io/app/kibana#/discover/Steve-Slow-Train-Analysis-(2080s-and-2083s)?_g="&amp;"(refreshInterval:(display:Off,pause:!f,section:0,value:0),time:(from:'"&amp;TEXT(E99-1/24,"yyyy-MM-DDThh:mm:ss")&amp;utc_offset&amp;"00"&amp;"',mode:absolute,to:'"&amp;TEXT(I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99&amp;"%22')),sort:!(Time.ISO8601,asc))"</f>
        <v>https://d0f6bd738d7f1b3e5a7ca70fe4ff75f0.us-east-1.aws.found.io/app/kibana#/discover/Steve-Slow-Train-Analysis-(2080s-and-2083s)?_g=(refreshInterval:(display:Off,pause:!f,section:0,value:0),time:(from:'2017-02-07T13:25:15-0700',mode:absolute,to:'2017-02-07T16:08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99" s="192" t="str">
        <f>IF(AA99&lt;IF(AG99="EC",23,5.65),"Y","N")</f>
        <v>N</v>
      </c>
      <c r="X99" s="192">
        <f>VALUE(LEFT(AD99,4))-VALUE(LEFT(AD98,4))</f>
        <v>1</v>
      </c>
      <c r="Y99" s="62">
        <f>RIGHT(D99,LEN(D99)-4)/10000</f>
        <v>4.53E-2</v>
      </c>
      <c r="Z99" s="62">
        <f>RIGHT(H99,LEN(H99)-4)/10000</f>
        <v>23.330200000000001</v>
      </c>
      <c r="AA99" s="62">
        <f>ABS(Z99-Y99)</f>
        <v>23.2849</v>
      </c>
      <c r="AB99" s="59" t="e">
        <f>VLOOKUP(A99,Enforcements!$C$7:$K$14,8,0)</f>
        <v>#N/A</v>
      </c>
      <c r="AC99" s="55" t="e">
        <f>VLOOKUP(A99,Enforcements!$C$7:$E$14,3,0)</f>
        <v>#N/A</v>
      </c>
      <c r="AD99" s="56" t="str">
        <f>IF(LEN(A99)=6,"0"&amp;A99,A99)</f>
        <v>0187-07</v>
      </c>
      <c r="AE99" s="85" t="str">
        <f>"aws s3 cp "&amp;s3_bucket&amp;"/RTDC"&amp;B99&amp;"/ "&amp;search_path&amp;"\RTDC"&amp;B99&amp;"\"&amp;TEXT(F99,"YYYY-MM-DD")&amp;" --exclude ""*"" --recursive --include ""*"&amp;TEXT(F99,"YYYYMMDD")&amp;"*"" &amp; """&amp;walkandungz&amp;""" "&amp;search_path&amp;"\RTDC"&amp;B99&amp;"\"&amp;TEXT(F99,"YYYY-MM-DD")
&amp;" &amp; "&amp;"aws s3 cp "&amp;s3_bucket&amp;"/RTDC"&amp;B99&amp;"/ "&amp;search_path&amp;"\RTDC"&amp;B99&amp;"\"&amp;TEXT(F99+1,"YYYY-MM-DD")&amp;" --exclude ""*"" --recursive --include ""*"&amp;TEXT(F99+1,"YYYYMMDD")&amp;"*"" &amp; """&amp;walkandungz&amp;""" "&amp;search_path&amp;"\RTDC"&amp;B99&amp;"\"&amp;TEXT(F99+1,"YYYY-MM-DD")</f>
        <v>aws s3 cp s3://rtdc.mdm.uploadarchive.raw/RTDC4025/ "%USERPROFILE%\AppData\Local\Temp\OnboardLogs"\RTDC4025\2017-02-07 --exclude "*" --recursive --include "*20170207*" &amp; "%USERPROFILE%\Documents\GitHub\mrs-test-scripts\Headless Mode &amp; Sideloading\WalkAndUnGZ.bat" "%USERPROFILE%\AppData\Local\Temp\OnboardLogs"\RTDC4025\2017-02-07 &amp; aws s3 cp s3://rtdc.mdm.uploadarchive.raw/RTDC4025/ "%USERPROFILE%\AppData\Local\Temp\OnboardLogs"\RTDC4025\2017-02-08 --exclude "*" --recursive --include "*20170208*" &amp; "%USERPROFILE%\Documents\GitHub\mrs-test-scripts\Headless Mode &amp; Sideloading\WalkAndUnGZ.bat" "%USERPROFILE%\AppData\Local\Temp\OnboardLogs"\RTDC4025\2017-02-08</v>
      </c>
      <c r="AF99" s="82" t="str">
        <f>astrogrep_path&amp;" /spath="&amp;search_path&amp;" /stypes=""app*"&amp;B99&amp;"*"&amp;TEXT(I99-utc_offset/24,"YYYYMMDD")&amp;"*"" /stext="" "&amp;TEXT(I99-utc_offset/24,"HH")&amp;search_regexp&amp;""" /e /r /s"</f>
        <v>"C:\Program Files (x86)\AstroGrep\AstroGrep.exe" /spath="%USERPROFILE%\AppData\Local\Temp\OnboardLogs" /stypes="app*4025*20170207*" /stext=" 22:.+((SYSTEM_STATE.+slice.+state.+changed )|(ment ac)|(multiple cpu faults)|(system.+state.+changed )|(\[timeout)|(PRM\|1\|D)|(kpr)|(kdp)|(\|lc)|(penalty))" /e /r /s</v>
      </c>
      <c r="AG99" s="1" t="str">
        <f>IFERROR(IF(VALUE(LEFT(AD99,2))&lt;=2,"EC",IF(OR(VALUE(LEFT(AD99,2))=8,VALUE(LEFT(AD99,2))=18),"NW","Other")),"Other")</f>
        <v>EC</v>
      </c>
      <c r="AH99" s="86" t="str">
        <f t="shared" si="6"/>
        <v>"%USERPROFILE%\Documents\GitHub\eaglep3\Utilities\RefineRTDCRunTimes.py" --tripid 187-07 --locoid 4025 --swversion DE.1.0.8.0 --startMP 204:453 --initTime 2017-02-07T14:25:15 --startdatetime 2017-02-07T14:30:49 --delay 1 --endMP 204:233302 --enddatetime 2017-02-07T15:08:53 --enforcementcount 0 &gt;&gt;C:\Users\stu\Documents\GitHub\eaglep3-reporting\EC\2017-02-07-refined-times.txt</v>
      </c>
      <c r="AI99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{"issue":{"subject":"","project_id":79,"tracker_id":40,"status_id":1,"priority_id":2,"assigned_to_id":23,"start_date":"2017-02-07","description":"","custom_fields":[{"id":1,"name":"Subdivision","value":"EC"},{"id":4,"name":"Milepost","value":"23.3302"},{"id":17,"name":"Train ID","value":"187-07"},{"id":16,"name":"Locomotive ID","value":"4025"},{"id":130,"name":"Impact","value":""},{"id":150,"name":"Time of Event (Mountain Time)","value":"15:08:53"},{"id":151,"name":"Denver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48"/>
      <c r="AK99" s="48"/>
      <c r="AL99" s="48"/>
      <c r="AM99" s="158" t="str">
        <f t="shared" si="8"/>
        <v>start /low /b %USERPROFILE%\Documents\GitHub\eaglep3\Utilities\DownloadLogsFromS3.py --loco 4025 --day 2017-02-07</v>
      </c>
      <c r="AN99" s="167" t="str">
        <f>"grep -SE -B400 ""CHR.+\|PRM\|1\|D.+(SWITCH|SIGNAL).+UNKNOWN"" "&amp;search_path&amp;"\RTDC"&amp;B99&amp;"\*"&amp;B99&amp;"*"&amp;TEXT(AVERAGE(F99,I99)-utc_offset/24,"YYYYMMDD")&amp;"*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"%USERPROFILE%\AppData\Local\Temp\OnboardLogs"\RTDC4025\*4025*20170207* | grep -SE "(Enforcement Action)|(\[TIMEOUT)|(CHR.+\|PRM\|1\|D.+(SWITCH|SIGNAL).+UNKNOWN)" - &gt;&gt; 2017-02-07-UncaughtWiMAX.txt</v>
      </c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0" customFormat="1" x14ac:dyDescent="0.25">
      <c r="A100" s="33" t="s">
        <v>622</v>
      </c>
      <c r="B100" s="7">
        <v>4026</v>
      </c>
      <c r="C100" s="21" t="s">
        <v>193</v>
      </c>
      <c r="D100" s="21" t="s">
        <v>423</v>
      </c>
      <c r="E100" s="13">
        <v>42773.639467592591</v>
      </c>
      <c r="F100" s="13">
        <v>42773.643368055556</v>
      </c>
      <c r="G100" s="7">
        <v>2</v>
      </c>
      <c r="H100" s="21" t="s">
        <v>741</v>
      </c>
      <c r="I100" s="13">
        <v>42773.672222222223</v>
      </c>
      <c r="J100" s="7">
        <v>0</v>
      </c>
      <c r="K100" s="98" t="str">
        <f>IF(ISEVEN(B100),(B100-1)&amp;"/"&amp;B100,B100&amp;"/"&amp;(B100+1))</f>
        <v>4025/4026</v>
      </c>
      <c r="L100" s="21" t="str">
        <f>VLOOKUP(A100,'Trips&amp;Operators'!$C$1:$G$99999,5,FALSE)</f>
        <v>DAVIS MICHAEL</v>
      </c>
      <c r="M100" s="6">
        <f>I100-F100</f>
        <v>2.8854166666860692E-2</v>
      </c>
      <c r="N100" s="7">
        <f>24*60*SUM($M100:$M100)</f>
        <v>41.550000000279397</v>
      </c>
      <c r="O100" s="7"/>
      <c r="P100" s="7"/>
      <c r="Q100" s="22"/>
      <c r="R100" s="22"/>
      <c r="S100" s="31">
        <f>SUM(U100:U100)/IF(AG100="EC",12,1)</f>
        <v>1</v>
      </c>
      <c r="T100" s="46" t="str">
        <f>IF(ISEVEN(LEFT(AD100,4)),"Southbound","NorthBound")</f>
        <v>Southbound</v>
      </c>
      <c r="U100" s="190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191" t="str">
        <f>"https://d0f6bd738d7f1b3e5a7ca70fe4ff75f0.us-east-1.aws.found.io/app/kibana#/discover/Steve-Slow-Train-Analysis-(2080s-and-2083s)?_g="&amp;"(refreshInterval:(display:Off,pause:!f,section:0,value:0),time:(from:'"&amp;TEXT(E100-1/24,"yyyy-MM-DDThh:mm:ss")&amp;utc_offset&amp;"00"&amp;"',mode:absolute,to:'"&amp;TEXT(I100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100&amp;"%22')),sort:!(Time.ISO8601,asc))"</f>
        <v>https://d0f6bd738d7f1b3e5a7ca70fe4ff75f0.us-east-1.aws.found.io/app/kibana#/discover/Steve-Slow-Train-Analysis-(2080s-and-2083s)?_g=(refreshInterval:(display:Off,pause:!f,section:0,value:0),time:(from:'2017-02-07T14:20:50-0700',mode:absolute,to:'2017-02-07T17:08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00" s="192" t="str">
        <f>IF(AA100&lt;IF(AG100="EC",23,5.65),"Y","N")</f>
        <v>N</v>
      </c>
      <c r="X100" s="192">
        <f>VALUE(LEFT(AD100,4))-VALUE(LEFT(AD99,4))</f>
        <v>1</v>
      </c>
      <c r="Y100" s="62">
        <f>RIGHT(D100,LEN(D100)-4)/10000</f>
        <v>23.2987</v>
      </c>
      <c r="Z100" s="62">
        <f>RIGHT(H100,LEN(H100)-4)/10000</f>
        <v>1.2500000000000001E-2</v>
      </c>
      <c r="AA100" s="62">
        <f>ABS(Z100-Y100)</f>
        <v>23.286200000000001</v>
      </c>
      <c r="AB100" s="59" t="e">
        <f>VLOOKUP(A100,Enforcements!$C$7:$K$14,8,0)</f>
        <v>#N/A</v>
      </c>
      <c r="AC100" s="55" t="e">
        <f>VLOOKUP(A100,Enforcements!$C$7:$E$14,3,0)</f>
        <v>#N/A</v>
      </c>
      <c r="AD100" s="56" t="str">
        <f>IF(LEN(A100)=6,"0"&amp;A100,A100)</f>
        <v>0188-07</v>
      </c>
      <c r="AE100" s="85" t="str">
        <f>"aws s3 cp "&amp;s3_bucket&amp;"/RTDC"&amp;B100&amp;"/ "&amp;search_path&amp;"\RTDC"&amp;B100&amp;"\"&amp;TEXT(F100,"YYYY-MM-DD")&amp;" --exclude ""*"" --recursive --include ""*"&amp;TEXT(F100,"YYYYMMDD")&amp;"*"" &amp; """&amp;walkandungz&amp;""" "&amp;search_path&amp;"\RTDC"&amp;B100&amp;"\"&amp;TEXT(F100,"YYYY-MM-DD")
&amp;" &amp; "&amp;"aws s3 cp "&amp;s3_bucket&amp;"/RTDC"&amp;B100&amp;"/ "&amp;search_path&amp;"\RTDC"&amp;B100&amp;"\"&amp;TEXT(F100+1,"YYYY-MM-DD")&amp;" --exclude ""*"" --recursive --include ""*"&amp;TEXT(F100+1,"YYYYMMDD")&amp;"*"" &amp; """&amp;walkandungz&amp;""" "&amp;search_path&amp;"\RTDC"&amp;B100&amp;"\"&amp;TEXT(F100+1,"YYYY-MM-DD")</f>
        <v>aws s3 cp s3://rtdc.mdm.uploadarchive.raw/RTDC4026/ "%USERPROFILE%\AppData\Local\Temp\OnboardLogs"\RTDC4026\2017-02-07 --exclude "*" --recursive --include "*20170207*" &amp; "%USERPROFILE%\Documents\GitHub\mrs-test-scripts\Headless Mode &amp; Sideloading\WalkAndUnGZ.bat" "%USERPROFILE%\AppData\Local\Temp\OnboardLogs"\RTDC4026\2017-02-07 &amp; 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</v>
      </c>
      <c r="AF100" s="82" t="str">
        <f>astrogrep_path&amp;" /spath="&amp;search_path&amp;" /stypes=""app*"&amp;B100&amp;"*"&amp;TEXT(I100-utc_offset/24,"YYYYMMDD")&amp;"*"" /stext="" "&amp;TEXT(I100-utc_offset/24,"HH")&amp;search_regexp&amp;""" /e /r /s"</f>
        <v>"C:\Program Files (x86)\AstroGrep\AstroGrep.exe" /spath="%USERPROFILE%\AppData\Local\Temp\OnboardLogs" /stypes="app*4026*20170207*" /stext=" 23:.+((SYSTEM_STATE.+slice.+state.+changed )|(ment ac)|(multiple cpu faults)|(system.+state.+changed )|(\[timeout)|(PRM\|1\|D)|(kpr)|(kdp)|(\|lc)|(penalty))" /e /r /s</v>
      </c>
      <c r="AG100" s="1" t="str">
        <f>IFERROR(IF(VALUE(LEFT(AD100,2))&lt;=2,"EC",IF(OR(VALUE(LEFT(AD100,2))=8,VALUE(LEFT(AD100,2))=18),"NW","Other")),"Other")</f>
        <v>EC</v>
      </c>
      <c r="AH100" s="86" t="str">
        <f t="shared" si="6"/>
        <v>"%USERPROFILE%\Documents\GitHub\eaglep3\Utilities\RefineRTDCRunTimes.py" --tripid 188-07 --locoid 4026 --swversion DE.1.0.8.0 --startMP 204:232987 --initTime 2017-02-07T15:20:50 --startdatetime 2017-02-07T15:26:27 --delay 2 --endMP 204:125 --enddatetime 2017-02-07T16:08:00 --enforcementcount 0 &gt;&gt;C:\Users\stu\Documents\GitHub\eaglep3-reporting\EC\2017-02-07-refined-times.txt</v>
      </c>
      <c r="AI100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{"issue":{"subject":"","project_id":79,"tracker_id":40,"status_id":1,"priority_id":2,"assigned_to_id":23,"start_date":"2017-02-07","description":"","custom_fields":[{"id":1,"name":"Subdivision","value":"EC"},{"id":4,"name":"Milepost","value":"0.0125"},{"id":17,"name":"Train ID","value":"188-07"},{"id":16,"name":"Locomotive ID","value":"4026"},{"id":130,"name":"Impact","value":""},{"id":150,"name":"Time of Event (Mountain Time)","value":"16:08:00"},{"id":151,"name":"Denver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48"/>
      <c r="AK100" s="48"/>
      <c r="AL100" s="48"/>
      <c r="AM100" s="158" t="str">
        <f t="shared" si="8"/>
        <v>start /low /b %USERPROFILE%\Documents\GitHub\eaglep3\Utilities\DownloadLogsFromS3.py --loco 4026 --day 2017-02-07</v>
      </c>
      <c r="AN100" s="167" t="str">
        <f>"grep -SE -B400 ""CHR.+\|PRM\|1\|D.+(SWITCH|SIGNAL).+UNKNOWN"" "&amp;search_path&amp;"\RTDC"&amp;B100&amp;"\*"&amp;B100&amp;"*"&amp;TEXT(AVERAGE(F100,I100)-utc_offset/24,"YYYYMMDD")&amp;"*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"%USERPROFILE%\AppData\Local\Temp\OnboardLogs"\RTDC4026\*4026*20170207* | grep -SE "(Enforcement Action)|(\[TIMEOUT)|(CHR.+\|PRM\|1\|D.+(SWITCH|SIGNAL).+UNKNOWN)" - &gt;&gt; 2017-02-07-UncaughtWiMAX.txt</v>
      </c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0" customFormat="1" x14ac:dyDescent="0.25">
      <c r="A101" s="33" t="s">
        <v>616</v>
      </c>
      <c r="B101" s="7">
        <v>4046</v>
      </c>
      <c r="C101" s="21" t="s">
        <v>193</v>
      </c>
      <c r="D101" s="21" t="s">
        <v>288</v>
      </c>
      <c r="E101" s="13">
        <v>42773.609270833331</v>
      </c>
      <c r="F101" s="13">
        <v>42773.614756944444</v>
      </c>
      <c r="G101" s="7">
        <v>1</v>
      </c>
      <c r="H101" s="21" t="s">
        <v>333</v>
      </c>
      <c r="I101" s="13">
        <v>42773.640231481484</v>
      </c>
      <c r="J101" s="7">
        <v>0</v>
      </c>
      <c r="K101" s="98" t="str">
        <f>IF(ISEVEN(B101),(B101-1)&amp;"/"&amp;B101,B101&amp;"/"&amp;(B101+1))</f>
        <v>4045/4046</v>
      </c>
      <c r="L101" s="21" t="str">
        <f>VLOOKUP(A101,'Trips&amp;Operators'!$C$1:$G$99999,5,FALSE)</f>
        <v>MOSES BRADLEY</v>
      </c>
      <c r="M101" s="6">
        <f>I101-F101</f>
        <v>2.5474537040281575E-2</v>
      </c>
      <c r="N101" s="7">
        <f>24*60*SUM($M101:$M101)</f>
        <v>36.683333338005468</v>
      </c>
      <c r="O101" s="7"/>
      <c r="P101" s="7"/>
      <c r="Q101" s="22"/>
      <c r="R101" s="22"/>
      <c r="S101" s="31">
        <f>SUM(U101:U101)/IF(AG101="EC",12,1)</f>
        <v>1</v>
      </c>
      <c r="T101" s="46" t="str">
        <f>IF(ISEVEN(LEFT(AD101,4)),"Southbound","NorthBound")</f>
        <v>NorthBound</v>
      </c>
      <c r="U101" s="190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191" t="str">
        <f>"https://d0f6bd738d7f1b3e5a7ca70fe4ff75f0.us-east-1.aws.found.io/app/kibana#/discover/Steve-Slow-Train-Analysis-(2080s-and-2083s)?_g="&amp;"(refreshInterval:(display:Off,pause:!f,section:0,value:0),time:(from:'"&amp;TEXT(E101-1/24,"yyyy-MM-DDThh:mm:ss")&amp;utc_offset&amp;"00"&amp;"',mode:absolute,to:'"&amp;TEXT(I101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101&amp;"%22')),sort:!(Time.ISO8601,asc))"</f>
        <v>https://d0f6bd738d7f1b3e5a7ca70fe4ff75f0.us-east-1.aws.found.io/app/kibana#/discover/Steve-Slow-Train-Analysis-(2080s-and-2083s)?_g=(refreshInterval:(display:Off,pause:!f,section:0,value:0),time:(from:'2017-02-07T13:37:21-0700',mode:absolute,to:'2017-02-07T16:21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01" s="192" t="str">
        <f>IF(AA101&lt;IF(AG101="EC",23,5.65),"Y","N")</f>
        <v>N</v>
      </c>
      <c r="X101" s="192">
        <f>VALUE(LEFT(AD101,4))-VALUE(LEFT(AD100,4))</f>
        <v>1</v>
      </c>
      <c r="Y101" s="62">
        <f>RIGHT(D101,LEN(D101)-4)/10000</f>
        <v>4.5499999999999999E-2</v>
      </c>
      <c r="Z101" s="62">
        <f>RIGHT(H101,LEN(H101)-4)/10000</f>
        <v>23.3293</v>
      </c>
      <c r="AA101" s="62">
        <f>ABS(Z101-Y101)</f>
        <v>23.283799999999999</v>
      </c>
      <c r="AB101" s="59" t="e">
        <f>VLOOKUP(A101,Enforcements!$C$7:$K$14,8,0)</f>
        <v>#N/A</v>
      </c>
      <c r="AC101" s="55" t="e">
        <f>VLOOKUP(A101,Enforcements!$C$7:$E$14,3,0)</f>
        <v>#N/A</v>
      </c>
      <c r="AD101" s="56" t="str">
        <f>IF(LEN(A101)=6,"0"&amp;A101,A101)</f>
        <v>0189-07</v>
      </c>
      <c r="AE101" s="85" t="str">
        <f>"aws s3 cp "&amp;s3_bucket&amp;"/RTDC"&amp;B101&amp;"/ "&amp;search_path&amp;"\RTDC"&amp;B101&amp;"\"&amp;TEXT(F101,"YYYY-MM-DD")&amp;" --exclude ""*"" --recursive --include ""*"&amp;TEXT(F101,"YYYYMMDD")&amp;"*"" &amp; """&amp;walkandungz&amp;""" "&amp;search_path&amp;"\RTDC"&amp;B101&amp;"\"&amp;TEXT(F101,"YYYY-MM-DD")
&amp;" &amp; "&amp;"aws s3 cp "&amp;s3_bucket&amp;"/RTDC"&amp;B101&amp;"/ "&amp;search_path&amp;"\RTDC"&amp;B101&amp;"\"&amp;TEXT(F101+1,"YYYY-MM-DD")&amp;" --exclude ""*"" --recursive --include ""*"&amp;TEXT(F101+1,"YYYYMMDD")&amp;"*"" &amp; """&amp;walkandungz&amp;""" "&amp;search_path&amp;"\RTDC"&amp;B101&amp;"\"&amp;TEXT(F101+1,"YYYY-MM-DD")</f>
        <v>aws s3 cp s3://rtdc.mdm.uploadarchive.raw/RTDC4046/ "%USERPROFILE%\AppData\Local\Temp\OnboardLogs"\RTDC4046\2017-02-07 --exclude "*" --recursive --include "*20170207*" &amp; "%USERPROFILE%\Documents\GitHub\mrs-test-scripts\Headless Mode &amp; Sideloading\WalkAndUnGZ.bat" "%USERPROFILE%\AppData\Local\Temp\OnboardLogs"\RTDC4046\2017-02-07 &amp; aws s3 cp s3://rtdc.mdm.uploadarchive.raw/RTDC4046/ "%USERPROFILE%\AppData\Local\Temp\OnboardLogs"\RTDC4046\2017-02-08 --exclude "*" --recursive --include "*20170208*" &amp; "%USERPROFILE%\Documents\GitHub\mrs-test-scripts\Headless Mode &amp; Sideloading\WalkAndUnGZ.bat" "%USERPROFILE%\AppData\Local\Temp\OnboardLogs"\RTDC4046\2017-02-08</v>
      </c>
      <c r="AF101" s="82" t="str">
        <f>astrogrep_path&amp;" /spath="&amp;search_path&amp;" /stypes=""app*"&amp;B101&amp;"*"&amp;TEXT(I101-utc_offset/24,"YYYYMMDD")&amp;"*"" /stext="" "&amp;TEXT(I101-utc_offset/24,"HH")&amp;search_regexp&amp;""" /e /r /s"</f>
        <v>"C:\Program Files (x86)\AstroGrep\AstroGrep.exe" /spath="%USERPROFILE%\AppData\Local\Temp\OnboardLogs" /stypes="app*4046*20170207*" /stext=" 22:.+((SYSTEM_STATE.+slice.+state.+changed )|(ment ac)|(multiple cpu faults)|(system.+state.+changed )|(\[timeout)|(PRM\|1\|D)|(kpr)|(kdp)|(\|lc)|(penalty))" /e /r /s</v>
      </c>
      <c r="AG101" s="1" t="str">
        <f>IFERROR(IF(VALUE(LEFT(AD101,2))&lt;=2,"EC",IF(OR(VALUE(LEFT(AD101,2))=8,VALUE(LEFT(AD101,2))=18),"NW","Other")),"Other")</f>
        <v>EC</v>
      </c>
      <c r="AH101" s="86" t="str">
        <f t="shared" si="6"/>
        <v>"%USERPROFILE%\Documents\GitHub\eaglep3\Utilities\RefineRTDCRunTimes.py" --tripid 189-07 --locoid 4046 --swversion DE.1.0.8.0 --startMP 204:455 --initTime 2017-02-07T14:37:21 --startdatetime 2017-02-07T14:45:15 --delay 1 --endMP 204:233293 --enddatetime 2017-02-07T15:21:56 --enforcementcount 0 &gt;&gt;C:\Users\stu\Documents\GitHub\eaglep3-reporting\EC\2017-02-07-refined-times.txt</v>
      </c>
      <c r="AI101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{"issue":{"subject":"","project_id":79,"tracker_id":40,"status_id":1,"priority_id":2,"assigned_to_id":23,"start_date":"2017-02-07","description":"","custom_fields":[{"id":1,"name":"Subdivision","value":"EC"},{"id":4,"name":"Milepost","value":"23.3293"},{"id":17,"name":"Train ID","value":"189-07"},{"id":16,"name":"Locomotive ID","value":"4046"},{"id":130,"name":"Impact","value":""},{"id":150,"name":"Time of Event (Mountain Time)","value":"15:21:56"},{"id":151,"name":"Denver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48"/>
      <c r="AK101" s="48"/>
      <c r="AL101" s="48"/>
      <c r="AM101" s="158" t="str">
        <f t="shared" si="8"/>
        <v>start /low /b %USERPROFILE%\Documents\GitHub\eaglep3\Utilities\DownloadLogsFromS3.py --loco 4046 --day 2017-02-07</v>
      </c>
      <c r="AN101" s="167" t="str">
        <f>"grep -SE -B400 ""CHR.+\|PRM\|1\|D.+(SWITCH|SIGNAL).+UNKNOWN"" "&amp;search_path&amp;"\RTDC"&amp;B101&amp;"\*"&amp;B101&amp;"*"&amp;TEXT(AVERAGE(F101,I101)-utc_offset/24,"YYYYMMDD")&amp;"*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"%USERPROFILE%\AppData\Local\Temp\OnboardLogs"\RTDC4046\*4046*20170207* | grep -SE "(Enforcement Action)|(\[TIMEOUT)|(CHR.+\|PRM\|1\|D.+(SWITCH|SIGNAL).+UNKNOWN)" - &gt;&gt; 2017-02-07-UncaughtWiMAX.txt</v>
      </c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0" customFormat="1" x14ac:dyDescent="0.25">
      <c r="A102" s="33" t="s">
        <v>624</v>
      </c>
      <c r="B102" s="7">
        <v>4045</v>
      </c>
      <c r="C102" s="21" t="s">
        <v>193</v>
      </c>
      <c r="D102" s="21" t="s">
        <v>750</v>
      </c>
      <c r="E102" s="13">
        <v>42773.649386574078</v>
      </c>
      <c r="F102" s="13">
        <v>42773.653958333336</v>
      </c>
      <c r="G102" s="7">
        <v>1</v>
      </c>
      <c r="H102" s="21" t="s">
        <v>751</v>
      </c>
      <c r="I102" s="13">
        <v>42773.68109953704</v>
      </c>
      <c r="J102" s="7">
        <v>0</v>
      </c>
      <c r="K102" s="98" t="str">
        <f>IF(ISEVEN(B102),(B102-1)&amp;"/"&amp;B102,B102&amp;"/"&amp;(B102+1))</f>
        <v>4045/4046</v>
      </c>
      <c r="L102" s="21" t="str">
        <f>VLOOKUP(A102,'Trips&amp;Operators'!$C$1:$G$99999,5,FALSE)</f>
        <v>MOSES BRADLEY</v>
      </c>
      <c r="M102" s="6">
        <f>I102-F102</f>
        <v>2.7141203703649808E-2</v>
      </c>
      <c r="N102" s="7">
        <f>24*60*SUM($M102:$M102)</f>
        <v>39.083333333255723</v>
      </c>
      <c r="O102" s="7"/>
      <c r="P102" s="7"/>
      <c r="Q102" s="22"/>
      <c r="R102" s="22"/>
      <c r="S102" s="31">
        <f>SUM(U102:U102)/IF(AG102="EC",12,1)</f>
        <v>1</v>
      </c>
      <c r="T102" s="46" t="str">
        <f>IF(ISEVEN(LEFT(AD102,4)),"Southbound","NorthBound")</f>
        <v>Southbound</v>
      </c>
      <c r="U102" s="190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191" t="str">
        <f>"https://d0f6bd738d7f1b3e5a7ca70fe4ff75f0.us-east-1.aws.found.io/app/kibana#/discover/Steve-Slow-Train-Analysis-(2080s-and-2083s)?_g="&amp;"(refreshInterval:(display:Off,pause:!f,section:0,value:0),time:(from:'"&amp;TEXT(E102-1/24,"yyyy-MM-DDThh:mm:ss")&amp;utc_offset&amp;"00"&amp;"',mode:absolute,to:'"&amp;TEXT(I102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102&amp;"%22')),sort:!(Time.ISO8601,asc))"</f>
        <v>https://d0f6bd738d7f1b3e5a7ca70fe4ff75f0.us-east-1.aws.found.io/app/kibana#/discover/Steve-Slow-Train-Analysis-(2080s-and-2083s)?_g=(refreshInterval:(display:Off,pause:!f,section:0,value:0),time:(from:'2017-02-07T14:35:07-0700',mode:absolute,to:'2017-02-07T17:20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02" s="192" t="str">
        <f>IF(AA102&lt;IF(AG102="EC",23,5.65),"Y","N")</f>
        <v>N</v>
      </c>
      <c r="X102" s="192">
        <f>VALUE(LEFT(AD102,4))-VALUE(LEFT(AD101,4))</f>
        <v>1</v>
      </c>
      <c r="Y102" s="62">
        <f>RIGHT(D102,LEN(D102)-4)/10000</f>
        <v>23.2986</v>
      </c>
      <c r="Z102" s="62">
        <f>RIGHT(H102,LEN(H102)-4)/10000</f>
        <v>1.8100000000000002E-2</v>
      </c>
      <c r="AA102" s="62">
        <f>ABS(Z102-Y102)</f>
        <v>23.2805</v>
      </c>
      <c r="AB102" s="59" t="e">
        <f>VLOOKUP(A102,Enforcements!$C$7:$K$14,8,0)</f>
        <v>#N/A</v>
      </c>
      <c r="AC102" s="55" t="e">
        <f>VLOOKUP(A102,Enforcements!$C$7:$E$14,3,0)</f>
        <v>#N/A</v>
      </c>
      <c r="AD102" s="56" t="str">
        <f>IF(LEN(A102)=6,"0"&amp;A102,A102)</f>
        <v>0190-07</v>
      </c>
      <c r="AE102" s="85" t="str">
        <f>"aws s3 cp "&amp;s3_bucket&amp;"/RTDC"&amp;B102&amp;"/ "&amp;search_path&amp;"\RTDC"&amp;B102&amp;"\"&amp;TEXT(F102,"YYYY-MM-DD")&amp;" --exclude ""*"" --recursive --include ""*"&amp;TEXT(F102,"YYYYMMDD")&amp;"*"" &amp; """&amp;walkandungz&amp;""" "&amp;search_path&amp;"\RTDC"&amp;B102&amp;"\"&amp;TEXT(F102,"YYYY-MM-DD")
&amp;" &amp; "&amp;"aws s3 cp "&amp;s3_bucket&amp;"/RTDC"&amp;B102&amp;"/ "&amp;search_path&amp;"\RTDC"&amp;B102&amp;"\"&amp;TEXT(F102+1,"YYYY-MM-DD")&amp;" --exclude ""*"" --recursive --include ""*"&amp;TEXT(F102+1,"YYYYMMDD")&amp;"*"" &amp; """&amp;walkandungz&amp;""" "&amp;search_path&amp;"\RTDC"&amp;B102&amp;"\"&amp;TEXT(F102+1,"YYYY-MM-DD")</f>
        <v>aws s3 cp s3://rtdc.mdm.uploadarchive.raw/RTDC4045/ "%USERPROFILE%\AppData\Local\Temp\OnboardLogs"\RTDC4045\2017-02-07 --exclude "*" --recursive --include "*20170207*" &amp; "%USERPROFILE%\Documents\GitHub\mrs-test-scripts\Headless Mode &amp; Sideloading\WalkAndUnGZ.bat" "%USERPROFILE%\AppData\Local\Temp\OnboardLogs"\RTDC4045\2017-02-07 &amp; aws s3 cp s3://rtdc.mdm.uploadarchive.raw/RTDC4045/ "%USERPROFILE%\AppData\Local\Temp\OnboardLogs"\RTDC4045\2017-02-08 --exclude "*" --recursive --include "*20170208*" &amp; "%USERPROFILE%\Documents\GitHub\mrs-test-scripts\Headless Mode &amp; Sideloading\WalkAndUnGZ.bat" "%USERPROFILE%\AppData\Local\Temp\OnboardLogs"\RTDC4045\2017-02-08</v>
      </c>
      <c r="AF102" s="82" t="str">
        <f>astrogrep_path&amp;" /spath="&amp;search_path&amp;" /stypes=""app*"&amp;B102&amp;"*"&amp;TEXT(I102-utc_offset/24,"YYYYMMDD")&amp;"*"" /stext="" "&amp;TEXT(I102-utc_offset/24,"HH")&amp;search_regexp&amp;""" /e /r /s"</f>
        <v>"C:\Program Files (x86)\AstroGrep\AstroGrep.exe" /spath="%USERPROFILE%\AppData\Local\Temp\OnboardLogs" /stypes="app*4045*20170207*" /stext=" 23:.+((SYSTEM_STATE.+slice.+state.+changed )|(ment ac)|(multiple cpu faults)|(system.+state.+changed )|(\[timeout)|(PRM\|1\|D)|(kpr)|(kdp)|(\|lc)|(penalty))" /e /r /s</v>
      </c>
      <c r="AG102" s="1" t="str">
        <f>IFERROR(IF(VALUE(LEFT(AD102,2))&lt;=2,"EC",IF(OR(VALUE(LEFT(AD102,2))=8,VALUE(LEFT(AD102,2))=18),"NW","Other")),"Other")</f>
        <v>EC</v>
      </c>
      <c r="AH102" s="86" t="str">
        <f t="shared" si="6"/>
        <v>"%USERPROFILE%\Documents\GitHub\eaglep3\Utilities\RefineRTDCRunTimes.py" --tripid 190-07 --locoid 4045 --swversion DE.1.0.8.0 --startMP 204:232986 --initTime 2017-02-07T15:35:07 --startdatetime 2017-02-07T15:41:42 --delay 1 --endMP 204:181 --enddatetime 2017-02-07T16:20:47 --enforcementcount 0 &gt;&gt;C:\Users\stu\Documents\GitHub\eaglep3-reporting\EC\2017-02-07-refined-times.txt</v>
      </c>
      <c r="AI102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{"issue":{"subject":"","project_id":79,"tracker_id":40,"status_id":1,"priority_id":2,"assigned_to_id":23,"start_date":"2017-02-07","description":"","custom_fields":[{"id":1,"name":"Subdivision","value":"EC"},{"id":4,"name":"Milepost","value":"0.0181"},{"id":17,"name":"Train ID","value":"190-07"},{"id":16,"name":"Locomotive ID","value":"4045"},{"id":130,"name":"Impact","value":""},{"id":150,"name":"Time of Event (Mountain Time)","value":"16:20:47"},{"id":151,"name":"Denver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48"/>
      <c r="AK102" s="48"/>
      <c r="AL102" s="48"/>
      <c r="AM102" s="158" t="str">
        <f t="shared" si="8"/>
        <v>start /low /b %USERPROFILE%\Documents\GitHub\eaglep3\Utilities\DownloadLogsFromS3.py --loco 4045 --day 2017-02-07</v>
      </c>
      <c r="AN102" s="167" t="str">
        <f>"grep -SE -B400 ""CHR.+\|PRM\|1\|D.+(SWITCH|SIGNAL).+UNKNOWN"" "&amp;search_path&amp;"\RTDC"&amp;B102&amp;"\*"&amp;B102&amp;"*"&amp;TEXT(AVERAGE(F102,I102)-utc_offset/24,"YYYYMMDD")&amp;"*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"%USERPROFILE%\AppData\Local\Temp\OnboardLogs"\RTDC4045\*4045*20170207* | grep -SE "(Enforcement Action)|(\[TIMEOUT)|(CHR.+\|PRM\|1\|D.+(SWITCH|SIGNAL).+UNKNOWN)" - &gt;&gt; 2017-02-07-UncaughtWiMAX.txt</v>
      </c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0" customFormat="1" x14ac:dyDescent="0.25">
      <c r="A103" s="33" t="s">
        <v>618</v>
      </c>
      <c r="B103" s="7">
        <v>4040</v>
      </c>
      <c r="C103" s="21" t="s">
        <v>193</v>
      </c>
      <c r="D103" s="21" t="s">
        <v>284</v>
      </c>
      <c r="E103" s="13">
        <v>42773.621365740742</v>
      </c>
      <c r="F103" s="13">
        <v>42773.625185185185</v>
      </c>
      <c r="G103" s="7">
        <v>1</v>
      </c>
      <c r="H103" s="21" t="s">
        <v>315</v>
      </c>
      <c r="I103" s="13">
        <v>42773.650601851848</v>
      </c>
      <c r="J103" s="7">
        <v>0</v>
      </c>
      <c r="K103" s="98" t="str">
        <f>IF(ISEVEN(B103),(B103-1)&amp;"/"&amp;B103,B103&amp;"/"&amp;(B103+1))</f>
        <v>4039/4040</v>
      </c>
      <c r="L103" s="21" t="str">
        <f>VLOOKUP(A103,'Trips&amp;Operators'!$C$1:$G$99999,5,FALSE)</f>
        <v>LEVERE CRAIG</v>
      </c>
      <c r="M103" s="6">
        <f>I103-F103</f>
        <v>2.5416666663659271E-2</v>
      </c>
      <c r="N103" s="7">
        <f>24*60*SUM($M103:$M103)</f>
        <v>36.59999999566935</v>
      </c>
      <c r="O103" s="7"/>
      <c r="P103" s="7"/>
      <c r="Q103" s="22"/>
      <c r="R103" s="22"/>
      <c r="S103" s="31">
        <f>SUM(U103:U103)/IF(AG103="EC",12,1)</f>
        <v>1</v>
      </c>
      <c r="T103" s="46" t="str">
        <f>IF(ISEVEN(LEFT(AD103,4)),"Southbound","NorthBound")</f>
        <v>NorthBound</v>
      </c>
      <c r="U103" s="190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191" t="str">
        <f>"https://d0f6bd738d7f1b3e5a7ca70fe4ff75f0.us-east-1.aws.found.io/app/kibana#/discover/Steve-Slow-Train-Analysis-(2080s-and-2083s)?_g="&amp;"(refreshInterval:(display:Off,pause:!f,section:0,value:0),time:(from:'"&amp;TEXT(E103-1/24,"yyyy-MM-DDThh:mm:ss")&amp;utc_offset&amp;"00"&amp;"',mode:absolute,to:'"&amp;TEXT(I103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103&amp;"%22')),sort:!(Time.ISO8601,asc))"</f>
        <v>https://d0f6bd738d7f1b3e5a7ca70fe4ff75f0.us-east-1.aws.found.io/app/kibana#/discover/Steve-Slow-Train-Analysis-(2080s-and-2083s)?_g=(refreshInterval:(display:Off,pause:!f,section:0,value:0),time:(from:'2017-02-07T13:54:46-0700',mode:absolute,to:'2017-02-07T16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03" s="192" t="str">
        <f>IF(AA103&lt;IF(AG103="EC",23,5.65),"Y","N")</f>
        <v>N</v>
      </c>
      <c r="X103" s="192">
        <f>VALUE(LEFT(AD103,4))-VALUE(LEFT(AD102,4))</f>
        <v>1</v>
      </c>
      <c r="Y103" s="62">
        <f>RIGHT(D103,LEN(D103)-4)/10000</f>
        <v>4.6699999999999998E-2</v>
      </c>
      <c r="Z103" s="62">
        <f>RIGHT(H103,LEN(H103)-4)/10000</f>
        <v>23.3291</v>
      </c>
      <c r="AA103" s="62">
        <f>ABS(Z103-Y103)</f>
        <v>23.282399999999999</v>
      </c>
      <c r="AB103" s="59" t="e">
        <f>VLOOKUP(A103,Enforcements!$C$7:$K$14,8,0)</f>
        <v>#N/A</v>
      </c>
      <c r="AC103" s="55" t="e">
        <f>VLOOKUP(A103,Enforcements!$C$7:$E$14,3,0)</f>
        <v>#N/A</v>
      </c>
      <c r="AD103" s="56" t="str">
        <f>IF(LEN(A103)=6,"0"&amp;A103,A103)</f>
        <v>0191-07</v>
      </c>
      <c r="AE103" s="85" t="str">
        <f>"aws s3 cp "&amp;s3_bucket&amp;"/RTDC"&amp;B103&amp;"/ "&amp;search_path&amp;"\RTDC"&amp;B103&amp;"\"&amp;TEXT(F103,"YYYY-MM-DD")&amp;" --exclude ""*"" --recursive --include ""*"&amp;TEXT(F103,"YYYYMMDD")&amp;"*"" &amp; """&amp;walkandungz&amp;""" "&amp;search_path&amp;"\RTDC"&amp;B103&amp;"\"&amp;TEXT(F103,"YYYY-MM-DD")
&amp;" &amp; "&amp;"aws s3 cp "&amp;s3_bucket&amp;"/RTDC"&amp;B103&amp;"/ "&amp;search_path&amp;"\RTDC"&amp;B103&amp;"\"&amp;TEXT(F103+1,"YYYY-MM-DD")&amp;" --exclude ""*"" --recursive --include ""*"&amp;TEXT(F103+1,"YYYYMMDD")&amp;"*"" &amp; """&amp;walkandungz&amp;""" "&amp;search_path&amp;"\RTDC"&amp;B103&amp;"\"&amp;TEXT(F103+1,"YYYY-MM-DD")</f>
        <v>aws s3 cp s3://rtdc.mdm.uploadarchive.raw/RTDC4040/ "%USERPROFILE%\AppData\Local\Temp\OnboardLogs"\RTDC4040\2017-02-07 --exclude "*" --recursive --include "*20170207*" &amp; "%USERPROFILE%\Documents\GitHub\mrs-test-scripts\Headless Mode &amp; Sideloading\WalkAndUnGZ.bat" "%USERPROFILE%\AppData\Local\Temp\OnboardLogs"\RTDC4040\2017-02-07 &amp; aws s3 cp s3://rtdc.mdm.uploadarchive.raw/RTDC4040/ "%USERPROFILE%\AppData\Local\Temp\OnboardLogs"\RTDC4040\2017-02-08 --exclude "*" --recursive --include "*20170208*" &amp; "%USERPROFILE%\Documents\GitHub\mrs-test-scripts\Headless Mode &amp; Sideloading\WalkAndUnGZ.bat" "%USERPROFILE%\AppData\Local\Temp\OnboardLogs"\RTDC4040\2017-02-08</v>
      </c>
      <c r="AF103" s="82" t="str">
        <f>astrogrep_path&amp;" /spath="&amp;search_path&amp;" /stypes=""app*"&amp;B103&amp;"*"&amp;TEXT(I103-utc_offset/24,"YYYYMMDD")&amp;"*"" /stext="" "&amp;TEXT(I103-utc_offset/24,"HH")&amp;search_regexp&amp;""" /e /r /s"</f>
        <v>"C:\Program Files (x86)\AstroGrep\AstroGrep.exe" /spath="%USERPROFILE%\AppData\Local\Temp\OnboardLogs" /stypes="app*4040*20170207*" /stext=" 22:.+((SYSTEM_STATE.+slice.+state.+changed )|(ment ac)|(multiple cpu faults)|(system.+state.+changed )|(\[timeout)|(PRM\|1\|D)|(kpr)|(kdp)|(\|lc)|(penalty))" /e /r /s</v>
      </c>
      <c r="AG103" s="1" t="str">
        <f>IFERROR(IF(VALUE(LEFT(AD103,2))&lt;=2,"EC",IF(OR(VALUE(LEFT(AD103,2))=8,VALUE(LEFT(AD103,2))=18),"NW","Other")),"Other")</f>
        <v>EC</v>
      </c>
      <c r="AH103" s="86" t="str">
        <f t="shared" si="6"/>
        <v>"%USERPROFILE%\Documents\GitHub\eaglep3\Utilities\RefineRTDCRunTimes.py" --tripid 191-07 --locoid 4040 --swversion DE.1.0.8.0 --startMP 204:467 --initTime 2017-02-07T14:54:46 --startdatetime 2017-02-07T15:00:16 --delay 1 --endMP 204:233291 --enddatetime 2017-02-07T15:36:52 --enforcementcount 0 &gt;&gt;C:\Users\stu\Documents\GitHub\eaglep3-reporting\EC\2017-02-07-refined-times.txt</v>
      </c>
      <c r="AI103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{"issue":{"subject":"","project_id":79,"tracker_id":40,"status_id":1,"priority_id":2,"assigned_to_id":23,"start_date":"2017-02-07","description":"","custom_fields":[{"id":1,"name":"Subdivision","value":"EC"},{"id":4,"name":"Milepost","value":"23.3291"},{"id":17,"name":"Train ID","value":"191-07"},{"id":16,"name":"Locomotive ID","value":"4040"},{"id":130,"name":"Impact","value":""},{"id":150,"name":"Time of Event (Mountain Time)","value":"15:36:52"},{"id":151,"name":"Denver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48"/>
      <c r="AK103" s="48"/>
      <c r="AL103" s="48"/>
      <c r="AM103" s="158" t="str">
        <f t="shared" si="8"/>
        <v>start /low /b %USERPROFILE%\Documents\GitHub\eaglep3\Utilities\DownloadLogsFromS3.py --loco 4040 --day 2017-02-07</v>
      </c>
      <c r="AN103" s="167" t="str">
        <f>"grep -SE -B400 ""CHR.+\|PRM\|1\|D.+(SWITCH|SIGNAL).+UNKNOWN"" "&amp;search_path&amp;"\RTDC"&amp;B103&amp;"\*"&amp;B103&amp;"*"&amp;TEXT(AVERAGE(F103,I103)-utc_offset/24,"YYYYMMDD")&amp;"*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"%USERPROFILE%\AppData\Local\Temp\OnboardLogs"\RTDC4040\*4040*20170207* | grep -SE "(Enforcement Action)|(\[TIMEOUT)|(CHR.+\|PRM\|1\|D.+(SWITCH|SIGNAL).+UNKNOWN)" - &gt;&gt; 2017-02-07-UncaughtWiMAX.txt</v>
      </c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s="20" customFormat="1" x14ac:dyDescent="0.25">
      <c r="A104" s="33" t="s">
        <v>626</v>
      </c>
      <c r="B104" s="7">
        <v>4039</v>
      </c>
      <c r="C104" s="21" t="s">
        <v>193</v>
      </c>
      <c r="D104" s="21" t="s">
        <v>332</v>
      </c>
      <c r="E104" s="13">
        <v>42773.65902777778</v>
      </c>
      <c r="F104" s="13">
        <v>42773.664143518516</v>
      </c>
      <c r="G104" s="7">
        <v>1</v>
      </c>
      <c r="H104" s="21" t="s">
        <v>303</v>
      </c>
      <c r="I104" s="13">
        <v>42773.691354166665</v>
      </c>
      <c r="J104" s="7">
        <v>0</v>
      </c>
      <c r="K104" s="98" t="str">
        <f>IF(ISEVEN(B104),(B104-1)&amp;"/"&amp;B104,B104&amp;"/"&amp;(B104+1))</f>
        <v>4039/4040</v>
      </c>
      <c r="L104" s="21" t="str">
        <f>VLOOKUP(A104,'Trips&amp;Operators'!$C$1:$G$99999,5,FALSE)</f>
        <v>LEVERE CRAIG</v>
      </c>
      <c r="M104" s="6">
        <f>I104-F104</f>
        <v>2.7210648149775807E-2</v>
      </c>
      <c r="N104" s="7">
        <f>24*60*SUM($M104:$M104)</f>
        <v>39.183333335677162</v>
      </c>
      <c r="O104" s="7"/>
      <c r="P104" s="7"/>
      <c r="Q104" s="22"/>
      <c r="R104" s="22"/>
      <c r="S104" s="31">
        <f>SUM(U104:U104)/IF(AG104="EC",12,1)</f>
        <v>1</v>
      </c>
      <c r="T104" s="46" t="str">
        <f>IF(ISEVEN(LEFT(AD104,4)),"Southbound","NorthBound")</f>
        <v>Southbound</v>
      </c>
      <c r="U104" s="190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191" t="str">
        <f>"https://d0f6bd738d7f1b3e5a7ca70fe4ff75f0.us-east-1.aws.found.io/app/kibana#/discover/Steve-Slow-Train-Analysis-(2080s-and-2083s)?_g="&amp;"(refreshInterval:(display:Off,pause:!f,section:0,value:0),time:(from:'"&amp;TEXT(E104-1/24,"yyyy-MM-DDThh:mm:ss")&amp;utc_offset&amp;"00"&amp;"',mode:absolute,to:'"&amp;TEXT(I104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104&amp;"%22')),sort:!(Time.ISO8601,asc))"</f>
        <v>https://d0f6bd738d7f1b3e5a7ca70fe4ff75f0.us-east-1.aws.found.io/app/kibana#/discover/Steve-Slow-Train-Analysis-(2080s-and-2083s)?_g=(refreshInterval:(display:Off,pause:!f,section:0,value:0),time:(from:'2017-02-07T14:49:00-0700',mode:absolute,to:'2017-02-07T17:35:33-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04" s="192" t="str">
        <f>IF(AA104&lt;IF(AG104="EC",23,5.65),"Y","N")</f>
        <v>N</v>
      </c>
      <c r="X104" s="192">
        <f>VALUE(LEFT(AD104,4))-VALUE(LEFT(AD103,4))</f>
        <v>1</v>
      </c>
      <c r="Y104" s="62">
        <f>RIGHT(D104,LEN(D104)-4)/10000</f>
        <v>23.299099999999999</v>
      </c>
      <c r="Z104" s="62">
        <f>RIGHT(H104,LEN(H104)-4)/10000</f>
        <v>1.3899999999999999E-2</v>
      </c>
      <c r="AA104" s="62">
        <f>ABS(Z104-Y104)</f>
        <v>23.2852</v>
      </c>
      <c r="AB104" s="59" t="e">
        <f>VLOOKUP(A104,Enforcements!$C$7:$K$14,8,0)</f>
        <v>#N/A</v>
      </c>
      <c r="AC104" s="55" t="e">
        <f>VLOOKUP(A104,Enforcements!$C$7:$E$14,3,0)</f>
        <v>#N/A</v>
      </c>
      <c r="AD104" s="56" t="str">
        <f>IF(LEN(A104)=6,"0"&amp;A104,A104)</f>
        <v>0192-07</v>
      </c>
      <c r="AE104" s="85" t="str">
        <f>"aws s3 cp "&amp;s3_bucket&amp;"/RTDC"&amp;B104&amp;"/ "&amp;search_path&amp;"\RTDC"&amp;B104&amp;"\"&amp;TEXT(F104,"YYYY-MM-DD")&amp;" --exclude ""*"" --recursive --include ""*"&amp;TEXT(F104,"YYYYMMDD")&amp;"*"" &amp; """&amp;walkandungz&amp;""" "&amp;search_path&amp;"\RTDC"&amp;B104&amp;"\"&amp;TEXT(F104,"YYYY-MM-DD")
&amp;" &amp; "&amp;"aws s3 cp "&amp;s3_bucket&amp;"/RTDC"&amp;B104&amp;"/ "&amp;search_path&amp;"\RTDC"&amp;B104&amp;"\"&amp;TEXT(F104+1,"YYYY-MM-DD")&amp;" --exclude ""*"" --recursive --include ""*"&amp;TEXT(F104+1,"YYYYMMDD")&amp;"*"" &amp; """&amp;walkandungz&amp;""" "&amp;search_path&amp;"\RTDC"&amp;B104&amp;"\"&amp;TEXT(F104+1,"YYYY-MM-DD")</f>
        <v>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 &amp; aws s3 cp s3://rtdc.mdm.uploadarchive.raw/RTDC4039/ "%USERPROFILE%\AppData\Local\Temp\OnboardLogs"\RTDC4039\2017-02-08 --exclude "*" --recursive --include "*20170208*" &amp; "%USERPROFILE%\Documents\GitHub\mrs-test-scripts\Headless Mode &amp; Sideloading\WalkAndUnGZ.bat" "%USERPROFILE%\AppData\Local\Temp\OnboardLogs"\RTDC4039\2017-02-08</v>
      </c>
      <c r="AF104" s="82" t="str">
        <f>astrogrep_path&amp;" /spath="&amp;search_path&amp;" /stypes=""app*"&amp;B104&amp;"*"&amp;TEXT(I104-utc_offset/24,"YYYYMMDD")&amp;"*"" /stext="" "&amp;TEXT(I104-utc_offset/24,"HH")&amp;search_regexp&amp;""" /e /r /s"</f>
        <v>"C:\Program Files (x86)\AstroGrep\AstroGrep.exe" /spath="%USERPROFILE%\AppData\Local\Temp\OnboardLogs" /stypes="app*4039*20170207*" /stext=" 23:.+((SYSTEM_STATE.+slice.+state.+changed )|(ment ac)|(multiple cpu faults)|(system.+state.+changed )|(\[timeout)|(PRM\|1\|D)|(kpr)|(kdp)|(\|lc)|(penalty))" /e /r /s</v>
      </c>
      <c r="AG104" s="1" t="str">
        <f>IFERROR(IF(VALUE(LEFT(AD104,2))&lt;=2,"EC",IF(OR(VALUE(LEFT(AD104,2))=8,VALUE(LEFT(AD104,2))=18),"NW","Other")),"Other")</f>
        <v>EC</v>
      </c>
      <c r="AH104" s="86" t="str">
        <f t="shared" si="6"/>
        <v>"%USERPROFILE%\Documents\GitHub\eaglep3\Utilities\RefineRTDCRunTimes.py" --tripid 192-07 --locoid 4039 --swversion DE.1.0.8.0 --startMP 204:232991 --initTime 2017-02-07T15:49:00 --startdatetime 2017-02-07T15:56:22 --delay 1 --endMP 204:139 --enddatetime 2017-02-07T16:35:33 --enforcementcount 0 &gt;&gt;C:\Users\stu\Documents\GitHub\eaglep3-reporting\EC\2017-02-07-refined-times.txt</v>
      </c>
      <c r="AI104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{"issue":{"subject":"","project_id":79,"tracker_id":40,"status_id":1,"priority_id":2,"assigned_to_id":23,"start_date":"2017-02-07","description":"","custom_fields":[{"id":1,"name":"Subdivision","value":"EC"},{"id":4,"name":"Milepost","value":"0.0139"},{"id":17,"name":"Train ID","value":"192-07"},{"id":16,"name":"Locomotive ID","value":"4039"},{"id":130,"name":"Impact","value":""},{"id":150,"name":"Time of Event (Mountain Time)","value":"16:35:33"},{"id":151,"name":"Denver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48"/>
      <c r="AK104" s="48"/>
      <c r="AL104" s="48"/>
      <c r="AM104" s="158" t="str">
        <f t="shared" si="8"/>
        <v>start /low /b %USERPROFILE%\Documents\GitHub\eaglep3\Utilities\DownloadLogsFromS3.py --loco 4039 --day 2017-02-07</v>
      </c>
      <c r="AN104" s="167" t="str">
        <f>"grep -SE -B400 ""CHR.+\|PRM\|1\|D.+(SWITCH|SIGNAL).+UNKNOWN"" "&amp;search_path&amp;"\RTDC"&amp;B104&amp;"\*"&amp;B104&amp;"*"&amp;TEXT(AVERAGE(F104,I104)-utc_offset/24,"YYYYMMDD")&amp;"*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"%USERPROFILE%\AppData\Local\Temp\OnboardLogs"\RTDC4039\*4039*20170207* | grep -SE "(Enforcement Action)|(\[TIMEOUT)|(CHR.+\|PRM\|1\|D.+(SWITCH|SIGNAL).+UNKNOWN)" - &gt;&gt; 2017-02-07-UncaughtWiMAX.txt</v>
      </c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</row>
    <row r="105" spans="1:91" s="20" customFormat="1" x14ac:dyDescent="0.25">
      <c r="A105" s="33" t="s">
        <v>620</v>
      </c>
      <c r="B105" s="7">
        <v>4011</v>
      </c>
      <c r="C105" s="21" t="s">
        <v>193</v>
      </c>
      <c r="D105" s="21" t="s">
        <v>752</v>
      </c>
      <c r="E105" s="13">
        <v>42773.630567129629</v>
      </c>
      <c r="F105" s="13">
        <v>42773.635648148149</v>
      </c>
      <c r="G105" s="7">
        <v>1</v>
      </c>
      <c r="H105" s="21" t="s">
        <v>426</v>
      </c>
      <c r="I105" s="13">
        <v>42773.663148148145</v>
      </c>
      <c r="J105" s="7">
        <v>0</v>
      </c>
      <c r="K105" s="98" t="str">
        <f>IF(ISEVEN(B105),(B105-1)&amp;"/"&amp;B105,B105&amp;"/"&amp;(B105+1))</f>
        <v>4011/4012</v>
      </c>
      <c r="L105" s="21" t="str">
        <f>VLOOKUP(A105,'Trips&amp;Operators'!$C$1:$G$99999,5,FALSE)</f>
        <v>CLARK KATHLEEN</v>
      </c>
      <c r="M105" s="6">
        <f>I105-F105</f>
        <v>2.749999999650754E-2</v>
      </c>
      <c r="N105" s="7">
        <f>24*60*SUM($M105:$M105)</f>
        <v>39.599999994970858</v>
      </c>
      <c r="O105" s="7"/>
      <c r="P105" s="7"/>
      <c r="Q105" s="22"/>
      <c r="R105" s="22"/>
      <c r="S105" s="31">
        <f>SUM(U105:U105)/IF(AG105="EC",12,1)</f>
        <v>1</v>
      </c>
      <c r="T105" s="46" t="str">
        <f>IF(ISEVEN(LEFT(AD105,4)),"Southbound","NorthBound")</f>
        <v>NorthBound</v>
      </c>
      <c r="U105" s="190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191" t="str">
        <f>"https://d0f6bd738d7f1b3e5a7ca70fe4ff75f0.us-east-1.aws.found.io/app/kibana#/discover/Steve-Slow-Train-Analysis-(2080s-and-2083s)?_g="&amp;"(refreshInterval:(display:Off,pause:!f,section:0,value:0),time:(from:'"&amp;TEXT(E105-1/24,"yyyy-MM-DDThh:mm:ss")&amp;utc_offset&amp;"00"&amp;"',mode:absolute,to:'"&amp;TEXT(I105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105&amp;"%22')),sort:!(Time.ISO8601,asc))"</f>
        <v>https://d0f6bd738d7f1b3e5a7ca70fe4ff75f0.us-east-1.aws.found.io/app/kibana#/discover/Steve-Slow-Train-Analysis-(2080s-and-2083s)?_g=(refreshInterval:(display:Off,pause:!f,section:0,value:0),time:(from:'2017-02-07T14:08:01-0700',mode:absolute,to:'2017-02-07T16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05" s="192" t="str">
        <f>IF(AA105&lt;IF(AG105="EC",23,5.65),"Y","N")</f>
        <v>N</v>
      </c>
      <c r="X105" s="192">
        <f>VALUE(LEFT(AD105,4))-VALUE(LEFT(AD104,4))</f>
        <v>1</v>
      </c>
      <c r="Y105" s="62">
        <f>RIGHT(D105,LEN(D105)-4)/10000</f>
        <v>5.11E-2</v>
      </c>
      <c r="Z105" s="62">
        <f>RIGHT(H105,LEN(H105)-4)/10000</f>
        <v>23.328600000000002</v>
      </c>
      <c r="AA105" s="62">
        <f>ABS(Z105-Y105)</f>
        <v>23.2775</v>
      </c>
      <c r="AB105" s="59" t="e">
        <f>VLOOKUP(A105,Enforcements!$C$7:$K$14,8,0)</f>
        <v>#N/A</v>
      </c>
      <c r="AC105" s="55" t="e">
        <f>VLOOKUP(A105,Enforcements!$C$7:$E$14,3,0)</f>
        <v>#N/A</v>
      </c>
      <c r="AD105" s="56" t="str">
        <f>IF(LEN(A105)=6,"0"&amp;A105,A105)</f>
        <v>0193-07</v>
      </c>
      <c r="AE105" s="85" t="str">
        <f>"aws s3 cp "&amp;s3_bucket&amp;"/RTDC"&amp;B105&amp;"/ "&amp;search_path&amp;"\RTDC"&amp;B105&amp;"\"&amp;TEXT(F105,"YYYY-MM-DD")&amp;" --exclude ""*"" --recursive --include ""*"&amp;TEXT(F105,"YYYYMMDD")&amp;"*"" &amp; """&amp;walkandungz&amp;""" "&amp;search_path&amp;"\RTDC"&amp;B105&amp;"\"&amp;TEXT(F105,"YYYY-MM-DD")
&amp;" &amp; "&amp;"aws s3 cp "&amp;s3_bucket&amp;"/RTDC"&amp;B105&amp;"/ "&amp;search_path&amp;"\RTDC"&amp;B105&amp;"\"&amp;TEXT(F105+1,"YYYY-MM-DD")&amp;" --exclude ""*"" --recursive --include ""*"&amp;TEXT(F105+1,"YYYYMMDD")&amp;"*"" &amp; """&amp;walkandungz&amp;""" "&amp;search_path&amp;"\RTDC"&amp;B105&amp;"\"&amp;TEXT(F105+1,"YYYY-MM-DD")</f>
        <v>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 &amp; aws s3 cp s3://rtdc.mdm.uploadarchive.raw/RTDC4011/ "%USERPROFILE%\AppData\Local\Temp\OnboardLogs"\RTDC4011\2017-02-08 --exclude "*" --recursive --include "*20170208*" &amp; "%USERPROFILE%\Documents\GitHub\mrs-test-scripts\Headless Mode &amp; Sideloading\WalkAndUnGZ.bat" "%USERPROFILE%\AppData\Local\Temp\OnboardLogs"\RTDC4011\2017-02-08</v>
      </c>
      <c r="AF105" s="82" t="str">
        <f>astrogrep_path&amp;" /spath="&amp;search_path&amp;" /stypes=""app*"&amp;B105&amp;"*"&amp;TEXT(I105-utc_offset/24,"YYYYMMDD")&amp;"*"" /stext="" "&amp;TEXT(I105-utc_offset/24,"HH")&amp;search_regexp&amp;""" /e /r /s"</f>
        <v>"C:\Program Files (x86)\AstroGrep\AstroGrep.exe" /spath="%USERPROFILE%\AppData\Local\Temp\OnboardLogs" /stypes="app*4011*20170207*" /stext=" 22:.+((SYSTEM_STATE.+slice.+state.+changed )|(ment ac)|(multiple cpu faults)|(system.+state.+changed )|(\[timeout)|(PRM\|1\|D)|(kpr)|(kdp)|(\|lc)|(penalty))" /e /r /s</v>
      </c>
      <c r="AG105" s="1" t="str">
        <f>IFERROR(IF(VALUE(LEFT(AD105,2))&lt;=2,"EC",IF(OR(VALUE(LEFT(AD105,2))=8,VALUE(LEFT(AD105,2))=18),"NW","Other")),"Other")</f>
        <v>EC</v>
      </c>
      <c r="AH105" s="86" t="str">
        <f t="shared" si="6"/>
        <v>"%USERPROFILE%\Documents\GitHub\eaglep3\Utilities\RefineRTDCRunTimes.py" --tripid 193-07 --locoid 4011 --swversion DE.1.0.8.0 --startMP 204:511 --initTime 2017-02-07T15:08:01 --startdatetime 2017-02-07T15:15:20 --delay 1 --endMP 204:233286 --enddatetime 2017-02-07T15:54:56 --enforcementcount 0 &gt;&gt;C:\Users\stu\Documents\GitHub\eaglep3-reporting\EC\2017-02-07-refined-times.txt</v>
      </c>
      <c r="AI105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{"issue":{"subject":"","project_id":79,"tracker_id":40,"status_id":1,"priority_id":2,"assigned_to_id":23,"start_date":"2017-02-07","description":"","custom_fields":[{"id":1,"name":"Subdivision","value":"EC"},{"id":4,"name":"Milepost","value":"23.3286"},{"id":17,"name":"Train ID","value":"193-07"},{"id":16,"name":"Locomotive ID","value":"4011"},{"id":130,"name":"Impact","value":""},{"id":150,"name":"Time of Event (Mountain Time)","value":"15:54:56"},{"id":151,"name":"Denver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48"/>
      <c r="AK105" s="48"/>
      <c r="AL105" s="48"/>
      <c r="AM105" s="158" t="str">
        <f t="shared" si="8"/>
        <v>start /low /b %USERPROFILE%\Documents\GitHub\eaglep3\Utilities\DownloadLogsFromS3.py --loco 4011 --day 2017-02-07</v>
      </c>
      <c r="AN105" s="167" t="str">
        <f>"grep -SE -B400 ""CHR.+\|PRM\|1\|D.+(SWITCH|SIGNAL).+UNKNOWN"" "&amp;search_path&amp;"\RTDC"&amp;B105&amp;"\*"&amp;B105&amp;"*"&amp;TEXT(AVERAGE(F105,I105)-utc_offset/24,"YYYYMMDD")&amp;"*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"%USERPROFILE%\AppData\Local\Temp\OnboardLogs"\RTDC4011\*4011*20170207* | grep -SE "(Enforcement Action)|(\[TIMEOUT)|(CHR.+\|PRM\|1\|D.+(SWITCH|SIGNAL).+UNKNOWN)" - &gt;&gt; 2017-02-07-UncaughtWiMAX.txt</v>
      </c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0" customFormat="1" x14ac:dyDescent="0.25">
      <c r="A106" s="33" t="s">
        <v>628</v>
      </c>
      <c r="B106" s="7">
        <v>4012</v>
      </c>
      <c r="C106" s="21" t="s">
        <v>193</v>
      </c>
      <c r="D106" s="21" t="s">
        <v>421</v>
      </c>
      <c r="E106" s="13">
        <v>42773.668900462966</v>
      </c>
      <c r="F106" s="13">
        <v>42773.674467592595</v>
      </c>
      <c r="G106" s="7">
        <v>1</v>
      </c>
      <c r="H106" s="21" t="s">
        <v>380</v>
      </c>
      <c r="I106" s="13">
        <v>42773.702581018515</v>
      </c>
      <c r="J106" s="7">
        <v>0</v>
      </c>
      <c r="K106" s="98" t="str">
        <f>IF(ISEVEN(B106),(B106-1)&amp;"/"&amp;B106,B106&amp;"/"&amp;(B106+1))</f>
        <v>4011/4012</v>
      </c>
      <c r="L106" s="21" t="str">
        <f>VLOOKUP(A106,'Trips&amp;Operators'!$C$1:$G$99999,5,FALSE)</f>
        <v>CLARK KATHLEEN</v>
      </c>
      <c r="M106" s="6">
        <f>I106-F106</f>
        <v>2.8113425920309965E-2</v>
      </c>
      <c r="N106" s="7">
        <f>24*60*SUM($M106:$M106)</f>
        <v>40.483333325246349</v>
      </c>
      <c r="O106" s="7"/>
      <c r="P106" s="7"/>
      <c r="Q106" s="22"/>
      <c r="R106" s="22"/>
      <c r="S106" s="31">
        <f>SUM(U106:U106)/IF(AG106="EC",12,1)</f>
        <v>1</v>
      </c>
      <c r="T106" s="46" t="str">
        <f>IF(ISEVEN(LEFT(AD106,4)),"Southbound","NorthBound")</f>
        <v>Southbound</v>
      </c>
      <c r="U106" s="190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191" t="str">
        <f>"https://d0f6bd738d7f1b3e5a7ca70fe4ff75f0.us-east-1.aws.found.io/app/kibana#/discover/Steve-Slow-Train-Analysis-(2080s-and-2083s)?_g="&amp;"(refreshInterval:(display:Off,pause:!f,section:0,value:0),time:(from:'"&amp;TEXT(E106-1/24,"yyyy-MM-DDThh:mm:ss")&amp;utc_offset&amp;"00"&amp;"',mode:absolute,to:'"&amp;TEXT(I106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106&amp;"%22')),sort:!(Time.ISO8601,asc))"</f>
        <v>https://d0f6bd738d7f1b3e5a7ca70fe4ff75f0.us-east-1.aws.found.io/app/kibana#/discover/Steve-Slow-Train-Analysis-(2080s-and-2083s)?_g=(refreshInterval:(display:Off,pause:!f,section:0,value:0),time:(from:'2017-02-07T15:03:13-0700',mode:absolute,to:'2017-02-07T17:51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06" s="192" t="str">
        <f>IF(AA106&lt;IF(AG106="EC",23,5.65),"Y","N")</f>
        <v>N</v>
      </c>
      <c r="X106" s="192">
        <f>VALUE(LEFT(AD106,4))-VALUE(LEFT(AD105,4))</f>
        <v>1</v>
      </c>
      <c r="Y106" s="62">
        <f>RIGHT(D106,LEN(D106)-4)/10000</f>
        <v>23.296700000000001</v>
      </c>
      <c r="Z106" s="62">
        <f>RIGHT(H106,LEN(H106)-4)/10000</f>
        <v>1.6299999999999999E-2</v>
      </c>
      <c r="AA106" s="62">
        <f>ABS(Z106-Y106)</f>
        <v>23.2804</v>
      </c>
      <c r="AB106" s="59" t="e">
        <f>VLOOKUP(A106,Enforcements!$C$7:$K$14,8,0)</f>
        <v>#N/A</v>
      </c>
      <c r="AC106" s="55" t="e">
        <f>VLOOKUP(A106,Enforcements!$C$7:$E$14,3,0)</f>
        <v>#N/A</v>
      </c>
      <c r="AD106" s="56" t="str">
        <f>IF(LEN(A106)=6,"0"&amp;A106,A106)</f>
        <v>0194-07</v>
      </c>
      <c r="AE106" s="85" t="str">
        <f>"aws s3 cp "&amp;s3_bucket&amp;"/RTDC"&amp;B106&amp;"/ "&amp;search_path&amp;"\RTDC"&amp;B106&amp;"\"&amp;TEXT(F106,"YYYY-MM-DD")&amp;" --exclude ""*"" --recursive --include ""*"&amp;TEXT(F106,"YYYYMMDD")&amp;"*"" &amp; """&amp;walkandungz&amp;""" "&amp;search_path&amp;"\RTDC"&amp;B106&amp;"\"&amp;TEXT(F106,"YYYY-MM-DD")
&amp;" &amp; "&amp;"aws s3 cp "&amp;s3_bucket&amp;"/RTDC"&amp;B106&amp;"/ "&amp;search_path&amp;"\RTDC"&amp;B106&amp;"\"&amp;TEXT(F106+1,"YYYY-MM-DD")&amp;" --exclude ""*"" --recursive --include ""*"&amp;TEXT(F106+1,"YYYYMMDD")&amp;"*"" &amp; """&amp;walkandungz&amp;""" "&amp;search_path&amp;"\RTDC"&amp;B106&amp;"\"&amp;TEXT(F106+1,"YYYY-MM-DD")</f>
        <v>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 &amp; aws s3 cp s3://rtdc.mdm.uploadarchive.raw/RTDC4012/ "%USERPROFILE%\AppData\Local\Temp\OnboardLogs"\RTDC4012\2017-02-08 --exclude "*" --recursive --include "*20170208*" &amp; "%USERPROFILE%\Documents\GitHub\mrs-test-scripts\Headless Mode &amp; Sideloading\WalkAndUnGZ.bat" "%USERPROFILE%\AppData\Local\Temp\OnboardLogs"\RTDC4012\2017-02-08</v>
      </c>
      <c r="AF106" s="82" t="str">
        <f>astrogrep_path&amp;" /spath="&amp;search_path&amp;" /stypes=""app*"&amp;B106&amp;"*"&amp;TEXT(I106-utc_offset/24,"YYYYMMDD")&amp;"*"" /stext="" "&amp;TEXT(I106-utc_offset/24,"HH")&amp;search_regexp&amp;""" /e /r /s"</f>
        <v>"C:\Program Files (x86)\AstroGrep\AstroGrep.exe" /spath="%USERPROFILE%\AppData\Local\Temp\OnboardLogs" /stypes="app*4012*20170207*" /stext=" 23:.+((SYSTEM_STATE.+slice.+state.+changed )|(ment ac)|(multiple cpu faults)|(system.+state.+changed )|(\[timeout)|(PRM\|1\|D)|(kpr)|(kdp)|(\|lc)|(penalty))" /e /r /s</v>
      </c>
      <c r="AG106" s="1" t="str">
        <f>IFERROR(IF(VALUE(LEFT(AD106,2))&lt;=2,"EC",IF(OR(VALUE(LEFT(AD106,2))=8,VALUE(LEFT(AD106,2))=18),"NW","Other")),"Other")</f>
        <v>EC</v>
      </c>
      <c r="AH106" s="86" t="str">
        <f t="shared" si="6"/>
        <v>"%USERPROFILE%\Documents\GitHub\eaglep3\Utilities\RefineRTDCRunTimes.py" --tripid 194-07 --locoid 4012 --swversion DE.1.0.8.0 --startMP 204:232967 --initTime 2017-02-07T16:03:13 --startdatetime 2017-02-07T16:11:14 --delay 1 --endMP 204:163 --enddatetime 2017-02-07T16:51:43 --enforcementcount 0 &gt;&gt;C:\Users\stu\Documents\GitHub\eaglep3-reporting\EC\2017-02-07-refined-times.txt</v>
      </c>
      <c r="AI106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{"issue":{"subject":"","project_id":79,"tracker_id":40,"status_id":1,"priority_id":2,"assigned_to_id":23,"start_date":"2017-02-07","description":"","custom_fields":[{"id":1,"name":"Subdivision","value":"EC"},{"id":4,"name":"Milepost","value":"0.0163"},{"id":17,"name":"Train ID","value":"194-07"},{"id":16,"name":"Locomotive ID","value":"4012"},{"id":130,"name":"Impact","value":""},{"id":150,"name":"Time of Event (Mountain Time)","value":"16:51:43"},{"id":151,"name":"Denver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48"/>
      <c r="AK106" s="48"/>
      <c r="AL106" s="48"/>
      <c r="AM106" s="158" t="str">
        <f t="shared" si="8"/>
        <v>start /low /b %USERPROFILE%\Documents\GitHub\eaglep3\Utilities\DownloadLogsFromS3.py --loco 4012 --day 2017-02-07</v>
      </c>
      <c r="AN106" s="167" t="str">
        <f>"grep -SE -B400 ""CHR.+\|PRM\|1\|D.+(SWITCH|SIGNAL).+UNKNOWN"" "&amp;search_path&amp;"\RTDC"&amp;B106&amp;"\*"&amp;B106&amp;"*"&amp;TEXT(AVERAGE(F106,I106)-utc_offset/24,"YYYYMMDD")&amp;"*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"%USERPROFILE%\AppData\Local\Temp\OnboardLogs"\RTDC4012\*4012*20170207* | grep -SE "(Enforcement Action)|(\[TIMEOUT)|(CHR.+\|PRM\|1\|D.+(SWITCH|SIGNAL).+UNKNOWN)" - &gt;&gt; 2017-02-07-UncaughtWiMAX.txt</v>
      </c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0" customFormat="1" x14ac:dyDescent="0.25">
      <c r="A107" s="33" t="s">
        <v>623</v>
      </c>
      <c r="B107" s="7">
        <v>4002</v>
      </c>
      <c r="C107" s="21" t="s">
        <v>193</v>
      </c>
      <c r="D107" s="21" t="s">
        <v>437</v>
      </c>
      <c r="E107" s="13">
        <v>42773.642071759263</v>
      </c>
      <c r="F107" s="13">
        <v>42773.646111111113</v>
      </c>
      <c r="G107" s="7">
        <v>1</v>
      </c>
      <c r="H107" s="21" t="s">
        <v>375</v>
      </c>
      <c r="I107" s="13">
        <v>42773.671388888892</v>
      </c>
      <c r="J107" s="7">
        <v>0</v>
      </c>
      <c r="K107" s="98" t="str">
        <f>IF(ISEVEN(B107),(B107-1)&amp;"/"&amp;B107,B107&amp;"/"&amp;(B107+1))</f>
        <v>4001/4002</v>
      </c>
      <c r="L107" s="21" t="str">
        <f>VLOOKUP(A107,'Trips&amp;Operators'!$C$1:$G$99999,5,FALSE)</f>
        <v>BERLING GARY</v>
      </c>
      <c r="M107" s="6">
        <f>I107-F107</f>
        <v>2.527777777868323E-2</v>
      </c>
      <c r="N107" s="7">
        <f>24*60*SUM($M107:$M107)</f>
        <v>36.400000001303852</v>
      </c>
      <c r="O107" s="7"/>
      <c r="P107" s="7"/>
      <c r="Q107" s="22"/>
      <c r="R107" s="22"/>
      <c r="S107" s="31">
        <f>SUM(U107:U107)/IF(AG107="EC",12,1)</f>
        <v>1</v>
      </c>
      <c r="T107" s="46" t="str">
        <f>IF(ISEVEN(LEFT(AD107,4)),"Southbound","NorthBound")</f>
        <v>NorthBound</v>
      </c>
      <c r="U107" s="190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191" t="str">
        <f>"https://d0f6bd738d7f1b3e5a7ca70fe4ff75f0.us-east-1.aws.found.io/app/kibana#/discover/Steve-Slow-Train-Analysis-(2080s-and-2083s)?_g="&amp;"(refreshInterval:(display:Off,pause:!f,section:0,value:0),time:(from:'"&amp;TEXT(E107-1/24,"yyyy-MM-DDThh:mm:ss")&amp;utc_offset&amp;"00"&amp;"',mode:absolute,to:'"&amp;TEXT(I107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107&amp;"%22')),sort:!(Time.ISO8601,asc))"</f>
        <v>https://d0f6bd738d7f1b3e5a7ca70fe4ff75f0.us-east-1.aws.found.io/app/kibana#/discover/Steve-Slow-Train-Analysis-(2080s-and-2083s)?_g=(refreshInterval:(display:Off,pause:!f,section:0,value:0),time:(from:'2017-02-07T14:24:35-0700',mode:absolute,to:'2017-02-07T17:06:48-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07" s="192" t="str">
        <f>IF(AA107&lt;IF(AG107="EC",23,5.65),"Y","N")</f>
        <v>N</v>
      </c>
      <c r="X107" s="192">
        <f>VALUE(LEFT(AD107,4))-VALUE(LEFT(AD106,4))</f>
        <v>1</v>
      </c>
      <c r="Y107" s="62">
        <f>RIGHT(D107,LEN(D107)-4)/10000</f>
        <v>4.8000000000000001E-2</v>
      </c>
      <c r="Z107" s="62">
        <f>RIGHT(H107,LEN(H107)-4)/10000</f>
        <v>23.329699999999999</v>
      </c>
      <c r="AA107" s="62">
        <f>ABS(Z107-Y107)</f>
        <v>23.281700000000001</v>
      </c>
      <c r="AB107" s="59" t="e">
        <f>VLOOKUP(A107,Enforcements!$C$7:$K$14,8,0)</f>
        <v>#N/A</v>
      </c>
      <c r="AC107" s="55" t="e">
        <f>VLOOKUP(A107,Enforcements!$C$7:$E$14,3,0)</f>
        <v>#N/A</v>
      </c>
      <c r="AD107" s="56" t="str">
        <f>IF(LEN(A107)=6,"0"&amp;A107,A107)</f>
        <v>0195-07</v>
      </c>
      <c r="AE107" s="85" t="str">
        <f>"aws s3 cp "&amp;s3_bucket&amp;"/RTDC"&amp;B107&amp;"/ "&amp;search_path&amp;"\RTDC"&amp;B107&amp;"\"&amp;TEXT(F107,"YYYY-MM-DD")&amp;" --exclude ""*"" --recursive --include ""*"&amp;TEXT(F107,"YYYYMMDD")&amp;"*"" &amp; """&amp;walkandungz&amp;""" "&amp;search_path&amp;"\RTDC"&amp;B107&amp;"\"&amp;TEXT(F107,"YYYY-MM-DD")
&amp;" &amp; "&amp;"aws s3 cp "&amp;s3_bucket&amp;"/RTDC"&amp;B107&amp;"/ "&amp;search_path&amp;"\RTDC"&amp;B107&amp;"\"&amp;TEXT(F107+1,"YYYY-MM-DD")&amp;" --exclude ""*"" --recursive --include ""*"&amp;TEXT(F107+1,"YYYYMMDD")&amp;"*"" &amp; """&amp;walkandungz&amp;""" "&amp;search_path&amp;"\RTDC"&amp;B107&amp;"\"&amp;TEXT(F107+1,"YYYY-MM-DD")</f>
        <v>aws s3 cp s3://rtdc.mdm.uploadarchive.raw/RTDC4002/ "%USERPROFILE%\AppData\Local\Temp\OnboardLogs"\RTDC4002\2017-02-07 --exclude "*" --recursive --include "*20170207*" &amp; "%USERPROFILE%\Documents\GitHub\mrs-test-scripts\Headless Mode &amp; Sideloading\WalkAndUnGZ.bat" "%USERPROFILE%\AppData\Local\Temp\OnboardLogs"\RTDC4002\2017-02-07 &amp; aws s3 cp s3://rtdc.mdm.uploadarchive.raw/RTDC4002/ "%USERPROFILE%\AppData\Local\Temp\OnboardLogs"\RTDC4002\2017-02-08 --exclude "*" --recursive --include "*20170208*" &amp; "%USERPROFILE%\Documents\GitHub\mrs-test-scripts\Headless Mode &amp; Sideloading\WalkAndUnGZ.bat" "%USERPROFILE%\AppData\Local\Temp\OnboardLogs"\RTDC4002\2017-02-08</v>
      </c>
      <c r="AF107" s="82" t="str">
        <f>astrogrep_path&amp;" /spath="&amp;search_path&amp;" /stypes=""app*"&amp;B107&amp;"*"&amp;TEXT(I107-utc_offset/24,"YYYYMMDD")&amp;"*"" /stext="" "&amp;TEXT(I107-utc_offset/24,"HH")&amp;search_regexp&amp;""" /e /r /s"</f>
        <v>"C:\Program Files (x86)\AstroGrep\AstroGrep.exe" /spath="%USERPROFILE%\AppData\Local\Temp\OnboardLogs" /stypes="app*4002*20170207*" /stext=" 23:.+((SYSTEM_STATE.+slice.+state.+changed )|(ment ac)|(multiple cpu faults)|(system.+state.+changed )|(\[timeout)|(PRM\|1\|D)|(kpr)|(kdp)|(\|lc)|(penalty))" /e /r /s</v>
      </c>
      <c r="AG107" s="1" t="str">
        <f>IFERROR(IF(VALUE(LEFT(AD107,2))&lt;=2,"EC",IF(OR(VALUE(LEFT(AD107,2))=8,VALUE(LEFT(AD107,2))=18),"NW","Other")),"Other")</f>
        <v>EC</v>
      </c>
      <c r="AH107" s="86" t="str">
        <f t="shared" si="6"/>
        <v>"%USERPROFILE%\Documents\GitHub\eaglep3\Utilities\RefineRTDCRunTimes.py" --tripid 195-07 --locoid 4002 --swversion DE.1.0.8.0 --startMP 204:480 --initTime 2017-02-07T15:24:35 --startdatetime 2017-02-07T15:30:24 --delay 1 --endMP 204:233297 --enddatetime 2017-02-07T16:06:48 --enforcementcount 0 &gt;&gt;C:\Users\stu\Documents\GitHub\eaglep3-reporting\EC\2017-02-07-refined-times.txt</v>
      </c>
      <c r="AI107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{"issue":{"subject":"","project_id":79,"tracker_id":40,"status_id":1,"priority_id":2,"assigned_to_id":23,"start_date":"2017-02-07","description":"","custom_fields":[{"id":1,"name":"Subdivision","value":"EC"},{"id":4,"name":"Milepost","value":"23.3297"},{"id":17,"name":"Train ID","value":"195-07"},{"id":16,"name":"Locomotive ID","value":"4002"},{"id":130,"name":"Impact","value":""},{"id":150,"name":"Time of Event (Mountain Time)","value":"16:06:48"},{"id":151,"name":"Denver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48"/>
      <c r="AK107" s="48"/>
      <c r="AL107" s="48"/>
      <c r="AM107" s="158" t="str">
        <f t="shared" si="8"/>
        <v>start /low /b %USERPROFILE%\Documents\GitHub\eaglep3\Utilities\DownloadLogsFromS3.py --loco 4002 --day 2017-02-07</v>
      </c>
      <c r="AN107" s="167" t="str">
        <f>"grep -SE -B400 ""CHR.+\|PRM\|1\|D.+(SWITCH|SIGNAL).+UNKNOWN"" "&amp;search_path&amp;"\RTDC"&amp;B107&amp;"\*"&amp;B107&amp;"*"&amp;TEXT(AVERAGE(F107,I107)-utc_offset/24,"YYYYMMDD")&amp;"*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"%USERPROFILE%\AppData\Local\Temp\OnboardLogs"\RTDC4002\*4002*20170207* | grep -SE "(Enforcement Action)|(\[TIMEOUT)|(CHR.+\|PRM\|1\|D.+(SWITCH|SIGNAL).+UNKNOWN)" - &gt;&gt; 2017-02-07-UncaughtWiMAX.txt</v>
      </c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0" customFormat="1" x14ac:dyDescent="0.25">
      <c r="A108" s="33" t="s">
        <v>631</v>
      </c>
      <c r="B108" s="7">
        <v>4001</v>
      </c>
      <c r="C108" s="21" t="s">
        <v>193</v>
      </c>
      <c r="D108" s="21" t="s">
        <v>728</v>
      </c>
      <c r="E108" s="13">
        <v>42773.67931712963</v>
      </c>
      <c r="F108" s="13">
        <v>42773.684965277775</v>
      </c>
      <c r="G108" s="7">
        <v>1</v>
      </c>
      <c r="H108" s="21" t="s">
        <v>235</v>
      </c>
      <c r="I108" s="13">
        <v>42773.712650462963</v>
      </c>
      <c r="J108" s="7">
        <v>0</v>
      </c>
      <c r="K108" s="98" t="str">
        <f>IF(ISEVEN(B108),(B108-1)&amp;"/"&amp;B108,B108&amp;"/"&amp;(B108+1))</f>
        <v>4001/4002</v>
      </c>
      <c r="L108" s="21" t="str">
        <f>VLOOKUP(A108,'Trips&amp;Operators'!$C$1:$G$99999,5,FALSE)</f>
        <v>BERLING GARY</v>
      </c>
      <c r="M108" s="6">
        <f>I108-F108</f>
        <v>2.768518518860219E-2</v>
      </c>
      <c r="N108" s="7">
        <f>24*60*SUM($M108:$M108)</f>
        <v>39.866666671587154</v>
      </c>
      <c r="O108" s="7"/>
      <c r="P108" s="7"/>
      <c r="Q108" s="22"/>
      <c r="R108" s="22"/>
      <c r="S108" s="31">
        <f>SUM(U108:U108)/IF(AG108="EC",12,1)</f>
        <v>1</v>
      </c>
      <c r="T108" s="46" t="str">
        <f>IF(ISEVEN(LEFT(AD108,4)),"Southbound","NorthBound")</f>
        <v>Southbound</v>
      </c>
      <c r="U108" s="190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191" t="str">
        <f>"https://d0f6bd738d7f1b3e5a7ca70fe4ff75f0.us-east-1.aws.found.io/app/kibana#/discover/Steve-Slow-Train-Analysis-(2080s-and-2083s)?_g="&amp;"(refreshInterval:(display:Off,pause:!f,section:0,value:0),time:(from:'"&amp;TEXT(E108-1/24,"yyyy-MM-DDThh:mm:ss")&amp;utc_offset&amp;"00"&amp;"',mode:absolute,to:'"&amp;TEXT(I108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108&amp;"%22')),sort:!(Time.ISO8601,asc))"</f>
        <v>https://d0f6bd738d7f1b3e5a7ca70fe4ff75f0.us-east-1.aws.found.io/app/kibana#/discover/Steve-Slow-Train-Analysis-(2080s-and-2083s)?_g=(refreshInterval:(display:Off,pause:!f,section:0,value:0),time:(from:'2017-02-07T15:18:13-0700',mode:absolute,to:'2017-02-07T18:06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08" s="192" t="str">
        <f>IF(AA108&lt;IF(AG108="EC",23,5.65),"Y","N")</f>
        <v>N</v>
      </c>
      <c r="X108" s="192">
        <f>VALUE(LEFT(AD108,4))-VALUE(LEFT(AD107,4))</f>
        <v>1</v>
      </c>
      <c r="Y108" s="62">
        <f>RIGHT(D108,LEN(D108)-4)/10000</f>
        <v>23.300799999999999</v>
      </c>
      <c r="Z108" s="62">
        <f>RIGHT(H108,LEN(H108)-4)/10000</f>
        <v>1.43E-2</v>
      </c>
      <c r="AA108" s="62">
        <f>ABS(Z108-Y108)</f>
        <v>23.2865</v>
      </c>
      <c r="AB108" s="59" t="e">
        <f>VLOOKUP(A108,Enforcements!$C$7:$K$14,8,0)</f>
        <v>#N/A</v>
      </c>
      <c r="AC108" s="55" t="e">
        <f>VLOOKUP(A108,Enforcements!$C$7:$E$14,3,0)</f>
        <v>#N/A</v>
      </c>
      <c r="AD108" s="56" t="str">
        <f>IF(LEN(A108)=6,"0"&amp;A108,A108)</f>
        <v>0196-07</v>
      </c>
      <c r="AE108" s="85" t="str">
        <f>"aws s3 cp "&amp;s3_bucket&amp;"/RTDC"&amp;B108&amp;"/ "&amp;search_path&amp;"\RTDC"&amp;B108&amp;"\"&amp;TEXT(F108,"YYYY-MM-DD")&amp;" --exclude ""*"" --recursive --include ""*"&amp;TEXT(F108,"YYYYMMDD")&amp;"*"" &amp; """&amp;walkandungz&amp;""" "&amp;search_path&amp;"\RTDC"&amp;B108&amp;"\"&amp;TEXT(F108,"YYYY-MM-DD")
&amp;" &amp; "&amp;"aws s3 cp "&amp;s3_bucket&amp;"/RTDC"&amp;B108&amp;"/ "&amp;search_path&amp;"\RTDC"&amp;B108&amp;"\"&amp;TEXT(F108+1,"YYYY-MM-DD")&amp;" --exclude ""*"" --recursive --include ""*"&amp;TEXT(F108+1,"YYYYMMDD")&amp;"*"" &amp; """&amp;walkandungz&amp;""" "&amp;search_path&amp;"\RTDC"&amp;B108&amp;"\"&amp;TEXT(F108+1,"YYYY-MM-DD")</f>
        <v>aws s3 cp s3://rtdc.mdm.uploadarchive.raw/RTDC4001/ "%USERPROFILE%\AppData\Local\Temp\OnboardLogs"\RTDC4001\2017-02-07 --exclude "*" --recursive --include "*20170207*" &amp; "%USERPROFILE%\Documents\GitHub\mrs-test-scripts\Headless Mode &amp; Sideloading\WalkAndUnGZ.bat" "%USERPROFILE%\AppData\Local\Temp\OnboardLogs"\RTDC4001\2017-02-07 &amp; aws s3 cp s3://rtdc.mdm.uploadarchive.raw/RTDC4001/ "%USERPROFILE%\AppData\Local\Temp\OnboardLogs"\RTDC4001\2017-02-08 --exclude "*" --recursive --include "*20170208*" &amp; "%USERPROFILE%\Documents\GitHub\mrs-test-scripts\Headless Mode &amp; Sideloading\WalkAndUnGZ.bat" "%USERPROFILE%\AppData\Local\Temp\OnboardLogs"\RTDC4001\2017-02-08</v>
      </c>
      <c r="AF108" s="82" t="str">
        <f>astrogrep_path&amp;" /spath="&amp;search_path&amp;" /stypes=""app*"&amp;B108&amp;"*"&amp;TEXT(I108-utc_offset/24,"YYYYMMDD")&amp;"*"" /stext="" "&amp;TEXT(I108-utc_offset/24,"HH")&amp;search_regexp&amp;""" /e /r /s"</f>
        <v>"C:\Program Files (x86)\AstroGrep\AstroGrep.exe" /spath="%USERPROFILE%\AppData\Local\Temp\OnboardLogs" /stypes="app*4001*20170208*" /stext=" 00:.+((SYSTEM_STATE.+slice.+state.+changed )|(ment ac)|(multiple cpu faults)|(system.+state.+changed )|(\[timeout)|(PRM\|1\|D)|(kpr)|(kdp)|(\|lc)|(penalty))" /e /r /s</v>
      </c>
      <c r="AG108" s="1" t="str">
        <f>IFERROR(IF(VALUE(LEFT(AD108,2))&lt;=2,"EC",IF(OR(VALUE(LEFT(AD108,2))=8,VALUE(LEFT(AD108,2))=18),"NW","Other")),"Other")</f>
        <v>EC</v>
      </c>
      <c r="AH108" s="86" t="str">
        <f t="shared" si="6"/>
        <v>"%USERPROFILE%\Documents\GitHub\eaglep3\Utilities\RefineRTDCRunTimes.py" --tripid 196-07 --locoid 4001 --swversion DE.1.0.8.0 --startMP 204:233008 --initTime 2017-02-07T16:18:13 --startdatetime 2017-02-07T16:26:21 --delay 1 --endMP 204:143 --enddatetime 2017-02-07T17:06:13 --enforcementcount 0 &gt;&gt;C:\Users\stu\Documents\GitHub\eaglep3-reporting\EC\2017-02-07-refined-times.txt</v>
      </c>
      <c r="AI108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{"issue":{"subject":"","project_id":79,"tracker_id":40,"status_id":1,"priority_id":2,"assigned_to_id":23,"start_date":"2017-02-07","description":"","custom_fields":[{"id":1,"name":"Subdivision","value":"EC"},{"id":4,"name":"Milepost","value":"0.0143"},{"id":17,"name":"Train ID","value":"196-07"},{"id":16,"name":"Locomotive ID","value":"4001"},{"id":130,"name":"Impact","value":""},{"id":150,"name":"Time of Event (Mountain Time)","value":"17:06:13"},{"id":151,"name":"Denver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48"/>
      <c r="AK108" s="48"/>
      <c r="AL108" s="48"/>
      <c r="AM108" s="158" t="str">
        <f t="shared" si="8"/>
        <v>start /low /b %USERPROFILE%\Documents\GitHub\eaglep3\Utilities\DownloadLogsFromS3.py --loco 4001 --day 2017-02-07</v>
      </c>
      <c r="AN108" s="167" t="str">
        <f>"grep -SE -B400 ""CHR.+\|PRM\|1\|D.+(SWITCH|SIGNAL).+UNKNOWN"" "&amp;search_path&amp;"\RTDC"&amp;B108&amp;"\*"&amp;B108&amp;"*"&amp;TEXT(AVERAGE(F108,I108)-utc_offset/24,"YYYYMMDD")&amp;"*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"%USERPROFILE%\AppData\Local\Temp\OnboardLogs"\RTDC4001\*4001*20170207* | grep -SE "(Enforcement Action)|(\[TIMEOUT)|(CHR.+\|PRM\|1\|D.+(SWITCH|SIGNAL).+UNKNOWN)" - &gt;&gt; 2017-02-07-UncaughtWiMAX.txt</v>
      </c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0" customFormat="1" x14ac:dyDescent="0.25">
      <c r="A109" s="33" t="s">
        <v>625</v>
      </c>
      <c r="B109" s="7">
        <v>4038</v>
      </c>
      <c r="C109" s="21" t="s">
        <v>193</v>
      </c>
      <c r="D109" s="21" t="s">
        <v>354</v>
      </c>
      <c r="E109" s="13">
        <v>42773.651886574073</v>
      </c>
      <c r="F109" s="13">
        <v>42773.656435185185</v>
      </c>
      <c r="G109" s="7">
        <v>1</v>
      </c>
      <c r="H109" s="21" t="s">
        <v>753</v>
      </c>
      <c r="I109" s="13">
        <v>42773.682337962964</v>
      </c>
      <c r="J109" s="7">
        <v>0</v>
      </c>
      <c r="K109" s="98" t="str">
        <f>IF(ISEVEN(B109),(B109-1)&amp;"/"&amp;B109,B109&amp;"/"&amp;(B109+1))</f>
        <v>4037/4038</v>
      </c>
      <c r="L109" s="21" t="str">
        <f>VLOOKUP(A109,'Trips&amp;Operators'!$C$1:$G$99999,5,FALSE)</f>
        <v>ROMERO CHAD</v>
      </c>
      <c r="M109" s="6">
        <f>I109-F109</f>
        <v>2.5902777779265307E-2</v>
      </c>
      <c r="N109" s="7">
        <f>24*60*SUM($M109:$M109)</f>
        <v>37.300000002142042</v>
      </c>
      <c r="O109" s="7"/>
      <c r="P109" s="7"/>
      <c r="Q109" s="22"/>
      <c r="R109" s="22"/>
      <c r="S109" s="31">
        <f>SUM(U109:U109)/IF(AG109="EC",12,1)</f>
        <v>1</v>
      </c>
      <c r="T109" s="46" t="str">
        <f>IF(ISEVEN(LEFT(AD109,4)),"Southbound","NorthBound")</f>
        <v>NorthBound</v>
      </c>
      <c r="U109" s="190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191" t="str">
        <f>"https://d0f6bd738d7f1b3e5a7ca70fe4ff75f0.us-east-1.aws.found.io/app/kibana#/discover/Steve-Slow-Train-Analysis-(2080s-and-2083s)?_g="&amp;"(refreshInterval:(display:Off,pause:!f,section:0,value:0),time:(from:'"&amp;TEXT(E109-1/24,"yyyy-MM-DDThh:mm:ss")&amp;utc_offset&amp;"00"&amp;"',mode:absolute,to:'"&amp;TEXT(I109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109&amp;"%22')),sort:!(Time.ISO8601,asc))"</f>
        <v>https://d0f6bd738d7f1b3e5a7ca70fe4ff75f0.us-east-1.aws.found.io/app/kibana#/discover/Steve-Slow-Train-Analysis-(2080s-and-2083s)?_g=(refreshInterval:(display:Off,pause:!f,section:0,value:0),time:(from:'2017-02-07T14:38:43-0700',mode:absolute,to:'2017-02-07T17:22:34-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09" s="192" t="str">
        <f>IF(AA109&lt;IF(AG109="EC",23,5.65),"Y","N")</f>
        <v>N</v>
      </c>
      <c r="X109" s="192">
        <f>VALUE(LEFT(AD109,4))-VALUE(LEFT(AD108,4))</f>
        <v>1</v>
      </c>
      <c r="Y109" s="62">
        <f>RIGHT(D109,LEN(D109)-4)/10000</f>
        <v>4.6600000000000003E-2</v>
      </c>
      <c r="Z109" s="62">
        <f>RIGHT(H109,LEN(H109)-4)/10000</f>
        <v>23.331800000000001</v>
      </c>
      <c r="AA109" s="62">
        <f>ABS(Z109-Y109)</f>
        <v>23.2852</v>
      </c>
      <c r="AB109" s="59" t="e">
        <f>VLOOKUP(A109,Enforcements!$C$7:$K$14,8,0)</f>
        <v>#N/A</v>
      </c>
      <c r="AC109" s="55" t="e">
        <f>VLOOKUP(A109,Enforcements!$C$7:$E$14,3,0)</f>
        <v>#N/A</v>
      </c>
      <c r="AD109" s="56" t="str">
        <f>IF(LEN(A109)=6,"0"&amp;A109,A109)</f>
        <v>0197-07</v>
      </c>
      <c r="AE109" s="85" t="str">
        <f>"aws s3 cp "&amp;s3_bucket&amp;"/RTDC"&amp;B109&amp;"/ "&amp;search_path&amp;"\RTDC"&amp;B109&amp;"\"&amp;TEXT(F109,"YYYY-MM-DD")&amp;" --exclude ""*"" --recursive --include ""*"&amp;TEXT(F109,"YYYYMMDD")&amp;"*"" &amp; """&amp;walkandungz&amp;""" "&amp;search_path&amp;"\RTDC"&amp;B109&amp;"\"&amp;TEXT(F109,"YYYY-MM-DD")
&amp;" &amp; "&amp;"aws s3 cp "&amp;s3_bucket&amp;"/RTDC"&amp;B109&amp;"/ "&amp;search_path&amp;"\RTDC"&amp;B109&amp;"\"&amp;TEXT(F109+1,"YYYY-MM-DD")&amp;" --exclude ""*"" --recursive --include ""*"&amp;TEXT(F109+1,"YYYYMMDD")&amp;"*"" &amp; """&amp;walkandungz&amp;""" "&amp;search_path&amp;"\RTDC"&amp;B109&amp;"\"&amp;TEXT(F109+1,"YYYY-MM-DD")</f>
        <v>aws s3 cp s3://rtdc.mdm.uploadarchive.raw/RTDC4038/ "%USERPROFILE%\AppData\Local\Temp\OnboardLogs"\RTDC4038\2017-02-07 --exclude "*" --recursive --include "*20170207*" &amp; "%USERPROFILE%\Documents\GitHub\mrs-test-scripts\Headless Mode &amp; Sideloading\WalkAndUnGZ.bat" "%USERPROFILE%\AppData\Local\Temp\OnboardLogs"\RTDC4038\2017-02-07 &amp; aws s3 cp s3://rtdc.mdm.uploadarchive.raw/RTDC4038/ "%USERPROFILE%\AppData\Local\Temp\OnboardLogs"\RTDC4038\2017-02-08 --exclude "*" --recursive --include "*20170208*" &amp; "%USERPROFILE%\Documents\GitHub\mrs-test-scripts\Headless Mode &amp; Sideloading\WalkAndUnGZ.bat" "%USERPROFILE%\AppData\Local\Temp\OnboardLogs"\RTDC4038\2017-02-08</v>
      </c>
      <c r="AF109" s="82" t="str">
        <f>astrogrep_path&amp;" /spath="&amp;search_path&amp;" /stypes=""app*"&amp;B109&amp;"*"&amp;TEXT(I109-utc_offset/24,"YYYYMMDD")&amp;"*"" /stext="" "&amp;TEXT(I109-utc_offset/24,"HH")&amp;search_regexp&amp;""" /e /r /s"</f>
        <v>"C:\Program Files (x86)\AstroGrep\AstroGrep.exe" /spath="%USERPROFILE%\AppData\Local\Temp\OnboardLogs" /stypes="app*4038*20170207*" /stext=" 23:.+((SYSTEM_STATE.+slice.+state.+changed )|(ment ac)|(multiple cpu faults)|(system.+state.+changed )|(\[timeout)|(PRM\|1\|D)|(kpr)|(kdp)|(\|lc)|(penalty))" /e /r /s</v>
      </c>
      <c r="AG109" s="1" t="str">
        <f>IFERROR(IF(VALUE(LEFT(AD109,2))&lt;=2,"EC",IF(OR(VALUE(LEFT(AD109,2))=8,VALUE(LEFT(AD109,2))=18),"NW","Other")),"Other")</f>
        <v>EC</v>
      </c>
      <c r="AH109" s="86" t="str">
        <f t="shared" si="6"/>
        <v>"%USERPROFILE%\Documents\GitHub\eaglep3\Utilities\RefineRTDCRunTimes.py" --tripid 197-07 --locoid 4038 --swversion DE.1.0.8.0 --startMP 204:466 --initTime 2017-02-07T15:38:43 --startdatetime 2017-02-07T15:45:16 --delay 1 --endMP 204:233318 --enddatetime 2017-02-07T16:22:34 --enforcementcount 0 &gt;&gt;C:\Users\stu\Documents\GitHub\eaglep3-reporting\EC\2017-02-07-refined-times.txt</v>
      </c>
      <c r="AI109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{"issue":{"subject":"","project_id":79,"tracker_id":40,"status_id":1,"priority_id":2,"assigned_to_id":23,"start_date":"2017-02-07","description":"","custom_fields":[{"id":1,"name":"Subdivision","value":"EC"},{"id":4,"name":"Milepost","value":"23.3318"},{"id":17,"name":"Train ID","value":"197-07"},{"id":16,"name":"Locomotive ID","value":"4038"},{"id":130,"name":"Impact","value":""},{"id":150,"name":"Time of Event (Mountain Time)","value":"16:22:34"},{"id":151,"name":"Denver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48"/>
      <c r="AK109" s="48"/>
      <c r="AL109" s="48"/>
      <c r="AM109" s="158" t="str">
        <f t="shared" si="8"/>
        <v>start /low /b %USERPROFILE%\Documents\GitHub\eaglep3\Utilities\DownloadLogsFromS3.py --loco 4038 --day 2017-02-07</v>
      </c>
      <c r="AN109" s="167" t="str">
        <f>"grep -SE -B400 ""CHR.+\|PRM\|1\|D.+(SWITCH|SIGNAL).+UNKNOWN"" "&amp;search_path&amp;"\RTDC"&amp;B109&amp;"\*"&amp;B109&amp;"*"&amp;TEXT(AVERAGE(F109,I109)-utc_offset/24,"YYYYMMDD")&amp;"*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"%USERPROFILE%\AppData\Local\Temp\OnboardLogs"\RTDC4038\*4038*20170207* | grep -SE "(Enforcement Action)|(\[TIMEOUT)|(CHR.+\|PRM\|1\|D.+(SWITCH|SIGNAL).+UNKNOWN)" - &gt;&gt; 2017-02-07-UncaughtWiMAX.txt</v>
      </c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x14ac:dyDescent="0.25">
      <c r="A110" s="33" t="s">
        <v>632</v>
      </c>
      <c r="B110" s="7">
        <v>4037</v>
      </c>
      <c r="C110" s="21" t="s">
        <v>193</v>
      </c>
      <c r="D110" s="21" t="s">
        <v>750</v>
      </c>
      <c r="E110" s="13">
        <v>42773.683645833335</v>
      </c>
      <c r="F110" s="13">
        <v>42773.6953125</v>
      </c>
      <c r="G110" s="7">
        <v>1</v>
      </c>
      <c r="H110" s="21" t="s">
        <v>754</v>
      </c>
      <c r="I110" s="13">
        <v>42773.723530092589</v>
      </c>
      <c r="J110" s="7">
        <v>0</v>
      </c>
      <c r="K110" s="98" t="str">
        <f>IF(ISEVEN(B110),(B110-1)&amp;"/"&amp;B110,B110&amp;"/"&amp;(B110+1))</f>
        <v>4037/4038</v>
      </c>
      <c r="L110" s="21" t="str">
        <f>VLOOKUP(A110,'Trips&amp;Operators'!$C$1:$G$99999,5,FALSE)</f>
        <v>ROMERO CHAD</v>
      </c>
      <c r="M110" s="6">
        <f>I110-F110</f>
        <v>2.8217592589498963E-2</v>
      </c>
      <c r="N110" s="7">
        <f>24*60*SUM($M110:$M110)</f>
        <v>40.633333328878507</v>
      </c>
      <c r="O110" s="7"/>
      <c r="P110" s="7"/>
      <c r="Q110" s="22"/>
      <c r="R110" s="22"/>
      <c r="S110" s="31">
        <f>SUM(U110:U110)/IF(AG110="EC",12,1)</f>
        <v>1</v>
      </c>
      <c r="T110" s="46" t="str">
        <f>IF(ISEVEN(LEFT(AD110,4)),"Southbound","NorthBound")</f>
        <v>Southbound</v>
      </c>
      <c r="U110" s="190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191" t="str">
        <f>"https://d0f6bd738d7f1b3e5a7ca70fe4ff75f0.us-east-1.aws.found.io/app/kibana#/discover/Steve-Slow-Train-Analysis-(2080s-and-2083s)?_g="&amp;"(refreshInterval:(display:Off,pause:!f,section:0,value:0),time:(from:'"&amp;TEXT(E110-1/24,"yyyy-MM-DDThh:mm:ss")&amp;utc_offset&amp;"00"&amp;"',mode:absolute,to:'"&amp;TEXT(I110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110&amp;"%22')),sort:!(Time.ISO8601,asc))"</f>
        <v>https://d0f6bd738d7f1b3e5a7ca70fe4ff75f0.us-east-1.aws.found.io/app/kibana#/discover/Steve-Slow-Train-Analysis-(2080s-and-2083s)?_g=(refreshInterval:(display:Off,pause:!f,section:0,value:0),time:(from:'2017-02-07T15:24:27-0700',mode:absolute,to:'2017-02-07T18:21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10" s="192" t="str">
        <f>IF(AA110&lt;IF(AG110="EC",23,5.65),"Y","N")</f>
        <v>N</v>
      </c>
      <c r="X110" s="192">
        <f>VALUE(LEFT(AD110,4))-VALUE(LEFT(AD109,4))</f>
        <v>1</v>
      </c>
      <c r="Y110" s="62">
        <f>RIGHT(D110,LEN(D110)-4)/10000</f>
        <v>23.2986</v>
      </c>
      <c r="Z110" s="62">
        <f>RIGHT(H110,LEN(H110)-4)/10000</f>
        <v>1.3599999999999999E-2</v>
      </c>
      <c r="AA110" s="62">
        <f>ABS(Z110-Y110)</f>
        <v>23.285</v>
      </c>
      <c r="AB110" s="59" t="e">
        <f>VLOOKUP(A110,Enforcements!$C$7:$K$14,8,0)</f>
        <v>#N/A</v>
      </c>
      <c r="AC110" s="55" t="e">
        <f>VLOOKUP(A110,Enforcements!$C$7:$E$14,3,0)</f>
        <v>#N/A</v>
      </c>
      <c r="AD110" s="56" t="str">
        <f>IF(LEN(A110)=6,"0"&amp;A110,A110)</f>
        <v>0198-07</v>
      </c>
      <c r="AE110" s="85" t="str">
        <f>"aws s3 cp "&amp;s3_bucket&amp;"/RTDC"&amp;B110&amp;"/ "&amp;search_path&amp;"\RTDC"&amp;B110&amp;"\"&amp;TEXT(F110,"YYYY-MM-DD")&amp;" --exclude ""*"" --recursive --include ""*"&amp;TEXT(F110,"YYYYMMDD")&amp;"*"" &amp; """&amp;walkandungz&amp;""" "&amp;search_path&amp;"\RTDC"&amp;B110&amp;"\"&amp;TEXT(F110,"YYYY-MM-DD")
&amp;" &amp; "&amp;"aws s3 cp "&amp;s3_bucket&amp;"/RTDC"&amp;B110&amp;"/ "&amp;search_path&amp;"\RTDC"&amp;B110&amp;"\"&amp;TEXT(F110+1,"YYYY-MM-DD")&amp;" --exclude ""*"" --recursive --include ""*"&amp;TEXT(F110+1,"YYYYMMDD")&amp;"*"" &amp; """&amp;walkandungz&amp;""" "&amp;search_path&amp;"\RTDC"&amp;B110&amp;"\"&amp;TEXT(F110+1,"YYYY-MM-DD")</f>
        <v>aws s3 cp s3://rtdc.mdm.uploadarchive.raw/RTDC4037/ "%USERPROFILE%\AppData\Local\Temp\OnboardLogs"\RTDC4037\2017-02-07 --exclude "*" --recursive --include "*20170207*" &amp; "%USERPROFILE%\Documents\GitHub\mrs-test-scripts\Headless Mode &amp; Sideloading\WalkAndUnGZ.bat" "%USERPROFILE%\AppData\Local\Temp\OnboardLogs"\RTDC4037\2017-02-07 &amp; aws s3 cp s3://rtdc.mdm.uploadarchive.raw/RTDC4037/ "%USERPROFILE%\AppData\Local\Temp\OnboardLogs"\RTDC4037\2017-02-08 --exclude "*" --recursive --include "*20170208*" &amp; "%USERPROFILE%\Documents\GitHub\mrs-test-scripts\Headless Mode &amp; Sideloading\WalkAndUnGZ.bat" "%USERPROFILE%\AppData\Local\Temp\OnboardLogs"\RTDC4037\2017-02-08</v>
      </c>
      <c r="AF110" s="82" t="str">
        <f>astrogrep_path&amp;" /spath="&amp;search_path&amp;" /stypes=""app*"&amp;B110&amp;"*"&amp;TEXT(I110-utc_offset/24,"YYYYMMDD")&amp;"*"" /stext="" "&amp;TEXT(I110-utc_offset/24,"HH")&amp;search_regexp&amp;""" /e /r /s"</f>
        <v>"C:\Program Files (x86)\AstroGrep\AstroGrep.exe" /spath="%USERPROFILE%\AppData\Local\Temp\OnboardLogs" /stypes="app*4037*20170208*" /stext=" 00:.+((SYSTEM_STATE.+slice.+state.+changed )|(ment ac)|(multiple cpu faults)|(system.+state.+changed )|(\[timeout)|(PRM\|1\|D)|(kpr)|(kdp)|(\|lc)|(penalty))" /e /r /s</v>
      </c>
      <c r="AG110" s="1" t="str">
        <f>IFERROR(IF(VALUE(LEFT(AD110,2))&lt;=2,"EC",IF(OR(VALUE(LEFT(AD110,2))=8,VALUE(LEFT(AD110,2))=18),"NW","Other")),"Other")</f>
        <v>EC</v>
      </c>
      <c r="AH110" s="86" t="str">
        <f t="shared" si="6"/>
        <v>"%USERPROFILE%\Documents\GitHub\eaglep3\Utilities\RefineRTDCRunTimes.py" --tripid 198-07 --locoid 4037 --swversion DE.1.0.8.0 --startMP 204:232986 --initTime 2017-02-07T16:24:27 --startdatetime 2017-02-07T16:41:15 --delay 1 --endMP 204:136 --enddatetime 2017-02-07T17:21:53 --enforcementcount 0 &gt;&gt;C:\Users\stu\Documents\GitHub\eaglep3-reporting\EC\2017-02-07-refined-times.txt</v>
      </c>
      <c r="AI110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{"issue":{"subject":"","project_id":79,"tracker_id":40,"status_id":1,"priority_id":2,"assigned_to_id":23,"start_date":"2017-02-07","description":"","custom_fields":[{"id":1,"name":"Subdivision","value":"EC"},{"id":4,"name":"Milepost","value":"0.0136"},{"id":17,"name":"Train ID","value":"198-07"},{"id":16,"name":"Locomotive ID","value":"4037"},{"id":130,"name":"Impact","value":""},{"id":150,"name":"Time of Event (Mountain Time)","value":"17:21:53"},{"id":151,"name":"Denver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48"/>
      <c r="AK110" s="48"/>
      <c r="AL110" s="48"/>
      <c r="AM110" s="158" t="str">
        <f t="shared" si="8"/>
        <v>start /low /b %USERPROFILE%\Documents\GitHub\eaglep3\Utilities\DownloadLogsFromS3.py --loco 4037 --day 2017-02-07</v>
      </c>
      <c r="AN110" s="167" t="str">
        <f>"grep -SE -B400 ""CHR.+\|PRM\|1\|D.+(SWITCH|SIGNAL).+UNKNOWN"" "&amp;search_path&amp;"\RTDC"&amp;B110&amp;"\*"&amp;B110&amp;"*"&amp;TEXT(AVERAGE(F110,I110)-utc_offset/24,"YYYYMMDD")&amp;"*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"%USERPROFILE%\AppData\Local\Temp\OnboardLogs"\RTDC4037\*4037*20170208* | grep -SE "(Enforcement Action)|(\[TIMEOUT)|(CHR.+\|PRM\|1\|D.+(SWITCH|SIGNAL).+UNKNOWN)" - &gt;&gt; 2017-02-07-UncaughtWiMAX.txt</v>
      </c>
    </row>
    <row r="111" spans="1:91" s="20" customFormat="1" x14ac:dyDescent="0.25">
      <c r="A111" s="33" t="s">
        <v>627</v>
      </c>
      <c r="B111" s="7">
        <v>4031</v>
      </c>
      <c r="C111" s="21" t="s">
        <v>193</v>
      </c>
      <c r="D111" s="21" t="s">
        <v>755</v>
      </c>
      <c r="E111" s="13">
        <v>42773.659594907411</v>
      </c>
      <c r="F111" s="13">
        <v>42773.667048611111</v>
      </c>
      <c r="G111" s="7">
        <v>2</v>
      </c>
      <c r="H111" s="21" t="s">
        <v>727</v>
      </c>
      <c r="I111" s="13">
        <v>42773.691388888888</v>
      </c>
      <c r="J111" s="7">
        <v>0</v>
      </c>
      <c r="K111" s="98" t="str">
        <f>IF(ISEVEN(B111),(B111-1)&amp;"/"&amp;B111,B111&amp;"/"&amp;(B111+1))</f>
        <v>4031/4032</v>
      </c>
      <c r="L111" s="21" t="str">
        <f>VLOOKUP(A111,'Trips&amp;Operators'!$C$1:$G$99999,5,FALSE)</f>
        <v>BRANNON JEFFREY</v>
      </c>
      <c r="M111" s="6">
        <f>I111-F111</f>
        <v>2.4340277777810115E-2</v>
      </c>
      <c r="N111" s="7">
        <f>24*60*SUM($M111:$M111)</f>
        <v>35.050000000046566</v>
      </c>
      <c r="O111" s="7"/>
      <c r="P111" s="7"/>
      <c r="Q111" s="22"/>
      <c r="R111" s="22"/>
      <c r="S111" s="31">
        <f>SUM(U111:U111)/IF(AG111="EC",12,1)</f>
        <v>1</v>
      </c>
      <c r="T111" s="46" t="str">
        <f>IF(ISEVEN(LEFT(AD111,4)),"Southbound","NorthBound")</f>
        <v>NorthBound</v>
      </c>
      <c r="U111" s="190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191" t="str">
        <f>"https://d0f6bd738d7f1b3e5a7ca70fe4ff75f0.us-east-1.aws.found.io/app/kibana#/discover/Steve-Slow-Train-Analysis-(2080s-and-2083s)?_g="&amp;"(refreshInterval:(display:Off,pause:!f,section:0,value:0),time:(from:'"&amp;TEXT(E111-1/24,"yyyy-MM-DDThh:mm:ss")&amp;utc_offset&amp;"00"&amp;"',mode:absolute,to:'"&amp;TEXT(I111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111&amp;"%22')),sort:!(Time.ISO8601,asc))"</f>
        <v>https://d0f6bd738d7f1b3e5a7ca70fe4ff75f0.us-east-1.aws.found.io/app/kibana#/discover/Steve-Slow-Train-Analysis-(2080s-and-2083s)?_g=(refreshInterval:(display:Off,pause:!f,section:0,value:0),time:(from:'2017-02-07T14:49:49-0700',mode:absolute,to:'2017-02-07T17:35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11" s="192" t="str">
        <f>IF(AA111&lt;IF(AG111="EC",23,5.65),"Y","N")</f>
        <v>N</v>
      </c>
      <c r="X111" s="192">
        <f>VALUE(LEFT(AD111,4))-VALUE(LEFT(AD110,4))</f>
        <v>1</v>
      </c>
      <c r="Y111" s="62">
        <f>RIGHT(D111,LEN(D111)-4)/10000</f>
        <v>4.9099999999999998E-2</v>
      </c>
      <c r="Z111" s="62">
        <f>RIGHT(H111,LEN(H111)-4)/10000</f>
        <v>23.3323</v>
      </c>
      <c r="AA111" s="62">
        <f>ABS(Z111-Y111)</f>
        <v>23.283200000000001</v>
      </c>
      <c r="AB111" s="59" t="e">
        <f>VLOOKUP(A111,Enforcements!$C$7:$K$14,8,0)</f>
        <v>#N/A</v>
      </c>
      <c r="AC111" s="55" t="e">
        <f>VLOOKUP(A111,Enforcements!$C$7:$E$14,3,0)</f>
        <v>#N/A</v>
      </c>
      <c r="AD111" s="56" t="str">
        <f>IF(LEN(A111)=6,"0"&amp;A111,A111)</f>
        <v>0199-07</v>
      </c>
      <c r="AE111" s="85" t="str">
        <f>"aws s3 cp "&amp;s3_bucket&amp;"/RTDC"&amp;B111&amp;"/ "&amp;search_path&amp;"\RTDC"&amp;B111&amp;"\"&amp;TEXT(F111,"YYYY-MM-DD")&amp;" --exclude ""*"" --recursive --include ""*"&amp;TEXT(F111,"YYYYMMDD")&amp;"*"" &amp; """&amp;walkandungz&amp;""" "&amp;search_path&amp;"\RTDC"&amp;B111&amp;"\"&amp;TEXT(F111,"YYYY-MM-DD")
&amp;" &amp; "&amp;"aws s3 cp "&amp;s3_bucket&amp;"/RTDC"&amp;B111&amp;"/ "&amp;search_path&amp;"\RTDC"&amp;B111&amp;"\"&amp;TEXT(F111+1,"YYYY-MM-DD")&amp;" --exclude ""*"" --recursive --include ""*"&amp;TEXT(F111+1,"YYYYMMDD")&amp;"*"" &amp; """&amp;walkandungz&amp;""" "&amp;search_path&amp;"\RTDC"&amp;B111&amp;"\"&amp;TEXT(F111+1,"YYYY-MM-DD")</f>
        <v>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 &amp; aws s3 cp s3://rtdc.mdm.uploadarchive.raw/RTDC4031/ "%USERPROFILE%\AppData\Local\Temp\OnboardLogs"\RTDC4031\2017-02-08 --exclude "*" --recursive --include "*20170208*" &amp; "%USERPROFILE%\Documents\GitHub\mrs-test-scripts\Headless Mode &amp; Sideloading\WalkAndUnGZ.bat" "%USERPROFILE%\AppData\Local\Temp\OnboardLogs"\RTDC4031\2017-02-08</v>
      </c>
      <c r="AF111" s="82" t="str">
        <f>astrogrep_path&amp;" /spath="&amp;search_path&amp;" /stypes=""app*"&amp;B111&amp;"*"&amp;TEXT(I111-utc_offset/24,"YYYYMMDD")&amp;"*"" /stext="" "&amp;TEXT(I111-utc_offset/24,"HH")&amp;search_regexp&amp;""" /e /r /s"</f>
        <v>"C:\Program Files (x86)\AstroGrep\AstroGrep.exe" /spath="%USERPROFILE%\AppData\Local\Temp\OnboardLogs" /stypes="app*4031*20170207*" /stext=" 23:.+((SYSTEM_STATE.+slice.+state.+changed )|(ment ac)|(multiple cpu faults)|(system.+state.+changed )|(\[timeout)|(PRM\|1\|D)|(kpr)|(kdp)|(\|lc)|(penalty))" /e /r /s</v>
      </c>
      <c r="AG111" s="1" t="str">
        <f>IFERROR(IF(VALUE(LEFT(AD111,2))&lt;=2,"EC",IF(OR(VALUE(LEFT(AD111,2))=8,VALUE(LEFT(AD111,2))=18),"NW","Other")),"Other")</f>
        <v>EC</v>
      </c>
      <c r="AH111" s="86" t="str">
        <f t="shared" si="6"/>
        <v>"%USERPROFILE%\Documents\GitHub\eaglep3\Utilities\RefineRTDCRunTimes.py" --tripid 199-07 --locoid 4031 --swversion DE.1.0.8.0 --startMP 204:491 --initTime 2017-02-07T15:49:49 --startdatetime 2017-02-07T16:00:33 --delay 2 --endMP 204:233323 --enddatetime 2017-02-07T16:35:36 --enforcementcount 0 &gt;&gt;C:\Users\stu\Documents\GitHub\eaglep3-reporting\EC\2017-02-07-refined-times.txt</v>
      </c>
      <c r="AI111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{"issue":{"subject":"","project_id":79,"tracker_id":40,"status_id":1,"priority_id":2,"assigned_to_id":23,"start_date":"2017-02-07","description":"","custom_fields":[{"id":1,"name":"Subdivision","value":"EC"},{"id":4,"name":"Milepost","value":"23.3323"},{"id":17,"name":"Train ID","value":"199-07"},{"id":16,"name":"Locomotive ID","value":"4031"},{"id":130,"name":"Impact","value":""},{"id":150,"name":"Time of Event (Mountain Time)","value":"16:35:36"},{"id":151,"name":"Denver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48"/>
      <c r="AK111" s="48"/>
      <c r="AL111" s="48"/>
      <c r="AM111" s="158" t="str">
        <f t="shared" si="8"/>
        <v>start /low /b %USERPROFILE%\Documents\GitHub\eaglep3\Utilities\DownloadLogsFromS3.py --loco 4031 --day 2017-02-07</v>
      </c>
      <c r="AN111" s="167" t="str">
        <f>"grep -SE -B400 ""CHR.+\|PRM\|1\|D.+(SWITCH|SIGNAL).+UNKNOWN"" "&amp;search_path&amp;"\RTDC"&amp;B111&amp;"\*"&amp;B111&amp;"*"&amp;TEXT(AVERAGE(F111,I111)-utc_offset/24,"YYYYMMDD")&amp;"*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"%USERPROFILE%\AppData\Local\Temp\OnboardLogs"\RTDC4031\*4031*20170207* | grep -SE "(Enforcement Action)|(\[TIMEOUT)|(CHR.+\|PRM\|1\|D.+(SWITCH|SIGNAL).+UNKNOWN)" - &gt;&gt; 2017-02-07-UncaughtWiMAX.txt</v>
      </c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x14ac:dyDescent="0.25">
      <c r="A112" s="33" t="s">
        <v>634</v>
      </c>
      <c r="B112" s="7">
        <v>4032</v>
      </c>
      <c r="C112" s="21" t="s">
        <v>193</v>
      </c>
      <c r="D112" s="21" t="s">
        <v>332</v>
      </c>
      <c r="E112" s="13">
        <v>42773.693067129629</v>
      </c>
      <c r="F112" s="13">
        <v>42773.705717592595</v>
      </c>
      <c r="G112" s="7">
        <v>1</v>
      </c>
      <c r="H112" s="21" t="s">
        <v>184</v>
      </c>
      <c r="I112" s="13">
        <v>42773.731423611112</v>
      </c>
      <c r="J112" s="7">
        <v>0</v>
      </c>
      <c r="K112" s="98" t="str">
        <f>IF(ISEVEN(B112),(B112-1)&amp;"/"&amp;B112,B112&amp;"/"&amp;(B112+1))</f>
        <v>4031/4032</v>
      </c>
      <c r="L112" s="21" t="str">
        <f>VLOOKUP(A112,'Trips&amp;Operators'!$C$1:$G$99999,5,FALSE)</f>
        <v>BRANNON JEFFREY</v>
      </c>
      <c r="M112" s="6">
        <f>I112-F112</f>
        <v>2.5706018517666962E-2</v>
      </c>
      <c r="N112" s="7">
        <f>24*60*SUM($M112:$M112)</f>
        <v>37.016666665440425</v>
      </c>
      <c r="O112" s="7"/>
      <c r="P112" s="7"/>
      <c r="Q112" s="22"/>
      <c r="R112" s="22"/>
      <c r="S112" s="31">
        <f>SUM(U112:U112)/IF(AG112="EC",12,1)</f>
        <v>1</v>
      </c>
      <c r="T112" s="46" t="str">
        <f>IF(ISEVEN(LEFT(AD112,4)),"Southbound","NorthBound")</f>
        <v>Southbound</v>
      </c>
      <c r="U112" s="190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191" t="str">
        <f>"https://d0f6bd738d7f1b3e5a7ca70fe4ff75f0.us-east-1.aws.found.io/app/kibana#/discover/Steve-Slow-Train-Analysis-(2080s-and-2083s)?_g="&amp;"(refreshInterval:(display:Off,pause:!f,section:0,value:0),time:(from:'"&amp;TEXT(E112-1/24,"yyyy-MM-DDThh:mm:ss")&amp;utc_offset&amp;"00"&amp;"',mode:absolute,to:'"&amp;TEXT(I112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112&amp;"%22')),sort:!(Time.ISO8601,asc))"</f>
        <v>https://d0f6bd738d7f1b3e5a7ca70fe4ff75f0.us-east-1.aws.found.io/app/kibana#/discover/Steve-Slow-Train-Analysis-(2080s-and-2083s)?_g=(refreshInterval:(display:Off,pause:!f,section:0,value:0),time:(from:'2017-02-07T15:38:01-0700',mode:absolute,to:'2017-02-07T18:33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12" s="192" t="str">
        <f>IF(AA112&lt;IF(AG112="EC",23,5.65),"Y","N")</f>
        <v>N</v>
      </c>
      <c r="X112" s="192">
        <f>VALUE(LEFT(AD112,4))-VALUE(LEFT(AD111,4))</f>
        <v>1</v>
      </c>
      <c r="Y112" s="62">
        <f>RIGHT(D112,LEN(D112)-4)/10000</f>
        <v>23.299099999999999</v>
      </c>
      <c r="Z112" s="62">
        <f>RIGHT(H112,LEN(H112)-4)/10000</f>
        <v>1.49E-2</v>
      </c>
      <c r="AA112" s="62">
        <f>ABS(Z112-Y112)</f>
        <v>23.284199999999998</v>
      </c>
      <c r="AB112" s="59" t="e">
        <f>VLOOKUP(A112,Enforcements!$C$7:$K$14,8,0)</f>
        <v>#N/A</v>
      </c>
      <c r="AC112" s="55" t="e">
        <f>VLOOKUP(A112,Enforcements!$C$7:$E$14,3,0)</f>
        <v>#N/A</v>
      </c>
      <c r="AD112" s="56" t="str">
        <f>IF(LEN(A112)=6,"0"&amp;A112,A112)</f>
        <v>0200-07</v>
      </c>
      <c r="AE112" s="85" t="str">
        <f>"aws s3 cp "&amp;s3_bucket&amp;"/RTDC"&amp;B112&amp;"/ "&amp;search_path&amp;"\RTDC"&amp;B112&amp;"\"&amp;TEXT(F112,"YYYY-MM-DD")&amp;" --exclude ""*"" --recursive --include ""*"&amp;TEXT(F112,"YYYYMMDD")&amp;"*"" &amp; """&amp;walkandungz&amp;""" "&amp;search_path&amp;"\RTDC"&amp;B112&amp;"\"&amp;TEXT(F112,"YYYY-MM-DD")
&amp;" &amp; "&amp;"aws s3 cp "&amp;s3_bucket&amp;"/RTDC"&amp;B112&amp;"/ "&amp;search_path&amp;"\RTDC"&amp;B112&amp;"\"&amp;TEXT(F112+1,"YYYY-MM-DD")&amp;" --exclude ""*"" --recursive --include ""*"&amp;TEXT(F112+1,"YYYYMMDD")&amp;"*"" &amp; """&amp;walkandungz&amp;""" "&amp;search_path&amp;"\RTDC"&amp;B112&amp;"\"&amp;TEXT(F112+1,"YYYY-MM-DD")</f>
        <v>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 &amp; aws s3 cp s3://rtdc.mdm.uploadarchive.raw/RTDC4032/ "%USERPROFILE%\AppData\Local\Temp\OnboardLogs"\RTDC4032\2017-02-08 --exclude "*" --recursive --include "*20170208*" &amp; "%USERPROFILE%\Documents\GitHub\mrs-test-scripts\Headless Mode &amp; Sideloading\WalkAndUnGZ.bat" "%USERPROFILE%\AppData\Local\Temp\OnboardLogs"\RTDC4032\2017-02-08</v>
      </c>
      <c r="AF112" s="82" t="str">
        <f>astrogrep_path&amp;" /spath="&amp;search_path&amp;" /stypes=""app*"&amp;B112&amp;"*"&amp;TEXT(I112-utc_offset/24,"YYYYMMDD")&amp;"*"" /stext="" "&amp;TEXT(I112-utc_offset/24,"HH")&amp;search_regexp&amp;""" /e /r /s"</f>
        <v>"C:\Program Files (x86)\AstroGrep\AstroGrep.exe" /spath="%USERPROFILE%\AppData\Local\Temp\OnboardLogs" /stypes="app*4032*20170208*" /stext=" 00:.+((SYSTEM_STATE.+slice.+state.+changed )|(ment ac)|(multiple cpu faults)|(system.+state.+changed )|(\[timeout)|(PRM\|1\|D)|(kpr)|(kdp)|(\|lc)|(penalty))" /e /r /s</v>
      </c>
      <c r="AG112" s="1" t="str">
        <f>IFERROR(IF(VALUE(LEFT(AD112,2))&lt;=2,"EC",IF(OR(VALUE(LEFT(AD112,2))=8,VALUE(LEFT(AD112,2))=18),"NW","Other")),"Other")</f>
        <v>EC</v>
      </c>
      <c r="AH112" s="86" t="str">
        <f t="shared" si="6"/>
        <v>"%USERPROFILE%\Documents\GitHub\eaglep3\Utilities\RefineRTDCRunTimes.py" --tripid 200-07 --locoid 4032 --swversion DE.1.0.8.0 --startMP 204:232991 --initTime 2017-02-07T16:38:01 --startdatetime 2017-02-07T16:56:14 --delay 1 --endMP 204:149 --enddatetime 2017-02-07T17:33:15 --enforcementcount 0 &gt;&gt;C:\Users\stu\Documents\GitHub\eaglep3-reporting\EC\2017-02-07-refined-times.txt</v>
      </c>
      <c r="AI112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{"issue":{"subject":"","project_id":79,"tracker_id":40,"status_id":1,"priority_id":2,"assigned_to_id":23,"start_date":"2017-02-07","description":"","custom_fields":[{"id":1,"name":"Subdivision","value":"EC"},{"id":4,"name":"Milepost","value":"0.0149"},{"id":17,"name":"Train ID","value":"200-07"},{"id":16,"name":"Locomotive ID","value":"4032"},{"id":130,"name":"Impact","value":""},{"id":150,"name":"Time of Event (Mountain Time)","value":"17:33:15"},{"id":151,"name":"Denver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48"/>
      <c r="AK112" s="48"/>
      <c r="AL112" s="48"/>
      <c r="AM112" s="158" t="str">
        <f t="shared" si="8"/>
        <v>start /low /b %USERPROFILE%\Documents\GitHub\eaglep3\Utilities\DownloadLogsFromS3.py --loco 4032 --day 2017-02-07</v>
      </c>
      <c r="AN112" s="167" t="str">
        <f>"grep -SE -B400 ""CHR.+\|PRM\|1\|D.+(SWITCH|SIGNAL).+UNKNOWN"" "&amp;search_path&amp;"\RTDC"&amp;B112&amp;"\*"&amp;B112&amp;"*"&amp;TEXT(AVERAGE(F112,I112)-utc_offset/24,"YYYYMMDD")&amp;"*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"%USERPROFILE%\AppData\Local\Temp\OnboardLogs"\RTDC4032\*4032*20170208* | grep -SE "(Enforcement Action)|(\[TIMEOUT)|(CHR.+\|PRM\|1\|D.+(SWITCH|SIGNAL).+UNKNOWN)" - &gt;&gt; 2017-02-07-UncaughtWiMAX.txt</v>
      </c>
    </row>
    <row r="113" spans="1:91" s="20" customFormat="1" x14ac:dyDescent="0.25">
      <c r="A113" s="33" t="s">
        <v>630</v>
      </c>
      <c r="B113" s="7">
        <v>4025</v>
      </c>
      <c r="C113" s="21" t="s">
        <v>193</v>
      </c>
      <c r="D113" s="21" t="s">
        <v>242</v>
      </c>
      <c r="E113" s="13">
        <v>42773.674398148149</v>
      </c>
      <c r="F113" s="13">
        <v>42773.677731481483</v>
      </c>
      <c r="G113" s="7">
        <v>1</v>
      </c>
      <c r="H113" s="21" t="s">
        <v>285</v>
      </c>
      <c r="I113" s="13">
        <v>42773.705462962964</v>
      </c>
      <c r="J113" s="7">
        <v>0</v>
      </c>
      <c r="K113" s="98" t="str">
        <f>IF(ISEVEN(B113),(B113-1)&amp;"/"&amp;B113,B113&amp;"/"&amp;(B113+1))</f>
        <v>4025/4026</v>
      </c>
      <c r="L113" s="21" t="str">
        <f>VLOOKUP(A113,'Trips&amp;Operators'!$C$1:$G$99999,5,FALSE)</f>
        <v>DAVIS MICHAEL</v>
      </c>
      <c r="M113" s="6">
        <f>I113-F113</f>
        <v>2.7731481481168885E-2</v>
      </c>
      <c r="N113" s="7">
        <f>24*60*SUM($M113:$M113)</f>
        <v>39.933333332883194</v>
      </c>
      <c r="O113" s="7"/>
      <c r="P113" s="7"/>
      <c r="Q113" s="22"/>
      <c r="R113" s="22"/>
      <c r="S113" s="31">
        <f>SUM(U113:U113)/IF(AG113="EC",12,1)</f>
        <v>1</v>
      </c>
      <c r="T113" s="46" t="str">
        <f>IF(ISEVEN(LEFT(AD113,4)),"Southbound","NorthBound")</f>
        <v>NorthBound</v>
      </c>
      <c r="U113" s="190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191" t="str">
        <f>"https://d0f6bd738d7f1b3e5a7ca70fe4ff75f0.us-east-1.aws.found.io/app/kibana#/discover/Steve-Slow-Train-Analysis-(2080s-and-2083s)?_g="&amp;"(refreshInterval:(display:Off,pause:!f,section:0,value:0),time:(from:'"&amp;TEXT(E113-1/24,"yyyy-MM-DDThh:mm:ss")&amp;utc_offset&amp;"00"&amp;"',mode:absolute,to:'"&amp;TEXT(I113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113&amp;"%22')),sort:!(Time.ISO8601,asc))"</f>
        <v>https://d0f6bd738d7f1b3e5a7ca70fe4ff75f0.us-east-1.aws.found.io/app/kibana#/discover/Steve-Slow-Train-Analysis-(2080s-and-2083s)?_g=(refreshInterval:(display:Off,pause:!f,section:0,value:0),time:(from:'2017-02-07T15:11:08-0700',mode:absolute,to:'2017-02-07T17:55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13" s="192" t="str">
        <f>IF(AA113&lt;IF(AG113="EC",23,5.65),"Y","N")</f>
        <v>N</v>
      </c>
      <c r="X113" s="192">
        <f>VALUE(LEFT(AD113,4))-VALUE(LEFT(AD112,4))</f>
        <v>1</v>
      </c>
      <c r="Y113" s="62">
        <f>RIGHT(D113,LEN(D113)-4)/10000</f>
        <v>4.5999999999999999E-2</v>
      </c>
      <c r="Z113" s="62">
        <f>RIGHT(H113,LEN(H113)-4)/10000</f>
        <v>23.3307</v>
      </c>
      <c r="AA113" s="62">
        <f>ABS(Z113-Y113)</f>
        <v>23.284700000000001</v>
      </c>
      <c r="AB113" s="59" t="e">
        <f>VLOOKUP(A113,Enforcements!$C$7:$K$14,8,0)</f>
        <v>#N/A</v>
      </c>
      <c r="AC113" s="55" t="e">
        <f>VLOOKUP(A113,Enforcements!$C$7:$E$14,3,0)</f>
        <v>#N/A</v>
      </c>
      <c r="AD113" s="56" t="str">
        <f>IF(LEN(A113)=6,"0"&amp;A113,A113)</f>
        <v>0201-07</v>
      </c>
      <c r="AE113" s="85" t="str">
        <f>"aws s3 cp "&amp;s3_bucket&amp;"/RTDC"&amp;B113&amp;"/ "&amp;search_path&amp;"\RTDC"&amp;B113&amp;"\"&amp;TEXT(F113,"YYYY-MM-DD")&amp;" --exclude ""*"" --recursive --include ""*"&amp;TEXT(F113,"YYYYMMDD")&amp;"*"" &amp; """&amp;walkandungz&amp;""" "&amp;search_path&amp;"\RTDC"&amp;B113&amp;"\"&amp;TEXT(F113,"YYYY-MM-DD")
&amp;" &amp; "&amp;"aws s3 cp "&amp;s3_bucket&amp;"/RTDC"&amp;B113&amp;"/ "&amp;search_path&amp;"\RTDC"&amp;B113&amp;"\"&amp;TEXT(F113+1,"YYYY-MM-DD")&amp;" --exclude ""*"" --recursive --include ""*"&amp;TEXT(F113+1,"YYYYMMDD")&amp;"*"" &amp; """&amp;walkandungz&amp;""" "&amp;search_path&amp;"\RTDC"&amp;B113&amp;"\"&amp;TEXT(F113+1,"YYYY-MM-DD")</f>
        <v>aws s3 cp s3://rtdc.mdm.uploadarchive.raw/RTDC4025/ "%USERPROFILE%\AppData\Local\Temp\OnboardLogs"\RTDC4025\2017-02-07 --exclude "*" --recursive --include "*20170207*" &amp; "%USERPROFILE%\Documents\GitHub\mrs-test-scripts\Headless Mode &amp; Sideloading\WalkAndUnGZ.bat" "%USERPROFILE%\AppData\Local\Temp\OnboardLogs"\RTDC4025\2017-02-07 &amp; aws s3 cp s3://rtdc.mdm.uploadarchive.raw/RTDC4025/ "%USERPROFILE%\AppData\Local\Temp\OnboardLogs"\RTDC4025\2017-02-08 --exclude "*" --recursive --include "*20170208*" &amp; "%USERPROFILE%\Documents\GitHub\mrs-test-scripts\Headless Mode &amp; Sideloading\WalkAndUnGZ.bat" "%USERPROFILE%\AppData\Local\Temp\OnboardLogs"\RTDC4025\2017-02-08</v>
      </c>
      <c r="AF113" s="82" t="str">
        <f>astrogrep_path&amp;" /spath="&amp;search_path&amp;" /stypes=""app*"&amp;B113&amp;"*"&amp;TEXT(I113-utc_offset/24,"YYYYMMDD")&amp;"*"" /stext="" "&amp;TEXT(I113-utc_offset/24,"HH")&amp;search_regexp&amp;""" /e /r /s"</f>
        <v>"C:\Program Files (x86)\AstroGrep\AstroGrep.exe" /spath="%USERPROFILE%\AppData\Local\Temp\OnboardLogs" /stypes="app*4025*20170207*" /stext=" 23:.+((SYSTEM_STATE.+slice.+state.+changed )|(ment ac)|(multiple cpu faults)|(system.+state.+changed )|(\[timeout)|(PRM\|1\|D)|(kpr)|(kdp)|(\|lc)|(penalty))" /e /r /s</v>
      </c>
      <c r="AG113" s="1" t="str">
        <f>IFERROR(IF(VALUE(LEFT(AD113,2))&lt;=2,"EC",IF(OR(VALUE(LEFT(AD113,2))=8,VALUE(LEFT(AD113,2))=18),"NW","Other")),"Other")</f>
        <v>EC</v>
      </c>
      <c r="AH113" s="86" t="str">
        <f t="shared" si="6"/>
        <v>"%USERPROFILE%\Documents\GitHub\eaglep3\Utilities\RefineRTDCRunTimes.py" --tripid 201-07 --locoid 4025 --swversion DE.1.0.8.0 --startMP 204:460 --initTime 2017-02-07T16:11:08 --startdatetime 2017-02-07T16:15:56 --delay 1 --endMP 204:233307 --enddatetime 2017-02-07T16:55:52 --enforcementcount 0 &gt;&gt;C:\Users\stu\Documents\GitHub\eaglep3-reporting\EC\2017-02-07-refined-times.txt</v>
      </c>
      <c r="AI113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{"issue":{"subject":"","project_id":79,"tracker_id":40,"status_id":1,"priority_id":2,"assigned_to_id":23,"start_date":"2017-02-07","description":"","custom_fields":[{"id":1,"name":"Subdivision","value":"EC"},{"id":4,"name":"Milepost","value":"23.3307"},{"id":17,"name":"Train ID","value":"201-07"},{"id":16,"name":"Locomotive ID","value":"4025"},{"id":130,"name":"Impact","value":""},{"id":150,"name":"Time of Event (Mountain Time)","value":"16:55:52"},{"id":151,"name":"Denver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48"/>
      <c r="AK113" s="48"/>
      <c r="AL113" s="48"/>
      <c r="AM113" s="158" t="str">
        <f t="shared" si="8"/>
        <v>start /low /b %USERPROFILE%\Documents\GitHub\eaglep3\Utilities\DownloadLogsFromS3.py --loco 4025 --day 2017-02-07</v>
      </c>
      <c r="AN113" s="167" t="str">
        <f>"grep -SE -B400 ""CHR.+\|PRM\|1\|D.+(SWITCH|SIGNAL).+UNKNOWN"" "&amp;search_path&amp;"\RTDC"&amp;B113&amp;"\*"&amp;B113&amp;"*"&amp;TEXT(AVERAGE(F113,I113)-utc_offset/24,"YYYYMMDD")&amp;"*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"%USERPROFILE%\AppData\Local\Temp\OnboardLogs"\RTDC4025\*4025*20170207* | grep -SE "(Enforcement Action)|(\[TIMEOUT)|(CHR.+\|PRM\|1\|D.+(SWITCH|SIGNAL).+UNKNOWN)" - &gt;&gt; 2017-02-07-UncaughtWiMAX.txt</v>
      </c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0" customFormat="1" x14ac:dyDescent="0.25">
      <c r="A114" s="33" t="s">
        <v>637</v>
      </c>
      <c r="B114" s="7">
        <v>4026</v>
      </c>
      <c r="C114" s="21" t="s">
        <v>193</v>
      </c>
      <c r="D114" s="21" t="s">
        <v>750</v>
      </c>
      <c r="E114" s="13">
        <v>42773.713819444441</v>
      </c>
      <c r="F114" s="13">
        <v>42773.716458333336</v>
      </c>
      <c r="G114" s="7">
        <v>1</v>
      </c>
      <c r="H114" s="21" t="s">
        <v>756</v>
      </c>
      <c r="I114" s="13">
        <v>42773.74459490741</v>
      </c>
      <c r="J114" s="7">
        <v>0</v>
      </c>
      <c r="K114" s="98" t="str">
        <f>IF(ISEVEN(B114),(B114-1)&amp;"/"&amp;B114,B114&amp;"/"&amp;(B114+1))</f>
        <v>4025/4026</v>
      </c>
      <c r="L114" s="21" t="str">
        <f>VLOOKUP(A114,'Trips&amp;Operators'!$C$1:$G$99999,5,FALSE)</f>
        <v>DAVIS MICHAEL</v>
      </c>
      <c r="M114" s="6">
        <f>I114-F114</f>
        <v>2.8136574073869269E-2</v>
      </c>
      <c r="N114" s="7">
        <f>24*60*SUM($M114:$M114)</f>
        <v>40.516666666371748</v>
      </c>
      <c r="O114" s="7"/>
      <c r="P114" s="7"/>
      <c r="Q114" s="22"/>
      <c r="R114" s="22"/>
      <c r="S114" s="31">
        <f>SUM(U114:U114)/IF(AG114="EC",12,1)</f>
        <v>1</v>
      </c>
      <c r="T114" s="46" t="str">
        <f>IF(ISEVEN(LEFT(AD114,4)),"Southbound","NorthBound")</f>
        <v>Southbound</v>
      </c>
      <c r="U114" s="190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191" t="str">
        <f>"https://d0f6bd738d7f1b3e5a7ca70fe4ff75f0.us-east-1.aws.found.io/app/kibana#/discover/Steve-Slow-Train-Analysis-(2080s-and-2083s)?_g="&amp;"(refreshInterval:(display:Off,pause:!f,section:0,value:0),time:(from:'"&amp;TEXT(E114-1/24,"yyyy-MM-DDThh:mm:ss")&amp;utc_offset&amp;"00"&amp;"',mode:absolute,to:'"&amp;TEXT(I114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114&amp;"%22')),sort:!(Time.ISO8601,asc))"</f>
        <v>https://d0f6bd738d7f1b3e5a7ca70fe4ff75f0.us-east-1.aws.found.io/app/kibana#/discover/Steve-Slow-Train-Analysis-(2080s-and-2083s)?_g=(refreshInterval:(display:Off,pause:!f,section:0,value:0),time:(from:'2017-02-07T16:07:54-0700',mode:absolute,to:'2017-02-07T18:52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14" s="192" t="str">
        <f>IF(AA114&lt;IF(AG114="EC",23,5.65),"Y","N")</f>
        <v>N</v>
      </c>
      <c r="X114" s="192">
        <f>VALUE(LEFT(AD114,4))-VALUE(LEFT(AD113,4))</f>
        <v>1</v>
      </c>
      <c r="Y114" s="62">
        <f>RIGHT(D114,LEN(D114)-4)/10000</f>
        <v>23.2986</v>
      </c>
      <c r="Z114" s="62">
        <f>RIGHT(H114,LEN(H114)-4)/10000</f>
        <v>1.21E-2</v>
      </c>
      <c r="AA114" s="62">
        <f>ABS(Z114-Y114)</f>
        <v>23.2865</v>
      </c>
      <c r="AB114" s="59" t="e">
        <f>VLOOKUP(A114,Enforcements!$C$7:$K$14,8,0)</f>
        <v>#N/A</v>
      </c>
      <c r="AC114" s="55" t="e">
        <f>VLOOKUP(A114,Enforcements!$C$7:$E$14,3,0)</f>
        <v>#N/A</v>
      </c>
      <c r="AD114" s="56" t="str">
        <f>IF(LEN(A114)=6,"0"&amp;A114,A114)</f>
        <v>0202-07</v>
      </c>
      <c r="AE114" s="85" t="str">
        <f>"aws s3 cp "&amp;s3_bucket&amp;"/RTDC"&amp;B114&amp;"/ "&amp;search_path&amp;"\RTDC"&amp;B114&amp;"\"&amp;TEXT(F114,"YYYY-MM-DD")&amp;" --exclude ""*"" --recursive --include ""*"&amp;TEXT(F114,"YYYYMMDD")&amp;"*"" &amp; """&amp;walkandungz&amp;""" "&amp;search_path&amp;"\RTDC"&amp;B114&amp;"\"&amp;TEXT(F114,"YYYY-MM-DD")
&amp;" &amp; "&amp;"aws s3 cp "&amp;s3_bucket&amp;"/RTDC"&amp;B114&amp;"/ "&amp;search_path&amp;"\RTDC"&amp;B114&amp;"\"&amp;TEXT(F114+1,"YYYY-MM-DD")&amp;" --exclude ""*"" --recursive --include ""*"&amp;TEXT(F114+1,"YYYYMMDD")&amp;"*"" &amp; """&amp;walkandungz&amp;""" "&amp;search_path&amp;"\RTDC"&amp;B114&amp;"\"&amp;TEXT(F114+1,"YYYY-MM-DD")</f>
        <v>aws s3 cp s3://rtdc.mdm.uploadarchive.raw/RTDC4026/ "%USERPROFILE%\AppData\Local\Temp\OnboardLogs"\RTDC4026\2017-02-07 --exclude "*" --recursive --include "*20170207*" &amp; "%USERPROFILE%\Documents\GitHub\mrs-test-scripts\Headless Mode &amp; Sideloading\WalkAndUnGZ.bat" "%USERPROFILE%\AppData\Local\Temp\OnboardLogs"\RTDC4026\2017-02-07 &amp; 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</v>
      </c>
      <c r="AF114" s="82" t="str">
        <f>astrogrep_path&amp;" /spath="&amp;search_path&amp;" /stypes=""app*"&amp;B114&amp;"*"&amp;TEXT(I114-utc_offset/24,"YYYYMMDD")&amp;"*"" /stext="" "&amp;TEXT(I114-utc_offset/24,"HH")&amp;search_regexp&amp;""" /e /r /s"</f>
        <v>"C:\Program Files (x86)\AstroGrep\AstroGrep.exe" /spath="%USERPROFILE%\AppData\Local\Temp\OnboardLogs" /stypes="app*4026*20170208*" /stext=" 00:.+((SYSTEM_STATE.+slice.+state.+changed )|(ment ac)|(multiple cpu faults)|(system.+state.+changed )|(\[timeout)|(PRM\|1\|D)|(kpr)|(kdp)|(\|lc)|(penalty))" /e /r /s</v>
      </c>
      <c r="AG114" s="1" t="str">
        <f>IFERROR(IF(VALUE(LEFT(AD114,2))&lt;=2,"EC",IF(OR(VALUE(LEFT(AD114,2))=8,VALUE(LEFT(AD114,2))=18),"NW","Other")),"Other")</f>
        <v>EC</v>
      </c>
      <c r="AH114" s="86" t="str">
        <f t="shared" si="6"/>
        <v>"%USERPROFILE%\Documents\GitHub\eaglep3\Utilities\RefineRTDCRunTimes.py" --tripid 202-07 --locoid 4026 --swversion DE.1.0.8.0 --startMP 204:232986 --initTime 2017-02-07T17:07:54 --startdatetime 2017-02-07T17:11:42 --delay 1 --endMP 204:121 --enddatetime 2017-02-07T17:52:13 --enforcementcount 0 &gt;&gt;C:\Users\stu\Documents\GitHub\eaglep3-reporting\EC\2017-02-07-refined-times.txt</v>
      </c>
      <c r="AI114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{"issue":{"subject":"","project_id":79,"tracker_id":40,"status_id":1,"priority_id":2,"assigned_to_id":23,"start_date":"2017-02-07","description":"","custom_fields":[{"id":1,"name":"Subdivision","value":"EC"},{"id":4,"name":"Milepost","value":"0.0121"},{"id":17,"name":"Train ID","value":"202-07"},{"id":16,"name":"Locomotive ID","value":"4026"},{"id":130,"name":"Impact","value":""},{"id":150,"name":"Time of Event (Mountain Time)","value":"17:52:13"},{"id":151,"name":"Denver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48"/>
      <c r="AK114" s="48"/>
      <c r="AL114" s="48"/>
      <c r="AM114" s="158" t="str">
        <f t="shared" si="8"/>
        <v>start /low /b %USERPROFILE%\Documents\GitHub\eaglep3\Utilities\DownloadLogsFromS3.py --loco 4026 --day 2017-02-07</v>
      </c>
      <c r="AN114" s="167" t="str">
        <f>"grep -SE -B400 ""CHR.+\|PRM\|1\|D.+(SWITCH|SIGNAL).+UNKNOWN"" "&amp;search_path&amp;"\RTDC"&amp;B114&amp;"\*"&amp;B114&amp;"*"&amp;TEXT(AVERAGE(F114,I114)-utc_offset/24,"YYYYMMDD")&amp;"*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"%USERPROFILE%\AppData\Local\Temp\OnboardLogs"\RTDC4026\*4026*20170208* | grep -SE "(Enforcement Action)|(\[TIMEOUT)|(CHR.+\|PRM\|1\|D.+(SWITCH|SIGNAL).+UNKNOWN)" - &gt;&gt; 2017-02-07-UncaughtWiMAX.txt</v>
      </c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0" customFormat="1" x14ac:dyDescent="0.25">
      <c r="A115" s="33" t="s">
        <v>633</v>
      </c>
      <c r="B115" s="7">
        <v>4046</v>
      </c>
      <c r="C115" s="21" t="s">
        <v>193</v>
      </c>
      <c r="D115" s="21" t="s">
        <v>274</v>
      </c>
      <c r="E115" s="13">
        <v>42773.683923611112</v>
      </c>
      <c r="F115" s="13">
        <v>42773.687685185185</v>
      </c>
      <c r="G115" s="7">
        <v>1</v>
      </c>
      <c r="H115" s="21" t="s">
        <v>308</v>
      </c>
      <c r="I115" s="13">
        <v>42773.713460648149</v>
      </c>
      <c r="J115" s="7">
        <v>0</v>
      </c>
      <c r="K115" s="98" t="str">
        <f>IF(ISEVEN(B115),(B115-1)&amp;"/"&amp;B115,B115&amp;"/"&amp;(B115+1))</f>
        <v>4045/4046</v>
      </c>
      <c r="L115" s="21" t="str">
        <f>VLOOKUP(A115,'Trips&amp;Operators'!$C$1:$G$99999,5,FALSE)</f>
        <v>MOSES BRADLEY</v>
      </c>
      <c r="M115" s="6">
        <f>I115-F115</f>
        <v>2.5775462963792961E-2</v>
      </c>
      <c r="N115" s="7">
        <f>24*60*SUM($M115:$M115)</f>
        <v>37.116666667861864</v>
      </c>
      <c r="O115" s="7"/>
      <c r="P115" s="7"/>
      <c r="Q115" s="22"/>
      <c r="R115" s="22"/>
      <c r="S115" s="31">
        <f>SUM(U115:U115)/IF(AG115="EC",12,1)</f>
        <v>1</v>
      </c>
      <c r="T115" s="46" t="str">
        <f>IF(ISEVEN(LEFT(AD115,4)),"Southbound","NorthBound")</f>
        <v>NorthBound</v>
      </c>
      <c r="U115" s="190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191" t="str">
        <f>"https://d0f6bd738d7f1b3e5a7ca70fe4ff75f0.us-east-1.aws.found.io/app/kibana#/discover/Steve-Slow-Train-Analysis-(2080s-and-2083s)?_g="&amp;"(refreshInterval:(display:Off,pause:!f,section:0,value:0),time:(from:'"&amp;TEXT(E115-1/24,"yyyy-MM-DDThh:mm:ss")&amp;utc_offset&amp;"00"&amp;"',mode:absolute,to:'"&amp;TEXT(I115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115&amp;"%22')),sort:!(Time.ISO8601,asc))"</f>
        <v>https://d0f6bd738d7f1b3e5a7ca70fe4ff75f0.us-east-1.aws.found.io/app/kibana#/discover/Steve-Slow-Train-Analysis-(2080s-and-2083s)?_g=(refreshInterval:(display:Off,pause:!f,section:0,value:0),time:(from:'2017-02-07T15:24:51-0700',mode:absolute,to:'2017-02-07T18:07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15" s="192" t="str">
        <f>IF(AA115&lt;IF(AG115="EC",23,5.65),"Y","N")</f>
        <v>N</v>
      </c>
      <c r="X115" s="192">
        <f>VALUE(LEFT(AD115,4))-VALUE(LEFT(AD114,4))</f>
        <v>1</v>
      </c>
      <c r="Y115" s="62">
        <f>RIGHT(D115,LEN(D115)-4)/10000</f>
        <v>4.7100000000000003E-2</v>
      </c>
      <c r="Z115" s="62">
        <f>RIGHT(H115,LEN(H115)-4)/10000</f>
        <v>23.330400000000001</v>
      </c>
      <c r="AA115" s="62">
        <f>ABS(Z115-Y115)</f>
        <v>23.283300000000001</v>
      </c>
      <c r="AB115" s="59" t="e">
        <f>VLOOKUP(A115,Enforcements!$C$7:$K$14,8,0)</f>
        <v>#N/A</v>
      </c>
      <c r="AC115" s="55" t="e">
        <f>VLOOKUP(A115,Enforcements!$C$7:$E$14,3,0)</f>
        <v>#N/A</v>
      </c>
      <c r="AD115" s="56" t="str">
        <f>IF(LEN(A115)=6,"0"&amp;A115,A115)</f>
        <v>0203-07</v>
      </c>
      <c r="AE115" s="85" t="str">
        <f>"aws s3 cp "&amp;s3_bucket&amp;"/RTDC"&amp;B115&amp;"/ "&amp;search_path&amp;"\RTDC"&amp;B115&amp;"\"&amp;TEXT(F115,"YYYY-MM-DD")&amp;" --exclude ""*"" --recursive --include ""*"&amp;TEXT(F115,"YYYYMMDD")&amp;"*"" &amp; """&amp;walkandungz&amp;""" "&amp;search_path&amp;"\RTDC"&amp;B115&amp;"\"&amp;TEXT(F115,"YYYY-MM-DD")
&amp;" &amp; "&amp;"aws s3 cp "&amp;s3_bucket&amp;"/RTDC"&amp;B115&amp;"/ "&amp;search_path&amp;"\RTDC"&amp;B115&amp;"\"&amp;TEXT(F115+1,"YYYY-MM-DD")&amp;" --exclude ""*"" --recursive --include ""*"&amp;TEXT(F115+1,"YYYYMMDD")&amp;"*"" &amp; """&amp;walkandungz&amp;""" "&amp;search_path&amp;"\RTDC"&amp;B115&amp;"\"&amp;TEXT(F115+1,"YYYY-MM-DD")</f>
        <v>aws s3 cp s3://rtdc.mdm.uploadarchive.raw/RTDC4046/ "%USERPROFILE%\AppData\Local\Temp\OnboardLogs"\RTDC4046\2017-02-07 --exclude "*" --recursive --include "*20170207*" &amp; "%USERPROFILE%\Documents\GitHub\mrs-test-scripts\Headless Mode &amp; Sideloading\WalkAndUnGZ.bat" "%USERPROFILE%\AppData\Local\Temp\OnboardLogs"\RTDC4046\2017-02-07 &amp; aws s3 cp s3://rtdc.mdm.uploadarchive.raw/RTDC4046/ "%USERPROFILE%\AppData\Local\Temp\OnboardLogs"\RTDC4046\2017-02-08 --exclude "*" --recursive --include "*20170208*" &amp; "%USERPROFILE%\Documents\GitHub\mrs-test-scripts\Headless Mode &amp; Sideloading\WalkAndUnGZ.bat" "%USERPROFILE%\AppData\Local\Temp\OnboardLogs"\RTDC4046\2017-02-08</v>
      </c>
      <c r="AF115" s="82" t="str">
        <f>astrogrep_path&amp;" /spath="&amp;search_path&amp;" /stypes=""app*"&amp;B115&amp;"*"&amp;TEXT(I115-utc_offset/24,"YYYYMMDD")&amp;"*"" /stext="" "&amp;TEXT(I115-utc_offset/24,"HH")&amp;search_regexp&amp;""" /e /r /s"</f>
        <v>"C:\Program Files (x86)\AstroGrep\AstroGrep.exe" /spath="%USERPROFILE%\AppData\Local\Temp\OnboardLogs" /stypes="app*4046*20170208*" /stext=" 00:.+((SYSTEM_STATE.+slice.+state.+changed )|(ment ac)|(multiple cpu faults)|(system.+state.+changed )|(\[timeout)|(PRM\|1\|D)|(kpr)|(kdp)|(\|lc)|(penalty))" /e /r /s</v>
      </c>
      <c r="AG115" s="1" t="str">
        <f>IFERROR(IF(VALUE(LEFT(AD115,2))&lt;=2,"EC",IF(OR(VALUE(LEFT(AD115,2))=8,VALUE(LEFT(AD115,2))=18),"NW","Other")),"Other")</f>
        <v>EC</v>
      </c>
      <c r="AH115" s="86" t="str">
        <f t="shared" si="6"/>
        <v>"%USERPROFILE%\Documents\GitHub\eaglep3\Utilities\RefineRTDCRunTimes.py" --tripid 203-07 --locoid 4046 --swversion DE.1.0.8.0 --startMP 204:471 --initTime 2017-02-07T16:24:51 --startdatetime 2017-02-07T16:30:16 --delay 1 --endMP 204:233304 --enddatetime 2017-02-07T17:07:23 --enforcementcount 0 &gt;&gt;C:\Users\stu\Documents\GitHub\eaglep3-reporting\EC\2017-02-07-refined-times.txt</v>
      </c>
      <c r="AI115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{"issue":{"subject":"","project_id":79,"tracker_id":40,"status_id":1,"priority_id":2,"assigned_to_id":23,"start_date":"2017-02-07","description":"","custom_fields":[{"id":1,"name":"Subdivision","value":"EC"},{"id":4,"name":"Milepost","value":"23.3304"},{"id":17,"name":"Train ID","value":"203-07"},{"id":16,"name":"Locomotive ID","value":"4046"},{"id":130,"name":"Impact","value":""},{"id":150,"name":"Time of Event (Mountain Time)","value":"17:07:23"},{"id":151,"name":"Denver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48"/>
      <c r="AK115" s="48"/>
      <c r="AL115" s="48"/>
      <c r="AM115" s="158" t="str">
        <f t="shared" si="8"/>
        <v>start /low /b %USERPROFILE%\Documents\GitHub\eaglep3\Utilities\DownloadLogsFromS3.py --loco 4046 --day 2017-02-07</v>
      </c>
      <c r="AN115" s="167" t="str">
        <f>"grep -SE -B400 ""CHR.+\|PRM\|1\|D.+(SWITCH|SIGNAL).+UNKNOWN"" "&amp;search_path&amp;"\RTDC"&amp;B115&amp;"\*"&amp;B115&amp;"*"&amp;TEXT(AVERAGE(F115,I115)-utc_offset/24,"YYYYMMDD")&amp;"*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"%USERPROFILE%\AppData\Local\Temp\OnboardLogs"\RTDC4046\*4046*20170207* | grep -SE "(Enforcement Action)|(\[TIMEOUT)|(CHR.+\|PRM\|1\|D.+(SWITCH|SIGNAL).+UNKNOWN)" - &gt;&gt; 2017-02-07-UncaughtWiMAX.txt</v>
      </c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0" customFormat="1" x14ac:dyDescent="0.25">
      <c r="A116" s="33" t="s">
        <v>640</v>
      </c>
      <c r="B116" s="7">
        <v>4045</v>
      </c>
      <c r="C116" s="21" t="s">
        <v>193</v>
      </c>
      <c r="D116" s="21" t="s">
        <v>709</v>
      </c>
      <c r="E116" s="13">
        <v>42773.720497685186</v>
      </c>
      <c r="F116" s="13">
        <v>42773.726724537039</v>
      </c>
      <c r="G116" s="7">
        <v>2</v>
      </c>
      <c r="H116" s="21" t="s">
        <v>286</v>
      </c>
      <c r="I116" s="13">
        <v>42773.754212962966</v>
      </c>
      <c r="J116" s="7">
        <v>0</v>
      </c>
      <c r="K116" s="98" t="str">
        <f>IF(ISEVEN(B116),(B116-1)&amp;"/"&amp;B116,B116&amp;"/"&amp;(B116+1))</f>
        <v>4045/4046</v>
      </c>
      <c r="L116" s="21" t="str">
        <f>VLOOKUP(A116,'Trips&amp;Operators'!$C$1:$G$99999,5,FALSE)</f>
        <v>MOSES BRADLEY</v>
      </c>
      <c r="M116" s="6">
        <f>I116-F116</f>
        <v>2.7488425927003846E-2</v>
      </c>
      <c r="N116" s="7">
        <f>24*60*SUM($M116:$M116)</f>
        <v>39.583333334885538</v>
      </c>
      <c r="O116" s="7"/>
      <c r="P116" s="7"/>
      <c r="Q116" s="22"/>
      <c r="R116" s="22"/>
      <c r="S116" s="31">
        <f>SUM(U116:U116)/IF(AG116="EC",12,1)</f>
        <v>1</v>
      </c>
      <c r="T116" s="46" t="str">
        <f>IF(ISEVEN(LEFT(AD116,4)),"Southbound","NorthBound")</f>
        <v>Southbound</v>
      </c>
      <c r="U116" s="190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191" t="str">
        <f>"https://d0f6bd738d7f1b3e5a7ca70fe4ff75f0.us-east-1.aws.found.io/app/kibana#/discover/Steve-Slow-Train-Analysis-(2080s-and-2083s)?_g="&amp;"(refreshInterval:(display:Off,pause:!f,section:0,value:0),time:(from:'"&amp;TEXT(E116-1/24,"yyyy-MM-DDThh:mm:ss")&amp;utc_offset&amp;"00"&amp;"',mode:absolute,to:'"&amp;TEXT(I116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116&amp;"%22')),sort:!(Time.ISO8601,asc))"</f>
        <v>https://d0f6bd738d7f1b3e5a7ca70fe4ff75f0.us-east-1.aws.found.io/app/kibana#/discover/Steve-Slow-Train-Analysis-(2080s-and-2083s)?_g=(refreshInterval:(display:Off,pause:!f,section:0,value:0),time:(from:'2017-02-07T16:17:31-0700',mode:absolute,to:'2017-02-07T19:06:04-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16" s="192" t="str">
        <f>IF(AA116&lt;IF(AG116="EC",23,5.65),"Y","N")</f>
        <v>N</v>
      </c>
      <c r="X116" s="192">
        <f>VALUE(LEFT(AD116,4))-VALUE(LEFT(AD115,4))</f>
        <v>1</v>
      </c>
      <c r="Y116" s="62">
        <f>RIGHT(D116,LEN(D116)-4)/10000</f>
        <v>23.3004</v>
      </c>
      <c r="Z116" s="62">
        <f>RIGHT(H116,LEN(H116)-4)/10000</f>
        <v>1.5599999999999999E-2</v>
      </c>
      <c r="AA116" s="62">
        <f>ABS(Z116-Y116)</f>
        <v>23.284800000000001</v>
      </c>
      <c r="AB116" s="59" t="e">
        <f>VLOOKUP(A116,Enforcements!$C$7:$K$14,8,0)</f>
        <v>#N/A</v>
      </c>
      <c r="AC116" s="55" t="e">
        <f>VLOOKUP(A116,Enforcements!$C$7:$E$14,3,0)</f>
        <v>#N/A</v>
      </c>
      <c r="AD116" s="56" t="str">
        <f>IF(LEN(A116)=6,"0"&amp;A116,A116)</f>
        <v>0204-07</v>
      </c>
      <c r="AE116" s="85" t="str">
        <f>"aws s3 cp "&amp;s3_bucket&amp;"/RTDC"&amp;B116&amp;"/ "&amp;search_path&amp;"\RTDC"&amp;B116&amp;"\"&amp;TEXT(F116,"YYYY-MM-DD")&amp;" --exclude ""*"" --recursive --include ""*"&amp;TEXT(F116,"YYYYMMDD")&amp;"*"" &amp; """&amp;walkandungz&amp;""" "&amp;search_path&amp;"\RTDC"&amp;B116&amp;"\"&amp;TEXT(F116,"YYYY-MM-DD")
&amp;" &amp; "&amp;"aws s3 cp "&amp;s3_bucket&amp;"/RTDC"&amp;B116&amp;"/ "&amp;search_path&amp;"\RTDC"&amp;B116&amp;"\"&amp;TEXT(F116+1,"YYYY-MM-DD")&amp;" --exclude ""*"" --recursive --include ""*"&amp;TEXT(F116+1,"YYYYMMDD")&amp;"*"" &amp; """&amp;walkandungz&amp;""" "&amp;search_path&amp;"\RTDC"&amp;B116&amp;"\"&amp;TEXT(F116+1,"YYYY-MM-DD")</f>
        <v>aws s3 cp s3://rtdc.mdm.uploadarchive.raw/RTDC4045/ "%USERPROFILE%\AppData\Local\Temp\OnboardLogs"\RTDC4045\2017-02-07 --exclude "*" --recursive --include "*20170207*" &amp; "%USERPROFILE%\Documents\GitHub\mrs-test-scripts\Headless Mode &amp; Sideloading\WalkAndUnGZ.bat" "%USERPROFILE%\AppData\Local\Temp\OnboardLogs"\RTDC4045\2017-02-07 &amp; aws s3 cp s3://rtdc.mdm.uploadarchive.raw/RTDC4045/ "%USERPROFILE%\AppData\Local\Temp\OnboardLogs"\RTDC4045\2017-02-08 --exclude "*" --recursive --include "*20170208*" &amp; "%USERPROFILE%\Documents\GitHub\mrs-test-scripts\Headless Mode &amp; Sideloading\WalkAndUnGZ.bat" "%USERPROFILE%\AppData\Local\Temp\OnboardLogs"\RTDC4045\2017-02-08</v>
      </c>
      <c r="AF116" s="82" t="str">
        <f>astrogrep_path&amp;" /spath="&amp;search_path&amp;" /stypes=""app*"&amp;B116&amp;"*"&amp;TEXT(I116-utc_offset/24,"YYYYMMDD")&amp;"*"" /stext="" "&amp;TEXT(I116-utc_offset/24,"HH")&amp;search_regexp&amp;""" /e /r /s"</f>
        <v>"C:\Program Files (x86)\AstroGrep\AstroGrep.exe" /spath="%USERPROFILE%\AppData\Local\Temp\OnboardLogs" /stypes="app*4045*20170208*" /stext=" 01:.+((SYSTEM_STATE.+slice.+state.+changed )|(ment ac)|(multiple cpu faults)|(system.+state.+changed )|(\[timeout)|(PRM\|1\|D)|(kpr)|(kdp)|(\|lc)|(penalty))" /e /r /s</v>
      </c>
      <c r="AG116" s="1" t="str">
        <f>IFERROR(IF(VALUE(LEFT(AD116,2))&lt;=2,"EC",IF(OR(VALUE(LEFT(AD116,2))=8,VALUE(LEFT(AD116,2))=18),"NW","Other")),"Other")</f>
        <v>EC</v>
      </c>
      <c r="AH116" s="86" t="str">
        <f t="shared" si="6"/>
        <v>"%USERPROFILE%\Documents\GitHub\eaglep3\Utilities\RefineRTDCRunTimes.py" --tripid 204-07 --locoid 4045 --swversion DE.1.0.8.0 --startMP 204:233004 --initTime 2017-02-07T17:17:31 --startdatetime 2017-02-07T17:26:29 --delay 2 --endMP 204:156 --enddatetime 2017-02-07T18:06:04 --enforcementcount 0 &gt;&gt;C:\Users\stu\Documents\GitHub\eaglep3-reporting\EC\2017-02-07-refined-times.txt</v>
      </c>
      <c r="AI116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{"issue":{"subject":"","project_id":79,"tracker_id":40,"status_id":1,"priority_id":2,"assigned_to_id":23,"start_date":"2017-02-07","description":"","custom_fields":[{"id":1,"name":"Subdivision","value":"EC"},{"id":4,"name":"Milepost","value":"0.0156"},{"id":17,"name":"Train ID","value":"204-07"},{"id":16,"name":"Locomotive ID","value":"4045"},{"id":130,"name":"Impact","value":""},{"id":150,"name":"Time of Event (Mountain Time)","value":"18:06:04"},{"id":151,"name":"Denver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48"/>
      <c r="AK116" s="48"/>
      <c r="AL116" s="48"/>
      <c r="AM116" s="158" t="str">
        <f t="shared" si="8"/>
        <v>start /low /b %USERPROFILE%\Documents\GitHub\eaglep3\Utilities\DownloadLogsFromS3.py --loco 4045 --day 2017-02-07</v>
      </c>
      <c r="AN116" s="167" t="str">
        <f>"grep -SE -B400 ""CHR.+\|PRM\|1\|D.+(SWITCH|SIGNAL).+UNKNOWN"" "&amp;search_path&amp;"\RTDC"&amp;B116&amp;"\*"&amp;B116&amp;"*"&amp;TEXT(AVERAGE(F116,I116)-utc_offset/24,"YYYYMMDD")&amp;"*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"%USERPROFILE%\AppData\Local\Temp\OnboardLogs"\RTDC4045\*4045*20170208* | grep -SE "(Enforcement Action)|(\[TIMEOUT)|(CHR.+\|PRM\|1\|D.+(SWITCH|SIGNAL).+UNKNOWN)" - &gt;&gt; 2017-02-07-UncaughtWiMAX.txt</v>
      </c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0" customFormat="1" x14ac:dyDescent="0.25">
      <c r="A117" s="33" t="s">
        <v>635</v>
      </c>
      <c r="B117" s="7">
        <v>4040</v>
      </c>
      <c r="C117" s="21" t="s">
        <v>193</v>
      </c>
      <c r="D117" s="21" t="s">
        <v>273</v>
      </c>
      <c r="E117" s="13">
        <v>42773.693113425928</v>
      </c>
      <c r="F117" s="13">
        <v>42773.69809027778</v>
      </c>
      <c r="G117" s="7">
        <v>1</v>
      </c>
      <c r="H117" s="21" t="s">
        <v>321</v>
      </c>
      <c r="I117" s="13">
        <v>42773.724710648145</v>
      </c>
      <c r="J117" s="7">
        <v>0</v>
      </c>
      <c r="K117" s="98" t="str">
        <f>IF(ISEVEN(B117),(B117-1)&amp;"/"&amp;B117,B117&amp;"/"&amp;(B117+1))</f>
        <v>4039/4040</v>
      </c>
      <c r="L117" s="21" t="str">
        <f>VLOOKUP(A117,'Trips&amp;Operators'!$C$1:$G$99999,5,FALSE)</f>
        <v>LEVERE CRAIG</v>
      </c>
      <c r="M117" s="6">
        <f>I117-F117</f>
        <v>2.6620370364980772E-2</v>
      </c>
      <c r="N117" s="7">
        <f>24*60*SUM($M117:$M117)</f>
        <v>38.333333325572312</v>
      </c>
      <c r="O117" s="7"/>
      <c r="P117" s="7"/>
      <c r="Q117" s="22"/>
      <c r="R117" s="22"/>
      <c r="S117" s="31">
        <f>SUM(U117:U117)/IF(AG117="EC",12,1)</f>
        <v>1</v>
      </c>
      <c r="T117" s="46" t="str">
        <f>IF(ISEVEN(LEFT(AD117,4)),"Southbound","NorthBound")</f>
        <v>NorthBound</v>
      </c>
      <c r="U117" s="190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191" t="str">
        <f>"https://d0f6bd738d7f1b3e5a7ca70fe4ff75f0.us-east-1.aws.found.io/app/kibana#/discover/Steve-Slow-Train-Analysis-(2080s-and-2083s)?_g="&amp;"(refreshInterval:(display:Off,pause:!f,section:0,value:0),time:(from:'"&amp;TEXT(E117-1/24,"yyyy-MM-DDThh:mm:ss")&amp;utc_offset&amp;"00"&amp;"',mode:absolute,to:'"&amp;TEXT(I117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117&amp;"%22')),sort:!(Time.ISO8601,asc))"</f>
        <v>https://d0f6bd738d7f1b3e5a7ca70fe4ff75f0.us-east-1.aws.found.io/app/kibana#/discover/Steve-Slow-Train-Analysis-(2080s-and-2083s)?_g=(refreshInterval:(display:Off,pause:!f,section:0,value:0),time:(from:'2017-02-07T15:38:05-0700',mode:absolute,to:'2017-02-07T18:23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17" s="192" t="str">
        <f>IF(AA117&lt;IF(AG117="EC",23,5.65),"Y","N")</f>
        <v>N</v>
      </c>
      <c r="X117" s="192">
        <f>VALUE(LEFT(AD117,4))-VALUE(LEFT(AD116,4))</f>
        <v>1</v>
      </c>
      <c r="Y117" s="62">
        <f>RIGHT(D117,LEN(D117)-4)/10000</f>
        <v>4.53E-2</v>
      </c>
      <c r="Z117" s="62">
        <f>RIGHT(H117,LEN(H117)-4)/10000</f>
        <v>23.330300000000001</v>
      </c>
      <c r="AA117" s="62">
        <f>ABS(Z117-Y117)</f>
        <v>23.285</v>
      </c>
      <c r="AB117" s="59" t="e">
        <f>VLOOKUP(A117,Enforcements!$C$7:$K$14,8,0)</f>
        <v>#N/A</v>
      </c>
      <c r="AC117" s="55" t="e">
        <f>VLOOKUP(A117,Enforcements!$C$7:$E$14,3,0)</f>
        <v>#N/A</v>
      </c>
      <c r="AD117" s="56" t="str">
        <f>IF(LEN(A117)=6,"0"&amp;A117,A117)</f>
        <v>0205-07</v>
      </c>
      <c r="AE117" s="85" t="str">
        <f>"aws s3 cp "&amp;s3_bucket&amp;"/RTDC"&amp;B117&amp;"/ "&amp;search_path&amp;"\RTDC"&amp;B117&amp;"\"&amp;TEXT(F117,"YYYY-MM-DD")&amp;" --exclude ""*"" --recursive --include ""*"&amp;TEXT(F117,"YYYYMMDD")&amp;"*"" &amp; """&amp;walkandungz&amp;""" "&amp;search_path&amp;"\RTDC"&amp;B117&amp;"\"&amp;TEXT(F117,"YYYY-MM-DD")
&amp;" &amp; "&amp;"aws s3 cp "&amp;s3_bucket&amp;"/RTDC"&amp;B117&amp;"/ "&amp;search_path&amp;"\RTDC"&amp;B117&amp;"\"&amp;TEXT(F117+1,"YYYY-MM-DD")&amp;" --exclude ""*"" --recursive --include ""*"&amp;TEXT(F117+1,"YYYYMMDD")&amp;"*"" &amp; """&amp;walkandungz&amp;""" "&amp;search_path&amp;"\RTDC"&amp;B117&amp;"\"&amp;TEXT(F117+1,"YYYY-MM-DD")</f>
        <v>aws s3 cp s3://rtdc.mdm.uploadarchive.raw/RTDC4040/ "%USERPROFILE%\AppData\Local\Temp\OnboardLogs"\RTDC4040\2017-02-07 --exclude "*" --recursive --include "*20170207*" &amp; "%USERPROFILE%\Documents\GitHub\mrs-test-scripts\Headless Mode &amp; Sideloading\WalkAndUnGZ.bat" "%USERPROFILE%\AppData\Local\Temp\OnboardLogs"\RTDC4040\2017-02-07 &amp; aws s3 cp s3://rtdc.mdm.uploadarchive.raw/RTDC4040/ "%USERPROFILE%\AppData\Local\Temp\OnboardLogs"\RTDC4040\2017-02-08 --exclude "*" --recursive --include "*20170208*" &amp; "%USERPROFILE%\Documents\GitHub\mrs-test-scripts\Headless Mode &amp; Sideloading\WalkAndUnGZ.bat" "%USERPROFILE%\AppData\Local\Temp\OnboardLogs"\RTDC4040\2017-02-08</v>
      </c>
      <c r="AF117" s="82" t="str">
        <f>astrogrep_path&amp;" /spath="&amp;search_path&amp;" /stypes=""app*"&amp;B117&amp;"*"&amp;TEXT(I117-utc_offset/24,"YYYYMMDD")&amp;"*"" /stext="" "&amp;TEXT(I117-utc_offset/24,"HH")&amp;search_regexp&amp;""" /e /r /s"</f>
        <v>"C:\Program Files (x86)\AstroGrep\AstroGrep.exe" /spath="%USERPROFILE%\AppData\Local\Temp\OnboardLogs" /stypes="app*4040*20170208*" /stext=" 00:.+((SYSTEM_STATE.+slice.+state.+changed )|(ment ac)|(multiple cpu faults)|(system.+state.+changed )|(\[timeout)|(PRM\|1\|D)|(kpr)|(kdp)|(\|lc)|(penalty))" /e /r /s</v>
      </c>
      <c r="AG117" s="1" t="str">
        <f>IFERROR(IF(VALUE(LEFT(AD117,2))&lt;=2,"EC",IF(OR(VALUE(LEFT(AD117,2))=8,VALUE(LEFT(AD117,2))=18),"NW","Other")),"Other")</f>
        <v>EC</v>
      </c>
      <c r="AH117" s="86" t="str">
        <f t="shared" si="6"/>
        <v>"%USERPROFILE%\Documents\GitHub\eaglep3\Utilities\RefineRTDCRunTimes.py" --tripid 205-07 --locoid 4040 --swversion DE.1.0.8.0 --startMP 204:453 --initTime 2017-02-07T16:38:05 --startdatetime 2017-02-07T16:45:15 --delay 1 --endMP 204:233303 --enddatetime 2017-02-07T17:23:35 --enforcementcount 0 &gt;&gt;C:\Users\stu\Documents\GitHub\eaglep3-reporting\EC\2017-02-07-refined-times.txt</v>
      </c>
      <c r="AI117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{"issue":{"subject":"","project_id":79,"tracker_id":40,"status_id":1,"priority_id":2,"assigned_to_id":23,"start_date":"2017-02-07","description":"","custom_fields":[{"id":1,"name":"Subdivision","value":"EC"},{"id":4,"name":"Milepost","value":"23.3303"},{"id":17,"name":"Train ID","value":"205-07"},{"id":16,"name":"Locomotive ID","value":"4040"},{"id":130,"name":"Impact","value":""},{"id":150,"name":"Time of Event (Mountain Time)","value":"17:23:35"},{"id":151,"name":"Denver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48"/>
      <c r="AK117" s="48"/>
      <c r="AL117" s="48"/>
      <c r="AM117" s="158" t="str">
        <f t="shared" si="8"/>
        <v>start /low /b %USERPROFILE%\Documents\GitHub\eaglep3\Utilities\DownloadLogsFromS3.py --loco 4040 --day 2017-02-07</v>
      </c>
      <c r="AN117" s="167" t="str">
        <f>"grep -SE -B400 ""CHR.+\|PRM\|1\|D.+(SWITCH|SIGNAL).+UNKNOWN"" "&amp;search_path&amp;"\RTDC"&amp;B117&amp;"\*"&amp;B117&amp;"*"&amp;TEXT(AVERAGE(F117,I117)-utc_offset/24,"YYYYMMDD")&amp;"*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"%USERPROFILE%\AppData\Local\Temp\OnboardLogs"\RTDC4040\*4040*20170208* | grep -SE "(Enforcement Action)|(\[TIMEOUT)|(CHR.+\|PRM\|1\|D.+(SWITCH|SIGNAL).+UNKNOWN)" - &gt;&gt; 2017-02-07-UncaughtWiMAX.txt</v>
      </c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s="20" customFormat="1" x14ac:dyDescent="0.25">
      <c r="A118" s="33" t="s">
        <v>645</v>
      </c>
      <c r="B118" s="7">
        <v>4039</v>
      </c>
      <c r="C118" s="21" t="s">
        <v>193</v>
      </c>
      <c r="D118" s="21" t="s">
        <v>757</v>
      </c>
      <c r="E118" s="13">
        <v>42773.729317129626</v>
      </c>
      <c r="F118" s="13">
        <v>42773.737129629626</v>
      </c>
      <c r="G118" s="7">
        <v>1</v>
      </c>
      <c r="H118" s="21" t="s">
        <v>380</v>
      </c>
      <c r="I118" s="13">
        <v>42773.765173611115</v>
      </c>
      <c r="J118" s="7">
        <v>0</v>
      </c>
      <c r="K118" s="98" t="str">
        <f>IF(ISEVEN(B118),(B118-1)&amp;"/"&amp;B118,B118&amp;"/"&amp;(B118+1))</f>
        <v>4039/4040</v>
      </c>
      <c r="L118" s="21" t="str">
        <f>VLOOKUP(A118,'Trips&amp;Operators'!$C$1:$G$99999,5,FALSE)</f>
        <v>LEVERE CRAIG</v>
      </c>
      <c r="M118" s="6">
        <f>I118-F118</f>
        <v>2.8043981488735881E-2</v>
      </c>
      <c r="N118" s="7">
        <f>24*60*SUM($M118:$M118)</f>
        <v>40.383333343779668</v>
      </c>
      <c r="O118" s="7"/>
      <c r="P118" s="7"/>
      <c r="Q118" s="22"/>
      <c r="R118" s="22"/>
      <c r="S118" s="31">
        <f>SUM(U118:U118)/IF(AG118="EC",12,1)</f>
        <v>1</v>
      </c>
      <c r="T118" s="46" t="str">
        <f>IF(ISEVEN(LEFT(AD118,4)),"Southbound","NorthBound")</f>
        <v>Southbound</v>
      </c>
      <c r="U118" s="190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191" t="str">
        <f>"https://d0f6bd738d7f1b3e5a7ca70fe4ff75f0.us-east-1.aws.found.io/app/kibana#/discover/Steve-Slow-Train-Analysis-(2080s-and-2083s)?_g="&amp;"(refreshInterval:(display:Off,pause:!f,section:0,value:0),time:(from:'"&amp;TEXT(E118-1/24,"yyyy-MM-DDThh:mm:ss")&amp;utc_offset&amp;"00"&amp;"',mode:absolute,to:'"&amp;TEXT(I118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118&amp;"%22')),sort:!(Time.ISO8601,asc))"</f>
        <v>https://d0f6bd738d7f1b3e5a7ca70fe4ff75f0.us-east-1.aws.found.io/app/kibana#/discover/Steve-Slow-Train-Analysis-(2080s-and-2083s)?_g=(refreshInterval:(display:Off,pause:!f,section:0,value:0),time:(from:'2017-02-07T16:30:13-0700',mode:absolute,to:'2017-02-07T19:21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18" s="192" t="str">
        <f>IF(AA118&lt;IF(AG118="EC",23,5.65),"Y","N")</f>
        <v>N</v>
      </c>
      <c r="X118" s="192">
        <f>VALUE(LEFT(AD118,4))-VALUE(LEFT(AD117,4))</f>
        <v>1</v>
      </c>
      <c r="Y118" s="62">
        <f>RIGHT(D118,LEN(D118)-4)/10000</f>
        <v>23.298400000000001</v>
      </c>
      <c r="Z118" s="62">
        <f>RIGHT(H118,LEN(H118)-4)/10000</f>
        <v>1.6299999999999999E-2</v>
      </c>
      <c r="AA118" s="62">
        <f>ABS(Z118-Y118)</f>
        <v>23.2821</v>
      </c>
      <c r="AB118" s="59" t="e">
        <f>VLOOKUP(A118,Enforcements!$C$7:$K$14,8,0)</f>
        <v>#N/A</v>
      </c>
      <c r="AC118" s="55" t="e">
        <f>VLOOKUP(A118,Enforcements!$C$7:$E$14,3,0)</f>
        <v>#N/A</v>
      </c>
      <c r="AD118" s="56" t="str">
        <f>IF(LEN(A118)=6,"0"&amp;A118,A118)</f>
        <v>0206-07</v>
      </c>
      <c r="AE118" s="85" t="str">
        <f>"aws s3 cp "&amp;s3_bucket&amp;"/RTDC"&amp;B118&amp;"/ "&amp;search_path&amp;"\RTDC"&amp;B118&amp;"\"&amp;TEXT(F118,"YYYY-MM-DD")&amp;" --exclude ""*"" --recursive --include ""*"&amp;TEXT(F118,"YYYYMMDD")&amp;"*"" &amp; """&amp;walkandungz&amp;""" "&amp;search_path&amp;"\RTDC"&amp;B118&amp;"\"&amp;TEXT(F118,"YYYY-MM-DD")
&amp;" &amp; "&amp;"aws s3 cp "&amp;s3_bucket&amp;"/RTDC"&amp;B118&amp;"/ "&amp;search_path&amp;"\RTDC"&amp;B118&amp;"\"&amp;TEXT(F118+1,"YYYY-MM-DD")&amp;" --exclude ""*"" --recursive --include ""*"&amp;TEXT(F118+1,"YYYYMMDD")&amp;"*"" &amp; """&amp;walkandungz&amp;""" "&amp;search_path&amp;"\RTDC"&amp;B118&amp;"\"&amp;TEXT(F118+1,"YYYY-MM-DD")</f>
        <v>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 &amp; aws s3 cp s3://rtdc.mdm.uploadarchive.raw/RTDC4039/ "%USERPROFILE%\AppData\Local\Temp\OnboardLogs"\RTDC4039\2017-02-08 --exclude "*" --recursive --include "*20170208*" &amp; "%USERPROFILE%\Documents\GitHub\mrs-test-scripts\Headless Mode &amp; Sideloading\WalkAndUnGZ.bat" "%USERPROFILE%\AppData\Local\Temp\OnboardLogs"\RTDC4039\2017-02-08</v>
      </c>
      <c r="AF118" s="82" t="str">
        <f>astrogrep_path&amp;" /spath="&amp;search_path&amp;" /stypes=""app*"&amp;B118&amp;"*"&amp;TEXT(I118-utc_offset/24,"YYYYMMDD")&amp;"*"" /stext="" "&amp;TEXT(I118-utc_offset/24,"HH")&amp;search_regexp&amp;""" /e /r /s"</f>
        <v>"C:\Program Files (x86)\AstroGrep\AstroGrep.exe" /spath="%USERPROFILE%\AppData\Local\Temp\OnboardLogs" /stypes="app*4039*20170208*" /stext=" 01:.+((SYSTEM_STATE.+slice.+state.+changed )|(ment ac)|(multiple cpu faults)|(system.+state.+changed )|(\[timeout)|(PRM\|1\|D)|(kpr)|(kdp)|(\|lc)|(penalty))" /e /r /s</v>
      </c>
      <c r="AG118" s="1" t="str">
        <f>IFERROR(IF(VALUE(LEFT(AD118,2))&lt;=2,"EC",IF(OR(VALUE(LEFT(AD118,2))=8,VALUE(LEFT(AD118,2))=18),"NW","Other")),"Other")</f>
        <v>EC</v>
      </c>
      <c r="AH118" s="86" t="str">
        <f t="shared" si="6"/>
        <v>"%USERPROFILE%\Documents\GitHub\eaglep3\Utilities\RefineRTDCRunTimes.py" --tripid 206-07 --locoid 4039 --swversion DE.1.0.8.0 --startMP 204:232984 --initTime 2017-02-07T17:30:13 --startdatetime 2017-02-07T17:41:28 --delay 1 --endMP 204:163 --enddatetime 2017-02-07T18:21:51 --enforcementcount 0 &gt;&gt;C:\Users\stu\Documents\GitHub\eaglep3-reporting\EC\2017-02-07-refined-times.txt</v>
      </c>
      <c r="AI118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{"issue":{"subject":"","project_id":79,"tracker_id":40,"status_id":1,"priority_id":2,"assigned_to_id":23,"start_date":"2017-02-07","description":"","custom_fields":[{"id":1,"name":"Subdivision","value":"EC"},{"id":4,"name":"Milepost","value":"0.0163"},{"id":17,"name":"Train ID","value":"206-07"},{"id":16,"name":"Locomotive ID","value":"4039"},{"id":130,"name":"Impact","value":""},{"id":150,"name":"Time of Event (Mountain Time)","value":"18:21:51"},{"id":151,"name":"Denver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48"/>
      <c r="AK118" s="48"/>
      <c r="AL118" s="48"/>
      <c r="AM118" s="158" t="str">
        <f t="shared" si="8"/>
        <v>start /low /b %USERPROFILE%\Documents\GitHub\eaglep3\Utilities\DownloadLogsFromS3.py --loco 4039 --day 2017-02-07</v>
      </c>
      <c r="AN118" s="167" t="str">
        <f>"grep -SE -B400 ""CHR.+\|PRM\|1\|D.+(SWITCH|SIGNAL).+UNKNOWN"" "&amp;search_path&amp;"\RTDC"&amp;B118&amp;"\*"&amp;B118&amp;"*"&amp;TEXT(AVERAGE(F118,I118)-utc_offset/24,"YYYYMMDD")&amp;"*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"%USERPROFILE%\AppData\Local\Temp\OnboardLogs"\RTDC4039\*4039*20170208* | grep -SE "(Enforcement Action)|(\[TIMEOUT)|(CHR.+\|PRM\|1\|D.+(SWITCH|SIGNAL).+UNKNOWN)" - &gt;&gt; 2017-02-07-UncaughtWiMAX.txt</v>
      </c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</row>
    <row r="119" spans="1:91" s="20" customFormat="1" x14ac:dyDescent="0.25">
      <c r="A119" s="33" t="s">
        <v>636</v>
      </c>
      <c r="B119" s="7">
        <v>4011</v>
      </c>
      <c r="C119" s="21" t="s">
        <v>193</v>
      </c>
      <c r="D119" s="21" t="s">
        <v>711</v>
      </c>
      <c r="E119" s="13">
        <v>42773.704444444447</v>
      </c>
      <c r="F119" s="13">
        <v>42773.708506944444</v>
      </c>
      <c r="G119" s="7">
        <v>1</v>
      </c>
      <c r="H119" s="21" t="s">
        <v>331</v>
      </c>
      <c r="I119" s="13">
        <v>42773.735358796293</v>
      </c>
      <c r="J119" s="7">
        <v>0</v>
      </c>
      <c r="K119" s="98" t="str">
        <f>IF(ISEVEN(B119),(B119-1)&amp;"/"&amp;B119,B119&amp;"/"&amp;(B119+1))</f>
        <v>4011/4012</v>
      </c>
      <c r="L119" s="21" t="str">
        <f>VLOOKUP(A119,'Trips&amp;Operators'!$C$1:$G$99999,5,FALSE)</f>
        <v>CLARK KATHLEEN</v>
      </c>
      <c r="M119" s="6">
        <f>I119-F119</f>
        <v>2.6851851849642117E-2</v>
      </c>
      <c r="N119" s="7">
        <f>24*60*SUM($M119:$M119)</f>
        <v>38.666666663484648</v>
      </c>
      <c r="O119" s="7"/>
      <c r="P119" s="7"/>
      <c r="Q119" s="22"/>
      <c r="R119" s="22"/>
      <c r="S119" s="31">
        <f>SUM(U119:U119)/IF(AG119="EC",12,1)</f>
        <v>1</v>
      </c>
      <c r="T119" s="46" t="str">
        <f>IF(ISEVEN(LEFT(AD119,4)),"Southbound","NorthBound")</f>
        <v>NorthBound</v>
      </c>
      <c r="U119" s="190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191" t="str">
        <f>"https://d0f6bd738d7f1b3e5a7ca70fe4ff75f0.us-east-1.aws.found.io/app/kibana#/discover/Steve-Slow-Train-Analysis-(2080s-and-2083s)?_g="&amp;"(refreshInterval:(display:Off,pause:!f,section:0,value:0),time:(from:'"&amp;TEXT(E119-1/24,"yyyy-MM-DDThh:mm:ss")&amp;utc_offset&amp;"00"&amp;"',mode:absolute,to:'"&amp;TEXT(I119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119&amp;"%22')),sort:!(Time.ISO8601,asc))"</f>
        <v>https://d0f6bd738d7f1b3e5a7ca70fe4ff75f0.us-east-1.aws.found.io/app/kibana#/discover/Steve-Slow-Train-Analysis-(2080s-and-2083s)?_g=(refreshInterval:(display:Off,pause:!f,section:0,value:0),time:(from:'2017-02-07T15:54:24-0700',mode:absolute,to:'2017-02-07T18:38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119" s="192" t="str">
        <f>IF(AA119&lt;IF(AG119="EC",23,5.65),"Y","N")</f>
        <v>N</v>
      </c>
      <c r="X119" s="192">
        <f>VALUE(LEFT(AD119,4))-VALUE(LEFT(AD118,4))</f>
        <v>1</v>
      </c>
      <c r="Y119" s="62">
        <f>RIGHT(D119,LEN(D119)-4)/10000</f>
        <v>4.4400000000000002E-2</v>
      </c>
      <c r="Z119" s="62">
        <f>RIGHT(H119,LEN(H119)-4)/10000</f>
        <v>23.330200000000001</v>
      </c>
      <c r="AA119" s="62">
        <f>ABS(Z119-Y119)</f>
        <v>23.285800000000002</v>
      </c>
      <c r="AB119" s="59" t="e">
        <f>VLOOKUP(A119,Enforcements!$C$7:$K$14,8,0)</f>
        <v>#N/A</v>
      </c>
      <c r="AC119" s="55" t="e">
        <f>VLOOKUP(A119,Enforcements!$C$7:$E$14,3,0)</f>
        <v>#N/A</v>
      </c>
      <c r="AD119" s="56" t="str">
        <f>IF(LEN(A119)=6,"0"&amp;A119,A119)</f>
        <v>0207-07</v>
      </c>
      <c r="AE119" s="85" t="str">
        <f>"aws s3 cp "&amp;s3_bucket&amp;"/RTDC"&amp;B119&amp;"/ "&amp;search_path&amp;"\RTDC"&amp;B119&amp;"\"&amp;TEXT(F119,"YYYY-MM-DD")&amp;" --exclude ""*"" --recursive --include ""*"&amp;TEXT(F119,"YYYYMMDD")&amp;"*"" &amp; """&amp;walkandungz&amp;""" "&amp;search_path&amp;"\RTDC"&amp;B119&amp;"\"&amp;TEXT(F119,"YYYY-MM-DD")
&amp;" &amp; "&amp;"aws s3 cp "&amp;s3_bucket&amp;"/RTDC"&amp;B119&amp;"/ "&amp;search_path&amp;"\RTDC"&amp;B119&amp;"\"&amp;TEXT(F119+1,"YYYY-MM-DD")&amp;" --exclude ""*"" --recursive --include ""*"&amp;TEXT(F119+1,"YYYYMMDD")&amp;"*"" &amp; """&amp;walkandungz&amp;""" "&amp;search_path&amp;"\RTDC"&amp;B119&amp;"\"&amp;TEXT(F119+1,"YYYY-MM-DD")</f>
        <v>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 &amp; aws s3 cp s3://rtdc.mdm.uploadarchive.raw/RTDC4011/ "%USERPROFILE%\AppData\Local\Temp\OnboardLogs"\RTDC4011\2017-02-08 --exclude "*" --recursive --include "*20170208*" &amp; "%USERPROFILE%\Documents\GitHub\mrs-test-scripts\Headless Mode &amp; Sideloading\WalkAndUnGZ.bat" "%USERPROFILE%\AppData\Local\Temp\OnboardLogs"\RTDC4011\2017-02-08</v>
      </c>
      <c r="AF119" s="82" t="str">
        <f>astrogrep_path&amp;" /spath="&amp;search_path&amp;" /stypes=""app*"&amp;B119&amp;"*"&amp;TEXT(I119-utc_offset/24,"YYYYMMDD")&amp;"*"" /stext="" "&amp;TEXT(I119-utc_offset/24,"HH")&amp;search_regexp&amp;""" /e /r /s"</f>
        <v>"C:\Program Files (x86)\AstroGrep\AstroGrep.exe" /spath="%USERPROFILE%\AppData\Local\Temp\OnboardLogs" /stypes="app*4011*20170208*" /stext=" 00:.+((SYSTEM_STATE.+slice.+state.+changed )|(ment ac)|(multiple cpu faults)|(system.+state.+changed )|(\[timeout)|(PRM\|1\|D)|(kpr)|(kdp)|(\|lc)|(penalty))" /e /r /s</v>
      </c>
      <c r="AG119" s="1" t="str">
        <f>IFERROR(IF(VALUE(LEFT(AD119,2))&lt;=2,"EC",IF(OR(VALUE(LEFT(AD119,2))=8,VALUE(LEFT(AD119,2))=18),"NW","Other")),"Other")</f>
        <v>EC</v>
      </c>
      <c r="AH119" s="86" t="str">
        <f t="shared" si="6"/>
        <v>"%USERPROFILE%\Documents\GitHub\eaglep3\Utilities\RefineRTDCRunTimes.py" --tripid 207-07 --locoid 4011 --swversion DE.1.0.8.0 --startMP 204:444 --initTime 2017-02-07T16:54:24 --startdatetime 2017-02-07T17:00:15 --delay 1 --endMP 204:233302 --enddatetime 2017-02-07T17:38:55 --enforcementcount 0 &gt;&gt;C:\Users\stu\Documents\GitHub\eaglep3-reporting\EC\2017-02-07-refined-times.txt</v>
      </c>
      <c r="AI119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{"issue":{"subject":"","project_id":79,"tracker_id":40,"status_id":1,"priority_id":2,"assigned_to_id":23,"start_date":"2017-02-07","description":"","custom_fields":[{"id":1,"name":"Subdivision","value":"EC"},{"id":4,"name":"Milepost","value":"23.3302"},{"id":17,"name":"Train ID","value":"207-07"},{"id":16,"name":"Locomotive ID","value":"4011"},{"id":130,"name":"Impact","value":""},{"id":150,"name":"Time of Event (Mountain Time)","value":"17:38:55"},{"id":151,"name":"Denver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48"/>
      <c r="AK119" s="48"/>
      <c r="AL119" s="48"/>
      <c r="AM119" s="158" t="str">
        <f t="shared" si="8"/>
        <v>start /low /b %USERPROFILE%\Documents\GitHub\eaglep3\Utilities\DownloadLogsFromS3.py --loco 4011 --day 2017-02-07</v>
      </c>
      <c r="AN119" s="167" t="str">
        <f>"grep -SE -B400 ""CHR.+\|PRM\|1\|D.+(SWITCH|SIGNAL).+UNKNOWN"" "&amp;search_path&amp;"\RTDC"&amp;B119&amp;"\*"&amp;B119&amp;"*"&amp;TEXT(AVERAGE(F119,I119)-utc_offset/24,"YYYYMMDD")&amp;"*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"%USERPROFILE%\AppData\Local\Temp\OnboardLogs"\RTDC4011\*4011*20170208* | grep -SE "(Enforcement Action)|(\[TIMEOUT)|(CHR.+\|PRM\|1\|D.+(SWITCH|SIGNAL).+UNKNOWN)" - &gt;&gt; 2017-02-07-UncaughtWiMAX.txt</v>
      </c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0" customFormat="1" x14ac:dyDescent="0.25">
      <c r="A120" s="33" t="s">
        <v>489</v>
      </c>
      <c r="B120" s="7">
        <v>4012</v>
      </c>
      <c r="C120" s="21" t="s">
        <v>193</v>
      </c>
      <c r="D120" s="21" t="s">
        <v>758</v>
      </c>
      <c r="E120" s="13">
        <v>42773.741423611114</v>
      </c>
      <c r="F120" s="13">
        <v>42773.747395833336</v>
      </c>
      <c r="G120" s="7">
        <v>1</v>
      </c>
      <c r="H120" s="21" t="s">
        <v>759</v>
      </c>
      <c r="I120" s="13">
        <v>42773.77579861111</v>
      </c>
      <c r="J120" s="7">
        <v>0</v>
      </c>
      <c r="K120" s="98" t="str">
        <f>IF(ISEVEN(B120),(B120-1)&amp;"/"&amp;B120,B120&amp;"/"&amp;(B120+1))</f>
        <v>4011/4012</v>
      </c>
      <c r="L120" s="21" t="str">
        <f>VLOOKUP(A120,'Trips&amp;Operators'!$C$1:$G$99999,5,FALSE)</f>
        <v>CLARK KATHLEEN</v>
      </c>
      <c r="M120" s="6">
        <f>I120-F120</f>
        <v>2.8402777774317656E-2</v>
      </c>
      <c r="N120" s="7">
        <f>24*60*SUM($M120:$M120)</f>
        <v>40.899999995017424</v>
      </c>
      <c r="O120" s="7"/>
      <c r="P120" s="7"/>
      <c r="Q120" s="22"/>
      <c r="R120" s="22"/>
      <c r="S120" s="31">
        <f>SUM(U120:U120)/IF(AG120="EC",12,1)</f>
        <v>1</v>
      </c>
      <c r="T120" s="46" t="str">
        <f>IF(ISEVEN(LEFT(AD120,4)),"Southbound","NorthBound")</f>
        <v>Southbound</v>
      </c>
      <c r="U120" s="190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191" t="str">
        <f>"https://d0f6bd738d7f1b3e5a7ca70fe4ff75f0.us-east-1.aws.found.io/app/kibana#/discover/Steve-Slow-Train-Analysis-(2080s-and-2083s)?_g="&amp;"(refreshInterval:(display:Off,pause:!f,section:0,value:0),time:(from:'"&amp;TEXT(E120-1/24,"yyyy-MM-DDThh:mm:ss")&amp;utc_offset&amp;"00"&amp;"',mode:absolute,to:'"&amp;TEXT(I120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120&amp;"%22')),sort:!(Time.ISO8601,asc))"</f>
        <v>https://d0f6bd738d7f1b3e5a7ca70fe4ff75f0.us-east-1.aws.found.io/app/kibana#/discover/Steve-Slow-Train-Analysis-(2080s-and-2083s)?_g=(refreshInterval:(display:Off,pause:!f,section:0,value:0),time:(from:'2017-02-07T16:47:39-0700',mode:absolute,to:'2017-02-07T19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W120" s="192" t="str">
        <f>IF(AA120&lt;IF(AG120="EC",23,5.65),"Y","N")</f>
        <v>N</v>
      </c>
      <c r="X120" s="192">
        <f>VALUE(LEFT(AD120,4))-VALUE(LEFT(AD119,4))</f>
        <v>1</v>
      </c>
      <c r="Y120" s="62">
        <f>RIGHT(D120,LEN(D120)-4)/10000</f>
        <v>23.298100000000002</v>
      </c>
      <c r="Z120" s="62">
        <f>RIGHT(H120,LEN(H120)-4)/10000</f>
        <v>2.1999999999999999E-2</v>
      </c>
      <c r="AA120" s="62">
        <f>ABS(Z120-Y120)</f>
        <v>23.276100000000003</v>
      </c>
      <c r="AB120" s="59" t="e">
        <f>VLOOKUP(A120,Enforcements!$C$7:$K$14,8,0)</f>
        <v>#N/A</v>
      </c>
      <c r="AC120" s="55" t="e">
        <f>VLOOKUP(A120,Enforcements!$C$7:$E$14,3,0)</f>
        <v>#N/A</v>
      </c>
      <c r="AD120" s="56" t="str">
        <f>IF(LEN(A120)=6,"0"&amp;A120,A120)</f>
        <v>0208-07</v>
      </c>
      <c r="AE120" s="85" t="str">
        <f>"aws s3 cp "&amp;s3_bucket&amp;"/RTDC"&amp;B120&amp;"/ "&amp;search_path&amp;"\RTDC"&amp;B120&amp;"\"&amp;TEXT(F120,"YYYY-MM-DD")&amp;" --exclude ""*"" --recursive --include ""*"&amp;TEXT(F120,"YYYYMMDD")&amp;"*"" &amp; """&amp;walkandungz&amp;""" "&amp;search_path&amp;"\RTDC"&amp;B120&amp;"\"&amp;TEXT(F120,"YYYY-MM-DD")
&amp;" &amp; "&amp;"aws s3 cp "&amp;s3_bucket&amp;"/RTDC"&amp;B120&amp;"/ "&amp;search_path&amp;"\RTDC"&amp;B120&amp;"\"&amp;TEXT(F120+1,"YYYY-MM-DD")&amp;" --exclude ""*"" --recursive --include ""*"&amp;TEXT(F120+1,"YYYYMMDD")&amp;"*"" &amp; """&amp;walkandungz&amp;""" "&amp;search_path&amp;"\RTDC"&amp;B120&amp;"\"&amp;TEXT(F120+1,"YYYY-MM-DD")</f>
        <v>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 &amp; aws s3 cp s3://rtdc.mdm.uploadarchive.raw/RTDC4012/ "%USERPROFILE%\AppData\Local\Temp\OnboardLogs"\RTDC4012\2017-02-08 --exclude "*" --recursive --include "*20170208*" &amp; "%USERPROFILE%\Documents\GitHub\mrs-test-scripts\Headless Mode &amp; Sideloading\WalkAndUnGZ.bat" "%USERPROFILE%\AppData\Local\Temp\OnboardLogs"\RTDC4012\2017-02-08</v>
      </c>
      <c r="AF120" s="82" t="str">
        <f>astrogrep_path&amp;" /spath="&amp;search_path&amp;" /stypes=""app*"&amp;B120&amp;"*"&amp;TEXT(I120-utc_offset/24,"YYYYMMDD")&amp;"*"" /stext="" "&amp;TEXT(I120-utc_offset/24,"HH")&amp;search_regexp&amp;""" /e /r /s"</f>
        <v>"C:\Program Files (x86)\AstroGrep\AstroGrep.exe" /spath="%USERPROFILE%\AppData\Local\Temp\OnboardLogs" /stypes="app*4012*20170208*" /stext=" 01:.+((SYSTEM_STATE.+slice.+state.+changed )|(ment ac)|(multiple cpu faults)|(system.+state.+changed )|(\[timeout)|(PRM\|1\|D)|(kpr)|(kdp)|(\|lc)|(penalty))" /e /r /s</v>
      </c>
      <c r="AG120" s="1" t="str">
        <f>IFERROR(IF(VALUE(LEFT(AD120,2))&lt;=2,"EC",IF(OR(VALUE(LEFT(AD120,2))=8,VALUE(LEFT(AD120,2))=18),"NW","Other")),"Other")</f>
        <v>EC</v>
      </c>
      <c r="AH120" s="86" t="str">
        <f t="shared" si="6"/>
        <v>"%USERPROFILE%\Documents\GitHub\eaglep3\Utilities\RefineRTDCRunTimes.py" --tripid 208-07 --locoid 4012 --swversion DE.1.0.8.0 --startMP 204:232981 --initTime 2017-02-07T17:47:39 --startdatetime 2017-02-07T17:56:15 --delay 1 --endMP 204:220 --enddatetime 2017-02-07T18:37:09 --enforcementcount 0 &gt;&gt;C:\Users\stu\Documents\GitHub\eaglep3-reporting\EC\2017-02-07-refined-times.txt</v>
      </c>
      <c r="AI120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{"issue":{"subject":"","project_id":79,"tracker_id":40,"status_id":1,"priority_id":2,"assigned_to_id":23,"start_date":"2017-02-07","description":"","custom_fields":[{"id":1,"name":"Subdivision","value":"EC"},{"id":4,"name":"Milepost","value":"0.022"},{"id":17,"name":"Train ID","value":"208-07"},{"id":16,"name":"Locomotive ID","value":"4012"},{"id":130,"name":"Impact","value":""},{"id":150,"name":"Time of Event (Mountain Time)","value":"18:37:09"},{"id":151,"name":"Denver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48"/>
      <c r="AK120" s="48"/>
      <c r="AL120" s="48"/>
      <c r="AM120" s="158" t="str">
        <f t="shared" si="8"/>
        <v>start /low /b %USERPROFILE%\Documents\GitHub\eaglep3\Utilities\DownloadLogsFromS3.py --loco 4012 --day 2017-02-07</v>
      </c>
      <c r="AN120" s="167" t="str">
        <f>"grep -SE -B400 ""CHR.+\|PRM\|1\|D.+(SWITCH|SIGNAL).+UNKNOWN"" "&amp;search_path&amp;"\RTDC"&amp;B120&amp;"\*"&amp;B120&amp;"*"&amp;TEXT(AVERAGE(F120,I120)-utc_offset/24,"YYYYMMDD")&amp;"*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"%USERPROFILE%\AppData\Local\Temp\OnboardLogs"\RTDC4012\*4012*20170208* | grep -SE "(Enforcement Action)|(\[TIMEOUT)|(CHR.+\|PRM\|1\|D.+(SWITCH|SIGNAL).+UNKNOWN)" - &gt;&gt; 2017-02-07-UncaughtWiMAX.txt</v>
      </c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0" customFormat="1" x14ac:dyDescent="0.25">
      <c r="A121" s="33" t="s">
        <v>638</v>
      </c>
      <c r="B121" s="7">
        <v>4002</v>
      </c>
      <c r="C121" s="21" t="s">
        <v>193</v>
      </c>
      <c r="D121" s="21" t="s">
        <v>732</v>
      </c>
      <c r="E121" s="13">
        <v>42773.716840277775</v>
      </c>
      <c r="F121" s="13">
        <v>42773.719050925924</v>
      </c>
      <c r="G121" s="7">
        <v>1</v>
      </c>
      <c r="H121" s="21" t="s">
        <v>420</v>
      </c>
      <c r="I121" s="13">
        <v>42773.744664351849</v>
      </c>
      <c r="J121" s="7">
        <v>0</v>
      </c>
      <c r="K121" s="98" t="str">
        <f>IF(ISEVEN(B121),(B121-1)&amp;"/"&amp;B121,B121&amp;"/"&amp;(B121+1))</f>
        <v>4001/4002</v>
      </c>
      <c r="L121" s="21" t="str">
        <f>VLOOKUP(A121,'Trips&amp;Operators'!$C$1:$G$99999,5,FALSE)</f>
        <v>CHANDLER KELVIN</v>
      </c>
      <c r="M121" s="6">
        <f>I121-F121</f>
        <v>2.5613425925257616E-2</v>
      </c>
      <c r="N121" s="7">
        <f>24*60*SUM($M121:$M121)</f>
        <v>36.883333332370967</v>
      </c>
      <c r="O121" s="7"/>
      <c r="P121" s="7"/>
      <c r="Q121" s="22"/>
      <c r="R121" s="22"/>
      <c r="S121" s="31">
        <f>SUM(U121:U121)/IF(AG121="EC",12,1)</f>
        <v>1</v>
      </c>
      <c r="T121" s="46" t="str">
        <f>IF(ISEVEN(LEFT(AD121,4)),"Southbound","NorthBound")</f>
        <v>NorthBound</v>
      </c>
      <c r="U121" s="190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191" t="str">
        <f>"https://d0f6bd738d7f1b3e5a7ca70fe4ff75f0.us-east-1.aws.found.io/app/kibana#/discover/Steve-Slow-Train-Analysis-(2080s-and-2083s)?_g="&amp;"(refreshInterval:(display:Off,pause:!f,section:0,value:0),time:(from:'"&amp;TEXT(E121-1/24,"yyyy-MM-DDThh:mm:ss")&amp;utc_offset&amp;"00"&amp;"',mode:absolute,to:'"&amp;TEXT(I121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121&amp;"%22')),sort:!(Time.ISO8601,asc))"</f>
        <v>https://d0f6bd738d7f1b3e5a7ca70fe4ff75f0.us-east-1.aws.found.io/app/kibana#/discover/Steve-Slow-Train-Analysis-(2080s-and-2083s)?_g=(refreshInterval:(display:Off,pause:!f,section:0,value:0),time:(from:'2017-02-07T16:12:15-0700',mode:absolute,to:'2017-02-07T18:52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121" s="192" t="str">
        <f>IF(AA121&lt;IF(AG121="EC",23,5.65),"Y","N")</f>
        <v>N</v>
      </c>
      <c r="X121" s="192">
        <f>VALUE(LEFT(AD121,4))-VALUE(LEFT(AD120,4))</f>
        <v>1</v>
      </c>
      <c r="Y121" s="62">
        <f>RIGHT(D121,LEN(D121)-4)/10000</f>
        <v>4.3999999999999997E-2</v>
      </c>
      <c r="Z121" s="62">
        <f>RIGHT(H121,LEN(H121)-4)/10000</f>
        <v>23.328399999999998</v>
      </c>
      <c r="AA121" s="62">
        <f>ABS(Z121-Y121)</f>
        <v>23.284399999999998</v>
      </c>
      <c r="AB121" s="59" t="e">
        <f>VLOOKUP(A121,Enforcements!$C$7:$K$14,8,0)</f>
        <v>#N/A</v>
      </c>
      <c r="AC121" s="55" t="e">
        <f>VLOOKUP(A121,Enforcements!$C$7:$E$14,3,0)</f>
        <v>#N/A</v>
      </c>
      <c r="AD121" s="56" t="str">
        <f>IF(LEN(A121)=6,"0"&amp;A121,A121)</f>
        <v>0209-07</v>
      </c>
      <c r="AE121" s="85" t="str">
        <f>"aws s3 cp "&amp;s3_bucket&amp;"/RTDC"&amp;B121&amp;"/ "&amp;search_path&amp;"\RTDC"&amp;B121&amp;"\"&amp;TEXT(F121,"YYYY-MM-DD")&amp;" --exclude ""*"" --recursive --include ""*"&amp;TEXT(F121,"YYYYMMDD")&amp;"*"" &amp; """&amp;walkandungz&amp;""" "&amp;search_path&amp;"\RTDC"&amp;B121&amp;"\"&amp;TEXT(F121,"YYYY-MM-DD")
&amp;" &amp; "&amp;"aws s3 cp "&amp;s3_bucket&amp;"/RTDC"&amp;B121&amp;"/ "&amp;search_path&amp;"\RTDC"&amp;B121&amp;"\"&amp;TEXT(F121+1,"YYYY-MM-DD")&amp;" --exclude ""*"" --recursive --include ""*"&amp;TEXT(F121+1,"YYYYMMDD")&amp;"*"" &amp; """&amp;walkandungz&amp;""" "&amp;search_path&amp;"\RTDC"&amp;B121&amp;"\"&amp;TEXT(F121+1,"YYYY-MM-DD")</f>
        <v>aws s3 cp s3://rtdc.mdm.uploadarchive.raw/RTDC4002/ "%USERPROFILE%\AppData\Local\Temp\OnboardLogs"\RTDC4002\2017-02-07 --exclude "*" --recursive --include "*20170207*" &amp; "%USERPROFILE%\Documents\GitHub\mrs-test-scripts\Headless Mode &amp; Sideloading\WalkAndUnGZ.bat" "%USERPROFILE%\AppData\Local\Temp\OnboardLogs"\RTDC4002\2017-02-07 &amp; aws s3 cp s3://rtdc.mdm.uploadarchive.raw/RTDC4002/ "%USERPROFILE%\AppData\Local\Temp\OnboardLogs"\RTDC4002\2017-02-08 --exclude "*" --recursive --include "*20170208*" &amp; "%USERPROFILE%\Documents\GitHub\mrs-test-scripts\Headless Mode &amp; Sideloading\WalkAndUnGZ.bat" "%USERPROFILE%\AppData\Local\Temp\OnboardLogs"\RTDC4002\2017-02-08</v>
      </c>
      <c r="AF121" s="82" t="str">
        <f>astrogrep_path&amp;" /spath="&amp;search_path&amp;" /stypes=""app*"&amp;B121&amp;"*"&amp;TEXT(I121-utc_offset/24,"YYYYMMDD")&amp;"*"" /stext="" "&amp;TEXT(I121-utc_offset/24,"HH")&amp;search_regexp&amp;""" /e /r /s"</f>
        <v>"C:\Program Files (x86)\AstroGrep\AstroGrep.exe" /spath="%USERPROFILE%\AppData\Local\Temp\OnboardLogs" /stypes="app*4002*20170208*" /stext=" 00:.+((SYSTEM_STATE.+slice.+state.+changed )|(ment ac)|(multiple cpu faults)|(system.+state.+changed )|(\[timeout)|(PRM\|1\|D)|(kpr)|(kdp)|(\|lc)|(penalty))" /e /r /s</v>
      </c>
      <c r="AG121" s="1" t="str">
        <f>IFERROR(IF(VALUE(LEFT(AD121,2))&lt;=2,"EC",IF(OR(VALUE(LEFT(AD121,2))=8,VALUE(LEFT(AD121,2))=18),"NW","Other")),"Other")</f>
        <v>EC</v>
      </c>
      <c r="AH121" s="86" t="str">
        <f t="shared" si="6"/>
        <v>"%USERPROFILE%\Documents\GitHub\eaglep3\Utilities\RefineRTDCRunTimes.py" --tripid 209-07 --locoid 4002 --swversion DE.1.0.8.0 --startMP 204:440 --initTime 2017-02-07T17:12:15 --startdatetime 2017-02-07T17:15:26 --delay 1 --endMP 204:233284 --enddatetime 2017-02-07T17:52:19 --enforcementcount 0 &gt;&gt;C:\Users\stu\Documents\GitHub\eaglep3-reporting\EC\2017-02-07-refined-times.txt</v>
      </c>
      <c r="AI121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{"issue":{"subject":"","project_id":79,"tracker_id":40,"status_id":1,"priority_id":2,"assigned_to_id":23,"start_date":"2017-02-07","description":"","custom_fields":[{"id":1,"name":"Subdivision","value":"EC"},{"id":4,"name":"Milepost","value":"23.3284"},{"id":17,"name":"Train ID","value":"209-07"},{"id":16,"name":"Locomotive ID","value":"4002"},{"id":130,"name":"Impact","value":""},{"id":150,"name":"Time of Event (Mountain Time)","value":"17:52:19"},{"id":151,"name":"Denver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48"/>
      <c r="AK121" s="48"/>
      <c r="AL121" s="48"/>
      <c r="AM121" s="158" t="str">
        <f t="shared" si="8"/>
        <v>start /low /b %USERPROFILE%\Documents\GitHub\eaglep3\Utilities\DownloadLogsFromS3.py --loco 4002 --day 2017-02-07</v>
      </c>
      <c r="AN121" s="167" t="str">
        <f>"grep -SE -B400 ""CHR.+\|PRM\|1\|D.+(SWITCH|SIGNAL).+UNKNOWN"" "&amp;search_path&amp;"\RTDC"&amp;B121&amp;"\*"&amp;B121&amp;"*"&amp;TEXT(AVERAGE(F121,I121)-utc_offset/24,"YYYYMMDD")&amp;"*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"%USERPROFILE%\AppData\Local\Temp\OnboardLogs"\RTDC4002\*4002*20170208* | grep -SE "(Enforcement Action)|(\[TIMEOUT)|(CHR.+\|PRM\|1\|D.+(SWITCH|SIGNAL).+UNKNOWN)" - &gt;&gt; 2017-02-07-UncaughtWiMAX.txt</v>
      </c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0" customFormat="1" x14ac:dyDescent="0.25">
      <c r="A122" s="33" t="s">
        <v>648</v>
      </c>
      <c r="B122" s="7">
        <v>4001</v>
      </c>
      <c r="C122" s="21" t="s">
        <v>193</v>
      </c>
      <c r="D122" s="21" t="s">
        <v>760</v>
      </c>
      <c r="E122" s="13">
        <v>42773.754363425927</v>
      </c>
      <c r="F122" s="13">
        <v>42773.7578587963</v>
      </c>
      <c r="G122" s="7">
        <v>1</v>
      </c>
      <c r="H122" s="21" t="s">
        <v>747</v>
      </c>
      <c r="I122" s="13">
        <v>42773.787731481483</v>
      </c>
      <c r="J122" s="7">
        <v>0</v>
      </c>
      <c r="K122" s="98" t="str">
        <f>IF(ISEVEN(B122),(B122-1)&amp;"/"&amp;B122,B122&amp;"/"&amp;(B122+1))</f>
        <v>4001/4002</v>
      </c>
      <c r="L122" s="21" t="str">
        <f>VLOOKUP(A122,'Trips&amp;Operators'!$C$1:$G$99999,5,FALSE)</f>
        <v>CHANDLER KELVIN</v>
      </c>
      <c r="M122" s="6">
        <f>I122-F122</f>
        <v>2.9872685183363501E-2</v>
      </c>
      <c r="N122" s="7">
        <f>24*60*SUM($M122:$M122)</f>
        <v>43.016666664043441</v>
      </c>
      <c r="O122" s="7"/>
      <c r="P122" s="7"/>
      <c r="Q122" s="22"/>
      <c r="R122" s="22"/>
      <c r="S122" s="31">
        <f>SUM(U122:U122)/IF(AG122="EC",12,1)</f>
        <v>1</v>
      </c>
      <c r="T122" s="46" t="str">
        <f>IF(ISEVEN(LEFT(AD122,4)),"Southbound","NorthBound")</f>
        <v>Southbound</v>
      </c>
      <c r="U122" s="190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191" t="str">
        <f>"https://d0f6bd738d7f1b3e5a7ca70fe4ff75f0.us-east-1.aws.found.io/app/kibana#/discover/Steve-Slow-Train-Analysis-(2080s-and-2083s)?_g="&amp;"(refreshInterval:(display:Off,pause:!f,section:0,value:0),time:(from:'"&amp;TEXT(E122-1/24,"yyyy-MM-DDThh:mm:ss")&amp;utc_offset&amp;"00"&amp;"',mode:absolute,to:'"&amp;TEXT(I122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122&amp;"%22')),sort:!(Time.ISO8601,asc))"</f>
        <v>https://d0f6bd738d7f1b3e5a7ca70fe4ff75f0.us-east-1.aws.found.io/app/kibana#/discover/Steve-Slow-Train-Analysis-(2080s-and-2083s)?_g=(refreshInterval:(display:Off,pause:!f,section:0,value:0),time:(from:'2017-02-07T17:06:17-0700',mode:absolute,to:'2017-02-07T19:54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W122" s="192" t="str">
        <f>IF(AA122&lt;IF(AG122="EC",23,5.65),"Y","N")</f>
        <v>N</v>
      </c>
      <c r="X122" s="192">
        <f>VALUE(LEFT(AD122,4))-VALUE(LEFT(AD121,4))</f>
        <v>1</v>
      </c>
      <c r="Y122" s="62">
        <f>RIGHT(D122,LEN(D122)-4)/10000</f>
        <v>23.296500000000002</v>
      </c>
      <c r="Z122" s="62">
        <f>RIGHT(H122,LEN(H122)-4)/10000</f>
        <v>1.72E-2</v>
      </c>
      <c r="AA122" s="62">
        <f>ABS(Z122-Y122)</f>
        <v>23.279300000000003</v>
      </c>
      <c r="AB122" s="59" t="e">
        <f>VLOOKUP(A122,Enforcements!$C$7:$K$14,8,0)</f>
        <v>#N/A</v>
      </c>
      <c r="AC122" s="55" t="e">
        <f>VLOOKUP(A122,Enforcements!$C$7:$E$14,3,0)</f>
        <v>#N/A</v>
      </c>
      <c r="AD122" s="56" t="str">
        <f>IF(LEN(A122)=6,"0"&amp;A122,A122)</f>
        <v>0210-07</v>
      </c>
      <c r="AE122" s="85" t="str">
        <f>"aws s3 cp "&amp;s3_bucket&amp;"/RTDC"&amp;B122&amp;"/ "&amp;search_path&amp;"\RTDC"&amp;B122&amp;"\"&amp;TEXT(F122,"YYYY-MM-DD")&amp;" --exclude ""*"" --recursive --include ""*"&amp;TEXT(F122,"YYYYMMDD")&amp;"*"" &amp; """&amp;walkandungz&amp;""" "&amp;search_path&amp;"\RTDC"&amp;B122&amp;"\"&amp;TEXT(F122,"YYYY-MM-DD")
&amp;" &amp; "&amp;"aws s3 cp "&amp;s3_bucket&amp;"/RTDC"&amp;B122&amp;"/ "&amp;search_path&amp;"\RTDC"&amp;B122&amp;"\"&amp;TEXT(F122+1,"YYYY-MM-DD")&amp;" --exclude ""*"" --recursive --include ""*"&amp;TEXT(F122+1,"YYYYMMDD")&amp;"*"" &amp; """&amp;walkandungz&amp;""" "&amp;search_path&amp;"\RTDC"&amp;B122&amp;"\"&amp;TEXT(F122+1,"YYYY-MM-DD")</f>
        <v>aws s3 cp s3://rtdc.mdm.uploadarchive.raw/RTDC4001/ "%USERPROFILE%\AppData\Local\Temp\OnboardLogs"\RTDC4001\2017-02-07 --exclude "*" --recursive --include "*20170207*" &amp; "%USERPROFILE%\Documents\GitHub\mrs-test-scripts\Headless Mode &amp; Sideloading\WalkAndUnGZ.bat" "%USERPROFILE%\AppData\Local\Temp\OnboardLogs"\RTDC4001\2017-02-07 &amp; aws s3 cp s3://rtdc.mdm.uploadarchive.raw/RTDC4001/ "%USERPROFILE%\AppData\Local\Temp\OnboardLogs"\RTDC4001\2017-02-08 --exclude "*" --recursive --include "*20170208*" &amp; "%USERPROFILE%\Documents\GitHub\mrs-test-scripts\Headless Mode &amp; Sideloading\WalkAndUnGZ.bat" "%USERPROFILE%\AppData\Local\Temp\OnboardLogs"\RTDC4001\2017-02-08</v>
      </c>
      <c r="AF122" s="82" t="str">
        <f>astrogrep_path&amp;" /spath="&amp;search_path&amp;" /stypes=""app*"&amp;B122&amp;"*"&amp;TEXT(I122-utc_offset/24,"YYYYMMDD")&amp;"*"" /stext="" "&amp;TEXT(I122-utc_offset/24,"HH")&amp;search_regexp&amp;""" /e /r /s"</f>
        <v>"C:\Program Files (x86)\AstroGrep\AstroGrep.exe" /spath="%USERPROFILE%\AppData\Local\Temp\OnboardLogs" /stypes="app*4001*20170208*" /stext=" 01:.+((SYSTEM_STATE.+slice.+state.+changed )|(ment ac)|(multiple cpu faults)|(system.+state.+changed )|(\[timeout)|(PRM\|1\|D)|(kpr)|(kdp)|(\|lc)|(penalty))" /e /r /s</v>
      </c>
      <c r="AG122" s="1" t="str">
        <f>IFERROR(IF(VALUE(LEFT(AD122,2))&lt;=2,"EC",IF(OR(VALUE(LEFT(AD122,2))=8,VALUE(LEFT(AD122,2))=18),"NW","Other")),"Other")</f>
        <v>EC</v>
      </c>
      <c r="AH122" s="86" t="str">
        <f t="shared" si="6"/>
        <v>"%USERPROFILE%\Documents\GitHub\eaglep3\Utilities\RefineRTDCRunTimes.py" --tripid 210-07 --locoid 4001 --swversion DE.1.0.8.0 --startMP 204:232965 --initTime 2017-02-07T18:06:17 --startdatetime 2017-02-07T18:11:19 --delay 1 --endMP 204:172 --enddatetime 2017-02-07T18:54:20 --enforcementcount 0 &gt;&gt;C:\Users\stu\Documents\GitHub\eaglep3-reporting\EC\2017-02-07-refined-times.txt</v>
      </c>
      <c r="AI122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{"issue":{"subject":"","project_id":79,"tracker_id":40,"status_id":1,"priority_id":2,"assigned_to_id":23,"start_date":"2017-02-07","description":"","custom_fields":[{"id":1,"name":"Subdivision","value":"EC"},{"id":4,"name":"Milepost","value":"0.0172"},{"id":17,"name":"Train ID","value":"210-07"},{"id":16,"name":"Locomotive ID","value":"4001"},{"id":130,"name":"Impact","value":""},{"id":150,"name":"Time of Event (Mountain Time)","value":"18:54:20"},{"id":151,"name":"Denver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48"/>
      <c r="AK122" s="48"/>
      <c r="AL122" s="48"/>
      <c r="AM122" s="158" t="str">
        <f t="shared" si="8"/>
        <v>start /low /b %USERPROFILE%\Documents\GitHub\eaglep3\Utilities\DownloadLogsFromS3.py --loco 4001 --day 2017-02-07</v>
      </c>
      <c r="AN122" s="167" t="str">
        <f>"grep -SE -B400 ""CHR.+\|PRM\|1\|D.+(SWITCH|SIGNAL).+UNKNOWN"" "&amp;search_path&amp;"\RTDC"&amp;B122&amp;"\*"&amp;B122&amp;"*"&amp;TEXT(AVERAGE(F122,I122)-utc_offset/24,"YYYYMMDD")&amp;"*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"%USERPROFILE%\AppData\Local\Temp\OnboardLogs"\RTDC4001\*4001*20170208* | grep -SE "(Enforcement Action)|(\[TIMEOUT)|(CHR.+\|PRM\|1\|D.+(SWITCH|SIGNAL).+UNKNOWN)" - &gt;&gt; 2017-02-07-UncaughtWiMAX.txt</v>
      </c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0" customFormat="1" x14ac:dyDescent="0.25">
      <c r="A123" s="33" t="s">
        <v>486</v>
      </c>
      <c r="B123" s="7">
        <v>4038</v>
      </c>
      <c r="C123" s="21" t="s">
        <v>193</v>
      </c>
      <c r="D123" s="21" t="s">
        <v>273</v>
      </c>
      <c r="E123" s="13">
        <v>42773.725034722222</v>
      </c>
      <c r="F123" s="13">
        <v>42773.729328703703</v>
      </c>
      <c r="G123" s="7">
        <v>2</v>
      </c>
      <c r="H123" s="21" t="s">
        <v>761</v>
      </c>
      <c r="I123" s="13">
        <v>42773.754756944443</v>
      </c>
      <c r="J123" s="7">
        <v>0</v>
      </c>
      <c r="K123" s="98" t="str">
        <f>IF(ISEVEN(B123),(B123-1)&amp;"/"&amp;B123,B123&amp;"/"&amp;(B123+1))</f>
        <v>4037/4038</v>
      </c>
      <c r="L123" s="21" t="str">
        <f>VLOOKUP(A123,'Trips&amp;Operators'!$C$1:$G$99999,5,FALSE)</f>
        <v>BERLING GARY</v>
      </c>
      <c r="M123" s="6">
        <f>I123-F123</f>
        <v>2.5428240740438923E-2</v>
      </c>
      <c r="N123" s="7">
        <f>24*60*SUM($M123:$M123)</f>
        <v>36.616666666232049</v>
      </c>
      <c r="O123" s="7"/>
      <c r="P123" s="7"/>
      <c r="Q123" s="22"/>
      <c r="R123" s="22"/>
      <c r="S123" s="31">
        <f>SUM(U123:U123)/IF(AG123="EC",12,1)</f>
        <v>1</v>
      </c>
      <c r="T123" s="46" t="str">
        <f>IF(ISEVEN(LEFT(AD123,4)),"Southbound","NorthBound")</f>
        <v>NorthBound</v>
      </c>
      <c r="U123" s="190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191" t="str">
        <f>"https://d0f6bd738d7f1b3e5a7ca70fe4ff75f0.us-east-1.aws.found.io/app/kibana#/discover/Steve-Slow-Train-Analysis-(2080s-and-2083s)?_g="&amp;"(refreshInterval:(display:Off,pause:!f,section:0,value:0),time:(from:'"&amp;TEXT(E123-1/24,"yyyy-MM-DDThh:mm:ss")&amp;utc_offset&amp;"00"&amp;"',mode:absolute,to:'"&amp;TEXT(I123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123&amp;"%22')),sort:!(Time.ISO8601,asc))"</f>
        <v>https://d0f6bd738d7f1b3e5a7ca70fe4ff75f0.us-east-1.aws.found.io/app/kibana#/discover/Steve-Slow-Train-Analysis-(2080s-and-2083s)?_g=(refreshInterval:(display:Off,pause:!f,section:0,value:0),time:(from:'2017-02-07T16:24:03-0700',mode:absolute,to:'2017-02-07T19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123" s="192" t="str">
        <f>IF(AA123&lt;IF(AG123="EC",23,5.65),"Y","N")</f>
        <v>N</v>
      </c>
      <c r="X123" s="192">
        <f>VALUE(LEFT(AD123,4))-VALUE(LEFT(AD122,4))</f>
        <v>1</v>
      </c>
      <c r="Y123" s="62">
        <f>RIGHT(D123,LEN(D123)-4)/10000</f>
        <v>4.53E-2</v>
      </c>
      <c r="Z123" s="62">
        <f>RIGHT(H123,LEN(H123)-4)/10000</f>
        <v>23.322099999999999</v>
      </c>
      <c r="AA123" s="62">
        <f>ABS(Z123-Y123)</f>
        <v>23.276799999999998</v>
      </c>
      <c r="AB123" s="59" t="e">
        <f>VLOOKUP(A123,Enforcements!$C$7:$K$14,8,0)</f>
        <v>#N/A</v>
      </c>
      <c r="AC123" s="55" t="e">
        <f>VLOOKUP(A123,Enforcements!$C$7:$E$14,3,0)</f>
        <v>#N/A</v>
      </c>
      <c r="AD123" s="56" t="str">
        <f>IF(LEN(A123)=6,"0"&amp;A123,A123)</f>
        <v>0211-07</v>
      </c>
      <c r="AE123" s="85" t="str">
        <f>"aws s3 cp "&amp;s3_bucket&amp;"/RTDC"&amp;B123&amp;"/ "&amp;search_path&amp;"\RTDC"&amp;B123&amp;"\"&amp;TEXT(F123,"YYYY-MM-DD")&amp;" --exclude ""*"" --recursive --include ""*"&amp;TEXT(F123,"YYYYMMDD")&amp;"*"" &amp; """&amp;walkandungz&amp;""" "&amp;search_path&amp;"\RTDC"&amp;B123&amp;"\"&amp;TEXT(F123,"YYYY-MM-DD")
&amp;" &amp; "&amp;"aws s3 cp "&amp;s3_bucket&amp;"/RTDC"&amp;B123&amp;"/ "&amp;search_path&amp;"\RTDC"&amp;B123&amp;"\"&amp;TEXT(F123+1,"YYYY-MM-DD")&amp;" --exclude ""*"" --recursive --include ""*"&amp;TEXT(F123+1,"YYYYMMDD")&amp;"*"" &amp; """&amp;walkandungz&amp;""" "&amp;search_path&amp;"\RTDC"&amp;B123&amp;"\"&amp;TEXT(F123+1,"YYYY-MM-DD")</f>
        <v>aws s3 cp s3://rtdc.mdm.uploadarchive.raw/RTDC4038/ "%USERPROFILE%\AppData\Local\Temp\OnboardLogs"\RTDC4038\2017-02-07 --exclude "*" --recursive --include "*20170207*" &amp; "%USERPROFILE%\Documents\GitHub\mrs-test-scripts\Headless Mode &amp; Sideloading\WalkAndUnGZ.bat" "%USERPROFILE%\AppData\Local\Temp\OnboardLogs"\RTDC4038\2017-02-07 &amp; aws s3 cp s3://rtdc.mdm.uploadarchive.raw/RTDC4038/ "%USERPROFILE%\AppData\Local\Temp\OnboardLogs"\RTDC4038\2017-02-08 --exclude "*" --recursive --include "*20170208*" &amp; "%USERPROFILE%\Documents\GitHub\mrs-test-scripts\Headless Mode &amp; Sideloading\WalkAndUnGZ.bat" "%USERPROFILE%\AppData\Local\Temp\OnboardLogs"\RTDC4038\2017-02-08</v>
      </c>
      <c r="AF123" s="82" t="str">
        <f>astrogrep_path&amp;" /spath="&amp;search_path&amp;" /stypes=""app*"&amp;B123&amp;"*"&amp;TEXT(I123-utc_offset/24,"YYYYMMDD")&amp;"*"" /stext="" "&amp;TEXT(I123-utc_offset/24,"HH")&amp;search_regexp&amp;""" /e /r /s"</f>
        <v>"C:\Program Files (x86)\AstroGrep\AstroGrep.exe" /spath="%USERPROFILE%\AppData\Local\Temp\OnboardLogs" /stypes="app*4038*20170208*" /stext=" 01:.+((SYSTEM_STATE.+slice.+state.+changed )|(ment ac)|(multiple cpu faults)|(system.+state.+changed )|(\[timeout)|(PRM\|1\|D)|(kpr)|(kdp)|(\|lc)|(penalty))" /e /r /s</v>
      </c>
      <c r="AG123" s="1" t="str">
        <f>IFERROR(IF(VALUE(LEFT(AD123,2))&lt;=2,"EC",IF(OR(VALUE(LEFT(AD123,2))=8,VALUE(LEFT(AD123,2))=18),"NW","Other")),"Other")</f>
        <v>EC</v>
      </c>
      <c r="AH123" s="86" t="str">
        <f t="shared" si="6"/>
        <v>"%USERPROFILE%\Documents\GitHub\eaglep3\Utilities\RefineRTDCRunTimes.py" --tripid 211-07 --locoid 4038 --swversion DE.1.0.8.0 --startMP 204:453 --initTime 2017-02-07T17:24:03 --startdatetime 2017-02-07T17:30:14 --delay 2 --endMP 204:233221 --enddatetime 2017-02-07T18:06:51 --enforcementcount 0 &gt;&gt;C:\Users\stu\Documents\GitHub\eaglep3-reporting\EC\2017-02-07-refined-times.txt</v>
      </c>
      <c r="AI123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{"issue":{"subject":"","project_id":79,"tracker_id":40,"status_id":1,"priority_id":2,"assigned_to_id":23,"start_date":"2017-02-07","description":"","custom_fields":[{"id":1,"name":"Subdivision","value":"EC"},{"id":4,"name":"Milepost","value":"23.3221"},{"id":17,"name":"Train ID","value":"211-07"},{"id":16,"name":"Locomotive ID","value":"4038"},{"id":130,"name":"Impact","value":""},{"id":150,"name":"Time of Event (Mountain Time)","value":"18:06:51"},{"id":151,"name":"Denver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48"/>
      <c r="AK123" s="48"/>
      <c r="AL123" s="48"/>
      <c r="AM123" s="158" t="str">
        <f t="shared" si="8"/>
        <v>start /low /b %USERPROFILE%\Documents\GitHub\eaglep3\Utilities\DownloadLogsFromS3.py --loco 4038 --day 2017-02-07</v>
      </c>
      <c r="AN123" s="167" t="str">
        <f>"grep -SE -B400 ""CHR.+\|PRM\|1\|D.+(SWITCH|SIGNAL).+UNKNOWN"" "&amp;search_path&amp;"\RTDC"&amp;B123&amp;"\*"&amp;B123&amp;"*"&amp;TEXT(AVERAGE(F123,I123)-utc_offset/24,"YYYYMMDD")&amp;"*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"%USERPROFILE%\AppData\Local\Temp\OnboardLogs"\RTDC4038\*4038*20170208* | grep -SE "(Enforcement Action)|(\[TIMEOUT)|(CHR.+\|PRM\|1\|D.+(SWITCH|SIGNAL).+UNKNOWN)" - &gt;&gt; 2017-02-07-UncaughtWiMAX.txt</v>
      </c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0" customFormat="1" x14ac:dyDescent="0.25">
      <c r="A124" s="33" t="s">
        <v>490</v>
      </c>
      <c r="B124" s="7">
        <v>4037</v>
      </c>
      <c r="C124" s="21" t="s">
        <v>193</v>
      </c>
      <c r="D124" s="21" t="s">
        <v>762</v>
      </c>
      <c r="E124" s="13">
        <v>42773.767141203702</v>
      </c>
      <c r="F124" s="13">
        <v>42773.769178240742</v>
      </c>
      <c r="G124" s="7">
        <v>1</v>
      </c>
      <c r="H124" s="21" t="s">
        <v>763</v>
      </c>
      <c r="I124" s="13">
        <v>42773.795914351853</v>
      </c>
      <c r="J124" s="7">
        <v>0</v>
      </c>
      <c r="K124" s="98" t="str">
        <f>IF(ISEVEN(B124),(B124-1)&amp;"/"&amp;B124,B124&amp;"/"&amp;(B124+1))</f>
        <v>4037/4038</v>
      </c>
      <c r="L124" s="21" t="str">
        <f>VLOOKUP(A124,'Trips&amp;Operators'!$C$1:$G$99999,5,FALSE)</f>
        <v>BERLING GARY</v>
      </c>
      <c r="M124" s="6">
        <f>I124-F124</f>
        <v>2.6736111110949423E-2</v>
      </c>
      <c r="N124" s="7">
        <f>24*60*SUM($M124:$M124)</f>
        <v>38.499999999767169</v>
      </c>
      <c r="O124" s="7"/>
      <c r="P124" s="7"/>
      <c r="Q124" s="22"/>
      <c r="R124" s="22"/>
      <c r="S124" s="31">
        <f>SUM(U124:U124)/IF(AG124="EC",12,1)</f>
        <v>1</v>
      </c>
      <c r="T124" s="46" t="str">
        <f>IF(ISEVEN(LEFT(AD124,4)),"Southbound","NorthBound")</f>
        <v>Southbound</v>
      </c>
      <c r="U124" s="190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191" t="str">
        <f>"https://d0f6bd738d7f1b3e5a7ca70fe4ff75f0.us-east-1.aws.found.io/app/kibana#/discover/Steve-Slow-Train-Analysis-(2080s-and-2083s)?_g="&amp;"(refreshInterval:(display:Off,pause:!f,section:0,value:0),time:(from:'"&amp;TEXT(E124-1/24,"yyyy-MM-DDThh:mm:ss")&amp;utc_offset&amp;"00"&amp;"',mode:absolute,to:'"&amp;TEXT(I124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124&amp;"%22')),sort:!(Time.ISO8601,asc))"</f>
        <v>https://d0f6bd738d7f1b3e5a7ca70fe4ff75f0.us-east-1.aws.found.io/app/kibana#/discover/Steve-Slow-Train-Analysis-(2080s-and-2083s)?_g=(refreshInterval:(display:Off,pause:!f,section:0,value:0),time:(from:'2017-02-07T17:24:41-0700',mode:absolute,to:'2017-02-07T20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W124" s="192" t="str">
        <f>IF(AA124&lt;IF(AG124="EC",23,5.65),"Y","N")</f>
        <v>N</v>
      </c>
      <c r="X124" s="192">
        <f>VALUE(LEFT(AD124,4))-VALUE(LEFT(AD123,4))</f>
        <v>1</v>
      </c>
      <c r="Y124" s="62">
        <f>RIGHT(D124,LEN(D124)-4)/10000</f>
        <v>23.290900000000001</v>
      </c>
      <c r="Z124" s="62">
        <f>RIGHT(H124,LEN(H124)-4)/10000</f>
        <v>8.0999999999999996E-3</v>
      </c>
      <c r="AA124" s="62">
        <f>ABS(Z124-Y124)</f>
        <v>23.282800000000002</v>
      </c>
      <c r="AB124" s="59" t="e">
        <f>VLOOKUP(A124,Enforcements!$C$7:$K$14,8,0)</f>
        <v>#N/A</v>
      </c>
      <c r="AC124" s="55" t="e">
        <f>VLOOKUP(A124,Enforcements!$C$7:$E$14,3,0)</f>
        <v>#N/A</v>
      </c>
      <c r="AD124" s="56" t="str">
        <f>IF(LEN(A124)=6,"0"&amp;A124,A124)</f>
        <v>0212-07</v>
      </c>
      <c r="AE124" s="85" t="str">
        <f>"aws s3 cp "&amp;s3_bucket&amp;"/RTDC"&amp;B124&amp;"/ "&amp;search_path&amp;"\RTDC"&amp;B124&amp;"\"&amp;TEXT(F124,"YYYY-MM-DD")&amp;" --exclude ""*"" --recursive --include ""*"&amp;TEXT(F124,"YYYYMMDD")&amp;"*"" &amp; """&amp;walkandungz&amp;""" "&amp;search_path&amp;"\RTDC"&amp;B124&amp;"\"&amp;TEXT(F124,"YYYY-MM-DD")
&amp;" &amp; "&amp;"aws s3 cp "&amp;s3_bucket&amp;"/RTDC"&amp;B124&amp;"/ "&amp;search_path&amp;"\RTDC"&amp;B124&amp;"\"&amp;TEXT(F124+1,"YYYY-MM-DD")&amp;" --exclude ""*"" --recursive --include ""*"&amp;TEXT(F124+1,"YYYYMMDD")&amp;"*"" &amp; """&amp;walkandungz&amp;""" "&amp;search_path&amp;"\RTDC"&amp;B124&amp;"\"&amp;TEXT(F124+1,"YYYY-MM-DD")</f>
        <v>aws s3 cp s3://rtdc.mdm.uploadarchive.raw/RTDC4037/ "%USERPROFILE%\AppData\Local\Temp\OnboardLogs"\RTDC4037\2017-02-07 --exclude "*" --recursive --include "*20170207*" &amp; "%USERPROFILE%\Documents\GitHub\mrs-test-scripts\Headless Mode &amp; Sideloading\WalkAndUnGZ.bat" "%USERPROFILE%\AppData\Local\Temp\OnboardLogs"\RTDC4037\2017-02-07 &amp; aws s3 cp s3://rtdc.mdm.uploadarchive.raw/RTDC4037/ "%USERPROFILE%\AppData\Local\Temp\OnboardLogs"\RTDC4037\2017-02-08 --exclude "*" --recursive --include "*20170208*" &amp; "%USERPROFILE%\Documents\GitHub\mrs-test-scripts\Headless Mode &amp; Sideloading\WalkAndUnGZ.bat" "%USERPROFILE%\AppData\Local\Temp\OnboardLogs"\RTDC4037\2017-02-08</v>
      </c>
      <c r="AF124" s="82" t="str">
        <f>astrogrep_path&amp;" /spath="&amp;search_path&amp;" /stypes=""app*"&amp;B124&amp;"*"&amp;TEXT(I124-utc_offset/24,"YYYYMMDD")&amp;"*"" /stext="" "&amp;TEXT(I124-utc_offset/24,"HH")&amp;search_regexp&amp;""" /e /r /s"</f>
        <v>"C:\Program Files (x86)\AstroGrep\AstroGrep.exe" /spath="%USERPROFILE%\AppData\Local\Temp\OnboardLogs" /stypes="app*4037*20170208*" /stext=" 02:.+((SYSTEM_STATE.+slice.+state.+changed )|(ment ac)|(multiple cpu faults)|(system.+state.+changed )|(\[timeout)|(PRM\|1\|D)|(kpr)|(kdp)|(\|lc)|(penalty))" /e /r /s</v>
      </c>
      <c r="AG124" s="1" t="str">
        <f>IFERROR(IF(VALUE(LEFT(AD124,2))&lt;=2,"EC",IF(OR(VALUE(LEFT(AD124,2))=8,VALUE(LEFT(AD124,2))=18),"NW","Other")),"Other")</f>
        <v>EC</v>
      </c>
      <c r="AH124" s="86" t="str">
        <f t="shared" si="6"/>
        <v>"%USERPROFILE%\Documents\GitHub\eaglep3\Utilities\RefineRTDCRunTimes.py" --tripid 212-07 --locoid 4037 --swversion DE.1.0.8.0 --startMP 204:232909 --initTime 2017-02-07T18:24:41 --startdatetime 2017-02-07T18:27:37 --delay 1 --endMP 204:81 --enddatetime 2017-02-07T19:06:07 --enforcementcount 0 &gt;&gt;C:\Users\stu\Documents\GitHub\eaglep3-reporting\EC\2017-02-07-refined-times.txt</v>
      </c>
      <c r="AI124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{"issue":{"subject":"","project_id":79,"tracker_id":40,"status_id":1,"priority_id":2,"assigned_to_id":23,"start_date":"2017-02-07","description":"","custom_fields":[{"id":1,"name":"Subdivision","value":"EC"},{"id":4,"name":"Milepost","value":"0.0081"},{"id":17,"name":"Train ID","value":"212-07"},{"id":16,"name":"Locomotive ID","value":"4037"},{"id":130,"name":"Impact","value":""},{"id":150,"name":"Time of Event (Mountain Time)","value":"19:06:07"},{"id":151,"name":"Denver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48"/>
      <c r="AK124" s="48"/>
      <c r="AL124" s="48"/>
      <c r="AM124" s="158" t="str">
        <f t="shared" si="8"/>
        <v>start /low /b %USERPROFILE%\Documents\GitHub\eaglep3\Utilities\DownloadLogsFromS3.py --loco 4037 --day 2017-02-07</v>
      </c>
      <c r="AN124" s="167" t="str">
        <f>"grep -SE -B400 ""CHR.+\|PRM\|1\|D.+(SWITCH|SIGNAL).+UNKNOWN"" "&amp;search_path&amp;"\RTDC"&amp;B124&amp;"\*"&amp;B124&amp;"*"&amp;TEXT(AVERAGE(F124,I124)-utc_offset/24,"YYYYMMDD")&amp;"*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"%USERPROFILE%\AppData\Local\Temp\OnboardLogs"\RTDC4037\*4037*20170208* | grep -SE "(Enforcement Action)|(\[TIMEOUT)|(CHR.+\|PRM\|1\|D.+(SWITCH|SIGNAL).+UNKNOWN)" - &gt;&gt; 2017-02-07-UncaughtWiMAX.txt</v>
      </c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0" customFormat="1" x14ac:dyDescent="0.25">
      <c r="A125" s="33" t="s">
        <v>647</v>
      </c>
      <c r="B125" s="7">
        <v>4031</v>
      </c>
      <c r="C125" s="21" t="s">
        <v>193</v>
      </c>
      <c r="D125" s="21" t="s">
        <v>350</v>
      </c>
      <c r="E125" s="13">
        <v>42773.735497685186</v>
      </c>
      <c r="F125" s="13">
        <v>42773.740034722221</v>
      </c>
      <c r="G125" s="7">
        <v>2</v>
      </c>
      <c r="H125" s="21" t="s">
        <v>726</v>
      </c>
      <c r="I125" s="13">
        <v>42773.766284722224</v>
      </c>
      <c r="J125" s="7">
        <v>0</v>
      </c>
      <c r="K125" s="98" t="str">
        <f>IF(ISEVEN(B125),(B125-1)&amp;"/"&amp;B125,B125&amp;"/"&amp;(B125+1))</f>
        <v>4031/4032</v>
      </c>
      <c r="L125" s="21" t="str">
        <f>VLOOKUP(A125,'Trips&amp;Operators'!$C$1:$G$99999,5,FALSE)</f>
        <v>SAFIEF AEIMEN</v>
      </c>
      <c r="M125" s="6">
        <f>I125-F125</f>
        <v>2.6250000002619345E-2</v>
      </c>
      <c r="N125" s="7">
        <f>24*60*SUM($M125:$M125)</f>
        <v>37.800000003771856</v>
      </c>
      <c r="O125" s="7"/>
      <c r="P125" s="7"/>
      <c r="Q125" s="22"/>
      <c r="R125" s="22"/>
      <c r="S125" s="31">
        <f>SUM(U125:U125)/IF(AG125="EC",12,1)</f>
        <v>1</v>
      </c>
      <c r="T125" s="46" t="str">
        <f>IF(ISEVEN(LEFT(AD125,4)),"Southbound","NorthBound")</f>
        <v>NorthBound</v>
      </c>
      <c r="U125" s="190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12</v>
      </c>
      <c r="V125" s="191" t="str">
        <f>"https://d0f6bd738d7f1b3e5a7ca70fe4ff75f0.us-east-1.aws.found.io/app/kibana#/discover/Steve-Slow-Train-Analysis-(2080s-and-2083s)?_g="&amp;"(refreshInterval:(display:Off,pause:!f,section:0,value:0),time:(from:'"&amp;TEXT(E125-1/24,"yyyy-MM-DDThh:mm:ss")&amp;utc_offset&amp;"00"&amp;"',mode:absolute,to:'"&amp;TEXT(I125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125&amp;"%22')),sort:!(Time.ISO8601,asc))"</f>
        <v>https://d0f6bd738d7f1b3e5a7ca70fe4ff75f0.us-east-1.aws.found.io/app/kibana#/discover/Steve-Slow-Train-Analysis-(2080s-and-2083s)?_g=(refreshInterval:(display:Off,pause:!f,section:0,value:0),time:(from:'2017-02-07T16:39:07-0700',mode:absolute,to:'2017-02-07T19:23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25" s="192" t="str">
        <f>IF(AA125&lt;IF(AG125="EC",23,5.65),"Y","N")</f>
        <v>N</v>
      </c>
      <c r="X125" s="192">
        <f>VALUE(LEFT(AD125,4))-VALUE(LEFT(AD124,4))</f>
        <v>1</v>
      </c>
      <c r="Y125" s="62">
        <f>RIGHT(D125,LEN(D125)-4)/10000</f>
        <v>4.6399999999999997E-2</v>
      </c>
      <c r="Z125" s="62">
        <f>RIGHT(H125,LEN(H125)-4)/10000</f>
        <v>23.333200000000001</v>
      </c>
      <c r="AA125" s="62">
        <f>ABS(Z125-Y125)</f>
        <v>23.286800000000003</v>
      </c>
      <c r="AB125" s="59" t="e">
        <f>VLOOKUP(A125,Enforcements!$C$7:$K$14,8,0)</f>
        <v>#N/A</v>
      </c>
      <c r="AC125" s="55" t="e">
        <f>VLOOKUP(A125,Enforcements!$C$7:$E$14,3,0)</f>
        <v>#N/A</v>
      </c>
      <c r="AD125" s="56" t="str">
        <f>IF(LEN(A125)=6,"0"&amp;A125,A125)</f>
        <v>0213-07</v>
      </c>
      <c r="AE125" s="85" t="str">
        <f>"aws s3 cp "&amp;s3_bucket&amp;"/RTDC"&amp;B125&amp;"/ "&amp;search_path&amp;"\RTDC"&amp;B125&amp;"\"&amp;TEXT(F125,"YYYY-MM-DD")&amp;" --exclude ""*"" --recursive --include ""*"&amp;TEXT(F125,"YYYYMMDD")&amp;"*"" &amp; """&amp;walkandungz&amp;""" "&amp;search_path&amp;"\RTDC"&amp;B125&amp;"\"&amp;TEXT(F125,"YYYY-MM-DD")
&amp;" &amp; "&amp;"aws s3 cp "&amp;s3_bucket&amp;"/RTDC"&amp;B125&amp;"/ "&amp;search_path&amp;"\RTDC"&amp;B125&amp;"\"&amp;TEXT(F125+1,"YYYY-MM-DD")&amp;" --exclude ""*"" --recursive --include ""*"&amp;TEXT(F125+1,"YYYYMMDD")&amp;"*"" &amp; """&amp;walkandungz&amp;""" "&amp;search_path&amp;"\RTDC"&amp;B125&amp;"\"&amp;TEXT(F125+1,"YYYY-MM-DD")</f>
        <v>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 &amp; aws s3 cp s3://rtdc.mdm.uploadarchive.raw/RTDC4031/ "%USERPROFILE%\AppData\Local\Temp\OnboardLogs"\RTDC4031\2017-02-08 --exclude "*" --recursive --include "*20170208*" &amp; "%USERPROFILE%\Documents\GitHub\mrs-test-scripts\Headless Mode &amp; Sideloading\WalkAndUnGZ.bat" "%USERPROFILE%\AppData\Local\Temp\OnboardLogs"\RTDC4031\2017-02-08</v>
      </c>
      <c r="AF125" s="82" t="str">
        <f>astrogrep_path&amp;" /spath="&amp;search_path&amp;" /stypes=""app*"&amp;B125&amp;"*"&amp;TEXT(I125-utc_offset/24,"YYYYMMDD")&amp;"*"" /stext="" "&amp;TEXT(I125-utc_offset/24,"HH")&amp;search_regexp&amp;""" /e /r /s"</f>
        <v>"C:\Program Files (x86)\AstroGrep\AstroGrep.exe" /spath="%USERPROFILE%\AppData\Local\Temp\OnboardLogs" /stypes="app*4031*20170208*" /stext=" 01:.+((SYSTEM_STATE.+slice.+state.+changed )|(ment ac)|(multiple cpu faults)|(system.+state.+changed )|(\[timeout)|(PRM\|1\|D)|(kpr)|(kdp)|(\|lc)|(penalty))" /e /r /s</v>
      </c>
      <c r="AG125" s="1" t="str">
        <f>IFERROR(IF(VALUE(LEFT(AD125,2))&lt;=2,"EC",IF(OR(VALUE(LEFT(AD125,2))=8,VALUE(LEFT(AD125,2))=18),"NW","Other")),"Other")</f>
        <v>EC</v>
      </c>
      <c r="AH125" s="86" t="str">
        <f t="shared" si="6"/>
        <v>"%USERPROFILE%\Documents\GitHub\eaglep3\Utilities\RefineRTDCRunTimes.py" --tripid 213-07 --locoid 4031 --swversion DE.1.0.8.0 --startMP 204:464 --initTime 2017-02-07T17:39:07 --startdatetime 2017-02-07T17:45:39 --delay 2 --endMP 204:233332 --enddatetime 2017-02-07T18:23:27 --enforcementcount 0 &gt;&gt;C:\Users\stu\Documents\GitHub\eaglep3-reporting\EC\2017-02-07-refined-times.txt</v>
      </c>
      <c r="AI125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{"issue":{"subject":"","project_id":79,"tracker_id":40,"status_id":1,"priority_id":2,"assigned_to_id":23,"start_date":"2017-02-07","description":"","custom_fields":[{"id":1,"name":"Subdivision","value":"EC"},{"id":4,"name":"Milepost","value":"23.3332"},{"id":17,"name":"Train ID","value":"213-07"},{"id":16,"name":"Locomotive ID","value":"4031"},{"id":130,"name":"Impact","value":""},{"id":150,"name":"Time of Event (Mountain Time)","value":"18:23:27"},{"id":151,"name":"Denver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5" s="48"/>
      <c r="AK125" s="48"/>
      <c r="AL125" s="48"/>
      <c r="AM125" s="158" t="str">
        <f t="shared" si="8"/>
        <v>start /low /b %USERPROFILE%\Documents\GitHub\eaglep3\Utilities\DownloadLogsFromS3.py --loco 4031 --day 2017-02-07</v>
      </c>
      <c r="AN125" s="167" t="str">
        <f>"grep -SE -B400 ""CHR.+\|PRM\|1\|D.+(SWITCH|SIGNAL).+UNKNOWN"" "&amp;search_path&amp;"\RTDC"&amp;B125&amp;"\*"&amp;B125&amp;"*"&amp;TEXT(AVERAGE(F125,I125)-utc_offset/24,"YYYYMMDD")&amp;"*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"%USERPROFILE%\AppData\Local\Temp\OnboardLogs"\RTDC4031\*4031*20170208* | grep -SE "(Enforcement Action)|(\[TIMEOUT)|(CHR.+\|PRM\|1\|D.+(SWITCH|SIGNAL).+UNKNOWN)" - &gt;&gt; 2017-02-07-UncaughtWiMAX.txt</v>
      </c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0" customFormat="1" x14ac:dyDescent="0.25">
      <c r="A126" s="33" t="s">
        <v>656</v>
      </c>
      <c r="B126" s="7">
        <v>4032</v>
      </c>
      <c r="C126" s="21" t="s">
        <v>193</v>
      </c>
      <c r="D126" s="21" t="s">
        <v>379</v>
      </c>
      <c r="E126" s="13">
        <v>42773.76934027778</v>
      </c>
      <c r="F126" s="13">
        <v>42773.778749999998</v>
      </c>
      <c r="G126" s="7">
        <v>2</v>
      </c>
      <c r="H126" s="21" t="s">
        <v>207</v>
      </c>
      <c r="I126" s="13">
        <v>42773.805752314816</v>
      </c>
      <c r="J126" s="7">
        <v>0</v>
      </c>
      <c r="K126" s="98" t="str">
        <f>IF(ISEVEN(B126),(B126-1)&amp;"/"&amp;B126,B126&amp;"/"&amp;(B126+1))</f>
        <v>4031/4032</v>
      </c>
      <c r="L126" s="21" t="str">
        <f>VLOOKUP(A126,'Trips&amp;Operators'!$C$1:$G$99999,5,FALSE)</f>
        <v>SAFIEF AEIMEN</v>
      </c>
      <c r="M126" s="6">
        <f>I126-F126</f>
        <v>2.7002314818673767E-2</v>
      </c>
      <c r="N126" s="7">
        <f>24*60*SUM($M126:$M126)</f>
        <v>38.883333338890225</v>
      </c>
      <c r="O126" s="7"/>
      <c r="P126" s="7"/>
      <c r="Q126" s="22"/>
      <c r="R126" s="22"/>
      <c r="S126" s="31">
        <f>SUM(U126:U126)/IF(AG126="EC",12,1)</f>
        <v>1</v>
      </c>
      <c r="T126" s="46" t="str">
        <f>IF(ISEVEN(LEFT(AD126,4)),"Southbound","NorthBound")</f>
        <v>Southbound</v>
      </c>
      <c r="U126" s="190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12</v>
      </c>
      <c r="V126" s="191" t="str">
        <f>"https://d0f6bd738d7f1b3e5a7ca70fe4ff75f0.us-east-1.aws.found.io/app/kibana#/discover/Steve-Slow-Train-Analysis-(2080s-and-2083s)?_g="&amp;"(refreshInterval:(display:Off,pause:!f,section:0,value:0),time:(from:'"&amp;TEXT(E126-1/24,"yyyy-MM-DDThh:mm:ss")&amp;utc_offset&amp;"00"&amp;"',mode:absolute,to:'"&amp;TEXT(I126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126&amp;"%22')),sort:!(Time.ISO8601,asc))"</f>
        <v>https://d0f6bd738d7f1b3e5a7ca70fe4ff75f0.us-east-1.aws.found.io/app/kibana#/discover/Steve-Slow-Train-Analysis-(2080s-and-2083s)?_g=(refreshInterval:(display:Off,pause:!f,section:0,value:0),time:(from:'2017-02-07T17:27:51-0700',mode:absolute,to:'2017-02-07T20:20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26" s="192" t="str">
        <f>IF(AA126&lt;IF(AG126="EC",23,5.65),"Y","N")</f>
        <v>N</v>
      </c>
      <c r="X126" s="192">
        <f>VALUE(LEFT(AD126,4))-VALUE(LEFT(AD125,4))</f>
        <v>1</v>
      </c>
      <c r="Y126" s="62">
        <f>RIGHT(D126,LEN(D126)-4)/10000</f>
        <v>23.3001</v>
      </c>
      <c r="Z126" s="62">
        <f>RIGHT(H126,LEN(H126)-4)/10000</f>
        <v>1.6E-2</v>
      </c>
      <c r="AA126" s="62">
        <f>ABS(Z126-Y126)</f>
        <v>23.284100000000002</v>
      </c>
      <c r="AB126" s="59" t="e">
        <f>VLOOKUP(A126,Enforcements!$C$7:$K$14,8,0)</f>
        <v>#N/A</v>
      </c>
      <c r="AC126" s="55" t="e">
        <f>VLOOKUP(A126,Enforcements!$C$7:$E$14,3,0)</f>
        <v>#N/A</v>
      </c>
      <c r="AD126" s="56" t="str">
        <f>IF(LEN(A126)=6,"0"&amp;A126,A126)</f>
        <v>0214-07</v>
      </c>
      <c r="AE126" s="85" t="str">
        <f>"aws s3 cp "&amp;s3_bucket&amp;"/RTDC"&amp;B126&amp;"/ "&amp;search_path&amp;"\RTDC"&amp;B126&amp;"\"&amp;TEXT(F126,"YYYY-MM-DD")&amp;" --exclude ""*"" --recursive --include ""*"&amp;TEXT(F126,"YYYYMMDD")&amp;"*"" &amp; """&amp;walkandungz&amp;""" "&amp;search_path&amp;"\RTDC"&amp;B126&amp;"\"&amp;TEXT(F126,"YYYY-MM-DD")
&amp;" &amp; "&amp;"aws s3 cp "&amp;s3_bucket&amp;"/RTDC"&amp;B126&amp;"/ "&amp;search_path&amp;"\RTDC"&amp;B126&amp;"\"&amp;TEXT(F126+1,"YYYY-MM-DD")&amp;" --exclude ""*"" --recursive --include ""*"&amp;TEXT(F126+1,"YYYYMMDD")&amp;"*"" &amp; """&amp;walkandungz&amp;""" "&amp;search_path&amp;"\RTDC"&amp;B126&amp;"\"&amp;TEXT(F126+1,"YYYY-MM-DD")</f>
        <v>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 &amp; aws s3 cp s3://rtdc.mdm.uploadarchive.raw/RTDC4032/ "%USERPROFILE%\AppData\Local\Temp\OnboardLogs"\RTDC4032\2017-02-08 --exclude "*" --recursive --include "*20170208*" &amp; "%USERPROFILE%\Documents\GitHub\mrs-test-scripts\Headless Mode &amp; Sideloading\WalkAndUnGZ.bat" "%USERPROFILE%\AppData\Local\Temp\OnboardLogs"\RTDC4032\2017-02-08</v>
      </c>
      <c r="AF126" s="82" t="str">
        <f>astrogrep_path&amp;" /spath="&amp;search_path&amp;" /stypes=""app*"&amp;B126&amp;"*"&amp;TEXT(I126-utc_offset/24,"YYYYMMDD")&amp;"*"" /stext="" "&amp;TEXT(I126-utc_offset/24,"HH")&amp;search_regexp&amp;""" /e /r /s"</f>
        <v>"C:\Program Files (x86)\AstroGrep\AstroGrep.exe" /spath="%USERPROFILE%\AppData\Local\Temp\OnboardLogs" /stypes="app*4032*20170208*" /stext=" 02:.+((SYSTEM_STATE.+slice.+state.+changed )|(ment ac)|(multiple cpu faults)|(system.+state.+changed )|(\[timeout)|(PRM\|1\|D)|(kpr)|(kdp)|(\|lc)|(penalty))" /e /r /s</v>
      </c>
      <c r="AG126" s="1" t="str">
        <f>IFERROR(IF(VALUE(LEFT(AD126,2))&lt;=2,"EC",IF(OR(VALUE(LEFT(AD126,2))=8,VALUE(LEFT(AD126,2))=18),"NW","Other")),"Other")</f>
        <v>EC</v>
      </c>
      <c r="AH126" s="86" t="str">
        <f t="shared" si="6"/>
        <v>"%USERPROFILE%\Documents\GitHub\eaglep3\Utilities\RefineRTDCRunTimes.py" --tripid 214-07 --locoid 4032 --swversion DE.1.0.8.0 --startMP 204:233001 --initTime 2017-02-07T18:27:51 --startdatetime 2017-02-07T18:41:24 --delay 2 --endMP 204:160 --enddatetime 2017-02-07T19:20:17 --enforcementcount 0 &gt;&gt;C:\Users\stu\Documents\GitHub\eaglep3-reporting\EC\2017-02-07-refined-times.txt</v>
      </c>
      <c r="AI126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{"issue":{"subject":"","project_id":79,"tracker_id":40,"status_id":1,"priority_id":2,"assigned_to_id":23,"start_date":"2017-02-07","description":"","custom_fields":[{"id":1,"name":"Subdivision","value":"EC"},{"id":4,"name":"Milepost","value":"0.016"},{"id":17,"name":"Train ID","value":"214-07"},{"id":16,"name":"Locomotive ID","value":"4032"},{"id":130,"name":"Impact","value":""},{"id":150,"name":"Time of Event (Mountain Time)","value":"19:20:17"},{"id":151,"name":"Denver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48"/>
      <c r="AK126" s="48"/>
      <c r="AL126" s="48"/>
      <c r="AM126" s="158" t="str">
        <f t="shared" si="8"/>
        <v>start /low /b %USERPROFILE%\Documents\GitHub\eaglep3\Utilities\DownloadLogsFromS3.py --loco 4032 --day 2017-02-07</v>
      </c>
      <c r="AN126" s="167" t="str">
        <f>"grep -SE -B400 ""CHR.+\|PRM\|1\|D.+(SWITCH|SIGNAL).+UNKNOWN"" "&amp;search_path&amp;"\RTDC"&amp;B126&amp;"\*"&amp;B126&amp;"*"&amp;TEXT(AVERAGE(F126,I126)-utc_offset/24,"YYYYMMDD")&amp;"*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"%USERPROFILE%\AppData\Local\Temp\OnboardLogs"\RTDC4032\*4032*20170208* | grep -SE "(Enforcement Action)|(\[TIMEOUT)|(CHR.+\|PRM\|1\|D.+(SWITCH|SIGNAL).+UNKNOWN)" - &gt;&gt; 2017-02-07-UncaughtWiMAX.txt</v>
      </c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0" customFormat="1" x14ac:dyDescent="0.25">
      <c r="A127" s="33" t="s">
        <v>488</v>
      </c>
      <c r="B127" s="7">
        <v>4025</v>
      </c>
      <c r="C127" s="21" t="s">
        <v>193</v>
      </c>
      <c r="D127" s="21" t="s">
        <v>239</v>
      </c>
      <c r="E127" s="13">
        <v>42773.745787037034</v>
      </c>
      <c r="F127" s="13">
        <v>42773.750173611108</v>
      </c>
      <c r="G127" s="7">
        <v>1</v>
      </c>
      <c r="H127" s="21" t="s">
        <v>349</v>
      </c>
      <c r="I127" s="13">
        <v>42773.77511574074</v>
      </c>
      <c r="J127" s="7">
        <v>0</v>
      </c>
      <c r="K127" s="98" t="str">
        <f>IF(ISEVEN(B127),(B127-1)&amp;"/"&amp;B127,B127&amp;"/"&amp;(B127+1))</f>
        <v>4025/4026</v>
      </c>
      <c r="L127" s="21" t="str">
        <f>VLOOKUP(A127,'Trips&amp;Operators'!$C$1:$G$99999,5,FALSE)</f>
        <v>BRANNON JEFFREY</v>
      </c>
      <c r="M127" s="6">
        <f>I127-F127</f>
        <v>2.4942129632108845E-2</v>
      </c>
      <c r="N127" s="7">
        <f>24*60*SUM($M127:$M127)</f>
        <v>35.916666670236737</v>
      </c>
      <c r="O127" s="7"/>
      <c r="P127" s="7"/>
      <c r="Q127" s="22"/>
      <c r="R127" s="22"/>
      <c r="S127" s="31">
        <f>SUM(U127:U127)/IF(AG127="EC",12,1)</f>
        <v>1</v>
      </c>
      <c r="T127" s="46" t="str">
        <f>IF(ISEVEN(LEFT(AD127,4)),"Southbound","NorthBound")</f>
        <v>NorthBound</v>
      </c>
      <c r="U127" s="190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191" t="str">
        <f>"https://d0f6bd738d7f1b3e5a7ca70fe4ff75f0.us-east-1.aws.found.io/app/kibana#/discover/Steve-Slow-Train-Analysis-(2080s-and-2083s)?_g="&amp;"(refreshInterval:(display:Off,pause:!f,section:0,value:0),time:(from:'"&amp;TEXT(E127-1/24,"yyyy-MM-DDThh:mm:ss")&amp;utc_offset&amp;"00"&amp;"',mode:absolute,to:'"&amp;TEXT(I127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127&amp;"%22')),sort:!(Time.ISO8601,asc))"</f>
        <v>https://d0f6bd738d7f1b3e5a7ca70fe4ff75f0.us-east-1.aws.found.io/app/kibana#/discover/Steve-Slow-Train-Analysis-(2080s-and-2083s)?_g=(refreshInterval:(display:Off,pause:!f,section:0,value:0),time:(from:'2017-02-07T16:53:56-0700',mode:absolute,to:'2017-02-07T19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127" s="192" t="str">
        <f>IF(AA127&lt;IF(AG127="EC",23,5.65),"Y","N")</f>
        <v>N</v>
      </c>
      <c r="X127" s="192">
        <f>VALUE(LEFT(AD127,4))-VALUE(LEFT(AD126,4))</f>
        <v>1</v>
      </c>
      <c r="Y127" s="62">
        <f>RIGHT(D127,LEN(D127)-4)/10000</f>
        <v>4.5699999999999998E-2</v>
      </c>
      <c r="Z127" s="62">
        <f>RIGHT(H127,LEN(H127)-4)/10000</f>
        <v>23.331</v>
      </c>
      <c r="AA127" s="62">
        <f>ABS(Z127-Y127)</f>
        <v>23.285299999999999</v>
      </c>
      <c r="AB127" s="59" t="e">
        <f>VLOOKUP(A127,Enforcements!$C$7:$K$14,8,0)</f>
        <v>#N/A</v>
      </c>
      <c r="AC127" s="55" t="e">
        <f>VLOOKUP(A127,Enforcements!$C$7:$E$14,3,0)</f>
        <v>#N/A</v>
      </c>
      <c r="AD127" s="56" t="str">
        <f>IF(LEN(A127)=6,"0"&amp;A127,A127)</f>
        <v>0215-07</v>
      </c>
      <c r="AE127" s="85" t="str">
        <f>"aws s3 cp "&amp;s3_bucket&amp;"/RTDC"&amp;B127&amp;"/ "&amp;search_path&amp;"\RTDC"&amp;B127&amp;"\"&amp;TEXT(F127,"YYYY-MM-DD")&amp;" --exclude ""*"" --recursive --include ""*"&amp;TEXT(F127,"YYYYMMDD")&amp;"*"" &amp; """&amp;walkandungz&amp;""" "&amp;search_path&amp;"\RTDC"&amp;B127&amp;"\"&amp;TEXT(F127,"YYYY-MM-DD")
&amp;" &amp; "&amp;"aws s3 cp "&amp;s3_bucket&amp;"/RTDC"&amp;B127&amp;"/ "&amp;search_path&amp;"\RTDC"&amp;B127&amp;"\"&amp;TEXT(F127+1,"YYYY-MM-DD")&amp;" --exclude ""*"" --recursive --include ""*"&amp;TEXT(F127+1,"YYYYMMDD")&amp;"*"" &amp; """&amp;walkandungz&amp;""" "&amp;search_path&amp;"\RTDC"&amp;B127&amp;"\"&amp;TEXT(F127+1,"YYYY-MM-DD")</f>
        <v>aws s3 cp s3://rtdc.mdm.uploadarchive.raw/RTDC4025/ "%USERPROFILE%\AppData\Local\Temp\OnboardLogs"\RTDC4025\2017-02-07 --exclude "*" --recursive --include "*20170207*" &amp; "%USERPROFILE%\Documents\GitHub\mrs-test-scripts\Headless Mode &amp; Sideloading\WalkAndUnGZ.bat" "%USERPROFILE%\AppData\Local\Temp\OnboardLogs"\RTDC4025\2017-02-07 &amp; aws s3 cp s3://rtdc.mdm.uploadarchive.raw/RTDC4025/ "%USERPROFILE%\AppData\Local\Temp\OnboardLogs"\RTDC4025\2017-02-08 --exclude "*" --recursive --include "*20170208*" &amp; "%USERPROFILE%\Documents\GitHub\mrs-test-scripts\Headless Mode &amp; Sideloading\WalkAndUnGZ.bat" "%USERPROFILE%\AppData\Local\Temp\OnboardLogs"\RTDC4025\2017-02-08</v>
      </c>
      <c r="AF127" s="82" t="str">
        <f>astrogrep_path&amp;" /spath="&amp;search_path&amp;" /stypes=""app*"&amp;B127&amp;"*"&amp;TEXT(I127-utc_offset/24,"YYYYMMDD")&amp;"*"" /stext="" "&amp;TEXT(I127-utc_offset/24,"HH")&amp;search_regexp&amp;""" /e /r /s"</f>
        <v>"C:\Program Files (x86)\AstroGrep\AstroGrep.exe" /spath="%USERPROFILE%\AppData\Local\Temp\OnboardLogs" /stypes="app*4025*20170208*" /stext=" 01:.+((SYSTEM_STATE.+slice.+state.+changed )|(ment ac)|(multiple cpu faults)|(system.+state.+changed )|(\[timeout)|(PRM\|1\|D)|(kpr)|(kdp)|(\|lc)|(penalty))" /e /r /s</v>
      </c>
      <c r="AG127" s="1" t="str">
        <f>IFERROR(IF(VALUE(LEFT(AD127,2))&lt;=2,"EC",IF(OR(VALUE(LEFT(AD127,2))=8,VALUE(LEFT(AD127,2))=18),"NW","Other")),"Other")</f>
        <v>EC</v>
      </c>
      <c r="AH127" s="86" t="str">
        <f t="shared" si="6"/>
        <v>"%USERPROFILE%\Documents\GitHub\eaglep3\Utilities\RefineRTDCRunTimes.py" --tripid 215-07 --locoid 4025 --swversion DE.1.0.8.0 --startMP 204:457 --initTime 2017-02-07T17:53:56 --startdatetime 2017-02-07T18:00:15 --delay 1 --endMP 204:233310 --enddatetime 2017-02-07T18:36:10 --enforcementcount 0 &gt;&gt;C:\Users\stu\Documents\GitHub\eaglep3-reporting\EC\2017-02-07-refined-times.txt</v>
      </c>
      <c r="AI127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{"issue":{"subject":"","project_id":79,"tracker_id":40,"status_id":1,"priority_id":2,"assigned_to_id":23,"start_date":"2017-02-07","description":"","custom_fields":[{"id":1,"name":"Subdivision","value":"EC"},{"id":4,"name":"Milepost","value":"23.331"},{"id":17,"name":"Train ID","value":"215-07"},{"id":16,"name":"Locomotive ID","value":"4025"},{"id":130,"name":"Impact","value":""},{"id":150,"name":"Time of Event (Mountain Time)","value":"18:36:10"},{"id":151,"name":"Denver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48"/>
      <c r="AK127" s="48"/>
      <c r="AL127" s="48"/>
      <c r="AM127" s="158" t="str">
        <f t="shared" si="8"/>
        <v>start /low /b %USERPROFILE%\Documents\GitHub\eaglep3\Utilities\DownloadLogsFromS3.py --loco 4025 --day 2017-02-07</v>
      </c>
      <c r="AN127" s="167" t="str">
        <f>"grep -SE -B400 ""CHR.+\|PRM\|1\|D.+(SWITCH|SIGNAL).+UNKNOWN"" "&amp;search_path&amp;"\RTDC"&amp;B127&amp;"\*"&amp;B127&amp;"*"&amp;TEXT(AVERAGE(F127,I127)-utc_offset/24,"YYYYMMDD")&amp;"*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"%USERPROFILE%\AppData\Local\Temp\OnboardLogs"\RTDC4025\*4025*20170208* | grep -SE "(Enforcement Action)|(\[TIMEOUT)|(CHR.+\|PRM\|1\|D.+(SWITCH|SIGNAL).+UNKNOWN)" - &gt;&gt; 2017-02-07-UncaughtWiMAX.txt</v>
      </c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s="20" customFormat="1" x14ac:dyDescent="0.25">
      <c r="A128" s="33" t="s">
        <v>660</v>
      </c>
      <c r="B128" s="7">
        <v>4026</v>
      </c>
      <c r="C128" s="21" t="s">
        <v>193</v>
      </c>
      <c r="D128" s="21" t="s">
        <v>332</v>
      </c>
      <c r="E128" s="13">
        <v>42773.78638888889</v>
      </c>
      <c r="F128" s="13">
        <v>42773.789039351854</v>
      </c>
      <c r="G128" s="7">
        <v>1</v>
      </c>
      <c r="H128" s="21" t="s">
        <v>205</v>
      </c>
      <c r="I128" s="13">
        <v>42773.814837962964</v>
      </c>
      <c r="J128" s="7">
        <v>0</v>
      </c>
      <c r="K128" s="98" t="str">
        <f>IF(ISEVEN(B128),(B128-1)&amp;"/"&amp;B128,B128&amp;"/"&amp;(B128+1))</f>
        <v>4025/4026</v>
      </c>
      <c r="L128" s="21" t="str">
        <f>VLOOKUP(A128,'Trips&amp;Operators'!$C$1:$G$99999,5,FALSE)</f>
        <v>BRANNON JEFFREY</v>
      </c>
      <c r="M128" s="6">
        <f>I128-F128</f>
        <v>2.5798611110076308E-2</v>
      </c>
      <c r="N128" s="7">
        <f>24*60*SUM($M128:$M128)</f>
        <v>37.149999998509884</v>
      </c>
      <c r="O128" s="7"/>
      <c r="P128" s="7"/>
      <c r="Q128" s="22"/>
      <c r="R128" s="22"/>
      <c r="S128" s="31">
        <f>SUM(U128:U128)/IF(AG128="EC",12,1)</f>
        <v>1</v>
      </c>
      <c r="T128" s="46" t="str">
        <f>IF(ISEVEN(LEFT(AD128,4)),"Southbound","NorthBound")</f>
        <v>Southbound</v>
      </c>
      <c r="U128" s="190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191" t="str">
        <f>"https://d0f6bd738d7f1b3e5a7ca70fe4ff75f0.us-east-1.aws.found.io/app/kibana#/discover/Steve-Slow-Train-Analysis-(2080s-and-2083s)?_g="&amp;"(refreshInterval:(display:Off,pause:!f,section:0,value:0),time:(from:'"&amp;TEXT(E128-1/24,"yyyy-MM-DDThh:mm:ss")&amp;utc_offset&amp;"00"&amp;"',mode:absolute,to:'"&amp;TEXT(I128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128&amp;"%22')),sort:!(Time.ISO8601,asc))"</f>
        <v>https://d0f6bd738d7f1b3e5a7ca70fe4ff75f0.us-east-1.aws.found.io/app/kibana#/discover/Steve-Slow-Train-Analysis-(2080s-and-2083s)?_g=(refreshInterval:(display:Off,pause:!f,section:0,value:0),time:(from:'2017-02-07T17:52:24-0700',mode:absolute,to:'2017-02-07T20:33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128" s="192" t="str">
        <f>IF(AA128&lt;IF(AG128="EC",23,5.65),"Y","N")</f>
        <v>N</v>
      </c>
      <c r="X128" s="192">
        <f>VALUE(LEFT(AD128,4))-VALUE(LEFT(AD127,4))</f>
        <v>1</v>
      </c>
      <c r="Y128" s="62">
        <f>RIGHT(D128,LEN(D128)-4)/10000</f>
        <v>23.299099999999999</v>
      </c>
      <c r="Z128" s="62">
        <f>RIGHT(H128,LEN(H128)-4)/10000</f>
        <v>1.47E-2</v>
      </c>
      <c r="AA128" s="62">
        <f>ABS(Z128-Y128)</f>
        <v>23.284399999999998</v>
      </c>
      <c r="AB128" s="59" t="e">
        <f>VLOOKUP(A128,Enforcements!$C$7:$K$14,8,0)</f>
        <v>#N/A</v>
      </c>
      <c r="AC128" s="55" t="e">
        <f>VLOOKUP(A128,Enforcements!$C$7:$E$14,3,0)</f>
        <v>#N/A</v>
      </c>
      <c r="AD128" s="56" t="str">
        <f>IF(LEN(A128)=6,"0"&amp;A128,A128)</f>
        <v>0216-07</v>
      </c>
      <c r="AE128" s="85" t="str">
        <f>"aws s3 cp "&amp;s3_bucket&amp;"/RTDC"&amp;B128&amp;"/ "&amp;search_path&amp;"\RTDC"&amp;B128&amp;"\"&amp;TEXT(F128,"YYYY-MM-DD")&amp;" --exclude ""*"" --recursive --include ""*"&amp;TEXT(F128,"YYYYMMDD")&amp;"*"" &amp; """&amp;walkandungz&amp;""" "&amp;search_path&amp;"\RTDC"&amp;B128&amp;"\"&amp;TEXT(F128,"YYYY-MM-DD")
&amp;" &amp; "&amp;"aws s3 cp "&amp;s3_bucket&amp;"/RTDC"&amp;B128&amp;"/ "&amp;search_path&amp;"\RTDC"&amp;B128&amp;"\"&amp;TEXT(F128+1,"YYYY-MM-DD")&amp;" --exclude ""*"" --recursive --include ""*"&amp;TEXT(F128+1,"YYYYMMDD")&amp;"*"" &amp; """&amp;walkandungz&amp;""" "&amp;search_path&amp;"\RTDC"&amp;B128&amp;"\"&amp;TEXT(F128+1,"YYYY-MM-DD")</f>
        <v>aws s3 cp s3://rtdc.mdm.uploadarchive.raw/RTDC4026/ "%USERPROFILE%\AppData\Local\Temp\OnboardLogs"\RTDC4026\2017-02-07 --exclude "*" --recursive --include "*20170207*" &amp; "%USERPROFILE%\Documents\GitHub\mrs-test-scripts\Headless Mode &amp; Sideloading\WalkAndUnGZ.bat" "%USERPROFILE%\AppData\Local\Temp\OnboardLogs"\RTDC4026\2017-02-07 &amp; 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</v>
      </c>
      <c r="AF128" s="82" t="str">
        <f>astrogrep_path&amp;" /spath="&amp;search_path&amp;" /stypes=""app*"&amp;B128&amp;"*"&amp;TEXT(I128-utc_offset/24,"YYYYMMDD")&amp;"*"" /stext="" "&amp;TEXT(I128-utc_offset/24,"HH")&amp;search_regexp&amp;""" /e /r /s"</f>
        <v>"C:\Program Files (x86)\AstroGrep\AstroGrep.exe" /spath="%USERPROFILE%\AppData\Local\Temp\OnboardLogs" /stypes="app*4026*20170208*" /stext=" 02:.+((SYSTEM_STATE.+slice.+state.+changed )|(ment ac)|(multiple cpu faults)|(system.+state.+changed )|(\[timeout)|(PRM\|1\|D)|(kpr)|(kdp)|(\|lc)|(penalty))" /e /r /s</v>
      </c>
      <c r="AG128" s="1" t="str">
        <f>IFERROR(IF(VALUE(LEFT(AD128,2))&lt;=2,"EC",IF(OR(VALUE(LEFT(AD128,2))=8,VALUE(LEFT(AD128,2))=18),"NW","Other")),"Other")</f>
        <v>EC</v>
      </c>
      <c r="AH128" s="86" t="str">
        <f t="shared" si="6"/>
        <v>"%USERPROFILE%\Documents\GitHub\eaglep3\Utilities\RefineRTDCRunTimes.py" --tripid 216-07 --locoid 4026 --swversion DE.1.0.8.0 --startMP 204:232991 --initTime 2017-02-07T18:52:24 --startdatetime 2017-02-07T18:56:13 --delay 1 --endMP 204:147 --enddatetime 2017-02-07T19:33:22 --enforcementcount 0 &gt;&gt;C:\Users\stu\Documents\GitHub\eaglep3-reporting\EC\2017-02-07-refined-times.txt</v>
      </c>
      <c r="AI128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{"issue":{"subject":"","project_id":79,"tracker_id":40,"status_id":1,"priority_id":2,"assigned_to_id":23,"start_date":"2017-02-07","description":"","custom_fields":[{"id":1,"name":"Subdivision","value":"EC"},{"id":4,"name":"Milepost","value":"0.0147"},{"id":17,"name":"Train ID","value":"216-07"},{"id":16,"name":"Locomotive ID","value":"4026"},{"id":130,"name":"Impact","value":""},{"id":150,"name":"Time of Event (Mountain Time)","value":"19:33:22"},{"id":151,"name":"Denver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48"/>
      <c r="AK128" s="48"/>
      <c r="AL128" s="48"/>
      <c r="AM128" s="158" t="str">
        <f t="shared" si="8"/>
        <v>start /low /b %USERPROFILE%\Documents\GitHub\eaglep3\Utilities\DownloadLogsFromS3.py --loco 4026 --day 2017-02-07</v>
      </c>
      <c r="AN128" s="167" t="str">
        <f>"grep -SE -B400 ""CHR.+\|PRM\|1\|D.+(SWITCH|SIGNAL).+UNKNOWN"" "&amp;search_path&amp;"\RTDC"&amp;B128&amp;"\*"&amp;B128&amp;"*"&amp;TEXT(AVERAGE(F128,I128)-utc_offset/24,"YYYYMMDD")&amp;"*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"%USERPROFILE%\AppData\Local\Temp\OnboardLogs"\RTDC4026\*4026*20170208* | grep -SE "(Enforcement Action)|(\[TIMEOUT)|(CHR.+\|PRM\|1\|D.+(SWITCH|SIGNAL).+UNKNOWN)" - &gt;&gt; 2017-02-07-UncaughtWiMAX.txt</v>
      </c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</row>
    <row r="129" spans="1:91" s="20" customFormat="1" x14ac:dyDescent="0.25">
      <c r="A129" s="33" t="s">
        <v>651</v>
      </c>
      <c r="B129" s="7">
        <v>4046</v>
      </c>
      <c r="C129" s="21" t="s">
        <v>193</v>
      </c>
      <c r="D129" s="21" t="s">
        <v>350</v>
      </c>
      <c r="E129" s="13">
        <v>42773.758125</v>
      </c>
      <c r="F129" s="13">
        <v>42773.761018518519</v>
      </c>
      <c r="G129" s="7">
        <v>1</v>
      </c>
      <c r="H129" s="21" t="s">
        <v>282</v>
      </c>
      <c r="I129" s="13">
        <v>42773.786273148151</v>
      </c>
      <c r="J129" s="7">
        <v>0</v>
      </c>
      <c r="K129" s="98" t="str">
        <f>IF(ISEVEN(B129),(B129-1)&amp;"/"&amp;B129,B129&amp;"/"&amp;(B129+1))</f>
        <v>4045/4046</v>
      </c>
      <c r="L129" s="21" t="str">
        <f>VLOOKUP(A129,'Trips&amp;Operators'!$C$1:$G$99999,5,FALSE)</f>
        <v>STORY SAMANTHA</v>
      </c>
      <c r="M129" s="6">
        <f>I129-F129</f>
        <v>2.5254629632399883E-2</v>
      </c>
      <c r="N129" s="7">
        <f>24*60*SUM($M129:$M129)</f>
        <v>36.366666670655832</v>
      </c>
      <c r="O129" s="7"/>
      <c r="P129" s="7"/>
      <c r="Q129" s="22"/>
      <c r="R129" s="22"/>
      <c r="S129" s="31">
        <f>SUM(U129:U129)/IF(AG129="EC",12,1)</f>
        <v>1</v>
      </c>
      <c r="T129" s="46" t="str">
        <f>IF(ISEVEN(LEFT(AD129,4)),"Southbound","NorthBound")</f>
        <v>NorthBound</v>
      </c>
      <c r="U129" s="190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191" t="str">
        <f>"https://d0f6bd738d7f1b3e5a7ca70fe4ff75f0.us-east-1.aws.found.io/app/kibana#/discover/Steve-Slow-Train-Analysis-(2080s-and-2083s)?_g="&amp;"(refreshInterval:(display:Off,pause:!f,section:0,value:0),time:(from:'"&amp;TEXT(E129-1/24,"yyyy-MM-DDThh:mm:ss")&amp;utc_offset&amp;"00"&amp;"',mode:absolute,to:'"&amp;TEXT(I129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129&amp;"%22')),sort:!(Time.ISO8601,asc))"</f>
        <v>https://d0f6bd738d7f1b3e5a7ca70fe4ff75f0.us-east-1.aws.found.io/app/kibana#/discover/Steve-Slow-Train-Analysis-(2080s-and-2083s)?_g=(refreshInterval:(display:Off,pause:!f,section:0,value:0),time:(from:'2017-02-07T17:11:42-0700',mode:absolute,to:'2017-02-07T19:52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29" s="192" t="str">
        <f>IF(AA129&lt;IF(AG129="EC",23,5.65),"Y","N")</f>
        <v>N</v>
      </c>
      <c r="X129" s="192">
        <f>VALUE(LEFT(AD129,4))-VALUE(LEFT(AD128,4))</f>
        <v>1</v>
      </c>
      <c r="Y129" s="62">
        <f>RIGHT(D129,LEN(D129)-4)/10000</f>
        <v>4.6399999999999997E-2</v>
      </c>
      <c r="Z129" s="62">
        <f>RIGHT(H129,LEN(H129)-4)/10000</f>
        <v>23.330100000000002</v>
      </c>
      <c r="AA129" s="62">
        <f>ABS(Z129-Y129)</f>
        <v>23.283700000000003</v>
      </c>
      <c r="AB129" s="59" t="e">
        <f>VLOOKUP(A129,Enforcements!$C$7:$K$14,8,0)</f>
        <v>#N/A</v>
      </c>
      <c r="AC129" s="55" t="e">
        <f>VLOOKUP(A129,Enforcements!$C$7:$E$14,3,0)</f>
        <v>#N/A</v>
      </c>
      <c r="AD129" s="56" t="str">
        <f>IF(LEN(A129)=6,"0"&amp;A129,A129)</f>
        <v>0217-07</v>
      </c>
      <c r="AE129" s="85" t="str">
        <f>"aws s3 cp "&amp;s3_bucket&amp;"/RTDC"&amp;B129&amp;"/ "&amp;search_path&amp;"\RTDC"&amp;B129&amp;"\"&amp;TEXT(F129,"YYYY-MM-DD")&amp;" --exclude ""*"" --recursive --include ""*"&amp;TEXT(F129,"YYYYMMDD")&amp;"*"" &amp; """&amp;walkandungz&amp;""" "&amp;search_path&amp;"\RTDC"&amp;B129&amp;"\"&amp;TEXT(F129,"YYYY-MM-DD")
&amp;" &amp; "&amp;"aws s3 cp "&amp;s3_bucket&amp;"/RTDC"&amp;B129&amp;"/ "&amp;search_path&amp;"\RTDC"&amp;B129&amp;"\"&amp;TEXT(F129+1,"YYYY-MM-DD")&amp;" --exclude ""*"" --recursive --include ""*"&amp;TEXT(F129+1,"YYYYMMDD")&amp;"*"" &amp; """&amp;walkandungz&amp;""" "&amp;search_path&amp;"\RTDC"&amp;B129&amp;"\"&amp;TEXT(F129+1,"YYYY-MM-DD")</f>
        <v>aws s3 cp s3://rtdc.mdm.uploadarchive.raw/RTDC4046/ "%USERPROFILE%\AppData\Local\Temp\OnboardLogs"\RTDC4046\2017-02-07 --exclude "*" --recursive --include "*20170207*" &amp; "%USERPROFILE%\Documents\GitHub\mrs-test-scripts\Headless Mode &amp; Sideloading\WalkAndUnGZ.bat" "%USERPROFILE%\AppData\Local\Temp\OnboardLogs"\RTDC4046\2017-02-07 &amp; aws s3 cp s3://rtdc.mdm.uploadarchive.raw/RTDC4046/ "%USERPROFILE%\AppData\Local\Temp\OnboardLogs"\RTDC4046\2017-02-08 --exclude "*" --recursive --include "*20170208*" &amp; "%USERPROFILE%\Documents\GitHub\mrs-test-scripts\Headless Mode &amp; Sideloading\WalkAndUnGZ.bat" "%USERPROFILE%\AppData\Local\Temp\OnboardLogs"\RTDC4046\2017-02-08</v>
      </c>
      <c r="AF129" s="82" t="str">
        <f>astrogrep_path&amp;" /spath="&amp;search_path&amp;" /stypes=""app*"&amp;B129&amp;"*"&amp;TEXT(I129-utc_offset/24,"YYYYMMDD")&amp;"*"" /stext="" "&amp;TEXT(I129-utc_offset/24,"HH")&amp;search_regexp&amp;""" /e /r /s"</f>
        <v>"C:\Program Files (x86)\AstroGrep\AstroGrep.exe" /spath="%USERPROFILE%\AppData\Local\Temp\OnboardLogs" /stypes="app*4046*20170208*" /stext=" 01:.+((SYSTEM_STATE.+slice.+state.+changed )|(ment ac)|(multiple cpu faults)|(system.+state.+changed )|(\[timeout)|(PRM\|1\|D)|(kpr)|(kdp)|(\|lc)|(penalty))" /e /r /s</v>
      </c>
      <c r="AG129" s="1" t="str">
        <f>IFERROR(IF(VALUE(LEFT(AD129,2))&lt;=2,"EC",IF(OR(VALUE(LEFT(AD129,2))=8,VALUE(LEFT(AD129,2))=18),"NW","Other")),"Other")</f>
        <v>EC</v>
      </c>
      <c r="AH129" s="86" t="str">
        <f t="shared" si="6"/>
        <v>"%USERPROFILE%\Documents\GitHub\eaglep3\Utilities\RefineRTDCRunTimes.py" --tripid 217-07 --locoid 4046 --swversion DE.1.0.8.0 --startMP 204:464 --initTime 2017-02-07T18:11:42 --startdatetime 2017-02-07T18:15:52 --delay 1 --endMP 204:233301 --enddatetime 2017-02-07T18:52:14 --enforcementcount 0 &gt;&gt;C:\Users\stu\Documents\GitHub\eaglep3-reporting\EC\2017-02-07-refined-times.txt</v>
      </c>
      <c r="AI129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{"issue":{"subject":"","project_id":79,"tracker_id":40,"status_id":1,"priority_id":2,"assigned_to_id":23,"start_date":"2017-02-07","description":"","custom_fields":[{"id":1,"name":"Subdivision","value":"EC"},{"id":4,"name":"Milepost","value":"23.3301"},{"id":17,"name":"Train ID","value":"217-07"},{"id":16,"name":"Locomotive ID","value":"4046"},{"id":130,"name":"Impact","value":""},{"id":150,"name":"Time of Event (Mountain Time)","value":"18:52:14"},{"id":151,"name":"Denver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48"/>
      <c r="AK129" s="48"/>
      <c r="AL129" s="48"/>
      <c r="AM129" s="158" t="str">
        <f t="shared" si="8"/>
        <v>start /low /b %USERPROFILE%\Documents\GitHub\eaglep3\Utilities\DownloadLogsFromS3.py --loco 4046 --day 2017-02-07</v>
      </c>
      <c r="AN129" s="167" t="str">
        <f>"grep -SE -B400 ""CHR.+\|PRM\|1\|D.+(SWITCH|SIGNAL).+UNKNOWN"" "&amp;search_path&amp;"\RTDC"&amp;B129&amp;"\*"&amp;B129&amp;"*"&amp;TEXT(AVERAGE(F129,I129)-utc_offset/24,"YYYYMMDD")&amp;"*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"%USERPROFILE%\AppData\Local\Temp\OnboardLogs"\RTDC4046\*4046*20170208* | grep -SE "(Enforcement Action)|(\[TIMEOUT)|(CHR.+\|PRM\|1\|D.+(SWITCH|SIGNAL).+UNKNOWN)" - &gt;&gt; 2017-02-07-UncaughtWiMAX.txt</v>
      </c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</row>
    <row r="130" spans="1:91" s="20" customFormat="1" x14ac:dyDescent="0.25">
      <c r="A130" s="33" t="s">
        <v>492</v>
      </c>
      <c r="B130" s="7">
        <v>4045</v>
      </c>
      <c r="C130" s="21" t="s">
        <v>193</v>
      </c>
      <c r="D130" s="21" t="s">
        <v>716</v>
      </c>
      <c r="E130" s="13">
        <v>42773.793796296297</v>
      </c>
      <c r="F130" s="13">
        <v>42773.799618055556</v>
      </c>
      <c r="G130" s="7">
        <v>2</v>
      </c>
      <c r="H130" s="21" t="s">
        <v>224</v>
      </c>
      <c r="I130" s="13">
        <v>42773.826053240744</v>
      </c>
      <c r="J130" s="7">
        <v>0</v>
      </c>
      <c r="K130" s="98" t="str">
        <f>IF(ISEVEN(B130),(B130-1)&amp;"/"&amp;B130,B130&amp;"/"&amp;(B130+1))</f>
        <v>4045/4046</v>
      </c>
      <c r="L130" s="21" t="str">
        <f>VLOOKUP(A130,'Trips&amp;Operators'!$C$1:$G$99999,5,FALSE)</f>
        <v>STORY SAMANTHA</v>
      </c>
      <c r="M130" s="6">
        <f>I130-F130</f>
        <v>2.6435185187438037E-2</v>
      </c>
      <c r="N130" s="7">
        <f>24*60*SUM($M130:$M130)</f>
        <v>38.066666669910774</v>
      </c>
      <c r="O130" s="7"/>
      <c r="P130" s="7"/>
      <c r="Q130" s="22"/>
      <c r="R130" s="22"/>
      <c r="S130" s="31">
        <f>SUM(U130:U130)/IF(AG130="EC",12,1)</f>
        <v>1</v>
      </c>
      <c r="T130" s="46" t="str">
        <f>IF(ISEVEN(LEFT(AD130,4)),"Southbound","NorthBound")</f>
        <v>Southbound</v>
      </c>
      <c r="U130" s="190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191" t="str">
        <f>"https://d0f6bd738d7f1b3e5a7ca70fe4ff75f0.us-east-1.aws.found.io/app/kibana#/discover/Steve-Slow-Train-Analysis-(2080s-and-2083s)?_g="&amp;"(refreshInterval:(display:Off,pause:!f,section:0,value:0),time:(from:'"&amp;TEXT(E130-1/24,"yyyy-MM-DDThh:mm:ss")&amp;utc_offset&amp;"00"&amp;"',mode:absolute,to:'"&amp;TEXT(I130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130&amp;"%22')),sort:!(Time.ISO8601,asc))"</f>
        <v>https://d0f6bd738d7f1b3e5a7ca70fe4ff75f0.us-east-1.aws.found.io/app/kibana#/discover/Steve-Slow-Train-Analysis-(2080s-and-2083s)?_g=(refreshInterval:(display:Off,pause:!f,section:0,value:0),time:(from:'2017-02-07T18:03:04-0700',mode:absolute,to:'2017-02-07T20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0" s="192" t="str">
        <f>IF(AA130&lt;IF(AG130="EC",23,5.65),"Y","N")</f>
        <v>N</v>
      </c>
      <c r="X130" s="192">
        <f>VALUE(LEFT(AD130,4))-VALUE(LEFT(AD129,4))</f>
        <v>1</v>
      </c>
      <c r="Y130" s="62">
        <f>RIGHT(D130,LEN(D130)-4)/10000</f>
        <v>23.299600000000002</v>
      </c>
      <c r="Z130" s="62">
        <f>RIGHT(H130,LEN(H130)-4)/10000</f>
        <v>1.54E-2</v>
      </c>
      <c r="AA130" s="62">
        <f>ABS(Z130-Y130)</f>
        <v>23.284200000000002</v>
      </c>
      <c r="AB130" s="59" t="str">
        <f>VLOOKUP(A130,Enforcements!$C$7:$K$14,8,0)</f>
        <v>Speed (6)</v>
      </c>
      <c r="AC130" s="55" t="str">
        <f>VLOOKUP(A130,Enforcements!$C$7:$E$14,3,0)</f>
        <v>PERMANENT SPEED RESTRICTION</v>
      </c>
      <c r="AD130" s="56" t="str">
        <f>IF(LEN(A130)=6,"0"&amp;A130,A130)</f>
        <v>0218-07</v>
      </c>
      <c r="AE130" s="85" t="str">
        <f>"aws s3 cp "&amp;s3_bucket&amp;"/RTDC"&amp;B130&amp;"/ "&amp;search_path&amp;"\RTDC"&amp;B130&amp;"\"&amp;TEXT(F130,"YYYY-MM-DD")&amp;" --exclude ""*"" --recursive --include ""*"&amp;TEXT(F130,"YYYYMMDD")&amp;"*"" &amp; """&amp;walkandungz&amp;""" "&amp;search_path&amp;"\RTDC"&amp;B130&amp;"\"&amp;TEXT(F130,"YYYY-MM-DD")
&amp;" &amp; "&amp;"aws s3 cp "&amp;s3_bucket&amp;"/RTDC"&amp;B130&amp;"/ "&amp;search_path&amp;"\RTDC"&amp;B130&amp;"\"&amp;TEXT(F130+1,"YYYY-MM-DD")&amp;" --exclude ""*"" --recursive --include ""*"&amp;TEXT(F130+1,"YYYYMMDD")&amp;"*"" &amp; """&amp;walkandungz&amp;""" "&amp;search_path&amp;"\RTDC"&amp;B130&amp;"\"&amp;TEXT(F130+1,"YYYY-MM-DD")</f>
        <v>aws s3 cp s3://rtdc.mdm.uploadarchive.raw/RTDC4045/ "%USERPROFILE%\AppData\Local\Temp\OnboardLogs"\RTDC4045\2017-02-07 --exclude "*" --recursive --include "*20170207*" &amp; "%USERPROFILE%\Documents\GitHub\mrs-test-scripts\Headless Mode &amp; Sideloading\WalkAndUnGZ.bat" "%USERPROFILE%\AppData\Local\Temp\OnboardLogs"\RTDC4045\2017-02-07 &amp; aws s3 cp s3://rtdc.mdm.uploadarchive.raw/RTDC4045/ "%USERPROFILE%\AppData\Local\Temp\OnboardLogs"\RTDC4045\2017-02-08 --exclude "*" --recursive --include "*20170208*" &amp; "%USERPROFILE%\Documents\GitHub\mrs-test-scripts\Headless Mode &amp; Sideloading\WalkAndUnGZ.bat" "%USERPROFILE%\AppData\Local\Temp\OnboardLogs"\RTDC4045\2017-02-08</v>
      </c>
      <c r="AF130" s="82" t="str">
        <f>astrogrep_path&amp;" /spath="&amp;search_path&amp;" /stypes=""app*"&amp;B130&amp;"*"&amp;TEXT(I130-utc_offset/24,"YYYYMMDD")&amp;"*"" /stext="" "&amp;TEXT(I130-utc_offset/24,"HH")&amp;search_regexp&amp;""" /e /r /s"</f>
        <v>"C:\Program Files (x86)\AstroGrep\AstroGrep.exe" /spath="%USERPROFILE%\AppData\Local\Temp\OnboardLogs" /stypes="app*4045*20170208*" /stext=" 02:.+((SYSTEM_STATE.+slice.+state.+changed )|(ment ac)|(multiple cpu faults)|(system.+state.+changed )|(\[timeout)|(PRM\|1\|D)|(kpr)|(kdp)|(\|lc)|(penalty))" /e /r /s</v>
      </c>
      <c r="AG130" s="1" t="str">
        <f>IFERROR(IF(VALUE(LEFT(AD130,2))&lt;=2,"EC",IF(OR(VALUE(LEFT(AD130,2))=8,VALUE(LEFT(AD130,2))=18),"NW","Other")),"Other")</f>
        <v>EC</v>
      </c>
      <c r="AH130" s="86" t="str">
        <f t="shared" si="6"/>
        <v>"%USERPROFILE%\Documents\GitHub\eaglep3\Utilities\RefineRTDCRunTimes.py" --tripid 218-07 --locoid 4045 --swversion DE.1.0.8.0 --startMP 204:232996 --initTime 2017-02-07T19:03:04 --startdatetime 2017-02-07T19:11:27 --delay 2 --endMP 204:154 --enddatetime 2017-02-07T19:49:31 --enforcementcount 0 &gt;&gt;C:\Users\stu\Documents\GitHub\eaglep3-reporting\EC\2017-02-07-refined-times.txt</v>
      </c>
      <c r="AI130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{"issue":{"subject":"","project_id":79,"tracker_id":40,"status_id":1,"priority_id":2,"assigned_to_id":23,"start_date":"2017-02-07","description":"","custom_fields":[{"id":1,"name":"Subdivision","value":"EC"},{"id":4,"name":"Milepost","value":"0.0154"},{"id":17,"name":"Train ID","value":"218-07"},{"id":16,"name":"Locomotive ID","value":"4045"},{"id":130,"name":"Impact","value":""},{"id":150,"name":"Time of Event (Mountain Time)","value":"19:49:31"},{"id":151,"name":"Denver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48"/>
      <c r="AK130" s="48"/>
      <c r="AL130" s="48"/>
      <c r="AM130" s="158" t="str">
        <f t="shared" si="8"/>
        <v>start /low /b %USERPROFILE%\Documents\GitHub\eaglep3\Utilities\DownloadLogsFromS3.py --loco 4045 --day 2017-02-07</v>
      </c>
      <c r="AN130" s="167" t="str">
        <f>"grep -SE -B400 ""CHR.+\|PRM\|1\|D.+(SWITCH|SIGNAL).+UNKNOWN"" "&amp;search_path&amp;"\RTDC"&amp;B130&amp;"\*"&amp;B130&amp;"*"&amp;TEXT(AVERAGE(F130,I130)-utc_offset/24,"YYYYMMDD")&amp;"*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"%USERPROFILE%\AppData\Local\Temp\OnboardLogs"\RTDC4045\*4045*20170208* | grep -SE "(Enforcement Action)|(\[TIMEOUT)|(CHR.+\|PRM\|1\|D.+(SWITCH|SIGNAL).+UNKNOWN)" - &gt;&gt; 2017-02-07-UncaughtWiMAX.txt</v>
      </c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0" customFormat="1" x14ac:dyDescent="0.25">
      <c r="A131" s="33" t="s">
        <v>652</v>
      </c>
      <c r="B131" s="7">
        <v>4040</v>
      </c>
      <c r="C131" s="21" t="s">
        <v>193</v>
      </c>
      <c r="D131" s="21" t="s">
        <v>239</v>
      </c>
      <c r="E131" s="13">
        <v>42773.767500000002</v>
      </c>
      <c r="F131" s="13">
        <v>42773.771319444444</v>
      </c>
      <c r="G131" s="7">
        <v>1</v>
      </c>
      <c r="H131" s="21" t="s">
        <v>764</v>
      </c>
      <c r="I131" s="13">
        <v>42773.795798611114</v>
      </c>
      <c r="J131" s="7">
        <v>0</v>
      </c>
      <c r="K131" s="98" t="str">
        <f>IF(ISEVEN(B131),(B131-1)&amp;"/"&amp;B131,B131&amp;"/"&amp;(B131+1))</f>
        <v>4039/4040</v>
      </c>
      <c r="L131" s="21" t="str">
        <f>VLOOKUP(A131,'Trips&amp;Operators'!$C$1:$G$99999,5,FALSE)</f>
        <v>STAMBAUGH JAMES</v>
      </c>
      <c r="M131" s="6">
        <f>I131-F131</f>
        <v>2.4479166670062114E-2</v>
      </c>
      <c r="N131" s="7">
        <f>24*60*SUM($M131:$M131)</f>
        <v>35.250000004889444</v>
      </c>
      <c r="O131" s="7"/>
      <c r="P131" s="7"/>
      <c r="Q131" s="22"/>
      <c r="R131" s="22"/>
      <c r="S131" s="31">
        <f>SUM(U131:U131)/IF(AG131="EC",12,1)</f>
        <v>1</v>
      </c>
      <c r="T131" s="46" t="str">
        <f>IF(ISEVEN(LEFT(AD131,4)),"Southbound","NorthBound")</f>
        <v>NorthBound</v>
      </c>
      <c r="U131" s="190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191" t="str">
        <f>"https://d0f6bd738d7f1b3e5a7ca70fe4ff75f0.us-east-1.aws.found.io/app/kibana#/discover/Steve-Slow-Train-Analysis-(2080s-and-2083s)?_g="&amp;"(refreshInterval:(display:Off,pause:!f,section:0,value:0),time:(from:'"&amp;TEXT(E131-1/24,"yyyy-MM-DDThh:mm:ss")&amp;utc_offset&amp;"00"&amp;"',mode:absolute,to:'"&amp;TEXT(I131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131&amp;"%22')),sort:!(Time.ISO8601,asc))"</f>
        <v>https://d0f6bd738d7f1b3e5a7ca70fe4ff75f0.us-east-1.aws.found.io/app/kibana#/discover/Steve-Slow-Train-Analysis-(2080s-and-2083s)?_g=(refreshInterval:(display:Off,pause:!f,section:0,value:0),time:(from:'2017-02-07T17:25:12-0700',mode:absolute,to:'2017-02-07T20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1" s="192" t="str">
        <f>IF(AA131&lt;IF(AG131="EC",23,5.65),"Y","N")</f>
        <v>N</v>
      </c>
      <c r="X131" s="192">
        <f>VALUE(LEFT(AD131,4))-VALUE(LEFT(AD130,4))</f>
        <v>1</v>
      </c>
      <c r="Y131" s="62">
        <f>RIGHT(D131,LEN(D131)-4)/10000</f>
        <v>4.5699999999999998E-2</v>
      </c>
      <c r="Z131" s="62">
        <f>RIGHT(H131,LEN(H131)-4)/10000</f>
        <v>23.341699999999999</v>
      </c>
      <c r="AA131" s="62">
        <f>ABS(Z131-Y131)</f>
        <v>23.295999999999999</v>
      </c>
      <c r="AB131" s="59" t="e">
        <f>VLOOKUP(A131,Enforcements!$C$7:$K$14,8,0)</f>
        <v>#N/A</v>
      </c>
      <c r="AC131" s="55" t="e">
        <f>VLOOKUP(A131,Enforcements!$C$7:$E$14,3,0)</f>
        <v>#N/A</v>
      </c>
      <c r="AD131" s="56" t="str">
        <f>IF(LEN(A131)=6,"0"&amp;A131,A131)</f>
        <v>0219-07</v>
      </c>
      <c r="AE131" s="85" t="str">
        <f>"aws s3 cp "&amp;s3_bucket&amp;"/RTDC"&amp;B131&amp;"/ "&amp;search_path&amp;"\RTDC"&amp;B131&amp;"\"&amp;TEXT(F131,"YYYY-MM-DD")&amp;" --exclude ""*"" --recursive --include ""*"&amp;TEXT(F131,"YYYYMMDD")&amp;"*"" &amp; """&amp;walkandungz&amp;""" "&amp;search_path&amp;"\RTDC"&amp;B131&amp;"\"&amp;TEXT(F131,"YYYY-MM-DD")
&amp;" &amp; "&amp;"aws s3 cp "&amp;s3_bucket&amp;"/RTDC"&amp;B131&amp;"/ "&amp;search_path&amp;"\RTDC"&amp;B131&amp;"\"&amp;TEXT(F131+1,"YYYY-MM-DD")&amp;" --exclude ""*"" --recursive --include ""*"&amp;TEXT(F131+1,"YYYYMMDD")&amp;"*"" &amp; """&amp;walkandungz&amp;""" "&amp;search_path&amp;"\RTDC"&amp;B131&amp;"\"&amp;TEXT(F131+1,"YYYY-MM-DD")</f>
        <v>aws s3 cp s3://rtdc.mdm.uploadarchive.raw/RTDC4040/ "%USERPROFILE%\AppData\Local\Temp\OnboardLogs"\RTDC4040\2017-02-07 --exclude "*" --recursive --include "*20170207*" &amp; "%USERPROFILE%\Documents\GitHub\mrs-test-scripts\Headless Mode &amp; Sideloading\WalkAndUnGZ.bat" "%USERPROFILE%\AppData\Local\Temp\OnboardLogs"\RTDC4040\2017-02-07 &amp; aws s3 cp s3://rtdc.mdm.uploadarchive.raw/RTDC4040/ "%USERPROFILE%\AppData\Local\Temp\OnboardLogs"\RTDC4040\2017-02-08 --exclude "*" --recursive --include "*20170208*" &amp; "%USERPROFILE%\Documents\GitHub\mrs-test-scripts\Headless Mode &amp; Sideloading\WalkAndUnGZ.bat" "%USERPROFILE%\AppData\Local\Temp\OnboardLogs"\RTDC4040\2017-02-08</v>
      </c>
      <c r="AF131" s="82" t="str">
        <f>astrogrep_path&amp;" /spath="&amp;search_path&amp;" /stypes=""app*"&amp;B131&amp;"*"&amp;TEXT(I131-utc_offset/24,"YYYYMMDD")&amp;"*"" /stext="" "&amp;TEXT(I131-utc_offset/24,"HH")&amp;search_regexp&amp;""" /e /r /s"</f>
        <v>"C:\Program Files (x86)\AstroGrep\AstroGrep.exe" /spath="%USERPROFILE%\AppData\Local\Temp\OnboardLogs" /stypes="app*4040*20170208*" /stext=" 02:.+((SYSTEM_STATE.+slice.+state.+changed )|(ment ac)|(multiple cpu faults)|(system.+state.+changed )|(\[timeout)|(PRM\|1\|D)|(kpr)|(kdp)|(\|lc)|(penalty))" /e /r /s</v>
      </c>
      <c r="AG131" s="1" t="str">
        <f>IFERROR(IF(VALUE(LEFT(AD131,2))&lt;=2,"EC",IF(OR(VALUE(LEFT(AD131,2))=8,VALUE(LEFT(AD131,2))=18),"NW","Other")),"Other")</f>
        <v>EC</v>
      </c>
      <c r="AH131" s="86" t="str">
        <f t="shared" si="6"/>
        <v>"%USERPROFILE%\Documents\GitHub\eaglep3\Utilities\RefineRTDCRunTimes.py" --tripid 219-07 --locoid 4040 --swversion DE.1.0.8.0 --startMP 204:457 --initTime 2017-02-07T18:25:12 --startdatetime 2017-02-07T18:30:42 --delay 1 --endMP 204:233417 --enddatetime 2017-02-07T19:05:57 --enforcementcount 0 &gt;&gt;C:\Users\stu\Documents\GitHub\eaglep3-reporting\EC\2017-02-07-refined-times.txt</v>
      </c>
      <c r="AI131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{"issue":{"subject":"","project_id":79,"tracker_id":40,"status_id":1,"priority_id":2,"assigned_to_id":23,"start_date":"2017-02-07","description":"","custom_fields":[{"id":1,"name":"Subdivision","value":"EC"},{"id":4,"name":"Milepost","value":"23.3417"},{"id":17,"name":"Train ID","value":"219-07"},{"id":16,"name":"Locomotive ID","value":"4040"},{"id":130,"name":"Impact","value":""},{"id":150,"name":"Time of Event (Mountain Time)","value":"19:05:57"},{"id":151,"name":"Denver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48"/>
      <c r="AK131" s="48"/>
      <c r="AL131" s="48"/>
      <c r="AM131" s="158" t="str">
        <f t="shared" si="8"/>
        <v>start /low /b %USERPROFILE%\Documents\GitHub\eaglep3\Utilities\DownloadLogsFromS3.py --loco 4040 --day 2017-02-07</v>
      </c>
      <c r="AN131" s="167" t="str">
        <f>"grep -SE -B400 ""CHR.+\|PRM\|1\|D.+(SWITCH|SIGNAL).+UNKNOWN"" "&amp;search_path&amp;"\RTDC"&amp;B131&amp;"\*"&amp;B131&amp;"*"&amp;TEXT(AVERAGE(F131,I131)-utc_offset/24,"YYYYMMDD")&amp;"*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"%USERPROFILE%\AppData\Local\Temp\OnboardLogs"\RTDC4040\*4040*20170208* | grep -SE "(Enforcement Action)|(\[TIMEOUT)|(CHR.+\|PRM\|1\|D.+(SWITCH|SIGNAL).+UNKNOWN)" - &gt;&gt; 2017-02-07-UncaughtWiMAX.txt</v>
      </c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0" customFormat="1" x14ac:dyDescent="0.25">
      <c r="A132" s="33" t="s">
        <v>663</v>
      </c>
      <c r="B132" s="7">
        <v>4039</v>
      </c>
      <c r="C132" s="21" t="s">
        <v>193</v>
      </c>
      <c r="D132" s="21" t="s">
        <v>765</v>
      </c>
      <c r="E132" s="13">
        <v>42773.798877314817</v>
      </c>
      <c r="F132" s="13">
        <v>42773.810381944444</v>
      </c>
      <c r="G132" s="7">
        <v>1</v>
      </c>
      <c r="H132" s="21" t="s">
        <v>418</v>
      </c>
      <c r="I132" s="13">
        <v>42773.835740740738</v>
      </c>
      <c r="J132" s="7">
        <v>0</v>
      </c>
      <c r="K132" s="98" t="str">
        <f>IF(ISEVEN(B132),(B132-1)&amp;"/"&amp;B132,B132&amp;"/"&amp;(B132+1))</f>
        <v>4039/4040</v>
      </c>
      <c r="L132" s="21" t="str">
        <f>VLOOKUP(A132,'Trips&amp;Operators'!$C$1:$G$99999,5,FALSE)</f>
        <v>STAMBAUGH JAMES</v>
      </c>
      <c r="M132" s="6">
        <f>I132-F132</f>
        <v>2.5358796294312924E-2</v>
      </c>
      <c r="N132" s="7">
        <f>24*60*SUM($M132:$M132)</f>
        <v>36.516666663810611</v>
      </c>
      <c r="O132" s="7"/>
      <c r="P132" s="7"/>
      <c r="Q132" s="22"/>
      <c r="R132" s="22"/>
      <c r="S132" s="31">
        <f>SUM(U132:U132)/IF(AG132="EC",12,1)</f>
        <v>1</v>
      </c>
      <c r="T132" s="46" t="str">
        <f>IF(ISEVEN(LEFT(AD132,4)),"Southbound","NorthBound")</f>
        <v>Southbound</v>
      </c>
      <c r="U132" s="190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191" t="str">
        <f>"https://d0f6bd738d7f1b3e5a7ca70fe4ff75f0.us-east-1.aws.found.io/app/kibana#/discover/Steve-Slow-Train-Analysis-(2080s-and-2083s)?_g="&amp;"(refreshInterval:(display:Off,pause:!f,section:0,value:0),time:(from:'"&amp;TEXT(E132-1/24,"yyyy-MM-DDThh:mm:ss")&amp;utc_offset&amp;"00"&amp;"',mode:absolute,to:'"&amp;TEXT(I132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132&amp;"%22')),sort:!(Time.ISO8601,asc))"</f>
        <v>https://d0f6bd738d7f1b3e5a7ca70fe4ff75f0.us-east-1.aws.found.io/app/kibana#/discover/Steve-Slow-Train-Analysis-(2080s-and-2083s)?_g=(refreshInterval:(display:Off,pause:!f,section:0,value:0),time:(from:'2017-02-07T18:10:23-0700',mode:absolute,to:'2017-02-07T21:03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32" s="192" t="str">
        <f>IF(AA132&lt;IF(AG132="EC",23,5.65),"Y","N")</f>
        <v>N</v>
      </c>
      <c r="X132" s="192">
        <f>VALUE(LEFT(AD132,4))-VALUE(LEFT(AD131,4))</f>
        <v>1</v>
      </c>
      <c r="Y132" s="62">
        <f>RIGHT(D132,LEN(D132)-4)/10000</f>
        <v>23.308299999999999</v>
      </c>
      <c r="Z132" s="62">
        <f>RIGHT(H132,LEN(H132)-4)/10000</f>
        <v>1.41E-2</v>
      </c>
      <c r="AA132" s="62">
        <f>ABS(Z132-Y132)</f>
        <v>23.2942</v>
      </c>
      <c r="AB132" s="59" t="e">
        <f>VLOOKUP(A132,Enforcements!$C$7:$K$14,8,0)</f>
        <v>#N/A</v>
      </c>
      <c r="AC132" s="55" t="e">
        <f>VLOOKUP(A132,Enforcements!$C$7:$E$14,3,0)</f>
        <v>#N/A</v>
      </c>
      <c r="AD132" s="56" t="str">
        <f>IF(LEN(A132)=6,"0"&amp;A132,A132)</f>
        <v>0220-07</v>
      </c>
      <c r="AE132" s="85" t="str">
        <f>"aws s3 cp "&amp;s3_bucket&amp;"/RTDC"&amp;B132&amp;"/ "&amp;search_path&amp;"\RTDC"&amp;B132&amp;"\"&amp;TEXT(F132,"YYYY-MM-DD")&amp;" --exclude ""*"" --recursive --include ""*"&amp;TEXT(F132,"YYYYMMDD")&amp;"*"" &amp; """&amp;walkandungz&amp;""" "&amp;search_path&amp;"\RTDC"&amp;B132&amp;"\"&amp;TEXT(F132,"YYYY-MM-DD")
&amp;" &amp; "&amp;"aws s3 cp "&amp;s3_bucket&amp;"/RTDC"&amp;B132&amp;"/ "&amp;search_path&amp;"\RTDC"&amp;B132&amp;"\"&amp;TEXT(F132+1,"YYYY-MM-DD")&amp;" --exclude ""*"" --recursive --include ""*"&amp;TEXT(F132+1,"YYYYMMDD")&amp;"*"" &amp; """&amp;walkandungz&amp;""" "&amp;search_path&amp;"\RTDC"&amp;B132&amp;"\"&amp;TEXT(F132+1,"YYYY-MM-DD")</f>
        <v>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 &amp; aws s3 cp s3://rtdc.mdm.uploadarchive.raw/RTDC4039/ "%USERPROFILE%\AppData\Local\Temp\OnboardLogs"\RTDC4039\2017-02-08 --exclude "*" --recursive --include "*20170208*" &amp; "%USERPROFILE%\Documents\GitHub\mrs-test-scripts\Headless Mode &amp; Sideloading\WalkAndUnGZ.bat" "%USERPROFILE%\AppData\Local\Temp\OnboardLogs"\RTDC4039\2017-02-08</v>
      </c>
      <c r="AF132" s="82" t="str">
        <f>astrogrep_path&amp;" /spath="&amp;search_path&amp;" /stypes=""app*"&amp;B132&amp;"*"&amp;TEXT(I132-utc_offset/24,"YYYYMMDD")&amp;"*"" /stext="" "&amp;TEXT(I132-utc_offset/24,"HH")&amp;search_regexp&amp;""" /e /r /s"</f>
        <v>"C:\Program Files (x86)\AstroGrep\AstroGrep.exe" /spath="%USERPROFILE%\AppData\Local\Temp\OnboardLogs" /stypes="app*4039*20170208*" /stext=" 03:.+((SYSTEM_STATE.+slice.+state.+changed )|(ment ac)|(multiple cpu faults)|(system.+state.+changed )|(\[timeout)|(PRM\|1\|D)|(kpr)|(kdp)|(\|lc)|(penalty))" /e /r /s</v>
      </c>
      <c r="AG132" s="1" t="str">
        <f>IFERROR(IF(VALUE(LEFT(AD132,2))&lt;=2,"EC",IF(OR(VALUE(LEFT(AD132,2))=8,VALUE(LEFT(AD132,2))=18),"NW","Other")),"Other")</f>
        <v>EC</v>
      </c>
      <c r="AH132" s="86" t="str">
        <f t="shared" si="6"/>
        <v>"%USERPROFILE%\Documents\GitHub\eaglep3\Utilities\RefineRTDCRunTimes.py" --tripid 220-07 --locoid 4039 --swversion DE.1.0.8.0 --startMP 204:233083 --initTime 2017-02-07T19:10:23 --startdatetime 2017-02-07T19:26:57 --delay 1 --endMP 204:141 --enddatetime 2017-02-07T20:03:28 --enforcementcount 0 &gt;&gt;C:\Users\stu\Documents\GitHub\eaglep3-reporting\EC\2017-02-07-refined-times.txt</v>
      </c>
      <c r="AI132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{"issue":{"subject":"","project_id":79,"tracker_id":40,"status_id":1,"priority_id":2,"assigned_to_id":23,"start_date":"2017-02-07","description":"","custom_fields":[{"id":1,"name":"Subdivision","value":"EC"},{"id":4,"name":"Milepost","value":"0.0141"},{"id":17,"name":"Train ID","value":"220-07"},{"id":16,"name":"Locomotive ID","value":"4039"},{"id":130,"name":"Impact","value":""},{"id":150,"name":"Time of Event (Mountain Time)","value":"20:03:28"},{"id":151,"name":"Denver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48"/>
      <c r="AK132" s="48"/>
      <c r="AL132" s="48"/>
      <c r="AM132" s="158" t="str">
        <f t="shared" si="8"/>
        <v>start /low /b %USERPROFILE%\Documents\GitHub\eaglep3\Utilities\DownloadLogsFromS3.py --loco 4039 --day 2017-02-07</v>
      </c>
      <c r="AN132" s="167" t="str">
        <f>"grep -SE -B400 ""CHR.+\|PRM\|1\|D.+(SWITCH|SIGNAL).+UNKNOWN"" "&amp;search_path&amp;"\RTDC"&amp;B132&amp;"\*"&amp;B132&amp;"*"&amp;TEXT(AVERAGE(F132,I132)-utc_offset/24,"YYYYMMDD")&amp;"*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"%USERPROFILE%\AppData\Local\Temp\OnboardLogs"\RTDC4039\*4039*20170208* | grep -SE "(Enforcement Action)|(\[TIMEOUT)|(CHR.+\|PRM\|1\|D.+(SWITCH|SIGNAL).+UNKNOWN)" - &gt;&gt; 2017-02-07-UncaughtWiMAX.txt</v>
      </c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0" customFormat="1" x14ac:dyDescent="0.25">
      <c r="A133" s="33" t="s">
        <v>661</v>
      </c>
      <c r="B133" s="7">
        <v>4016</v>
      </c>
      <c r="C133" s="21" t="s">
        <v>193</v>
      </c>
      <c r="D133" s="21" t="s">
        <v>766</v>
      </c>
      <c r="E133" s="13">
        <v>42773.790856481479</v>
      </c>
      <c r="F133" s="13">
        <v>42773.791990740741</v>
      </c>
      <c r="G133" s="7">
        <v>1</v>
      </c>
      <c r="H133" s="21" t="s">
        <v>430</v>
      </c>
      <c r="I133" s="13">
        <v>42773.81753472222</v>
      </c>
      <c r="J133" s="7">
        <v>0</v>
      </c>
      <c r="K133" s="98" t="str">
        <f>IF(ISEVEN(B133),(B133-1)&amp;"/"&amp;B133,B133&amp;"/"&amp;(B133+1))</f>
        <v>4015/4016</v>
      </c>
      <c r="L133" s="21" t="str">
        <f>VLOOKUP(A133,'Trips&amp;Operators'!$C$1:$G$99999,5,FALSE)</f>
        <v>CHANDLER KELVIN</v>
      </c>
      <c r="M133" s="6">
        <f>I133-F133</f>
        <v>2.5543981479131617E-2</v>
      </c>
      <c r="N133" s="7">
        <f>24*60*SUM($M133:$M133)</f>
        <v>36.783333329949528</v>
      </c>
      <c r="O133" s="7"/>
      <c r="P133" s="7"/>
      <c r="Q133" s="22"/>
      <c r="R133" s="22"/>
      <c r="S133" s="31">
        <f>SUM(U133:U133)/IF(AG133="EC",12,1)</f>
        <v>1</v>
      </c>
      <c r="T133" s="46" t="str">
        <f>IF(ISEVEN(LEFT(AD133,4)),"Southbound","NorthBound")</f>
        <v>NorthBound</v>
      </c>
      <c r="U133" s="190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191" t="str">
        <f>"https://d0f6bd738d7f1b3e5a7ca70fe4ff75f0.us-east-1.aws.found.io/app/kibana#/discover/Steve-Slow-Train-Analysis-(2080s-and-2083s)?_g="&amp;"(refreshInterval:(display:Off,pause:!f,section:0,value:0),time:(from:'"&amp;TEXT(E133-1/24,"yyyy-MM-DDThh:mm:ss")&amp;utc_offset&amp;"00"&amp;"',mode:absolute,to:'"&amp;TEXT(I133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133&amp;"%22')),sort:!(Time.ISO8601,asc))"</f>
        <v>https://d0f6bd738d7f1b3e5a7ca70fe4ff75f0.us-east-1.aws.found.io/app/kibana#/discover/Steve-Slow-Train-Analysis-(2080s-and-2083s)?_g=(refreshInterval:(display:Off,pause:!f,section:0,value:0),time:(from:'2017-02-07T17:58:50-0700',mode:absolute,to:'2017-02-07T20:37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33" s="192" t="str">
        <f>IF(AA133&lt;IF(AG133="EC",23,5.65),"Y","N")</f>
        <v>N</v>
      </c>
      <c r="X133" s="192">
        <f>VALUE(LEFT(AD133,4))-VALUE(LEFT(AD132,4))</f>
        <v>1</v>
      </c>
      <c r="Y133" s="62">
        <f>RIGHT(D133,LEN(D133)-4)/10000</f>
        <v>0.1203</v>
      </c>
      <c r="Z133" s="62">
        <f>RIGHT(H133,LEN(H133)-4)/10000</f>
        <v>23.328700000000001</v>
      </c>
      <c r="AA133" s="62">
        <f>ABS(Z133-Y133)</f>
        <v>23.208400000000001</v>
      </c>
      <c r="AB133" s="59" t="e">
        <f>VLOOKUP(A133,Enforcements!$C$7:$K$14,8,0)</f>
        <v>#N/A</v>
      </c>
      <c r="AC133" s="55" t="e">
        <f>VLOOKUP(A133,Enforcements!$C$7:$E$14,3,0)</f>
        <v>#N/A</v>
      </c>
      <c r="AD133" s="56" t="str">
        <f>IF(LEN(A133)=6,"0"&amp;A133,A133)</f>
        <v>0221-07</v>
      </c>
      <c r="AE133" s="85" t="str">
        <f>"aws s3 cp "&amp;s3_bucket&amp;"/RTDC"&amp;B133&amp;"/ "&amp;search_path&amp;"\RTDC"&amp;B133&amp;"\"&amp;TEXT(F133,"YYYY-MM-DD")&amp;" --exclude ""*"" --recursive --include ""*"&amp;TEXT(F133,"YYYYMMDD")&amp;"*"" &amp; """&amp;walkandungz&amp;""" "&amp;search_path&amp;"\RTDC"&amp;B133&amp;"\"&amp;TEXT(F133,"YYYY-MM-DD")
&amp;" &amp; "&amp;"aws s3 cp "&amp;s3_bucket&amp;"/RTDC"&amp;B133&amp;"/ "&amp;search_path&amp;"\RTDC"&amp;B133&amp;"\"&amp;TEXT(F133+1,"YYYY-MM-DD")&amp;" --exclude ""*"" --recursive --include ""*"&amp;TEXT(F133+1,"YYYYMMDD")&amp;"*"" &amp; """&amp;walkandungz&amp;""" "&amp;search_path&amp;"\RTDC"&amp;B133&amp;"\"&amp;TEXT(F133+1,"YYYY-MM-DD")</f>
        <v>aws s3 cp s3://rtdc.mdm.uploadarchive.raw/RTDC4016/ "%USERPROFILE%\AppData\Local\Temp\OnboardLogs"\RTDC4016\2017-02-07 --exclude "*" --recursive --include "*20170207*" &amp; "%USERPROFILE%\Documents\GitHub\mrs-test-scripts\Headless Mode &amp; Sideloading\WalkAndUnGZ.bat" "%USERPROFILE%\AppData\Local\Temp\OnboardLogs"\RTDC4016\2017-02-07 &amp; aws s3 cp s3://rtdc.mdm.uploadarchive.raw/RTDC4016/ "%USERPROFILE%\AppData\Local\Temp\OnboardLogs"\RTDC4016\2017-02-08 --exclude "*" --recursive --include "*20170208*" &amp; "%USERPROFILE%\Documents\GitHub\mrs-test-scripts\Headless Mode &amp; Sideloading\WalkAndUnGZ.bat" "%USERPROFILE%\AppData\Local\Temp\OnboardLogs"\RTDC4016\2017-02-08</v>
      </c>
      <c r="AF133" s="82" t="str">
        <f>astrogrep_path&amp;" /spath="&amp;search_path&amp;" /stypes=""app*"&amp;B133&amp;"*"&amp;TEXT(I133-utc_offset/24,"YYYYMMDD")&amp;"*"" /stext="" "&amp;TEXT(I133-utc_offset/24,"HH")&amp;search_regexp&amp;""" /e /r /s"</f>
        <v>"C:\Program Files (x86)\AstroGrep\AstroGrep.exe" /spath="%USERPROFILE%\AppData\Local\Temp\OnboardLogs" /stypes="app*4016*20170208*" /stext=" 02:.+((SYSTEM_STATE.+slice.+state.+changed )|(ment ac)|(multiple cpu faults)|(system.+state.+changed )|(\[timeout)|(PRM\|1\|D)|(kpr)|(kdp)|(\|lc)|(penalty))" /e /r /s</v>
      </c>
      <c r="AG133" s="1" t="str">
        <f>IFERROR(IF(VALUE(LEFT(AD133,2))&lt;=2,"EC",IF(OR(VALUE(LEFT(AD133,2))=8,VALUE(LEFT(AD133,2))=18),"NW","Other")),"Other")</f>
        <v>EC</v>
      </c>
      <c r="AH133" s="86" t="str">
        <f t="shared" si="6"/>
        <v>"%USERPROFILE%\Documents\GitHub\eaglep3\Utilities\RefineRTDCRunTimes.py" --tripid 221-07 --locoid 4016 --swversion DE.1.0.8.0 --startMP 204:1203 --initTime 2017-02-07T18:58:50 --startdatetime 2017-02-07T19:00:28 --delay 1 --endMP 204:233287 --enddatetime 2017-02-07T19:37:15 --enforcementcount 0 &gt;&gt;C:\Users\stu\Documents\GitHub\eaglep3-reporting\EC\2017-02-07-refined-times.txt</v>
      </c>
      <c r="AI133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{"issue":{"subject":"","project_id":79,"tracker_id":40,"status_id":1,"priority_id":2,"assigned_to_id":23,"start_date":"2017-02-07","description":"","custom_fields":[{"id":1,"name":"Subdivision","value":"EC"},{"id":4,"name":"Milepost","value":"23.3287"},{"id":17,"name":"Train ID","value":"221-07"},{"id":16,"name":"Locomotive ID","value":"4016"},{"id":130,"name":"Impact","value":""},{"id":150,"name":"Time of Event (Mountain Time)","value":"19:37:15"},{"id":151,"name":"Denver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48"/>
      <c r="AK133" s="48"/>
      <c r="AL133" s="48"/>
      <c r="AM133" s="158" t="str">
        <f t="shared" si="8"/>
        <v>start /low /b %USERPROFILE%\Documents\GitHub\eaglep3\Utilities\DownloadLogsFromS3.py --loco 4016 --day 2017-02-07</v>
      </c>
      <c r="AN133" s="167" t="str">
        <f>"grep -SE -B400 ""CHR.+\|PRM\|1\|D.+(SWITCH|SIGNAL).+UNKNOWN"" "&amp;search_path&amp;"\RTDC"&amp;B133&amp;"\*"&amp;B133&amp;"*"&amp;TEXT(AVERAGE(F133,I133)-utc_offset/24,"YYYYMMDD")&amp;"*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"%USERPROFILE%\AppData\Local\Temp\OnboardLogs"\RTDC4016\*4016*20170208* | grep -SE "(Enforcement Action)|(\[TIMEOUT)|(CHR.+\|PRM\|1\|D.+(SWITCH|SIGNAL).+UNKNOWN)" - &gt;&gt; 2017-02-07-UncaughtWiMAX.txt</v>
      </c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0" customFormat="1" x14ac:dyDescent="0.25">
      <c r="A134" s="33" t="s">
        <v>668</v>
      </c>
      <c r="B134" s="7">
        <v>4015</v>
      </c>
      <c r="C134" s="21" t="s">
        <v>193</v>
      </c>
      <c r="D134" s="21" t="s">
        <v>305</v>
      </c>
      <c r="E134" s="13">
        <v>42773.827048611114</v>
      </c>
      <c r="F134" s="13">
        <v>42773.830810185187</v>
      </c>
      <c r="G134" s="7">
        <v>2</v>
      </c>
      <c r="H134" s="21" t="s">
        <v>224</v>
      </c>
      <c r="I134" s="13">
        <v>42773.858275462961</v>
      </c>
      <c r="J134" s="7">
        <v>0</v>
      </c>
      <c r="K134" s="98" t="str">
        <f>IF(ISEVEN(B134),(B134-1)&amp;"/"&amp;B134,B134&amp;"/"&amp;(B134+1))</f>
        <v>4015/4016</v>
      </c>
      <c r="L134" s="21" t="str">
        <f>VLOOKUP(A134,'Trips&amp;Operators'!$C$1:$G$99999,5,FALSE)</f>
        <v>CHANDLER KELVIN</v>
      </c>
      <c r="M134" s="6">
        <f>I134-F134</f>
        <v>2.7465277773444541E-2</v>
      </c>
      <c r="N134" s="7">
        <f>24*60*SUM($M134:$M134)</f>
        <v>39.549999993760139</v>
      </c>
      <c r="O134" s="7"/>
      <c r="P134" s="7"/>
      <c r="Q134" s="22"/>
      <c r="R134" s="22"/>
      <c r="S134" s="31">
        <f>SUM(U134:U134)/IF(AG134="EC",12,1)</f>
        <v>1</v>
      </c>
      <c r="T134" s="46" t="str">
        <f>IF(ISEVEN(LEFT(AD134,4)),"Southbound","NorthBound")</f>
        <v>Southbound</v>
      </c>
      <c r="U134" s="190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191" t="str">
        <f>"https://d0f6bd738d7f1b3e5a7ca70fe4ff75f0.us-east-1.aws.found.io/app/kibana#/discover/Steve-Slow-Train-Analysis-(2080s-and-2083s)?_g="&amp;"(refreshInterval:(display:Off,pause:!f,section:0,value:0),time:(from:'"&amp;TEXT(E134-1/24,"yyyy-MM-DDThh:mm:ss")&amp;utc_offset&amp;"00"&amp;"',mode:absolute,to:'"&amp;TEXT(I134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134&amp;"%22')),sort:!(Time.ISO8601,asc))"</f>
        <v>https://d0f6bd738d7f1b3e5a7ca70fe4ff75f0.us-east-1.aws.found.io/app/kibana#/discover/Steve-Slow-Train-Analysis-(2080s-and-2083s)?_g=(refreshInterval:(display:Off,pause:!f,section:0,value:0),time:(from:'2017-02-07T18:50:57-0700',mode:absolute,to:'2017-02-07T21:35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34" s="192" t="str">
        <f>IF(AA134&lt;IF(AG134="EC",23,5.65),"Y","N")</f>
        <v>N</v>
      </c>
      <c r="X134" s="192">
        <f>VALUE(LEFT(AD134,4))-VALUE(LEFT(AD133,4))</f>
        <v>1</v>
      </c>
      <c r="Y134" s="62">
        <f>RIGHT(D134,LEN(D134)-4)/10000</f>
        <v>23.297899999999998</v>
      </c>
      <c r="Z134" s="62">
        <f>RIGHT(H134,LEN(H134)-4)/10000</f>
        <v>1.54E-2</v>
      </c>
      <c r="AA134" s="62">
        <f>ABS(Z134-Y134)</f>
        <v>23.282499999999999</v>
      </c>
      <c r="AB134" s="59" t="e">
        <f>VLOOKUP(A134,Enforcements!$C$7:$K$14,8,0)</f>
        <v>#N/A</v>
      </c>
      <c r="AC134" s="55" t="e">
        <f>VLOOKUP(A134,Enforcements!$C$7:$E$14,3,0)</f>
        <v>#N/A</v>
      </c>
      <c r="AD134" s="56" t="str">
        <f>IF(LEN(A134)=6,"0"&amp;A134,A134)</f>
        <v>0222-07</v>
      </c>
      <c r="AE134" s="85" t="str">
        <f>"aws s3 cp "&amp;s3_bucket&amp;"/RTDC"&amp;B134&amp;"/ "&amp;search_path&amp;"\RTDC"&amp;B134&amp;"\"&amp;TEXT(F134,"YYYY-MM-DD")&amp;" --exclude ""*"" --recursive --include ""*"&amp;TEXT(F134,"YYYYMMDD")&amp;"*"" &amp; """&amp;walkandungz&amp;""" "&amp;search_path&amp;"\RTDC"&amp;B134&amp;"\"&amp;TEXT(F134,"YYYY-MM-DD")
&amp;" &amp; "&amp;"aws s3 cp "&amp;s3_bucket&amp;"/RTDC"&amp;B134&amp;"/ "&amp;search_path&amp;"\RTDC"&amp;B134&amp;"\"&amp;TEXT(F134+1,"YYYY-MM-DD")&amp;" --exclude ""*"" --recursive --include ""*"&amp;TEXT(F134+1,"YYYYMMDD")&amp;"*"" &amp; """&amp;walkandungz&amp;""" "&amp;search_path&amp;"\RTDC"&amp;B134&amp;"\"&amp;TEXT(F134+1,"YYYY-MM-DD")</f>
        <v>aws s3 cp s3://rtdc.mdm.uploadarchive.raw/RTDC4015/ "%USERPROFILE%\AppData\Local\Temp\OnboardLogs"\RTDC4015\2017-02-07 --exclude "*" --recursive --include "*20170207*" &amp; "%USERPROFILE%\Documents\GitHub\mrs-test-scripts\Headless Mode &amp; Sideloading\WalkAndUnGZ.bat" "%USERPROFILE%\AppData\Local\Temp\OnboardLogs"\RTDC4015\2017-02-07 &amp; aws s3 cp s3://rtdc.mdm.uploadarchive.raw/RTDC4015/ "%USERPROFILE%\AppData\Local\Temp\OnboardLogs"\RTDC4015\2017-02-08 --exclude "*" --recursive --include "*20170208*" &amp; "%USERPROFILE%\Documents\GitHub\mrs-test-scripts\Headless Mode &amp; Sideloading\WalkAndUnGZ.bat" "%USERPROFILE%\AppData\Local\Temp\OnboardLogs"\RTDC4015\2017-02-08</v>
      </c>
      <c r="AF134" s="82" t="str">
        <f>astrogrep_path&amp;" /spath="&amp;search_path&amp;" /stypes=""app*"&amp;B134&amp;"*"&amp;TEXT(I134-utc_offset/24,"YYYYMMDD")&amp;"*"" /stext="" "&amp;TEXT(I134-utc_offset/24,"HH")&amp;search_regexp&amp;""" /e /r /s"</f>
        <v>"C:\Program Files (x86)\AstroGrep\AstroGrep.exe" /spath="%USERPROFILE%\AppData\Local\Temp\OnboardLogs" /stypes="app*4015*20170208*" /stext=" 03:.+((SYSTEM_STATE.+slice.+state.+changed )|(ment ac)|(multiple cpu faults)|(system.+state.+changed )|(\[timeout)|(PRM\|1\|D)|(kpr)|(kdp)|(\|lc)|(penalty))" /e /r /s</v>
      </c>
      <c r="AG134" s="1" t="str">
        <f>IFERROR(IF(VALUE(LEFT(AD134,2))&lt;=2,"EC",IF(OR(VALUE(LEFT(AD134,2))=8,VALUE(LEFT(AD134,2))=18),"NW","Other")),"Other")</f>
        <v>EC</v>
      </c>
      <c r="AH134" s="86" t="str">
        <f t="shared" si="6"/>
        <v>"%USERPROFILE%\Documents\GitHub\eaglep3\Utilities\RefineRTDCRunTimes.py" --tripid 222-07 --locoid 4015 --swversion DE.1.0.8.0 --startMP 204:232979 --initTime 2017-02-07T19:50:57 --startdatetime 2017-02-07T19:56:22 --delay 2 --endMP 204:154 --enddatetime 2017-02-07T20:35:55 --enforcementcount 0 &gt;&gt;C:\Users\stu\Documents\GitHub\eaglep3-reporting\EC\2017-02-07-refined-times.txt</v>
      </c>
      <c r="AI134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{"issue":{"subject":"","project_id":79,"tracker_id":40,"status_id":1,"priority_id":2,"assigned_to_id":23,"start_date":"2017-02-07","description":"","custom_fields":[{"id":1,"name":"Subdivision","value":"EC"},{"id":4,"name":"Milepost","value":"0.0154"},{"id":17,"name":"Train ID","value":"222-07"},{"id":16,"name":"Locomotive ID","value":"4015"},{"id":130,"name":"Impact","value":""},{"id":150,"name":"Time of Event (Mountain Time)","value":"20:35:55"},{"id":151,"name":"Denver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48"/>
      <c r="AK134" s="48"/>
      <c r="AL134" s="48"/>
      <c r="AM134" s="158" t="str">
        <f t="shared" si="8"/>
        <v>start /low /b %USERPROFILE%\Documents\GitHub\eaglep3\Utilities\DownloadLogsFromS3.py --loco 4015 --day 2017-02-07</v>
      </c>
      <c r="AN134" s="167" t="str">
        <f>"grep -SE -B400 ""CHR.+\|PRM\|1\|D.+(SWITCH|SIGNAL).+UNKNOWN"" "&amp;search_path&amp;"\RTDC"&amp;B134&amp;"\*"&amp;B134&amp;"*"&amp;TEXT(AVERAGE(F134,I134)-utc_offset/24,"YYYYMMDD")&amp;"*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"%USERPROFILE%\AppData\Local\Temp\OnboardLogs"\RTDC4015\*4015*20170208* | grep -SE "(Enforcement Action)|(\[TIMEOUT)|(CHR.+\|PRM\|1\|D.+(SWITCH|SIGNAL).+UNKNOWN)" - &gt;&gt; 2017-02-07-UncaughtWiMAX.txt</v>
      </c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0" customFormat="1" x14ac:dyDescent="0.25">
      <c r="A135" s="33" t="s">
        <v>666</v>
      </c>
      <c r="B135" s="7">
        <v>4031</v>
      </c>
      <c r="C135" s="21" t="s">
        <v>193</v>
      </c>
      <c r="D135" s="21" t="s">
        <v>288</v>
      </c>
      <c r="E135" s="13">
        <v>42773.807928240742</v>
      </c>
      <c r="F135" s="13">
        <v>42773.812789351854</v>
      </c>
      <c r="G135" s="7">
        <v>1</v>
      </c>
      <c r="H135" s="21" t="s">
        <v>389</v>
      </c>
      <c r="I135" s="13">
        <v>42773.838252314818</v>
      </c>
      <c r="J135" s="7">
        <v>0</v>
      </c>
      <c r="K135" s="98" t="str">
        <f>IF(ISEVEN(B135),(B135-1)&amp;"/"&amp;B135,B135&amp;"/"&amp;(B135+1))</f>
        <v>4031/4032</v>
      </c>
      <c r="L135" s="21" t="str">
        <f>VLOOKUP(A135,'Trips&amp;Operators'!$C$1:$G$99999,5,FALSE)</f>
        <v>SAFIEF AEIMEN</v>
      </c>
      <c r="M135" s="6">
        <f>I135-F135</f>
        <v>2.5462962963501923E-2</v>
      </c>
      <c r="N135" s="7">
        <f>24*60*SUM($M135:$M135)</f>
        <v>36.666666667442769</v>
      </c>
      <c r="O135" s="7"/>
      <c r="P135" s="7"/>
      <c r="Q135" s="22"/>
      <c r="R135" s="22"/>
      <c r="S135" s="31">
        <f>SUM(U135:U135)/IF(AG135="EC",12,1)</f>
        <v>1</v>
      </c>
      <c r="T135" s="46" t="str">
        <f>IF(ISEVEN(LEFT(AD135,4)),"Southbound","NorthBound")</f>
        <v>NorthBound</v>
      </c>
      <c r="U135" s="190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191" t="str">
        <f>"https://d0f6bd738d7f1b3e5a7ca70fe4ff75f0.us-east-1.aws.found.io/app/kibana#/discover/Steve-Slow-Train-Analysis-(2080s-and-2083s)?_g="&amp;"(refreshInterval:(display:Off,pause:!f,section:0,value:0),time:(from:'"&amp;TEXT(E135-1/24,"yyyy-MM-DDThh:mm:ss")&amp;utc_offset&amp;"00"&amp;"',mode:absolute,to:'"&amp;TEXT(I135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135&amp;"%22')),sort:!(Time.ISO8601,asc))"</f>
        <v>https://d0f6bd738d7f1b3e5a7ca70fe4ff75f0.us-east-1.aws.found.io/app/kibana#/discover/Steve-Slow-Train-Analysis-(2080s-and-2083s)?_g=(refreshInterval:(display:Off,pause:!f,section:0,value:0),time:(from:'2017-02-07T18:23:25-0700',mode:absolute,to:'2017-02-07T21:07:05-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35" s="192" t="str">
        <f>IF(AA135&lt;IF(AG135="EC",23,5.65),"Y","N")</f>
        <v>N</v>
      </c>
      <c r="X135" s="192">
        <f>VALUE(LEFT(AD135,4))-VALUE(LEFT(AD134,4))</f>
        <v>1</v>
      </c>
      <c r="Y135" s="62">
        <f>RIGHT(D135,LEN(D135)-4)/10000</f>
        <v>4.5499999999999999E-2</v>
      </c>
      <c r="Z135" s="62">
        <f>RIGHT(H135,LEN(H135)-4)/10000</f>
        <v>23.331900000000001</v>
      </c>
      <c r="AA135" s="62">
        <f>ABS(Z135-Y135)</f>
        <v>23.2864</v>
      </c>
      <c r="AB135" s="59" t="e">
        <f>VLOOKUP(A135,Enforcements!$C$7:$K$14,8,0)</f>
        <v>#N/A</v>
      </c>
      <c r="AC135" s="55" t="e">
        <f>VLOOKUP(A135,Enforcements!$C$7:$E$14,3,0)</f>
        <v>#N/A</v>
      </c>
      <c r="AD135" s="56" t="str">
        <f>IF(LEN(A135)=6,"0"&amp;A135,A135)</f>
        <v>0223-07</v>
      </c>
      <c r="AE135" s="85" t="str">
        <f>"aws s3 cp "&amp;s3_bucket&amp;"/RTDC"&amp;B135&amp;"/ "&amp;search_path&amp;"\RTDC"&amp;B135&amp;"\"&amp;TEXT(F135,"YYYY-MM-DD")&amp;" --exclude ""*"" --recursive --include ""*"&amp;TEXT(F135,"YYYYMMDD")&amp;"*"" &amp; """&amp;walkandungz&amp;""" "&amp;search_path&amp;"\RTDC"&amp;B135&amp;"\"&amp;TEXT(F135,"YYYY-MM-DD")
&amp;" &amp; "&amp;"aws s3 cp "&amp;s3_bucket&amp;"/RTDC"&amp;B135&amp;"/ "&amp;search_path&amp;"\RTDC"&amp;B135&amp;"\"&amp;TEXT(F135+1,"YYYY-MM-DD")&amp;" --exclude ""*"" --recursive --include ""*"&amp;TEXT(F135+1,"YYYYMMDD")&amp;"*"" &amp; """&amp;walkandungz&amp;""" "&amp;search_path&amp;"\RTDC"&amp;B135&amp;"\"&amp;TEXT(F135+1,"YYYY-MM-DD")</f>
        <v>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 &amp; aws s3 cp s3://rtdc.mdm.uploadarchive.raw/RTDC4031/ "%USERPROFILE%\AppData\Local\Temp\OnboardLogs"\RTDC4031\2017-02-08 --exclude "*" --recursive --include "*20170208*" &amp; "%USERPROFILE%\Documents\GitHub\mrs-test-scripts\Headless Mode &amp; Sideloading\WalkAndUnGZ.bat" "%USERPROFILE%\AppData\Local\Temp\OnboardLogs"\RTDC4031\2017-02-08</v>
      </c>
      <c r="AF135" s="82" t="str">
        <f>astrogrep_path&amp;" /spath="&amp;search_path&amp;" /stypes=""app*"&amp;B135&amp;"*"&amp;TEXT(I135-utc_offset/24,"YYYYMMDD")&amp;"*"" /stext="" "&amp;TEXT(I135-utc_offset/24,"HH")&amp;search_regexp&amp;""" /e /r /s"</f>
        <v>"C:\Program Files (x86)\AstroGrep\AstroGrep.exe" /spath="%USERPROFILE%\AppData\Local\Temp\OnboardLogs" /stypes="app*4031*20170208*" /stext=" 03:.+((SYSTEM_STATE.+slice.+state.+changed )|(ment ac)|(multiple cpu faults)|(system.+state.+changed )|(\[timeout)|(PRM\|1\|D)|(kpr)|(kdp)|(\|lc)|(penalty))" /e /r /s</v>
      </c>
      <c r="AG135" s="1" t="str">
        <f>IFERROR(IF(VALUE(LEFT(AD135,2))&lt;=2,"EC",IF(OR(VALUE(LEFT(AD135,2))=8,VALUE(LEFT(AD135,2))=18),"NW","Other")),"Other")</f>
        <v>EC</v>
      </c>
      <c r="AH135" s="86" t="str">
        <f t="shared" si="6"/>
        <v>"%USERPROFILE%\Documents\GitHub\eaglep3\Utilities\RefineRTDCRunTimes.py" --tripid 223-07 --locoid 4031 --swversion DE.1.0.8.0 --startMP 204:455 --initTime 2017-02-07T19:23:25 --startdatetime 2017-02-07T19:30:25 --delay 1 --endMP 204:233319 --enddatetime 2017-02-07T20:07:05 --enforcementcount 0 &gt;&gt;C:\Users\stu\Documents\GitHub\eaglep3-reporting\EC\2017-02-07-refined-times.txt</v>
      </c>
      <c r="AI135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{"issue":{"subject":"","project_id":79,"tracker_id":40,"status_id":1,"priority_id":2,"assigned_to_id":23,"start_date":"2017-02-07","description":"","custom_fields":[{"id":1,"name":"Subdivision","value":"EC"},{"id":4,"name":"Milepost","value":"23.3319"},{"id":17,"name":"Train ID","value":"223-07"},{"id":16,"name":"Locomotive ID","value":"4031"},{"id":130,"name":"Impact","value":""},{"id":150,"name":"Time of Event (Mountain Time)","value":"20:07:05"},{"id":151,"name":"Denver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48"/>
      <c r="AK135" s="48"/>
      <c r="AL135" s="48"/>
      <c r="AM135" s="158" t="str">
        <f t="shared" si="8"/>
        <v>start /low /b %USERPROFILE%\Documents\GitHub\eaglep3\Utilities\DownloadLogsFromS3.py --loco 4031 --day 2017-02-07</v>
      </c>
      <c r="AN135" s="167" t="str">
        <f>"grep -SE -B400 ""CHR.+\|PRM\|1\|D.+(SWITCH|SIGNAL).+UNKNOWN"" "&amp;search_path&amp;"\RTDC"&amp;B135&amp;"\*"&amp;B135&amp;"*"&amp;TEXT(AVERAGE(F135,I135)-utc_offset/24,"YYYYMMDD")&amp;"*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"%USERPROFILE%\AppData\Local\Temp\OnboardLogs"\RTDC4031\*4031*20170208* | grep -SE "(Enforcement Action)|(\[TIMEOUT)|(CHR.+\|PRM\|1\|D.+(SWITCH|SIGNAL).+UNKNOWN)" - &gt;&gt; 2017-02-07-UncaughtWiMAX.txt</v>
      </c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0" customFormat="1" x14ac:dyDescent="0.25">
      <c r="A136" s="33" t="s">
        <v>671</v>
      </c>
      <c r="B136" s="7">
        <v>4032</v>
      </c>
      <c r="C136" s="21" t="s">
        <v>193</v>
      </c>
      <c r="D136" s="21" t="s">
        <v>712</v>
      </c>
      <c r="E136" s="13">
        <v>42773.843171296299</v>
      </c>
      <c r="F136" s="13">
        <v>42773.851759259262</v>
      </c>
      <c r="G136" s="7">
        <v>1</v>
      </c>
      <c r="H136" s="21" t="s">
        <v>235</v>
      </c>
      <c r="I136" s="13">
        <v>42773.879050925927</v>
      </c>
      <c r="J136" s="7">
        <v>0</v>
      </c>
      <c r="K136" s="98" t="str">
        <f>IF(ISEVEN(B136),(B136-1)&amp;"/"&amp;B136,B136&amp;"/"&amp;(B136+1))</f>
        <v>4031/4032</v>
      </c>
      <c r="L136" s="21" t="str">
        <f>VLOOKUP(A136,'Trips&amp;Operators'!$C$1:$G$99999,5,FALSE)</f>
        <v>SAFIEF AEIMEN</v>
      </c>
      <c r="M136" s="6">
        <f>I136-F136</f>
        <v>2.7291666665405501E-2</v>
      </c>
      <c r="N136" s="7">
        <f>24*60*SUM($M136:$M136)</f>
        <v>39.299999998183921</v>
      </c>
      <c r="O136" s="7"/>
      <c r="P136" s="7"/>
      <c r="Q136" s="22"/>
      <c r="R136" s="22"/>
      <c r="S136" s="31">
        <f>SUM(U136:U136)/IF(AG136="EC",12,1)</f>
        <v>1</v>
      </c>
      <c r="T136" s="46" t="str">
        <f>IF(ISEVEN(LEFT(AD136,4)),"Southbound","NorthBound")</f>
        <v>Southbound</v>
      </c>
      <c r="U136" s="190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191" t="str">
        <f>"https://d0f6bd738d7f1b3e5a7ca70fe4ff75f0.us-east-1.aws.found.io/app/kibana#/discover/Steve-Slow-Train-Analysis-(2080s-and-2083s)?_g="&amp;"(refreshInterval:(display:Off,pause:!f,section:0,value:0),time:(from:'"&amp;TEXT(E136-1/24,"yyyy-MM-DDThh:mm:ss")&amp;utc_offset&amp;"00"&amp;"',mode:absolute,to:'"&amp;TEXT(I136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136&amp;"%22')),sort:!(Time.ISO8601,asc))"</f>
        <v>https://d0f6bd738d7f1b3e5a7ca70fe4ff75f0.us-east-1.aws.found.io/app/kibana#/discover/Steve-Slow-Train-Analysis-(2080s-and-2083s)?_g=(refreshInterval:(display:Off,pause:!f,section:0,value:0),time:(from:'2017-02-07T19:14:10-0700',mode:absolute,to:'2017-02-07T22:05:50-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36" s="192" t="str">
        <f>IF(AA136&lt;IF(AG136="EC",23,5.65),"Y","N")</f>
        <v>N</v>
      </c>
      <c r="X136" s="192">
        <f>VALUE(LEFT(AD136,4))-VALUE(LEFT(AD135,4))</f>
        <v>1</v>
      </c>
      <c r="Y136" s="62">
        <f>RIGHT(D136,LEN(D136)-4)/10000</f>
        <v>23.301500000000001</v>
      </c>
      <c r="Z136" s="62">
        <f>RIGHT(H136,LEN(H136)-4)/10000</f>
        <v>1.43E-2</v>
      </c>
      <c r="AA136" s="62">
        <f>ABS(Z136-Y136)</f>
        <v>23.287200000000002</v>
      </c>
      <c r="AB136" s="59" t="e">
        <f>VLOOKUP(A136,Enforcements!$C$7:$K$14,8,0)</f>
        <v>#N/A</v>
      </c>
      <c r="AC136" s="55" t="e">
        <f>VLOOKUP(A136,Enforcements!$C$7:$E$14,3,0)</f>
        <v>#N/A</v>
      </c>
      <c r="AD136" s="56" t="str">
        <f>IF(LEN(A136)=6,"0"&amp;A136,A136)</f>
        <v>0224-07</v>
      </c>
      <c r="AE136" s="85" t="str">
        <f>"aws s3 cp "&amp;s3_bucket&amp;"/RTDC"&amp;B136&amp;"/ "&amp;search_path&amp;"\RTDC"&amp;B136&amp;"\"&amp;TEXT(F136,"YYYY-MM-DD")&amp;" --exclude ""*"" --recursive --include ""*"&amp;TEXT(F136,"YYYYMMDD")&amp;"*"" &amp; """&amp;walkandungz&amp;""" "&amp;search_path&amp;"\RTDC"&amp;B136&amp;"\"&amp;TEXT(F136,"YYYY-MM-DD")
&amp;" &amp; "&amp;"aws s3 cp "&amp;s3_bucket&amp;"/RTDC"&amp;B136&amp;"/ "&amp;search_path&amp;"\RTDC"&amp;B136&amp;"\"&amp;TEXT(F136+1,"YYYY-MM-DD")&amp;" --exclude ""*"" --recursive --include ""*"&amp;TEXT(F136+1,"YYYYMMDD")&amp;"*"" &amp; """&amp;walkandungz&amp;""" "&amp;search_path&amp;"\RTDC"&amp;B136&amp;"\"&amp;TEXT(F136+1,"YYYY-MM-DD")</f>
        <v>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 &amp; aws s3 cp s3://rtdc.mdm.uploadarchive.raw/RTDC4032/ "%USERPROFILE%\AppData\Local\Temp\OnboardLogs"\RTDC4032\2017-02-08 --exclude "*" --recursive --include "*20170208*" &amp; "%USERPROFILE%\Documents\GitHub\mrs-test-scripts\Headless Mode &amp; Sideloading\WalkAndUnGZ.bat" "%USERPROFILE%\AppData\Local\Temp\OnboardLogs"\RTDC4032\2017-02-08</v>
      </c>
      <c r="AF136" s="82" t="str">
        <f>astrogrep_path&amp;" /spath="&amp;search_path&amp;" /stypes=""app*"&amp;B136&amp;"*"&amp;TEXT(I136-utc_offset/24,"YYYYMMDD")&amp;"*"" /stext="" "&amp;TEXT(I136-utc_offset/24,"HH")&amp;search_regexp&amp;""" /e /r /s"</f>
        <v>"C:\Program Files (x86)\AstroGrep\AstroGrep.exe" /spath="%USERPROFILE%\AppData\Local\Temp\OnboardLogs" /stypes="app*4032*20170208*" /stext=" 04:.+((SYSTEM_STATE.+slice.+state.+changed )|(ment ac)|(multiple cpu faults)|(system.+state.+changed )|(\[timeout)|(PRM\|1\|D)|(kpr)|(kdp)|(\|lc)|(penalty))" /e /r /s</v>
      </c>
      <c r="AG136" s="1" t="str">
        <f>IFERROR(IF(VALUE(LEFT(AD136,2))&lt;=2,"EC",IF(OR(VALUE(LEFT(AD136,2))=8,VALUE(LEFT(AD136,2))=18),"NW","Other")),"Other")</f>
        <v>EC</v>
      </c>
      <c r="AH136" s="86" t="str">
        <f t="shared" si="6"/>
        <v>"%USERPROFILE%\Documents\GitHub\eaglep3\Utilities\RefineRTDCRunTimes.py" --tripid 224-07 --locoid 4032 --swversion DE.1.0.8.0 --startMP 204:233015 --initTime 2017-02-07T20:14:10 --startdatetime 2017-02-07T20:26:32 --delay 1 --endMP 204:143 --enddatetime 2017-02-07T21:05:50 --enforcementcount 0 &gt;&gt;C:\Users\stu\Documents\GitHub\eaglep3-reporting\EC\2017-02-07-refined-times.txt</v>
      </c>
      <c r="AI136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{"issue":{"subject":"","project_id":79,"tracker_id":40,"status_id":1,"priority_id":2,"assigned_to_id":23,"start_date":"2017-02-07","description":"","custom_fields":[{"id":1,"name":"Subdivision","value":"EC"},{"id":4,"name":"Milepost","value":"0.0143"},{"id":17,"name":"Train ID","value":"224-07"},{"id":16,"name":"Locomotive ID","value":"4032"},{"id":130,"name":"Impact","value":""},{"id":150,"name":"Time of Event (Mountain Time)","value":"21:05:50"},{"id":151,"name":"Denver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48"/>
      <c r="AK136" s="48"/>
      <c r="AL136" s="48"/>
      <c r="AM136" s="158" t="str">
        <f t="shared" si="8"/>
        <v>start /low /b %USERPROFILE%\Documents\GitHub\eaglep3\Utilities\DownloadLogsFromS3.py --loco 4032 --day 2017-02-07</v>
      </c>
      <c r="AN136" s="167" t="str">
        <f>"grep -SE -B400 ""CHR.+\|PRM\|1\|D.+(SWITCH|SIGNAL).+UNKNOWN"" "&amp;search_path&amp;"\RTDC"&amp;B136&amp;"\*"&amp;B136&amp;"*"&amp;TEXT(AVERAGE(F136,I136)-utc_offset/24,"YYYYMMDD")&amp;"*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"%USERPROFILE%\AppData\Local\Temp\OnboardLogs"\RTDC4032\*4032*20170208* | grep -SE "(Enforcement Action)|(\[TIMEOUT)|(CHR.+\|PRM\|1\|D.+(SWITCH|SIGNAL).+UNKNOWN)" - &gt;&gt; 2017-02-07-UncaughtWiMAX.txt</v>
      </c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0" customFormat="1" x14ac:dyDescent="0.25">
      <c r="A137" s="33" t="s">
        <v>669</v>
      </c>
      <c r="B137" s="7">
        <v>4046</v>
      </c>
      <c r="C137" s="21" t="s">
        <v>193</v>
      </c>
      <c r="D137" s="21" t="s">
        <v>354</v>
      </c>
      <c r="E137" s="13">
        <v>42773.828136574077</v>
      </c>
      <c r="F137" s="13">
        <v>42773.833587962959</v>
      </c>
      <c r="G137" s="7">
        <v>2</v>
      </c>
      <c r="H137" s="21" t="s">
        <v>727</v>
      </c>
      <c r="I137" s="13">
        <v>42773.85869212963</v>
      </c>
      <c r="J137" s="7">
        <v>0</v>
      </c>
      <c r="K137" s="98" t="str">
        <f>IF(ISEVEN(B137),(B137-1)&amp;"/"&amp;B137,B137&amp;"/"&amp;(B137+1))</f>
        <v>4045/4046</v>
      </c>
      <c r="L137" s="21" t="str">
        <f>VLOOKUP(A137,'Trips&amp;Operators'!$C$1:$G$99999,5,FALSE)</f>
        <v>STORY SAMANTHA</v>
      </c>
      <c r="M137" s="6">
        <f>I137-F137</f>
        <v>2.510416667064419E-2</v>
      </c>
      <c r="N137" s="7">
        <f>24*60*SUM($M137:$M137)</f>
        <v>36.150000005727634</v>
      </c>
      <c r="O137" s="7"/>
      <c r="P137" s="7"/>
      <c r="Q137" s="22"/>
      <c r="R137" s="22"/>
      <c r="S137" s="31">
        <f>SUM(U137:U137)/IF(AG137="EC",12,1)</f>
        <v>1</v>
      </c>
      <c r="T137" s="46" t="str">
        <f>IF(ISEVEN(LEFT(AD137,4)),"Southbound","NorthBound")</f>
        <v>NorthBound</v>
      </c>
      <c r="U137" s="190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191" t="str">
        <f>"https://d0f6bd738d7f1b3e5a7ca70fe4ff75f0.us-east-1.aws.found.io/app/kibana#/discover/Steve-Slow-Train-Analysis-(2080s-and-2083s)?_g="&amp;"(refreshInterval:(display:Off,pause:!f,section:0,value:0),time:(from:'"&amp;TEXT(E137-1/24,"yyyy-MM-DDThh:mm:ss")&amp;utc_offset&amp;"00"&amp;"',mode:absolute,to:'"&amp;TEXT(I137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137&amp;"%22')),sort:!(Time.ISO8601,asc))"</f>
        <v>https://d0f6bd738d7f1b3e5a7ca70fe4ff75f0.us-east-1.aws.found.io/app/kibana#/discover/Steve-Slow-Train-Analysis-(2080s-and-2083s)?_g=(refreshInterval:(display:Off,pause:!f,section:0,value:0),time:(from:'2017-02-07T18:52:31-0700',mode:absolute,to:'2017-02-07T21:36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37" s="192" t="str">
        <f>IF(AA137&lt;IF(AG137="EC",23,5.65),"Y","N")</f>
        <v>N</v>
      </c>
      <c r="X137" s="192">
        <f>VALUE(LEFT(AD137,4))-VALUE(LEFT(AD136,4))</f>
        <v>1</v>
      </c>
      <c r="Y137" s="62">
        <f>RIGHT(D137,LEN(D137)-4)/10000</f>
        <v>4.6600000000000003E-2</v>
      </c>
      <c r="Z137" s="62">
        <f>RIGHT(H137,LEN(H137)-4)/10000</f>
        <v>23.3323</v>
      </c>
      <c r="AA137" s="62">
        <f>ABS(Z137-Y137)</f>
        <v>23.285699999999999</v>
      </c>
      <c r="AB137" s="59" t="e">
        <f>VLOOKUP(A137,Enforcements!$C$7:$K$14,8,0)</f>
        <v>#N/A</v>
      </c>
      <c r="AC137" s="55" t="e">
        <f>VLOOKUP(A137,Enforcements!$C$7:$E$14,3,0)</f>
        <v>#N/A</v>
      </c>
      <c r="AD137" s="56" t="str">
        <f>IF(LEN(A137)=6,"0"&amp;A137,A137)</f>
        <v>0225-07</v>
      </c>
      <c r="AE137" s="85" t="str">
        <f>"aws s3 cp "&amp;s3_bucket&amp;"/RTDC"&amp;B137&amp;"/ "&amp;search_path&amp;"\RTDC"&amp;B137&amp;"\"&amp;TEXT(F137,"YYYY-MM-DD")&amp;" --exclude ""*"" --recursive --include ""*"&amp;TEXT(F137,"YYYYMMDD")&amp;"*"" &amp; """&amp;walkandungz&amp;""" "&amp;search_path&amp;"\RTDC"&amp;B137&amp;"\"&amp;TEXT(F137,"YYYY-MM-DD")
&amp;" &amp; "&amp;"aws s3 cp "&amp;s3_bucket&amp;"/RTDC"&amp;B137&amp;"/ "&amp;search_path&amp;"\RTDC"&amp;B137&amp;"\"&amp;TEXT(F137+1,"YYYY-MM-DD")&amp;" --exclude ""*"" --recursive --include ""*"&amp;TEXT(F137+1,"YYYYMMDD")&amp;"*"" &amp; """&amp;walkandungz&amp;""" "&amp;search_path&amp;"\RTDC"&amp;B137&amp;"\"&amp;TEXT(F137+1,"YYYY-MM-DD")</f>
        <v>aws s3 cp s3://rtdc.mdm.uploadarchive.raw/RTDC4046/ "%USERPROFILE%\AppData\Local\Temp\OnboardLogs"\RTDC4046\2017-02-07 --exclude "*" --recursive --include "*20170207*" &amp; "%USERPROFILE%\Documents\GitHub\mrs-test-scripts\Headless Mode &amp; Sideloading\WalkAndUnGZ.bat" "%USERPROFILE%\AppData\Local\Temp\OnboardLogs"\RTDC4046\2017-02-07 &amp; aws s3 cp s3://rtdc.mdm.uploadarchive.raw/RTDC4046/ "%USERPROFILE%\AppData\Local\Temp\OnboardLogs"\RTDC4046\2017-02-08 --exclude "*" --recursive --include "*20170208*" &amp; "%USERPROFILE%\Documents\GitHub\mrs-test-scripts\Headless Mode &amp; Sideloading\WalkAndUnGZ.bat" "%USERPROFILE%\AppData\Local\Temp\OnboardLogs"\RTDC4046\2017-02-08</v>
      </c>
      <c r="AF137" s="82" t="str">
        <f>astrogrep_path&amp;" /spath="&amp;search_path&amp;" /stypes=""app*"&amp;B137&amp;"*"&amp;TEXT(I137-utc_offset/24,"YYYYMMDD")&amp;"*"" /stext="" "&amp;TEXT(I137-utc_offset/24,"HH")&amp;search_regexp&amp;""" /e /r /s"</f>
        <v>"C:\Program Files (x86)\AstroGrep\AstroGrep.exe" /spath="%USERPROFILE%\AppData\Local\Temp\OnboardLogs" /stypes="app*4046*20170208*" /stext=" 03:.+((SYSTEM_STATE.+slice.+state.+changed )|(ment ac)|(multiple cpu faults)|(system.+state.+changed )|(\[timeout)|(PRM\|1\|D)|(kpr)|(kdp)|(\|lc)|(penalty))" /e /r /s</v>
      </c>
      <c r="AG137" s="1" t="str">
        <f>IFERROR(IF(VALUE(LEFT(AD137,2))&lt;=2,"EC",IF(OR(VALUE(LEFT(AD137,2))=8,VALUE(LEFT(AD137,2))=18),"NW","Other")),"Other")</f>
        <v>EC</v>
      </c>
      <c r="AH137" s="86" t="str">
        <f t="shared" si="6"/>
        <v>"%USERPROFILE%\Documents\GitHub\eaglep3\Utilities\RefineRTDCRunTimes.py" --tripid 225-07 --locoid 4046 --swversion DE.1.0.8.0 --startMP 204:466 --initTime 2017-02-07T19:52:31 --startdatetime 2017-02-07T20:00:22 --delay 2 --endMP 204:233323 --enddatetime 2017-02-07T20:36:31 --enforcementcount 0 &gt;&gt;C:\Users\stu\Documents\GitHub\eaglep3-reporting\EC\2017-02-07-refined-times.txt</v>
      </c>
      <c r="AI137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{"issue":{"subject":"","project_id":79,"tracker_id":40,"status_id":1,"priority_id":2,"assigned_to_id":23,"start_date":"2017-02-07","description":"","custom_fields":[{"id":1,"name":"Subdivision","value":"EC"},{"id":4,"name":"Milepost","value":"23.3323"},{"id":17,"name":"Train ID","value":"225-07"},{"id":16,"name":"Locomotive ID","value":"4046"},{"id":130,"name":"Impact","value":""},{"id":150,"name":"Time of Event (Mountain Time)","value":"20:36:31"},{"id":151,"name":"Denver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48"/>
      <c r="AK137" s="48"/>
      <c r="AL137" s="48"/>
      <c r="AM137" s="158" t="str">
        <f t="shared" si="8"/>
        <v>start /low /b %USERPROFILE%\Documents\GitHub\eaglep3\Utilities\DownloadLogsFromS3.py --loco 4046 --day 2017-02-07</v>
      </c>
      <c r="AN137" s="167" t="str">
        <f>"grep -SE -B400 ""CHR.+\|PRM\|1\|D.+(SWITCH|SIGNAL).+UNKNOWN"" "&amp;search_path&amp;"\RTDC"&amp;B137&amp;"\*"&amp;B137&amp;"*"&amp;TEXT(AVERAGE(F137,I137)-utc_offset/24,"YYYYMMDD")&amp;"*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"%USERPROFILE%\AppData\Local\Temp\OnboardLogs"\RTDC4046\*4046*20170208* | grep -SE "(Enforcement Action)|(\[TIMEOUT)|(CHR.+\|PRM\|1\|D.+(SWITCH|SIGNAL).+UNKNOWN)" - &gt;&gt; 2017-02-07-UncaughtWiMAX.txt</v>
      </c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0" customFormat="1" x14ac:dyDescent="0.25">
      <c r="A138" s="33" t="s">
        <v>674</v>
      </c>
      <c r="B138" s="7">
        <v>4045</v>
      </c>
      <c r="C138" s="21" t="s">
        <v>193</v>
      </c>
      <c r="D138" s="21" t="s">
        <v>767</v>
      </c>
      <c r="E138" s="13">
        <v>42773.864525462966</v>
      </c>
      <c r="F138" s="13">
        <v>42773.872418981482</v>
      </c>
      <c r="G138" s="7">
        <v>1</v>
      </c>
      <c r="H138" s="21" t="s">
        <v>212</v>
      </c>
      <c r="I138" s="13">
        <v>42773.900081018517</v>
      </c>
      <c r="J138" s="7">
        <v>0</v>
      </c>
      <c r="K138" s="98" t="str">
        <f>IF(ISEVEN(B138),(B138-1)&amp;"/"&amp;B138,B138&amp;"/"&amp;(B138+1))</f>
        <v>4045/4046</v>
      </c>
      <c r="L138" s="21" t="str">
        <f>VLOOKUP(A138,'Trips&amp;Operators'!$C$1:$G$99999,5,FALSE)</f>
        <v>STORY SAMANTHA</v>
      </c>
      <c r="M138" s="6">
        <f>I138-F138</f>
        <v>2.7662037035042886E-2</v>
      </c>
      <c r="N138" s="7">
        <f>24*60*SUM($M138:$M138)</f>
        <v>39.833333330461755</v>
      </c>
      <c r="O138" s="7"/>
      <c r="P138" s="7"/>
      <c r="Q138" s="22"/>
      <c r="R138" s="22"/>
      <c r="S138" s="31">
        <f>SUM(U138:U138)/IF(AG138="EC",12,1)</f>
        <v>1</v>
      </c>
      <c r="T138" s="46" t="str">
        <f>IF(ISEVEN(LEFT(AD138,4)),"Southbound","NorthBound")</f>
        <v>Southbound</v>
      </c>
      <c r="U138" s="190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191" t="str">
        <f>"https://d0f6bd738d7f1b3e5a7ca70fe4ff75f0.us-east-1.aws.found.io/app/kibana#/discover/Steve-Slow-Train-Analysis-(2080s-and-2083s)?_g="&amp;"(refreshInterval:(display:Off,pause:!f,section:0,value:0),time:(from:'"&amp;TEXT(E138-1/24,"yyyy-MM-DDThh:mm:ss")&amp;utc_offset&amp;"00"&amp;"',mode:absolute,to:'"&amp;TEXT(I138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138&amp;"%22')),sort:!(Time.ISO8601,asc))"</f>
        <v>https://d0f6bd738d7f1b3e5a7ca70fe4ff75f0.us-east-1.aws.found.io/app/kibana#/discover/Steve-Slow-Train-Analysis-(2080s-and-2083s)?_g=(refreshInterval:(display:Off,pause:!f,section:0,value:0),time:(from:'2017-02-07T19:44:55-0700',mode:absolute,to:'2017-02-07T22:36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38" s="192" t="str">
        <f>IF(AA138&lt;IF(AG138="EC",23,5.65),"Y","N")</f>
        <v>N</v>
      </c>
      <c r="X138" s="192">
        <f>VALUE(LEFT(AD138,4))-VALUE(LEFT(AD137,4))</f>
        <v>1</v>
      </c>
      <c r="Y138" s="62">
        <f>RIGHT(D138,LEN(D138)-4)/10000</f>
        <v>23.3017</v>
      </c>
      <c r="Z138" s="62">
        <f>RIGHT(H138,LEN(H138)-4)/10000</f>
        <v>1.5800000000000002E-2</v>
      </c>
      <c r="AA138" s="62">
        <f>ABS(Z138-Y138)</f>
        <v>23.285900000000002</v>
      </c>
      <c r="AB138" s="59" t="e">
        <f>VLOOKUP(A138,Enforcements!$C$7:$K$14,8,0)</f>
        <v>#N/A</v>
      </c>
      <c r="AC138" s="55" t="e">
        <f>VLOOKUP(A138,Enforcements!$C$7:$E$14,3,0)</f>
        <v>#N/A</v>
      </c>
      <c r="AD138" s="56" t="str">
        <f>IF(LEN(A138)=6,"0"&amp;A138,A138)</f>
        <v>0226-07</v>
      </c>
      <c r="AE138" s="85" t="str">
        <f>"aws s3 cp "&amp;s3_bucket&amp;"/RTDC"&amp;B138&amp;"/ "&amp;search_path&amp;"\RTDC"&amp;B138&amp;"\"&amp;TEXT(F138,"YYYY-MM-DD")&amp;" --exclude ""*"" --recursive --include ""*"&amp;TEXT(F138,"YYYYMMDD")&amp;"*"" &amp; """&amp;walkandungz&amp;""" "&amp;search_path&amp;"\RTDC"&amp;B138&amp;"\"&amp;TEXT(F138,"YYYY-MM-DD")
&amp;" &amp; "&amp;"aws s3 cp "&amp;s3_bucket&amp;"/RTDC"&amp;B138&amp;"/ "&amp;search_path&amp;"\RTDC"&amp;B138&amp;"\"&amp;TEXT(F138+1,"YYYY-MM-DD")&amp;" --exclude ""*"" --recursive --include ""*"&amp;TEXT(F138+1,"YYYYMMDD")&amp;"*"" &amp; """&amp;walkandungz&amp;""" "&amp;search_path&amp;"\RTDC"&amp;B138&amp;"\"&amp;TEXT(F138+1,"YYYY-MM-DD")</f>
        <v>aws s3 cp s3://rtdc.mdm.uploadarchive.raw/RTDC4045/ "%USERPROFILE%\AppData\Local\Temp\OnboardLogs"\RTDC4045\2017-02-07 --exclude "*" --recursive --include "*20170207*" &amp; "%USERPROFILE%\Documents\GitHub\mrs-test-scripts\Headless Mode &amp; Sideloading\WalkAndUnGZ.bat" "%USERPROFILE%\AppData\Local\Temp\OnboardLogs"\RTDC4045\2017-02-07 &amp; aws s3 cp s3://rtdc.mdm.uploadarchive.raw/RTDC4045/ "%USERPROFILE%\AppData\Local\Temp\OnboardLogs"\RTDC4045\2017-02-08 --exclude "*" --recursive --include "*20170208*" &amp; "%USERPROFILE%\Documents\GitHub\mrs-test-scripts\Headless Mode &amp; Sideloading\WalkAndUnGZ.bat" "%USERPROFILE%\AppData\Local\Temp\OnboardLogs"\RTDC4045\2017-02-08</v>
      </c>
      <c r="AF138" s="82" t="str">
        <f>astrogrep_path&amp;" /spath="&amp;search_path&amp;" /stypes=""app*"&amp;B138&amp;"*"&amp;TEXT(I138-utc_offset/24,"YYYYMMDD")&amp;"*"" /stext="" "&amp;TEXT(I138-utc_offset/24,"HH")&amp;search_regexp&amp;""" /e /r /s"</f>
        <v>"C:\Program Files (x86)\AstroGrep\AstroGrep.exe" /spath="%USERPROFILE%\AppData\Local\Temp\OnboardLogs" /stypes="app*4045*20170208*" /stext=" 04:.+((SYSTEM_STATE.+slice.+state.+changed )|(ment ac)|(multiple cpu faults)|(system.+state.+changed )|(\[timeout)|(PRM\|1\|D)|(kpr)|(kdp)|(\|lc)|(penalty))" /e /r /s</v>
      </c>
      <c r="AG138" s="1" t="str">
        <f>IFERROR(IF(VALUE(LEFT(AD138,2))&lt;=2,"EC",IF(OR(VALUE(LEFT(AD138,2))=8,VALUE(LEFT(AD138,2))=18),"NW","Other")),"Other")</f>
        <v>EC</v>
      </c>
      <c r="AH138" s="86" t="str">
        <f t="shared" si="6"/>
        <v>"%USERPROFILE%\Documents\GitHub\eaglep3\Utilities\RefineRTDCRunTimes.py" --tripid 226-07 --locoid 4045 --swversion DE.1.0.8.0 --startMP 204:233017 --initTime 2017-02-07T20:44:55 --startdatetime 2017-02-07T20:56:17 --delay 1 --endMP 204:158 --enddatetime 2017-02-07T21:36:07 --enforcementcount 0 &gt;&gt;C:\Users\stu\Documents\GitHub\eaglep3-reporting\EC\2017-02-07-refined-times.txt</v>
      </c>
      <c r="AI138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{"issue":{"subject":"","project_id":79,"tracker_id":40,"status_id":1,"priority_id":2,"assigned_to_id":23,"start_date":"2017-02-07","description":"","custom_fields":[{"id":1,"name":"Subdivision","value":"EC"},{"id":4,"name":"Milepost","value":"0.0158"},{"id":17,"name":"Train ID","value":"226-07"},{"id":16,"name":"Locomotive ID","value":"4045"},{"id":130,"name":"Impact","value":""},{"id":150,"name":"Time of Event (Mountain Time)","value":"21:36:07"},{"id":151,"name":"Denver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48"/>
      <c r="AK138" s="48"/>
      <c r="AL138" s="48"/>
      <c r="AM138" s="158" t="str">
        <f t="shared" si="8"/>
        <v>start /low /b %USERPROFILE%\Documents\GitHub\eaglep3\Utilities\DownloadLogsFromS3.py --loco 4045 --day 2017-02-07</v>
      </c>
      <c r="AN138" s="167" t="str">
        <f>"grep -SE -B400 ""CHR.+\|PRM\|1\|D.+(SWITCH|SIGNAL).+UNKNOWN"" "&amp;search_path&amp;"\RTDC"&amp;B138&amp;"\*"&amp;B138&amp;"*"&amp;TEXT(AVERAGE(F138,I138)-utc_offset/24,"YYYYMMDD")&amp;"*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"%USERPROFILE%\AppData\Local\Temp\OnboardLogs"\RTDC4045\*4045*20170208* | grep -SE "(Enforcement Action)|(\[TIMEOUT)|(CHR.+\|PRM\|1\|D.+(SWITCH|SIGNAL).+UNKNOWN)" - &gt;&gt; 2017-02-07-UncaughtWiMAX.txt</v>
      </c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s="20" customFormat="1" x14ac:dyDescent="0.25">
      <c r="A139" s="33" t="s">
        <v>670</v>
      </c>
      <c r="B139" s="7">
        <v>4040</v>
      </c>
      <c r="C139" s="21" t="s">
        <v>193</v>
      </c>
      <c r="D139" s="21" t="s">
        <v>312</v>
      </c>
      <c r="E139" s="13">
        <v>42773.837488425925</v>
      </c>
      <c r="F139" s="13">
        <v>42773.854421296295</v>
      </c>
      <c r="G139" s="7">
        <v>1</v>
      </c>
      <c r="H139" s="21" t="s">
        <v>433</v>
      </c>
      <c r="I139" s="13">
        <v>42773.879004629627</v>
      </c>
      <c r="J139" s="7">
        <v>0</v>
      </c>
      <c r="K139" s="98" t="str">
        <f>IF(ISEVEN(B139),(B139-1)&amp;"/"&amp;B139,B139&amp;"/"&amp;(B139+1))</f>
        <v>4039/4040</v>
      </c>
      <c r="L139" s="21" t="str">
        <f>VLOOKUP(A139,'Trips&amp;Operators'!$C$1:$G$99999,5,FALSE)</f>
        <v>STAMBAUGH JAMES</v>
      </c>
      <c r="M139" s="6">
        <f>I139-F139</f>
        <v>2.4583333331975155E-2</v>
      </c>
      <c r="N139" s="7">
        <f>24*60*SUM($M139:$M139)</f>
        <v>35.399999998044223</v>
      </c>
      <c r="O139" s="7"/>
      <c r="P139" s="7"/>
      <c r="Q139" s="22"/>
      <c r="R139" s="22"/>
      <c r="S139" s="31">
        <f>SUM(U139:U139)/IF(AG139="EC",12,1)</f>
        <v>1</v>
      </c>
      <c r="T139" s="46" t="str">
        <f>IF(ISEVEN(LEFT(AD139,4)),"Southbound","NorthBound")</f>
        <v>NorthBound</v>
      </c>
      <c r="U139" s="190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191" t="str">
        <f>"https://d0f6bd738d7f1b3e5a7ca70fe4ff75f0.us-east-1.aws.found.io/app/kibana#/discover/Steve-Slow-Train-Analysis-(2080s-and-2083s)?_g="&amp;"(refreshInterval:(display:Off,pause:!f,section:0,value:0),time:(from:'"&amp;TEXT(E139-1/24,"yyyy-MM-DDThh:mm:ss")&amp;utc_offset&amp;"00"&amp;"',mode:absolute,to:'"&amp;TEXT(I139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139&amp;"%22')),sort:!(Time.ISO8601,asc))"</f>
        <v>https://d0f6bd738d7f1b3e5a7ca70fe4ff75f0.us-east-1.aws.found.io/app/kibana#/discover/Steve-Slow-Train-Analysis-(2080s-and-2083s)?_g=(refreshInterval:(display:Off,pause:!f,section:0,value:0),time:(from:'2017-02-07T19:05:59-0700',mode:absolute,to:'2017-02-07T22:05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39" s="192" t="str">
        <f>IF(AA139&lt;IF(AG139="EC",23,5.65),"Y","N")</f>
        <v>N</v>
      </c>
      <c r="X139" s="192">
        <f>VALUE(LEFT(AD139,4))-VALUE(LEFT(AD138,4))</f>
        <v>1</v>
      </c>
      <c r="Y139" s="62">
        <f>RIGHT(D139,LEN(D139)-4)/10000</f>
        <v>4.4699999999999997E-2</v>
      </c>
      <c r="Z139" s="62">
        <f>RIGHT(H139,LEN(H139)-4)/10000</f>
        <v>23.332100000000001</v>
      </c>
      <c r="AA139" s="62">
        <f>ABS(Z139-Y139)</f>
        <v>23.287400000000002</v>
      </c>
      <c r="AB139" s="59" t="e">
        <f>VLOOKUP(A139,Enforcements!$C$7:$K$14,8,0)</f>
        <v>#N/A</v>
      </c>
      <c r="AC139" s="55" t="e">
        <f>VLOOKUP(A139,Enforcements!$C$7:$E$14,3,0)</f>
        <v>#N/A</v>
      </c>
      <c r="AD139" s="56" t="str">
        <f>IF(LEN(A139)=6,"0"&amp;A139,A139)</f>
        <v>0227-07</v>
      </c>
      <c r="AE139" s="85" t="str">
        <f>"aws s3 cp "&amp;s3_bucket&amp;"/RTDC"&amp;B139&amp;"/ "&amp;search_path&amp;"\RTDC"&amp;B139&amp;"\"&amp;TEXT(F139,"YYYY-MM-DD")&amp;" --exclude ""*"" --recursive --include ""*"&amp;TEXT(F139,"YYYYMMDD")&amp;"*"" &amp; """&amp;walkandungz&amp;""" "&amp;search_path&amp;"\RTDC"&amp;B139&amp;"\"&amp;TEXT(F139,"YYYY-MM-DD")
&amp;" &amp; "&amp;"aws s3 cp "&amp;s3_bucket&amp;"/RTDC"&amp;B139&amp;"/ "&amp;search_path&amp;"\RTDC"&amp;B139&amp;"\"&amp;TEXT(F139+1,"YYYY-MM-DD")&amp;" --exclude ""*"" --recursive --include ""*"&amp;TEXT(F139+1,"YYYYMMDD")&amp;"*"" &amp; """&amp;walkandungz&amp;""" "&amp;search_path&amp;"\RTDC"&amp;B139&amp;"\"&amp;TEXT(F139+1,"YYYY-MM-DD")</f>
        <v>aws s3 cp s3://rtdc.mdm.uploadarchive.raw/RTDC4040/ "%USERPROFILE%\AppData\Local\Temp\OnboardLogs"\RTDC4040\2017-02-07 --exclude "*" --recursive --include "*20170207*" &amp; "%USERPROFILE%\Documents\GitHub\mrs-test-scripts\Headless Mode &amp; Sideloading\WalkAndUnGZ.bat" "%USERPROFILE%\AppData\Local\Temp\OnboardLogs"\RTDC4040\2017-02-07 &amp; aws s3 cp s3://rtdc.mdm.uploadarchive.raw/RTDC4040/ "%USERPROFILE%\AppData\Local\Temp\OnboardLogs"\RTDC4040\2017-02-08 --exclude "*" --recursive --include "*20170208*" &amp; "%USERPROFILE%\Documents\GitHub\mrs-test-scripts\Headless Mode &amp; Sideloading\WalkAndUnGZ.bat" "%USERPROFILE%\AppData\Local\Temp\OnboardLogs"\RTDC4040\2017-02-08</v>
      </c>
      <c r="AF139" s="82" t="str">
        <f>astrogrep_path&amp;" /spath="&amp;search_path&amp;" /stypes=""app*"&amp;B139&amp;"*"&amp;TEXT(I139-utc_offset/24,"YYYYMMDD")&amp;"*"" /stext="" "&amp;TEXT(I139-utc_offset/24,"HH")&amp;search_regexp&amp;""" /e /r /s"</f>
        <v>"C:\Program Files (x86)\AstroGrep\AstroGrep.exe" /spath="%USERPROFILE%\AppData\Local\Temp\OnboardLogs" /stypes="app*4040*20170208*" /stext=" 04:.+((SYSTEM_STATE.+slice.+state.+changed )|(ment ac)|(multiple cpu faults)|(system.+state.+changed )|(\[timeout)|(PRM\|1\|D)|(kpr)|(kdp)|(\|lc)|(penalty))" /e /r /s</v>
      </c>
      <c r="AG139" s="1" t="str">
        <f>IFERROR(IF(VALUE(LEFT(AD139,2))&lt;=2,"EC",IF(OR(VALUE(LEFT(AD139,2))=8,VALUE(LEFT(AD139,2))=18),"NW","Other")),"Other")</f>
        <v>EC</v>
      </c>
      <c r="AH139" s="86" t="str">
        <f t="shared" si="6"/>
        <v>"%USERPROFILE%\Documents\GitHub\eaglep3\Utilities\RefineRTDCRunTimes.py" --tripid 227-07 --locoid 4040 --swversion DE.1.0.8.0 --startMP 204:447 --initTime 2017-02-07T20:05:59 --startdatetime 2017-02-07T20:30:22 --delay 1 --endMP 204:233321 --enddatetime 2017-02-07T21:05:46 --enforcementcount 0 &gt;&gt;C:\Users\stu\Documents\GitHub\eaglep3-reporting\EC\2017-02-07-refined-times.txt</v>
      </c>
      <c r="AI139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{"issue":{"subject":"","project_id":79,"tracker_id":40,"status_id":1,"priority_id":2,"assigned_to_id":23,"start_date":"2017-02-07","description":"","custom_fields":[{"id":1,"name":"Subdivision","value":"EC"},{"id":4,"name":"Milepost","value":"23.3321"},{"id":17,"name":"Train ID","value":"227-07"},{"id":16,"name":"Locomotive ID","value":"4040"},{"id":130,"name":"Impact","value":""},{"id":150,"name":"Time of Event (Mountain Time)","value":"21:05:46"},{"id":151,"name":"Denver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48"/>
      <c r="AK139" s="48"/>
      <c r="AL139" s="48"/>
      <c r="AM139" s="158" t="str">
        <f t="shared" si="8"/>
        <v>start /low /b %USERPROFILE%\Documents\GitHub\eaglep3\Utilities\DownloadLogsFromS3.py --loco 4040 --day 2017-02-07</v>
      </c>
      <c r="AN139" s="167" t="str">
        <f>"grep -SE -B400 ""CHR.+\|PRM\|1\|D.+(SWITCH|SIGNAL).+UNKNOWN"" "&amp;search_path&amp;"\RTDC"&amp;B139&amp;"\*"&amp;B139&amp;"*"&amp;TEXT(AVERAGE(F139,I139)-utc_offset/24,"YYYYMMDD")&amp;"*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"%USERPROFILE%\AppData\Local\Temp\OnboardLogs"\RTDC4040\*4040*20170208* | grep -SE "(Enforcement Action)|(\[TIMEOUT)|(CHR.+\|PRM\|1\|D.+(SWITCH|SIGNAL).+UNKNOWN)" - &gt;&gt; 2017-02-07-UncaughtWiMAX.txt</v>
      </c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</row>
    <row r="140" spans="1:91" s="20" customFormat="1" x14ac:dyDescent="0.25">
      <c r="A140" s="33" t="s">
        <v>678</v>
      </c>
      <c r="B140" s="7">
        <v>4039</v>
      </c>
      <c r="C140" s="21" t="s">
        <v>193</v>
      </c>
      <c r="D140" s="21" t="s">
        <v>419</v>
      </c>
      <c r="E140" s="13">
        <v>42773.889918981484</v>
      </c>
      <c r="F140" s="13">
        <v>42773.893460648149</v>
      </c>
      <c r="G140" s="7">
        <v>1</v>
      </c>
      <c r="H140" s="21" t="s">
        <v>352</v>
      </c>
      <c r="I140" s="13">
        <v>42773.91920138889</v>
      </c>
      <c r="J140" s="7">
        <v>0</v>
      </c>
      <c r="K140" s="98" t="str">
        <f>IF(ISEVEN(B140),(B140-1)&amp;"/"&amp;B140,B140&amp;"/"&amp;(B140+1))</f>
        <v>4039/4040</v>
      </c>
      <c r="L140" s="21" t="str">
        <f>VLOOKUP(A140,'Trips&amp;Operators'!$C$1:$G$99999,5,FALSE)</f>
        <v>STAMBAUGH JAMES</v>
      </c>
      <c r="M140" s="6">
        <f>I140-F140</f>
        <v>2.5740740740729962E-2</v>
      </c>
      <c r="N140" s="7">
        <f>24*60*SUM($M140:$M140)</f>
        <v>37.066666666651145</v>
      </c>
      <c r="O140" s="7"/>
      <c r="P140" s="7"/>
      <c r="Q140" s="22"/>
      <c r="R140" s="22"/>
      <c r="S140" s="31">
        <f>SUM(U140:U140)/IF(AG140="EC",12,1)</f>
        <v>1</v>
      </c>
      <c r="T140" s="46" t="str">
        <f>IF(ISEVEN(LEFT(AD140,4)),"Southbound","NorthBound")</f>
        <v>Southbound</v>
      </c>
      <c r="U140" s="190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191" t="str">
        <f>"https://d0f6bd738d7f1b3e5a7ca70fe4ff75f0.us-east-1.aws.found.io/app/kibana#/discover/Steve-Slow-Train-Analysis-(2080s-and-2083s)?_g="&amp;"(refreshInterval:(display:Off,pause:!f,section:0,value:0),time:(from:'"&amp;TEXT(E140-1/24,"yyyy-MM-DDThh:mm:ss")&amp;utc_offset&amp;"00"&amp;"',mode:absolute,to:'"&amp;TEXT(I140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140&amp;"%22')),sort:!(Time.ISO8601,asc))"</f>
        <v>https://d0f6bd738d7f1b3e5a7ca70fe4ff75f0.us-east-1.aws.found.io/app/kibana#/discover/Steve-Slow-Train-Analysis-(2080s-and-2083s)?_g=(refreshInterval:(display:Off,pause:!f,section:0,value:0),time:(from:'2017-02-07T20:21:29-0700',mode:absolute,to:'2017-02-07T23:03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0" s="192" t="str">
        <f>IF(AA140&lt;IF(AG140="EC",23,5.65),"Y","N")</f>
        <v>N</v>
      </c>
      <c r="X140" s="192">
        <f>VALUE(LEFT(AD140,4))-VALUE(LEFT(AD139,4))</f>
        <v>1</v>
      </c>
      <c r="Y140" s="62">
        <f>RIGHT(D140,LEN(D140)-4)/10000</f>
        <v>23.300999999999998</v>
      </c>
      <c r="Z140" s="62">
        <f>RIGHT(H140,LEN(H140)-4)/10000</f>
        <v>1.6500000000000001E-2</v>
      </c>
      <c r="AA140" s="62">
        <f>ABS(Z140-Y140)</f>
        <v>23.284499999999998</v>
      </c>
      <c r="AB140" s="59" t="e">
        <f>VLOOKUP(A140,Enforcements!$C$7:$K$14,8,0)</f>
        <v>#N/A</v>
      </c>
      <c r="AC140" s="55" t="e">
        <f>VLOOKUP(A140,Enforcements!$C$7:$E$14,3,0)</f>
        <v>#N/A</v>
      </c>
      <c r="AD140" s="56" t="str">
        <f>IF(LEN(A140)=6,"0"&amp;A140,A140)</f>
        <v>0228-07</v>
      </c>
      <c r="AE140" s="85" t="str">
        <f>"aws s3 cp "&amp;s3_bucket&amp;"/RTDC"&amp;B140&amp;"/ "&amp;search_path&amp;"\RTDC"&amp;B140&amp;"\"&amp;TEXT(F140,"YYYY-MM-DD")&amp;" --exclude ""*"" --recursive --include ""*"&amp;TEXT(F140,"YYYYMMDD")&amp;"*"" &amp; """&amp;walkandungz&amp;""" "&amp;search_path&amp;"\RTDC"&amp;B140&amp;"\"&amp;TEXT(F140,"YYYY-MM-DD")
&amp;" &amp; "&amp;"aws s3 cp "&amp;s3_bucket&amp;"/RTDC"&amp;B140&amp;"/ "&amp;search_path&amp;"\RTDC"&amp;B140&amp;"\"&amp;TEXT(F140+1,"YYYY-MM-DD")&amp;" --exclude ""*"" --recursive --include ""*"&amp;TEXT(F140+1,"YYYYMMDD")&amp;"*"" &amp; """&amp;walkandungz&amp;""" "&amp;search_path&amp;"\RTDC"&amp;B140&amp;"\"&amp;TEXT(F140+1,"YYYY-MM-DD")</f>
        <v>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 &amp; aws s3 cp s3://rtdc.mdm.uploadarchive.raw/RTDC4039/ "%USERPROFILE%\AppData\Local\Temp\OnboardLogs"\RTDC4039\2017-02-08 --exclude "*" --recursive --include "*20170208*" &amp; "%USERPROFILE%\Documents\GitHub\mrs-test-scripts\Headless Mode &amp; Sideloading\WalkAndUnGZ.bat" "%USERPROFILE%\AppData\Local\Temp\OnboardLogs"\RTDC4039\2017-02-08</v>
      </c>
      <c r="AF140" s="82" t="str">
        <f>astrogrep_path&amp;" /spath="&amp;search_path&amp;" /stypes=""app*"&amp;B140&amp;"*"&amp;TEXT(I140-utc_offset/24,"YYYYMMDD")&amp;"*"" /stext="" "&amp;TEXT(I140-utc_offset/24,"HH")&amp;search_regexp&amp;""" /e /r /s"</f>
        <v>"C:\Program Files (x86)\AstroGrep\AstroGrep.exe" /spath="%USERPROFILE%\AppData\Local\Temp\OnboardLogs" /stypes="app*4039*20170208*" /stext=" 05:.+((SYSTEM_STATE.+slice.+state.+changed )|(ment ac)|(multiple cpu faults)|(system.+state.+changed )|(\[timeout)|(PRM\|1\|D)|(kpr)|(kdp)|(\|lc)|(penalty))" /e /r /s</v>
      </c>
      <c r="AG140" s="1" t="str">
        <f>IFERROR(IF(VALUE(LEFT(AD140,2))&lt;=2,"EC",IF(OR(VALUE(LEFT(AD140,2))=8,VALUE(LEFT(AD140,2))=18),"NW","Other")),"Other")</f>
        <v>EC</v>
      </c>
      <c r="AH140" s="86" t="str">
        <f t="shared" si="6"/>
        <v>"%USERPROFILE%\Documents\GitHub\eaglep3\Utilities\RefineRTDCRunTimes.py" --tripid 228-07 --locoid 4039 --swversion DE.1.0.8.0 --startMP 204:233010 --initTime 2017-02-07T21:21:29 --startdatetime 2017-02-07T21:26:35 --delay 1 --endMP 204:165 --enddatetime 2017-02-07T22:03:39 --enforcementcount 0 &gt;&gt;C:\Users\stu\Documents\GitHub\eaglep3-reporting\EC\2017-02-07-refined-times.txt</v>
      </c>
      <c r="AI140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{"issue":{"subject":"","project_id":79,"tracker_id":40,"status_id":1,"priority_id":2,"assigned_to_id":23,"start_date":"2017-02-07","description":"","custom_fields":[{"id":1,"name":"Subdivision","value":"EC"},{"id":4,"name":"Milepost","value":"0.0165"},{"id":17,"name":"Train ID","value":"228-07"},{"id":16,"name":"Locomotive ID","value":"4039"},{"id":130,"name":"Impact","value":""},{"id":150,"name":"Time of Event (Mountain Time)","value":"22:03:39"},{"id":151,"name":"Denver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48"/>
      <c r="AK140" s="48"/>
      <c r="AL140" s="48"/>
      <c r="AM140" s="158" t="str">
        <f t="shared" si="8"/>
        <v>start /low /b %USERPROFILE%\Documents\GitHub\eaglep3\Utilities\DownloadLogsFromS3.py --loco 4039 --day 2017-02-07</v>
      </c>
      <c r="AN140" s="167" t="str">
        <f>"grep -SE -B400 ""CHR.+\|PRM\|1\|D.+(SWITCH|SIGNAL).+UNKNOWN"" "&amp;search_path&amp;"\RTDC"&amp;B140&amp;"\*"&amp;B140&amp;"*"&amp;TEXT(AVERAGE(F140,I140)-utc_offset/24,"YYYYMMDD")&amp;"*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"%USERPROFILE%\AppData\Local\Temp\OnboardLogs"\RTDC4039\*4039*20170208* | grep -SE "(Enforcement Action)|(\[TIMEOUT)|(CHR.+\|PRM\|1\|D.+(SWITCH|SIGNAL).+UNKNOWN)" - &gt;&gt; 2017-02-07-UncaughtWiMAX.txt</v>
      </c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s="20" customFormat="1" x14ac:dyDescent="0.25">
      <c r="A141" s="33" t="s">
        <v>675</v>
      </c>
      <c r="B141" s="7">
        <v>4016</v>
      </c>
      <c r="C141" s="21" t="s">
        <v>193</v>
      </c>
      <c r="D141" s="21" t="s">
        <v>242</v>
      </c>
      <c r="E141" s="13">
        <v>42773.871365740742</v>
      </c>
      <c r="F141" s="13">
        <v>42773.875405092593</v>
      </c>
      <c r="G141" s="7">
        <v>1</v>
      </c>
      <c r="H141" s="21" t="s">
        <v>307</v>
      </c>
      <c r="I141" s="13">
        <v>42773.901053240741</v>
      </c>
      <c r="J141" s="7">
        <v>0</v>
      </c>
      <c r="K141" s="98" t="str">
        <f>IF(ISEVEN(B141),(B141-1)&amp;"/"&amp;B141,B141&amp;"/"&amp;(B141+1))</f>
        <v>4015/4016</v>
      </c>
      <c r="L141" s="21" t="str">
        <f>VLOOKUP(A141,'Trips&amp;Operators'!$C$1:$G$99999,5,FALSE)</f>
        <v>CHANDLER KELVIN</v>
      </c>
      <c r="M141" s="6">
        <f>I141-F141</f>
        <v>2.5648148148320615E-2</v>
      </c>
      <c r="N141" s="7">
        <f>24*60*SUM($M141:$M141)</f>
        <v>36.933333333581686</v>
      </c>
      <c r="O141" s="7"/>
      <c r="P141" s="7"/>
      <c r="Q141" s="22"/>
      <c r="R141" s="22"/>
      <c r="S141" s="31">
        <f>SUM(U141:U141)/IF(AG141="EC",12,1)</f>
        <v>1</v>
      </c>
      <c r="T141" s="46" t="str">
        <f>IF(ISEVEN(LEFT(AD141,4)),"Southbound","NorthBound")</f>
        <v>NorthBound</v>
      </c>
      <c r="U141" s="190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191" t="str">
        <f>"https://d0f6bd738d7f1b3e5a7ca70fe4ff75f0.us-east-1.aws.found.io/app/kibana#/discover/Steve-Slow-Train-Analysis-(2080s-and-2083s)?_g="&amp;"(refreshInterval:(display:Off,pause:!f,section:0,value:0),time:(from:'"&amp;TEXT(E141-1/24,"yyyy-MM-DDThh:mm:ss")&amp;utc_offset&amp;"00"&amp;"',mode:absolute,to:'"&amp;TEXT(I141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141&amp;"%22')),sort:!(Time.ISO8601,asc))"</f>
        <v>https://d0f6bd738d7f1b3e5a7ca70fe4ff75f0.us-east-1.aws.found.io/app/kibana#/discover/Steve-Slow-Train-Analysis-(2080s-and-2083s)?_g=(refreshInterval:(display:Off,pause:!f,section:0,value:0),time:(from:'2017-02-07T19:54:46-0700',mode:absolute,to:'2017-02-07T22:37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1" s="192" t="str">
        <f>IF(AA141&lt;IF(AG141="EC",23,5.65),"Y","N")</f>
        <v>N</v>
      </c>
      <c r="X141" s="192">
        <f>VALUE(LEFT(AD141,4))-VALUE(LEFT(AD140,4))</f>
        <v>1</v>
      </c>
      <c r="Y141" s="62">
        <f>RIGHT(D141,LEN(D141)-4)/10000</f>
        <v>4.5999999999999999E-2</v>
      </c>
      <c r="Z141" s="62">
        <f>RIGHT(H141,LEN(H141)-4)/10000</f>
        <v>23.3278</v>
      </c>
      <c r="AA141" s="62">
        <f>ABS(Z141-Y141)</f>
        <v>23.2818</v>
      </c>
      <c r="AB141" s="59" t="e">
        <f>VLOOKUP(A141,Enforcements!$C$7:$K$14,8,0)</f>
        <v>#N/A</v>
      </c>
      <c r="AC141" s="55" t="e">
        <f>VLOOKUP(A141,Enforcements!$C$7:$E$14,3,0)</f>
        <v>#N/A</v>
      </c>
      <c r="AD141" s="56" t="str">
        <f>IF(LEN(A141)=6,"0"&amp;A141,A141)</f>
        <v>0229-07</v>
      </c>
      <c r="AE141" s="85" t="str">
        <f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s3://rtdc.mdm.uploadarchive.raw/RTDC4016/ "%USERPROFILE%\AppData\Local\Temp\OnboardLogs"\RTDC4016\2017-02-07 --exclude "*" --recursive --include "*20170207*" &amp; "%USERPROFILE%\Documents\GitHub\mrs-test-scripts\Headless Mode &amp; Sideloading\WalkAndUnGZ.bat" "%USERPROFILE%\AppData\Local\Temp\OnboardLogs"\RTDC4016\2017-02-07 &amp; aws s3 cp s3://rtdc.mdm.uploadarchive.raw/RTDC4016/ "%USERPROFILE%\AppData\Local\Temp\OnboardLogs"\RTDC4016\2017-02-08 --exclude "*" --recursive --include "*20170208*" &amp; "%USERPROFILE%\Documents\GitHub\mrs-test-scripts\Headless Mode &amp; Sideloading\WalkAndUnGZ.bat" "%USERPROFILE%\AppData\Local\Temp\OnboardLogs"\RTDC4016\2017-02-08</v>
      </c>
      <c r="AF141" s="82" t="str">
        <f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/stypes="app*4016*20170208*" /stext=" 04:.+((SYSTEM_STATE.+slice.+state.+changed )|(ment ac)|(multiple cpu faults)|(system.+state.+changed )|(\[timeout)|(PRM\|1\|D)|(kpr)|(kdp)|(\|lc)|(penalty))" /e /r /s</v>
      </c>
      <c r="AG141" s="1" t="str">
        <f>IFERROR(IF(VALUE(LEFT(AD141,2))&lt;=2,"EC",IF(OR(VALUE(LEFT(AD141,2))=8,VALUE(LEFT(AD141,2))=18),"NW","Other")),"Other")</f>
        <v>EC</v>
      </c>
      <c r="AH141" s="86" t="str">
        <f t="shared" si="6"/>
        <v>"%USERPROFILE%\Documents\GitHub\eaglep3\Utilities\RefineRTDCRunTimes.py" --tripid 229-07 --locoid 4016 --swversion DE.1.0.8.0 --startMP 204:460 --initTime 2017-02-07T20:54:46 --startdatetime 2017-02-07T21:00:35 --delay 1 --endMP 204:233278 --enddatetime 2017-02-07T21:37:31 --enforcementcount 0 &gt;&gt;C:\Users\stu\Documents\GitHub\eaglep3-reporting\EC\2017-02-07-refined-times.txt</v>
      </c>
      <c r="AI141" s="108" t="str">
        <f t="shared" si="7"/>
        <v>echo {"issue":{"subject":"","project_id":79,"tracker_id":40,"status_id":1,"priority_id":2,"assigned_to_id":23,"start_date":"2017-02-07","description":"","custom_fields":[{"id":1,"name":"Subdivision","value":"EC"},{"id":4,"name":"Milepost","value":"23.3278"},{"id":17,"name":"Train ID","value":"229-07"},{"id":16,"name":"Locomotive ID","value":"4016"},{"id":130,"name":"Impact","value":""},{"id":150,"name":"Time of Event (Mountain Time)","value":"21:37:31"},{"id":151,"name":"Denver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48"/>
      <c r="AK141" s="48"/>
      <c r="AL141" s="48"/>
      <c r="AM141" s="158" t="str">
        <f t="shared" si="8"/>
        <v>start /low /b %USERPROFILE%\Documents\GitHub\eaglep3\Utilities\DownloadLogsFromS3.py --loco 4016 --day 2017-02-07</v>
      </c>
      <c r="AN141" s="167" t="str">
        <f>"grep -SE -B400 ""CHR.+\|PRM\|1\|D.+(SWITCH|SIGNAL).+UNKNOWN"" "&amp;search_path&amp;"\RTDC"&amp;B141&amp;"\*"&amp;B141&amp;"*"&amp;TEXT(AVERAGE(F141,I141)-utc_offset/24,"YYYYMMDD")&amp;"*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"%USERPROFILE%\AppData\Local\Temp\OnboardLogs"\RTDC4016\*4016*20170208* | grep -SE "(Enforcement Action)|(\[TIMEOUT)|(CHR.+\|PRM\|1\|D.+(SWITCH|SIGNAL).+UNKNOWN)" - &gt;&gt; 2017-02-07-UncaughtWiMAX.txt</v>
      </c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</row>
    <row r="142" spans="1:91" s="20" customFormat="1" x14ac:dyDescent="0.25">
      <c r="A142" s="33" t="s">
        <v>681</v>
      </c>
      <c r="B142" s="7">
        <v>4015</v>
      </c>
      <c r="C142" s="21" t="s">
        <v>193</v>
      </c>
      <c r="D142" s="21" t="s">
        <v>309</v>
      </c>
      <c r="E142" s="13">
        <v>42773.911597222221</v>
      </c>
      <c r="F142" s="13">
        <v>42773.914120370369</v>
      </c>
      <c r="G142" s="7">
        <v>1</v>
      </c>
      <c r="H142" s="21" t="s">
        <v>424</v>
      </c>
      <c r="I142" s="13">
        <v>42773.94226851852</v>
      </c>
      <c r="J142" s="7">
        <v>0</v>
      </c>
      <c r="K142" s="98" t="str">
        <f>IF(ISEVEN(B142),(B142-1)&amp;"/"&amp;B142,B142&amp;"/"&amp;(B142+1))</f>
        <v>4015/4016</v>
      </c>
      <c r="L142" s="21" t="str">
        <f>VLOOKUP(A142,'Trips&amp;Operators'!$C$1:$G$99999,5,FALSE)</f>
        <v>CHANDLER KELVIN</v>
      </c>
      <c r="M142" s="6">
        <f>I142-F142</f>
        <v>2.8148148150648922E-2</v>
      </c>
      <c r="N142" s="7">
        <f>24*60*SUM($M142:$M142)</f>
        <v>40.533333336934447</v>
      </c>
      <c r="O142" s="7"/>
      <c r="P142" s="7"/>
      <c r="Q142" s="22"/>
      <c r="R142" s="22"/>
      <c r="S142" s="31">
        <f>SUM(U142:U142)/IF(AG142="EC",12,1)</f>
        <v>1</v>
      </c>
      <c r="T142" s="46" t="str">
        <f>IF(ISEVEN(LEFT(AD142,4)),"Southbound","NorthBound")</f>
        <v>Southbound</v>
      </c>
      <c r="U142" s="190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191" t="str">
        <f>"https://d0f6bd738d7f1b3e5a7ca70fe4ff75f0.us-east-1.aws.found.io/app/kibana#/discover/Steve-Slow-Train-Analysis-(2080s-and-2083s)?_g="&amp;"(refreshInterval:(display:Off,pause:!f,section:0,value:0),time:(from:'"&amp;TEXT(E142-1/24,"yyyy-MM-DDThh:mm:ss")&amp;utc_offset&amp;"00"&amp;"',mode:absolute,to:'"&amp;TEXT(I142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142&amp;"%22')),sort:!(Time.ISO8601,asc))"</f>
        <v>https://d0f6bd738d7f1b3e5a7ca70fe4ff75f0.us-east-1.aws.found.io/app/kibana#/discover/Steve-Slow-Train-Analysis-(2080s-and-2083s)?_g=(refreshInterval:(display:Off,pause:!f,section:0,value:0),time:(from:'2017-02-07T20:52:42-0700',mode:absolute,to:'2017-02-07T23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42" s="192" t="str">
        <f>IF(AA142&lt;IF(AG142="EC",23,5.65),"Y","N")</f>
        <v>N</v>
      </c>
      <c r="X142" s="192">
        <f>VALUE(LEFT(AD142,4))-VALUE(LEFT(AD141,4))</f>
        <v>1</v>
      </c>
      <c r="Y142" s="62">
        <f>RIGHT(D142,LEN(D142)-4)/10000</f>
        <v>23.297599999999999</v>
      </c>
      <c r="Z142" s="62">
        <f>RIGHT(H142,LEN(H142)-4)/10000</f>
        <v>1.9400000000000001E-2</v>
      </c>
      <c r="AA142" s="62">
        <f>ABS(Z142-Y142)</f>
        <v>23.278199999999998</v>
      </c>
      <c r="AB142" s="59" t="e">
        <f>VLOOKUP(A142,Enforcements!$C$7:$K$14,8,0)</f>
        <v>#N/A</v>
      </c>
      <c r="AC142" s="55" t="e">
        <f>VLOOKUP(A142,Enforcements!$C$7:$E$14,3,0)</f>
        <v>#N/A</v>
      </c>
      <c r="AD142" s="56" t="str">
        <f>IF(LEN(A142)=6,"0"&amp;A142,A142)</f>
        <v>0230-07</v>
      </c>
      <c r="AE142" s="85" t="str">
        <f>"aws s3 cp "&amp;s3_bucket&amp;"/RTDC"&amp;B142&amp;"/ "&amp;search_path&amp;"\RTDC"&amp;B142&amp;"\"&amp;TEXT(F142,"YYYY-MM-DD")&amp;" --exclude ""*"" --recursive --include ""*"&amp;TEXT(F142,"YYYYMMDD")&amp;"*"" &amp; """&amp;walkandungz&amp;""" "&amp;search_path&amp;"\RTDC"&amp;B142&amp;"\"&amp;TEXT(F142,"YYYY-MM-DD")
&amp;" &amp; "&amp;"aws s3 cp "&amp;s3_bucket&amp;"/RTDC"&amp;B142&amp;"/ "&amp;search_path&amp;"\RTDC"&amp;B142&amp;"\"&amp;TEXT(F142+1,"YYYY-MM-DD")&amp;" --exclude ""*"" --recursive --include ""*"&amp;TEXT(F142+1,"YYYYMMDD")&amp;"*"" &amp; """&amp;walkandungz&amp;""" "&amp;search_path&amp;"\RTDC"&amp;B142&amp;"\"&amp;TEXT(F142+1,"YYYY-MM-DD")</f>
        <v>aws s3 cp s3://rtdc.mdm.uploadarchive.raw/RTDC4015/ "%USERPROFILE%\AppData\Local\Temp\OnboardLogs"\RTDC4015\2017-02-07 --exclude "*" --recursive --include "*20170207*" &amp; "%USERPROFILE%\Documents\GitHub\mrs-test-scripts\Headless Mode &amp; Sideloading\WalkAndUnGZ.bat" "%USERPROFILE%\AppData\Local\Temp\OnboardLogs"\RTDC4015\2017-02-07 &amp; aws s3 cp s3://rtdc.mdm.uploadarchive.raw/RTDC4015/ "%USERPROFILE%\AppData\Local\Temp\OnboardLogs"\RTDC4015\2017-02-08 --exclude "*" --recursive --include "*20170208*" &amp; "%USERPROFILE%\Documents\GitHub\mrs-test-scripts\Headless Mode &amp; Sideloading\WalkAndUnGZ.bat" "%USERPROFILE%\AppData\Local\Temp\OnboardLogs"\RTDC4015\2017-02-08</v>
      </c>
      <c r="AF142" s="82" t="str">
        <f>astrogrep_path&amp;" /spath="&amp;search_path&amp;" /stypes=""app*"&amp;B142&amp;"*"&amp;TEXT(I142-utc_offset/24,"YYYYMMDD")&amp;"*"" /stext="" "&amp;TEXT(I142-utc_offset/24,"HH")&amp;search_regexp&amp;""" /e /r /s"</f>
        <v>"C:\Program Files (x86)\AstroGrep\AstroGrep.exe" /spath="%USERPROFILE%\AppData\Local\Temp\OnboardLogs" /stypes="app*4015*20170208*" /stext=" 05:.+((SYSTEM_STATE.+slice.+state.+changed )|(ment ac)|(multiple cpu faults)|(system.+state.+changed )|(\[timeout)|(PRM\|1\|D)|(kpr)|(kdp)|(\|lc)|(penalty))" /e /r /s</v>
      </c>
      <c r="AG142" s="1" t="str">
        <f>IFERROR(IF(VALUE(LEFT(AD142,2))&lt;=2,"EC",IF(OR(VALUE(LEFT(AD142,2))=8,VALUE(LEFT(AD142,2))=18),"NW","Other")),"Other")</f>
        <v>EC</v>
      </c>
      <c r="AH142" s="86" t="str">
        <f t="shared" ref="AH142:AH205" si="9">refinertdcruntimes&amp;" --tripid "&amp;A142&amp;" --locoid "&amp;B142&amp;" --swversion "&amp;C142&amp;" --startMP "&amp;D142&amp;" --initTime "&amp;TEXT(E142,"yyyy-mm-ddTHH:MM:SS")&amp;" --startdatetime "&amp;TEXT(F142,"yyyy-mm-ddTHH:MM:SS")&amp;" --delay "&amp;G142&amp;" --endMP "&amp;H142&amp;" --enddatetime "&amp;TEXT(I142,"yyyy-mm-ddTHH:MM:SS")&amp;" --enforcementcount "&amp;J142&amp;IF(outputrefinedruntimes," &gt;&gt;"&amp;RefinedRTDCRunTimesOutputFile,"")</f>
        <v>"%USERPROFILE%\Documents\GitHub\eaglep3\Utilities\RefineRTDCRunTimes.py" --tripid 230-07 --locoid 4015 --swversion DE.1.0.8.0 --startMP 204:232976 --initTime 2017-02-07T21:52:42 --startdatetime 2017-02-07T21:56:20 --delay 1 --endMP 204:194 --enddatetime 2017-02-07T22:36:52 --enforcementcount 0 &gt;&gt;C:\Users\stu\Documents\GitHub\eaglep3-reporting\EC\2017-02-07-refined-times.txt</v>
      </c>
      <c r="AI142" s="108" t="str">
        <f t="shared" ref="AI142:AI205" si="10">"echo {""issue"":{""subject"":"""&amp;R142&amp;""",""project_id"":79,""tracker_id"":40,""status_id"":"&amp;redmine_status&amp;",""priority_id"":"&amp;redmine_priority&amp;",""assigned_to_id"":"&amp;redmine_assignee&amp;",""start_date"":"""&amp;TEXT(I142,"YYYY-mm-dd")&amp;""",""description"":"""&amp;AJ142&amp;""",""custom_fields"":[{""id"":1,""name"":""Subdivision"",""value"":"""&amp;AG142&amp;"""},{""id"":4,""name"":""Milepost"",""value"":"""&amp;Z142&amp;"""},{""id"":17,""name"":""Train ID"",""value"":"""&amp;A142&amp;"""},{""id"":16,""name"":""Locomotive ID"",""value"":"""&amp;B142&amp;"""},{""id"":130,""name"":""Impact"",""value"":"""&amp;AK142&amp;"""},{""id"":150,""name"":""Time of Event (Mountain Time)"",""value"":"""&amp;TEXT(I142,"hh:mm:ss")&amp;"""},{""id"":151,""name"":""Denver Issue ID"",""value"":"""&amp;"""},{""id"":178,""name"":""Operational Impact"",""value"":"""&amp;redmine_op_impact&amp;"""},{""id"":179,""name"":""Denver Segment Assigned"",""value"":"""&amp;AL142&amp;"""}]}}"&amp;"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{"issue":{"subject":"","project_id":79,"tracker_id":40,"status_id":1,"priority_id":2,"assigned_to_id":23,"start_date":"2017-02-07","description":"","custom_fields":[{"id":1,"name":"Subdivision","value":"EC"},{"id":4,"name":"Milepost","value":"0.0194"},{"id":17,"name":"Train ID","value":"230-07"},{"id":16,"name":"Locomotive ID","value":"4015"},{"id":130,"name":"Impact","value":""},{"id":150,"name":"Time of Event (Mountain Time)","value":"22:36:52"},{"id":151,"name":"Denver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48"/>
      <c r="AK142" s="48"/>
      <c r="AL142" s="48"/>
      <c r="AM142" s="158" t="str">
        <f t="shared" ref="AM142:AM205" si="11">"start /low /b "&amp;dls3logs&amp;" --loco "&amp;B142&amp;" --day "&amp;TEXT(F142,"YYYY-MM-DD")</f>
        <v>start /low /b %USERPROFILE%\Documents\GitHub\eaglep3\Utilities\DownloadLogsFromS3.py --loco 4015 --day 2017-02-07</v>
      </c>
      <c r="AN142" s="167" t="str">
        <f>"grep -SE -B400 ""CHR.+\|PRM\|1\|D.+(SWITCH|SIGNAL).+UNKNOWN"" "&amp;search_path&amp;"\RTDC"&amp;B142&amp;"\*"&amp;B142&amp;"*"&amp;TEXT(AVERAGE(F142,I142)-utc_offset/24,"YYYYMMDD")&amp;"*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"%USERPROFILE%\AppData\Local\Temp\OnboardLogs"\RTDC4015\*4015*20170208* | grep -SE "(Enforcement Action)|(\[TIMEOUT)|(CHR.+\|PRM\|1\|D.+(SWITCH|SIGNAL).+UNKNOWN)" - &gt;&gt; 2017-02-07-UncaughtWiMAX.txt</v>
      </c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</row>
    <row r="143" spans="1:91" s="20" customFormat="1" x14ac:dyDescent="0.25">
      <c r="A143" s="33" t="s">
        <v>677</v>
      </c>
      <c r="B143" s="7">
        <v>4031</v>
      </c>
      <c r="C143" s="21" t="s">
        <v>193</v>
      </c>
      <c r="D143" s="21" t="s">
        <v>354</v>
      </c>
      <c r="E143" s="13">
        <v>42773.881307870368</v>
      </c>
      <c r="F143" s="13">
        <v>42773.896215277775</v>
      </c>
      <c r="G143" s="7">
        <v>1</v>
      </c>
      <c r="H143" s="21" t="s">
        <v>389</v>
      </c>
      <c r="I143" s="13">
        <v>42773.9218287037</v>
      </c>
      <c r="J143" s="7">
        <v>0</v>
      </c>
      <c r="K143" s="98" t="str">
        <f>IF(ISEVEN(B143),(B143-1)&amp;"/"&amp;B143,B143&amp;"/"&amp;(B143+1))</f>
        <v>4031/4032</v>
      </c>
      <c r="L143" s="21" t="str">
        <f>VLOOKUP(A143,'Trips&amp;Operators'!$C$1:$G$99999,5,FALSE)</f>
        <v>SAFIEF AEIMEN</v>
      </c>
      <c r="M143" s="6">
        <f>I143-F143</f>
        <v>2.5613425925257616E-2</v>
      </c>
      <c r="N143" s="7">
        <f>24*60*SUM($M143:$M143)</f>
        <v>36.883333332370967</v>
      </c>
      <c r="O143" s="7"/>
      <c r="P143" s="7"/>
      <c r="Q143" s="22"/>
      <c r="R143" s="22"/>
      <c r="S143" s="31">
        <f>SUM(U143:U143)/IF(AG143="EC",12,1)</f>
        <v>1</v>
      </c>
      <c r="T143" s="46" t="str">
        <f>IF(ISEVEN(LEFT(AD143,4)),"Southbound","NorthBound")</f>
        <v>NorthBound</v>
      </c>
      <c r="U143" s="190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191" t="str">
        <f>"https://d0f6bd738d7f1b3e5a7ca70fe4ff75f0.us-east-1.aws.found.io/app/kibana#/discover/Steve-Slow-Train-Analysis-(2080s-and-2083s)?_g="&amp;"(refreshInterval:(display:Off,pause:!f,section:0,value:0),time:(from:'"&amp;TEXT(E143-1/24,"yyyy-MM-DDThh:mm:ss")&amp;utc_offset&amp;"00"&amp;"',mode:absolute,to:'"&amp;TEXT(I143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143&amp;"%22')),sort:!(Time.ISO8601,asc))"</f>
        <v>https://d0f6bd738d7f1b3e5a7ca70fe4ff75f0.us-east-1.aws.found.io/app/kibana#/discover/Steve-Slow-Train-Analysis-(2080s-and-2083s)?_g=(refreshInterval:(display:Off,pause:!f,section:0,value:0),time:(from:'2017-02-07T20:09:05-0700',mode:absolute,to:'2017-02-07T23:07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43" s="192" t="str">
        <f>IF(AA143&lt;IF(AG143="EC",23,5.65),"Y","N")</f>
        <v>N</v>
      </c>
      <c r="X143" s="192">
        <f>VALUE(LEFT(AD143,4))-VALUE(LEFT(AD142,4))</f>
        <v>1</v>
      </c>
      <c r="Y143" s="62">
        <f>RIGHT(D143,LEN(D143)-4)/10000</f>
        <v>4.6600000000000003E-2</v>
      </c>
      <c r="Z143" s="62">
        <f>RIGHT(H143,LEN(H143)-4)/10000</f>
        <v>23.331900000000001</v>
      </c>
      <c r="AA143" s="62">
        <f>ABS(Z143-Y143)</f>
        <v>23.285299999999999</v>
      </c>
      <c r="AB143" s="59" t="e">
        <f>VLOOKUP(A143,Enforcements!$C$7:$K$14,8,0)</f>
        <v>#N/A</v>
      </c>
      <c r="AC143" s="55" t="e">
        <f>VLOOKUP(A143,Enforcements!$C$7:$E$14,3,0)</f>
        <v>#N/A</v>
      </c>
      <c r="AD143" s="56" t="str">
        <f>IF(LEN(A143)=6,"0"&amp;A143,A143)</f>
        <v>0231-07</v>
      </c>
      <c r="AE143" s="85" t="str">
        <f>"aws s3 cp "&amp;s3_bucket&amp;"/RTDC"&amp;B143&amp;"/ "&amp;search_path&amp;"\RTDC"&amp;B143&amp;"\"&amp;TEXT(F143,"YYYY-MM-DD")&amp;" --exclude ""*"" --recursive --include ""*"&amp;TEXT(F143,"YYYYMMDD")&amp;"*"" &amp; """&amp;walkandungz&amp;""" "&amp;search_path&amp;"\RTDC"&amp;B143&amp;"\"&amp;TEXT(F143,"YYYY-MM-DD")
&amp;" &amp; "&amp;"aws s3 cp "&amp;s3_bucket&amp;"/RTDC"&amp;B143&amp;"/ "&amp;search_path&amp;"\RTDC"&amp;B143&amp;"\"&amp;TEXT(F143+1,"YYYY-MM-DD")&amp;" --exclude ""*"" --recursive --include ""*"&amp;TEXT(F143+1,"YYYYMMDD")&amp;"*"" &amp; """&amp;walkandungz&amp;""" "&amp;search_path&amp;"\RTDC"&amp;B143&amp;"\"&amp;TEXT(F143+1,"YYYY-MM-DD")</f>
        <v>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 &amp; aws s3 cp s3://rtdc.mdm.uploadarchive.raw/RTDC4031/ "%USERPROFILE%\AppData\Local\Temp\OnboardLogs"\RTDC4031\2017-02-08 --exclude "*" --recursive --include "*20170208*" &amp; "%USERPROFILE%\Documents\GitHub\mrs-test-scripts\Headless Mode &amp; Sideloading\WalkAndUnGZ.bat" "%USERPROFILE%\AppData\Local\Temp\OnboardLogs"\RTDC4031\2017-02-08</v>
      </c>
      <c r="AF143" s="82" t="str">
        <f>astrogrep_path&amp;" /spath="&amp;search_path&amp;" /stypes=""app*"&amp;B143&amp;"*"&amp;TEXT(I143-utc_offset/24,"YYYYMMDD")&amp;"*"" /stext="" "&amp;TEXT(I143-utc_offset/24,"HH")&amp;search_regexp&amp;""" /e /r /s"</f>
        <v>"C:\Program Files (x86)\AstroGrep\AstroGrep.exe" /spath="%USERPROFILE%\AppData\Local\Temp\OnboardLogs" /stypes="app*4031*20170208*" /stext=" 05:.+((SYSTEM_STATE.+slice.+state.+changed )|(ment ac)|(multiple cpu faults)|(system.+state.+changed )|(\[timeout)|(PRM\|1\|D)|(kpr)|(kdp)|(\|lc)|(penalty))" /e /r /s</v>
      </c>
      <c r="AG143" s="1" t="str">
        <f>IFERROR(IF(VALUE(LEFT(AD143,2))&lt;=2,"EC",IF(OR(VALUE(LEFT(AD143,2))=8,VALUE(LEFT(AD143,2))=18),"NW","Other")),"Other")</f>
        <v>EC</v>
      </c>
      <c r="AH143" s="86" t="str">
        <f t="shared" si="9"/>
        <v>"%USERPROFILE%\Documents\GitHub\eaglep3\Utilities\RefineRTDCRunTimes.py" --tripid 231-07 --locoid 4031 --swversion DE.1.0.8.0 --startMP 204:466 --initTime 2017-02-07T21:09:05 --startdatetime 2017-02-07T21:30:33 --delay 1 --endMP 204:233319 --enddatetime 2017-02-07T22:07:26 --enforcementcount 0 &gt;&gt;C:\Users\stu\Documents\GitHub\eaglep3-reporting\EC\2017-02-07-refined-times.txt</v>
      </c>
      <c r="AI143" s="108" t="str">
        <f t="shared" si="10"/>
        <v>echo {"issue":{"subject":"","project_id":79,"tracker_id":40,"status_id":1,"priority_id":2,"assigned_to_id":23,"start_date":"2017-02-07","description":"","custom_fields":[{"id":1,"name":"Subdivision","value":"EC"},{"id":4,"name":"Milepost","value":"23.3319"},{"id":17,"name":"Train ID","value":"231-07"},{"id":16,"name":"Locomotive ID","value":"4031"},{"id":130,"name":"Impact","value":""},{"id":150,"name":"Time of Event (Mountain Time)","value":"22:07:26"},{"id":151,"name":"Denver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48"/>
      <c r="AK143" s="48"/>
      <c r="AL143" s="48"/>
      <c r="AM143" s="158" t="str">
        <f t="shared" si="11"/>
        <v>start /low /b %USERPROFILE%\Documents\GitHub\eaglep3\Utilities\DownloadLogsFromS3.py --loco 4031 --day 2017-02-07</v>
      </c>
      <c r="AN143" s="167" t="str">
        <f>"grep -SE -B400 ""CHR.+\|PRM\|1\|D.+(SWITCH|SIGNAL).+UNKNOWN"" "&amp;search_path&amp;"\RTDC"&amp;B143&amp;"\*"&amp;B143&amp;"*"&amp;TEXT(AVERAGE(F143,I143)-utc_offset/24,"YYYYMMDD")&amp;"*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"%USERPROFILE%\AppData\Local\Temp\OnboardLogs"\RTDC4031\*4031*20170208* | grep -SE "(Enforcement Action)|(\[TIMEOUT)|(CHR.+\|PRM\|1\|D.+(SWITCH|SIGNAL).+UNKNOWN)" - &gt;&gt; 2017-02-07-UncaughtWiMAX.txt</v>
      </c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0" customFormat="1" x14ac:dyDescent="0.25">
      <c r="A144" s="33" t="s">
        <v>683</v>
      </c>
      <c r="B144" s="7">
        <v>4032</v>
      </c>
      <c r="C144" s="21" t="s">
        <v>193</v>
      </c>
      <c r="D144" s="21" t="s">
        <v>332</v>
      </c>
      <c r="E144" s="13">
        <v>42773.924317129633</v>
      </c>
      <c r="F144" s="13">
        <v>42773.934942129628</v>
      </c>
      <c r="G144" s="7">
        <v>1</v>
      </c>
      <c r="H144" s="21" t="s">
        <v>207</v>
      </c>
      <c r="I144" s="13">
        <v>42773.962256944447</v>
      </c>
      <c r="J144" s="7">
        <v>0</v>
      </c>
      <c r="K144" s="98" t="str">
        <f>IF(ISEVEN(B144),(B144-1)&amp;"/"&amp;B144,B144&amp;"/"&amp;(B144+1))</f>
        <v>4031/4032</v>
      </c>
      <c r="L144" s="21" t="str">
        <f>VLOOKUP(A144,'Trips&amp;Operators'!$C$1:$G$99999,5,FALSE)</f>
        <v>SAFIEF AEIMEN</v>
      </c>
      <c r="M144" s="6">
        <f>I144-F144</f>
        <v>2.7314814818964805E-2</v>
      </c>
      <c r="N144" s="7">
        <f>24*60*SUM($M144:$M144)</f>
        <v>39.33333333930932</v>
      </c>
      <c r="O144" s="7"/>
      <c r="P144" s="7"/>
      <c r="Q144" s="22"/>
      <c r="R144" s="22"/>
      <c r="S144" s="31">
        <f>SUM(U144:U144)/IF(AG144="EC",12,1)</f>
        <v>1</v>
      </c>
      <c r="T144" s="46" t="str">
        <f>IF(ISEVEN(LEFT(AD144,4)),"Southbound","NorthBound")</f>
        <v>Southbound</v>
      </c>
      <c r="U144" s="190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191" t="str">
        <f>"https://d0f6bd738d7f1b3e5a7ca70fe4ff75f0.us-east-1.aws.found.io/app/kibana#/discover/Steve-Slow-Train-Analysis-(2080s-and-2083s)?_g="&amp;"(refreshInterval:(display:Off,pause:!f,section:0,value:0),time:(from:'"&amp;TEXT(E144-1/24,"yyyy-MM-DDThh:mm:ss")&amp;utc_offset&amp;"00"&amp;"',mode:absolute,to:'"&amp;TEXT(I144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144&amp;"%22')),sort:!(Time.ISO8601,asc))"</f>
        <v>https://d0f6bd738d7f1b3e5a7ca70fe4ff75f0.us-east-1.aws.found.io/app/kibana#/discover/Steve-Slow-Train-Analysis-(2080s-and-2083s)?_g=(refreshInterval:(display:Off,pause:!f,section:0,value:0),time:(from:'2017-02-07T21:11:01-0700',mode:absolute,to:'2017-02-08T00:05:39-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44" s="192" t="str">
        <f>IF(AA144&lt;IF(AG144="EC",23,5.65),"Y","N")</f>
        <v>N</v>
      </c>
      <c r="X144" s="192">
        <f>VALUE(LEFT(AD144,4))-VALUE(LEFT(AD143,4))</f>
        <v>1</v>
      </c>
      <c r="Y144" s="62">
        <f>RIGHT(D144,LEN(D144)-4)/10000</f>
        <v>23.299099999999999</v>
      </c>
      <c r="Z144" s="62">
        <f>RIGHT(H144,LEN(H144)-4)/10000</f>
        <v>1.6E-2</v>
      </c>
      <c r="AA144" s="62">
        <f>ABS(Z144-Y144)</f>
        <v>23.283100000000001</v>
      </c>
      <c r="AB144" s="59" t="e">
        <f>VLOOKUP(A144,Enforcements!$C$7:$K$14,8,0)</f>
        <v>#N/A</v>
      </c>
      <c r="AC144" s="55" t="e">
        <f>VLOOKUP(A144,Enforcements!$C$7:$E$14,3,0)</f>
        <v>#N/A</v>
      </c>
      <c r="AD144" s="56" t="str">
        <f>IF(LEN(A144)=6,"0"&amp;A144,A144)</f>
        <v>0232-07</v>
      </c>
      <c r="AE144" s="85" t="str">
        <f>"aws s3 cp "&amp;s3_bucket&amp;"/RTDC"&amp;B144&amp;"/ "&amp;search_path&amp;"\RTDC"&amp;B144&amp;"\"&amp;TEXT(F144,"YYYY-MM-DD")&amp;" --exclude ""*"" --recursive --include ""*"&amp;TEXT(F144,"YYYYMMDD")&amp;"*"" &amp; """&amp;walkandungz&amp;""" "&amp;search_path&amp;"\RTDC"&amp;B144&amp;"\"&amp;TEXT(F144,"YYYY-MM-DD")
&amp;" &amp; "&amp;"aws s3 cp "&amp;s3_bucket&amp;"/RTDC"&amp;B144&amp;"/ "&amp;search_path&amp;"\RTDC"&amp;B144&amp;"\"&amp;TEXT(F144+1,"YYYY-MM-DD")&amp;" --exclude ""*"" --recursive --include ""*"&amp;TEXT(F144+1,"YYYYMMDD")&amp;"*"" &amp; """&amp;walkandungz&amp;""" "&amp;search_path&amp;"\RTDC"&amp;B144&amp;"\"&amp;TEXT(F144+1,"YYYY-MM-DD")</f>
        <v>aws s3 cp s3://rtdc.mdm.uploadarchive.raw/RTDC4032/ "%USERPROFILE%\AppData\Local\Temp\OnboardLogs"\RTDC4032\2017-02-07 --exclude "*" --recursive --include "*20170207*" &amp; "%USERPROFILE%\Documents\GitHub\mrs-test-scripts\Headless Mode &amp; Sideloading\WalkAndUnGZ.bat" "%USERPROFILE%\AppData\Local\Temp\OnboardLogs"\RTDC4032\2017-02-07 &amp; aws s3 cp s3://rtdc.mdm.uploadarchive.raw/RTDC4032/ "%USERPROFILE%\AppData\Local\Temp\OnboardLogs"\RTDC4032\2017-02-08 --exclude "*" --recursive --include "*20170208*" &amp; "%USERPROFILE%\Documents\GitHub\mrs-test-scripts\Headless Mode &amp; Sideloading\WalkAndUnGZ.bat" "%USERPROFILE%\AppData\Local\Temp\OnboardLogs"\RTDC4032\2017-02-08</v>
      </c>
      <c r="AF144" s="82" t="str">
        <f>astrogrep_path&amp;" /spath="&amp;search_path&amp;" /stypes=""app*"&amp;B144&amp;"*"&amp;TEXT(I144-utc_offset/24,"YYYYMMDD")&amp;"*"" /stext="" "&amp;TEXT(I144-utc_offset/24,"HH")&amp;search_regexp&amp;""" /e /r /s"</f>
        <v>"C:\Program Files (x86)\AstroGrep\AstroGrep.exe" /spath="%USERPROFILE%\AppData\Local\Temp\OnboardLogs" /stypes="app*4032*20170208*" /stext=" 06:.+((SYSTEM_STATE.+slice.+state.+changed )|(ment ac)|(multiple cpu faults)|(system.+state.+changed )|(\[timeout)|(PRM\|1\|D)|(kpr)|(kdp)|(\|lc)|(penalty))" /e /r /s</v>
      </c>
      <c r="AG144" s="1" t="str">
        <f>IFERROR(IF(VALUE(LEFT(AD144,2))&lt;=2,"EC",IF(OR(VALUE(LEFT(AD144,2))=8,VALUE(LEFT(AD144,2))=18),"NW","Other")),"Other")</f>
        <v>EC</v>
      </c>
      <c r="AH144" s="86" t="str">
        <f t="shared" si="9"/>
        <v>"%USERPROFILE%\Documents\GitHub\eaglep3\Utilities\RefineRTDCRunTimes.py" --tripid 232-07 --locoid 4032 --swversion DE.1.0.8.0 --startMP 204:232991 --initTime 2017-02-07T22:11:01 --startdatetime 2017-02-07T22:26:19 --delay 1 --endMP 204:160 --enddatetime 2017-02-07T23:05:39 --enforcementcount 0 &gt;&gt;C:\Users\stu\Documents\GitHub\eaglep3-reporting\EC\2017-02-07-refined-times.txt</v>
      </c>
      <c r="AI144" s="108" t="str">
        <f t="shared" si="10"/>
        <v>echo {"issue":{"subject":"","project_id":79,"tracker_id":40,"status_id":1,"priority_id":2,"assigned_to_id":23,"start_date":"2017-02-07","description":"","custom_fields":[{"id":1,"name":"Subdivision","value":"EC"},{"id":4,"name":"Milepost","value":"0.016"},{"id":17,"name":"Train ID","value":"232-07"},{"id":16,"name":"Locomotive ID","value":"4032"},{"id":130,"name":"Impact","value":""},{"id":150,"name":"Time of Event (Mountain Time)","value":"23:05:39"},{"id":151,"name":"Denver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48"/>
      <c r="AK144" s="48"/>
      <c r="AL144" s="48"/>
      <c r="AM144" s="158" t="str">
        <f t="shared" si="11"/>
        <v>start /low /b %USERPROFILE%\Documents\GitHub\eaglep3\Utilities\DownloadLogsFromS3.py --loco 4032 --day 2017-02-07</v>
      </c>
      <c r="AN144" s="167" t="str">
        <f>"grep -SE -B400 ""CHR.+\|PRM\|1\|D.+(SWITCH|SIGNAL).+UNKNOWN"" "&amp;search_path&amp;"\RTDC"&amp;B144&amp;"\*"&amp;B144&amp;"*"&amp;TEXT(AVERAGE(F144,I144)-utc_offset/24,"YYYYMMDD")&amp;"*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"%USERPROFILE%\AppData\Local\Temp\OnboardLogs"\RTDC4032\*4032*20170208* | grep -SE "(Enforcement Action)|(\[TIMEOUT)|(CHR.+\|PRM\|1\|D.+(SWITCH|SIGNAL).+UNKNOWN)" - &gt;&gt; 2017-02-07-UncaughtWiMAX.txt</v>
      </c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0" customFormat="1" x14ac:dyDescent="0.25">
      <c r="A145" s="33" t="s">
        <v>680</v>
      </c>
      <c r="B145" s="7">
        <v>4046</v>
      </c>
      <c r="C145" s="21" t="s">
        <v>193</v>
      </c>
      <c r="D145" s="21" t="s">
        <v>210</v>
      </c>
      <c r="E145" s="13">
        <v>42773.911111111112</v>
      </c>
      <c r="F145" s="13">
        <v>42773.916875000003</v>
      </c>
      <c r="G145" s="7">
        <v>1</v>
      </c>
      <c r="H145" s="21" t="s">
        <v>417</v>
      </c>
      <c r="I145" s="13">
        <v>42773.94189814815</v>
      </c>
      <c r="J145" s="7">
        <v>0</v>
      </c>
      <c r="K145" s="98" t="str">
        <f>IF(ISEVEN(B145),(B145-1)&amp;"/"&amp;B145,B145&amp;"/"&amp;(B145+1))</f>
        <v>4045/4046</v>
      </c>
      <c r="L145" s="21" t="str">
        <f>VLOOKUP(A145,'Trips&amp;Operators'!$C$1:$G$99999,5,FALSE)</f>
        <v>STORY SAMANTHA</v>
      </c>
      <c r="M145" s="6">
        <f>I145-F145</f>
        <v>2.5023148147738539E-2</v>
      </c>
      <c r="N145" s="7">
        <f>24*60*SUM($M145:$M145)</f>
        <v>36.033333332743496</v>
      </c>
      <c r="O145" s="7"/>
      <c r="P145" s="7"/>
      <c r="Q145" s="22"/>
      <c r="R145" s="22"/>
      <c r="S145" s="31">
        <f>SUM(U145:U145)/IF(AG145="EC",12,1)</f>
        <v>1</v>
      </c>
      <c r="T145" s="46" t="str">
        <f>IF(ISEVEN(LEFT(AD145,4)),"Southbound","NorthBound")</f>
        <v>NorthBound</v>
      </c>
      <c r="U145" s="190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191" t="str">
        <f>"https://d0f6bd738d7f1b3e5a7ca70fe4ff75f0.us-east-1.aws.found.io/app/kibana#/discover/Steve-Slow-Train-Analysis-(2080s-and-2083s)?_g="&amp;"(refreshInterval:(display:Off,pause:!f,section:0,value:0),time:(from:'"&amp;TEXT(E145-1/24,"yyyy-MM-DDThh:mm:ss")&amp;utc_offset&amp;"00"&amp;"',mode:absolute,to:'"&amp;TEXT(I145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145&amp;"%22')),sort:!(Time.ISO8601,asc))"</f>
        <v>https://d0f6bd738d7f1b3e5a7ca70fe4ff75f0.us-east-1.aws.found.io/app/kibana#/discover/Steve-Slow-Train-Analysis-(2080s-and-2083s)?_g=(refreshInterval:(display:Off,pause:!f,section:0,value:0),time:(from:'2017-02-07T20:52:00-0700',mode:absolute,to:'2017-02-07T23:36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45" s="192" t="str">
        <f>IF(AA145&lt;IF(AG145="EC",23,5.65),"Y","N")</f>
        <v>N</v>
      </c>
      <c r="X145" s="192">
        <f>VALUE(LEFT(AD145,4))-VALUE(LEFT(AD144,4))</f>
        <v>1</v>
      </c>
      <c r="Y145" s="62">
        <f>RIGHT(D145,LEN(D145)-4)/10000</f>
        <v>4.4900000000000002E-2</v>
      </c>
      <c r="Z145" s="62">
        <f>RIGHT(H145,LEN(H145)-4)/10000</f>
        <v>23.336099999999998</v>
      </c>
      <c r="AA145" s="62">
        <f>ABS(Z145-Y145)</f>
        <v>23.2912</v>
      </c>
      <c r="AB145" s="59" t="e">
        <f>VLOOKUP(A145,Enforcements!$C$7:$K$14,8,0)</f>
        <v>#N/A</v>
      </c>
      <c r="AC145" s="55" t="e">
        <f>VLOOKUP(A145,Enforcements!$C$7:$E$14,3,0)</f>
        <v>#N/A</v>
      </c>
      <c r="AD145" s="56" t="str">
        <f>IF(LEN(A145)=6,"0"&amp;A145,A145)</f>
        <v>0233-07</v>
      </c>
      <c r="AE145" s="85" t="str">
        <f>"aws s3 cp "&amp;s3_bucket&amp;"/RTDC"&amp;B145&amp;"/ "&amp;search_path&amp;"\RTDC"&amp;B145&amp;"\"&amp;TEXT(F145,"YYYY-MM-DD")&amp;" --exclude ""*"" --recursive --include ""*"&amp;TEXT(F145,"YYYYMMDD")&amp;"*"" &amp; """&amp;walkandungz&amp;""" "&amp;search_path&amp;"\RTDC"&amp;B145&amp;"\"&amp;TEXT(F145,"YYYY-MM-DD")
&amp;" &amp; "&amp;"aws s3 cp "&amp;s3_bucket&amp;"/RTDC"&amp;B145&amp;"/ "&amp;search_path&amp;"\RTDC"&amp;B145&amp;"\"&amp;TEXT(F145+1,"YYYY-MM-DD")&amp;" --exclude ""*"" --recursive --include ""*"&amp;TEXT(F145+1,"YYYYMMDD")&amp;"*"" &amp; """&amp;walkandungz&amp;""" "&amp;search_path&amp;"\RTDC"&amp;B145&amp;"\"&amp;TEXT(F145+1,"YYYY-MM-DD")</f>
        <v>aws s3 cp s3://rtdc.mdm.uploadarchive.raw/RTDC4046/ "%USERPROFILE%\AppData\Local\Temp\OnboardLogs"\RTDC4046\2017-02-07 --exclude "*" --recursive --include "*20170207*" &amp; "%USERPROFILE%\Documents\GitHub\mrs-test-scripts\Headless Mode &amp; Sideloading\WalkAndUnGZ.bat" "%USERPROFILE%\AppData\Local\Temp\OnboardLogs"\RTDC4046\2017-02-07 &amp; aws s3 cp s3://rtdc.mdm.uploadarchive.raw/RTDC4046/ "%USERPROFILE%\AppData\Local\Temp\OnboardLogs"\RTDC4046\2017-02-08 --exclude "*" --recursive --include "*20170208*" &amp; "%USERPROFILE%\Documents\GitHub\mrs-test-scripts\Headless Mode &amp; Sideloading\WalkAndUnGZ.bat" "%USERPROFILE%\AppData\Local\Temp\OnboardLogs"\RTDC4046\2017-02-08</v>
      </c>
      <c r="AF145" s="82" t="str">
        <f>astrogrep_path&amp;" /spath="&amp;search_path&amp;" /stypes=""app*"&amp;B145&amp;"*"&amp;TEXT(I145-utc_offset/24,"YYYYMMDD")&amp;"*"" /stext="" "&amp;TEXT(I145-utc_offset/24,"HH")&amp;search_regexp&amp;""" /e /r /s"</f>
        <v>"C:\Program Files (x86)\AstroGrep\AstroGrep.exe" /spath="%USERPROFILE%\AppData\Local\Temp\OnboardLogs" /stypes="app*4046*20170208*" /stext=" 05:.+((SYSTEM_STATE.+slice.+state.+changed )|(ment ac)|(multiple cpu faults)|(system.+state.+changed )|(\[timeout)|(PRM\|1\|D)|(kpr)|(kdp)|(\|lc)|(penalty))" /e /r /s</v>
      </c>
      <c r="AG145" s="1" t="str">
        <f>IFERROR(IF(VALUE(LEFT(AD145,2))&lt;=2,"EC",IF(OR(VALUE(LEFT(AD145,2))=8,VALUE(LEFT(AD145,2))=18),"NW","Other")),"Other")</f>
        <v>EC</v>
      </c>
      <c r="AH145" s="86" t="str">
        <f t="shared" si="9"/>
        <v>"%USERPROFILE%\Documents\GitHub\eaglep3\Utilities\RefineRTDCRunTimes.py" --tripid 233-07 --locoid 4046 --swversion DE.1.0.8.0 --startMP 204:449 --initTime 2017-02-07T21:52:00 --startdatetime 2017-02-07T22:00:18 --delay 1 --endMP 204:233361 --enddatetime 2017-02-07T22:36:20 --enforcementcount 0 &gt;&gt;C:\Users\stu\Documents\GitHub\eaglep3-reporting\EC\2017-02-07-refined-times.txt</v>
      </c>
      <c r="AI145" s="108" t="str">
        <f t="shared" si="10"/>
        <v>echo {"issue":{"subject":"","project_id":79,"tracker_id":40,"status_id":1,"priority_id":2,"assigned_to_id":23,"start_date":"2017-02-07","description":"","custom_fields":[{"id":1,"name":"Subdivision","value":"EC"},{"id":4,"name":"Milepost","value":"23.3361"},{"id":17,"name":"Train ID","value":"233-07"},{"id":16,"name":"Locomotive ID","value":"4046"},{"id":130,"name":"Impact","value":""},{"id":150,"name":"Time of Event (Mountain Time)","value":"22:36:20"},{"id":151,"name":"Denver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48"/>
      <c r="AK145" s="48"/>
      <c r="AL145" s="48"/>
      <c r="AM145" s="158" t="str">
        <f t="shared" si="11"/>
        <v>start /low /b %USERPROFILE%\Documents\GitHub\eaglep3\Utilities\DownloadLogsFromS3.py --loco 4046 --day 2017-02-07</v>
      </c>
      <c r="AN145" s="167" t="str">
        <f>"grep -SE -B400 ""CHR.+\|PRM\|1\|D.+(SWITCH|SIGNAL).+UNKNOWN"" "&amp;search_path&amp;"\RTDC"&amp;B145&amp;"\*"&amp;B145&amp;"*"&amp;TEXT(AVERAGE(F145,I145)-utc_offset/24,"YYYYMMDD")&amp;"*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"%USERPROFILE%\AppData\Local\Temp\OnboardLogs"\RTDC4046\*4046*20170208* | grep -SE "(Enforcement Action)|(\[TIMEOUT)|(CHR.+\|PRM\|1\|D.+(SWITCH|SIGNAL).+UNKNOWN)" - &gt;&gt; 2017-02-07-UncaughtWiMAX.txt</v>
      </c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0" customFormat="1" x14ac:dyDescent="0.25">
      <c r="A146" s="33" t="s">
        <v>685</v>
      </c>
      <c r="B146" s="7">
        <v>4045</v>
      </c>
      <c r="C146" s="21" t="s">
        <v>193</v>
      </c>
      <c r="D146" s="21" t="s">
        <v>434</v>
      </c>
      <c r="E146" s="13">
        <v>42773.94771990741</v>
      </c>
      <c r="F146" s="13">
        <v>42773.955891203703</v>
      </c>
      <c r="G146" s="7">
        <v>1</v>
      </c>
      <c r="H146" s="21" t="s">
        <v>207</v>
      </c>
      <c r="I146" s="13">
        <v>42773.982847222222</v>
      </c>
      <c r="J146" s="7">
        <v>0</v>
      </c>
      <c r="K146" s="98" t="str">
        <f>IF(ISEVEN(B146),(B146-1)&amp;"/"&amp;B146,B146&amp;"/"&amp;(B146+1))</f>
        <v>4045/4046</v>
      </c>
      <c r="L146" s="21" t="str">
        <f>VLOOKUP(A146,'Trips&amp;Operators'!$C$1:$G$99999,5,FALSE)</f>
        <v>STORY SAMANTHA</v>
      </c>
      <c r="M146" s="6">
        <f>I146-F146</f>
        <v>2.6956018518831115E-2</v>
      </c>
      <c r="N146" s="7">
        <f>24*60*SUM($M146:$M146)</f>
        <v>38.816666667116806</v>
      </c>
      <c r="O146" s="7"/>
      <c r="P146" s="7"/>
      <c r="Q146" s="22"/>
      <c r="R146" s="22"/>
      <c r="S146" s="31">
        <f>SUM(U146:U146)/IF(AG146="EC",12,1)</f>
        <v>1</v>
      </c>
      <c r="T146" s="46" t="str">
        <f>IF(ISEVEN(LEFT(AD146,4)),"Southbound","NorthBound")</f>
        <v>Southbound</v>
      </c>
      <c r="U146" s="190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191" t="str">
        <f>"https://d0f6bd738d7f1b3e5a7ca70fe4ff75f0.us-east-1.aws.found.io/app/kibana#/discover/Steve-Slow-Train-Analysis-(2080s-and-2083s)?_g="&amp;"(refreshInterval:(display:Off,pause:!f,section:0,value:0),time:(from:'"&amp;TEXT(E146-1/24,"yyyy-MM-DDThh:mm:ss")&amp;utc_offset&amp;"00"&amp;"',mode:absolute,to:'"&amp;TEXT(I146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146&amp;"%22')),sort:!(Time.ISO8601,asc))"</f>
        <v>https://d0f6bd738d7f1b3e5a7ca70fe4ff75f0.us-east-1.aws.found.io/app/kibana#/discover/Steve-Slow-Train-Analysis-(2080s-and-2083s)?_g=(refreshInterval:(display:Off,pause:!f,section:0,value:0),time:(from:'2017-02-07T21:44:43-0700',mode:absolute,to:'2017-02-08T00:35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46" s="192" t="str">
        <f>IF(AA146&lt;IF(AG146="EC",23,5.65),"Y","N")</f>
        <v>N</v>
      </c>
      <c r="X146" s="192">
        <f>VALUE(LEFT(AD146,4))-VALUE(LEFT(AD145,4))</f>
        <v>1</v>
      </c>
      <c r="Y146" s="62">
        <f>RIGHT(D146,LEN(D146)-4)/10000</f>
        <v>23.3019</v>
      </c>
      <c r="Z146" s="62">
        <f>RIGHT(H146,LEN(H146)-4)/10000</f>
        <v>1.6E-2</v>
      </c>
      <c r="AA146" s="62">
        <f>ABS(Z146-Y146)</f>
        <v>23.285900000000002</v>
      </c>
      <c r="AB146" s="59" t="e">
        <f>VLOOKUP(A146,Enforcements!$C$7:$K$14,8,0)</f>
        <v>#N/A</v>
      </c>
      <c r="AC146" s="55" t="e">
        <f>VLOOKUP(A146,Enforcements!$C$7:$E$14,3,0)</f>
        <v>#N/A</v>
      </c>
      <c r="AD146" s="56" t="str">
        <f>IF(LEN(A146)=6,"0"&amp;A146,A146)</f>
        <v>0234-07</v>
      </c>
      <c r="AE146" s="85" t="str">
        <f>"aws s3 cp "&amp;s3_bucket&amp;"/RTDC"&amp;B146&amp;"/ "&amp;search_path&amp;"\RTDC"&amp;B146&amp;"\"&amp;TEXT(F146,"YYYY-MM-DD")&amp;" --exclude ""*"" --recursive --include ""*"&amp;TEXT(F146,"YYYYMMDD")&amp;"*"" &amp; """&amp;walkandungz&amp;""" "&amp;search_path&amp;"\RTDC"&amp;B146&amp;"\"&amp;TEXT(F146,"YYYY-MM-DD")
&amp;" &amp; "&amp;"aws s3 cp "&amp;s3_bucket&amp;"/RTDC"&amp;B146&amp;"/ "&amp;search_path&amp;"\RTDC"&amp;B146&amp;"\"&amp;TEXT(F146+1,"YYYY-MM-DD")&amp;" --exclude ""*"" --recursive --include ""*"&amp;TEXT(F146+1,"YYYYMMDD")&amp;"*"" &amp; """&amp;walkandungz&amp;""" "&amp;search_path&amp;"\RTDC"&amp;B146&amp;"\"&amp;TEXT(F146+1,"YYYY-MM-DD")</f>
        <v>aws s3 cp s3://rtdc.mdm.uploadarchive.raw/RTDC4045/ "%USERPROFILE%\AppData\Local\Temp\OnboardLogs"\RTDC4045\2017-02-07 --exclude "*" --recursive --include "*20170207*" &amp; "%USERPROFILE%\Documents\GitHub\mrs-test-scripts\Headless Mode &amp; Sideloading\WalkAndUnGZ.bat" "%USERPROFILE%\AppData\Local\Temp\OnboardLogs"\RTDC4045\2017-02-07 &amp; aws s3 cp s3://rtdc.mdm.uploadarchive.raw/RTDC4045/ "%USERPROFILE%\AppData\Local\Temp\OnboardLogs"\RTDC4045\2017-02-08 --exclude "*" --recursive --include "*20170208*" &amp; "%USERPROFILE%\Documents\GitHub\mrs-test-scripts\Headless Mode &amp; Sideloading\WalkAndUnGZ.bat" "%USERPROFILE%\AppData\Local\Temp\OnboardLogs"\RTDC4045\2017-02-08</v>
      </c>
      <c r="AF146" s="82" t="str">
        <f>astrogrep_path&amp;" /spath="&amp;search_path&amp;" /stypes=""app*"&amp;B146&amp;"*"&amp;TEXT(I146-utc_offset/24,"YYYYMMDD")&amp;"*"" /stext="" "&amp;TEXT(I146-utc_offset/24,"HH")&amp;search_regexp&amp;""" /e /r /s"</f>
        <v>"C:\Program Files (x86)\AstroGrep\AstroGrep.exe" /spath="%USERPROFILE%\AppData\Local\Temp\OnboardLogs" /stypes="app*4045*20170208*" /stext=" 06:.+((SYSTEM_STATE.+slice.+state.+changed )|(ment ac)|(multiple cpu faults)|(system.+state.+changed )|(\[timeout)|(PRM\|1\|D)|(kpr)|(kdp)|(\|lc)|(penalty))" /e /r /s</v>
      </c>
      <c r="AG146" s="1" t="str">
        <f>IFERROR(IF(VALUE(LEFT(AD146,2))&lt;=2,"EC",IF(OR(VALUE(LEFT(AD146,2))=8,VALUE(LEFT(AD146,2))=18),"NW","Other")),"Other")</f>
        <v>EC</v>
      </c>
      <c r="AH146" s="86" t="str">
        <f t="shared" si="9"/>
        <v>"%USERPROFILE%\Documents\GitHub\eaglep3\Utilities\RefineRTDCRunTimes.py" --tripid 234-07 --locoid 4045 --swversion DE.1.0.8.0 --startMP 204:233019 --initTime 2017-02-07T22:44:43 --startdatetime 2017-02-07T22:56:29 --delay 1 --endMP 204:160 --enddatetime 2017-02-07T23:35:18 --enforcementcount 0 &gt;&gt;C:\Users\stu\Documents\GitHub\eaglep3-reporting\EC\2017-02-07-refined-times.txt</v>
      </c>
      <c r="AI146" s="108" t="str">
        <f t="shared" si="10"/>
        <v>echo {"issue":{"subject":"","project_id":79,"tracker_id":40,"status_id":1,"priority_id":2,"assigned_to_id":23,"start_date":"2017-02-07","description":"","custom_fields":[{"id":1,"name":"Subdivision","value":"EC"},{"id":4,"name":"Milepost","value":"0.016"},{"id":17,"name":"Train ID","value":"234-07"},{"id":16,"name":"Locomotive ID","value":"4045"},{"id":130,"name":"Impact","value":""},{"id":150,"name":"Time of Event (Mountain Time)","value":"23:35:18"},{"id":151,"name":"Denver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48"/>
      <c r="AK146" s="48"/>
      <c r="AL146" s="48"/>
      <c r="AM146" s="158" t="str">
        <f t="shared" si="11"/>
        <v>start /low /b %USERPROFILE%\Documents\GitHub\eaglep3\Utilities\DownloadLogsFromS3.py --loco 4045 --day 2017-02-07</v>
      </c>
      <c r="AN146" s="167" t="str">
        <f>"grep -SE -B400 ""CHR.+\|PRM\|1\|D.+(SWITCH|SIGNAL).+UNKNOWN"" "&amp;search_path&amp;"\RTDC"&amp;B146&amp;"\*"&amp;B146&amp;"*"&amp;TEXT(AVERAGE(F146,I146)-utc_offset/24,"YYYYMMDD")&amp;"*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"%USERPROFILE%\AppData\Local\Temp\OnboardLogs"\RTDC4045\*4045*20170208* | grep -SE "(Enforcement Action)|(\[TIMEOUT)|(CHR.+\|PRM\|1\|D.+(SWITCH|SIGNAL).+UNKNOWN)" - &gt;&gt; 2017-02-07-UncaughtWiMAX.txt</v>
      </c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0" customFormat="1" x14ac:dyDescent="0.25">
      <c r="A147" s="33" t="s">
        <v>682</v>
      </c>
      <c r="B147" s="7">
        <v>4040</v>
      </c>
      <c r="C147" s="21" t="s">
        <v>193</v>
      </c>
      <c r="D147" s="21" t="s">
        <v>242</v>
      </c>
      <c r="E147" s="13">
        <v>42773.920601851853</v>
      </c>
      <c r="F147" s="13">
        <v>42773.937800925924</v>
      </c>
      <c r="G147" s="7">
        <v>1</v>
      </c>
      <c r="H147" s="21" t="s">
        <v>727</v>
      </c>
      <c r="I147" s="13">
        <v>42773.963368055556</v>
      </c>
      <c r="J147" s="7">
        <v>0</v>
      </c>
      <c r="K147" s="98" t="str">
        <f>IF(ISEVEN(B147),(B147-1)&amp;"/"&amp;B147,B147&amp;"/"&amp;(B147+1))</f>
        <v>4039/4040</v>
      </c>
      <c r="L147" s="21" t="str">
        <f>VLOOKUP(A147,'Trips&amp;Operators'!$C$1:$G$99999,5,FALSE)</f>
        <v>STAMBAUGH JAMES</v>
      </c>
      <c r="M147" s="6">
        <f>I147-F147</f>
        <v>2.5567129632690921E-2</v>
      </c>
      <c r="N147" s="7">
        <f>24*60*SUM($M147:$M147)</f>
        <v>36.816666671074927</v>
      </c>
      <c r="O147" s="7"/>
      <c r="P147" s="7"/>
      <c r="Q147" s="22"/>
      <c r="R147" s="22"/>
      <c r="S147" s="31">
        <f>SUM(U147:U147)/IF(AG147="EC",12,1)</f>
        <v>1</v>
      </c>
      <c r="T147" s="46" t="str">
        <f>IF(ISEVEN(LEFT(AD147,4)),"Southbound","NorthBound")</f>
        <v>NorthBound</v>
      </c>
      <c r="U147" s="190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191" t="str">
        <f>"https://d0f6bd738d7f1b3e5a7ca70fe4ff75f0.us-east-1.aws.found.io/app/kibana#/discover/Steve-Slow-Train-Analysis-(2080s-and-2083s)?_g="&amp;"(refreshInterval:(display:Off,pause:!f,section:0,value:0),time:(from:'"&amp;TEXT(E147-1/24,"yyyy-MM-DDThh:mm:ss")&amp;utc_offset&amp;"00"&amp;"',mode:absolute,to:'"&amp;TEXT(I147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147&amp;"%22')),sort:!(Time.ISO8601,asc))"</f>
        <v>https://d0f6bd738d7f1b3e5a7ca70fe4ff75f0.us-east-1.aws.found.io/app/kibana#/discover/Steve-Slow-Train-Analysis-(2080s-and-2083s)?_g=(refreshInterval:(display:Off,pause:!f,section:0,value:0),time:(from:'2017-02-07T21:05:40-0700',mode:absolute,to:'2017-02-08T00:07:15-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47" s="192" t="str">
        <f>IF(AA147&lt;IF(AG147="EC",23,5.65),"Y","N")</f>
        <v>N</v>
      </c>
      <c r="X147" s="192">
        <f>VALUE(LEFT(AD147,4))-VALUE(LEFT(AD146,4))</f>
        <v>1</v>
      </c>
      <c r="Y147" s="62">
        <f>RIGHT(D147,LEN(D147)-4)/10000</f>
        <v>4.5999999999999999E-2</v>
      </c>
      <c r="Z147" s="62">
        <f>RIGHT(H147,LEN(H147)-4)/10000</f>
        <v>23.3323</v>
      </c>
      <c r="AA147" s="62">
        <f>ABS(Z147-Y147)</f>
        <v>23.286300000000001</v>
      </c>
      <c r="AB147" s="59" t="e">
        <f>VLOOKUP(A147,Enforcements!$C$7:$K$14,8,0)</f>
        <v>#N/A</v>
      </c>
      <c r="AC147" s="55" t="e">
        <f>VLOOKUP(A147,Enforcements!$C$7:$E$14,3,0)</f>
        <v>#N/A</v>
      </c>
      <c r="AD147" s="56" t="str">
        <f>IF(LEN(A147)=6,"0"&amp;A147,A147)</f>
        <v>0235-07</v>
      </c>
      <c r="AE147" s="85" t="str">
        <f>"aws s3 cp "&amp;s3_bucket&amp;"/RTDC"&amp;B147&amp;"/ "&amp;search_path&amp;"\RTDC"&amp;B147&amp;"\"&amp;TEXT(F147,"YYYY-MM-DD")&amp;" --exclude ""*"" --recursive --include ""*"&amp;TEXT(F147,"YYYYMMDD")&amp;"*"" &amp; """&amp;walkandungz&amp;""" "&amp;search_path&amp;"\RTDC"&amp;B147&amp;"\"&amp;TEXT(F147,"YYYY-MM-DD")
&amp;" &amp; "&amp;"aws s3 cp "&amp;s3_bucket&amp;"/RTDC"&amp;B147&amp;"/ "&amp;search_path&amp;"\RTDC"&amp;B147&amp;"\"&amp;TEXT(F147+1,"YYYY-MM-DD")&amp;" --exclude ""*"" --recursive --include ""*"&amp;TEXT(F147+1,"YYYYMMDD")&amp;"*"" &amp; """&amp;walkandungz&amp;""" "&amp;search_path&amp;"\RTDC"&amp;B147&amp;"\"&amp;TEXT(F147+1,"YYYY-MM-DD")</f>
        <v>aws s3 cp s3://rtdc.mdm.uploadarchive.raw/RTDC4040/ "%USERPROFILE%\AppData\Local\Temp\OnboardLogs"\RTDC4040\2017-02-07 --exclude "*" --recursive --include "*20170207*" &amp; "%USERPROFILE%\Documents\GitHub\mrs-test-scripts\Headless Mode &amp; Sideloading\WalkAndUnGZ.bat" "%USERPROFILE%\AppData\Local\Temp\OnboardLogs"\RTDC4040\2017-02-07 &amp; aws s3 cp s3://rtdc.mdm.uploadarchive.raw/RTDC4040/ "%USERPROFILE%\AppData\Local\Temp\OnboardLogs"\RTDC4040\2017-02-08 --exclude "*" --recursive --include "*20170208*" &amp; "%USERPROFILE%\Documents\GitHub\mrs-test-scripts\Headless Mode &amp; Sideloading\WalkAndUnGZ.bat" "%USERPROFILE%\AppData\Local\Temp\OnboardLogs"\RTDC4040\2017-02-08</v>
      </c>
      <c r="AF147" s="82" t="str">
        <f>astrogrep_path&amp;" /spath="&amp;search_path&amp;" /stypes=""app*"&amp;B147&amp;"*"&amp;TEXT(I147-utc_offset/24,"YYYYMMDD")&amp;"*"" /stext="" "&amp;TEXT(I147-utc_offset/24,"HH")&amp;search_regexp&amp;""" /e /r /s"</f>
        <v>"C:\Program Files (x86)\AstroGrep\AstroGrep.exe" /spath="%USERPROFILE%\AppData\Local\Temp\OnboardLogs" /stypes="app*4040*20170208*" /stext=" 06:.+((SYSTEM_STATE.+slice.+state.+changed )|(ment ac)|(multiple cpu faults)|(system.+state.+changed )|(\[timeout)|(PRM\|1\|D)|(kpr)|(kdp)|(\|lc)|(penalty))" /e /r /s</v>
      </c>
      <c r="AG147" s="1" t="str">
        <f>IFERROR(IF(VALUE(LEFT(AD147,2))&lt;=2,"EC",IF(OR(VALUE(LEFT(AD147,2))=8,VALUE(LEFT(AD147,2))=18),"NW","Other")),"Other")</f>
        <v>EC</v>
      </c>
      <c r="AH147" s="86" t="str">
        <f t="shared" si="9"/>
        <v>"%USERPROFILE%\Documents\GitHub\eaglep3\Utilities\RefineRTDCRunTimes.py" --tripid 235-07 --locoid 4040 --swversion DE.1.0.8.0 --startMP 204:460 --initTime 2017-02-07T22:05:40 --startdatetime 2017-02-07T22:30:26 --delay 1 --endMP 204:233323 --enddatetime 2017-02-07T23:07:15 --enforcementcount 0 &gt;&gt;C:\Users\stu\Documents\GitHub\eaglep3-reporting\EC\2017-02-07-refined-times.txt</v>
      </c>
      <c r="AI147" s="108" t="str">
        <f t="shared" si="10"/>
        <v>echo {"issue":{"subject":"","project_id":79,"tracker_id":40,"status_id":1,"priority_id":2,"assigned_to_id":23,"start_date":"2017-02-07","description":"","custom_fields":[{"id":1,"name":"Subdivision","value":"EC"},{"id":4,"name":"Milepost","value":"23.3323"},{"id":17,"name":"Train ID","value":"235-07"},{"id":16,"name":"Locomotive ID","value":"4040"},{"id":130,"name":"Impact","value":""},{"id":150,"name":"Time of Event (Mountain Time)","value":"23:07:15"},{"id":151,"name":"Denver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48"/>
      <c r="AK147" s="48"/>
      <c r="AL147" s="48"/>
      <c r="AM147" s="158" t="str">
        <f t="shared" si="11"/>
        <v>start /low /b %USERPROFILE%\Documents\GitHub\eaglep3\Utilities\DownloadLogsFromS3.py --loco 4040 --day 2017-02-07</v>
      </c>
      <c r="AN147" s="167" t="str">
        <f>"grep -SE -B400 ""CHR.+\|PRM\|1\|D.+(SWITCH|SIGNAL).+UNKNOWN"" "&amp;search_path&amp;"\RTDC"&amp;B147&amp;"\*"&amp;B147&amp;"*"&amp;TEXT(AVERAGE(F147,I147)-utc_offset/24,"YYYYMMDD")&amp;"*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"%USERPROFILE%\AppData\Local\Temp\OnboardLogs"\RTDC4040\*4040*20170208* | grep -SE "(Enforcement Action)|(\[TIMEOUT)|(CHR.+\|PRM\|1\|D.+(SWITCH|SIGNAL).+UNKNOWN)" - &gt;&gt; 2017-02-07-UncaughtWiMAX.txt</v>
      </c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0" customFormat="1" x14ac:dyDescent="0.25">
      <c r="A148" s="33" t="s">
        <v>688</v>
      </c>
      <c r="B148" s="7">
        <v>4039</v>
      </c>
      <c r="C148" s="21" t="s">
        <v>193</v>
      </c>
      <c r="D148" s="21" t="s">
        <v>728</v>
      </c>
      <c r="E148" s="13">
        <v>42773.975810185184</v>
      </c>
      <c r="F148" s="13">
        <v>42773.976979166669</v>
      </c>
      <c r="G148" s="7">
        <v>1</v>
      </c>
      <c r="H148" s="21" t="s">
        <v>768</v>
      </c>
      <c r="I148" s="13">
        <v>42774.003900462965</v>
      </c>
      <c r="J148" s="7">
        <v>0</v>
      </c>
      <c r="K148" s="98" t="str">
        <f>IF(ISEVEN(B148),(B148-1)&amp;"/"&amp;B148,B148&amp;"/"&amp;(B148+1))</f>
        <v>4039/4040</v>
      </c>
      <c r="L148" s="21" t="str">
        <f>VLOOKUP(A148,'Trips&amp;Operators'!$C$1:$G$99999,5,FALSE)</f>
        <v>STAMBAUGH JAMES</v>
      </c>
      <c r="M148" s="6">
        <f>I148-F148</f>
        <v>2.6921296295768116E-2</v>
      </c>
      <c r="N148" s="7">
        <f>24*60*SUM($M148:$M148)</f>
        <v>38.766666665906087</v>
      </c>
      <c r="O148" s="7"/>
      <c r="P148" s="7"/>
      <c r="Q148" s="22"/>
      <c r="R148" s="22"/>
      <c r="S148" s="31">
        <f>SUM(U148:U148)/IF(AG148="EC",12,1)</f>
        <v>1</v>
      </c>
      <c r="T148" s="46" t="str">
        <f>IF(ISEVEN(LEFT(AD148,4)),"Southbound","NorthBound")</f>
        <v>Southbound</v>
      </c>
      <c r="U148" s="190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191" t="str">
        <f>"https://d0f6bd738d7f1b3e5a7ca70fe4ff75f0.us-east-1.aws.found.io/app/kibana#/discover/Steve-Slow-Train-Analysis-(2080s-and-2083s)?_g="&amp;"(refreshInterval:(display:Off,pause:!f,section:0,value:0),time:(from:'"&amp;TEXT(E148-1/24,"yyyy-MM-DDThh:mm:ss")&amp;utc_offset&amp;"00"&amp;"',mode:absolute,to:'"&amp;TEXT(I148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148&amp;"%22')),sort:!(Time.ISO8601,asc))"</f>
        <v>https://d0f6bd738d7f1b3e5a7ca70fe4ff75f0.us-east-1.aws.found.io/app/kibana#/discover/Steve-Slow-Train-Analysis-(2080s-and-2083s)?_g=(refreshInterval:(display:Off,pause:!f,section:0,value:0),time:(from:'2017-02-07T22:25:10-0700',mode:absolute,to:'2017-02-08T01:05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48" s="192" t="str">
        <f>IF(AA148&lt;IF(AG148="EC",23,5.65),"Y","N")</f>
        <v>N</v>
      </c>
      <c r="X148" s="192">
        <f>VALUE(LEFT(AD148,4))-VALUE(LEFT(AD147,4))</f>
        <v>1</v>
      </c>
      <c r="Y148" s="62">
        <f>RIGHT(D148,LEN(D148)-4)/10000</f>
        <v>23.300799999999999</v>
      </c>
      <c r="Z148" s="62">
        <f>RIGHT(H148,LEN(H148)-4)/10000</f>
        <v>3.2399999999999998E-2</v>
      </c>
      <c r="AA148" s="62">
        <f>ABS(Z148-Y148)</f>
        <v>23.2684</v>
      </c>
      <c r="AB148" s="59" t="e">
        <f>VLOOKUP(A148,Enforcements!$C$7:$K$14,8,0)</f>
        <v>#N/A</v>
      </c>
      <c r="AC148" s="55" t="e">
        <f>VLOOKUP(A148,Enforcements!$C$7:$E$14,3,0)</f>
        <v>#N/A</v>
      </c>
      <c r="AD148" s="56" t="str">
        <f>IF(LEN(A148)=6,"0"&amp;A148,A148)</f>
        <v>0236-07</v>
      </c>
      <c r="AE148" s="85" t="str">
        <f>"aws s3 cp "&amp;s3_bucket&amp;"/RTDC"&amp;B148&amp;"/ "&amp;search_path&amp;"\RTDC"&amp;B148&amp;"\"&amp;TEXT(F148,"YYYY-MM-DD")&amp;" --exclude ""*"" --recursive --include ""*"&amp;TEXT(F148,"YYYYMMDD")&amp;"*"" &amp; """&amp;walkandungz&amp;""" "&amp;search_path&amp;"\RTDC"&amp;B148&amp;"\"&amp;TEXT(F148,"YYYY-MM-DD")
&amp;" &amp; "&amp;"aws s3 cp "&amp;s3_bucket&amp;"/RTDC"&amp;B148&amp;"/ "&amp;search_path&amp;"\RTDC"&amp;B148&amp;"\"&amp;TEXT(F148+1,"YYYY-MM-DD")&amp;" --exclude ""*"" --recursive --include ""*"&amp;TEXT(F148+1,"YYYYMMDD")&amp;"*"" &amp; """&amp;walkandungz&amp;""" "&amp;search_path&amp;"\RTDC"&amp;B148&amp;"\"&amp;TEXT(F148+1,"YYYY-MM-DD")</f>
        <v>aws s3 cp s3://rtdc.mdm.uploadarchive.raw/RTDC4039/ "%USERPROFILE%\AppData\Local\Temp\OnboardLogs"\RTDC4039\2017-02-07 --exclude "*" --recursive --include "*20170207*" &amp; "%USERPROFILE%\Documents\GitHub\mrs-test-scripts\Headless Mode &amp; Sideloading\WalkAndUnGZ.bat" "%USERPROFILE%\AppData\Local\Temp\OnboardLogs"\RTDC4039\2017-02-07 &amp; aws s3 cp s3://rtdc.mdm.uploadarchive.raw/RTDC4039/ "%USERPROFILE%\AppData\Local\Temp\OnboardLogs"\RTDC4039\2017-02-08 --exclude "*" --recursive --include "*20170208*" &amp; "%USERPROFILE%\Documents\GitHub\mrs-test-scripts\Headless Mode &amp; Sideloading\WalkAndUnGZ.bat" "%USERPROFILE%\AppData\Local\Temp\OnboardLogs"\RTDC4039\2017-02-08</v>
      </c>
      <c r="AF148" s="82" t="str">
        <f>astrogrep_path&amp;" /spath="&amp;search_path&amp;" /stypes=""app*"&amp;B148&amp;"*"&amp;TEXT(I148-utc_offset/24,"YYYYMMDD")&amp;"*"" /stext="" "&amp;TEXT(I148-utc_offset/24,"HH")&amp;search_regexp&amp;""" /e /r /s"</f>
        <v>"C:\Program Files (x86)\AstroGrep\AstroGrep.exe" /spath="%USERPROFILE%\AppData\Local\Temp\OnboardLogs" /stypes="app*4039*20170208*" /stext=" 07:.+((SYSTEM_STATE.+slice.+state.+changed )|(ment ac)|(multiple cpu faults)|(system.+state.+changed )|(\[timeout)|(PRM\|1\|D)|(kpr)|(kdp)|(\|lc)|(penalty))" /e /r /s</v>
      </c>
      <c r="AG148" s="1" t="str">
        <f>IFERROR(IF(VALUE(LEFT(AD148,2))&lt;=2,"EC",IF(OR(VALUE(LEFT(AD148,2))=8,VALUE(LEFT(AD148,2))=18),"NW","Other")),"Other")</f>
        <v>EC</v>
      </c>
      <c r="AH148" s="86" t="str">
        <f t="shared" si="9"/>
        <v>"%USERPROFILE%\Documents\GitHub\eaglep3\Utilities\RefineRTDCRunTimes.py" --tripid 236-07 --locoid 4039 --swversion DE.1.0.8.0 --startMP 204:233008 --initTime 2017-02-07T23:25:10 --startdatetime 2017-02-07T23:26:51 --delay 1 --endMP 204:324 --enddatetime 2017-02-08T00:05:37 --enforcementcount 0 &gt;&gt;C:\Users\stu\Documents\GitHub\eaglep3-reporting\EC\2017-02-07-refined-times.txt</v>
      </c>
      <c r="AI148" s="108" t="str">
        <f t="shared" si="10"/>
        <v>echo {"issue":{"subject":"","project_id":79,"tracker_id":40,"status_id":1,"priority_id":2,"assigned_to_id":23,"start_date":"2017-02-08","description":"","custom_fields":[{"id":1,"name":"Subdivision","value":"EC"},{"id":4,"name":"Milepost","value":"0.0324"},{"id":17,"name":"Train ID","value":"236-07"},{"id":16,"name":"Locomotive ID","value":"4039"},{"id":130,"name":"Impact","value":""},{"id":150,"name":"Time of Event (Mountain Time)","value":"00:05:37"},{"id":151,"name":"Denver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48"/>
      <c r="AK148" s="48"/>
      <c r="AL148" s="48"/>
      <c r="AM148" s="158" t="str">
        <f t="shared" si="11"/>
        <v>start /low /b %USERPROFILE%\Documents\GitHub\eaglep3\Utilities\DownloadLogsFromS3.py --loco 4039 --day 2017-02-07</v>
      </c>
      <c r="AN148" s="167" t="str">
        <f>"grep -SE -B400 ""CHR.+\|PRM\|1\|D.+(SWITCH|SIGNAL).+UNKNOWN"" "&amp;search_path&amp;"\RTDC"&amp;B148&amp;"\*"&amp;B148&amp;"*"&amp;TEXT(AVERAGE(F148,I148)-utc_offset/24,"YYYYMMDD")&amp;"*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"%USERPROFILE%\AppData\Local\Temp\OnboardLogs"\RTDC4039\*4039*20170208* | grep -SE "(Enforcement Action)|(\[TIMEOUT)|(CHR.+\|PRM\|1\|D.+(SWITCH|SIGNAL).+UNKNOWN)" - &gt;&gt; 2017-02-07-UncaughtWiMAX.txt</v>
      </c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0" customFormat="1" x14ac:dyDescent="0.25">
      <c r="A149" s="33" t="s">
        <v>686</v>
      </c>
      <c r="B149" s="7">
        <v>4016</v>
      </c>
      <c r="C149" s="21" t="s">
        <v>193</v>
      </c>
      <c r="D149" s="21" t="s">
        <v>221</v>
      </c>
      <c r="E149" s="13">
        <v>42773.955127314817</v>
      </c>
      <c r="F149" s="13">
        <v>42773.958645833336</v>
      </c>
      <c r="G149" s="7">
        <v>1</v>
      </c>
      <c r="H149" s="21" t="s">
        <v>375</v>
      </c>
      <c r="I149" s="13">
        <v>42773.983553240738</v>
      </c>
      <c r="J149" s="7">
        <v>0</v>
      </c>
      <c r="K149" s="98" t="str">
        <f>IF(ISEVEN(B149),(B149-1)&amp;"/"&amp;B149,B149&amp;"/"&amp;(B149+1))</f>
        <v>4015/4016</v>
      </c>
      <c r="L149" s="21" t="str">
        <f>VLOOKUP(A149,'Trips&amp;Operators'!$C$1:$G$99999,5,FALSE)</f>
        <v>CHANDLER KELVIN</v>
      </c>
      <c r="M149" s="6">
        <f>I149-F149</f>
        <v>2.4907407401769888E-2</v>
      </c>
      <c r="N149" s="7">
        <f>24*60*SUM($M149:$M149)</f>
        <v>35.866666658548638</v>
      </c>
      <c r="O149" s="7"/>
      <c r="P149" s="7"/>
      <c r="Q149" s="22"/>
      <c r="R149" s="22"/>
      <c r="S149" s="31">
        <f>SUM(U149:U149)/IF(AG149="EC",12,1)</f>
        <v>1</v>
      </c>
      <c r="T149" s="46" t="str">
        <f>IF(ISEVEN(LEFT(AD149,4)),"Southbound","NorthBound")</f>
        <v>NorthBound</v>
      </c>
      <c r="U149" s="190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191" t="str">
        <f>"https://d0f6bd738d7f1b3e5a7ca70fe4ff75f0.us-east-1.aws.found.io/app/kibana#/discover/Steve-Slow-Train-Analysis-(2080s-and-2083s)?_g="&amp;"(refreshInterval:(display:Off,pause:!f,section:0,value:0),time:(from:'"&amp;TEXT(E149-1/24,"yyyy-MM-DDThh:mm:ss")&amp;utc_offset&amp;"00"&amp;"',mode:absolute,to:'"&amp;TEXT(I149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149&amp;"%22')),sort:!(Time.ISO8601,asc))"</f>
        <v>https://d0f6bd738d7f1b3e5a7ca70fe4ff75f0.us-east-1.aws.found.io/app/kibana#/discover/Steve-Slow-Train-Analysis-(2080s-and-2083s)?_g=(refreshInterval:(display:Off,pause:!f,section:0,value:0),time:(from:'2017-02-07T21:55:23-0700',mode:absolute,to:'2017-02-08T00:36:19-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4016%22')),sort:!(Time.ISO8601,asc))</v>
      </c>
      <c r="W149" s="192" t="str">
        <f>IF(AA149&lt;IF(AG149="EC",23,5.65),"Y","N")</f>
        <v>N</v>
      </c>
      <c r="X149" s="192">
        <f>VALUE(LEFT(AD149,4))-VALUE(LEFT(AD148,4))</f>
        <v>1</v>
      </c>
      <c r="Y149" s="62">
        <f>RIGHT(D149,LEN(D149)-4)/10000</f>
        <v>4.6899999999999997E-2</v>
      </c>
      <c r="Z149" s="62">
        <f>RIGHT(H149,LEN(H149)-4)/10000</f>
        <v>23.329699999999999</v>
      </c>
      <c r="AA149" s="62">
        <f>ABS(Z149-Y149)</f>
        <v>23.282799999999998</v>
      </c>
      <c r="AB149" s="59" t="e">
        <f>VLOOKUP(A149,Enforcements!$C$7:$K$14,8,0)</f>
        <v>#N/A</v>
      </c>
      <c r="AC149" s="55" t="e">
        <f>VLOOKUP(A149,Enforcements!$C$7:$E$14,3,0)</f>
        <v>#N/A</v>
      </c>
      <c r="AD149" s="56" t="str">
        <f>IF(LEN(A149)=6,"0"&amp;A149,A149)</f>
        <v>0237-07</v>
      </c>
      <c r="AE149" s="85" t="str">
        <f>"aws s3 cp "&amp;s3_bucket&amp;"/RTDC"&amp;B149&amp;"/ "&amp;search_path&amp;"\RTDC"&amp;B149&amp;"\"&amp;TEXT(F149,"YYYY-MM-DD")&amp;" --exclude ""*"" --recursive --include ""*"&amp;TEXT(F149,"YYYYMMDD")&amp;"*"" &amp; """&amp;walkandungz&amp;""" "&amp;search_path&amp;"\RTDC"&amp;B149&amp;"\"&amp;TEXT(F149,"YYYY-MM-DD")
&amp;" &amp; "&amp;"aws s3 cp "&amp;s3_bucket&amp;"/RTDC"&amp;B149&amp;"/ "&amp;search_path&amp;"\RTDC"&amp;B149&amp;"\"&amp;TEXT(F149+1,"YYYY-MM-DD")&amp;" --exclude ""*"" --recursive --include ""*"&amp;TEXT(F149+1,"YYYYMMDD")&amp;"*"" &amp; """&amp;walkandungz&amp;""" "&amp;search_path&amp;"\RTDC"&amp;B149&amp;"\"&amp;TEXT(F149+1,"YYYY-MM-DD")</f>
        <v>aws s3 cp s3://rtdc.mdm.uploadarchive.raw/RTDC4016/ "%USERPROFILE%\AppData\Local\Temp\OnboardLogs"\RTDC4016\2017-02-07 --exclude "*" --recursive --include "*20170207*" &amp; "%USERPROFILE%\Documents\GitHub\mrs-test-scripts\Headless Mode &amp; Sideloading\WalkAndUnGZ.bat" "%USERPROFILE%\AppData\Local\Temp\OnboardLogs"\RTDC4016\2017-02-07 &amp; aws s3 cp s3://rtdc.mdm.uploadarchive.raw/RTDC4016/ "%USERPROFILE%\AppData\Local\Temp\OnboardLogs"\RTDC4016\2017-02-08 --exclude "*" --recursive --include "*20170208*" &amp; "%USERPROFILE%\Documents\GitHub\mrs-test-scripts\Headless Mode &amp; Sideloading\WalkAndUnGZ.bat" "%USERPROFILE%\AppData\Local\Temp\OnboardLogs"\RTDC4016\2017-02-08</v>
      </c>
      <c r="AF149" s="82" t="str">
        <f>astrogrep_path&amp;" /spath="&amp;search_path&amp;" /stypes=""app*"&amp;B149&amp;"*"&amp;TEXT(I149-utc_offset/24,"YYYYMMDD")&amp;"*"" /stext="" "&amp;TEXT(I149-utc_offset/24,"HH")&amp;search_regexp&amp;""" /e /r /s"</f>
        <v>"C:\Program Files (x86)\AstroGrep\AstroGrep.exe" /spath="%USERPROFILE%\AppData\Local\Temp\OnboardLogs" /stypes="app*4016*20170208*" /stext=" 06:.+((SYSTEM_STATE.+slice.+state.+changed )|(ment ac)|(multiple cpu faults)|(system.+state.+changed )|(\[timeout)|(PRM\|1\|D)|(kpr)|(kdp)|(\|lc)|(penalty))" /e /r /s</v>
      </c>
      <c r="AG149" s="1" t="str">
        <f>IFERROR(IF(VALUE(LEFT(AD149,2))&lt;=2,"EC",IF(OR(VALUE(LEFT(AD149,2))=8,VALUE(LEFT(AD149,2))=18),"NW","Other")),"Other")</f>
        <v>EC</v>
      </c>
      <c r="AH149" s="86" t="str">
        <f t="shared" si="9"/>
        <v>"%USERPROFILE%\Documents\GitHub\eaglep3\Utilities\RefineRTDCRunTimes.py" --tripid 237-07 --locoid 4016 --swversion DE.1.0.8.0 --startMP 204:469 --initTime 2017-02-07T22:55:23 --startdatetime 2017-02-07T23:00:27 --delay 1 --endMP 204:233297 --enddatetime 2017-02-07T23:36:19 --enforcementcount 0 &gt;&gt;C:\Users\stu\Documents\GitHub\eaglep3-reporting\EC\2017-02-07-refined-times.txt</v>
      </c>
      <c r="AI149" s="108" t="str">
        <f t="shared" si="10"/>
        <v>echo {"issue":{"subject":"","project_id":79,"tracker_id":40,"status_id":1,"priority_id":2,"assigned_to_id":23,"start_date":"2017-02-07","description":"","custom_fields":[{"id":1,"name":"Subdivision","value":"EC"},{"id":4,"name":"Milepost","value":"23.3297"},{"id":17,"name":"Train ID","value":"237-07"},{"id":16,"name":"Locomotive ID","value":"4016"},{"id":130,"name":"Impact","value":""},{"id":150,"name":"Time of Event (Mountain Time)","value":"23:36:19"},{"id":151,"name":"Denver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48"/>
      <c r="AK149" s="48"/>
      <c r="AL149" s="48"/>
      <c r="AM149" s="158" t="str">
        <f t="shared" si="11"/>
        <v>start /low /b %USERPROFILE%\Documents\GitHub\eaglep3\Utilities\DownloadLogsFromS3.py --loco 4016 --day 2017-02-07</v>
      </c>
      <c r="AN149" s="167" t="str">
        <f>"grep -SE -B400 ""CHR.+\|PRM\|1\|D.+(SWITCH|SIGNAL).+UNKNOWN"" "&amp;search_path&amp;"\RTDC"&amp;B149&amp;"\*"&amp;B149&amp;"*"&amp;TEXT(AVERAGE(F149,I149)-utc_offset/24,"YYYYMMDD")&amp;"*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"%USERPROFILE%\AppData\Local\Temp\OnboardLogs"\RTDC4016\*4016*20170208* | grep -SE "(Enforcement Action)|(\[TIMEOUT)|(CHR.+\|PRM\|1\|D.+(SWITCH|SIGNAL).+UNKNOWN)" - &gt;&gt; 2017-02-07-UncaughtWiMAX.txt</v>
      </c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x14ac:dyDescent="0.25">
      <c r="A150" s="33" t="s">
        <v>689</v>
      </c>
      <c r="B150" s="7">
        <v>4015</v>
      </c>
      <c r="C150" s="21" t="s">
        <v>193</v>
      </c>
      <c r="D150" s="21" t="s">
        <v>313</v>
      </c>
      <c r="E150" s="13">
        <v>42773.990451388891</v>
      </c>
      <c r="F150" s="13">
        <v>42773.997476851851</v>
      </c>
      <c r="G150" s="7">
        <v>1</v>
      </c>
      <c r="H150" s="21" t="s">
        <v>769</v>
      </c>
      <c r="I150" s="13">
        <v>42774.025601851848</v>
      </c>
      <c r="J150" s="7">
        <v>0</v>
      </c>
      <c r="K150" s="98" t="str">
        <f>IF(ISEVEN(B150),(B150-1)&amp;"/"&amp;B150,B150&amp;"/"&amp;(B150+1))</f>
        <v>4015/4016</v>
      </c>
      <c r="L150" s="21" t="str">
        <f>VLOOKUP(A150,'Trips&amp;Operators'!$C$1:$G$99999,5,FALSE)</f>
        <v>CHANDLER KELVIN</v>
      </c>
      <c r="M150" s="6">
        <f>I150-F150</f>
        <v>2.8124999997089617E-2</v>
      </c>
      <c r="N150" s="7">
        <f>24*60*SUM($M150:$M150)</f>
        <v>40.499999995809048</v>
      </c>
      <c r="O150" s="7"/>
      <c r="P150" s="7"/>
      <c r="Q150" s="22"/>
      <c r="R150" s="22"/>
      <c r="S150" s="31">
        <f>SUM(U150:U150)/IF(AG150="EC",12,1)</f>
        <v>1</v>
      </c>
      <c r="T150" s="46" t="str">
        <f>IF(ISEVEN(LEFT(AD150,4)),"Southbound","NorthBound")</f>
        <v>Southbound</v>
      </c>
      <c r="U150" s="190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191" t="str">
        <f>"https://d0f6bd738d7f1b3e5a7ca70fe4ff75f0.us-east-1.aws.found.io/app/kibana#/discover/Steve-Slow-Train-Analysis-(2080s-and-2083s)?_g="&amp;"(refreshInterval:(display:Off,pause:!f,section:0,value:0),time:(from:'"&amp;TEXT(E150-1/24,"yyyy-MM-DDThh:mm:ss")&amp;utc_offset&amp;"00"&amp;"',mode:absolute,to:'"&amp;TEXT(I150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150&amp;"%22')),sort:!(Time.ISO8601,asc))"</f>
        <v>https://d0f6bd738d7f1b3e5a7ca70fe4ff75f0.us-east-1.aws.found.io/app/kibana#/discover/Steve-Slow-Train-Analysis-(2080s-and-2083s)?_g=(refreshInterval:(display:Off,pause:!f,section:0,value:0),time:(from:'2017-02-07T22:46:15-0700',mode:absolute,to:'2017-02-08T01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150" s="192" t="str">
        <f>IF(AA150&lt;IF(AG150="EC",23,5.65),"Y","N")</f>
        <v>N</v>
      </c>
      <c r="X150" s="192">
        <f>VALUE(LEFT(AD150,4))-VALUE(LEFT(AD149,4))</f>
        <v>1</v>
      </c>
      <c r="Y150" s="62">
        <f>RIGHT(D150,LEN(D150)-4)/10000</f>
        <v>23.299299999999999</v>
      </c>
      <c r="Z150" s="62">
        <f>RIGHT(H150,LEN(H150)-4)/10000</f>
        <v>0.19409999999999999</v>
      </c>
      <c r="AA150" s="62">
        <f>ABS(Z150-Y150)</f>
        <v>23.1052</v>
      </c>
      <c r="AB150" s="59" t="e">
        <f>VLOOKUP(A150,Enforcements!$C$7:$K$14,8,0)</f>
        <v>#N/A</v>
      </c>
      <c r="AC150" s="55" t="e">
        <f>VLOOKUP(A150,Enforcements!$C$7:$E$14,3,0)</f>
        <v>#N/A</v>
      </c>
      <c r="AD150" s="56" t="str">
        <f>IF(LEN(A150)=6,"0"&amp;A150,A150)</f>
        <v>0238-07</v>
      </c>
      <c r="AE150" s="85" t="str">
        <f>"aws s3 cp "&amp;s3_bucket&amp;"/RTDC"&amp;B150&amp;"/ "&amp;search_path&amp;"\RTDC"&amp;B150&amp;"\"&amp;TEXT(F150,"YYYY-MM-DD")&amp;" --exclude ""*"" --recursive --include ""*"&amp;TEXT(F150,"YYYYMMDD")&amp;"*"" &amp; """&amp;walkandungz&amp;""" "&amp;search_path&amp;"\RTDC"&amp;B150&amp;"\"&amp;TEXT(F150,"YYYY-MM-DD")
&amp;" &amp; "&amp;"aws s3 cp "&amp;s3_bucket&amp;"/RTDC"&amp;B150&amp;"/ "&amp;search_path&amp;"\RTDC"&amp;B150&amp;"\"&amp;TEXT(F150+1,"YYYY-MM-DD")&amp;" --exclude ""*"" --recursive --include ""*"&amp;TEXT(F150+1,"YYYYMMDD")&amp;"*"" &amp; """&amp;walkandungz&amp;""" "&amp;search_path&amp;"\RTDC"&amp;B150&amp;"\"&amp;TEXT(F150+1,"YYYY-MM-DD")</f>
        <v>aws s3 cp s3://rtdc.mdm.uploadarchive.raw/RTDC4015/ "%USERPROFILE%\AppData\Local\Temp\OnboardLogs"\RTDC4015\2017-02-07 --exclude "*" --recursive --include "*20170207*" &amp; "%USERPROFILE%\Documents\GitHub\mrs-test-scripts\Headless Mode &amp; Sideloading\WalkAndUnGZ.bat" "%USERPROFILE%\AppData\Local\Temp\OnboardLogs"\RTDC4015\2017-02-07 &amp; aws s3 cp s3://rtdc.mdm.uploadarchive.raw/RTDC4015/ "%USERPROFILE%\AppData\Local\Temp\OnboardLogs"\RTDC4015\2017-02-08 --exclude "*" --recursive --include "*20170208*" &amp; "%USERPROFILE%\Documents\GitHub\mrs-test-scripts\Headless Mode &amp; Sideloading\WalkAndUnGZ.bat" "%USERPROFILE%\AppData\Local\Temp\OnboardLogs"\RTDC4015\2017-02-08</v>
      </c>
      <c r="AF150" s="82" t="str">
        <f>astrogrep_path&amp;" /spath="&amp;search_path&amp;" /stypes=""app*"&amp;B150&amp;"*"&amp;TEXT(I150-utc_offset/24,"YYYYMMDD")&amp;"*"" /stext="" "&amp;TEXT(I150-utc_offset/24,"HH")&amp;search_regexp&amp;""" /e /r /s"</f>
        <v>"C:\Program Files (x86)\AstroGrep\AstroGrep.exe" /spath="%USERPROFILE%\AppData\Local\Temp\OnboardLogs" /stypes="app*4015*20170208*" /stext=" 07:.+((SYSTEM_STATE.+slice.+state.+changed )|(ment ac)|(multiple cpu faults)|(system.+state.+changed )|(\[timeout)|(PRM\|1\|D)|(kpr)|(kdp)|(\|lc)|(penalty))" /e /r /s</v>
      </c>
      <c r="AG150" s="1" t="str">
        <f>IFERROR(IF(VALUE(LEFT(AD150,2))&lt;=2,"EC",IF(OR(VALUE(LEFT(AD150,2))=8,VALUE(LEFT(AD150,2))=18),"NW","Other")),"Other")</f>
        <v>EC</v>
      </c>
      <c r="AH150" s="86" t="str">
        <f t="shared" si="9"/>
        <v>"%USERPROFILE%\Documents\GitHub\eaglep3\Utilities\RefineRTDCRunTimes.py" --tripid 238-07 --locoid 4015 --swversion DE.1.0.8.0 --startMP 204:232993 --initTime 2017-02-07T23:46:15 --startdatetime 2017-02-07T23:56:22 --delay 1 --endMP 204:1941 --enddatetime 2017-02-08T00:36:52 --enforcementcount 0 &gt;&gt;C:\Users\stu\Documents\GitHub\eaglep3-reporting\EC\2017-02-07-refined-times.txt</v>
      </c>
      <c r="AI150" s="108" t="str">
        <f t="shared" si="10"/>
        <v>echo {"issue":{"subject":"","project_id":79,"tracker_id":40,"status_id":1,"priority_id":2,"assigned_to_id":23,"start_date":"2017-02-08","description":"","custom_fields":[{"id":1,"name":"Subdivision","value":"EC"},{"id":4,"name":"Milepost","value":"0.1941"},{"id":17,"name":"Train ID","value":"238-07"},{"id":16,"name":"Locomotive ID","value":"4015"},{"id":130,"name":"Impact","value":""},{"id":150,"name":"Time of Event (Mountain Time)","value":"00:36:52"},{"id":151,"name":"Denver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48"/>
      <c r="AK150" s="48"/>
      <c r="AL150" s="48"/>
      <c r="AM150" s="158" t="str">
        <f t="shared" si="11"/>
        <v>start /low /b %USERPROFILE%\Documents\GitHub\eaglep3\Utilities\DownloadLogsFromS3.py --loco 4015 --day 2017-02-07</v>
      </c>
      <c r="AN150" s="167" t="str">
        <f>"grep -SE -B400 ""CHR.+\|PRM\|1\|D.+(SWITCH|SIGNAL).+UNKNOWN"" "&amp;search_path&amp;"\RTDC"&amp;B150&amp;"\*"&amp;B150&amp;"*"&amp;TEXT(AVERAGE(F150,I150)-utc_offset/24,"YYYYMMDD")&amp;"*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"%USERPROFILE%\AppData\Local\Temp\OnboardLogs"\RTDC4015\*4015*20170208* | grep -SE "(Enforcement Action)|(\[TIMEOUT)|(CHR.+\|PRM\|1\|D.+(SWITCH|SIGNAL).+UNKNOWN)" - &gt;&gt; 2017-02-07-UncaughtWiMAX.txt</v>
      </c>
    </row>
    <row r="151" spans="1:91" s="20" customFormat="1" x14ac:dyDescent="0.25">
      <c r="A151" s="33" t="s">
        <v>687</v>
      </c>
      <c r="B151" s="7">
        <v>4031</v>
      </c>
      <c r="C151" s="21" t="s">
        <v>193</v>
      </c>
      <c r="D151" s="21" t="s">
        <v>435</v>
      </c>
      <c r="E151" s="13">
        <v>42773.967905092592</v>
      </c>
      <c r="F151" s="13">
        <v>42773.979421296295</v>
      </c>
      <c r="G151" s="7">
        <v>1</v>
      </c>
      <c r="H151" s="21" t="s">
        <v>348</v>
      </c>
      <c r="I151" s="13">
        <v>42774.004733796297</v>
      </c>
      <c r="J151" s="7">
        <v>0</v>
      </c>
      <c r="K151" s="98" t="str">
        <f>IF(ISEVEN(B151),(B151-1)&amp;"/"&amp;B151,B151&amp;"/"&amp;(B151+1))</f>
        <v>4031/4032</v>
      </c>
      <c r="L151" s="21" t="str">
        <f>VLOOKUP(A151,'Trips&amp;Operators'!$C$1:$G$99999,5,FALSE)</f>
        <v>SAFIEF AEIMEN</v>
      </c>
      <c r="M151" s="6">
        <f>I151-F151</f>
        <v>2.531250000174623E-2</v>
      </c>
      <c r="N151" s="7">
        <f>24*60*SUM($M151:$M151)</f>
        <v>36.450000002514571</v>
      </c>
      <c r="O151" s="7"/>
      <c r="P151" s="7"/>
      <c r="Q151" s="22"/>
      <c r="R151" s="22"/>
      <c r="S151" s="31">
        <f>SUM(U151:U151)/IF(AG151="EC",12,1)</f>
        <v>1</v>
      </c>
      <c r="T151" s="46" t="str">
        <f>IF(ISEVEN(LEFT(AD151,4)),"Southbound","NorthBound")</f>
        <v>NorthBound</v>
      </c>
      <c r="U151" s="190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191" t="str">
        <f>"https://d0f6bd738d7f1b3e5a7ca70fe4ff75f0.us-east-1.aws.found.io/app/kibana#/discover/Steve-Slow-Train-Analysis-(2080s-and-2083s)?_g="&amp;"(refreshInterval:(display:Off,pause:!f,section:0,value:0),time:(from:'"&amp;TEXT(E151-1/24,"yyyy-MM-DDThh:mm:ss")&amp;utc_offset&amp;"00"&amp;"',mode:absolute,to:'"&amp;TEXT(I151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151&amp;"%22')),sort:!(Time.ISO8601,asc))"</f>
        <v>https://d0f6bd738d7f1b3e5a7ca70fe4ff75f0.us-east-1.aws.found.io/app/kibana#/discover/Steve-Slow-Train-Analysis-(2080s-and-2083s)?_g=(refreshInterval:(display:Off,pause:!f,section:0,value:0),time:(from:'2017-02-07T22:13:47-0700',mode:absolute,to:'2017-02-08T01:06:49-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151" s="192" t="str">
        <f>IF(AA151&lt;IF(AG151="EC",23,5.65),"Y","N")</f>
        <v>N</v>
      </c>
      <c r="X151" s="192">
        <f>VALUE(LEFT(AD151,4))-VALUE(LEFT(AD150,4))</f>
        <v>1</v>
      </c>
      <c r="Y151" s="62">
        <f>RIGHT(D151,LEN(D151)-4)/10000</f>
        <v>4.8599999999999997E-2</v>
      </c>
      <c r="Z151" s="62">
        <f>RIGHT(H151,LEN(H151)-4)/10000</f>
        <v>23.333400000000001</v>
      </c>
      <c r="AA151" s="62">
        <f>ABS(Z151-Y151)</f>
        <v>23.284800000000001</v>
      </c>
      <c r="AB151" s="59" t="e">
        <f>VLOOKUP(A151,Enforcements!$C$7:$K$14,8,0)</f>
        <v>#N/A</v>
      </c>
      <c r="AC151" s="55" t="e">
        <f>VLOOKUP(A151,Enforcements!$C$7:$E$14,3,0)</f>
        <v>#N/A</v>
      </c>
      <c r="AD151" s="56" t="str">
        <f>IF(LEN(A151)=6,"0"&amp;A151,A151)</f>
        <v>0239-07</v>
      </c>
      <c r="AE151" s="85" t="str">
        <f>"aws s3 cp "&amp;s3_bucket&amp;"/RTDC"&amp;B151&amp;"/ "&amp;search_path&amp;"\RTDC"&amp;B151&amp;"\"&amp;TEXT(F151,"YYYY-MM-DD")&amp;" --exclude ""*"" --recursive --include ""*"&amp;TEXT(F151,"YYYYMMDD")&amp;"*"" &amp; """&amp;walkandungz&amp;""" "&amp;search_path&amp;"\RTDC"&amp;B151&amp;"\"&amp;TEXT(F151,"YYYY-MM-DD")
&amp;" &amp; "&amp;"aws s3 cp "&amp;s3_bucket&amp;"/RTDC"&amp;B151&amp;"/ "&amp;search_path&amp;"\RTDC"&amp;B151&amp;"\"&amp;TEXT(F151+1,"YYYY-MM-DD")&amp;" --exclude ""*"" --recursive --include ""*"&amp;TEXT(F151+1,"YYYYMMDD")&amp;"*"" &amp; """&amp;walkandungz&amp;""" "&amp;search_path&amp;"\RTDC"&amp;B151&amp;"\"&amp;TEXT(F151+1,"YYYY-MM-DD")</f>
        <v>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 &amp; aws s3 cp s3://rtdc.mdm.uploadarchive.raw/RTDC4031/ "%USERPROFILE%\AppData\Local\Temp\OnboardLogs"\RTDC4031\2017-02-08 --exclude "*" --recursive --include "*20170208*" &amp; "%USERPROFILE%\Documents\GitHub\mrs-test-scripts\Headless Mode &amp; Sideloading\WalkAndUnGZ.bat" "%USERPROFILE%\AppData\Local\Temp\OnboardLogs"\RTDC4031\2017-02-08</v>
      </c>
      <c r="AF151" s="82" t="str">
        <f>astrogrep_path&amp;" /spath="&amp;search_path&amp;" /stypes=""app*"&amp;B151&amp;"*"&amp;TEXT(I151-utc_offset/24,"YYYYMMDD")&amp;"*"" /stext="" "&amp;TEXT(I151-utc_offset/24,"HH")&amp;search_regexp&amp;""" /e /r /s"</f>
        <v>"C:\Program Files (x86)\AstroGrep\AstroGrep.exe" /spath="%USERPROFILE%\AppData\Local\Temp\OnboardLogs" /stypes="app*4031*20170208*" /stext=" 07:.+((SYSTEM_STATE.+slice.+state.+changed )|(ment ac)|(multiple cpu faults)|(system.+state.+changed )|(\[timeout)|(PRM\|1\|D)|(kpr)|(kdp)|(\|lc)|(penalty))" /e /r /s</v>
      </c>
      <c r="AG151" s="1" t="str">
        <f>IFERROR(IF(VALUE(LEFT(AD151,2))&lt;=2,"EC",IF(OR(VALUE(LEFT(AD151,2))=8,VALUE(LEFT(AD151,2))=18),"NW","Other")),"Other")</f>
        <v>EC</v>
      </c>
      <c r="AH151" s="86" t="str">
        <f t="shared" si="9"/>
        <v>"%USERPROFILE%\Documents\GitHub\eaglep3\Utilities\RefineRTDCRunTimes.py" --tripid 239-07 --locoid 4031 --swversion DE.1.0.8.0 --startMP 204:486 --initTime 2017-02-07T23:13:47 --startdatetime 2017-02-07T23:30:22 --delay 1 --endMP 204:233334 --enddatetime 2017-02-08T00:06:49 --enforcementcount 0 &gt;&gt;C:\Users\stu\Documents\GitHub\eaglep3-reporting\EC\2017-02-07-refined-times.txt</v>
      </c>
      <c r="AI151" s="108" t="str">
        <f t="shared" si="10"/>
        <v>echo {"issue":{"subject":"","project_id":79,"tracker_id":40,"status_id":1,"priority_id":2,"assigned_to_id":23,"start_date":"2017-02-08","description":"","custom_fields":[{"id":1,"name":"Subdivision","value":"EC"},{"id":4,"name":"Milepost","value":"23.3334"},{"id":17,"name":"Train ID","value":"239-07"},{"id":16,"name":"Locomotive ID","value":"4031"},{"id":130,"name":"Impact","value":""},{"id":150,"name":"Time of Event (Mountain Time)","value":"00:06:49"},{"id":151,"name":"Denver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48"/>
      <c r="AK151" s="48"/>
      <c r="AL151" s="48"/>
      <c r="AM151" s="158" t="str">
        <f t="shared" si="11"/>
        <v>start /low /b %USERPROFILE%\Documents\GitHub\eaglep3\Utilities\DownloadLogsFromS3.py --loco 4031 --day 2017-02-07</v>
      </c>
      <c r="AN151" s="167" t="str">
        <f>"grep -SE -B400 ""CHR.+\|PRM\|1\|D.+(SWITCH|SIGNAL).+UNKNOWN"" "&amp;search_path&amp;"\RTDC"&amp;B151&amp;"\*"&amp;B151&amp;"*"&amp;TEXT(AVERAGE(F151,I151)-utc_offset/24,"YYYYMMDD")&amp;"*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"%USERPROFILE%\AppData\Local\Temp\OnboardLogs"\RTDC4031\*4031*20170208* | grep -SE "(Enforcement Action)|(\[TIMEOUT)|(CHR.+\|PRM\|1\|D.+(SWITCH|SIGNAL).+UNKNOWN)" - &gt;&gt; 2017-02-07-UncaughtWiMAX.txt</v>
      </c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0" customFormat="1" x14ac:dyDescent="0.25">
      <c r="A152" s="33" t="s">
        <v>692</v>
      </c>
      <c r="B152" s="7">
        <v>4032</v>
      </c>
      <c r="C152" s="21" t="s">
        <v>193</v>
      </c>
      <c r="D152" s="21" t="s">
        <v>419</v>
      </c>
      <c r="E152" s="13">
        <v>42774.010023148148</v>
      </c>
      <c r="F152" s="13">
        <v>42774.018530092595</v>
      </c>
      <c r="G152" s="7">
        <v>1</v>
      </c>
      <c r="H152" s="21" t="s">
        <v>770</v>
      </c>
      <c r="I152" s="13">
        <v>42774.045370370368</v>
      </c>
      <c r="J152" s="7">
        <v>0</v>
      </c>
      <c r="K152" s="98" t="str">
        <f>IF(ISEVEN(B152),(B152-1)&amp;"/"&amp;B152,B152&amp;"/"&amp;(B152+1))</f>
        <v>4031/4032</v>
      </c>
      <c r="L152" s="21" t="str">
        <f>VLOOKUP(A152,'Trips&amp;Operators'!$C$1:$G$99999,5,FALSE)</f>
        <v>SAFIEF AEIMEN</v>
      </c>
      <c r="M152" s="6">
        <f>I152-F152</f>
        <v>2.6840277772862464E-2</v>
      </c>
      <c r="N152" s="7">
        <f>24*60*SUM($M152:$M152)</f>
        <v>38.649999992921948</v>
      </c>
      <c r="O152" s="7"/>
      <c r="P152" s="7"/>
      <c r="Q152" s="22"/>
      <c r="R152" s="22"/>
      <c r="S152" s="31">
        <f>SUM(U152:U152)/IF(AG152="EC",12,1)</f>
        <v>1</v>
      </c>
      <c r="T152" s="46" t="str">
        <f>IF(ISEVEN(LEFT(AD152,4)),"Southbound","NorthBound")</f>
        <v>Southbound</v>
      </c>
      <c r="U152" s="190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191" t="str">
        <f>"https://d0f6bd738d7f1b3e5a7ca70fe4ff75f0.us-east-1.aws.found.io/app/kibana#/discover/Steve-Slow-Train-Analysis-(2080s-and-2083s)?_g="&amp;"(refreshInterval:(display:Off,pause:!f,section:0,value:0),time:(from:'"&amp;TEXT(E152-1/24,"yyyy-MM-DDThh:mm:ss")&amp;utc_offset&amp;"00"&amp;"',mode:absolute,to:'"&amp;TEXT(I152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152&amp;"%22')),sort:!(Time.ISO8601,asc))"</f>
        <v>https://d0f6bd738d7f1b3e5a7ca70fe4ff75f0.us-east-1.aws.found.io/app/kibana#/discover/Steve-Slow-Train-Analysis-(2080s-and-2083s)?_g=(refreshInterval:(display:Off,pause:!f,section:0,value:0),time:(from:'2017-02-07T23:14:26-0700',mode:absolute,to:'2017-02-08T02:05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4032%22')),sort:!(Time.ISO8601,asc))</v>
      </c>
      <c r="W152" s="192" t="str">
        <f>IF(AA152&lt;IF(AG152="EC",23,5.65),"Y","N")</f>
        <v>N</v>
      </c>
      <c r="X152" s="192">
        <f>VALUE(LEFT(AD152,4))-VALUE(LEFT(AD151,4))</f>
        <v>1</v>
      </c>
      <c r="Y152" s="62">
        <f>RIGHT(D152,LEN(D152)-4)/10000</f>
        <v>23.300999999999998</v>
      </c>
      <c r="Z152" s="62">
        <f>RIGHT(H152,LEN(H152)-4)/10000</f>
        <v>7.7799999999999994E-2</v>
      </c>
      <c r="AA152" s="62">
        <f>ABS(Z152-Y152)</f>
        <v>23.223199999999999</v>
      </c>
      <c r="AB152" s="59" t="e">
        <f>VLOOKUP(A152,Enforcements!$C$7:$K$14,8,0)</f>
        <v>#N/A</v>
      </c>
      <c r="AC152" s="55" t="e">
        <f>VLOOKUP(A152,Enforcements!$C$7:$E$14,3,0)</f>
        <v>#N/A</v>
      </c>
      <c r="AD152" s="56" t="str">
        <f>IF(LEN(A152)=6,"0"&amp;A152,A152)</f>
        <v>0240-07</v>
      </c>
      <c r="AE152" s="85" t="str">
        <f>"aws s3 cp "&amp;s3_bucket&amp;"/RTDC"&amp;B152&amp;"/ "&amp;search_path&amp;"\RTDC"&amp;B152&amp;"\"&amp;TEXT(F152,"YYYY-MM-DD")&amp;" --exclude ""*"" --recursive --include ""*"&amp;TEXT(F152,"YYYYMMDD")&amp;"*"" &amp; """&amp;walkandungz&amp;""" "&amp;search_path&amp;"\RTDC"&amp;B152&amp;"\"&amp;TEXT(F152,"YYYY-MM-DD")
&amp;" &amp; "&amp;"aws s3 cp "&amp;s3_bucket&amp;"/RTDC"&amp;B152&amp;"/ "&amp;search_path&amp;"\RTDC"&amp;B152&amp;"\"&amp;TEXT(F152+1,"YYYY-MM-DD")&amp;" --exclude ""*"" --recursive --include ""*"&amp;TEXT(F152+1,"YYYYMMDD")&amp;"*"" &amp; """&amp;walkandungz&amp;""" "&amp;search_path&amp;"\RTDC"&amp;B152&amp;"\"&amp;TEXT(F152+1,"YYYY-MM-DD")</f>
        <v>aws s3 cp s3://rtdc.mdm.uploadarchive.raw/RTDC4032/ "%USERPROFILE%\AppData\Local\Temp\OnboardLogs"\RTDC4032\2017-02-08 --exclude "*" --recursive --include "*20170208*" &amp; "%USERPROFILE%\Documents\GitHub\mrs-test-scripts\Headless Mode &amp; Sideloading\WalkAndUnGZ.bat" "%USERPROFILE%\AppData\Local\Temp\OnboardLogs"\RTDC4032\2017-02-08 &amp; aws s3 cp s3://rtdc.mdm.uploadarchive.raw/RTDC4032/ "%USERPROFILE%\AppData\Local\Temp\OnboardLogs"\RTDC4032\2017-02-09 --exclude "*" --recursive --include "*20170209*" &amp; "%USERPROFILE%\Documents\GitHub\mrs-test-scripts\Headless Mode &amp; Sideloading\WalkAndUnGZ.bat" "%USERPROFILE%\AppData\Local\Temp\OnboardLogs"\RTDC4032\2017-02-09</v>
      </c>
      <c r="AF152" s="82" t="str">
        <f>astrogrep_path&amp;" /spath="&amp;search_path&amp;" /stypes=""app*"&amp;B152&amp;"*"&amp;TEXT(I152-utc_offset/24,"YYYYMMDD")&amp;"*"" /stext="" "&amp;TEXT(I152-utc_offset/24,"HH")&amp;search_regexp&amp;""" /e /r /s"</f>
        <v>"C:\Program Files (x86)\AstroGrep\AstroGrep.exe" /spath="%USERPROFILE%\AppData\Local\Temp\OnboardLogs" /stypes="app*4032*20170208*" /stext=" 08:.+((SYSTEM_STATE.+slice.+state.+changed )|(ment ac)|(multiple cpu faults)|(system.+state.+changed )|(\[timeout)|(PRM\|1\|D)|(kpr)|(kdp)|(\|lc)|(penalty))" /e /r /s</v>
      </c>
      <c r="AG152" s="1" t="str">
        <f>IFERROR(IF(VALUE(LEFT(AD152,2))&lt;=2,"EC",IF(OR(VALUE(LEFT(AD152,2))=8,VALUE(LEFT(AD152,2))=18),"NW","Other")),"Other")</f>
        <v>EC</v>
      </c>
      <c r="AH152" s="86" t="str">
        <f t="shared" si="9"/>
        <v>"%USERPROFILE%\Documents\GitHub\eaglep3\Utilities\RefineRTDCRunTimes.py" --tripid 240-07 --locoid 4032 --swversion DE.1.0.8.0 --startMP 204:233010 --initTime 2017-02-08T00:14:26 --startdatetime 2017-02-08T00:26:41 --delay 1 --endMP 204:778 --enddatetime 2017-02-08T01:05:20 --enforcementcount 0 &gt;&gt;C:\Users\stu\Documents\GitHub\eaglep3-reporting\EC\2017-02-07-refined-times.txt</v>
      </c>
      <c r="AI152" s="108" t="str">
        <f t="shared" si="10"/>
        <v>echo {"issue":{"subject":"","project_id":79,"tracker_id":40,"status_id":1,"priority_id":2,"assigned_to_id":23,"start_date":"2017-02-08","description":"","custom_fields":[{"id":1,"name":"Subdivision","value":"EC"},{"id":4,"name":"Milepost","value":"0.0778"},{"id":17,"name":"Train ID","value":"240-07"},{"id":16,"name":"Locomotive ID","value":"4032"},{"id":130,"name":"Impact","value":""},{"id":150,"name":"Time of Event (Mountain Time)","value":"01:05:20"},{"id":151,"name":"Denver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48"/>
      <c r="AK152" s="48"/>
      <c r="AL152" s="48"/>
      <c r="AM152" s="158" t="str">
        <f t="shared" si="11"/>
        <v>start /low /b %USERPROFILE%\Documents\GitHub\eaglep3\Utilities\DownloadLogsFromS3.py --loco 4032 --day 2017-02-08</v>
      </c>
      <c r="AN152" s="167" t="str">
        <f>"grep -SE -B400 ""CHR.+\|PRM\|1\|D.+(SWITCH|SIGNAL).+UNKNOWN"" "&amp;search_path&amp;"\RTDC"&amp;B152&amp;"\*"&amp;B152&amp;"*"&amp;TEXT(AVERAGE(F152,I152)-utc_offset/24,"YYYYMMDD")&amp;"*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"%USERPROFILE%\AppData\Local\Temp\OnboardLogs"\RTDC4032\*4032*20170208* | grep -SE "(Enforcement Action)|(\[TIMEOUT)|(CHR.+\|PRM\|1\|D.+(SWITCH|SIGNAL).+UNKNOWN)" - &gt;&gt; 2017-02-07-UncaughtWiMAX.txt</v>
      </c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0" customFormat="1" x14ac:dyDescent="0.25">
      <c r="A153" s="33" t="s">
        <v>690</v>
      </c>
      <c r="B153" s="7">
        <v>4046</v>
      </c>
      <c r="C153" s="21" t="s">
        <v>193</v>
      </c>
      <c r="D153" s="21" t="s">
        <v>357</v>
      </c>
      <c r="E153" s="13">
        <v>42773.996840277781</v>
      </c>
      <c r="F153" s="13">
        <v>42774.000289351854</v>
      </c>
      <c r="G153" s="7">
        <v>1</v>
      </c>
      <c r="H153" s="21" t="s">
        <v>349</v>
      </c>
      <c r="I153" s="13">
        <v>42774.02516203704</v>
      </c>
      <c r="J153" s="7">
        <v>0</v>
      </c>
      <c r="K153" s="98" t="str">
        <f>IF(ISEVEN(B153),(B153-1)&amp;"/"&amp;B153,B153&amp;"/"&amp;(B153+1))</f>
        <v>4045/4046</v>
      </c>
      <c r="L153" s="21" t="str">
        <f>VLOOKUP(A153,'Trips&amp;Operators'!$C$1:$G$99999,5,FALSE)</f>
        <v>STORY SAMANTHA</v>
      </c>
      <c r="M153" s="6">
        <f>I153-F153</f>
        <v>2.4872685185982846E-2</v>
      </c>
      <c r="N153" s="7">
        <f>24*60*SUM($M153:$M153)</f>
        <v>35.816666667815298</v>
      </c>
      <c r="O153" s="7"/>
      <c r="P153" s="7"/>
      <c r="Q153" s="22"/>
      <c r="R153" s="22"/>
      <c r="S153" s="31">
        <f>SUM(U153:U153)/IF(AG153="EC",12,1)</f>
        <v>1</v>
      </c>
      <c r="T153" s="46" t="str">
        <f>IF(ISEVEN(LEFT(AD153,4)),"Southbound","NorthBound")</f>
        <v>NorthBound</v>
      </c>
      <c r="U153" s="190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191" t="str">
        <f>"https://d0f6bd738d7f1b3e5a7ca70fe4ff75f0.us-east-1.aws.found.io/app/kibana#/discover/Steve-Slow-Train-Analysis-(2080s-and-2083s)?_g="&amp;"(refreshInterval:(display:Off,pause:!f,section:0,value:0),time:(from:'"&amp;TEXT(E153-1/24,"yyyy-MM-DDThh:mm:ss")&amp;utc_offset&amp;"00"&amp;"',mode:absolute,to:'"&amp;TEXT(I153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153&amp;"%22')),sort:!(Time.ISO8601,asc))"</f>
        <v>https://d0f6bd738d7f1b3e5a7ca70fe4ff75f0.us-east-1.aws.found.io/app/kibana#/discover/Steve-Slow-Train-Analysis-(2080s-and-2083s)?_g=(refreshInterval:(display:Off,pause:!f,section:0,value:0),time:(from:'2017-02-07T22:55:27-0700',mode:absolute,to:'2017-02-08T01:36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W153" s="192" t="str">
        <f>IF(AA153&lt;IF(AG153="EC",23,5.65),"Y","N")</f>
        <v>N</v>
      </c>
      <c r="X153" s="192">
        <f>VALUE(LEFT(AD153,4))-VALUE(LEFT(AD152,4))</f>
        <v>1</v>
      </c>
      <c r="Y153" s="62">
        <f>RIGHT(D153,LEN(D153)-4)/10000</f>
        <v>4.7800000000000002E-2</v>
      </c>
      <c r="Z153" s="62">
        <f>RIGHT(H153,LEN(H153)-4)/10000</f>
        <v>23.331</v>
      </c>
      <c r="AA153" s="62">
        <f>ABS(Z153-Y153)</f>
        <v>23.283200000000001</v>
      </c>
      <c r="AB153" s="59" t="e">
        <f>VLOOKUP(A153,Enforcements!$C$7:$K$14,8,0)</f>
        <v>#N/A</v>
      </c>
      <c r="AC153" s="55" t="e">
        <f>VLOOKUP(A153,Enforcements!$C$7:$E$14,3,0)</f>
        <v>#N/A</v>
      </c>
      <c r="AD153" s="56" t="str">
        <f>IF(LEN(A153)=6,"0"&amp;A153,A153)</f>
        <v>0241-07</v>
      </c>
      <c r="AE153" s="85" t="str">
        <f>"aws s3 cp "&amp;s3_bucket&amp;"/RTDC"&amp;B153&amp;"/ "&amp;search_path&amp;"\RTDC"&amp;B153&amp;"\"&amp;TEXT(F153,"YYYY-MM-DD")&amp;" --exclude ""*"" --recursive --include ""*"&amp;TEXT(F153,"YYYYMMDD")&amp;"*"" &amp; """&amp;walkandungz&amp;""" "&amp;search_path&amp;"\RTDC"&amp;B153&amp;"\"&amp;TEXT(F153,"YYYY-MM-DD")
&amp;" &amp; "&amp;"aws s3 cp "&amp;s3_bucket&amp;"/RTDC"&amp;B153&amp;"/ "&amp;search_path&amp;"\RTDC"&amp;B153&amp;"\"&amp;TEXT(F153+1,"YYYY-MM-DD")&amp;" --exclude ""*"" --recursive --include ""*"&amp;TEXT(F153+1,"YYYYMMDD")&amp;"*"" &amp; """&amp;walkandungz&amp;""" "&amp;search_path&amp;"\RTDC"&amp;B153&amp;"\"&amp;TEXT(F153+1,"YYYY-MM-DD")</f>
        <v>aws s3 cp s3://rtdc.mdm.uploadarchive.raw/RTDC4046/ "%USERPROFILE%\AppData\Local\Temp\OnboardLogs"\RTDC4046\2017-02-08 --exclude "*" --recursive --include "*20170208*" &amp; "%USERPROFILE%\Documents\GitHub\mrs-test-scripts\Headless Mode &amp; Sideloading\WalkAndUnGZ.bat" "%USERPROFILE%\AppData\Local\Temp\OnboardLogs"\RTDC4046\2017-02-08 &amp; aws s3 cp s3://rtdc.mdm.uploadarchive.raw/RTDC4046/ "%USERPROFILE%\AppData\Local\Temp\OnboardLogs"\RTDC4046\2017-02-09 --exclude "*" --recursive --include "*20170209*" &amp; "%USERPROFILE%\Documents\GitHub\mrs-test-scripts\Headless Mode &amp; Sideloading\WalkAndUnGZ.bat" "%USERPROFILE%\AppData\Local\Temp\OnboardLogs"\RTDC4046\2017-02-09</v>
      </c>
      <c r="AF153" s="82" t="str">
        <f>astrogrep_path&amp;" /spath="&amp;search_path&amp;" /stypes=""app*"&amp;B153&amp;"*"&amp;TEXT(I153-utc_offset/24,"YYYYMMDD")&amp;"*"" /stext="" "&amp;TEXT(I153-utc_offset/24,"HH")&amp;search_regexp&amp;""" /e /r /s"</f>
        <v>"C:\Program Files (x86)\AstroGrep\AstroGrep.exe" /spath="%USERPROFILE%\AppData\Local\Temp\OnboardLogs" /stypes="app*4046*20170208*" /stext=" 07:.+((SYSTEM_STATE.+slice.+state.+changed )|(ment ac)|(multiple cpu faults)|(system.+state.+changed )|(\[timeout)|(PRM\|1\|D)|(kpr)|(kdp)|(\|lc)|(penalty))" /e /r /s</v>
      </c>
      <c r="AG153" s="1" t="str">
        <f>IFERROR(IF(VALUE(LEFT(AD153,2))&lt;=2,"EC",IF(OR(VALUE(LEFT(AD153,2))=8,VALUE(LEFT(AD153,2))=18),"NW","Other")),"Other")</f>
        <v>EC</v>
      </c>
      <c r="AH153" s="86" t="str">
        <f t="shared" si="9"/>
        <v>"%USERPROFILE%\Documents\GitHub\eaglep3\Utilities\RefineRTDCRunTimes.py" --tripid 241-07 --locoid 4046 --swversion DE.1.0.8.0 --startMP 204:478 --initTime 2017-02-07T23:55:27 --startdatetime 2017-02-08T00:00:25 --delay 1 --endMP 204:233310 --enddatetime 2017-02-08T00:36:14 --enforcementcount 0 &gt;&gt;C:\Users\stu\Documents\GitHub\eaglep3-reporting\EC\2017-02-07-refined-times.txt</v>
      </c>
      <c r="AI153" s="108" t="str">
        <f t="shared" si="10"/>
        <v>echo {"issue":{"subject":"","project_id":79,"tracker_id":40,"status_id":1,"priority_id":2,"assigned_to_id":23,"start_date":"2017-02-08","description":"","custom_fields":[{"id":1,"name":"Subdivision","value":"EC"},{"id":4,"name":"Milepost","value":"23.331"},{"id":17,"name":"Train ID","value":"241-07"},{"id":16,"name":"Locomotive ID","value":"4046"},{"id":130,"name":"Impact","value":""},{"id":150,"name":"Time of Event (Mountain Time)","value":"00:36:14"},{"id":151,"name":"Denver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48"/>
      <c r="AK153" s="48"/>
      <c r="AL153" s="48"/>
      <c r="AM153" s="158" t="str">
        <f t="shared" si="11"/>
        <v>start /low /b %USERPROFILE%\Documents\GitHub\eaglep3\Utilities\DownloadLogsFromS3.py --loco 4046 --day 2017-02-08</v>
      </c>
      <c r="AN153" s="167" t="str">
        <f>"grep -SE -B400 ""CHR.+\|PRM\|1\|D.+(SWITCH|SIGNAL).+UNKNOWN"" "&amp;search_path&amp;"\RTDC"&amp;B153&amp;"\*"&amp;B153&amp;"*"&amp;TEXT(AVERAGE(F153,I153)-utc_offset/24,"YYYYMMDD")&amp;"*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"%USERPROFILE%\AppData\Local\Temp\OnboardLogs"\RTDC4046\*4046*20170208* | grep -SE "(Enforcement Action)|(\[TIMEOUT)|(CHR.+\|PRM\|1\|D.+(SWITCH|SIGNAL).+UNKNOWN)" - &gt;&gt; 2017-02-07-UncaughtWiMAX.txt</v>
      </c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s="20" customFormat="1" x14ac:dyDescent="0.25">
      <c r="A154" s="33" t="s">
        <v>693</v>
      </c>
      <c r="B154" s="7">
        <v>4045</v>
      </c>
      <c r="C154" s="21" t="s">
        <v>193</v>
      </c>
      <c r="D154" s="21" t="s">
        <v>322</v>
      </c>
      <c r="E154" s="13">
        <v>42774.030578703707</v>
      </c>
      <c r="F154" s="13">
        <v>42774.039259259262</v>
      </c>
      <c r="G154" s="7">
        <v>1</v>
      </c>
      <c r="H154" s="21" t="s">
        <v>771</v>
      </c>
      <c r="I154" s="13">
        <v>42774.061608796299</v>
      </c>
      <c r="J154" s="7">
        <v>0</v>
      </c>
      <c r="K154" s="98" t="str">
        <f>IF(ISEVEN(B154),(B154-1)&amp;"/"&amp;B154,B154&amp;"/"&amp;(B154+1))</f>
        <v>4045/4046</v>
      </c>
      <c r="L154" s="21" t="str">
        <f>VLOOKUP(A154,'Trips&amp;Operators'!$C$1:$G$99999,5,FALSE)</f>
        <v>STORY SAMANTHA</v>
      </c>
      <c r="M154" s="6">
        <f>I154-F154</f>
        <v>2.2349537037371192E-2</v>
      </c>
      <c r="N154" s="7">
        <f>24*60*SUM($M154:$M154)</f>
        <v>32.183333333814517</v>
      </c>
      <c r="O154" s="7"/>
      <c r="P154" s="7"/>
      <c r="Q154" s="22"/>
      <c r="R154" s="22" t="s">
        <v>952</v>
      </c>
      <c r="S154" s="31">
        <f>SUM(U154:U154)/IF(AG154="EC",12,1)</f>
        <v>1</v>
      </c>
      <c r="T154" s="46" t="str">
        <f>IF(ISEVEN(LEFT(AD154,4)),"Southbound","NorthBound")</f>
        <v>Southbound</v>
      </c>
      <c r="U154" s="190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191" t="str">
        <f>"https://d0f6bd738d7f1b3e5a7ca70fe4ff75f0.us-east-1.aws.found.io/app/kibana#/discover/Steve-Slow-Train-Analysis-(2080s-and-2083s)?_g="&amp;"(refreshInterval:(display:Off,pause:!f,section:0,value:0),time:(from:'"&amp;TEXT(E154-1/24,"yyyy-MM-DDThh:mm:ss")&amp;utc_offset&amp;"00"&amp;"',mode:absolute,to:'"&amp;TEXT(I154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154&amp;"%22')),sort:!(Time.ISO8601,asc))"</f>
        <v>https://d0f6bd738d7f1b3e5a7ca70fe4ff75f0.us-east-1.aws.found.io/app/kibana#/discover/Steve-Slow-Train-Analysis-(2080s-and-2083s)?_g=(refreshInterval:(display:Off,pause:!f,section:0,value:0),time:(from:'2017-02-07T23:44:02-0700',mode:absolute,to:'2017-02-08T02:28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W154" s="192" t="str">
        <f>IF(AA154&lt;IF(AG154="EC",23,5.65),"Y","N")</f>
        <v>Y</v>
      </c>
      <c r="X154" s="192">
        <f>VALUE(LEFT(AD154,4))-VALUE(LEFT(AD153,4))</f>
        <v>1</v>
      </c>
      <c r="Y154" s="62">
        <f>RIGHT(D154,LEN(D154)-4)/10000</f>
        <v>23.298500000000001</v>
      </c>
      <c r="Z154" s="62">
        <f>RIGHT(H154,LEN(H154)-4)/10000</f>
        <v>1.8705000000000001</v>
      </c>
      <c r="AA154" s="62">
        <f>ABS(Z154-Y154)</f>
        <v>21.428000000000001</v>
      </c>
      <c r="AB154" s="59" t="e">
        <f>VLOOKUP(A154,Enforcements!$C$7:$K$14,8,0)</f>
        <v>#N/A</v>
      </c>
      <c r="AC154" s="55" t="e">
        <f>VLOOKUP(A154,Enforcements!$C$7:$E$14,3,0)</f>
        <v>#N/A</v>
      </c>
      <c r="AD154" s="56" t="str">
        <f>IF(LEN(A154)=6,"0"&amp;A154,A154)</f>
        <v>0242-07</v>
      </c>
      <c r="AE154" s="85" t="str">
        <f>"aws s3 cp "&amp;s3_bucket&amp;"/RTDC"&amp;B154&amp;"/ "&amp;search_path&amp;"\RTDC"&amp;B154&amp;"\"&amp;TEXT(F154,"YYYY-MM-DD")&amp;" --exclude ""*"" --recursive --include ""*"&amp;TEXT(F154,"YYYYMMDD")&amp;"*"" &amp; """&amp;walkandungz&amp;""" "&amp;search_path&amp;"\RTDC"&amp;B154&amp;"\"&amp;TEXT(F154,"YYYY-MM-DD")
&amp;" &amp; "&amp;"aws s3 cp "&amp;s3_bucket&amp;"/RTDC"&amp;B154&amp;"/ "&amp;search_path&amp;"\RTDC"&amp;B154&amp;"\"&amp;TEXT(F154+1,"YYYY-MM-DD")&amp;" --exclude ""*"" --recursive --include ""*"&amp;TEXT(F154+1,"YYYYMMDD")&amp;"*"" &amp; """&amp;walkandungz&amp;""" "&amp;search_path&amp;"\RTDC"&amp;B154&amp;"\"&amp;TEXT(F154+1,"YYYY-MM-DD")</f>
        <v>aws s3 cp s3://rtdc.mdm.uploadarchive.raw/RTDC4045/ "%USERPROFILE%\AppData\Local\Temp\OnboardLogs"\RTDC4045\2017-02-08 --exclude "*" --recursive --include "*20170208*" &amp; "%USERPROFILE%\Documents\GitHub\mrs-test-scripts\Headless Mode &amp; Sideloading\WalkAndUnGZ.bat" "%USERPROFILE%\AppData\Local\Temp\OnboardLogs"\RTDC4045\2017-02-08 &amp; aws s3 cp s3://rtdc.mdm.uploadarchive.raw/RTDC4045/ "%USERPROFILE%\AppData\Local\Temp\OnboardLogs"\RTDC4045\2017-02-09 --exclude "*" --recursive --include "*20170209*" &amp; "%USERPROFILE%\Documents\GitHub\mrs-test-scripts\Headless Mode &amp; Sideloading\WalkAndUnGZ.bat" "%USERPROFILE%\AppData\Local\Temp\OnboardLogs"\RTDC4045\2017-02-09</v>
      </c>
      <c r="AF154" s="82" t="str">
        <f>astrogrep_path&amp;" /spath="&amp;search_path&amp;" /stypes=""app*"&amp;B154&amp;"*"&amp;TEXT(I154-utc_offset/24,"YYYYMMDD")&amp;"*"" /stext="" "&amp;TEXT(I154-utc_offset/24,"HH")&amp;search_regexp&amp;""" /e /r /s"</f>
        <v>"C:\Program Files (x86)\AstroGrep\AstroGrep.exe" /spath="%USERPROFILE%\AppData\Local\Temp\OnboardLogs" /stypes="app*4045*20170208*" /stext=" 08:.+((SYSTEM_STATE.+slice.+state.+changed )|(ment ac)|(multiple cpu faults)|(system.+state.+changed )|(\[timeout)|(PRM\|1\|D)|(kpr)|(kdp)|(\|lc)|(penalty))" /e /r /s</v>
      </c>
      <c r="AG154" s="1" t="str">
        <f>IFERROR(IF(VALUE(LEFT(AD154,2))&lt;=2,"EC",IF(OR(VALUE(LEFT(AD154,2))=8,VALUE(LEFT(AD154,2))=18),"NW","Other")),"Other")</f>
        <v>EC</v>
      </c>
      <c r="AH154" s="86" t="str">
        <f t="shared" si="9"/>
        <v>"%USERPROFILE%\Documents\GitHub\eaglep3\Utilities\RefineRTDCRunTimes.py" --tripid 242-07 --locoid 4045 --swversion DE.1.0.8.0 --startMP 204:232985 --initTime 2017-02-08T00:44:02 --startdatetime 2017-02-08T00:56:32 --delay 1 --endMP 204:18705 --enddatetime 2017-02-08T01:28:43 --enforcementcount 0 &gt;&gt;C:\Users\stu\Documents\GitHub\eaglep3-reporting\EC\2017-02-07-refined-times.txt</v>
      </c>
      <c r="AI154" s="108" t="str">
        <f t="shared" si="10"/>
        <v>echo {"issue":{"subject":"Track maintenance (DUS de-energized)","project_id":79,"tracker_id":40,"status_id":1,"priority_id":2,"assigned_to_id":23,"start_date":"2017-02-08","description":"","custom_fields":[{"id":1,"name":"Subdivision","value":"EC"},{"id":4,"name":"Milepost","value":"1.8705"},{"id":17,"name":"Train ID","value":"242-07"},{"id":16,"name":"Locomotive ID","value":"4045"},{"id":130,"name":"Impact","value":""},{"id":150,"name":"Time of Event (Mountain Time)","value":"01:28:43"},{"id":151,"name":"Denver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48"/>
      <c r="AK154" s="48"/>
      <c r="AL154" s="48"/>
      <c r="AM154" s="158" t="str">
        <f t="shared" si="11"/>
        <v>start /low /b %USERPROFILE%\Documents\GitHub\eaglep3\Utilities\DownloadLogsFromS3.py --loco 4045 --day 2017-02-08</v>
      </c>
      <c r="AN154" s="167" t="str">
        <f>"grep -SE -B400 ""CHR.+\|PRM\|1\|D.+(SWITCH|SIGNAL).+UNKNOWN"" "&amp;search_path&amp;"\RTDC"&amp;B154&amp;"\*"&amp;B154&amp;"*"&amp;TEXT(AVERAGE(F154,I154)-utc_offset/24,"YYYYMMDD")&amp;"*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"%USERPROFILE%\AppData\Local\Temp\OnboardLogs"\RTDC4045\*4045*20170208* | grep -SE "(Enforcement Action)|(\[TIMEOUT)|(CHR.+\|PRM\|1\|D.+(SWITCH|SIGNAL).+UNKNOWN)" - &gt;&gt; 2017-02-07-UncaughtWiMAX.txt</v>
      </c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</row>
    <row r="155" spans="1:91" s="20" customFormat="1" x14ac:dyDescent="0.25">
      <c r="A155" s="33" t="s">
        <v>691</v>
      </c>
      <c r="B155" s="7">
        <v>4040</v>
      </c>
      <c r="C155" s="21" t="s">
        <v>193</v>
      </c>
      <c r="D155" s="21" t="s">
        <v>772</v>
      </c>
      <c r="E155" s="13">
        <v>42774.005706018521</v>
      </c>
      <c r="F155" s="13">
        <v>42774.021087962959</v>
      </c>
      <c r="G155" s="7">
        <v>1</v>
      </c>
      <c r="H155" s="21" t="s">
        <v>314</v>
      </c>
      <c r="I155" s="13">
        <v>42774.045775462961</v>
      </c>
      <c r="J155" s="7">
        <v>0</v>
      </c>
      <c r="K155" s="98" t="str">
        <f>IF(ISEVEN(B155),(B155-1)&amp;"/"&amp;B155,B155&amp;"/"&amp;(B155+1))</f>
        <v>4039/4040</v>
      </c>
      <c r="L155" s="21" t="str">
        <f>VLOOKUP(A155,'Trips&amp;Operators'!$C$1:$G$99999,5,FALSE)</f>
        <v>STAMBAUGH JAMES</v>
      </c>
      <c r="M155" s="6">
        <f>I155-F155</f>
        <v>2.4687500001164153E-2</v>
      </c>
      <c r="N155" s="7">
        <f>24*60*SUM($M155:$M155)</f>
        <v>35.550000001676381</v>
      </c>
      <c r="O155" s="7"/>
      <c r="P155" s="7"/>
      <c r="Q155" s="22"/>
      <c r="R155" s="22"/>
      <c r="S155" s="31">
        <f>SUM(U155:U155)/IF(AG155="EC",12,1)</f>
        <v>1</v>
      </c>
      <c r="T155" s="46" t="str">
        <f>IF(ISEVEN(LEFT(AD155,4)),"Southbound","NorthBound")</f>
        <v>NorthBound</v>
      </c>
      <c r="U155" s="190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12</v>
      </c>
      <c r="V155" s="191" t="str">
        <f>"https://d0f6bd738d7f1b3e5a7ca70fe4ff75f0.us-east-1.aws.found.io/app/kibana#/discover/Steve-Slow-Train-Analysis-(2080s-and-2083s)?_g="&amp;"(refreshInterval:(display:Off,pause:!f,section:0,value:0),time:(from:'"&amp;TEXT(E155-1/24,"yyyy-MM-DDThh:mm:ss")&amp;utc_offset&amp;"00"&amp;"',mode:absolute,to:'"&amp;TEXT(I155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155&amp;"%22')),sort:!(Time.ISO8601,asc))"</f>
        <v>https://d0f6bd738d7f1b3e5a7ca70fe4ff75f0.us-east-1.aws.found.io/app/kibana#/discover/Steve-Slow-Train-Analysis-(2080s-and-2083s)?_g=(refreshInterval:(display:Off,pause:!f,section:0,value:0),time:(from:'2017-02-07T23:08:13-0700',mode:absolute,to:'2017-02-08T02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W155" s="192" t="str">
        <f>IF(AA155&lt;IF(AG155="EC",23,5.65),"Y","N")</f>
        <v>N</v>
      </c>
      <c r="X155" s="192">
        <f>VALUE(LEFT(AD155,4))-VALUE(LEFT(AD154,4))</f>
        <v>1</v>
      </c>
      <c r="Y155" s="62">
        <f>RIGHT(D155,LEN(D155)-4)/10000</f>
        <v>6.2199999999999998E-2</v>
      </c>
      <c r="Z155" s="62">
        <f>RIGHT(H155,LEN(H155)-4)/10000</f>
        <v>23.331700000000001</v>
      </c>
      <c r="AA155" s="62">
        <f>ABS(Z155-Y155)</f>
        <v>23.269500000000001</v>
      </c>
      <c r="AB155" s="59" t="e">
        <f>VLOOKUP(A155,Enforcements!$C$7:$K$14,8,0)</f>
        <v>#N/A</v>
      </c>
      <c r="AC155" s="55" t="e">
        <f>VLOOKUP(A155,Enforcements!$C$7:$E$14,3,0)</f>
        <v>#N/A</v>
      </c>
      <c r="AD155" s="56" t="str">
        <f>IF(LEN(A155)=6,"0"&amp;A155,A155)</f>
        <v>0243-07</v>
      </c>
      <c r="AE155" s="85" t="str">
        <f>"aws s3 cp "&amp;s3_bucket&amp;"/RTDC"&amp;B155&amp;"/ "&amp;search_path&amp;"\RTDC"&amp;B155&amp;"\"&amp;TEXT(F155,"YYYY-MM-DD")&amp;" --exclude ""*"" --recursive --include ""*"&amp;TEXT(F155,"YYYYMMDD")&amp;"*"" &amp; """&amp;walkandungz&amp;""" "&amp;search_path&amp;"\RTDC"&amp;B155&amp;"\"&amp;TEXT(F155,"YYYY-MM-DD")
&amp;" &amp; "&amp;"aws s3 cp "&amp;s3_bucket&amp;"/RTDC"&amp;B155&amp;"/ "&amp;search_path&amp;"\RTDC"&amp;B155&amp;"\"&amp;TEXT(F155+1,"YYYY-MM-DD")&amp;" --exclude ""*"" --recursive --include ""*"&amp;TEXT(F155+1,"YYYYMMDD")&amp;"*"" &amp; """&amp;walkandungz&amp;""" "&amp;search_path&amp;"\RTDC"&amp;B155&amp;"\"&amp;TEXT(F155+1,"YYYY-MM-DD")</f>
        <v>aws s3 cp s3://rtdc.mdm.uploadarchive.raw/RTDC4040/ "%USERPROFILE%\AppData\Local\Temp\OnboardLogs"\RTDC4040\2017-02-08 --exclude "*" --recursive --include "*20170208*" &amp; "%USERPROFILE%\Documents\GitHub\mrs-test-scripts\Headless Mode &amp; Sideloading\WalkAndUnGZ.bat" "%USERPROFILE%\AppData\Local\Temp\OnboardLogs"\RTDC4040\2017-02-08 &amp; aws s3 cp s3://rtdc.mdm.uploadarchive.raw/RTDC4040/ "%USERPROFILE%\AppData\Local\Temp\OnboardLogs"\RTDC4040\2017-02-09 --exclude "*" --recursive --include "*20170209*" &amp; "%USERPROFILE%\Documents\GitHub\mrs-test-scripts\Headless Mode &amp; Sideloading\WalkAndUnGZ.bat" "%USERPROFILE%\AppData\Local\Temp\OnboardLogs"\RTDC4040\2017-02-09</v>
      </c>
      <c r="AF155" s="82" t="str">
        <f>astrogrep_path&amp;" /spath="&amp;search_path&amp;" /stypes=""app*"&amp;B155&amp;"*"&amp;TEXT(I155-utc_offset/24,"YYYYMMDD")&amp;"*"" /stext="" "&amp;TEXT(I155-utc_offset/24,"HH")&amp;search_regexp&amp;""" /e /r /s"</f>
        <v>"C:\Program Files (x86)\AstroGrep\AstroGrep.exe" /spath="%USERPROFILE%\AppData\Local\Temp\OnboardLogs" /stypes="app*4040*20170208*" /stext=" 08:.+((SYSTEM_STATE.+slice.+state.+changed )|(ment ac)|(multiple cpu faults)|(system.+state.+changed )|(\[timeout)|(PRM\|1\|D)|(kpr)|(kdp)|(\|lc)|(penalty))" /e /r /s</v>
      </c>
      <c r="AG155" s="1" t="str">
        <f>IFERROR(IF(VALUE(LEFT(AD155,2))&lt;=2,"EC",IF(OR(VALUE(LEFT(AD155,2))=8,VALUE(LEFT(AD155,2))=18),"NW","Other")),"Other")</f>
        <v>EC</v>
      </c>
      <c r="AH155" s="86" t="str">
        <f t="shared" si="9"/>
        <v>"%USERPROFILE%\Documents\GitHub\eaglep3\Utilities\RefineRTDCRunTimes.py" --tripid 243-07 --locoid 4040 --swversion DE.1.0.8.0 --startMP 204:622 --initTime 2017-02-08T00:08:13 --startdatetime 2017-02-08T00:30:22 --delay 1 --endMP 204:233317 --enddatetime 2017-02-08T01:05:55 --enforcementcount 0 &gt;&gt;C:\Users\stu\Documents\GitHub\eaglep3-reporting\EC\2017-02-07-refined-times.txt</v>
      </c>
      <c r="AI155" s="108" t="str">
        <f t="shared" si="10"/>
        <v>echo {"issue":{"subject":"","project_id":79,"tracker_id":40,"status_id":1,"priority_id":2,"assigned_to_id":23,"start_date":"2017-02-08","description":"","custom_fields":[{"id":1,"name":"Subdivision","value":"EC"},{"id":4,"name":"Milepost","value":"23.3317"},{"id":17,"name":"Train ID","value":"243-07"},{"id":16,"name":"Locomotive ID","value":"4040"},{"id":130,"name":"Impact","value":""},{"id":150,"name":"Time of Event (Mountain Time)","value":"01:05:55"},{"id":151,"name":"Denver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48"/>
      <c r="AK155" s="48"/>
      <c r="AL155" s="48"/>
      <c r="AM155" s="158" t="str">
        <f t="shared" si="11"/>
        <v>start /low /b %USERPROFILE%\Documents\GitHub\eaglep3\Utilities\DownloadLogsFromS3.py --loco 4040 --day 2017-02-08</v>
      </c>
      <c r="AN155" s="167" t="str">
        <f>"grep -SE -B400 ""CHR.+\|PRM\|1\|D.+(SWITCH|SIGNAL).+UNKNOWN"" "&amp;search_path&amp;"\RTDC"&amp;B155&amp;"\*"&amp;B155&amp;"*"&amp;TEXT(AVERAGE(F155,I155)-utc_offset/24,"YYYYMMDD")&amp;"*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"%USERPROFILE%\AppData\Local\Temp\OnboardLogs"\RTDC4040\*4040*20170208* | grep -SE "(Enforcement Action)|(\[TIMEOUT)|(CHR.+\|PRM\|1\|D.+(SWITCH|SIGNAL).+UNKNOWN)" - &gt;&gt; 2017-02-07-UncaughtWiMAX.txt</v>
      </c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</row>
    <row r="156" spans="1:91" x14ac:dyDescent="0.25">
      <c r="A156" s="33" t="s">
        <v>495</v>
      </c>
      <c r="B156" s="7">
        <v>4039</v>
      </c>
      <c r="C156" s="21" t="s">
        <v>193</v>
      </c>
      <c r="D156" s="21" t="s">
        <v>377</v>
      </c>
      <c r="E156" s="13">
        <v>42774.05908564815</v>
      </c>
      <c r="F156" s="13">
        <v>42774.060254629629</v>
      </c>
      <c r="G156" s="7">
        <v>0</v>
      </c>
      <c r="H156" s="21" t="s">
        <v>773</v>
      </c>
      <c r="I156" s="13">
        <v>42774.082025462965</v>
      </c>
      <c r="J156" s="7">
        <v>0</v>
      </c>
      <c r="K156" s="98" t="str">
        <f>IF(ISEVEN(B156),(B156-1)&amp;"/"&amp;B156,B156&amp;"/"&amp;(B156+1))</f>
        <v>4039/4040</v>
      </c>
      <c r="L156" s="21" t="str">
        <f>VLOOKUP(A156,'Trips&amp;Operators'!$C$1:$G$99999,5,FALSE)</f>
        <v>STAMBAUGH JAMES</v>
      </c>
      <c r="M156" s="6">
        <f>I156-F156</f>
        <v>2.1770833336631767E-2</v>
      </c>
      <c r="N156" s="7">
        <f>24*60*SUM($M156:$M156)</f>
        <v>31.350000004749745</v>
      </c>
      <c r="O156" s="7"/>
      <c r="P156" s="7"/>
      <c r="Q156" s="22"/>
      <c r="R156" s="22" t="s">
        <v>952</v>
      </c>
      <c r="S156" s="31">
        <f>SUM(U156:U156)/IF(AG156="EC",12,1)</f>
        <v>1</v>
      </c>
      <c r="T156" s="46" t="str">
        <f>IF(ISEVEN(LEFT(AD156,4)),"Southbound","NorthBound")</f>
        <v>Southbound</v>
      </c>
      <c r="U156" s="190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191" t="str">
        <f>"https://d0f6bd738d7f1b3e5a7ca70fe4ff75f0.us-east-1.aws.found.io/app/kibana#/discover/Steve-Slow-Train-Analysis-(2080s-and-2083s)?_g="&amp;"(refreshInterval:(display:Off,pause:!f,section:0,value:0),time:(from:'"&amp;TEXT(E156-1/24,"yyyy-MM-DDThh:mm:ss")&amp;utc_offset&amp;"00"&amp;"',mode:absolute,to:'"&amp;TEXT(I156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156&amp;"%22')),sort:!(Time.ISO8601,asc))"</f>
        <v>https://d0f6bd738d7f1b3e5a7ca70fe4ff75f0.us-east-1.aws.found.io/app/kibana#/discover/Steve-Slow-Train-Analysis-(2080s-and-2083s)?_g=(refreshInterval:(display:Off,pause:!f,section:0,value:0),time:(from:'2017-02-08T00:25:05-0700',mode:absolute,to:'2017-02-08T02:58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W156" s="192" t="str">
        <f>IF(AA156&lt;IF(AG156="EC",23,5.65),"Y","N")</f>
        <v>Y</v>
      </c>
      <c r="X156" s="192">
        <f>VALUE(LEFT(AD156,4))-VALUE(LEFT(AD155,4))</f>
        <v>1</v>
      </c>
      <c r="Y156" s="62">
        <f>RIGHT(D156,LEN(D156)-4)/10000</f>
        <v>23.301300000000001</v>
      </c>
      <c r="Z156" s="62">
        <f>RIGHT(H156,LEN(H156)-4)/10000</f>
        <v>2.2959999999999998</v>
      </c>
      <c r="AA156" s="62">
        <f>ABS(Z156-Y156)</f>
        <v>21.005300000000002</v>
      </c>
      <c r="AB156" s="59" t="str">
        <f>VLOOKUP(A156,Enforcements!$C$7:$K$14,8,0)</f>
        <v>Speed (6)</v>
      </c>
      <c r="AC156" s="55" t="str">
        <f>VLOOKUP(A156,Enforcements!$C$7:$E$14,3,0)</f>
        <v>PERMANENT SPEED RESTRICTION</v>
      </c>
      <c r="AD156" s="56" t="str">
        <f>IF(LEN(A156)=6,"0"&amp;A156,A156)</f>
        <v>0244-07</v>
      </c>
      <c r="AE156" s="85" t="str">
        <f>"aws s3 cp "&amp;s3_bucket&amp;"/RTDC"&amp;B156&amp;"/ "&amp;search_path&amp;"\RTDC"&amp;B156&amp;"\"&amp;TEXT(F156,"YYYY-MM-DD")&amp;" --exclude ""*"" --recursive --include ""*"&amp;TEXT(F156,"YYYYMMDD")&amp;"*"" &amp; """&amp;walkandungz&amp;""" "&amp;search_path&amp;"\RTDC"&amp;B156&amp;"\"&amp;TEXT(F156,"YYYY-MM-DD")
&amp;" &amp; "&amp;"aws s3 cp "&amp;s3_bucket&amp;"/RTDC"&amp;B156&amp;"/ "&amp;search_path&amp;"\RTDC"&amp;B156&amp;"\"&amp;TEXT(F156+1,"YYYY-MM-DD")&amp;" --exclude ""*"" --recursive --include ""*"&amp;TEXT(F156+1,"YYYYMMDD")&amp;"*"" &amp; """&amp;walkandungz&amp;""" "&amp;search_path&amp;"\RTDC"&amp;B156&amp;"\"&amp;TEXT(F156+1,"YYYY-MM-DD")</f>
        <v>aws s3 cp s3://rtdc.mdm.uploadarchive.raw/RTDC4039/ "%USERPROFILE%\AppData\Local\Temp\OnboardLogs"\RTDC4039\2017-02-08 --exclude "*" --recursive --include "*20170208*" &amp; "%USERPROFILE%\Documents\GitHub\mrs-test-scripts\Headless Mode &amp; Sideloading\WalkAndUnGZ.bat" "%USERPROFILE%\AppData\Local\Temp\OnboardLogs"\RTDC4039\2017-02-08 &amp; aws s3 cp s3://rtdc.mdm.uploadarchive.raw/RTDC4039/ "%USERPROFILE%\AppData\Local\Temp\OnboardLogs"\RTDC4039\2017-02-09 --exclude "*" --recursive --include "*20170209*" &amp; "%USERPROFILE%\Documents\GitHub\mrs-test-scripts\Headless Mode &amp; Sideloading\WalkAndUnGZ.bat" "%USERPROFILE%\AppData\Local\Temp\OnboardLogs"\RTDC4039\2017-02-09</v>
      </c>
      <c r="AF156" s="82" t="str">
        <f>astrogrep_path&amp;" /spath="&amp;search_path&amp;" /stypes=""app*"&amp;B156&amp;"*"&amp;TEXT(I156-utc_offset/24,"YYYYMMDD")&amp;"*"" /stext="" "&amp;TEXT(I156-utc_offset/24,"HH")&amp;search_regexp&amp;""" /e /r /s"</f>
        <v>"C:\Program Files (x86)\AstroGrep\AstroGrep.exe" /spath="%USERPROFILE%\AppData\Local\Temp\OnboardLogs" /stypes="app*4039*20170208*" /stext=" 08:.+((SYSTEM_STATE.+slice.+state.+changed )|(ment ac)|(multiple cpu faults)|(system.+state.+changed )|(\[timeout)|(PRM\|1\|D)|(kpr)|(kdp)|(\|lc)|(penalty))" /e /r /s</v>
      </c>
      <c r="AG156" s="1" t="str">
        <f>IFERROR(IF(VALUE(LEFT(AD156,2))&lt;=2,"EC",IF(OR(VALUE(LEFT(AD156,2))=8,VALUE(LEFT(AD156,2))=18),"NW","Other")),"Other")</f>
        <v>EC</v>
      </c>
      <c r="AH156" s="86" t="str">
        <f t="shared" si="9"/>
        <v>"%USERPROFILE%\Documents\GitHub\eaglep3\Utilities\RefineRTDCRunTimes.py" --tripid 244-07 --locoid 4039 --swversion DE.1.0.8.0 --startMP 204:233013 --initTime 2017-02-08T01:25:05 --startdatetime 2017-02-08T01:26:46 --delay 0 --endMP 204:22960 --enddatetime 2017-02-08T01:58:07 --enforcementcount 0 &gt;&gt;C:\Users\stu\Documents\GitHub\eaglep3-reporting\EC\2017-02-07-refined-times.txt</v>
      </c>
      <c r="AI156" s="108" t="str">
        <f t="shared" si="10"/>
        <v>echo {"issue":{"subject":"Track maintenance (DUS de-energized)","project_id":79,"tracker_id":40,"status_id":1,"priority_id":2,"assigned_to_id":23,"start_date":"2017-02-08","description":"","custom_fields":[{"id":1,"name":"Subdivision","value":"EC"},{"id":4,"name":"Milepost","value":"2.296"},{"id":17,"name":"Train ID","value":"244-07"},{"id":16,"name":"Locomotive ID","value":"4039"},{"id":130,"name":"Impact","value":""},{"id":150,"name":"Time of Event (Mountain Time)","value":"01:58:07"},{"id":151,"name":"Denver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48"/>
      <c r="AK156" s="48"/>
      <c r="AL156" s="48"/>
      <c r="AM156" s="158" t="str">
        <f t="shared" si="11"/>
        <v>start /low /b %USERPROFILE%\Documents\GitHub\eaglep3\Utilities\DownloadLogsFromS3.py --loco 4039 --day 2017-02-08</v>
      </c>
      <c r="AN156" s="167" t="str">
        <f>"grep -SE -B400 ""CHR.+\|PRM\|1\|D.+(SWITCH|SIGNAL).+UNKNOWN"" "&amp;search_path&amp;"\RTDC"&amp;B156&amp;"\*"&amp;B156&amp;"*"&amp;TEXT(AVERAGE(F156,I156)-utc_offset/24,"YYYYMMDD")&amp;"*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"%USERPROFILE%\AppData\Local\Temp\OnboardLogs"\RTDC4039\*4039*20170208* | grep -SE "(Enforcement Action)|(\[TIMEOUT)|(CHR.+\|PRM\|1\|D.+(SWITCH|SIGNAL).+UNKNOWN)" - &gt;&gt; 2017-02-07-UncaughtWiMAX.txt</v>
      </c>
    </row>
    <row r="157" spans="1:91" s="20" customFormat="1" x14ac:dyDescent="0.25">
      <c r="A157" s="33" t="s">
        <v>516</v>
      </c>
      <c r="B157" s="7">
        <v>4052</v>
      </c>
      <c r="C157" s="21" t="s">
        <v>193</v>
      </c>
      <c r="D157" s="21" t="s">
        <v>802</v>
      </c>
      <c r="E157" s="13">
        <v>42773.207928240743</v>
      </c>
      <c r="F157" s="13">
        <v>42773.20925925926</v>
      </c>
      <c r="G157" s="7">
        <v>1</v>
      </c>
      <c r="H157" s="21" t="s">
        <v>803</v>
      </c>
      <c r="I157" s="13">
        <v>42773.226527777777</v>
      </c>
      <c r="J157" s="7">
        <v>0</v>
      </c>
      <c r="K157" s="98" t="str">
        <f>IF(ISEVEN(B157),(B157-1)&amp;"/"&amp;B157,B157&amp;"/"&amp;(B157+1))</f>
        <v>4051/4052</v>
      </c>
      <c r="L157" s="21" t="str">
        <f>VLOOKUP(A157,'Trips&amp;Operators'!$C$1:$G$99999,5,FALSE)</f>
        <v>BEAM ROSS</v>
      </c>
      <c r="M157" s="6">
        <f>I157-F157</f>
        <v>1.7268518517084885E-2</v>
      </c>
      <c r="N157" s="7">
        <f>24*60*SUM($M157:$M157)</f>
        <v>24.866666664602235</v>
      </c>
      <c r="O157" s="7"/>
      <c r="P157" s="7"/>
      <c r="Q157" s="22"/>
      <c r="R157" s="22"/>
      <c r="S157" s="31">
        <f>SUM(U157:U157)/IF(AG157="EC",12,1)</f>
        <v>1</v>
      </c>
      <c r="T157" s="46" t="str">
        <f>IF(ISEVEN(LEFT(AD157,4)),"Southbound","NorthBound")</f>
        <v>Southbound</v>
      </c>
      <c r="U157" s="190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191" t="str">
        <f>"https://d0f6bd738d7f1b3e5a7ca70fe4ff75f0.us-east-1.aws.found.io/app/kibana#/discover/Steve-Slow-Train-Analysis-(2080s-and-2083s)?_g="&amp;"(refreshInterval:(display:Off,pause:!f,section:0,value:0),time:(from:'"&amp;TEXT(E157-1/24,"yyyy-MM-DDThh:mm:ss")&amp;utc_offset&amp;"00"&amp;"',mode:absolute,to:'"&amp;TEXT(I157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157&amp;"%22')),sort:!(Time.ISO8601,asc))"</f>
        <v>https://d0f6bd738d7f1b3e5a7ca70fe4ff75f0.us-east-1.aws.found.io/app/kibana#/discover/Steve-Slow-Train-Analysis-(2080s-and-2083s)?_g=(refreshInterval:(display:Off,pause:!f,section:0,value:0),time:(from:'2017-02-07T03:59:25-0700',mode:absolute,to:'2017-02-07T06:26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7" s="192" t="str">
        <f>IF(AA157&lt;IF(AG157="EC",23,5.65),"Y","N")</f>
        <v>N</v>
      </c>
      <c r="X157" s="192">
        <f>VALUE(LEFT(AD157,4))-VALUE(LEFT(AD156,4))</f>
        <v>556</v>
      </c>
      <c r="Y157" s="62">
        <f>RIGHT(D157,LEN(D157)-4)/10000</f>
        <v>5.8651</v>
      </c>
      <c r="Z157" s="62">
        <f>RIGHT(H157,LEN(H157)-4)/10000</f>
        <v>7.3999999999999996E-2</v>
      </c>
      <c r="AA157" s="62">
        <f>ABS(Z157-Y157)</f>
        <v>5.7911000000000001</v>
      </c>
      <c r="AB157" s="59" t="e">
        <f>VLOOKUP(A157,Enforcements!$C$7:$K$14,8,0)</f>
        <v>#N/A</v>
      </c>
      <c r="AC157" s="55" t="e">
        <f>VLOOKUP(A157,Enforcements!$C$7:$E$14,3,0)</f>
        <v>#N/A</v>
      </c>
      <c r="AD157" s="56" t="str">
        <f>IF(LEN(A157)=6,"0"&amp;A157,A157)</f>
        <v>0800-07</v>
      </c>
      <c r="AE157" s="85" t="str">
        <f>"aws s3 cp "&amp;s3_bucket&amp;"/RTDC"&amp;B157&amp;"/ "&amp;search_path&amp;"\RTDC"&amp;B157&amp;"\"&amp;TEXT(F157,"YYYY-MM-DD")&amp;" --exclude ""*"" --recursive --include ""*"&amp;TEXT(F157,"YYYYMMDD")&amp;"*"" &amp; """&amp;walkandungz&amp;""" "&amp;search_path&amp;"\RTDC"&amp;B157&amp;"\"&amp;TEXT(F157,"YYYY-MM-DD")
&amp;" &amp; "&amp;"aws s3 cp "&amp;s3_bucket&amp;"/RTDC"&amp;B157&amp;"/ "&amp;search_path&amp;"\RTDC"&amp;B157&amp;"\"&amp;TEXT(F157+1,"YYYY-MM-DD")&amp;" --exclude ""*"" --recursive --include ""*"&amp;TEXT(F157+1,"YYYYMMDD")&amp;"*"" &amp; """&amp;walkandungz&amp;""" "&amp;search_path&amp;"\RTDC"&amp;B157&amp;"\"&amp;TEXT(F157+1,"YYYY-MM-DD")</f>
        <v>aws s3 cp s3://rtdc.mdm.uploadarchive.raw/RTDC4052/ "%USERPROFILE%\AppData\Local\Temp\OnboardLogs"\RTDC4052\2017-02-07 --exclude "*" --recursive --include "*20170207*" &amp; "%USERPROFILE%\Documents\GitHub\mrs-test-scripts\Headless Mode &amp; Sideloading\WalkAndUnGZ.bat" "%USERPROFILE%\AppData\Local\Temp\OnboardLogs"\RTDC4052\2017-02-07 &amp; aws s3 cp s3://rtdc.mdm.uploadarchive.raw/RTDC4052/ "%USERPROFILE%\AppData\Local\Temp\OnboardLogs"\RTDC4052\2017-02-08 --exclude "*" --recursive --include "*20170208*" &amp; "%USERPROFILE%\Documents\GitHub\mrs-test-scripts\Headless Mode &amp; Sideloading\WalkAndUnGZ.bat" "%USERPROFILE%\AppData\Local\Temp\OnboardLogs"\RTDC4052\2017-02-08</v>
      </c>
      <c r="AF157" s="82" t="str">
        <f>astrogrep_path&amp;" /spath="&amp;search_path&amp;" /stypes=""app*"&amp;B157&amp;"*"&amp;TEXT(I157-utc_offset/24,"YYYYMMDD")&amp;"*"" /stext="" "&amp;TEXT(I157-utc_offset/24,"HH")&amp;search_regexp&amp;""" /e /r /s"</f>
        <v>"C:\Program Files (x86)\AstroGrep\AstroGrep.exe" /spath="%USERPROFILE%\AppData\Local\Temp\OnboardLogs" /stypes="app*4052*20170207*" /stext=" 12:.+((SYSTEM_STATE.+slice.+state.+changed )|(ment ac)|(multiple cpu faults)|(system.+state.+changed )|(\[timeout)|(PRM\|1\|D)|(kpr)|(kdp)|(\|lc)|(penalty))" /e /r /s</v>
      </c>
      <c r="AG157" s="1" t="str">
        <f>IFERROR(IF(VALUE(LEFT(AD157,2))&lt;=2,"EC",IF(OR(VALUE(LEFT(AD157,2))=8,VALUE(LEFT(AD157,2))=18),"NW","Other")),"Other")</f>
        <v>NW</v>
      </c>
      <c r="AH157" s="86" t="str">
        <f t="shared" si="9"/>
        <v>"%USERPROFILE%\Documents\GitHub\eaglep3\Utilities\RefineRTDCRunTimes.py" --tripid 800-07 --locoid 4052 --swversion DE.1.0.8.0 --startMP 300:58651 --initTime 2017-02-07T04:59:25 --startdatetime 2017-02-07T05:01:20 --delay 1 --endMP 204:740 --enddatetime 2017-02-07T05:26:12 --enforcementcount 0 &gt;&gt;C:\Users\stu\Documents\GitHub\eaglep3-reporting\EC\2017-02-07-refined-times.txt</v>
      </c>
      <c r="AI157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{"issue":{"subject":"","project_id":79,"tracker_id":40,"status_id":1,"priority_id":2,"assigned_to_id":23,"start_date":"2017-02-07","description":"","custom_fields":[{"id":1,"name":"Subdivision","value":"NW"},{"id":4,"name":"Milepost","value":"0.074"},{"id":17,"name":"Train ID","value":"800-07"},{"id":16,"name":"Locomotive ID","value":"4052"},{"id":130,"name":"Impact","value":""},{"id":150,"name":"Time of Event (Mountain Time)","value":"05:26:12"},{"id":151,"name":"Denver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48"/>
      <c r="AK157" s="48"/>
      <c r="AL157" s="48"/>
      <c r="AM157" s="158" t="str">
        <f t="shared" si="11"/>
        <v>start /low /b %USERPROFILE%\Documents\GitHub\eaglep3\Utilities\DownloadLogsFromS3.py --loco 4052 --day 2017-02-07</v>
      </c>
      <c r="AN157" s="167" t="str">
        <f>"grep -SE -B400 ""CHR.+\|PRM\|1\|D.+(SWITCH|SIGNAL).+UNKNOWN"" "&amp;search_path&amp;"\RTDC"&amp;B157&amp;"\*"&amp;B157&amp;"*"&amp;TEXT(AVERAGE(F157,I157)-utc_offset/24,"YYYYMMDD")&amp;"*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"%USERPROFILE%\AppData\Local\Temp\OnboardLogs"\RTDC4052\*4052*20170207* | grep -SE "(Enforcement Action)|(\[TIMEOUT)|(CHR.+\|PRM\|1\|D.+(SWITCH|SIGNAL).+UNKNOWN)" - &gt;&gt; 2017-02-07-UncaughtWiMAX.txt</v>
      </c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0" customFormat="1" x14ac:dyDescent="0.25">
      <c r="A158" s="33" t="s">
        <v>523</v>
      </c>
      <c r="B158" s="7">
        <v>4051</v>
      </c>
      <c r="C158" s="21" t="s">
        <v>193</v>
      </c>
      <c r="D158" s="21" t="s">
        <v>804</v>
      </c>
      <c r="E158" s="13">
        <v>42773.239745370367</v>
      </c>
      <c r="F158" s="13">
        <v>42773.243923611109</v>
      </c>
      <c r="G158" s="7">
        <v>0</v>
      </c>
      <c r="H158" s="21" t="s">
        <v>805</v>
      </c>
      <c r="I158" s="13">
        <v>42773.253009259257</v>
      </c>
      <c r="J158" s="7">
        <v>0</v>
      </c>
      <c r="K158" s="98" t="str">
        <f>IF(ISEVEN(B158),(B158-1)&amp;"/"&amp;B158,B158&amp;"/"&amp;(B158+1))</f>
        <v>4051/4052</v>
      </c>
      <c r="L158" s="21" t="str">
        <f>VLOOKUP(A158,'Trips&amp;Operators'!$C$1:$G$99999,5,FALSE)</f>
        <v>BEAM ROSS</v>
      </c>
      <c r="M158" s="6">
        <f>I158-F158</f>
        <v>9.0856481474475004E-3</v>
      </c>
      <c r="N158" s="7">
        <f>24*60*SUM($M158:$M158)</f>
        <v>13.083333332324401</v>
      </c>
      <c r="O158" s="7"/>
      <c r="P158" s="7"/>
      <c r="Q158" s="22"/>
      <c r="R158" s="22"/>
      <c r="S158" s="31">
        <f>SUM(U158:U158)/IF(AG158="EC",12,1)</f>
        <v>1</v>
      </c>
      <c r="T158" s="46" t="str">
        <f>IF(ISEVEN(LEFT(AD158,4)),"Southbound","NorthBound")</f>
        <v>NorthBound</v>
      </c>
      <c r="U158" s="190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191" t="str">
        <f>"https://d0f6bd738d7f1b3e5a7ca70fe4ff75f0.us-east-1.aws.found.io/app/kibana#/discover/Steve-Slow-Train-Analysis-(2080s-and-2083s)?_g="&amp;"(refreshInterval:(display:Off,pause:!f,section:0,value:0),time:(from:'"&amp;TEXT(E158-1/24,"yyyy-MM-DDThh:mm:ss")&amp;utc_offset&amp;"00"&amp;"',mode:absolute,to:'"&amp;TEXT(I158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158&amp;"%22')),sort:!(Time.ISO8601,asc))"</f>
        <v>https://d0f6bd738d7f1b3e5a7ca70fe4ff75f0.us-east-1.aws.found.io/app/kibana#/discover/Steve-Slow-Train-Analysis-(2080s-and-2083s)?_g=(refreshInterval:(display:Off,pause:!f,section:0,value:0),time:(from:'2017-02-07T04:45:14-0700',mode:absolute,to:'2017-02-07T07:04:20-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58" s="192" t="str">
        <f>IF(AA158&lt;IF(AG158="EC",23,5.65),"Y","N")</f>
        <v>N</v>
      </c>
      <c r="X158" s="192">
        <f>VALUE(LEFT(AD158,4))-VALUE(LEFT(AD157,4))</f>
        <v>1</v>
      </c>
      <c r="Y158" s="62">
        <f>RIGHT(D158,LEN(D158)-4)/10000</f>
        <v>0.1016</v>
      </c>
      <c r="Z158" s="62">
        <f>RIGHT(H158,LEN(H158)-4)/10000</f>
        <v>5.8958000000000004</v>
      </c>
      <c r="AA158" s="62">
        <f>ABS(Z158-Y158)</f>
        <v>5.7942</v>
      </c>
      <c r="AB158" s="59" t="e">
        <f>VLOOKUP(A158,Enforcements!$C$7:$K$14,8,0)</f>
        <v>#N/A</v>
      </c>
      <c r="AC158" s="55" t="e">
        <f>VLOOKUP(A158,Enforcements!$C$7:$E$14,3,0)</f>
        <v>#N/A</v>
      </c>
      <c r="AD158" s="56" t="str">
        <f>IF(LEN(A158)=6,"0"&amp;A158,A158)</f>
        <v>0801-07</v>
      </c>
      <c r="AE158" s="85" t="str">
        <f>"aws s3 cp "&amp;s3_bucket&amp;"/RTDC"&amp;B158&amp;"/ "&amp;search_path&amp;"\RTDC"&amp;B158&amp;"\"&amp;TEXT(F158,"YYYY-MM-DD")&amp;" --exclude ""*"" --recursive --include ""*"&amp;TEXT(F158,"YYYYMMDD")&amp;"*"" &amp; """&amp;walkandungz&amp;""" "&amp;search_path&amp;"\RTDC"&amp;B158&amp;"\"&amp;TEXT(F158,"YYYY-MM-DD")
&amp;" &amp; "&amp;"aws s3 cp "&amp;s3_bucket&amp;"/RTDC"&amp;B158&amp;"/ "&amp;search_path&amp;"\RTDC"&amp;B158&amp;"\"&amp;TEXT(F158+1,"YYYY-MM-DD")&amp;" --exclude ""*"" --recursive --include ""*"&amp;TEXT(F158+1,"YYYYMMDD")&amp;"*"" &amp; """&amp;walkandungz&amp;""" "&amp;search_path&amp;"\RTDC"&amp;B158&amp;"\"&amp;TEXT(F158+1,"YYYY-MM-DD")</f>
        <v>aws s3 cp s3://rtdc.mdm.uploadarchive.raw/RTDC4051/ "%USERPROFILE%\AppData\Local\Temp\OnboardLogs"\RTDC4051\2017-02-07 --exclude "*" --recursive --include "*20170207*" &amp; "%USERPROFILE%\Documents\GitHub\mrs-test-scripts\Headless Mode &amp; Sideloading\WalkAndUnGZ.bat" "%USERPROFILE%\AppData\Local\Temp\OnboardLogs"\RTDC4051\2017-02-07 &amp; 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</v>
      </c>
      <c r="AF158" s="82" t="str">
        <f>astrogrep_path&amp;" /spath="&amp;search_path&amp;" /stypes=""app*"&amp;B158&amp;"*"&amp;TEXT(I158-utc_offset/24,"YYYYMMDD")&amp;"*"" /stext="" "&amp;TEXT(I158-utc_offset/24,"HH")&amp;search_regexp&amp;""" /e /r /s"</f>
        <v>"C:\Program Files (x86)\AstroGrep\AstroGrep.exe" /spath="%USERPROFILE%\AppData\Local\Temp\OnboardLogs" /stypes="app*4051*20170207*" /stext=" 13:.+((SYSTEM_STATE.+slice.+state.+changed )|(ment ac)|(multiple cpu faults)|(system.+state.+changed )|(\[timeout)|(PRM\|1\|D)|(kpr)|(kdp)|(\|lc)|(penalty))" /e /r /s</v>
      </c>
      <c r="AG158" s="1" t="str">
        <f>IFERROR(IF(VALUE(LEFT(AD158,2))&lt;=2,"EC",IF(OR(VALUE(LEFT(AD158,2))=8,VALUE(LEFT(AD158,2))=18),"NW","Other")),"Other")</f>
        <v>NW</v>
      </c>
      <c r="AH158" s="86" t="str">
        <f t="shared" si="9"/>
        <v>"%USERPROFILE%\Documents\GitHub\eaglep3\Utilities\RefineRTDCRunTimes.py" --tripid 801-07 --locoid 4051 --swversion DE.1.0.8.0 --startMP 204:1016 --initTime 2017-02-07T05:45:14 --startdatetime 2017-02-07T05:51:15 --delay 0 --endMP 300:58958 --enddatetime 2017-02-07T06:04:20 --enforcementcount 0 &gt;&gt;C:\Users\stu\Documents\GitHub\eaglep3-reporting\EC\2017-02-07-refined-times.txt</v>
      </c>
      <c r="AI158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{"issue":{"subject":"","project_id":79,"tracker_id":40,"status_id":1,"priority_id":2,"assigned_to_id":23,"start_date":"2017-02-07","description":"","custom_fields":[{"id":1,"name":"Subdivision","value":"NW"},{"id":4,"name":"Milepost","value":"5.8958"},{"id":17,"name":"Train ID","value":"801-07"},{"id":16,"name":"Locomotive ID","value":"4051"},{"id":130,"name":"Impact","value":""},{"id":150,"name":"Time of Event (Mountain Time)","value":"06:04:20"},{"id":151,"name":"Denver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48"/>
      <c r="AK158" s="48"/>
      <c r="AL158" s="48"/>
      <c r="AM158" s="158" t="str">
        <f t="shared" si="11"/>
        <v>start /low /b %USERPROFILE%\Documents\GitHub\eaglep3\Utilities\DownloadLogsFromS3.py --loco 4051 --day 2017-02-07</v>
      </c>
      <c r="AN158" s="167" t="str">
        <f>"grep -SE -B400 ""CHR.+\|PRM\|1\|D.+(SWITCH|SIGNAL).+UNKNOWN"" "&amp;search_path&amp;"\RTDC"&amp;B158&amp;"\*"&amp;B158&amp;"*"&amp;TEXT(AVERAGE(F158,I158)-utc_offset/24,"YYYYMMDD")&amp;"*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"%USERPROFILE%\AppData\Local\Temp\OnboardLogs"\RTDC4051\*4051*20170207* | grep -SE "(Enforcement Action)|(\[TIMEOUT)|(CHR.+\|PRM\|1\|D.+(SWITCH|SIGNAL).+UNKNOWN)" - &gt;&gt; 2017-02-07-UncaughtWiMAX.txt</v>
      </c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s="20" customFormat="1" x14ac:dyDescent="0.25">
      <c r="A159" s="33" t="s">
        <v>528</v>
      </c>
      <c r="B159" s="7">
        <v>4052</v>
      </c>
      <c r="C159" s="21" t="s">
        <v>193</v>
      </c>
      <c r="D159" s="21" t="s">
        <v>806</v>
      </c>
      <c r="E159" s="13">
        <v>42773.253900462965</v>
      </c>
      <c r="F159" s="13">
        <v>42773.255150462966</v>
      </c>
      <c r="G159" s="7">
        <v>1</v>
      </c>
      <c r="H159" s="21" t="s">
        <v>807</v>
      </c>
      <c r="I159" s="13">
        <v>42773.267291666663</v>
      </c>
      <c r="J159" s="7">
        <v>0</v>
      </c>
      <c r="K159" s="98" t="str">
        <f>IF(ISEVEN(B159),(B159-1)&amp;"/"&amp;B159,B159&amp;"/"&amp;(B159+1))</f>
        <v>4051/4052</v>
      </c>
      <c r="L159" s="21" t="str">
        <f>VLOOKUP(A159,'Trips&amp;Operators'!$C$1:$G$99999,5,FALSE)</f>
        <v>BEAM ROSS</v>
      </c>
      <c r="M159" s="6">
        <f>I159-F159</f>
        <v>1.2141203696955927E-2</v>
      </c>
      <c r="N159" s="7">
        <f>24*60*SUM($M159:$M159)</f>
        <v>17.483333323616534</v>
      </c>
      <c r="O159" s="7"/>
      <c r="P159" s="7"/>
      <c r="Q159" s="22"/>
      <c r="R159" s="22"/>
      <c r="S159" s="31">
        <f>SUM(U159:U159)/IF(AG159="EC",12,1)</f>
        <v>1</v>
      </c>
      <c r="T159" s="46" t="str">
        <f>IF(ISEVEN(LEFT(AD159,4)),"Southbound","NorthBound")</f>
        <v>Southbound</v>
      </c>
      <c r="U159" s="190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191" t="str">
        <f>"https://d0f6bd738d7f1b3e5a7ca70fe4ff75f0.us-east-1.aws.found.io/app/kibana#/discover/Steve-Slow-Train-Analysis-(2080s-and-2083s)?_g="&amp;"(refreshInterval:(display:Off,pause:!f,section:0,value:0),time:(from:'"&amp;TEXT(E159-1/24,"yyyy-MM-DDThh:mm:ss")&amp;utc_offset&amp;"00"&amp;"',mode:absolute,to:'"&amp;TEXT(I159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159&amp;"%22')),sort:!(Time.ISO8601,asc))"</f>
        <v>https://d0f6bd738d7f1b3e5a7ca70fe4ff75f0.us-east-1.aws.found.io/app/kibana#/discover/Steve-Slow-Train-Analysis-(2080s-and-2083s)?_g=(refreshInterval:(display:Off,pause:!f,section:0,value:0),time:(from:'2017-02-07T05:05:37-0700',mode:absolute,to:'2017-02-07T07:24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59" s="192" t="str">
        <f>IF(AA159&lt;IF(AG159="EC",23,5.65),"Y","N")</f>
        <v>N</v>
      </c>
      <c r="X159" s="192">
        <f>VALUE(LEFT(AD159,4))-VALUE(LEFT(AD158,4))</f>
        <v>1</v>
      </c>
      <c r="Y159" s="62">
        <f>RIGHT(D159,LEN(D159)-4)/10000</f>
        <v>5.8644999999999996</v>
      </c>
      <c r="Z159" s="62">
        <f>RIGHT(H159,LEN(H159)-4)/10000</f>
        <v>7.0800000000000002E-2</v>
      </c>
      <c r="AA159" s="62">
        <f>ABS(Z159-Y159)</f>
        <v>5.7936999999999994</v>
      </c>
      <c r="AB159" s="59" t="e">
        <f>VLOOKUP(A159,Enforcements!$C$7:$K$14,8,0)</f>
        <v>#N/A</v>
      </c>
      <c r="AC159" s="55" t="e">
        <f>VLOOKUP(A159,Enforcements!$C$7:$E$14,3,0)</f>
        <v>#N/A</v>
      </c>
      <c r="AD159" s="56" t="str">
        <f>IF(LEN(A159)=6,"0"&amp;A159,A159)</f>
        <v>0802-07</v>
      </c>
      <c r="AE159" s="85" t="str">
        <f>"aws s3 cp "&amp;s3_bucket&amp;"/RTDC"&amp;B159&amp;"/ "&amp;search_path&amp;"\RTDC"&amp;B159&amp;"\"&amp;TEXT(F159,"YYYY-MM-DD")&amp;" --exclude ""*"" --recursive --include ""*"&amp;TEXT(F159,"YYYYMMDD")&amp;"*"" &amp; """&amp;walkandungz&amp;""" "&amp;search_path&amp;"\RTDC"&amp;B159&amp;"\"&amp;TEXT(F159,"YYYY-MM-DD")
&amp;" &amp; "&amp;"aws s3 cp "&amp;s3_bucket&amp;"/RTDC"&amp;B159&amp;"/ "&amp;search_path&amp;"\RTDC"&amp;B159&amp;"\"&amp;TEXT(F159+1,"YYYY-MM-DD")&amp;" --exclude ""*"" --recursive --include ""*"&amp;TEXT(F159+1,"YYYYMMDD")&amp;"*"" &amp; """&amp;walkandungz&amp;""" "&amp;search_path&amp;"\RTDC"&amp;B159&amp;"\"&amp;TEXT(F159+1,"YYYY-MM-DD")</f>
        <v>aws s3 cp s3://rtdc.mdm.uploadarchive.raw/RTDC4052/ "%USERPROFILE%\AppData\Local\Temp\OnboardLogs"\RTDC4052\2017-02-07 --exclude "*" --recursive --include "*20170207*" &amp; "%USERPROFILE%\Documents\GitHub\mrs-test-scripts\Headless Mode &amp; Sideloading\WalkAndUnGZ.bat" "%USERPROFILE%\AppData\Local\Temp\OnboardLogs"\RTDC4052\2017-02-07 &amp; aws s3 cp s3://rtdc.mdm.uploadarchive.raw/RTDC4052/ "%USERPROFILE%\AppData\Local\Temp\OnboardLogs"\RTDC4052\2017-02-08 --exclude "*" --recursive --include "*20170208*" &amp; "%USERPROFILE%\Documents\GitHub\mrs-test-scripts\Headless Mode &amp; Sideloading\WalkAndUnGZ.bat" "%USERPROFILE%\AppData\Local\Temp\OnboardLogs"\RTDC4052\2017-02-08</v>
      </c>
      <c r="AF159" s="82" t="str">
        <f>astrogrep_path&amp;" /spath="&amp;search_path&amp;" /stypes=""app*"&amp;B159&amp;"*"&amp;TEXT(I159-utc_offset/24,"YYYYMMDD")&amp;"*"" /stext="" "&amp;TEXT(I159-utc_offset/24,"HH")&amp;search_regexp&amp;""" /e /r /s"</f>
        <v>"C:\Program Files (x86)\AstroGrep\AstroGrep.exe" /spath="%USERPROFILE%\AppData\Local\Temp\OnboardLogs" /stypes="app*4052*20170207*" /stext=" 13:.+((SYSTEM_STATE.+slice.+state.+changed )|(ment ac)|(multiple cpu faults)|(system.+state.+changed )|(\[timeout)|(PRM\|1\|D)|(kpr)|(kdp)|(\|lc)|(penalty))" /e /r /s</v>
      </c>
      <c r="AG159" s="1" t="str">
        <f>IFERROR(IF(VALUE(LEFT(AD159,2))&lt;=2,"EC",IF(OR(VALUE(LEFT(AD159,2))=8,VALUE(LEFT(AD159,2))=18),"NW","Other")),"Other")</f>
        <v>NW</v>
      </c>
      <c r="AH159" s="86" t="str">
        <f t="shared" si="9"/>
        <v>"%USERPROFILE%\Documents\GitHub\eaglep3\Utilities\RefineRTDCRunTimes.py" --tripid 802-07 --locoid 4052 --swversion DE.1.0.8.0 --startMP 300:58645 --initTime 2017-02-07T06:05:37 --startdatetime 2017-02-07T06:07:25 --delay 1 --endMP 204:708 --enddatetime 2017-02-07T06:24:54 --enforcementcount 0 &gt;&gt;C:\Users\stu\Documents\GitHub\eaglep3-reporting\EC\2017-02-07-refined-times.txt</v>
      </c>
      <c r="AI159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{"issue":{"subject":"","project_id":79,"tracker_id":40,"status_id":1,"priority_id":2,"assigned_to_id":23,"start_date":"2017-02-07","description":"","custom_fields":[{"id":1,"name":"Subdivision","value":"NW"},{"id":4,"name":"Milepost","value":"0.0708"},{"id":17,"name":"Train ID","value":"802-07"},{"id":16,"name":"Locomotive ID","value":"4052"},{"id":130,"name":"Impact","value":""},{"id":150,"name":"Time of Event (Mountain Time)","value":"06:24:54"},{"id":151,"name":"Denver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48"/>
      <c r="AK159" s="48"/>
      <c r="AL159" s="48"/>
      <c r="AM159" s="158" t="str">
        <f t="shared" si="11"/>
        <v>start /low /b %USERPROFILE%\Documents\GitHub\eaglep3\Utilities\DownloadLogsFromS3.py --loco 4052 --day 2017-02-07</v>
      </c>
      <c r="AN159" s="167" t="str">
        <f>"grep -SE -B400 ""CHR.+\|PRM\|1\|D.+(SWITCH|SIGNAL).+UNKNOWN"" "&amp;search_path&amp;"\RTDC"&amp;B159&amp;"\*"&amp;B159&amp;"*"&amp;TEXT(AVERAGE(F159,I159)-utc_offset/24,"YYYYMMDD")&amp;"*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"%USERPROFILE%\AppData\Local\Temp\OnboardLogs"\RTDC4052\*4052*20170207* | grep -SE "(Enforcement Action)|(\[TIMEOUT)|(CHR.+\|PRM\|1\|D.+(SWITCH|SIGNAL).+UNKNOWN)" - &gt;&gt; 2017-02-07-UncaughtWiMAX.txt</v>
      </c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</row>
    <row r="160" spans="1:91" s="20" customFormat="1" x14ac:dyDescent="0.25">
      <c r="A160" s="33" t="s">
        <v>530</v>
      </c>
      <c r="B160" s="7">
        <v>4027</v>
      </c>
      <c r="C160" s="21" t="s">
        <v>193</v>
      </c>
      <c r="D160" s="21" t="s">
        <v>808</v>
      </c>
      <c r="E160" s="13">
        <v>42773.261145833334</v>
      </c>
      <c r="F160" s="13">
        <v>42773.264768518522</v>
      </c>
      <c r="G160" s="7">
        <v>1</v>
      </c>
      <c r="H160" s="21" t="s">
        <v>809</v>
      </c>
      <c r="I160" s="13">
        <v>42773.275127314817</v>
      </c>
      <c r="J160" s="7">
        <v>0</v>
      </c>
      <c r="K160" s="98" t="str">
        <f>IF(ISEVEN(B160),(B160-1)&amp;"/"&amp;B160,B160&amp;"/"&amp;(B160+1))</f>
        <v>4027/4028</v>
      </c>
      <c r="L160" s="21" t="str">
        <f>VLOOKUP(A160,'Trips&amp;Operators'!$C$1:$G$99999,5,FALSE)</f>
        <v>BROWN JACOB</v>
      </c>
      <c r="M160" s="6">
        <f>I160-F160</f>
        <v>1.0358796294895001E-2</v>
      </c>
      <c r="N160" s="7">
        <f>24*60*SUM($M160:$M160)</f>
        <v>14.916666664648801</v>
      </c>
      <c r="O160" s="7"/>
      <c r="P160" s="7"/>
      <c r="Q160" s="22"/>
      <c r="R160" s="22"/>
      <c r="S160" s="31">
        <f>SUM(U160:U160)/IF(AG160="EC",12,1)</f>
        <v>1</v>
      </c>
      <c r="T160" s="46" t="str">
        <f>IF(ISEVEN(LEFT(AD160,4)),"Southbound","NorthBound")</f>
        <v>NorthBound</v>
      </c>
      <c r="U160" s="190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191" t="str">
        <f>"https://d0f6bd738d7f1b3e5a7ca70fe4ff75f0.us-east-1.aws.found.io/app/kibana#/discover/Steve-Slow-Train-Analysis-(2080s-and-2083s)?_g="&amp;"(refreshInterval:(display:Off,pause:!f,section:0,value:0),time:(from:'"&amp;TEXT(E160-1/24,"yyyy-MM-DDThh:mm:ss")&amp;utc_offset&amp;"00"&amp;"',mode:absolute,to:'"&amp;TEXT(I160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160&amp;"%22')),sort:!(Time.ISO8601,asc))"</f>
        <v>https://d0f6bd738d7f1b3e5a7ca70fe4ff75f0.us-east-1.aws.found.io/app/kibana#/discover/Steve-Slow-Train-Analysis-(2080s-and-2083s)?_g=(refreshInterval:(display:Off,pause:!f,section:0,value:0),time:(from:'2017-02-07T05:16:03-0700',mode:absolute,to:'2017-02-07T07:36:11-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0" s="192" t="str">
        <f>IF(AA160&lt;IF(AG160="EC",23,5.65),"Y","N")</f>
        <v>N</v>
      </c>
      <c r="X160" s="192">
        <f>VALUE(LEFT(AD160,4))-VALUE(LEFT(AD159,4))</f>
        <v>1</v>
      </c>
      <c r="Y160" s="62">
        <f>RIGHT(D160,LEN(D160)-4)/10000</f>
        <v>0.10249999999999999</v>
      </c>
      <c r="Z160" s="62">
        <f>RIGHT(H160,LEN(H160)-4)/10000</f>
        <v>5.8960999999999997</v>
      </c>
      <c r="AA160" s="62">
        <f>ABS(Z160-Y160)</f>
        <v>5.7935999999999996</v>
      </c>
      <c r="AB160" s="59" t="e">
        <f>VLOOKUP(A160,Enforcements!$C$7:$K$14,8,0)</f>
        <v>#N/A</v>
      </c>
      <c r="AC160" s="55" t="e">
        <f>VLOOKUP(A160,Enforcements!$C$7:$E$14,3,0)</f>
        <v>#N/A</v>
      </c>
      <c r="AD160" s="56" t="str">
        <f>IF(LEN(A160)=6,"0"&amp;A160,A160)</f>
        <v>0803-07</v>
      </c>
      <c r="AE160" s="85" t="str">
        <f>"aws s3 cp "&amp;s3_bucket&amp;"/RTDC"&amp;B160&amp;"/ "&amp;search_path&amp;"\RTDC"&amp;B160&amp;"\"&amp;TEXT(F160,"YYYY-MM-DD")&amp;" --exclude ""*"" --recursive --include ""*"&amp;TEXT(F160,"YYYYMMDD")&amp;"*"" &amp; """&amp;walkandungz&amp;""" "&amp;search_path&amp;"\RTDC"&amp;B160&amp;"\"&amp;TEXT(F160,"YYYY-MM-DD")
&amp;" &amp; "&amp;"aws s3 cp "&amp;s3_bucket&amp;"/RTDC"&amp;B160&amp;"/ "&amp;search_path&amp;"\RTDC"&amp;B160&amp;"\"&amp;TEXT(F160+1,"YYYY-MM-DD")&amp;" --exclude ""*"" --recursive --include ""*"&amp;TEXT(F160+1,"YYYYMMDD")&amp;"*"" &amp; """&amp;walkandungz&amp;""" "&amp;search_path&amp;"\RTDC"&amp;B160&amp;"\"&amp;TEXT(F160+1,"YYYY-MM-DD")</f>
        <v>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 &amp; 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</v>
      </c>
      <c r="AF160" s="82" t="str">
        <f>astrogrep_path&amp;" /spath="&amp;search_path&amp;" /stypes=""app*"&amp;B160&amp;"*"&amp;TEXT(I160-utc_offset/24,"YYYYMMDD")&amp;"*"" /stext="" "&amp;TEXT(I160-utc_offset/24,"HH")&amp;search_regexp&amp;""" /e /r /s"</f>
        <v>"C:\Program Files (x86)\AstroGrep\AstroGrep.exe" /spath="%USERPROFILE%\AppData\Local\Temp\OnboardLogs" /stypes="app*4027*20170207*" /stext=" 13:.+((SYSTEM_STATE.+slice.+state.+changed )|(ment ac)|(multiple cpu faults)|(system.+state.+changed )|(\[timeout)|(PRM\|1\|D)|(kpr)|(kdp)|(\|lc)|(penalty))" /e /r /s</v>
      </c>
      <c r="AG160" s="1" t="str">
        <f>IFERROR(IF(VALUE(LEFT(AD160,2))&lt;=2,"EC",IF(OR(VALUE(LEFT(AD160,2))=8,VALUE(LEFT(AD160,2))=18),"NW","Other")),"Other")</f>
        <v>NW</v>
      </c>
      <c r="AH160" s="86" t="str">
        <f t="shared" si="9"/>
        <v>"%USERPROFILE%\Documents\GitHub\eaglep3\Utilities\RefineRTDCRunTimes.py" --tripid 803-07 --locoid 4027 --swversion DE.1.0.8.0 --startMP 204:1025 --initTime 2017-02-07T06:16:03 --startdatetime 2017-02-07T06:21:16 --delay 1 --endMP 300:58961 --enddatetime 2017-02-07T06:36:11 --enforcementcount 0 &gt;&gt;C:\Users\stu\Documents\GitHub\eaglep3-reporting\EC\2017-02-07-refined-times.txt</v>
      </c>
      <c r="AI160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{"issue":{"subject":"","project_id":79,"tracker_id":40,"status_id":1,"priority_id":2,"assigned_to_id":23,"start_date":"2017-02-07","description":"","custom_fields":[{"id":1,"name":"Subdivision","value":"NW"},{"id":4,"name":"Milepost","value":"5.8961"},{"id":17,"name":"Train ID","value":"803-07"},{"id":16,"name":"Locomotive ID","value":"4027"},{"id":130,"name":"Impact","value":""},{"id":150,"name":"Time of Event (Mountain Time)","value":"06:36:11"},{"id":151,"name":"Denver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48"/>
      <c r="AK160" s="48"/>
      <c r="AL160" s="48"/>
      <c r="AM160" s="158" t="str">
        <f t="shared" si="11"/>
        <v>start /low /b %USERPROFILE%\Documents\GitHub\eaglep3\Utilities\DownloadLogsFromS3.py --loco 4027 --day 2017-02-07</v>
      </c>
      <c r="AN160" s="167" t="str">
        <f>"grep -SE -B400 ""CHR.+\|PRM\|1\|D.+(SWITCH|SIGNAL).+UNKNOWN"" "&amp;search_path&amp;"\RTDC"&amp;B160&amp;"\*"&amp;B160&amp;"*"&amp;TEXT(AVERAGE(F160,I160)-utc_offset/24,"YYYYMMDD")&amp;"*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"%USERPROFILE%\AppData\Local\Temp\OnboardLogs"\RTDC4027\*4027*20170207* | grep -SE "(Enforcement Action)|(\[TIMEOUT)|(CHR.+\|PRM\|1\|D.+(SWITCH|SIGNAL).+UNKNOWN)" - &gt;&gt; 2017-02-07-UncaughtWiMAX.txt</v>
      </c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0" customFormat="1" x14ac:dyDescent="0.25">
      <c r="A161" s="33" t="s">
        <v>466</v>
      </c>
      <c r="B161" s="7">
        <v>4028</v>
      </c>
      <c r="C161" s="21" t="s">
        <v>193</v>
      </c>
      <c r="D161" s="21" t="s">
        <v>810</v>
      </c>
      <c r="E161" s="13">
        <v>42773.275995370372</v>
      </c>
      <c r="F161" s="13">
        <v>42773.277199074073</v>
      </c>
      <c r="G161" s="7">
        <v>1</v>
      </c>
      <c r="H161" s="21" t="s">
        <v>811</v>
      </c>
      <c r="I161" s="13">
        <v>42773.288912037038</v>
      </c>
      <c r="J161" s="7">
        <v>0</v>
      </c>
      <c r="K161" s="98" t="str">
        <f>IF(ISEVEN(B161),(B161-1)&amp;"/"&amp;B161,B161&amp;"/"&amp;(B161+1))</f>
        <v>4027/4028</v>
      </c>
      <c r="L161" s="21" t="str">
        <f>VLOOKUP(A161,'Trips&amp;Operators'!$C$1:$G$99999,5,FALSE)</f>
        <v>BROWN JACOB</v>
      </c>
      <c r="M161" s="6">
        <f>I161-F161</f>
        <v>1.1712962965248153E-2</v>
      </c>
      <c r="N161" s="7">
        <f>24*60*SUM($M161:$M161)</f>
        <v>16.86666666995734</v>
      </c>
      <c r="O161" s="7"/>
      <c r="P161" s="7"/>
      <c r="Q161" s="22"/>
      <c r="R161" s="22" t="s">
        <v>889</v>
      </c>
      <c r="S161" s="31">
        <f>SUM(U161:U161)/IF(AG161="EC",12,1)</f>
        <v>1</v>
      </c>
      <c r="T161" s="46" t="str">
        <f>IF(ISEVEN(LEFT(AD161,4)),"Southbound","NorthBound")</f>
        <v>Southbound</v>
      </c>
      <c r="U161" s="190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191" t="str">
        <f>"https://d0f6bd738d7f1b3e5a7ca70fe4ff75f0.us-east-1.aws.found.io/app/kibana#/discover/Steve-Slow-Train-Analysis-(2080s-and-2083s)?_g="&amp;"(refreshInterval:(display:Off,pause:!f,section:0,value:0),time:(from:'"&amp;TEXT(E161-1/24,"yyyy-MM-DDThh:mm:ss")&amp;utc_offset&amp;"00"&amp;"',mode:absolute,to:'"&amp;TEXT(I161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161&amp;"%22')),sort:!(Time.ISO8601,asc))"</f>
        <v>https://d0f6bd738d7f1b3e5a7ca70fe4ff75f0.us-east-1.aws.found.io/app/kibana#/discover/Steve-Slow-Train-Analysis-(2080s-and-2083s)?_g=(refreshInterval:(display:Off,pause:!f,section:0,value:0),time:(from:'2017-02-07T05:37:26-0700',mode:absolute,to:'2017-02-07T07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1" s="192" t="str">
        <f>IF(AA161&lt;IF(AG161="EC",23,5.65),"Y","N")</f>
        <v>N</v>
      </c>
      <c r="X161" s="192">
        <f>VALUE(LEFT(AD161,4))-VALUE(LEFT(AD160,4))</f>
        <v>1</v>
      </c>
      <c r="Y161" s="62">
        <f>RIGHT(D161,LEN(D161)-4)/10000</f>
        <v>5.8648999999999996</v>
      </c>
      <c r="Z161" s="62">
        <f>RIGHT(H161,LEN(H161)-4)/10000</f>
        <v>0.1069</v>
      </c>
      <c r="AA161" s="62">
        <f>ABS(Z161-Y161)</f>
        <v>5.7579999999999991</v>
      </c>
      <c r="AB161" s="59" t="e">
        <f>VLOOKUP(A161,Enforcements!$C$7:$K$14,8,0)</f>
        <v>#N/A</v>
      </c>
      <c r="AC161" s="55" t="e">
        <f>VLOOKUP(A161,Enforcements!$C$7:$E$14,3,0)</f>
        <v>#N/A</v>
      </c>
      <c r="AD161" s="56" t="str">
        <f>IF(LEN(A161)=6,"0"&amp;A161,A161)</f>
        <v>0804-07</v>
      </c>
      <c r="AE161" s="85" t="str">
        <f>"aws s3 cp "&amp;s3_bucket&amp;"/RTDC"&amp;B161&amp;"/ "&amp;search_path&amp;"\RTDC"&amp;B161&amp;"\"&amp;TEXT(F161,"YYYY-MM-DD")&amp;" --exclude ""*"" --recursive --include ""*"&amp;TEXT(F161,"YYYYMMDD")&amp;"*"" &amp; """&amp;walkandungz&amp;""" "&amp;search_path&amp;"\RTDC"&amp;B161&amp;"\"&amp;TEXT(F161,"YYYY-MM-DD")
&amp;" &amp; "&amp;"aws s3 cp "&amp;s3_bucket&amp;"/RTDC"&amp;B161&amp;"/ "&amp;search_path&amp;"\RTDC"&amp;B161&amp;"\"&amp;TEXT(F161+1,"YYYY-MM-DD")&amp;" --exclude ""*"" --recursive --include ""*"&amp;TEXT(F161+1,"YYYYMMDD")&amp;"*"" &amp; """&amp;walkandungz&amp;""" "&amp;search_path&amp;"\RTDC"&amp;B161&amp;"\"&amp;TEXT(F161+1,"YYYY-MM-DD")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AF161" s="82" t="str">
        <f>astrogrep_path&amp;" /spath="&amp;search_path&amp;" /stypes=""app*"&amp;B161&amp;"*"&amp;TEXT(I161-utc_offset/24,"YYYYMMDD")&amp;"*"" /stext="" "&amp;TEXT(I161-utc_offset/24,"HH")&amp;search_regexp&amp;""" /e /r /s"</f>
        <v>"C:\Program Files (x86)\AstroGrep\AstroGrep.exe" /spath="%USERPROFILE%\AppData\Local\Temp\OnboardLogs" /stypes="app*4028*20170207*" /stext=" 13:.+((SYSTEM_STATE.+slice.+state.+changed )|(ment ac)|(multiple cpu faults)|(system.+state.+changed )|(\[timeout)|(PRM\|1\|D)|(kpr)|(kdp)|(\|lc)|(penalty))" /e /r /s</v>
      </c>
      <c r="AG161" s="1" t="str">
        <f>IFERROR(IF(VALUE(LEFT(AD161,2))&lt;=2,"EC",IF(OR(VALUE(LEFT(AD161,2))=8,VALUE(LEFT(AD161,2))=18),"NW","Other")),"Other")</f>
        <v>NW</v>
      </c>
      <c r="AH161" s="86" t="str">
        <f t="shared" si="9"/>
        <v>"%USERPROFILE%\Documents\GitHub\eaglep3\Utilities\RefineRTDCRunTimes.py" --tripid 804-07 --locoid 4028 --swversion DE.1.0.8.0 --startMP 300:58649 --initTime 2017-02-07T06:37:26 --startdatetime 2017-02-07T06:39:10 --delay 1 --endMP 204:1069 --enddatetime 2017-02-07T06:56:02 --enforcementcount 0 &gt;&gt;C:\Users\stu\Documents\GitHub\eaglep3-reporting\EC\2017-02-07-refined-times.txt</v>
      </c>
      <c r="AI161" s="108" t="str">
        <f t="shared" si="10"/>
        <v>echo {"issue":{"subject":"Track warrant enforcements prevented entry into Track 8 - operator handling?","project_id":79,"tracker_id":40,"status_id":1,"priority_id":2,"assigned_to_id":23,"start_date":"2017-02-07","description":"","custom_fields":[{"id":1,"name":"Subdivision","value":"NW"},{"id":4,"name":"Milepost","value":"0.1069"},{"id":17,"name":"Train ID","value":"804-07"},{"id":16,"name":"Locomotive ID","value":"4028"},{"id":130,"name":"Impact","value":""},{"id":150,"name":"Time of Event (Mountain Time)","value":"06:56:02"},{"id":151,"name":"Denver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48"/>
      <c r="AK161" s="48"/>
      <c r="AL161" s="48"/>
      <c r="AM161" s="158" t="str">
        <f t="shared" si="11"/>
        <v>start /low /b %USERPROFILE%\Documents\GitHub\eaglep3\Utilities\DownloadLogsFromS3.py --loco 4028 --day 2017-02-07</v>
      </c>
      <c r="AN161" s="167" t="str">
        <f>"grep -SE -B400 ""CHR.+\|PRM\|1\|D.+(SWITCH|SIGNAL).+UNKNOWN"" "&amp;search_path&amp;"\RTDC"&amp;B161&amp;"\*"&amp;B161&amp;"*"&amp;TEXT(AVERAGE(F161,I161)-utc_offset/24,"YYYYMMDD")&amp;"*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"%USERPROFILE%\AppData\Local\Temp\OnboardLogs"\RTDC4028\*4028*20170207* | grep -SE "(Enforcement Action)|(\[TIMEOUT)|(CHR.+\|PRM\|1\|D.+(SWITCH|SIGNAL).+UNKNOWN)" - &gt;&gt; 2017-02-07-UncaughtWiMAX.txt</v>
      </c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0" customFormat="1" x14ac:dyDescent="0.25">
      <c r="A162" s="33" t="s">
        <v>537</v>
      </c>
      <c r="B162" s="7">
        <v>4051</v>
      </c>
      <c r="C162" s="21" t="s">
        <v>193</v>
      </c>
      <c r="D162" s="21" t="s">
        <v>812</v>
      </c>
      <c r="E162" s="13">
        <v>42773.281956018516</v>
      </c>
      <c r="F162" s="13">
        <v>42773.285590277781</v>
      </c>
      <c r="G162" s="7">
        <v>1</v>
      </c>
      <c r="H162" s="21" t="s">
        <v>813</v>
      </c>
      <c r="I162" s="13">
        <v>42773.294398148151</v>
      </c>
      <c r="J162" s="7">
        <v>0</v>
      </c>
      <c r="K162" s="98" t="str">
        <f>IF(ISEVEN(B162),(B162-1)&amp;"/"&amp;B162,B162&amp;"/"&amp;(B162+1))</f>
        <v>4051/4052</v>
      </c>
      <c r="L162" s="21" t="str">
        <f>VLOOKUP(A162,'Trips&amp;Operators'!$C$1:$G$99999,5,FALSE)</f>
        <v>BEAM ROSS</v>
      </c>
      <c r="M162" s="6">
        <f>I162-F162</f>
        <v>8.8078703702194616E-3</v>
      </c>
      <c r="N162" s="7">
        <f>24*60*SUM($M162:$M162)</f>
        <v>12.683333333116025</v>
      </c>
      <c r="O162" s="7"/>
      <c r="P162" s="7"/>
      <c r="Q162" s="22"/>
      <c r="R162" s="22"/>
      <c r="S162" s="31">
        <f>SUM(U162:U162)/IF(AG162="EC",12,1)</f>
        <v>1</v>
      </c>
      <c r="T162" s="46" t="str">
        <f>IF(ISEVEN(LEFT(AD162,4)),"Southbound","NorthBound")</f>
        <v>NorthBound</v>
      </c>
      <c r="U162" s="190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191" t="str">
        <f>"https://d0f6bd738d7f1b3e5a7ca70fe4ff75f0.us-east-1.aws.found.io/app/kibana#/discover/Steve-Slow-Train-Analysis-(2080s-and-2083s)?_g="&amp;"(refreshInterval:(display:Off,pause:!f,section:0,value:0),time:(from:'"&amp;TEXT(E162-1/24,"yyyy-MM-DDThh:mm:ss")&amp;utc_offset&amp;"00"&amp;"',mode:absolute,to:'"&amp;TEXT(I162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162&amp;"%22')),sort:!(Time.ISO8601,asc))"</f>
        <v>https://d0f6bd738d7f1b3e5a7ca70fe4ff75f0.us-east-1.aws.found.io/app/kibana#/discover/Steve-Slow-Train-Analysis-(2080s-and-2083s)?_g=(refreshInterval:(display:Off,pause:!f,section:0,value:0),time:(from:'2017-02-07T05:46:01-0700',mode:absolute,to:'2017-02-07T08:03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2" s="192" t="str">
        <f>IF(AA162&lt;IF(AG162="EC",23,5.65),"Y","N")</f>
        <v>N</v>
      </c>
      <c r="X162" s="192">
        <f>VALUE(LEFT(AD162,4))-VALUE(LEFT(AD161,4))</f>
        <v>1</v>
      </c>
      <c r="Y162" s="62">
        <f>RIGHT(D162,LEN(D162)-4)/10000</f>
        <v>0.1</v>
      </c>
      <c r="Z162" s="62">
        <f>RIGHT(H162,LEN(H162)-4)/10000</f>
        <v>5.8983999999999996</v>
      </c>
      <c r="AA162" s="62">
        <f>ABS(Z162-Y162)</f>
        <v>5.7984</v>
      </c>
      <c r="AB162" s="59" t="e">
        <f>VLOOKUP(A162,Enforcements!$C$7:$K$14,8,0)</f>
        <v>#N/A</v>
      </c>
      <c r="AC162" s="55" t="e">
        <f>VLOOKUP(A162,Enforcements!$C$7:$E$14,3,0)</f>
        <v>#N/A</v>
      </c>
      <c r="AD162" s="56" t="str">
        <f>IF(LEN(A162)=6,"0"&amp;A162,A162)</f>
        <v>0805-07</v>
      </c>
      <c r="AE162" s="85" t="str">
        <f>"aws s3 cp "&amp;s3_bucket&amp;"/RTDC"&amp;B162&amp;"/ "&amp;search_path&amp;"\RTDC"&amp;B162&amp;"\"&amp;TEXT(F162,"YYYY-MM-DD")&amp;" --exclude ""*"" --recursive --include ""*"&amp;TEXT(F162,"YYYYMMDD")&amp;"*"" &amp; """&amp;walkandungz&amp;""" "&amp;search_path&amp;"\RTDC"&amp;B162&amp;"\"&amp;TEXT(F162,"YYYY-MM-DD")
&amp;" &amp; "&amp;"aws s3 cp "&amp;s3_bucket&amp;"/RTDC"&amp;B162&amp;"/ "&amp;search_path&amp;"\RTDC"&amp;B162&amp;"\"&amp;TEXT(F162+1,"YYYY-MM-DD")&amp;" --exclude ""*"" --recursive --include ""*"&amp;TEXT(F162+1,"YYYYMMDD")&amp;"*"" &amp; """&amp;walkandungz&amp;""" "&amp;search_path&amp;"\RTDC"&amp;B162&amp;"\"&amp;TEXT(F162+1,"YYYY-MM-DD")</f>
        <v>aws s3 cp s3://rtdc.mdm.uploadarchive.raw/RTDC4051/ "%USERPROFILE%\AppData\Local\Temp\OnboardLogs"\RTDC4051\2017-02-07 --exclude "*" --recursive --include "*20170207*" &amp; "%USERPROFILE%\Documents\GitHub\mrs-test-scripts\Headless Mode &amp; Sideloading\WalkAndUnGZ.bat" "%USERPROFILE%\AppData\Local\Temp\OnboardLogs"\RTDC4051\2017-02-07 &amp; 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</v>
      </c>
      <c r="AF162" s="82" t="str">
        <f>astrogrep_path&amp;" /spath="&amp;search_path&amp;" /stypes=""app*"&amp;B162&amp;"*"&amp;TEXT(I162-utc_offset/24,"YYYYMMDD")&amp;"*"" /stext="" "&amp;TEXT(I162-utc_offset/24,"HH")&amp;search_regexp&amp;""" /e /r /s"</f>
        <v>"C:\Program Files (x86)\AstroGrep\AstroGrep.exe" /spath="%USERPROFILE%\AppData\Local\Temp\OnboardLogs" /stypes="app*4051*20170207*" /stext=" 14:.+((SYSTEM_STATE.+slice.+state.+changed )|(ment ac)|(multiple cpu faults)|(system.+state.+changed )|(\[timeout)|(PRM\|1\|D)|(kpr)|(kdp)|(\|lc)|(penalty))" /e /r /s</v>
      </c>
      <c r="AG162" s="1" t="str">
        <f>IFERROR(IF(VALUE(LEFT(AD162,2))&lt;=2,"EC",IF(OR(VALUE(LEFT(AD162,2))=8,VALUE(LEFT(AD162,2))=18),"NW","Other")),"Other")</f>
        <v>NW</v>
      </c>
      <c r="AH162" s="86" t="str">
        <f t="shared" si="9"/>
        <v>"%USERPROFILE%\Documents\GitHub\eaglep3\Utilities\RefineRTDCRunTimes.py" --tripid 805-07 --locoid 4051 --swversion DE.1.0.8.0 --startMP 204:1000 --initTime 2017-02-07T06:46:01 --startdatetime 2017-02-07T06:51:15 --delay 1 --endMP 300:58984 --enddatetime 2017-02-07T07:03:56 --enforcementcount 0 &gt;&gt;C:\Users\stu\Documents\GitHub\eaglep3-reporting\EC\2017-02-07-refined-times.txt</v>
      </c>
      <c r="AI162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{"issue":{"subject":"","project_id":79,"tracker_id":40,"status_id":1,"priority_id":2,"assigned_to_id":23,"start_date":"2017-02-07","description":"","custom_fields":[{"id":1,"name":"Subdivision","value":"NW"},{"id":4,"name":"Milepost","value":"5.8984"},{"id":17,"name":"Train ID","value":"805-07"},{"id":16,"name":"Locomotive ID","value":"4051"},{"id":130,"name":"Impact","value":""},{"id":150,"name":"Time of Event (Mountain Time)","value":"07:03:56"},{"id":151,"name":"Denver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48"/>
      <c r="AK162" s="48"/>
      <c r="AL162" s="48"/>
      <c r="AM162" s="158" t="str">
        <f t="shared" si="11"/>
        <v>start /low /b %USERPROFILE%\Documents\GitHub\eaglep3\Utilities\DownloadLogsFromS3.py --loco 4051 --day 2017-02-07</v>
      </c>
      <c r="AN162" s="167" t="str">
        <f>"grep -SE -B400 ""CHR.+\|PRM\|1\|D.+(SWITCH|SIGNAL).+UNKNOWN"" "&amp;search_path&amp;"\RTDC"&amp;B162&amp;"\*"&amp;B162&amp;"*"&amp;TEXT(AVERAGE(F162,I162)-utc_offset/24,"YYYYMMDD")&amp;"*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"%USERPROFILE%\AppData\Local\Temp\OnboardLogs"\RTDC4051\*4051*20170207* | grep -SE "(Enforcement Action)|(\[TIMEOUT)|(CHR.+\|PRM\|1\|D.+(SWITCH|SIGNAL).+UNKNOWN)" - &gt;&gt; 2017-02-07-UncaughtWiMAX.txt</v>
      </c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s="20" customFormat="1" x14ac:dyDescent="0.25">
      <c r="A163" s="33" t="s">
        <v>539</v>
      </c>
      <c r="B163" s="7">
        <v>4052</v>
      </c>
      <c r="C163" s="21" t="s">
        <v>193</v>
      </c>
      <c r="D163" s="21" t="s">
        <v>814</v>
      </c>
      <c r="E163" s="13">
        <v>42773.295138888891</v>
      </c>
      <c r="F163" s="13">
        <v>42773.296296296299</v>
      </c>
      <c r="G163" s="7">
        <v>1</v>
      </c>
      <c r="H163" s="21" t="s">
        <v>815</v>
      </c>
      <c r="I163" s="13">
        <v>42773.309050925927</v>
      </c>
      <c r="J163" s="7">
        <v>0</v>
      </c>
      <c r="K163" s="98" t="str">
        <f>IF(ISEVEN(B163),(B163-1)&amp;"/"&amp;B163,B163&amp;"/"&amp;(B163+1))</f>
        <v>4051/4052</v>
      </c>
      <c r="L163" s="21" t="str">
        <f>VLOOKUP(A163,'Trips&amp;Operators'!$C$1:$G$99999,5,FALSE)</f>
        <v>BEAM ROSS</v>
      </c>
      <c r="M163" s="6">
        <f>I163-F163</f>
        <v>1.2754629628034309E-2</v>
      </c>
      <c r="N163" s="7">
        <f>24*60*SUM($M163:$M163)</f>
        <v>18.366666664369404</v>
      </c>
      <c r="O163" s="7"/>
      <c r="P163" s="7"/>
      <c r="Q163" s="22"/>
      <c r="R163" s="22"/>
      <c r="S163" s="31">
        <f>SUM(U163:U163)/IF(AG163="EC",12,1)</f>
        <v>1</v>
      </c>
      <c r="T163" s="46" t="str">
        <f>IF(ISEVEN(LEFT(AD163,4)),"Southbound","NorthBound")</f>
        <v>Southbound</v>
      </c>
      <c r="U163" s="190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191" t="str">
        <f>"https://d0f6bd738d7f1b3e5a7ca70fe4ff75f0.us-east-1.aws.found.io/app/kibana#/discover/Steve-Slow-Train-Analysis-(2080s-and-2083s)?_g="&amp;"(refreshInterval:(display:Off,pause:!f,section:0,value:0),time:(from:'"&amp;TEXT(E163-1/24,"yyyy-MM-DDThh:mm:ss")&amp;utc_offset&amp;"00"&amp;"',mode:absolute,to:'"&amp;TEXT(I163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163&amp;"%22')),sort:!(Time.ISO8601,asc))"</f>
        <v>https://d0f6bd738d7f1b3e5a7ca70fe4ff75f0.us-east-1.aws.found.io/app/kibana#/discover/Steve-Slow-Train-Analysis-(2080s-and-2083s)?_g=(refreshInterval:(display:Off,pause:!f,section:0,value:0),time:(from:'2017-02-07T06:05:00-0700',mode:absolute,to:'2017-02-07T08:25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3" s="192" t="str">
        <f>IF(AA163&lt;IF(AG163="EC",23,5.65),"Y","N")</f>
        <v>N</v>
      </c>
      <c r="X163" s="192">
        <f>VALUE(LEFT(AD163,4))-VALUE(LEFT(AD162,4))</f>
        <v>1</v>
      </c>
      <c r="Y163" s="62">
        <f>RIGHT(D163,LEN(D163)-4)/10000</f>
        <v>5.8667999999999996</v>
      </c>
      <c r="Z163" s="62">
        <f>RIGHT(H163,LEN(H163)-4)/10000</f>
        <v>7.0999999999999994E-2</v>
      </c>
      <c r="AA163" s="62">
        <f>ABS(Z163-Y163)</f>
        <v>5.7957999999999998</v>
      </c>
      <c r="AB163" s="59" t="e">
        <f>VLOOKUP(A163,Enforcements!$C$7:$K$14,8,0)</f>
        <v>#N/A</v>
      </c>
      <c r="AC163" s="55" t="e">
        <f>VLOOKUP(A163,Enforcements!$C$7:$E$14,3,0)</f>
        <v>#N/A</v>
      </c>
      <c r="AD163" s="56" t="str">
        <f>IF(LEN(A163)=6,"0"&amp;A163,A163)</f>
        <v>0806-07</v>
      </c>
      <c r="AE163" s="85" t="str">
        <f>"aws s3 cp "&amp;s3_bucket&amp;"/RTDC"&amp;B163&amp;"/ "&amp;search_path&amp;"\RTDC"&amp;B163&amp;"\"&amp;TEXT(F163,"YYYY-MM-DD")&amp;" --exclude ""*"" --recursive --include ""*"&amp;TEXT(F163,"YYYYMMDD")&amp;"*"" &amp; """&amp;walkandungz&amp;""" "&amp;search_path&amp;"\RTDC"&amp;B163&amp;"\"&amp;TEXT(F163,"YYYY-MM-DD")
&amp;" &amp; "&amp;"aws s3 cp "&amp;s3_bucket&amp;"/RTDC"&amp;B163&amp;"/ "&amp;search_path&amp;"\RTDC"&amp;B163&amp;"\"&amp;TEXT(F163+1,"YYYY-MM-DD")&amp;" --exclude ""*"" --recursive --include ""*"&amp;TEXT(F163+1,"YYYYMMDD")&amp;"*"" &amp; """&amp;walkandungz&amp;""" "&amp;search_path&amp;"\RTDC"&amp;B163&amp;"\"&amp;TEXT(F163+1,"YYYY-MM-DD")</f>
        <v>aws s3 cp s3://rtdc.mdm.uploadarchive.raw/RTDC4052/ "%USERPROFILE%\AppData\Local\Temp\OnboardLogs"\RTDC4052\2017-02-07 --exclude "*" --recursive --include "*20170207*" &amp; "%USERPROFILE%\Documents\GitHub\mrs-test-scripts\Headless Mode &amp; Sideloading\WalkAndUnGZ.bat" "%USERPROFILE%\AppData\Local\Temp\OnboardLogs"\RTDC4052\2017-02-07 &amp; aws s3 cp s3://rtdc.mdm.uploadarchive.raw/RTDC4052/ "%USERPROFILE%\AppData\Local\Temp\OnboardLogs"\RTDC4052\2017-02-08 --exclude "*" --recursive --include "*20170208*" &amp; "%USERPROFILE%\Documents\GitHub\mrs-test-scripts\Headless Mode &amp; Sideloading\WalkAndUnGZ.bat" "%USERPROFILE%\AppData\Local\Temp\OnboardLogs"\RTDC4052\2017-02-08</v>
      </c>
      <c r="AF163" s="82" t="str">
        <f>astrogrep_path&amp;" /spath="&amp;search_path&amp;" /stypes=""app*"&amp;B163&amp;"*"&amp;TEXT(I163-utc_offset/24,"YYYYMMDD")&amp;"*"" /stext="" "&amp;TEXT(I163-utc_offset/24,"HH")&amp;search_regexp&amp;""" /e /r /s"</f>
        <v>"C:\Program Files (x86)\AstroGrep\AstroGrep.exe" /spath="%USERPROFILE%\AppData\Local\Temp\OnboardLogs" /stypes="app*4052*20170207*" /stext=" 14:.+((SYSTEM_STATE.+slice.+state.+changed )|(ment ac)|(multiple cpu faults)|(system.+state.+changed )|(\[timeout)|(PRM\|1\|D)|(kpr)|(kdp)|(\|lc)|(penalty))" /e /r /s</v>
      </c>
      <c r="AG163" s="1" t="str">
        <f>IFERROR(IF(VALUE(LEFT(AD163,2))&lt;=2,"EC",IF(OR(VALUE(LEFT(AD163,2))=8,VALUE(LEFT(AD163,2))=18),"NW","Other")),"Other")</f>
        <v>NW</v>
      </c>
      <c r="AH163" s="86" t="str">
        <f t="shared" si="9"/>
        <v>"%USERPROFILE%\Documents\GitHub\eaglep3\Utilities\RefineRTDCRunTimes.py" --tripid 806-07 --locoid 4052 --swversion DE.1.0.8.0 --startMP 300:58668 --initTime 2017-02-07T07:05:00 --startdatetime 2017-02-07T07:06:40 --delay 1 --endMP 204:710 --enddatetime 2017-02-07T07:25:02 --enforcementcount 0 &gt;&gt;C:\Users\stu\Documents\GitHub\eaglep3-reporting\EC\2017-02-07-refined-times.txt</v>
      </c>
      <c r="AI163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{"issue":{"subject":"","project_id":79,"tracker_id":40,"status_id":1,"priority_id":2,"assigned_to_id":23,"start_date":"2017-02-07","description":"","custom_fields":[{"id":1,"name":"Subdivision","value":"NW"},{"id":4,"name":"Milepost","value":"0.071"},{"id":17,"name":"Train ID","value":"806-07"},{"id":16,"name":"Locomotive ID","value":"4052"},{"id":130,"name":"Impact","value":""},{"id":150,"name":"Time of Event (Mountain Time)","value":"07:25:02"},{"id":151,"name":"Denver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48"/>
      <c r="AK163" s="48"/>
      <c r="AL163" s="48"/>
      <c r="AM163" s="158" t="str">
        <f t="shared" si="11"/>
        <v>start /low /b %USERPROFILE%\Documents\GitHub\eaglep3\Utilities\DownloadLogsFromS3.py --loco 4052 --day 2017-02-07</v>
      </c>
      <c r="AN163" s="167" t="str">
        <f>"grep -SE -B400 ""CHR.+\|PRM\|1\|D.+(SWITCH|SIGNAL).+UNKNOWN"" "&amp;search_path&amp;"\RTDC"&amp;B163&amp;"\*"&amp;B163&amp;"*"&amp;TEXT(AVERAGE(F163,I163)-utc_offset/24,"YYYYMMDD")&amp;"*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"%USERPROFILE%\AppData\Local\Temp\OnboardLogs"\RTDC4052\*4052*20170207* | grep -SE "(Enforcement Action)|(\[TIMEOUT)|(CHR.+\|PRM\|1\|D.+(SWITCH|SIGNAL).+UNKNOWN)" - &gt;&gt; 2017-02-07-UncaughtWiMAX.txt</v>
      </c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</row>
    <row r="164" spans="1:91" x14ac:dyDescent="0.25">
      <c r="A164" s="33" t="s">
        <v>542</v>
      </c>
      <c r="B164" s="7">
        <v>4027</v>
      </c>
      <c r="C164" s="21" t="s">
        <v>193</v>
      </c>
      <c r="D164" s="21" t="s">
        <v>816</v>
      </c>
      <c r="E164" s="13">
        <v>42773.302835648145</v>
      </c>
      <c r="F164" s="13">
        <v>42773.306388888886</v>
      </c>
      <c r="G164" s="7">
        <v>1</v>
      </c>
      <c r="H164" s="21" t="s">
        <v>817</v>
      </c>
      <c r="I164" s="13">
        <v>42773.315717592595</v>
      </c>
      <c r="J164" s="7">
        <v>0</v>
      </c>
      <c r="K164" s="98" t="str">
        <f>IF(ISEVEN(B164),(B164-1)&amp;"/"&amp;B164,B164&amp;"/"&amp;(B164+1))</f>
        <v>4027/4028</v>
      </c>
      <c r="L164" s="21" t="str">
        <f>VLOOKUP(A164,'Trips&amp;Operators'!$C$1:$G$99999,5,FALSE)</f>
        <v>BROWN JACOB</v>
      </c>
      <c r="M164" s="6">
        <f>I164-F164</f>
        <v>9.3287037088884972E-3</v>
      </c>
      <c r="N164" s="7">
        <f>24*60*SUM($M164:$M164)</f>
        <v>13.433333340799436</v>
      </c>
      <c r="O164" s="7"/>
      <c r="P164" s="7"/>
      <c r="Q164" s="22"/>
      <c r="R164" s="22"/>
      <c r="S164" s="31">
        <f>SUM(U164:U164)/IF(AG164="EC",12,1)</f>
        <v>1</v>
      </c>
      <c r="T164" s="46" t="str">
        <f>IF(ISEVEN(LEFT(AD164,4)),"Southbound","NorthBound")</f>
        <v>NorthBound</v>
      </c>
      <c r="U164" s="190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191" t="str">
        <f>"https://d0f6bd738d7f1b3e5a7ca70fe4ff75f0.us-east-1.aws.found.io/app/kibana#/discover/Steve-Slow-Train-Analysis-(2080s-and-2083s)?_g="&amp;"(refreshInterval:(display:Off,pause:!f,section:0,value:0),time:(from:'"&amp;TEXT(E164-1/24,"yyyy-MM-DDThh:mm:ss")&amp;utc_offset&amp;"00"&amp;"',mode:absolute,to:'"&amp;TEXT(I164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164&amp;"%22')),sort:!(Time.ISO8601,asc))"</f>
        <v>https://d0f6bd738d7f1b3e5a7ca70fe4ff75f0.us-east-1.aws.found.io/app/kibana#/discover/Steve-Slow-Train-Analysis-(2080s-and-2083s)?_g=(refreshInterval:(display:Off,pause:!f,section:0,value:0),time:(from:'2017-02-07T06:16:05-0700',mode:absolute,to:'2017-02-07T08:34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4" s="192" t="str">
        <f>IF(AA164&lt;IF(AG164="EC",23,5.65),"Y","N")</f>
        <v>N</v>
      </c>
      <c r="X164" s="192">
        <f>VALUE(LEFT(AD164,4))-VALUE(LEFT(AD163,4))</f>
        <v>1</v>
      </c>
      <c r="Y164" s="62">
        <f>RIGHT(D164,LEN(D164)-4)/10000</f>
        <v>0.1009</v>
      </c>
      <c r="Z164" s="62">
        <f>RIGHT(H164,LEN(H164)-4)/10000</f>
        <v>5.8944000000000001</v>
      </c>
      <c r="AA164" s="62">
        <f>ABS(Z164-Y164)</f>
        <v>5.7934999999999999</v>
      </c>
      <c r="AB164" s="59" t="e">
        <f>VLOOKUP(A164,Enforcements!$C$7:$K$14,8,0)</f>
        <v>#N/A</v>
      </c>
      <c r="AC164" s="55" t="e">
        <f>VLOOKUP(A164,Enforcements!$C$7:$E$14,3,0)</f>
        <v>#N/A</v>
      </c>
      <c r="AD164" s="56" t="str">
        <f>IF(LEN(A164)=6,"0"&amp;A164,A164)</f>
        <v>0807-07</v>
      </c>
      <c r="AE164" s="85" t="str">
        <f>"aws s3 cp "&amp;s3_bucket&amp;"/RTDC"&amp;B164&amp;"/ "&amp;search_path&amp;"\RTDC"&amp;B164&amp;"\"&amp;TEXT(F164,"YYYY-MM-DD")&amp;" --exclude ""*"" --recursive --include ""*"&amp;TEXT(F164,"YYYYMMDD")&amp;"*"" &amp; """&amp;walkandungz&amp;""" "&amp;search_path&amp;"\RTDC"&amp;B164&amp;"\"&amp;TEXT(F164,"YYYY-MM-DD")
&amp;" &amp; "&amp;"aws s3 cp "&amp;s3_bucket&amp;"/RTDC"&amp;B164&amp;"/ "&amp;search_path&amp;"\RTDC"&amp;B164&amp;"\"&amp;TEXT(F164+1,"YYYY-MM-DD")&amp;" --exclude ""*"" --recursive --include ""*"&amp;TEXT(F164+1,"YYYYMMDD")&amp;"*"" &amp; """&amp;walkandungz&amp;""" "&amp;search_path&amp;"\RTDC"&amp;B164&amp;"\"&amp;TEXT(F164+1,"YYYY-MM-DD")</f>
        <v>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 &amp; 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</v>
      </c>
      <c r="AF164" s="82" t="str">
        <f>astrogrep_path&amp;" /spath="&amp;search_path&amp;" /stypes=""app*"&amp;B164&amp;"*"&amp;TEXT(I164-utc_offset/24,"YYYYMMDD")&amp;"*"" /stext="" "&amp;TEXT(I164-utc_offset/24,"HH")&amp;search_regexp&amp;""" /e /r /s"</f>
        <v>"C:\Program Files (x86)\AstroGrep\AstroGrep.exe" /spath="%USERPROFILE%\AppData\Local\Temp\OnboardLogs" /stypes="app*4027*20170207*" /stext=" 14:.+((SYSTEM_STATE.+slice.+state.+changed )|(ment ac)|(multiple cpu faults)|(system.+state.+changed )|(\[timeout)|(PRM\|1\|D)|(kpr)|(kdp)|(\|lc)|(penalty))" /e /r /s</v>
      </c>
      <c r="AG164" s="1" t="str">
        <f>IFERROR(IF(VALUE(LEFT(AD164,2))&lt;=2,"EC",IF(OR(VALUE(LEFT(AD164,2))=8,VALUE(LEFT(AD164,2))=18),"NW","Other")),"Other")</f>
        <v>NW</v>
      </c>
      <c r="AH164" s="86" t="str">
        <f t="shared" si="9"/>
        <v>"%USERPROFILE%\Documents\GitHub\eaglep3\Utilities\RefineRTDCRunTimes.py" --tripid 807-07 --locoid 4027 --swversion DE.1.0.8.0 --startMP 204:1009 --initTime 2017-02-07T07:16:05 --startdatetime 2017-02-07T07:21:12 --delay 1 --endMP 300:58944 --enddatetime 2017-02-07T07:34:38 --enforcementcount 0 &gt;&gt;C:\Users\stu\Documents\GitHub\eaglep3-reporting\EC\2017-02-07-refined-times.txt</v>
      </c>
      <c r="AI164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{"issue":{"subject":"","project_id":79,"tracker_id":40,"status_id":1,"priority_id":2,"assigned_to_id":23,"start_date":"2017-02-07","description":"","custom_fields":[{"id":1,"name":"Subdivision","value":"NW"},{"id":4,"name":"Milepost","value":"5.8944"},{"id":17,"name":"Train ID","value":"807-07"},{"id":16,"name":"Locomotive ID","value":"4027"},{"id":130,"name":"Impact","value":""},{"id":150,"name":"Time of Event (Mountain Time)","value":"07:34:38"},{"id":151,"name":"Denver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48"/>
      <c r="AK164" s="48"/>
      <c r="AL164" s="48"/>
      <c r="AM164" s="158" t="str">
        <f t="shared" si="11"/>
        <v>start /low /b %USERPROFILE%\Documents\GitHub\eaglep3\Utilities\DownloadLogsFromS3.py --loco 4027 --day 2017-02-07</v>
      </c>
      <c r="AN164" s="167" t="str">
        <f>"grep -SE -B400 ""CHR.+\|PRM\|1\|D.+(SWITCH|SIGNAL).+UNKNOWN"" "&amp;search_path&amp;"\RTDC"&amp;B164&amp;"\*"&amp;B164&amp;"*"&amp;TEXT(AVERAGE(F164,I164)-utc_offset/24,"YYYYMMDD")&amp;"*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"%USERPROFILE%\AppData\Local\Temp\OnboardLogs"\RTDC4027\*4027*20170207* | grep -SE "(Enforcement Action)|(\[TIMEOUT)|(CHR.+\|PRM\|1\|D.+(SWITCH|SIGNAL).+UNKNOWN)" - &gt;&gt; 2017-02-07-UncaughtWiMAX.txt</v>
      </c>
    </row>
    <row r="165" spans="1:91" x14ac:dyDescent="0.25">
      <c r="A165" s="33" t="s">
        <v>544</v>
      </c>
      <c r="B165" s="7">
        <v>4028</v>
      </c>
      <c r="C165" s="21" t="s">
        <v>193</v>
      </c>
      <c r="D165" s="21" t="s">
        <v>324</v>
      </c>
      <c r="E165" s="13">
        <v>42773.316944444443</v>
      </c>
      <c r="F165" s="13">
        <v>42773.318344907406</v>
      </c>
      <c r="G165" s="7">
        <v>1</v>
      </c>
      <c r="H165" s="21" t="s">
        <v>818</v>
      </c>
      <c r="I165" s="13">
        <v>42773.331550925926</v>
      </c>
      <c r="J165" s="7">
        <v>0</v>
      </c>
      <c r="K165" s="98" t="str">
        <f>IF(ISEVEN(B165),(B165-1)&amp;"/"&amp;B165,B165&amp;"/"&amp;(B165+1))</f>
        <v>4027/4028</v>
      </c>
      <c r="L165" s="21" t="str">
        <f>VLOOKUP(A165,'Trips&amp;Operators'!$C$1:$G$99999,5,FALSE)</f>
        <v>BROWN JACOB</v>
      </c>
      <c r="M165" s="6">
        <f>I165-F165</f>
        <v>1.3206018520577345E-2</v>
      </c>
      <c r="N165" s="7">
        <f>24*60*SUM($M165:$M165)</f>
        <v>19.016666669631377</v>
      </c>
      <c r="O165" s="7"/>
      <c r="P165" s="7"/>
      <c r="Q165" s="22"/>
      <c r="R165" s="22"/>
      <c r="S165" s="31">
        <f>SUM(U165:U165)/IF(AG165="EC",12,1)</f>
        <v>1</v>
      </c>
      <c r="T165" s="46" t="str">
        <f>IF(ISEVEN(LEFT(AD165,4)),"Southbound","NorthBound")</f>
        <v>Southbound</v>
      </c>
      <c r="U165" s="190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191" t="str">
        <f>"https://d0f6bd738d7f1b3e5a7ca70fe4ff75f0.us-east-1.aws.found.io/app/kibana#/discover/Steve-Slow-Train-Analysis-(2080s-and-2083s)?_g="&amp;"(refreshInterval:(display:Off,pause:!f,section:0,value:0),time:(from:'"&amp;TEXT(E165-1/24,"yyyy-MM-DDThh:mm:ss")&amp;utc_offset&amp;"00"&amp;"',mode:absolute,to:'"&amp;TEXT(I165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165&amp;"%22')),sort:!(Time.ISO8601,asc))"</f>
        <v>https://d0f6bd738d7f1b3e5a7ca70fe4ff75f0.us-east-1.aws.found.io/app/kibana#/discover/Steve-Slow-Train-Analysis-(2080s-and-2083s)?_g=(refreshInterval:(display:Off,pause:!f,section:0,value:0),time:(from:'2017-02-07T06:36:24-0700',mode:absolute,to:'2017-02-07T08:57:26-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5" s="192" t="str">
        <f>IF(AA165&lt;IF(AG165="EC",23,5.65),"Y","N")</f>
        <v>N</v>
      </c>
      <c r="X165" s="192">
        <f>VALUE(LEFT(AD165,4))-VALUE(LEFT(AD164,4))</f>
        <v>1</v>
      </c>
      <c r="Y165" s="62">
        <f>RIGHT(D165,LEN(D165)-4)/10000</f>
        <v>5.8624000000000001</v>
      </c>
      <c r="Z165" s="62">
        <f>RIGHT(H165,LEN(H165)-4)/10000</f>
        <v>7.4499999999999997E-2</v>
      </c>
      <c r="AA165" s="62">
        <f>ABS(Z165-Y165)</f>
        <v>5.7879000000000005</v>
      </c>
      <c r="AB165" s="59" t="e">
        <f>VLOOKUP(A165,Enforcements!$C$7:$K$14,8,0)</f>
        <v>#N/A</v>
      </c>
      <c r="AC165" s="55" t="e">
        <f>VLOOKUP(A165,Enforcements!$C$7:$E$14,3,0)</f>
        <v>#N/A</v>
      </c>
      <c r="AD165" s="56" t="str">
        <f>IF(LEN(A165)=6,"0"&amp;A165,A165)</f>
        <v>0808-07</v>
      </c>
      <c r="AE165" s="85" t="str">
        <f>"aws s3 cp "&amp;s3_bucket&amp;"/RTDC"&amp;B165&amp;"/ "&amp;search_path&amp;"\RTDC"&amp;B165&amp;"\"&amp;TEXT(F165,"YYYY-MM-DD")&amp;" --exclude ""*"" --recursive --include ""*"&amp;TEXT(F165,"YYYYMMDD")&amp;"*"" &amp; """&amp;walkandungz&amp;""" "&amp;search_path&amp;"\RTDC"&amp;B165&amp;"\"&amp;TEXT(F165,"YYYY-MM-DD")
&amp;" &amp; "&amp;"aws s3 cp "&amp;s3_bucket&amp;"/RTDC"&amp;B165&amp;"/ "&amp;search_path&amp;"\RTDC"&amp;B165&amp;"\"&amp;TEXT(F165+1,"YYYY-MM-DD")&amp;" --exclude ""*"" --recursive --include ""*"&amp;TEXT(F165+1,"YYYYMMDD")&amp;"*"" &amp; """&amp;walkandungz&amp;""" "&amp;search_path&amp;"\RTDC"&amp;B165&amp;"\"&amp;TEXT(F165+1,"YYYY-MM-DD")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AF165" s="82" t="str">
        <f>astrogrep_path&amp;" /spath="&amp;search_path&amp;" /stypes=""app*"&amp;B165&amp;"*"&amp;TEXT(I165-utc_offset/24,"YYYYMMDD")&amp;"*"" /stext="" "&amp;TEXT(I165-utc_offset/24,"HH")&amp;search_regexp&amp;""" /e /r /s"</f>
        <v>"C:\Program Files (x86)\AstroGrep\AstroGrep.exe" /spath="%USERPROFILE%\AppData\Local\Temp\OnboardLogs" /stypes="app*4028*20170207*" /stext=" 14:.+((SYSTEM_STATE.+slice.+state.+changed )|(ment ac)|(multiple cpu faults)|(system.+state.+changed )|(\[timeout)|(PRM\|1\|D)|(kpr)|(kdp)|(\|lc)|(penalty))" /e /r /s</v>
      </c>
      <c r="AG165" s="1" t="str">
        <f>IFERROR(IF(VALUE(LEFT(AD165,2))&lt;=2,"EC",IF(OR(VALUE(LEFT(AD165,2))=8,VALUE(LEFT(AD165,2))=18),"NW","Other")),"Other")</f>
        <v>NW</v>
      </c>
      <c r="AH165" s="86" t="str">
        <f t="shared" si="9"/>
        <v>"%USERPROFILE%\Documents\GitHub\eaglep3\Utilities\RefineRTDCRunTimes.py" --tripid 808-07 --locoid 4028 --swversion DE.1.0.8.0 --startMP 300:58624 --initTime 2017-02-07T07:36:24 --startdatetime 2017-02-07T07:38:25 --delay 1 --endMP 204:745 --enddatetime 2017-02-07T07:57:26 --enforcementcount 0 &gt;&gt;C:\Users\stu\Documents\GitHub\eaglep3-reporting\EC\2017-02-07-refined-times.txt</v>
      </c>
      <c r="AI165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{"issue":{"subject":"","project_id":79,"tracker_id":40,"status_id":1,"priority_id":2,"assigned_to_id":23,"start_date":"2017-02-07","description":"","custom_fields":[{"id":1,"name":"Subdivision","value":"NW"},{"id":4,"name":"Milepost","value":"0.0745"},{"id":17,"name":"Train ID","value":"808-07"},{"id":16,"name":"Locomotive ID","value":"4028"},{"id":130,"name":"Impact","value":""},{"id":150,"name":"Time of Event (Mountain Time)","value":"07:57:26"},{"id":151,"name":"Denver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48"/>
      <c r="AK165" s="48"/>
      <c r="AL165" s="48"/>
      <c r="AM165" s="158" t="str">
        <f t="shared" si="11"/>
        <v>start /low /b %USERPROFILE%\Documents\GitHub\eaglep3\Utilities\DownloadLogsFromS3.py --loco 4028 --day 2017-02-07</v>
      </c>
      <c r="AN165" s="167" t="str">
        <f>"grep -SE -B400 ""CHR.+\|PRM\|1\|D.+(SWITCH|SIGNAL).+UNKNOWN"" "&amp;search_path&amp;"\RTDC"&amp;B165&amp;"\*"&amp;B165&amp;"*"&amp;TEXT(AVERAGE(F165,I165)-utc_offset/24,"YYYYMMDD")&amp;"*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"%USERPROFILE%\AppData\Local\Temp\OnboardLogs"\RTDC4028\*4028*20170207* | grep -SE "(Enforcement Action)|(\[TIMEOUT)|(CHR.+\|PRM\|1\|D.+(SWITCH|SIGNAL).+UNKNOWN)" - &gt;&gt; 2017-02-07-UncaughtWiMAX.txt</v>
      </c>
    </row>
    <row r="166" spans="1:91" x14ac:dyDescent="0.25">
      <c r="A166" s="33" t="s">
        <v>548</v>
      </c>
      <c r="B166" s="7">
        <v>4051</v>
      </c>
      <c r="C166" s="21" t="s">
        <v>193</v>
      </c>
      <c r="D166" s="21" t="s">
        <v>804</v>
      </c>
      <c r="E166" s="13">
        <v>42773.324108796296</v>
      </c>
      <c r="F166" s="13">
        <v>42773.327280092592</v>
      </c>
      <c r="G166" s="7">
        <v>1</v>
      </c>
      <c r="H166" s="21" t="s">
        <v>819</v>
      </c>
      <c r="I166" s="13">
        <v>42773.336550925924</v>
      </c>
      <c r="J166" s="7">
        <v>0</v>
      </c>
      <c r="K166" s="98" t="str">
        <f>IF(ISEVEN(B166),(B166-1)&amp;"/"&amp;B166,B166&amp;"/"&amp;(B166+1))</f>
        <v>4051/4052</v>
      </c>
      <c r="L166" s="21" t="str">
        <f>VLOOKUP(A166,'Trips&amp;Operators'!$C$1:$G$99999,5,FALSE)</f>
        <v>BEAM ROSS</v>
      </c>
      <c r="M166" s="6">
        <f>I166-F166</f>
        <v>9.2708333322661929E-3</v>
      </c>
      <c r="N166" s="7">
        <f>24*60*SUM($M166:$M166)</f>
        <v>13.349999998463318</v>
      </c>
      <c r="O166" s="7"/>
      <c r="P166" s="7"/>
      <c r="Q166" s="22"/>
      <c r="R166" s="22"/>
      <c r="S166" s="31">
        <f>SUM(U166:U166)/IF(AG166="EC",12,1)</f>
        <v>1</v>
      </c>
      <c r="T166" s="46" t="str">
        <f>IF(ISEVEN(LEFT(AD166,4)),"Southbound","NorthBound")</f>
        <v>NorthBound</v>
      </c>
      <c r="U166" s="190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191" t="str">
        <f>"https://d0f6bd738d7f1b3e5a7ca70fe4ff75f0.us-east-1.aws.found.io/app/kibana#/discover/Steve-Slow-Train-Analysis-(2080s-and-2083s)?_g="&amp;"(refreshInterval:(display:Off,pause:!f,section:0,value:0),time:(from:'"&amp;TEXT(E166-1/24,"yyyy-MM-DDThh:mm:ss")&amp;utc_offset&amp;"00"&amp;"',mode:absolute,to:'"&amp;TEXT(I166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166&amp;"%22')),sort:!(Time.ISO8601,asc))"</f>
        <v>https://d0f6bd738d7f1b3e5a7ca70fe4ff75f0.us-east-1.aws.found.io/app/kibana#/discover/Steve-Slow-Train-Analysis-(2080s-and-2083s)?_g=(refreshInterval:(display:Off,pause:!f,section:0,value:0),time:(from:'2017-02-07T06:46:43-0700',mode:absolute,to:'2017-02-07T09:04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66" s="192" t="str">
        <f>IF(AA166&lt;IF(AG166="EC",23,5.65),"Y","N")</f>
        <v>N</v>
      </c>
      <c r="X166" s="192">
        <f>VALUE(LEFT(AD166,4))-VALUE(LEFT(AD165,4))</f>
        <v>1</v>
      </c>
      <c r="Y166" s="62">
        <f>RIGHT(D166,LEN(D166)-4)/10000</f>
        <v>0.1016</v>
      </c>
      <c r="Z166" s="62">
        <f>RIGHT(H166,LEN(H166)-4)/10000</f>
        <v>5.8975</v>
      </c>
      <c r="AA166" s="62">
        <f>ABS(Z166-Y166)</f>
        <v>5.7958999999999996</v>
      </c>
      <c r="AB166" s="59" t="e">
        <f>VLOOKUP(A166,Enforcements!$C$7:$K$14,8,0)</f>
        <v>#N/A</v>
      </c>
      <c r="AC166" s="55" t="e">
        <f>VLOOKUP(A166,Enforcements!$C$7:$E$14,3,0)</f>
        <v>#N/A</v>
      </c>
      <c r="AD166" s="56" t="str">
        <f>IF(LEN(A166)=6,"0"&amp;A166,A166)</f>
        <v>0809-07</v>
      </c>
      <c r="AE166" s="85" t="str">
        <f>"aws s3 cp "&amp;s3_bucket&amp;"/RTDC"&amp;B166&amp;"/ "&amp;search_path&amp;"\RTDC"&amp;B166&amp;"\"&amp;TEXT(F166,"YYYY-MM-DD")&amp;" --exclude ""*"" --recursive --include ""*"&amp;TEXT(F166,"YYYYMMDD")&amp;"*"" &amp; """&amp;walkandungz&amp;""" "&amp;search_path&amp;"\RTDC"&amp;B166&amp;"\"&amp;TEXT(F166,"YYYY-MM-DD")
&amp;" &amp; "&amp;"aws s3 cp "&amp;s3_bucket&amp;"/RTDC"&amp;B166&amp;"/ "&amp;search_path&amp;"\RTDC"&amp;B166&amp;"\"&amp;TEXT(F166+1,"YYYY-MM-DD")&amp;" --exclude ""*"" --recursive --include ""*"&amp;TEXT(F166+1,"YYYYMMDD")&amp;"*"" &amp; """&amp;walkandungz&amp;""" "&amp;search_path&amp;"\RTDC"&amp;B166&amp;"\"&amp;TEXT(F166+1,"YYYY-MM-DD")</f>
        <v>aws s3 cp s3://rtdc.mdm.uploadarchive.raw/RTDC4051/ "%USERPROFILE%\AppData\Local\Temp\OnboardLogs"\RTDC4051\2017-02-07 --exclude "*" --recursive --include "*20170207*" &amp; "%USERPROFILE%\Documents\GitHub\mrs-test-scripts\Headless Mode &amp; Sideloading\WalkAndUnGZ.bat" "%USERPROFILE%\AppData\Local\Temp\OnboardLogs"\RTDC4051\2017-02-07 &amp; 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</v>
      </c>
      <c r="AF166" s="82" t="str">
        <f>astrogrep_path&amp;" /spath="&amp;search_path&amp;" /stypes=""app*"&amp;B166&amp;"*"&amp;TEXT(I166-utc_offset/24,"YYYYMMDD")&amp;"*"" /stext="" "&amp;TEXT(I166-utc_offset/24,"HH")&amp;search_regexp&amp;""" /e /r /s"</f>
        <v>"C:\Program Files (x86)\AstroGrep\AstroGrep.exe" /spath="%USERPROFILE%\AppData\Local\Temp\OnboardLogs" /stypes="app*4051*20170207*" /stext=" 15:.+((SYSTEM_STATE.+slice.+state.+changed )|(ment ac)|(multiple cpu faults)|(system.+state.+changed )|(\[timeout)|(PRM\|1\|D)|(kpr)|(kdp)|(\|lc)|(penalty))" /e /r /s</v>
      </c>
      <c r="AG166" s="1" t="str">
        <f>IFERROR(IF(VALUE(LEFT(AD166,2))&lt;=2,"EC",IF(OR(VALUE(LEFT(AD166,2))=8,VALUE(LEFT(AD166,2))=18),"NW","Other")),"Other")</f>
        <v>NW</v>
      </c>
      <c r="AH166" s="86" t="str">
        <f t="shared" si="9"/>
        <v>"%USERPROFILE%\Documents\GitHub\eaglep3\Utilities\RefineRTDCRunTimes.py" --tripid 809-07 --locoid 4051 --swversion DE.1.0.8.0 --startMP 204:1016 --initTime 2017-02-07T07:46:43 --startdatetime 2017-02-07T07:51:17 --delay 1 --endMP 300:58975 --enddatetime 2017-02-07T08:04:38 --enforcementcount 0 &gt;&gt;C:\Users\stu\Documents\GitHub\eaglep3-reporting\EC\2017-02-07-refined-times.txt</v>
      </c>
      <c r="AI166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{"issue":{"subject":"","project_id":79,"tracker_id":40,"status_id":1,"priority_id":2,"assigned_to_id":23,"start_date":"2017-02-07","description":"","custom_fields":[{"id":1,"name":"Subdivision","value":"NW"},{"id":4,"name":"Milepost","value":"5.8975"},{"id":17,"name":"Train ID","value":"809-07"},{"id":16,"name":"Locomotive ID","value":"4051"},{"id":130,"name":"Impact","value":""},{"id":150,"name":"Time of Event (Mountain Time)","value":"08:04:38"},{"id":151,"name":"Denver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48"/>
      <c r="AK166" s="48"/>
      <c r="AL166" s="48"/>
      <c r="AM166" s="158" t="str">
        <f t="shared" si="11"/>
        <v>start /low /b %USERPROFILE%\Documents\GitHub\eaglep3\Utilities\DownloadLogsFromS3.py --loco 4051 --day 2017-02-07</v>
      </c>
      <c r="AN166" s="167" t="str">
        <f>"grep -SE -B400 ""CHR.+\|PRM\|1\|D.+(SWITCH|SIGNAL).+UNKNOWN"" "&amp;search_path&amp;"\RTDC"&amp;B166&amp;"\*"&amp;B166&amp;"*"&amp;TEXT(AVERAGE(F166,I166)-utc_offset/24,"YYYYMMDD")&amp;"*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"%USERPROFILE%\AppData\Local\Temp\OnboardLogs"\RTDC4051\*4051*20170207* | grep -SE "(Enforcement Action)|(\[TIMEOUT)|(CHR.+\|PRM\|1\|D.+(SWITCH|SIGNAL).+UNKNOWN)" - &gt;&gt; 2017-02-07-UncaughtWiMAX.txt</v>
      </c>
    </row>
    <row r="167" spans="1:91" x14ac:dyDescent="0.25">
      <c r="A167" s="33" t="s">
        <v>550</v>
      </c>
      <c r="B167" s="7">
        <v>4052</v>
      </c>
      <c r="C167" s="21" t="s">
        <v>193</v>
      </c>
      <c r="D167" s="21" t="s">
        <v>820</v>
      </c>
      <c r="E167" s="13">
        <v>42773.337453703702</v>
      </c>
      <c r="F167" s="13">
        <v>42773.338738425926</v>
      </c>
      <c r="G167" s="7">
        <v>1</v>
      </c>
      <c r="H167" s="21" t="s">
        <v>807</v>
      </c>
      <c r="I167" s="13">
        <v>42773.350775462961</v>
      </c>
      <c r="J167" s="7">
        <v>0</v>
      </c>
      <c r="K167" s="98" t="str">
        <f>IF(ISEVEN(B167),(B167-1)&amp;"/"&amp;B167,B167&amp;"/"&amp;(B167+1))</f>
        <v>4051/4052</v>
      </c>
      <c r="L167" s="21" t="str">
        <f>VLOOKUP(A167,'Trips&amp;Operators'!$C$1:$G$99999,5,FALSE)</f>
        <v>BEAM ROSS</v>
      </c>
      <c r="M167" s="6">
        <f>I167-F167</f>
        <v>1.2037037035042886E-2</v>
      </c>
      <c r="N167" s="7">
        <f>24*60*SUM($M167:$M167)</f>
        <v>17.333333330461755</v>
      </c>
      <c r="O167" s="7"/>
      <c r="P167" s="7"/>
      <c r="Q167" s="22"/>
      <c r="R167" s="22"/>
      <c r="S167" s="31">
        <f>SUM(U167:U167)/IF(AG167="EC",12,1)</f>
        <v>1</v>
      </c>
      <c r="T167" s="46" t="str">
        <f>IF(ISEVEN(LEFT(AD167,4)),"Southbound","NorthBound")</f>
        <v>Southbound</v>
      </c>
      <c r="U167" s="190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191" t="str">
        <f>"https://d0f6bd738d7f1b3e5a7ca70fe4ff75f0.us-east-1.aws.found.io/app/kibana#/discover/Steve-Slow-Train-Analysis-(2080s-and-2083s)?_g="&amp;"(refreshInterval:(display:Off,pause:!f,section:0,value:0),time:(from:'"&amp;TEXT(E167-1/24,"yyyy-MM-DDThh:mm:ss")&amp;utc_offset&amp;"00"&amp;"',mode:absolute,to:'"&amp;TEXT(I167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167&amp;"%22')),sort:!(Time.ISO8601,asc))"</f>
        <v>https://d0f6bd738d7f1b3e5a7ca70fe4ff75f0.us-east-1.aws.found.io/app/kibana#/discover/Steve-Slow-Train-Analysis-(2080s-and-2083s)?_g=(refreshInterval:(display:Off,pause:!f,section:0,value:0),time:(from:'2017-02-07T07:05:56-0700',mode:absolute,to:'2017-02-07T09:25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67" s="192" t="str">
        <f>IF(AA167&lt;IF(AG167="EC",23,5.65),"Y","N")</f>
        <v>N</v>
      </c>
      <c r="X167" s="192">
        <f>VALUE(LEFT(AD167,4))-VALUE(LEFT(AD166,4))</f>
        <v>1</v>
      </c>
      <c r="Y167" s="62">
        <f>RIGHT(D167,LEN(D167)-4)/10000</f>
        <v>5.8654999999999999</v>
      </c>
      <c r="Z167" s="62">
        <f>RIGHT(H167,LEN(H167)-4)/10000</f>
        <v>7.0800000000000002E-2</v>
      </c>
      <c r="AA167" s="62">
        <f>ABS(Z167-Y167)</f>
        <v>5.7946999999999997</v>
      </c>
      <c r="AB167" s="59" t="e">
        <f>VLOOKUP(A167,Enforcements!$C$7:$K$14,8,0)</f>
        <v>#N/A</v>
      </c>
      <c r="AC167" s="55" t="e">
        <f>VLOOKUP(A167,Enforcements!$C$7:$E$14,3,0)</f>
        <v>#N/A</v>
      </c>
      <c r="AD167" s="56" t="str">
        <f>IF(LEN(A167)=6,"0"&amp;A167,A167)</f>
        <v>0810-07</v>
      </c>
      <c r="AE167" s="85" t="str">
        <f>"aws s3 cp "&amp;s3_bucket&amp;"/RTDC"&amp;B167&amp;"/ "&amp;search_path&amp;"\RTDC"&amp;B167&amp;"\"&amp;TEXT(F167,"YYYY-MM-DD")&amp;" --exclude ""*"" --recursive --include ""*"&amp;TEXT(F167,"YYYYMMDD")&amp;"*"" &amp; """&amp;walkandungz&amp;""" "&amp;search_path&amp;"\RTDC"&amp;B167&amp;"\"&amp;TEXT(F167,"YYYY-MM-DD")
&amp;" &amp; "&amp;"aws s3 cp "&amp;s3_bucket&amp;"/RTDC"&amp;B167&amp;"/ "&amp;search_path&amp;"\RTDC"&amp;B167&amp;"\"&amp;TEXT(F167+1,"YYYY-MM-DD")&amp;" --exclude ""*"" --recursive --include ""*"&amp;TEXT(F167+1,"YYYYMMDD")&amp;"*"" &amp; """&amp;walkandungz&amp;""" "&amp;search_path&amp;"\RTDC"&amp;B167&amp;"\"&amp;TEXT(F167+1,"YYYY-MM-DD")</f>
        <v>aws s3 cp s3://rtdc.mdm.uploadarchive.raw/RTDC4052/ "%USERPROFILE%\AppData\Local\Temp\OnboardLogs"\RTDC4052\2017-02-07 --exclude "*" --recursive --include "*20170207*" &amp; "%USERPROFILE%\Documents\GitHub\mrs-test-scripts\Headless Mode &amp; Sideloading\WalkAndUnGZ.bat" "%USERPROFILE%\AppData\Local\Temp\OnboardLogs"\RTDC4052\2017-02-07 &amp; aws s3 cp s3://rtdc.mdm.uploadarchive.raw/RTDC4052/ "%USERPROFILE%\AppData\Local\Temp\OnboardLogs"\RTDC4052\2017-02-08 --exclude "*" --recursive --include "*20170208*" &amp; "%USERPROFILE%\Documents\GitHub\mrs-test-scripts\Headless Mode &amp; Sideloading\WalkAndUnGZ.bat" "%USERPROFILE%\AppData\Local\Temp\OnboardLogs"\RTDC4052\2017-02-08</v>
      </c>
      <c r="AF167" s="82" t="str">
        <f>astrogrep_path&amp;" /spath="&amp;search_path&amp;" /stypes=""app*"&amp;B167&amp;"*"&amp;TEXT(I167-utc_offset/24,"YYYYMMDD")&amp;"*"" /stext="" "&amp;TEXT(I167-utc_offset/24,"HH")&amp;search_regexp&amp;""" /e /r /s"</f>
        <v>"C:\Program Files (x86)\AstroGrep\AstroGrep.exe" /spath="%USERPROFILE%\AppData\Local\Temp\OnboardLogs" /stypes="app*4052*20170207*" /stext=" 15:.+((SYSTEM_STATE.+slice.+state.+changed )|(ment ac)|(multiple cpu faults)|(system.+state.+changed )|(\[timeout)|(PRM\|1\|D)|(kpr)|(kdp)|(\|lc)|(penalty))" /e /r /s</v>
      </c>
      <c r="AG167" s="1" t="str">
        <f>IFERROR(IF(VALUE(LEFT(AD167,2))&lt;=2,"EC",IF(OR(VALUE(LEFT(AD167,2))=8,VALUE(LEFT(AD167,2))=18),"NW","Other")),"Other")</f>
        <v>NW</v>
      </c>
      <c r="AH167" s="86" t="str">
        <f t="shared" si="9"/>
        <v>"%USERPROFILE%\Documents\GitHub\eaglep3\Utilities\RefineRTDCRunTimes.py" --tripid 810-07 --locoid 4052 --swversion DE.1.0.8.0 --startMP 300:58655 --initTime 2017-02-07T08:05:56 --startdatetime 2017-02-07T08:07:47 --delay 1 --endMP 204:708 --enddatetime 2017-02-07T08:25:07 --enforcementcount 0 &gt;&gt;C:\Users\stu\Documents\GitHub\eaglep3-reporting\EC\2017-02-07-refined-times.txt</v>
      </c>
      <c r="AI167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{"issue":{"subject":"","project_id":79,"tracker_id":40,"status_id":1,"priority_id":2,"assigned_to_id":23,"start_date":"2017-02-07","description":"","custom_fields":[{"id":1,"name":"Subdivision","value":"NW"},{"id":4,"name":"Milepost","value":"0.0708"},{"id":17,"name":"Train ID","value":"810-07"},{"id":16,"name":"Locomotive ID","value":"4052"},{"id":130,"name":"Impact","value":""},{"id":150,"name":"Time of Event (Mountain Time)","value":"08:25:07"},{"id":151,"name":"Denver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48"/>
      <c r="AK167" s="48"/>
      <c r="AL167" s="48"/>
      <c r="AM167" s="158" t="str">
        <f t="shared" si="11"/>
        <v>start /low /b %USERPROFILE%\Documents\GitHub\eaglep3\Utilities\DownloadLogsFromS3.py --loco 4052 --day 2017-02-07</v>
      </c>
      <c r="AN167" s="167" t="str">
        <f>"grep -SE -B400 ""CHR.+\|PRM\|1\|D.+(SWITCH|SIGNAL).+UNKNOWN"" "&amp;search_path&amp;"\RTDC"&amp;B167&amp;"\*"&amp;B167&amp;"*"&amp;TEXT(AVERAGE(F167,I167)-utc_offset/24,"YYYYMMDD")&amp;"*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"%USERPROFILE%\AppData\Local\Temp\OnboardLogs"\RTDC4052\*4052*20170207* | grep -SE "(Enforcement Action)|(\[TIMEOUT)|(CHR.+\|PRM\|1\|D.+(SWITCH|SIGNAL).+UNKNOWN)" - &gt;&gt; 2017-02-07-UncaughtWiMAX.txt</v>
      </c>
    </row>
    <row r="168" spans="1:91" s="20" customFormat="1" x14ac:dyDescent="0.25">
      <c r="A168" s="33" t="s">
        <v>554</v>
      </c>
      <c r="B168" s="7">
        <v>4027</v>
      </c>
      <c r="C168" s="21" t="s">
        <v>193</v>
      </c>
      <c r="D168" s="21" t="s">
        <v>821</v>
      </c>
      <c r="E168" s="13">
        <v>42773.343657407408</v>
      </c>
      <c r="F168" s="13">
        <v>42773.348101851851</v>
      </c>
      <c r="G168" s="7">
        <v>1</v>
      </c>
      <c r="H168" s="21" t="s">
        <v>822</v>
      </c>
      <c r="I168" s="13">
        <v>42773.357604166667</v>
      </c>
      <c r="J168" s="7">
        <v>0</v>
      </c>
      <c r="K168" s="98" t="str">
        <f>IF(ISEVEN(B168),(B168-1)&amp;"/"&amp;B168,B168&amp;"/"&amp;(B168+1))</f>
        <v>4027/4028</v>
      </c>
      <c r="L168" s="21" t="str">
        <f>VLOOKUP(A168,'Trips&amp;Operators'!$C$1:$G$99999,5,FALSE)</f>
        <v>BROWN JACOB</v>
      </c>
      <c r="M168" s="6">
        <f>I168-F168</f>
        <v>9.5023148169275373E-3</v>
      </c>
      <c r="N168" s="7">
        <f>24*60*SUM($M168:$M168)</f>
        <v>13.683333336375654</v>
      </c>
      <c r="O168" s="7"/>
      <c r="P168" s="7"/>
      <c r="Q168" s="22"/>
      <c r="R168" s="22"/>
      <c r="S168" s="31">
        <f>SUM(U168:U168)/IF(AG168="EC",12,1)</f>
        <v>1</v>
      </c>
      <c r="T168" s="46" t="str">
        <f>IF(ISEVEN(LEFT(AD168,4)),"Southbound","NorthBound")</f>
        <v>NorthBound</v>
      </c>
      <c r="U168" s="190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191" t="str">
        <f>"https://d0f6bd738d7f1b3e5a7ca70fe4ff75f0.us-east-1.aws.found.io/app/kibana#/discover/Steve-Slow-Train-Analysis-(2080s-and-2083s)?_g="&amp;"(refreshInterval:(display:Off,pause:!f,section:0,value:0),time:(from:'"&amp;TEXT(E168-1/24,"yyyy-MM-DDThh:mm:ss")&amp;utc_offset&amp;"00"&amp;"',mode:absolute,to:'"&amp;TEXT(I168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168&amp;"%22')),sort:!(Time.ISO8601,asc))"</f>
        <v>https://d0f6bd738d7f1b3e5a7ca70fe4ff75f0.us-east-1.aws.found.io/app/kibana#/discover/Steve-Slow-Train-Analysis-(2080s-and-2083s)?_g=(refreshInterval:(display:Off,pause:!f,section:0,value:0),time:(from:'2017-02-07T07:14:52-0700',mode:absolute,to:'2017-02-07T09:34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68" s="192" t="str">
        <f>IF(AA168&lt;IF(AG168="EC",23,5.65),"Y","N")</f>
        <v>N</v>
      </c>
      <c r="X168" s="192">
        <f>VALUE(LEFT(AD168,4))-VALUE(LEFT(AD167,4))</f>
        <v>1</v>
      </c>
      <c r="Y168" s="62">
        <f>RIGHT(D168,LEN(D168)-4)/10000</f>
        <v>0.1042</v>
      </c>
      <c r="Z168" s="62">
        <f>RIGHT(H168,LEN(H168)-4)/10000</f>
        <v>5.8973000000000004</v>
      </c>
      <c r="AA168" s="62">
        <f>ABS(Z168-Y168)</f>
        <v>5.7931000000000008</v>
      </c>
      <c r="AB168" s="59" t="e">
        <f>VLOOKUP(A168,Enforcements!$C$7:$K$14,8,0)</f>
        <v>#N/A</v>
      </c>
      <c r="AC168" s="55" t="e">
        <f>VLOOKUP(A168,Enforcements!$C$7:$E$14,3,0)</f>
        <v>#N/A</v>
      </c>
      <c r="AD168" s="56" t="str">
        <f>IF(LEN(A168)=6,"0"&amp;A168,A168)</f>
        <v>0811-07</v>
      </c>
      <c r="AE168" s="85" t="str">
        <f>"aws s3 cp "&amp;s3_bucket&amp;"/RTDC"&amp;B168&amp;"/ "&amp;search_path&amp;"\RTDC"&amp;B168&amp;"\"&amp;TEXT(F168,"YYYY-MM-DD")&amp;" --exclude ""*"" --recursive --include ""*"&amp;TEXT(F168,"YYYYMMDD")&amp;"*"" &amp; """&amp;walkandungz&amp;""" "&amp;search_path&amp;"\RTDC"&amp;B168&amp;"\"&amp;TEXT(F168,"YYYY-MM-DD")
&amp;" &amp; "&amp;"aws s3 cp "&amp;s3_bucket&amp;"/RTDC"&amp;B168&amp;"/ "&amp;search_path&amp;"\RTDC"&amp;B168&amp;"\"&amp;TEXT(F168+1,"YYYY-MM-DD")&amp;" --exclude ""*"" --recursive --include ""*"&amp;TEXT(F168+1,"YYYYMMDD")&amp;"*"" &amp; """&amp;walkandungz&amp;""" "&amp;search_path&amp;"\RTDC"&amp;B168&amp;"\"&amp;TEXT(F168+1,"YYYY-MM-DD")</f>
        <v>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 &amp; 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</v>
      </c>
      <c r="AF168" s="82" t="str">
        <f>astrogrep_path&amp;" /spath="&amp;search_path&amp;" /stypes=""app*"&amp;B168&amp;"*"&amp;TEXT(I168-utc_offset/24,"YYYYMMDD")&amp;"*"" /stext="" "&amp;TEXT(I168-utc_offset/24,"HH")&amp;search_regexp&amp;""" /e /r /s"</f>
        <v>"C:\Program Files (x86)\AstroGrep\AstroGrep.exe" /spath="%USERPROFILE%\AppData\Local\Temp\OnboardLogs" /stypes="app*4027*20170207*" /stext=" 15:.+((SYSTEM_STATE.+slice.+state.+changed )|(ment ac)|(multiple cpu faults)|(system.+state.+changed )|(\[timeout)|(PRM\|1\|D)|(kpr)|(kdp)|(\|lc)|(penalty))" /e /r /s</v>
      </c>
      <c r="AG168" s="1" t="str">
        <f>IFERROR(IF(VALUE(LEFT(AD168,2))&lt;=2,"EC",IF(OR(VALUE(LEFT(AD168,2))=8,VALUE(LEFT(AD168,2))=18),"NW","Other")),"Other")</f>
        <v>NW</v>
      </c>
      <c r="AH168" s="86" t="str">
        <f t="shared" si="9"/>
        <v>"%USERPROFILE%\Documents\GitHub\eaglep3\Utilities\RefineRTDCRunTimes.py" --tripid 811-07 --locoid 4027 --swversion DE.1.0.8.0 --startMP 204:1042 --initTime 2017-02-07T08:14:52 --startdatetime 2017-02-07T08:21:16 --delay 1 --endMP 300:58973 --enddatetime 2017-02-07T08:34:57 --enforcementcount 0 &gt;&gt;C:\Users\stu\Documents\GitHub\eaglep3-reporting\EC\2017-02-07-refined-times.txt</v>
      </c>
      <c r="AI168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{"issue":{"subject":"","project_id":79,"tracker_id":40,"status_id":1,"priority_id":2,"assigned_to_id":23,"start_date":"2017-02-07","description":"","custom_fields":[{"id":1,"name":"Subdivision","value":"NW"},{"id":4,"name":"Milepost","value":"5.8973"},{"id":17,"name":"Train ID","value":"811-07"},{"id":16,"name":"Locomotive ID","value":"4027"},{"id":130,"name":"Impact","value":""},{"id":150,"name":"Time of Event (Mountain Time)","value":"08:34:57"},{"id":151,"name":"Denver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48"/>
      <c r="AK168" s="48"/>
      <c r="AL168" s="48"/>
      <c r="AM168" s="158" t="str">
        <f t="shared" si="11"/>
        <v>start /low /b %USERPROFILE%\Documents\GitHub\eaglep3\Utilities\DownloadLogsFromS3.py --loco 4027 --day 2017-02-07</v>
      </c>
      <c r="AN168" s="167" t="str">
        <f>"grep -SE -B400 ""CHR.+\|PRM\|1\|D.+(SWITCH|SIGNAL).+UNKNOWN"" "&amp;search_path&amp;"\RTDC"&amp;B168&amp;"\*"&amp;B168&amp;"*"&amp;TEXT(AVERAGE(F168,I168)-utc_offset/24,"YYYYMMDD")&amp;"*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"%USERPROFILE%\AppData\Local\Temp\OnboardLogs"\RTDC4027\*4027*20170207* | grep -SE "(Enforcement Action)|(\[TIMEOUT)|(CHR.+\|PRM\|1\|D.+(SWITCH|SIGNAL).+UNKNOWN)" - &gt;&gt; 2017-02-07-UncaughtWiMAX.txt</v>
      </c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3" t="s">
        <v>558</v>
      </c>
      <c r="B169" s="7">
        <v>4028</v>
      </c>
      <c r="C169" s="21" t="s">
        <v>193</v>
      </c>
      <c r="D169" s="21" t="s">
        <v>823</v>
      </c>
      <c r="E169" s="13">
        <v>42773.358483796299</v>
      </c>
      <c r="F169" s="13">
        <v>42773.359594907408</v>
      </c>
      <c r="G169" s="7">
        <v>0</v>
      </c>
      <c r="H169" s="21" t="s">
        <v>824</v>
      </c>
      <c r="I169" s="13">
        <v>42773.371678240743</v>
      </c>
      <c r="J169" s="7">
        <v>0</v>
      </c>
      <c r="K169" s="98" t="str">
        <f>IF(ISEVEN(B169),(B169-1)&amp;"/"&amp;B169,B169&amp;"/"&amp;(B169+1))</f>
        <v>4027/4028</v>
      </c>
      <c r="L169" s="21" t="str">
        <f>VLOOKUP(A169,'Trips&amp;Operators'!$C$1:$G$99999,5,FALSE)</f>
        <v>BROWN JACOB</v>
      </c>
      <c r="M169" s="6">
        <f>I169-F169</f>
        <v>1.2083333334885538E-2</v>
      </c>
      <c r="N169" s="7">
        <f>24*60*SUM($M169:$M169)</f>
        <v>17.400000002235174</v>
      </c>
      <c r="O169" s="7"/>
      <c r="P169" s="7"/>
      <c r="Q169" s="22"/>
      <c r="R169" s="22"/>
      <c r="S169" s="31">
        <f>SUM(U169:U169)/IF(AG169="EC",12,1)</f>
        <v>1</v>
      </c>
      <c r="T169" s="46" t="str">
        <f>IF(ISEVEN(LEFT(AD169,4)),"Southbound","NorthBound")</f>
        <v>Southbound</v>
      </c>
      <c r="U169" s="190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191" t="str">
        <f>"https://d0f6bd738d7f1b3e5a7ca70fe4ff75f0.us-east-1.aws.found.io/app/kibana#/discover/Steve-Slow-Train-Analysis-(2080s-and-2083s)?_g="&amp;"(refreshInterval:(display:Off,pause:!f,section:0,value:0),time:(from:'"&amp;TEXT(E169-1/24,"yyyy-MM-DDThh:mm:ss")&amp;utc_offset&amp;"00"&amp;"',mode:absolute,to:'"&amp;TEXT(I169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169&amp;"%22')),sort:!(Time.ISO8601,asc))"</f>
        <v>https://d0f6bd738d7f1b3e5a7ca70fe4ff75f0.us-east-1.aws.found.io/app/kibana#/discover/Steve-Slow-Train-Analysis-(2080s-and-2083s)?_g=(refreshInterval:(display:Off,pause:!f,section:0,value:0),time:(from:'2017-02-07T07:36:13-0700',mode:absolute,to:'2017-02-07T09:55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69" s="192" t="str">
        <f>IF(AA169&lt;IF(AG169="EC",23,5.65),"Y","N")</f>
        <v>N</v>
      </c>
      <c r="X169" s="192">
        <f>VALUE(LEFT(AD169,4))-VALUE(LEFT(AD168,4))</f>
        <v>1</v>
      </c>
      <c r="Y169" s="62">
        <f>RIGHT(D169,LEN(D169)-4)/10000</f>
        <v>5.8658000000000001</v>
      </c>
      <c r="Z169" s="62">
        <f>RIGHT(H169,LEN(H169)-4)/10000</f>
        <v>7.22E-2</v>
      </c>
      <c r="AA169" s="62">
        <f>ABS(Z169-Y169)</f>
        <v>5.7936000000000005</v>
      </c>
      <c r="AB169" s="59" t="e">
        <f>VLOOKUP(A169,Enforcements!$C$7:$K$14,8,0)</f>
        <v>#N/A</v>
      </c>
      <c r="AC169" s="55" t="e">
        <f>VLOOKUP(A169,Enforcements!$C$7:$E$14,3,0)</f>
        <v>#N/A</v>
      </c>
      <c r="AD169" s="56" t="str">
        <f>IF(LEN(A169)=6,"0"&amp;A169,A169)</f>
        <v>0812-07</v>
      </c>
      <c r="AE169" s="85" t="str">
        <f>"aws s3 cp "&amp;s3_bucket&amp;"/RTDC"&amp;B169&amp;"/ "&amp;search_path&amp;"\RTDC"&amp;B169&amp;"\"&amp;TEXT(F169,"YYYY-MM-DD")&amp;" --exclude ""*"" --recursive --include ""*"&amp;TEXT(F169,"YYYYMMDD")&amp;"*"" &amp; """&amp;walkandungz&amp;""" "&amp;search_path&amp;"\RTDC"&amp;B169&amp;"\"&amp;TEXT(F169,"YYYY-MM-DD")
&amp;" &amp; "&amp;"aws s3 cp "&amp;s3_bucket&amp;"/RTDC"&amp;B169&amp;"/ "&amp;search_path&amp;"\RTDC"&amp;B169&amp;"\"&amp;TEXT(F169+1,"YYYY-MM-DD")&amp;" --exclude ""*"" --recursive --include ""*"&amp;TEXT(F169+1,"YYYYMMDD")&amp;"*"" &amp; """&amp;walkandungz&amp;""" "&amp;search_path&amp;"\RTDC"&amp;B169&amp;"\"&amp;TEXT(F169+1,"YYYY-MM-DD")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AF169" s="82" t="str">
        <f>astrogrep_path&amp;" /spath="&amp;search_path&amp;" /stypes=""app*"&amp;B169&amp;"*"&amp;TEXT(I169-utc_offset/24,"YYYYMMDD")&amp;"*"" /stext="" "&amp;TEXT(I169-utc_offset/24,"HH")&amp;search_regexp&amp;""" /e /r /s"</f>
        <v>"C:\Program Files (x86)\AstroGrep\AstroGrep.exe" /spath="%USERPROFILE%\AppData\Local\Temp\OnboardLogs" /stypes="app*4028*20170207*" /stext=" 15:.+((SYSTEM_STATE.+slice.+state.+changed )|(ment ac)|(multiple cpu faults)|(system.+state.+changed )|(\[timeout)|(PRM\|1\|D)|(kpr)|(kdp)|(\|lc)|(penalty))" /e /r /s</v>
      </c>
      <c r="AG169" s="1" t="str">
        <f>IFERROR(IF(VALUE(LEFT(AD169,2))&lt;=2,"EC",IF(OR(VALUE(LEFT(AD169,2))=8,VALUE(LEFT(AD169,2))=18),"NW","Other")),"Other")</f>
        <v>NW</v>
      </c>
      <c r="AH169" s="86" t="str">
        <f t="shared" si="9"/>
        <v>"%USERPROFILE%\Documents\GitHub\eaglep3\Utilities\RefineRTDCRunTimes.py" --tripid 812-07 --locoid 4028 --swversion DE.1.0.8.0 --startMP 300:58658 --initTime 2017-02-07T08:36:13 --startdatetime 2017-02-07T08:37:49 --delay 0 --endMP 204:722 --enddatetime 2017-02-07T08:55:13 --enforcementcount 0 &gt;&gt;C:\Users\stu\Documents\GitHub\eaglep3-reporting\EC\2017-02-07-refined-times.txt</v>
      </c>
      <c r="AI169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{"issue":{"subject":"","project_id":79,"tracker_id":40,"status_id":1,"priority_id":2,"assigned_to_id":23,"start_date":"2017-02-07","description":"","custom_fields":[{"id":1,"name":"Subdivision","value":"NW"},{"id":4,"name":"Milepost","value":"0.0722"},{"id":17,"name":"Train ID","value":"812-07"},{"id":16,"name":"Locomotive ID","value":"4028"},{"id":130,"name":"Impact","value":""},{"id":150,"name":"Time of Event (Mountain Time)","value":"08:55:13"},{"id":151,"name":"Denver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48"/>
      <c r="AK169" s="48"/>
      <c r="AL169" s="48"/>
      <c r="AM169" s="158" t="str">
        <f t="shared" si="11"/>
        <v>start /low /b %USERPROFILE%\Documents\GitHub\eaglep3\Utilities\DownloadLogsFromS3.py --loco 4028 --day 2017-02-07</v>
      </c>
      <c r="AN169" s="167" t="str">
        <f>"grep -SE -B400 ""CHR.+\|PRM\|1\|D.+(SWITCH|SIGNAL).+UNKNOWN"" "&amp;search_path&amp;"\RTDC"&amp;B169&amp;"\*"&amp;B169&amp;"*"&amp;TEXT(AVERAGE(F169,I169)-utc_offset/24,"YYYYMMDD")&amp;"*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"%USERPROFILE%\AppData\Local\Temp\OnboardLogs"\RTDC4028\*4028*20170207* | grep -SE "(Enforcement Action)|(\[TIMEOUT)|(CHR.+\|PRM\|1\|D.+(SWITCH|SIGNAL).+UNKNOWN)" - &gt;&gt; 2017-02-07-UncaughtWiMAX.txt</v>
      </c>
    </row>
    <row r="170" spans="1:91" x14ac:dyDescent="0.25">
      <c r="A170" s="33" t="s">
        <v>563</v>
      </c>
      <c r="B170" s="7">
        <v>4027</v>
      </c>
      <c r="C170" s="21" t="s">
        <v>193</v>
      </c>
      <c r="D170" s="21" t="s">
        <v>825</v>
      </c>
      <c r="E170" s="13">
        <v>42773.386990740742</v>
      </c>
      <c r="F170" s="13">
        <v>42773.389756944445</v>
      </c>
      <c r="G170" s="7">
        <v>1</v>
      </c>
      <c r="H170" s="21" t="s">
        <v>819</v>
      </c>
      <c r="I170" s="13">
        <v>42773.398958333331</v>
      </c>
      <c r="J170" s="7">
        <v>0</v>
      </c>
      <c r="K170" s="98" t="str">
        <f>IF(ISEVEN(B170),(B170-1)&amp;"/"&amp;B170,B170&amp;"/"&amp;(B170+1))</f>
        <v>4027/4028</v>
      </c>
      <c r="L170" s="21" t="str">
        <f>VLOOKUP(A170,'Trips&amp;Operators'!$C$1:$G$99999,5,FALSE)</f>
        <v>BROWN JACOB</v>
      </c>
      <c r="M170" s="6">
        <f>I170-F170</f>
        <v>9.2013888861401938E-3</v>
      </c>
      <c r="N170" s="7">
        <f>24*60*SUM($M170:$M170)</f>
        <v>13.249999996041879</v>
      </c>
      <c r="O170" s="7"/>
      <c r="P170" s="7"/>
      <c r="Q170" s="22"/>
      <c r="R170" s="22"/>
      <c r="S170" s="31">
        <f>SUM(U170:U170)/IF(AG170="EC",12,1)</f>
        <v>1</v>
      </c>
      <c r="T170" s="46" t="str">
        <f>IF(ISEVEN(LEFT(AD170,4)),"Southbound","NorthBound")</f>
        <v>NorthBound</v>
      </c>
      <c r="U170" s="190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191" t="str">
        <f>"https://d0f6bd738d7f1b3e5a7ca70fe4ff75f0.us-east-1.aws.found.io/app/kibana#/discover/Steve-Slow-Train-Analysis-(2080s-and-2083s)?_g="&amp;"(refreshInterval:(display:Off,pause:!f,section:0,value:0),time:(from:'"&amp;TEXT(E170-1/24,"yyyy-MM-DDThh:mm:ss")&amp;utc_offset&amp;"00"&amp;"',mode:absolute,to:'"&amp;TEXT(I170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170&amp;"%22')),sort:!(Time.ISO8601,asc))"</f>
        <v>https://d0f6bd738d7f1b3e5a7ca70fe4ff75f0.us-east-1.aws.found.io/app/kibana#/discover/Steve-Slow-Train-Analysis-(2080s-and-2083s)?_g=(refreshInterval:(display:Off,pause:!f,section:0,value:0),time:(from:'2017-02-07T08:17:16-0700',mode:absolute,to:'2017-02-07T10:34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0" s="192" t="str">
        <f>IF(AA170&lt;IF(AG170="EC",23,5.65),"Y","N")</f>
        <v>N</v>
      </c>
      <c r="X170" s="192">
        <f>VALUE(LEFT(AD170,4))-VALUE(LEFT(AD169,4))</f>
        <v>1</v>
      </c>
      <c r="Y170" s="62">
        <f>RIGHT(D170,LEN(D170)-4)/10000</f>
        <v>0.1023</v>
      </c>
      <c r="Z170" s="62">
        <f>RIGHT(H170,LEN(H170)-4)/10000</f>
        <v>5.8975</v>
      </c>
      <c r="AA170" s="62">
        <f>ABS(Z170-Y170)</f>
        <v>5.7952000000000004</v>
      </c>
      <c r="AB170" s="59" t="e">
        <f>VLOOKUP(A170,Enforcements!$C$7:$K$14,8,0)</f>
        <v>#N/A</v>
      </c>
      <c r="AC170" s="55" t="e">
        <f>VLOOKUP(A170,Enforcements!$C$7:$E$14,3,0)</f>
        <v>#N/A</v>
      </c>
      <c r="AD170" s="56" t="str">
        <f>IF(LEN(A170)=6,"0"&amp;A170,A170)</f>
        <v>0813-07</v>
      </c>
      <c r="AE170" s="85" t="str">
        <f>"aws s3 cp "&amp;s3_bucket&amp;"/RTDC"&amp;B170&amp;"/ "&amp;search_path&amp;"\RTDC"&amp;B170&amp;"\"&amp;TEXT(F170,"YYYY-MM-DD")&amp;" --exclude ""*"" --recursive --include ""*"&amp;TEXT(F170,"YYYYMMDD")&amp;"*"" &amp; """&amp;walkandungz&amp;""" "&amp;search_path&amp;"\RTDC"&amp;B170&amp;"\"&amp;TEXT(F170,"YYYY-MM-DD")
&amp;" &amp; "&amp;"aws s3 cp "&amp;s3_bucket&amp;"/RTDC"&amp;B170&amp;"/ "&amp;search_path&amp;"\RTDC"&amp;B170&amp;"\"&amp;TEXT(F170+1,"YYYY-MM-DD")&amp;" --exclude ""*"" --recursive --include ""*"&amp;TEXT(F170+1,"YYYYMMDD")&amp;"*"" &amp; """&amp;walkandungz&amp;""" "&amp;search_path&amp;"\RTDC"&amp;B170&amp;"\"&amp;TEXT(F170+1,"YYYY-MM-DD")</f>
        <v>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 &amp; 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</v>
      </c>
      <c r="AF170" s="82" t="str">
        <f>astrogrep_path&amp;" /spath="&amp;search_path&amp;" /stypes=""app*"&amp;B170&amp;"*"&amp;TEXT(I170-utc_offset/24,"YYYYMMDD")&amp;"*"" /stext="" "&amp;TEXT(I170-utc_offset/24,"HH")&amp;search_regexp&amp;""" /e /r /s"</f>
        <v>"C:\Program Files (x86)\AstroGrep\AstroGrep.exe" /spath="%USERPROFILE%\AppData\Local\Temp\OnboardLogs" /stypes="app*4027*20170207*" /stext=" 16:.+((SYSTEM_STATE.+slice.+state.+changed )|(ment ac)|(multiple cpu faults)|(system.+state.+changed )|(\[timeout)|(PRM\|1\|D)|(kpr)|(kdp)|(\|lc)|(penalty))" /e /r /s</v>
      </c>
      <c r="AG170" s="1" t="str">
        <f>IFERROR(IF(VALUE(LEFT(AD170,2))&lt;=2,"EC",IF(OR(VALUE(LEFT(AD170,2))=8,VALUE(LEFT(AD170,2))=18),"NW","Other")),"Other")</f>
        <v>NW</v>
      </c>
      <c r="AH170" s="86" t="str">
        <f t="shared" si="9"/>
        <v>"%USERPROFILE%\Documents\GitHub\eaglep3\Utilities\RefineRTDCRunTimes.py" --tripid 813-07 --locoid 4027 --swversion DE.1.0.8.0 --startMP 204:1023 --initTime 2017-02-07T09:17:16 --startdatetime 2017-02-07T09:21:15 --delay 1 --endMP 300:58975 --enddatetime 2017-02-07T09:34:30 --enforcementcount 0 &gt;&gt;C:\Users\stu\Documents\GitHub\eaglep3-reporting\EC\2017-02-07-refined-times.txt</v>
      </c>
      <c r="AI170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{"issue":{"subject":"","project_id":79,"tracker_id":40,"status_id":1,"priority_id":2,"assigned_to_id":23,"start_date":"2017-02-07","description":"","custom_fields":[{"id":1,"name":"Subdivision","value":"NW"},{"id":4,"name":"Milepost","value":"5.8975"},{"id":17,"name":"Train ID","value":"813-07"},{"id":16,"name":"Locomotive ID","value":"4027"},{"id":130,"name":"Impact","value":""},{"id":150,"name":"Time of Event (Mountain Time)","value":"09:34:30"},{"id":151,"name":"Denver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48"/>
      <c r="AK170" s="48"/>
      <c r="AL170" s="48"/>
      <c r="AM170" s="158" t="str">
        <f t="shared" si="11"/>
        <v>start /low /b %USERPROFILE%\Documents\GitHub\eaglep3\Utilities\DownloadLogsFromS3.py --loco 4027 --day 2017-02-07</v>
      </c>
      <c r="AN170" s="167" t="str">
        <f>"grep -SE -B400 ""CHR.+\|PRM\|1\|D.+(SWITCH|SIGNAL).+UNKNOWN"" "&amp;search_path&amp;"\RTDC"&amp;B170&amp;"\*"&amp;B170&amp;"*"&amp;TEXT(AVERAGE(F170,I170)-utc_offset/24,"YYYYMMDD")&amp;"*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"%USERPROFILE%\AppData\Local\Temp\OnboardLogs"\RTDC4027\*4027*20170207* | grep -SE "(Enforcement Action)|(\[TIMEOUT)|(CHR.+\|PRM\|1\|D.+(SWITCH|SIGNAL).+UNKNOWN)" - &gt;&gt; 2017-02-07-UncaughtWiMAX.txt</v>
      </c>
    </row>
    <row r="171" spans="1:91" x14ac:dyDescent="0.25">
      <c r="A171" s="33" t="s">
        <v>567</v>
      </c>
      <c r="B171" s="7">
        <v>4028</v>
      </c>
      <c r="C171" s="21" t="s">
        <v>193</v>
      </c>
      <c r="D171" s="21" t="s">
        <v>820</v>
      </c>
      <c r="E171" s="13">
        <v>42773.399756944447</v>
      </c>
      <c r="F171" s="13">
        <v>42773.400914351849</v>
      </c>
      <c r="G171" s="7">
        <v>1</v>
      </c>
      <c r="H171" s="21" t="s">
        <v>387</v>
      </c>
      <c r="I171" s="13">
        <v>42773.413229166668</v>
      </c>
      <c r="J171" s="7">
        <v>0</v>
      </c>
      <c r="K171" s="98" t="str">
        <f>IF(ISEVEN(B171),(B171-1)&amp;"/"&amp;B171,B171&amp;"/"&amp;(B171+1))</f>
        <v>4027/4028</v>
      </c>
      <c r="L171" s="21" t="str">
        <f>VLOOKUP(A171,'Trips&amp;Operators'!$C$1:$G$99999,5,FALSE)</f>
        <v>BROWN JACOB</v>
      </c>
      <c r="M171" s="6">
        <f>I171-F171</f>
        <v>1.2314814819546882E-2</v>
      </c>
      <c r="N171" s="7">
        <f>24*60*SUM($M171:$M171)</f>
        <v>17.73333334014751</v>
      </c>
      <c r="O171" s="7"/>
      <c r="P171" s="7"/>
      <c r="Q171" s="22"/>
      <c r="R171" s="22"/>
      <c r="S171" s="31">
        <f>SUM(U171:U171)/IF(AG171="EC",12,1)</f>
        <v>1</v>
      </c>
      <c r="T171" s="46" t="str">
        <f>IF(ISEVEN(LEFT(AD171,4)),"Southbound","NorthBound")</f>
        <v>Southbound</v>
      </c>
      <c r="U171" s="190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191" t="str">
        <f>"https://d0f6bd738d7f1b3e5a7ca70fe4ff75f0.us-east-1.aws.found.io/app/kibana#/discover/Steve-Slow-Train-Analysis-(2080s-and-2083s)?_g="&amp;"(refreshInterval:(display:Off,pause:!f,section:0,value:0),time:(from:'"&amp;TEXT(E171-1/24,"yyyy-MM-DDThh:mm:ss")&amp;utc_offset&amp;"00"&amp;"',mode:absolute,to:'"&amp;TEXT(I171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171&amp;"%22')),sort:!(Time.ISO8601,asc))"</f>
        <v>https://d0f6bd738d7f1b3e5a7ca70fe4ff75f0.us-east-1.aws.found.io/app/kibana#/discover/Steve-Slow-Train-Analysis-(2080s-and-2083s)?_g=(refreshInterval:(display:Off,pause:!f,section:0,value:0),time:(from:'2017-02-07T08:35:39-0700',mode:absolute,to:'2017-02-07T10:55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1" s="192" t="str">
        <f>IF(AA171&lt;IF(AG171="EC",23,5.65),"Y","N")</f>
        <v>N</v>
      </c>
      <c r="X171" s="192">
        <f>VALUE(LEFT(AD171,4))-VALUE(LEFT(AD170,4))</f>
        <v>1</v>
      </c>
      <c r="Y171" s="62">
        <f>RIGHT(D171,LEN(D171)-4)/10000</f>
        <v>5.8654999999999999</v>
      </c>
      <c r="Z171" s="62">
        <f>RIGHT(H171,LEN(H171)-4)/10000</f>
        <v>7.2599999999999998E-2</v>
      </c>
      <c r="AA171" s="62">
        <f>ABS(Z171-Y171)</f>
        <v>5.7928999999999995</v>
      </c>
      <c r="AB171" s="59" t="e">
        <f>VLOOKUP(A171,Enforcements!$C$7:$K$14,8,0)</f>
        <v>#N/A</v>
      </c>
      <c r="AC171" s="55" t="e">
        <f>VLOOKUP(A171,Enforcements!$C$7:$E$14,3,0)</f>
        <v>#N/A</v>
      </c>
      <c r="AD171" s="56" t="str">
        <f>IF(LEN(A171)=6,"0"&amp;A171,A171)</f>
        <v>0814-07</v>
      </c>
      <c r="AE171" s="85" t="str">
        <f>"aws s3 cp "&amp;s3_bucket&amp;"/RTDC"&amp;B171&amp;"/ "&amp;search_path&amp;"\RTDC"&amp;B171&amp;"\"&amp;TEXT(F171,"YYYY-MM-DD")&amp;" --exclude ""*"" --recursive --include ""*"&amp;TEXT(F171,"YYYYMMDD")&amp;"*"" &amp; """&amp;walkandungz&amp;""" "&amp;search_path&amp;"\RTDC"&amp;B171&amp;"\"&amp;TEXT(F171,"YYYY-MM-DD")
&amp;" &amp; "&amp;"aws s3 cp "&amp;s3_bucket&amp;"/RTDC"&amp;B171&amp;"/ "&amp;search_path&amp;"\RTDC"&amp;B171&amp;"\"&amp;TEXT(F171+1,"YYYY-MM-DD")&amp;" --exclude ""*"" --recursive --include ""*"&amp;TEXT(F171+1,"YYYYMMDD")&amp;"*"" &amp; """&amp;walkandungz&amp;""" "&amp;search_path&amp;"\RTDC"&amp;B171&amp;"\"&amp;TEXT(F171+1,"YYYY-MM-DD")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AF171" s="82" t="str">
        <f>astrogrep_path&amp;" /spath="&amp;search_path&amp;" /stypes=""app*"&amp;B171&amp;"*"&amp;TEXT(I171-utc_offset/24,"YYYYMMDD")&amp;"*"" /stext="" "&amp;TEXT(I171-utc_offset/24,"HH")&amp;search_regexp&amp;""" /e /r /s"</f>
        <v>"C:\Program Files (x86)\AstroGrep\AstroGrep.exe" /spath="%USERPROFILE%\AppData\Local\Temp\OnboardLogs" /stypes="app*4028*20170207*" /stext=" 16:.+((SYSTEM_STATE.+slice.+state.+changed )|(ment ac)|(multiple cpu faults)|(system.+state.+changed )|(\[timeout)|(PRM\|1\|D)|(kpr)|(kdp)|(\|lc)|(penalty))" /e /r /s</v>
      </c>
      <c r="AG171" s="1" t="str">
        <f>IFERROR(IF(VALUE(LEFT(AD171,2))&lt;=2,"EC",IF(OR(VALUE(LEFT(AD171,2))=8,VALUE(LEFT(AD171,2))=18),"NW","Other")),"Other")</f>
        <v>NW</v>
      </c>
      <c r="AH171" s="86" t="str">
        <f t="shared" si="9"/>
        <v>"%USERPROFILE%\Documents\GitHub\eaglep3\Utilities\RefineRTDCRunTimes.py" --tripid 814-07 --locoid 4028 --swversion DE.1.0.8.0 --startMP 300:58655 --initTime 2017-02-07T09:35:39 --startdatetime 2017-02-07T09:37:19 --delay 1 --endMP 204:726 --enddatetime 2017-02-07T09:55:03 --enforcementcount 0 &gt;&gt;C:\Users\stu\Documents\GitHub\eaglep3-reporting\EC\2017-02-07-refined-times.txt</v>
      </c>
      <c r="AI171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{"issue":{"subject":"","project_id":79,"tracker_id":40,"status_id":1,"priority_id":2,"assigned_to_id":23,"start_date":"2017-02-07","description":"","custom_fields":[{"id":1,"name":"Subdivision","value":"NW"},{"id":4,"name":"Milepost","value":"0.0726"},{"id":17,"name":"Train ID","value":"814-07"},{"id":16,"name":"Locomotive ID","value":"4028"},{"id":130,"name":"Impact","value":""},{"id":150,"name":"Time of Event (Mountain Time)","value":"09:55:03"},{"id":151,"name":"Denver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48"/>
      <c r="AK171" s="48"/>
      <c r="AL171" s="48"/>
      <c r="AM171" s="158" t="str">
        <f t="shared" si="11"/>
        <v>start /low /b %USERPROFILE%\Documents\GitHub\eaglep3\Utilities\DownloadLogsFromS3.py --loco 4028 --day 2017-02-07</v>
      </c>
      <c r="AN171" s="167" t="str">
        <f>"grep -SE -B400 ""CHR.+\|PRM\|1\|D.+(SWITCH|SIGNAL).+UNKNOWN"" "&amp;search_path&amp;"\RTDC"&amp;B171&amp;"\*"&amp;B171&amp;"*"&amp;TEXT(AVERAGE(F171,I171)-utc_offset/24,"YYYYMMDD")&amp;"*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"%USERPROFILE%\AppData\Local\Temp\OnboardLogs"\RTDC4028\*4028*20170207* | grep -SE "(Enforcement Action)|(\[TIMEOUT)|(CHR.+\|PRM\|1\|D.+(SWITCH|SIGNAL).+UNKNOWN)" - &gt;&gt; 2017-02-07-UncaughtWiMAX.txt</v>
      </c>
    </row>
    <row r="172" spans="1:91" x14ac:dyDescent="0.25">
      <c r="A172" s="33" t="s">
        <v>573</v>
      </c>
      <c r="B172" s="7">
        <v>4027</v>
      </c>
      <c r="C172" s="21" t="s">
        <v>193</v>
      </c>
      <c r="D172" s="21" t="s">
        <v>826</v>
      </c>
      <c r="E172" s="13">
        <v>42773.429236111115</v>
      </c>
      <c r="F172" s="13">
        <v>42773.431527777779</v>
      </c>
      <c r="G172" s="7">
        <v>1</v>
      </c>
      <c r="H172" s="21" t="s">
        <v>827</v>
      </c>
      <c r="I172" s="13">
        <v>42773.440694444442</v>
      </c>
      <c r="J172" s="7">
        <v>0</v>
      </c>
      <c r="K172" s="98" t="str">
        <f>IF(ISEVEN(B172),(B172-1)&amp;"/"&amp;B172,B172&amp;"/"&amp;(B172+1))</f>
        <v>4027/4028</v>
      </c>
      <c r="L172" s="21" t="str">
        <f>VLOOKUP(A172,'Trips&amp;Operators'!$C$1:$G$99999,5,FALSE)</f>
        <v>BROWN JACOB</v>
      </c>
      <c r="M172" s="6">
        <f>I172-F172</f>
        <v>9.1666666630771942E-3</v>
      </c>
      <c r="N172" s="7">
        <f>24*60*SUM($M172:$M172)</f>
        <v>13.19999999483116</v>
      </c>
      <c r="O172" s="7"/>
      <c r="P172" s="7"/>
      <c r="Q172" s="22"/>
      <c r="R172" s="22"/>
      <c r="S172" s="31">
        <f>SUM(U172:U172)/IF(AG172="EC",12,1)</f>
        <v>1</v>
      </c>
      <c r="T172" s="46" t="str">
        <f>IF(ISEVEN(LEFT(AD172,4)),"Southbound","NorthBound")</f>
        <v>NorthBound</v>
      </c>
      <c r="U172" s="190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191" t="str">
        <f>"https://d0f6bd738d7f1b3e5a7ca70fe4ff75f0.us-east-1.aws.found.io/app/kibana#/discover/Steve-Slow-Train-Analysis-(2080s-and-2083s)?_g="&amp;"(refreshInterval:(display:Off,pause:!f,section:0,value:0),time:(from:'"&amp;TEXT(E172-1/24,"yyyy-MM-DDThh:mm:ss")&amp;utc_offset&amp;"00"&amp;"',mode:absolute,to:'"&amp;TEXT(I172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172&amp;"%22')),sort:!(Time.ISO8601,asc))"</f>
        <v>https://d0f6bd738d7f1b3e5a7ca70fe4ff75f0.us-east-1.aws.found.io/app/kibana#/discover/Steve-Slow-Train-Analysis-(2080s-and-2083s)?_g=(refreshInterval:(display:Off,pause:!f,section:0,value:0),time:(from:'2017-02-07T09:18:06-0700',mode:absolute,to:'2017-02-07T11:34:36-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2" s="192" t="str">
        <f>IF(AA172&lt;IF(AG172="EC",23,5.65),"Y","N")</f>
        <v>N</v>
      </c>
      <c r="X172" s="192">
        <f>VALUE(LEFT(AD172,4))-VALUE(LEFT(AD171,4))</f>
        <v>1</v>
      </c>
      <c r="Y172" s="62">
        <f>RIGHT(D172,LEN(D172)-4)/10000</f>
        <v>0.1021</v>
      </c>
      <c r="Z172" s="62">
        <f>RIGHT(H172,LEN(H172)-4)/10000</f>
        <v>5.8998999999999997</v>
      </c>
      <c r="AA172" s="62">
        <f>ABS(Z172-Y172)</f>
        <v>5.7977999999999996</v>
      </c>
      <c r="AB172" s="59" t="e">
        <f>VLOOKUP(A172,Enforcements!$C$7:$K$14,8,0)</f>
        <v>#N/A</v>
      </c>
      <c r="AC172" s="55" t="e">
        <f>VLOOKUP(A172,Enforcements!$C$7:$E$14,3,0)</f>
        <v>#N/A</v>
      </c>
      <c r="AD172" s="56" t="str">
        <f>IF(LEN(A172)=6,"0"&amp;A172,A172)</f>
        <v>0815-07</v>
      </c>
      <c r="AE172" s="85" t="str">
        <f>"aws s3 cp "&amp;s3_bucket&amp;"/RTDC"&amp;B172&amp;"/ "&amp;search_path&amp;"\RTDC"&amp;B172&amp;"\"&amp;TEXT(F172,"YYYY-MM-DD")&amp;" --exclude ""*"" --recursive --include ""*"&amp;TEXT(F172,"YYYYMMDD")&amp;"*"" &amp; """&amp;walkandungz&amp;""" "&amp;search_path&amp;"\RTDC"&amp;B172&amp;"\"&amp;TEXT(F172,"YYYY-MM-DD")
&amp;" &amp; "&amp;"aws s3 cp "&amp;s3_bucket&amp;"/RTDC"&amp;B172&amp;"/ "&amp;search_path&amp;"\RTDC"&amp;B172&amp;"\"&amp;TEXT(F172+1,"YYYY-MM-DD")&amp;" --exclude ""*"" --recursive --include ""*"&amp;TEXT(F172+1,"YYYYMMDD")&amp;"*"" &amp; """&amp;walkandungz&amp;""" "&amp;search_path&amp;"\RTDC"&amp;B172&amp;"\"&amp;TEXT(F172+1,"YYYY-MM-DD")</f>
        <v>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 &amp; 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</v>
      </c>
      <c r="AF172" s="82" t="str">
        <f>astrogrep_path&amp;" /spath="&amp;search_path&amp;" /stypes=""app*"&amp;B172&amp;"*"&amp;TEXT(I172-utc_offset/24,"YYYYMMDD")&amp;"*"" /stext="" "&amp;TEXT(I172-utc_offset/24,"HH")&amp;search_regexp&amp;""" /e /r /s"</f>
        <v>"C:\Program Files (x86)\AstroGrep\AstroGrep.exe" /spath="%USERPROFILE%\AppData\Local\Temp\OnboardLogs" /stypes="app*4027*20170207*" /stext=" 17:.+((SYSTEM_STATE.+slice.+state.+changed )|(ment ac)|(multiple cpu faults)|(system.+state.+changed )|(\[timeout)|(PRM\|1\|D)|(kpr)|(kdp)|(\|lc)|(penalty))" /e /r /s</v>
      </c>
      <c r="AG172" s="1" t="str">
        <f>IFERROR(IF(VALUE(LEFT(AD172,2))&lt;=2,"EC",IF(OR(VALUE(LEFT(AD172,2))=8,VALUE(LEFT(AD172,2))=18),"NW","Other")),"Other")</f>
        <v>NW</v>
      </c>
      <c r="AH172" s="86" t="str">
        <f t="shared" si="9"/>
        <v>"%USERPROFILE%\Documents\GitHub\eaglep3\Utilities\RefineRTDCRunTimes.py" --tripid 815-07 --locoid 4027 --swversion DE.1.0.8.0 --startMP 204:1021 --initTime 2017-02-07T10:18:06 --startdatetime 2017-02-07T10:21:24 --delay 1 --endMP 300:58999 --enddatetime 2017-02-07T10:34:36 --enforcementcount 0 &gt;&gt;C:\Users\stu\Documents\GitHub\eaglep3-reporting\EC\2017-02-07-refined-times.txt</v>
      </c>
      <c r="AI172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{"issue":{"subject":"","project_id":79,"tracker_id":40,"status_id":1,"priority_id":2,"assigned_to_id":23,"start_date":"2017-02-07","description":"","custom_fields":[{"id":1,"name":"Subdivision","value":"NW"},{"id":4,"name":"Milepost","value":"5.8999"},{"id":17,"name":"Train ID","value":"815-07"},{"id":16,"name":"Locomotive ID","value":"4027"},{"id":130,"name":"Impact","value":""},{"id":150,"name":"Time of Event (Mountain Time)","value":"10:34:36"},{"id":151,"name":"Denver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48"/>
      <c r="AK172" s="48"/>
      <c r="AL172" s="48"/>
      <c r="AM172" s="158" t="str">
        <f t="shared" si="11"/>
        <v>start /low /b %USERPROFILE%\Documents\GitHub\eaglep3\Utilities\DownloadLogsFromS3.py --loco 4027 --day 2017-02-07</v>
      </c>
      <c r="AN172" s="167" t="str">
        <f>"grep -SE -B400 ""CHR.+\|PRM\|1\|D.+(SWITCH|SIGNAL).+UNKNOWN"" "&amp;search_path&amp;"\RTDC"&amp;B172&amp;"\*"&amp;B172&amp;"*"&amp;TEXT(AVERAGE(F172,I172)-utc_offset/24,"YYYYMMDD")&amp;"*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"%USERPROFILE%\AppData\Local\Temp\OnboardLogs"\RTDC4027\*4027*20170207* | grep -SE "(Enforcement Action)|(\[TIMEOUT)|(CHR.+\|PRM\|1\|D.+(SWITCH|SIGNAL).+UNKNOWN)" - &gt;&gt; 2017-02-07-UncaughtWiMAX.txt</v>
      </c>
    </row>
    <row r="173" spans="1:91" x14ac:dyDescent="0.25">
      <c r="A173" s="33" t="s">
        <v>576</v>
      </c>
      <c r="B173" s="7">
        <v>4028</v>
      </c>
      <c r="C173" s="21" t="s">
        <v>193</v>
      </c>
      <c r="D173" s="21" t="s">
        <v>828</v>
      </c>
      <c r="E173" s="13">
        <v>42773.441874999997</v>
      </c>
      <c r="F173" s="13">
        <v>42773.442997685182</v>
      </c>
      <c r="G173" s="7">
        <v>1</v>
      </c>
      <c r="H173" s="21" t="s">
        <v>829</v>
      </c>
      <c r="I173" s="13">
        <v>42773.455069444448</v>
      </c>
      <c r="J173" s="7">
        <v>0</v>
      </c>
      <c r="K173" s="98" t="str">
        <f>IF(ISEVEN(B173),(B173-1)&amp;"/"&amp;B173,B173&amp;"/"&amp;(B173+1))</f>
        <v>4027/4028</v>
      </c>
      <c r="L173" s="21" t="str">
        <f>VLOOKUP(A173,'Trips&amp;Operators'!$C$1:$G$99999,5,FALSE)</f>
        <v>BROWN JACOB</v>
      </c>
      <c r="M173" s="6">
        <f>I173-F173</f>
        <v>1.2071759265381843E-2</v>
      </c>
      <c r="N173" s="7">
        <f>24*60*SUM($M173:$M173)</f>
        <v>17.383333342149854</v>
      </c>
      <c r="O173" s="7"/>
      <c r="P173" s="7"/>
      <c r="Q173" s="22"/>
      <c r="R173" s="22"/>
      <c r="S173" s="31">
        <f>SUM(U173:U173)/IF(AG173="EC",12,1)</f>
        <v>1</v>
      </c>
      <c r="T173" s="46" t="str">
        <f>IF(ISEVEN(LEFT(AD173,4)),"Southbound","NorthBound")</f>
        <v>Southbound</v>
      </c>
      <c r="U173" s="190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191" t="str">
        <f>"https://d0f6bd738d7f1b3e5a7ca70fe4ff75f0.us-east-1.aws.found.io/app/kibana#/discover/Steve-Slow-Train-Analysis-(2080s-and-2083s)?_g="&amp;"(refreshInterval:(display:Off,pause:!f,section:0,value:0),time:(from:'"&amp;TEXT(E173-1/24,"yyyy-MM-DDThh:mm:ss")&amp;utc_offset&amp;"00"&amp;"',mode:absolute,to:'"&amp;TEXT(I173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173&amp;"%22')),sort:!(Time.ISO8601,asc))"</f>
        <v>https://d0f6bd738d7f1b3e5a7ca70fe4ff75f0.us-east-1.aws.found.io/app/kibana#/discover/Steve-Slow-Train-Analysis-(2080s-and-2083s)?_g=(refreshInterval:(display:Off,pause:!f,section:0,value:0),time:(from:'2017-02-07T09:36:18-0700',mode:absolute,to:'2017-02-07T11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3" s="192" t="str">
        <f>IF(AA173&lt;IF(AG173="EC",23,5.65),"Y","N")</f>
        <v>N</v>
      </c>
      <c r="X173" s="192">
        <f>VALUE(LEFT(AD173,4))-VALUE(LEFT(AD172,4))</f>
        <v>1</v>
      </c>
      <c r="Y173" s="62">
        <f>RIGHT(D173,LEN(D173)-4)/10000</f>
        <v>5.8678999999999997</v>
      </c>
      <c r="Z173" s="62">
        <f>RIGHT(H173,LEN(H173)-4)/10000</f>
        <v>7.2700000000000001E-2</v>
      </c>
      <c r="AA173" s="62">
        <f>ABS(Z173-Y173)</f>
        <v>5.7951999999999995</v>
      </c>
      <c r="AB173" s="59" t="e">
        <f>VLOOKUP(A173,Enforcements!$C$7:$K$14,8,0)</f>
        <v>#N/A</v>
      </c>
      <c r="AC173" s="55" t="e">
        <f>VLOOKUP(A173,Enforcements!$C$7:$E$14,3,0)</f>
        <v>#N/A</v>
      </c>
      <c r="AD173" s="56" t="str">
        <f>IF(LEN(A173)=6,"0"&amp;A173,A173)</f>
        <v>0816-07</v>
      </c>
      <c r="AE173" s="85" t="str">
        <f>"aws s3 cp "&amp;s3_bucket&amp;"/RTDC"&amp;B173&amp;"/ "&amp;search_path&amp;"\RTDC"&amp;B173&amp;"\"&amp;TEXT(F173,"YYYY-MM-DD")&amp;" --exclude ""*"" --recursive --include ""*"&amp;TEXT(F173,"YYYYMMDD")&amp;"*"" &amp; """&amp;walkandungz&amp;""" "&amp;search_path&amp;"\RTDC"&amp;B173&amp;"\"&amp;TEXT(F173,"YYYY-MM-DD")
&amp;" &amp; "&amp;"aws s3 cp "&amp;s3_bucket&amp;"/RTDC"&amp;B173&amp;"/ "&amp;search_path&amp;"\RTDC"&amp;B173&amp;"\"&amp;TEXT(F173+1,"YYYY-MM-DD")&amp;" --exclude ""*"" --recursive --include ""*"&amp;TEXT(F173+1,"YYYYMMDD")&amp;"*"" &amp; """&amp;walkandungz&amp;""" "&amp;search_path&amp;"\RTDC"&amp;B173&amp;"\"&amp;TEXT(F173+1,"YYYY-MM-DD")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AF173" s="82" t="str">
        <f>astrogrep_path&amp;" /spath="&amp;search_path&amp;" /stypes=""app*"&amp;B173&amp;"*"&amp;TEXT(I173-utc_offset/24,"YYYYMMDD")&amp;"*"" /stext="" "&amp;TEXT(I173-utc_offset/24,"HH")&amp;search_regexp&amp;""" /e /r /s"</f>
        <v>"C:\Program Files (x86)\AstroGrep\AstroGrep.exe" /spath="%USERPROFILE%\AppData\Local\Temp\OnboardLogs" /stypes="app*4028*20170207*" /stext=" 17:.+((SYSTEM_STATE.+slice.+state.+changed )|(ment ac)|(multiple cpu faults)|(system.+state.+changed )|(\[timeout)|(PRM\|1\|D)|(kpr)|(kdp)|(\|lc)|(penalty))" /e /r /s</v>
      </c>
      <c r="AG173" s="1" t="str">
        <f>IFERROR(IF(VALUE(LEFT(AD173,2))&lt;=2,"EC",IF(OR(VALUE(LEFT(AD173,2))=8,VALUE(LEFT(AD173,2))=18),"NW","Other")),"Other")</f>
        <v>NW</v>
      </c>
      <c r="AH173" s="86" t="str">
        <f t="shared" si="9"/>
        <v>"%USERPROFILE%\Documents\GitHub\eaglep3\Utilities\RefineRTDCRunTimes.py" --tripid 816-07 --locoid 4028 --swversion DE.1.0.8.0 --startMP 300:58679 --initTime 2017-02-07T10:36:18 --startdatetime 2017-02-07T10:37:55 --delay 1 --endMP 204:727 --enddatetime 2017-02-07T10:55:18 --enforcementcount 0 &gt;&gt;C:\Users\stu\Documents\GitHub\eaglep3-reporting\EC\2017-02-07-refined-times.txt</v>
      </c>
      <c r="AI173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{"issue":{"subject":"","project_id":79,"tracker_id":40,"status_id":1,"priority_id":2,"assigned_to_id":23,"start_date":"2017-02-07","description":"","custom_fields":[{"id":1,"name":"Subdivision","value":"NW"},{"id":4,"name":"Milepost","value":"0.0727"},{"id":17,"name":"Train ID","value":"816-07"},{"id":16,"name":"Locomotive ID","value":"4028"},{"id":130,"name":"Impact","value":""},{"id":150,"name":"Time of Event (Mountain Time)","value":"10:55:18"},{"id":151,"name":"Denver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48"/>
      <c r="AK173" s="48"/>
      <c r="AL173" s="48"/>
      <c r="AM173" s="158" t="str">
        <f t="shared" si="11"/>
        <v>start /low /b %USERPROFILE%\Documents\GitHub\eaglep3\Utilities\DownloadLogsFromS3.py --loco 4028 --day 2017-02-07</v>
      </c>
      <c r="AN173" s="167" t="str">
        <f>"grep -SE -B400 ""CHR.+\|PRM\|1\|D.+(SWITCH|SIGNAL).+UNKNOWN"" "&amp;search_path&amp;"\RTDC"&amp;B173&amp;"\*"&amp;B173&amp;"*"&amp;TEXT(AVERAGE(F173,I173)-utc_offset/24,"YYYYMMDD")&amp;"*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"%USERPROFILE%\AppData\Local\Temp\OnboardLogs"\RTDC4028\*4028*20170207* | grep -SE "(Enforcement Action)|(\[TIMEOUT)|(CHR.+\|PRM\|1\|D.+(SWITCH|SIGNAL).+UNKNOWN)" - &gt;&gt; 2017-02-07-UncaughtWiMAX.txt</v>
      </c>
    </row>
    <row r="174" spans="1:91" s="20" customFormat="1" x14ac:dyDescent="0.25">
      <c r="A174" s="33" t="s">
        <v>472</v>
      </c>
      <c r="B174" s="7">
        <v>4027</v>
      </c>
      <c r="C174" s="21" t="s">
        <v>193</v>
      </c>
      <c r="D174" s="21" t="s">
        <v>804</v>
      </c>
      <c r="E174" s="13">
        <v>42773.466435185182</v>
      </c>
      <c r="F174" s="13">
        <v>42773.473113425927</v>
      </c>
      <c r="G174" s="7">
        <v>1</v>
      </c>
      <c r="H174" s="21" t="s">
        <v>455</v>
      </c>
      <c r="I174" s="13">
        <v>42773.482592592591</v>
      </c>
      <c r="J174" s="7">
        <v>0</v>
      </c>
      <c r="K174" s="98" t="str">
        <f>IF(ISEVEN(B174),(B174-1)&amp;"/"&amp;B174,B174&amp;"/"&amp;(B174+1))</f>
        <v>4027/4028</v>
      </c>
      <c r="L174" s="21" t="str">
        <f>VLOOKUP(A174,'Trips&amp;Operators'!$C$1:$G$99999,5,FALSE)</f>
        <v>BROWN JACOB</v>
      </c>
      <c r="M174" s="6">
        <f>I174-F174</f>
        <v>9.4791666633682325E-3</v>
      </c>
      <c r="N174" s="7">
        <f>24*60*SUM($M174:$M174)</f>
        <v>13.649999995250255</v>
      </c>
      <c r="O174" s="7"/>
      <c r="P174" s="7"/>
      <c r="Q174" s="22"/>
      <c r="R174" s="22"/>
      <c r="S174" s="31">
        <f>SUM(U174:U174)/IF(AG174="EC",12,1)</f>
        <v>1</v>
      </c>
      <c r="T174" s="46" t="str">
        <f>IF(ISEVEN(LEFT(AD174,4)),"Southbound","NorthBound")</f>
        <v>NorthBound</v>
      </c>
      <c r="U174" s="190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191" t="str">
        <f>"https://d0f6bd738d7f1b3e5a7ca70fe4ff75f0.us-east-1.aws.found.io/app/kibana#/discover/Steve-Slow-Train-Analysis-(2080s-and-2083s)?_g="&amp;"(refreshInterval:(display:Off,pause:!f,section:0,value:0),time:(from:'"&amp;TEXT(E174-1/24,"yyyy-MM-DDThh:mm:ss")&amp;utc_offset&amp;"00"&amp;"',mode:absolute,to:'"&amp;TEXT(I174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174&amp;"%22')),sort:!(Time.ISO8601,asc))"</f>
        <v>https://d0f6bd738d7f1b3e5a7ca70fe4ff75f0.us-east-1.aws.found.io/app/kibana#/discover/Steve-Slow-Train-Analysis-(2080s-and-2083s)?_g=(refreshInterval:(display:Off,pause:!f,section:0,value:0),time:(from:'2017-02-07T10:11:40-0700',mode:absolute,to:'2017-02-07T12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4" s="192" t="str">
        <f>IF(AA174&lt;IF(AG174="EC",23,5.65),"Y","N")</f>
        <v>N</v>
      </c>
      <c r="X174" s="192">
        <f>VALUE(LEFT(AD174,4))-VALUE(LEFT(AD173,4))</f>
        <v>1</v>
      </c>
      <c r="Y174" s="62">
        <f>RIGHT(D174,LEN(D174)-4)/10000</f>
        <v>0.1016</v>
      </c>
      <c r="Z174" s="62">
        <f>RIGHT(H174,LEN(H174)-4)/10000</f>
        <v>5.8948</v>
      </c>
      <c r="AA174" s="62">
        <f>ABS(Z174-Y174)</f>
        <v>5.7931999999999997</v>
      </c>
      <c r="AB174" s="59" t="e">
        <f>VLOOKUP(A174,Enforcements!$C$7:$K$14,8,0)</f>
        <v>#N/A</v>
      </c>
      <c r="AC174" s="55" t="e">
        <f>VLOOKUP(A174,Enforcements!$C$7:$E$14,3,0)</f>
        <v>#N/A</v>
      </c>
      <c r="AD174" s="56" t="str">
        <f>IF(LEN(A174)=6,"0"&amp;A174,A174)</f>
        <v>0817-07</v>
      </c>
      <c r="AE174" s="85" t="str">
        <f>"aws s3 cp "&amp;s3_bucket&amp;"/RTDC"&amp;B174&amp;"/ "&amp;search_path&amp;"\RTDC"&amp;B174&amp;"\"&amp;TEXT(F174,"YYYY-MM-DD")&amp;" --exclude ""*"" --recursive --include ""*"&amp;TEXT(F174,"YYYYMMDD")&amp;"*"" &amp; """&amp;walkandungz&amp;""" "&amp;search_path&amp;"\RTDC"&amp;B174&amp;"\"&amp;TEXT(F174,"YYYY-MM-DD")
&amp;" &amp; "&amp;"aws s3 cp "&amp;s3_bucket&amp;"/RTDC"&amp;B174&amp;"/ "&amp;search_path&amp;"\RTDC"&amp;B174&amp;"\"&amp;TEXT(F174+1,"YYYY-MM-DD")&amp;" --exclude ""*"" --recursive --include ""*"&amp;TEXT(F174+1,"YYYYMMDD")&amp;"*"" &amp; """&amp;walkandungz&amp;""" "&amp;search_path&amp;"\RTDC"&amp;B174&amp;"\"&amp;TEXT(F174+1,"YYYY-MM-DD")</f>
        <v>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 &amp; 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</v>
      </c>
      <c r="AF174" s="82" t="str">
        <f>astrogrep_path&amp;" /spath="&amp;search_path&amp;" /stypes=""app*"&amp;B174&amp;"*"&amp;TEXT(I174-utc_offset/24,"YYYYMMDD")&amp;"*"" /stext="" "&amp;TEXT(I174-utc_offset/24,"HH")&amp;search_regexp&amp;""" /e /r /s"</f>
        <v>"C:\Program Files (x86)\AstroGrep\AstroGrep.exe" /spath="%USERPROFILE%\AppData\Local\Temp\OnboardLogs" /stypes="app*4027*20170207*" /stext=" 18:.+((SYSTEM_STATE.+slice.+state.+changed )|(ment ac)|(multiple cpu faults)|(system.+state.+changed )|(\[timeout)|(PRM\|1\|D)|(kpr)|(kdp)|(\|lc)|(penalty))" /e /r /s</v>
      </c>
      <c r="AG174" s="1" t="str">
        <f>IFERROR(IF(VALUE(LEFT(AD174,2))&lt;=2,"EC",IF(OR(VALUE(LEFT(AD174,2))=8,VALUE(LEFT(AD174,2))=18),"NW","Other")),"Other")</f>
        <v>NW</v>
      </c>
      <c r="AH174" s="86" t="str">
        <f t="shared" si="9"/>
        <v>"%USERPROFILE%\Documents\GitHub\eaglep3\Utilities\RefineRTDCRunTimes.py" --tripid 817-07 --locoid 4027 --swversion DE.1.0.8.0 --startMP 204:1016 --initTime 2017-02-07T11:11:40 --startdatetime 2017-02-07T11:21:17 --delay 1 --endMP 300:58948 --enddatetime 2017-02-07T11:34:56 --enforcementcount 0 &gt;&gt;C:\Users\stu\Documents\GitHub\eaglep3-reporting\EC\2017-02-07-refined-times.txt</v>
      </c>
      <c r="AI174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{"issue":{"subject":"","project_id":79,"tracker_id":40,"status_id":1,"priority_id":2,"assigned_to_id":23,"start_date":"2017-02-07","description":"","custom_fields":[{"id":1,"name":"Subdivision","value":"NW"},{"id":4,"name":"Milepost","value":"5.8948"},{"id":17,"name":"Train ID","value":"817-07"},{"id":16,"name":"Locomotive ID","value":"4027"},{"id":130,"name":"Impact","value":""},{"id":150,"name":"Time of Event (Mountain Time)","value":"11:34:56"},{"id":151,"name":"Denver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48"/>
      <c r="AK174" s="48"/>
      <c r="AL174" s="48"/>
      <c r="AM174" s="158" t="str">
        <f t="shared" si="11"/>
        <v>start /low /b %USERPROFILE%\Documents\GitHub\eaglep3\Utilities\DownloadLogsFromS3.py --loco 4027 --day 2017-02-07</v>
      </c>
      <c r="AN174" s="167" t="str">
        <f>"grep -SE -B400 ""CHR.+\|PRM\|1\|D.+(SWITCH|SIGNAL).+UNKNOWN"" "&amp;search_path&amp;"\RTDC"&amp;B174&amp;"\*"&amp;B174&amp;"*"&amp;TEXT(AVERAGE(F174,I174)-utc_offset/24,"YYYYMMDD")&amp;"*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"%USERPROFILE%\AppData\Local\Temp\OnboardLogs"\RTDC4027\*4027*20170207* | grep -SE "(Enforcement Action)|(\[TIMEOUT)|(CHR.+\|PRM\|1\|D.+(SWITCH|SIGNAL).+UNKNOWN)" - &gt;&gt; 2017-02-07-UncaughtWiMAX.txt</v>
      </c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3" t="s">
        <v>583</v>
      </c>
      <c r="B175" s="7">
        <v>4028</v>
      </c>
      <c r="C175" s="21" t="s">
        <v>193</v>
      </c>
      <c r="D175" s="21" t="s">
        <v>388</v>
      </c>
      <c r="E175" s="13">
        <v>42773.4841087963</v>
      </c>
      <c r="F175" s="13">
        <v>42773.485578703701</v>
      </c>
      <c r="G175" s="7">
        <v>1</v>
      </c>
      <c r="H175" s="21" t="s">
        <v>830</v>
      </c>
      <c r="I175" s="13">
        <v>42773.496689814812</v>
      </c>
      <c r="J175" s="7">
        <v>0</v>
      </c>
      <c r="K175" s="98" t="str">
        <f>IF(ISEVEN(B175),(B175-1)&amp;"/"&amp;B175,B175&amp;"/"&amp;(B175+1))</f>
        <v>4027/4028</v>
      </c>
      <c r="L175" s="21" t="str">
        <f>VLOOKUP(A175,'Trips&amp;Operators'!$C$1:$G$99999,5,FALSE)</f>
        <v>BROWN JACOB</v>
      </c>
      <c r="M175" s="6">
        <f>I175-F175</f>
        <v>1.1111111110949423E-2</v>
      </c>
      <c r="N175" s="7">
        <f>24*60*SUM($M175:$M175)</f>
        <v>15.999999999767169</v>
      </c>
      <c r="O175" s="7"/>
      <c r="P175" s="7"/>
      <c r="Q175" s="22"/>
      <c r="R175" s="22"/>
      <c r="S175" s="31">
        <f>SUM(U175:U175)/IF(AG175="EC",12,1)</f>
        <v>1</v>
      </c>
      <c r="T175" s="46" t="str">
        <f>IF(ISEVEN(LEFT(AD175,4)),"Southbound","NorthBound")</f>
        <v>Southbound</v>
      </c>
      <c r="U175" s="190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191" t="str">
        <f>"https://d0f6bd738d7f1b3e5a7ca70fe4ff75f0.us-east-1.aws.found.io/app/kibana#/discover/Steve-Slow-Train-Analysis-(2080s-and-2083s)?_g="&amp;"(refreshInterval:(display:Off,pause:!f,section:0,value:0),time:(from:'"&amp;TEXT(E175-1/24,"yyyy-MM-DDThh:mm:ss")&amp;utc_offset&amp;"00"&amp;"',mode:absolute,to:'"&amp;TEXT(I175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175&amp;"%22')),sort:!(Time.ISO8601,asc))"</f>
        <v>https://d0f6bd738d7f1b3e5a7ca70fe4ff75f0.us-east-1.aws.found.io/app/kibana#/discover/Steve-Slow-Train-Analysis-(2080s-and-2083s)?_g=(refreshInterval:(display:Off,pause:!f,section:0,value:0),time:(from:'2017-02-07T10:37:07-0700',mode:absolute,to:'2017-02-07T12:55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5" s="192" t="str">
        <f>IF(AA175&lt;IF(AG175="EC",23,5.65),"Y","N")</f>
        <v>N</v>
      </c>
      <c r="X175" s="192">
        <f>VALUE(LEFT(AD175,4))-VALUE(LEFT(AD174,4))</f>
        <v>1</v>
      </c>
      <c r="Y175" s="62">
        <f>RIGHT(D175,LEN(D175)-4)/10000</f>
        <v>5.8638000000000003</v>
      </c>
      <c r="Z175" s="62">
        <f>RIGHT(H175,LEN(H175)-4)/10000</f>
        <v>7.1499999999999994E-2</v>
      </c>
      <c r="AA175" s="62">
        <f>ABS(Z175-Y175)</f>
        <v>5.7923</v>
      </c>
      <c r="AB175" s="59" t="e">
        <f>VLOOKUP(A175,Enforcements!$C$7:$K$14,8,0)</f>
        <v>#N/A</v>
      </c>
      <c r="AC175" s="55" t="e">
        <f>VLOOKUP(A175,Enforcements!$C$7:$E$14,3,0)</f>
        <v>#N/A</v>
      </c>
      <c r="AD175" s="56" t="str">
        <f>IF(LEN(A175)=6,"0"&amp;A175,A175)</f>
        <v>0818-07</v>
      </c>
      <c r="AE175" s="85" t="str">
        <f>"aws s3 cp "&amp;s3_bucket&amp;"/RTDC"&amp;B175&amp;"/ "&amp;search_path&amp;"\RTDC"&amp;B175&amp;"\"&amp;TEXT(F175,"YYYY-MM-DD")&amp;" --exclude ""*"" --recursive --include ""*"&amp;TEXT(F175,"YYYYMMDD")&amp;"*"" &amp; """&amp;walkandungz&amp;""" "&amp;search_path&amp;"\RTDC"&amp;B175&amp;"\"&amp;TEXT(F175,"YYYY-MM-DD")
&amp;" &amp; "&amp;"aws s3 cp "&amp;s3_bucket&amp;"/RTDC"&amp;B175&amp;"/ "&amp;search_path&amp;"\RTDC"&amp;B175&amp;"\"&amp;TEXT(F175+1,"YYYY-MM-DD")&amp;" --exclude ""*"" --recursive --include ""*"&amp;TEXT(F175+1,"YYYYMMDD")&amp;"*"" &amp; """&amp;walkandungz&amp;""" "&amp;search_path&amp;"\RTDC"&amp;B175&amp;"\"&amp;TEXT(F175+1,"YYYY-MM-DD")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AF175" s="82" t="str">
        <f>astrogrep_path&amp;" /spath="&amp;search_path&amp;" /stypes=""app*"&amp;B175&amp;"*"&amp;TEXT(I175-utc_offset/24,"YYYYMMDD")&amp;"*"" /stext="" "&amp;TEXT(I175-utc_offset/24,"HH")&amp;search_regexp&amp;""" /e /r /s"</f>
        <v>"C:\Program Files (x86)\AstroGrep\AstroGrep.exe" /spath="%USERPROFILE%\AppData\Local\Temp\OnboardLogs" /stypes="app*4028*20170207*" /stext=" 18:.+((SYSTEM_STATE.+slice.+state.+changed )|(ment ac)|(multiple cpu faults)|(system.+state.+changed )|(\[timeout)|(PRM\|1\|D)|(kpr)|(kdp)|(\|lc)|(penalty))" /e /r /s</v>
      </c>
      <c r="AG175" s="1" t="str">
        <f>IFERROR(IF(VALUE(LEFT(AD175,2))&lt;=2,"EC",IF(OR(VALUE(LEFT(AD175,2))=8,VALUE(LEFT(AD175,2))=18),"NW","Other")),"Other")</f>
        <v>NW</v>
      </c>
      <c r="AH175" s="86" t="str">
        <f t="shared" si="9"/>
        <v>"%USERPROFILE%\Documents\GitHub\eaglep3\Utilities\RefineRTDCRunTimes.py" --tripid 818-07 --locoid 4028 --swversion DE.1.0.8.0 --startMP 300:58638 --initTime 2017-02-07T11:37:07 --startdatetime 2017-02-07T11:39:14 --delay 1 --endMP 204:715 --enddatetime 2017-02-07T11:55:14 --enforcementcount 0 &gt;&gt;C:\Users\stu\Documents\GitHub\eaglep3-reporting\EC\2017-02-07-refined-times.txt</v>
      </c>
      <c r="AI175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{"issue":{"subject":"","project_id":79,"tracker_id":40,"status_id":1,"priority_id":2,"assigned_to_id":23,"start_date":"2017-02-07","description":"","custom_fields":[{"id":1,"name":"Subdivision","value":"NW"},{"id":4,"name":"Milepost","value":"0.0715"},{"id":17,"name":"Train ID","value":"818-07"},{"id":16,"name":"Locomotive ID","value":"4028"},{"id":130,"name":"Impact","value":""},{"id":150,"name":"Time of Event (Mountain Time)","value":"11:55:14"},{"id":151,"name":"Denver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48"/>
      <c r="AK175" s="48"/>
      <c r="AL175" s="48"/>
      <c r="AM175" s="158" t="str">
        <f t="shared" si="11"/>
        <v>start /low /b %USERPROFILE%\Documents\GitHub\eaglep3\Utilities\DownloadLogsFromS3.py --loco 4028 --day 2017-02-07</v>
      </c>
      <c r="AN175" s="167" t="str">
        <f>"grep -SE -B400 ""CHR.+\|PRM\|1\|D.+(SWITCH|SIGNAL).+UNKNOWN"" "&amp;search_path&amp;"\RTDC"&amp;B175&amp;"\*"&amp;B175&amp;"*"&amp;TEXT(AVERAGE(F175,I175)-utc_offset/24,"YYYYMMDD")&amp;"*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"%USERPROFILE%\AppData\Local\Temp\OnboardLogs"\RTDC4028\*4028*20170207* | grep -SE "(Enforcement Action)|(\[TIMEOUT)|(CHR.+\|PRM\|1\|D.+(SWITCH|SIGNAL).+UNKNOWN)" - &gt;&gt; 2017-02-07-UncaughtWiMAX.txt</v>
      </c>
    </row>
    <row r="176" spans="1:91" x14ac:dyDescent="0.25">
      <c r="A176" s="33" t="s">
        <v>590</v>
      </c>
      <c r="B176" s="7">
        <v>4027</v>
      </c>
      <c r="C176" s="21" t="s">
        <v>193</v>
      </c>
      <c r="D176" s="21" t="s">
        <v>831</v>
      </c>
      <c r="E176" s="13">
        <v>42773.507916666669</v>
      </c>
      <c r="F176" s="13">
        <v>42773.514849537038</v>
      </c>
      <c r="G176" s="7">
        <v>1</v>
      </c>
      <c r="H176" s="21" t="s">
        <v>457</v>
      </c>
      <c r="I176" s="13">
        <v>42773.524675925924</v>
      </c>
      <c r="J176" s="7">
        <v>0</v>
      </c>
      <c r="K176" s="98" t="str">
        <f>IF(ISEVEN(B176),(B176-1)&amp;"/"&amp;B176,B176&amp;"/"&amp;(B176+1))</f>
        <v>4027/4028</v>
      </c>
      <c r="L176" s="21" t="str">
        <f>VLOOKUP(A176,'Trips&amp;Operators'!$C$1:$G$99999,5,FALSE)</f>
        <v>BROWN JACOB</v>
      </c>
      <c r="M176" s="6">
        <f>I176-F176</f>
        <v>9.8263888867222704E-3</v>
      </c>
      <c r="N176" s="7">
        <f>24*60*SUM($M176:$M176)</f>
        <v>14.149999996880069</v>
      </c>
      <c r="O176" s="7"/>
      <c r="P176" s="7"/>
      <c r="Q176" s="22"/>
      <c r="R176" s="22"/>
      <c r="S176" s="31">
        <f>SUM(U176:U176)/IF(AG176="EC",12,1)</f>
        <v>1</v>
      </c>
      <c r="T176" s="46" t="str">
        <f>IF(ISEVEN(LEFT(AD176,4)),"Southbound","NorthBound")</f>
        <v>NorthBound</v>
      </c>
      <c r="U176" s="190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191" t="str">
        <f>"https://d0f6bd738d7f1b3e5a7ca70fe4ff75f0.us-east-1.aws.found.io/app/kibana#/discover/Steve-Slow-Train-Analysis-(2080s-and-2083s)?_g="&amp;"(refreshInterval:(display:Off,pause:!f,section:0,value:0),time:(from:'"&amp;TEXT(E176-1/24,"yyyy-MM-DDThh:mm:ss")&amp;utc_offset&amp;"00"&amp;"',mode:absolute,to:'"&amp;TEXT(I176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176&amp;"%22')),sort:!(Time.ISO8601,asc))"</f>
        <v>https://d0f6bd738d7f1b3e5a7ca70fe4ff75f0.us-east-1.aws.found.io/app/kibana#/discover/Steve-Slow-Train-Analysis-(2080s-and-2083s)?_g=(refreshInterval:(display:Off,pause:!f,section:0,value:0),time:(from:'2017-02-07T11:11:24-0700',mode:absolute,to:'2017-02-07T13:35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6" s="192" t="str">
        <f>IF(AA176&lt;IF(AG176="EC",23,5.65),"Y","N")</f>
        <v>N</v>
      </c>
      <c r="X176" s="192">
        <f>VALUE(LEFT(AD176,4))-VALUE(LEFT(AD175,4))</f>
        <v>1</v>
      </c>
      <c r="Y176" s="62">
        <f>RIGHT(D176,LEN(D176)-4)/10000</f>
        <v>0.10059999999999999</v>
      </c>
      <c r="Z176" s="62">
        <f>RIGHT(H176,LEN(H176)-4)/10000</f>
        <v>5.8956</v>
      </c>
      <c r="AA176" s="62">
        <f>ABS(Z176-Y176)</f>
        <v>5.7949999999999999</v>
      </c>
      <c r="AB176" s="59" t="e">
        <f>VLOOKUP(A176,Enforcements!$C$7:$K$14,8,0)</f>
        <v>#N/A</v>
      </c>
      <c r="AC176" s="55" t="e">
        <f>VLOOKUP(A176,Enforcements!$C$7:$E$14,3,0)</f>
        <v>#N/A</v>
      </c>
      <c r="AD176" s="56" t="str">
        <f>IF(LEN(A176)=6,"0"&amp;A176,A176)</f>
        <v>0819-07</v>
      </c>
      <c r="AE176" s="85" t="str">
        <f>"aws s3 cp "&amp;s3_bucket&amp;"/RTDC"&amp;B176&amp;"/ "&amp;search_path&amp;"\RTDC"&amp;B176&amp;"\"&amp;TEXT(F176,"YYYY-MM-DD")&amp;" --exclude ""*"" --recursive --include ""*"&amp;TEXT(F176,"YYYYMMDD")&amp;"*"" &amp; """&amp;walkandungz&amp;""" "&amp;search_path&amp;"\RTDC"&amp;B176&amp;"\"&amp;TEXT(F176,"YYYY-MM-DD")
&amp;" &amp; "&amp;"aws s3 cp "&amp;s3_bucket&amp;"/RTDC"&amp;B176&amp;"/ "&amp;search_path&amp;"\RTDC"&amp;B176&amp;"\"&amp;TEXT(F176+1,"YYYY-MM-DD")&amp;" --exclude ""*"" --recursive --include ""*"&amp;TEXT(F176+1,"YYYYMMDD")&amp;"*"" &amp; """&amp;walkandungz&amp;""" "&amp;search_path&amp;"\RTDC"&amp;B176&amp;"\"&amp;TEXT(F176+1,"YYYY-MM-DD")</f>
        <v>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 &amp; 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</v>
      </c>
      <c r="AF176" s="82" t="str">
        <f>astrogrep_path&amp;" /spath="&amp;search_path&amp;" /stypes=""app*"&amp;B176&amp;"*"&amp;TEXT(I176-utc_offset/24,"YYYYMMDD")&amp;"*"" /stext="" "&amp;TEXT(I176-utc_offset/24,"HH")&amp;search_regexp&amp;""" /e /r /s"</f>
        <v>"C:\Program Files (x86)\AstroGrep\AstroGrep.exe" /spath="%USERPROFILE%\AppData\Local\Temp\OnboardLogs" /stypes="app*4027*20170207*" /stext=" 19:.+((SYSTEM_STATE.+slice.+state.+changed )|(ment ac)|(multiple cpu faults)|(system.+state.+changed )|(\[timeout)|(PRM\|1\|D)|(kpr)|(kdp)|(\|lc)|(penalty))" /e /r /s</v>
      </c>
      <c r="AG176" s="1" t="str">
        <f>IFERROR(IF(VALUE(LEFT(AD176,2))&lt;=2,"EC",IF(OR(VALUE(LEFT(AD176,2))=8,VALUE(LEFT(AD176,2))=18),"NW","Other")),"Other")</f>
        <v>NW</v>
      </c>
      <c r="AH176" s="86" t="str">
        <f t="shared" si="9"/>
        <v>"%USERPROFILE%\Documents\GitHub\eaglep3\Utilities\RefineRTDCRunTimes.py" --tripid 819-07 --locoid 4027 --swversion DE.1.0.8.0 --startMP 204:1006 --initTime 2017-02-07T12:11:24 --startdatetime 2017-02-07T12:21:23 --delay 1 --endMP 300:58956 --enddatetime 2017-02-07T12:35:32 --enforcementcount 0 &gt;&gt;C:\Users\stu\Documents\GitHub\eaglep3-reporting\EC\2017-02-07-refined-times.txt</v>
      </c>
      <c r="AI176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{"issue":{"subject":"","project_id":79,"tracker_id":40,"status_id":1,"priority_id":2,"assigned_to_id":23,"start_date":"2017-02-07","description":"","custom_fields":[{"id":1,"name":"Subdivision","value":"NW"},{"id":4,"name":"Milepost","value":"5.8956"},{"id":17,"name":"Train ID","value":"819-07"},{"id":16,"name":"Locomotive ID","value":"4027"},{"id":130,"name":"Impact","value":""},{"id":150,"name":"Time of Event (Mountain Time)","value":"12:35:32"},{"id":151,"name":"Denver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48"/>
      <c r="AK176" s="48"/>
      <c r="AL176" s="48"/>
      <c r="AM176" s="158" t="str">
        <f t="shared" si="11"/>
        <v>start /low /b %USERPROFILE%\Documents\GitHub\eaglep3\Utilities\DownloadLogsFromS3.py --loco 4027 --day 2017-02-07</v>
      </c>
      <c r="AN176" s="167" t="str">
        <f>"grep -SE -B400 ""CHR.+\|PRM\|1\|D.+(SWITCH|SIGNAL).+UNKNOWN"" "&amp;search_path&amp;"\RTDC"&amp;B176&amp;"\*"&amp;B176&amp;"*"&amp;TEXT(AVERAGE(F176,I176)-utc_offset/24,"YYYYMMDD")&amp;"*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"%USERPROFILE%\AppData\Local\Temp\OnboardLogs"\RTDC4027\*4027*20170207* | grep -SE "(Enforcement Action)|(\[TIMEOUT)|(CHR.+\|PRM\|1\|D.+(SWITCH|SIGNAL).+UNKNOWN)" - &gt;&gt; 2017-02-07-UncaughtWiMAX.txt</v>
      </c>
    </row>
    <row r="177" spans="1:91" x14ac:dyDescent="0.25">
      <c r="A177" s="33" t="s">
        <v>595</v>
      </c>
      <c r="B177" s="7">
        <v>4028</v>
      </c>
      <c r="C177" s="21" t="s">
        <v>193</v>
      </c>
      <c r="D177" s="21" t="s">
        <v>810</v>
      </c>
      <c r="E177" s="13">
        <v>42773.525659722225</v>
      </c>
      <c r="F177" s="13">
        <v>42773.526909722219</v>
      </c>
      <c r="G177" s="7">
        <v>1</v>
      </c>
      <c r="H177" s="21" t="s">
        <v>815</v>
      </c>
      <c r="I177" s="13">
        <v>42773.538449074076</v>
      </c>
      <c r="J177" s="7">
        <v>0</v>
      </c>
      <c r="K177" s="98" t="str">
        <f>IF(ISEVEN(B177),(B177-1)&amp;"/"&amp;B177,B177&amp;"/"&amp;(B177+1))</f>
        <v>4027/4028</v>
      </c>
      <c r="L177" s="21" t="str">
        <f>VLOOKUP(A177,'Trips&amp;Operators'!$C$1:$G$99999,5,FALSE)</f>
        <v>BROWN JACOB</v>
      </c>
      <c r="M177" s="6">
        <f>I177-F177</f>
        <v>1.1539351857209112E-2</v>
      </c>
      <c r="N177" s="7">
        <f>24*60*SUM($M177:$M177)</f>
        <v>16.616666674381122</v>
      </c>
      <c r="O177" s="7"/>
      <c r="P177" s="7"/>
      <c r="Q177" s="22"/>
      <c r="R177" s="22"/>
      <c r="S177" s="31">
        <f>SUM(U177:U177)/IF(AG177="EC",12,1)</f>
        <v>1</v>
      </c>
      <c r="T177" s="46" t="str">
        <f>IF(ISEVEN(LEFT(AD177,4)),"Southbound","NorthBound")</f>
        <v>Southbound</v>
      </c>
      <c r="U177" s="190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191" t="str">
        <f>"https://d0f6bd738d7f1b3e5a7ca70fe4ff75f0.us-east-1.aws.found.io/app/kibana#/discover/Steve-Slow-Train-Analysis-(2080s-and-2083s)?_g="&amp;"(refreshInterval:(display:Off,pause:!f,section:0,value:0),time:(from:'"&amp;TEXT(E177-1/24,"yyyy-MM-DDThh:mm:ss")&amp;utc_offset&amp;"00"&amp;"',mode:absolute,to:'"&amp;TEXT(I177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177&amp;"%22')),sort:!(Time.ISO8601,asc))"</f>
        <v>https://d0f6bd738d7f1b3e5a7ca70fe4ff75f0.us-east-1.aws.found.io/app/kibana#/discover/Steve-Slow-Train-Analysis-(2080s-and-2083s)?_g=(refreshInterval:(display:Off,pause:!f,section:0,value:0),time:(from:'2017-02-07T11:36:57-0700',mode:absolute,to:'2017-02-07T13:55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7" s="192" t="str">
        <f>IF(AA177&lt;IF(AG177="EC",23,5.65),"Y","N")</f>
        <v>N</v>
      </c>
      <c r="X177" s="192">
        <f>VALUE(LEFT(AD177,4))-VALUE(LEFT(AD176,4))</f>
        <v>1</v>
      </c>
      <c r="Y177" s="62">
        <f>RIGHT(D177,LEN(D177)-4)/10000</f>
        <v>5.8648999999999996</v>
      </c>
      <c r="Z177" s="62">
        <f>RIGHT(H177,LEN(H177)-4)/10000</f>
        <v>7.0999999999999994E-2</v>
      </c>
      <c r="AA177" s="62">
        <f>ABS(Z177-Y177)</f>
        <v>5.7938999999999998</v>
      </c>
      <c r="AB177" s="59" t="e">
        <f>VLOOKUP(A177,Enforcements!$C$7:$K$14,8,0)</f>
        <v>#N/A</v>
      </c>
      <c r="AC177" s="55" t="e">
        <f>VLOOKUP(A177,Enforcements!$C$7:$E$14,3,0)</f>
        <v>#N/A</v>
      </c>
      <c r="AD177" s="56" t="str">
        <f>IF(LEN(A177)=6,"0"&amp;A177,A177)</f>
        <v>0820-07</v>
      </c>
      <c r="AE177" s="85" t="str">
        <f>"aws s3 cp "&amp;s3_bucket&amp;"/RTDC"&amp;B177&amp;"/ "&amp;search_path&amp;"\RTDC"&amp;B177&amp;"\"&amp;TEXT(F177,"YYYY-MM-DD")&amp;" --exclude ""*"" --recursive --include ""*"&amp;TEXT(F177,"YYYYMMDD")&amp;"*"" &amp; """&amp;walkandungz&amp;""" "&amp;search_path&amp;"\RTDC"&amp;B177&amp;"\"&amp;TEXT(F177,"YYYY-MM-DD")
&amp;" &amp; "&amp;"aws s3 cp "&amp;s3_bucket&amp;"/RTDC"&amp;B177&amp;"/ "&amp;search_path&amp;"\RTDC"&amp;B177&amp;"\"&amp;TEXT(F177+1,"YYYY-MM-DD")&amp;" --exclude ""*"" --recursive --include ""*"&amp;TEXT(F177+1,"YYYYMMDD")&amp;"*"" &amp; """&amp;walkandungz&amp;""" "&amp;search_path&amp;"\RTDC"&amp;B177&amp;"\"&amp;TEXT(F177+1,"YYYY-MM-DD")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AF177" s="82" t="str">
        <f>astrogrep_path&amp;" /spath="&amp;search_path&amp;" /stypes=""app*"&amp;B177&amp;"*"&amp;TEXT(I177-utc_offset/24,"YYYYMMDD")&amp;"*"" /stext="" "&amp;TEXT(I177-utc_offset/24,"HH")&amp;search_regexp&amp;""" /e /r /s"</f>
        <v>"C:\Program Files (x86)\AstroGrep\AstroGrep.exe" /spath="%USERPROFILE%\AppData\Local\Temp\OnboardLogs" /stypes="app*4028*20170207*" /stext=" 19:.+((SYSTEM_STATE.+slice.+state.+changed )|(ment ac)|(multiple cpu faults)|(system.+state.+changed )|(\[timeout)|(PRM\|1\|D)|(kpr)|(kdp)|(\|lc)|(penalty))" /e /r /s</v>
      </c>
      <c r="AG177" s="1" t="str">
        <f>IFERROR(IF(VALUE(LEFT(AD177,2))&lt;=2,"EC",IF(OR(VALUE(LEFT(AD177,2))=8,VALUE(LEFT(AD177,2))=18),"NW","Other")),"Other")</f>
        <v>NW</v>
      </c>
      <c r="AH177" s="86" t="str">
        <f t="shared" si="9"/>
        <v>"%USERPROFILE%\Documents\GitHub\eaglep3\Utilities\RefineRTDCRunTimes.py" --tripid 820-07 --locoid 4028 --swversion DE.1.0.8.0 --startMP 300:58649 --initTime 2017-02-07T12:36:57 --startdatetime 2017-02-07T12:38:45 --delay 1 --endMP 204:710 --enddatetime 2017-02-07T12:55:22 --enforcementcount 0 &gt;&gt;C:\Users\stu\Documents\GitHub\eaglep3-reporting\EC\2017-02-07-refined-times.txt</v>
      </c>
      <c r="AI177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{"issue":{"subject":"","project_id":79,"tracker_id":40,"status_id":1,"priority_id":2,"assigned_to_id":23,"start_date":"2017-02-07","description":"","custom_fields":[{"id":1,"name":"Subdivision","value":"NW"},{"id":4,"name":"Milepost","value":"0.071"},{"id":17,"name":"Train ID","value":"820-07"},{"id":16,"name":"Locomotive ID","value":"4028"},{"id":130,"name":"Impact","value":""},{"id":150,"name":"Time of Event (Mountain Time)","value":"12:55:22"},{"id":151,"name":"Denver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48"/>
      <c r="AK177" s="48"/>
      <c r="AL177" s="48"/>
      <c r="AM177" s="158" t="str">
        <f t="shared" si="11"/>
        <v>start /low /b %USERPROFILE%\Documents\GitHub\eaglep3\Utilities\DownloadLogsFromS3.py --loco 4028 --day 2017-02-07</v>
      </c>
      <c r="AN177" s="167" t="str">
        <f>"grep -SE -B400 ""CHR.+\|PRM\|1\|D.+(SWITCH|SIGNAL).+UNKNOWN"" "&amp;search_path&amp;"\RTDC"&amp;B177&amp;"\*"&amp;B177&amp;"*"&amp;TEXT(AVERAGE(F177,I177)-utc_offset/24,"YYYYMMDD")&amp;"*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"%USERPROFILE%\AppData\Local\Temp\OnboardLogs"\RTDC4028\*4028*20170207* | grep -SE "(Enforcement Action)|(\[TIMEOUT)|(CHR.+\|PRM\|1\|D.+(SWITCH|SIGNAL).+UNKNOWN)" - &gt;&gt; 2017-02-07-UncaughtWiMAX.txt</v>
      </c>
    </row>
    <row r="178" spans="1:91" s="20" customFormat="1" x14ac:dyDescent="0.25">
      <c r="A178" s="33" t="s">
        <v>600</v>
      </c>
      <c r="B178" s="7">
        <v>4027</v>
      </c>
      <c r="C178" s="21" t="s">
        <v>193</v>
      </c>
      <c r="D178" s="21" t="s">
        <v>831</v>
      </c>
      <c r="E178" s="13">
        <v>42773.546666666669</v>
      </c>
      <c r="F178" s="13">
        <v>42773.556446759256</v>
      </c>
      <c r="G178" s="7">
        <v>5</v>
      </c>
      <c r="H178" s="21" t="s">
        <v>386</v>
      </c>
      <c r="I178" s="13">
        <v>42773.565127314818</v>
      </c>
      <c r="J178" s="7">
        <v>0</v>
      </c>
      <c r="K178" s="98" t="str">
        <f>IF(ISEVEN(B178),(B178-1)&amp;"/"&amp;B178,B178&amp;"/"&amp;(B178+1))</f>
        <v>4027/4028</v>
      </c>
      <c r="L178" s="21" t="str">
        <f>VLOOKUP(A178,'Trips&amp;Operators'!$C$1:$G$99999,5,FALSE)</f>
        <v>LEVIN SCOTT</v>
      </c>
      <c r="M178" s="6">
        <f>I178-F178</f>
        <v>8.6805555620230734E-3</v>
      </c>
      <c r="N178" s="7">
        <f>24*60*SUM($M178:$M178)</f>
        <v>12.500000009313226</v>
      </c>
      <c r="O178" s="7"/>
      <c r="P178" s="7"/>
      <c r="Q178" s="22"/>
      <c r="R178" s="22"/>
      <c r="S178" s="31">
        <f>SUM(U178:U178)/IF(AG178="EC",12,1)</f>
        <v>1</v>
      </c>
      <c r="T178" s="46" t="str">
        <f>IF(ISEVEN(LEFT(AD178,4)),"Southbound","NorthBound")</f>
        <v>NorthBound</v>
      </c>
      <c r="U178" s="190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191" t="str">
        <f>"https://d0f6bd738d7f1b3e5a7ca70fe4ff75f0.us-east-1.aws.found.io/app/kibana#/discover/Steve-Slow-Train-Analysis-(2080s-and-2083s)?_g="&amp;"(refreshInterval:(display:Off,pause:!f,section:0,value:0),time:(from:'"&amp;TEXT(E178-1/24,"yyyy-MM-DDThh:mm:ss")&amp;utc_offset&amp;"00"&amp;"',mode:absolute,to:'"&amp;TEXT(I178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178&amp;"%22')),sort:!(Time.ISO8601,asc))"</f>
        <v>https://d0f6bd738d7f1b3e5a7ca70fe4ff75f0.us-east-1.aws.found.io/app/kibana#/discover/Steve-Slow-Train-Analysis-(2080s-and-2083s)?_g=(refreshInterval:(display:Off,pause:!f,section:0,value:0),time:(from:'2017-02-07T12:07:12-0700',mode:absolute,to:'2017-02-07T14:33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78" s="192" t="str">
        <f>IF(AA178&lt;IF(AG178="EC",23,5.65),"Y","N")</f>
        <v>N</v>
      </c>
      <c r="X178" s="192">
        <f>VALUE(LEFT(AD178,4))-VALUE(LEFT(AD177,4))</f>
        <v>1</v>
      </c>
      <c r="Y178" s="62">
        <f>RIGHT(D178,LEN(D178)-4)/10000</f>
        <v>0.10059999999999999</v>
      </c>
      <c r="Z178" s="62">
        <f>RIGHT(H178,LEN(H178)-4)/10000</f>
        <v>5.8940999999999999</v>
      </c>
      <c r="AA178" s="62">
        <f>ABS(Z178-Y178)</f>
        <v>5.7934999999999999</v>
      </c>
      <c r="AB178" s="59" t="e">
        <f>VLOOKUP(A178,Enforcements!$C$7:$K$14,8,0)</f>
        <v>#N/A</v>
      </c>
      <c r="AC178" s="55" t="e">
        <f>VLOOKUP(A178,Enforcements!$C$7:$E$14,3,0)</f>
        <v>#N/A</v>
      </c>
      <c r="AD178" s="56" t="str">
        <f>IF(LEN(A178)=6,"0"&amp;A178,A178)</f>
        <v>0821-07</v>
      </c>
      <c r="AE178" s="85" t="str">
        <f>"aws s3 cp "&amp;s3_bucket&amp;"/RTDC"&amp;B178&amp;"/ "&amp;search_path&amp;"\RTDC"&amp;B178&amp;"\"&amp;TEXT(F178,"YYYY-MM-DD")&amp;" --exclude ""*"" --recursive --include ""*"&amp;TEXT(F178,"YYYYMMDD")&amp;"*"" &amp; """&amp;walkandungz&amp;""" "&amp;search_path&amp;"\RTDC"&amp;B178&amp;"\"&amp;TEXT(F178,"YYYY-MM-DD")
&amp;" &amp; "&amp;"aws s3 cp "&amp;s3_bucket&amp;"/RTDC"&amp;B178&amp;"/ "&amp;search_path&amp;"\RTDC"&amp;B178&amp;"\"&amp;TEXT(F178+1,"YYYY-MM-DD")&amp;" --exclude ""*"" --recursive --include ""*"&amp;TEXT(F178+1,"YYYYMMDD")&amp;"*"" &amp; """&amp;walkandungz&amp;""" "&amp;search_path&amp;"\RTDC"&amp;B178&amp;"\"&amp;TEXT(F178+1,"YYYY-MM-DD")</f>
        <v>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 &amp; 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</v>
      </c>
      <c r="AF178" s="82" t="str">
        <f>astrogrep_path&amp;" /spath="&amp;search_path&amp;" /stypes=""app*"&amp;B178&amp;"*"&amp;TEXT(I178-utc_offset/24,"YYYYMMDD")&amp;"*"" /stext="" "&amp;TEXT(I178-utc_offset/24,"HH")&amp;search_regexp&amp;""" /e /r /s"</f>
        <v>"C:\Program Files (x86)\AstroGrep\AstroGrep.exe" /spath="%USERPROFILE%\AppData\Local\Temp\OnboardLogs" /stypes="app*4027*20170207*" /stext=" 20:.+((SYSTEM_STATE.+slice.+state.+changed )|(ment ac)|(multiple cpu faults)|(system.+state.+changed )|(\[timeout)|(PRM\|1\|D)|(kpr)|(kdp)|(\|lc)|(penalty))" /e /r /s</v>
      </c>
      <c r="AG178" s="1" t="str">
        <f>IFERROR(IF(VALUE(LEFT(AD178,2))&lt;=2,"EC",IF(OR(VALUE(LEFT(AD178,2))=8,VALUE(LEFT(AD178,2))=18),"NW","Other")),"Other")</f>
        <v>NW</v>
      </c>
      <c r="AH178" s="86" t="str">
        <f t="shared" si="9"/>
        <v>"%USERPROFILE%\Documents\GitHub\eaglep3\Utilities\RefineRTDCRunTimes.py" --tripid 821-07 --locoid 4027 --swversion DE.1.0.8.0 --startMP 204:1006 --initTime 2017-02-07T13:07:12 --startdatetime 2017-02-07T13:21:17 --delay 5 --endMP 300:58941 --enddatetime 2017-02-07T13:33:47 --enforcementcount 0 &gt;&gt;C:\Users\stu\Documents\GitHub\eaglep3-reporting\EC\2017-02-07-refined-times.txt</v>
      </c>
      <c r="AI178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{"issue":{"subject":"","project_id":79,"tracker_id":40,"status_id":1,"priority_id":2,"assigned_to_id":23,"start_date":"2017-02-07","description":"","custom_fields":[{"id":1,"name":"Subdivision","value":"NW"},{"id":4,"name":"Milepost","value":"5.8941"},{"id":17,"name":"Train ID","value":"821-07"},{"id":16,"name":"Locomotive ID","value":"4027"},{"id":130,"name":"Impact","value":""},{"id":150,"name":"Time of Event (Mountain Time)","value":"13:33:47"},{"id":151,"name":"Denver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48"/>
      <c r="AK178" s="48"/>
      <c r="AL178" s="48"/>
      <c r="AM178" s="158" t="str">
        <f t="shared" si="11"/>
        <v>start /low /b %USERPROFILE%\Documents\GitHub\eaglep3\Utilities\DownloadLogsFromS3.py --loco 4027 --day 2017-02-07</v>
      </c>
      <c r="AN178" s="167" t="str">
        <f>"grep -SE -B400 ""CHR.+\|PRM\|1\|D.+(SWITCH|SIGNAL).+UNKNOWN"" "&amp;search_path&amp;"\RTDC"&amp;B178&amp;"\*"&amp;B178&amp;"*"&amp;TEXT(AVERAGE(F178,I178)-utc_offset/24,"YYYYMMDD")&amp;"*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"%USERPROFILE%\AppData\Local\Temp\OnboardLogs"\RTDC4027\*4027*20170207* | grep -SE "(Enforcement Action)|(\[TIMEOUT)|(CHR.+\|PRM\|1\|D.+(SWITCH|SIGNAL).+UNKNOWN)" - &gt;&gt; 2017-02-07-UncaughtWiMAX.txt</v>
      </c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</row>
    <row r="179" spans="1:91" x14ac:dyDescent="0.25">
      <c r="A179" s="33" t="s">
        <v>603</v>
      </c>
      <c r="B179" s="7">
        <v>4028</v>
      </c>
      <c r="C179" s="21" t="s">
        <v>193</v>
      </c>
      <c r="D179" s="21" t="s">
        <v>832</v>
      </c>
      <c r="E179" s="13">
        <v>42773.566284722219</v>
      </c>
      <c r="F179" s="13">
        <v>42773.568159722221</v>
      </c>
      <c r="G179" s="7">
        <v>1</v>
      </c>
      <c r="H179" s="21" t="s">
        <v>446</v>
      </c>
      <c r="I179" s="13">
        <v>42773.579814814817</v>
      </c>
      <c r="J179" s="7">
        <v>0</v>
      </c>
      <c r="K179" s="98" t="str">
        <f>IF(ISEVEN(B179),(B179-1)&amp;"/"&amp;B179,B179&amp;"/"&amp;(B179+1))</f>
        <v>4027/4028</v>
      </c>
      <c r="L179" s="21" t="str">
        <f>VLOOKUP(A179,'Trips&amp;Operators'!$C$1:$G$99999,5,FALSE)</f>
        <v>LEVIN SCOTT</v>
      </c>
      <c r="M179" s="6">
        <f>I179-F179</f>
        <v>1.1655092595901806E-2</v>
      </c>
      <c r="N179" s="7">
        <f>24*60*SUM($M179:$M179)</f>
        <v>16.783333338098601</v>
      </c>
      <c r="O179" s="7"/>
      <c r="P179" s="7"/>
      <c r="Q179" s="22"/>
      <c r="R179" s="22"/>
      <c r="S179" s="31">
        <f>SUM(U179:U179)/IF(AG179="EC",12,1)</f>
        <v>1</v>
      </c>
      <c r="T179" s="46" t="str">
        <f>IF(ISEVEN(LEFT(AD179,4)),"Southbound","NorthBound")</f>
        <v>Southbound</v>
      </c>
      <c r="U179" s="190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191" t="str">
        <f>"https://d0f6bd738d7f1b3e5a7ca70fe4ff75f0.us-east-1.aws.found.io/app/kibana#/discover/Steve-Slow-Train-Analysis-(2080s-and-2083s)?_g="&amp;"(refreshInterval:(display:Off,pause:!f,section:0,value:0),time:(from:'"&amp;TEXT(E179-1/24,"yyyy-MM-DDThh:mm:ss")&amp;utc_offset&amp;"00"&amp;"',mode:absolute,to:'"&amp;TEXT(I179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179&amp;"%22')),sort:!(Time.ISO8601,asc))"</f>
        <v>https://d0f6bd738d7f1b3e5a7ca70fe4ff75f0.us-east-1.aws.found.io/app/kibana#/discover/Steve-Slow-Train-Analysis-(2080s-and-2083s)?_g=(refreshInterval:(display:Off,pause:!f,section:0,value:0),time:(from:'2017-02-07T12:35:27-0700',mode:absolute,to:'2017-02-07T14:54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79" s="192" t="str">
        <f>IF(AA179&lt;IF(AG179="EC",23,5.65),"Y","N")</f>
        <v>N</v>
      </c>
      <c r="X179" s="192">
        <f>VALUE(LEFT(AD179,4))-VALUE(LEFT(AD178,4))</f>
        <v>1</v>
      </c>
      <c r="Y179" s="62">
        <f>RIGHT(D179,LEN(D179)-4)/10000</f>
        <v>5.8620999999999999</v>
      </c>
      <c r="Z179" s="62">
        <f>RIGHT(H179,LEN(H179)-4)/10000</f>
        <v>6.5000000000000002E-2</v>
      </c>
      <c r="AA179" s="62">
        <f>ABS(Z179-Y179)</f>
        <v>5.7970999999999995</v>
      </c>
      <c r="AB179" s="59" t="e">
        <f>VLOOKUP(A179,Enforcements!$C$7:$K$14,8,0)</f>
        <v>#N/A</v>
      </c>
      <c r="AC179" s="55" t="e">
        <f>VLOOKUP(A179,Enforcements!$C$7:$E$14,3,0)</f>
        <v>#N/A</v>
      </c>
      <c r="AD179" s="56" t="str">
        <f>IF(LEN(A179)=6,"0"&amp;A179,A179)</f>
        <v>0822-07</v>
      </c>
      <c r="AE179" s="85" t="str">
        <f>"aws s3 cp "&amp;s3_bucket&amp;"/RTDC"&amp;B179&amp;"/ "&amp;search_path&amp;"\RTDC"&amp;B179&amp;"\"&amp;TEXT(F179,"YYYY-MM-DD")&amp;" --exclude ""*"" --recursive --include ""*"&amp;TEXT(F179,"YYYYMMDD")&amp;"*"" &amp; """&amp;walkandungz&amp;""" "&amp;search_path&amp;"\RTDC"&amp;B179&amp;"\"&amp;TEXT(F179,"YYYY-MM-DD")
&amp;" &amp; "&amp;"aws s3 cp "&amp;s3_bucket&amp;"/RTDC"&amp;B179&amp;"/ "&amp;search_path&amp;"\RTDC"&amp;B179&amp;"\"&amp;TEXT(F179+1,"YYYY-MM-DD")&amp;" --exclude ""*"" --recursive --include ""*"&amp;TEXT(F179+1,"YYYYMMDD")&amp;"*"" &amp; """&amp;walkandungz&amp;""" "&amp;search_path&amp;"\RTDC"&amp;B179&amp;"\"&amp;TEXT(F179+1,"YYYY-MM-DD")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AF179" s="82" t="str">
        <f>astrogrep_path&amp;" /spath="&amp;search_path&amp;" /stypes=""app*"&amp;B179&amp;"*"&amp;TEXT(I179-utc_offset/24,"YYYYMMDD")&amp;"*"" /stext="" "&amp;TEXT(I179-utc_offset/24,"HH")&amp;search_regexp&amp;""" /e /r /s"</f>
        <v>"C:\Program Files (x86)\AstroGrep\AstroGrep.exe" /spath="%USERPROFILE%\AppData\Local\Temp\OnboardLogs" /stypes="app*4028*20170207*" /stext=" 20:.+((SYSTEM_STATE.+slice.+state.+changed )|(ment ac)|(multiple cpu faults)|(system.+state.+changed )|(\[timeout)|(PRM\|1\|D)|(kpr)|(kdp)|(\|lc)|(penalty))" /e /r /s</v>
      </c>
      <c r="AG179" s="1" t="str">
        <f>IFERROR(IF(VALUE(LEFT(AD179,2))&lt;=2,"EC",IF(OR(VALUE(LEFT(AD179,2))=8,VALUE(LEFT(AD179,2))=18),"NW","Other")),"Other")</f>
        <v>NW</v>
      </c>
      <c r="AH179" s="86" t="str">
        <f t="shared" si="9"/>
        <v>"%USERPROFILE%\Documents\GitHub\eaglep3\Utilities\RefineRTDCRunTimes.py" --tripid 822-07 --locoid 4028 --swversion DE.1.0.8.0 --startMP 300:58621 --initTime 2017-02-07T13:35:27 --startdatetime 2017-02-07T13:38:09 --delay 1 --endMP 204:650 --enddatetime 2017-02-07T13:54:56 --enforcementcount 0 &gt;&gt;C:\Users\stu\Documents\GitHub\eaglep3-reporting\EC\2017-02-07-refined-times.txt</v>
      </c>
      <c r="AI179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{"issue":{"subject":"","project_id":79,"tracker_id":40,"status_id":1,"priority_id":2,"assigned_to_id":23,"start_date":"2017-02-07","description":"","custom_fields":[{"id":1,"name":"Subdivision","value":"NW"},{"id":4,"name":"Milepost","value":"0.065"},{"id":17,"name":"Train ID","value":"822-07"},{"id":16,"name":"Locomotive ID","value":"4028"},{"id":130,"name":"Impact","value":""},{"id":150,"name":"Time of Event (Mountain Time)","value":"13:54:56"},{"id":151,"name":"Denver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48"/>
      <c r="AK179" s="48"/>
      <c r="AL179" s="48"/>
      <c r="AM179" s="158" t="str">
        <f t="shared" si="11"/>
        <v>start /low /b %USERPROFILE%\Documents\GitHub\eaglep3\Utilities\DownloadLogsFromS3.py --loco 4028 --day 2017-02-07</v>
      </c>
      <c r="AN179" s="167" t="str">
        <f>"grep -SE -B400 ""CHR.+\|PRM\|1\|D.+(SWITCH|SIGNAL).+UNKNOWN"" "&amp;search_path&amp;"\RTDC"&amp;B179&amp;"\*"&amp;B179&amp;"*"&amp;TEXT(AVERAGE(F179,I179)-utc_offset/24,"YYYYMMDD")&amp;"*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"%USERPROFILE%\AppData\Local\Temp\OnboardLogs"\RTDC4028\*4028*20170207* | grep -SE "(Enforcement Action)|(\[TIMEOUT)|(CHR.+\|PRM\|1\|D.+(SWITCH|SIGNAL).+UNKNOWN)" - &gt;&gt; 2017-02-07-UncaughtWiMAX.txt</v>
      </c>
    </row>
    <row r="180" spans="1:91" x14ac:dyDescent="0.25">
      <c r="A180" s="33" t="s">
        <v>612</v>
      </c>
      <c r="B180" s="7">
        <v>4027</v>
      </c>
      <c r="C180" s="21" t="s">
        <v>193</v>
      </c>
      <c r="D180" s="21" t="s">
        <v>833</v>
      </c>
      <c r="E180" s="13">
        <v>42773.590555555558</v>
      </c>
      <c r="F180" s="13">
        <v>42773.598124999997</v>
      </c>
      <c r="G180" s="7">
        <v>1</v>
      </c>
      <c r="H180" s="21" t="s">
        <v>385</v>
      </c>
      <c r="I180" s="13">
        <v>42773.607372685183</v>
      </c>
      <c r="J180" s="7">
        <v>0</v>
      </c>
      <c r="K180" s="98" t="str">
        <f>IF(ISEVEN(B180),(B180-1)&amp;"/"&amp;B180,B180&amp;"/"&amp;(B180+1))</f>
        <v>4027/4028</v>
      </c>
      <c r="L180" s="21" t="str">
        <f>VLOOKUP(A180,'Trips&amp;Operators'!$C$1:$G$99999,5,FALSE)</f>
        <v>LEVIN SCOTT</v>
      </c>
      <c r="M180" s="6">
        <f>I180-F180</f>
        <v>9.2476851859828457E-3</v>
      </c>
      <c r="N180" s="7">
        <f>24*60*SUM($M180:$M180)</f>
        <v>13.316666667815298</v>
      </c>
      <c r="O180" s="7"/>
      <c r="P180" s="7"/>
      <c r="Q180" s="22"/>
      <c r="R180" s="22"/>
      <c r="S180" s="31">
        <f>SUM(U180:U180)/IF(AG180="EC",12,1)</f>
        <v>1</v>
      </c>
      <c r="T180" s="46" t="str">
        <f>IF(ISEVEN(LEFT(AD180,4)),"Southbound","NorthBound")</f>
        <v>NorthBound</v>
      </c>
      <c r="U180" s="190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191" t="str">
        <f>"https://d0f6bd738d7f1b3e5a7ca70fe4ff75f0.us-east-1.aws.found.io/app/kibana#/discover/Steve-Slow-Train-Analysis-(2080s-and-2083s)?_g="&amp;"(refreshInterval:(display:Off,pause:!f,section:0,value:0),time:(from:'"&amp;TEXT(E180-1/24,"yyyy-MM-DDThh:mm:ss")&amp;utc_offset&amp;"00"&amp;"',mode:absolute,to:'"&amp;TEXT(I180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180&amp;"%22')),sort:!(Time.ISO8601,asc))"</f>
        <v>https://d0f6bd738d7f1b3e5a7ca70fe4ff75f0.us-east-1.aws.found.io/app/kibana#/discover/Steve-Slow-Train-Analysis-(2080s-and-2083s)?_g=(refreshInterval:(display:Off,pause:!f,section:0,value:0),time:(from:'2017-02-07T13:10:24-0700',mode:absolute,to:'2017-02-07T15:34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0" s="192" t="str">
        <f>IF(AA180&lt;IF(AG180="EC",23,5.65),"Y","N")</f>
        <v>N</v>
      </c>
      <c r="X180" s="192">
        <f>VALUE(LEFT(AD180,4))-VALUE(LEFT(AD179,4))</f>
        <v>1</v>
      </c>
      <c r="Y180" s="62">
        <f>RIGHT(D180,LEN(D180)-4)/10000</f>
        <v>9.3899999999999997E-2</v>
      </c>
      <c r="Z180" s="62">
        <f>RIGHT(H180,LEN(H180)-4)/10000</f>
        <v>5.8929</v>
      </c>
      <c r="AA180" s="62">
        <f>ABS(Z180-Y180)</f>
        <v>5.7990000000000004</v>
      </c>
      <c r="AB180" s="59" t="e">
        <f>VLOOKUP(A180,Enforcements!$C$7:$K$14,8,0)</f>
        <v>#N/A</v>
      </c>
      <c r="AC180" s="55" t="e">
        <f>VLOOKUP(A180,Enforcements!$C$7:$E$14,3,0)</f>
        <v>#N/A</v>
      </c>
      <c r="AD180" s="56" t="str">
        <f>IF(LEN(A180)=6,"0"&amp;A180,A180)</f>
        <v>0823-07</v>
      </c>
      <c r="AE180" s="85" t="str">
        <f>"aws s3 cp "&amp;s3_bucket&amp;"/RTDC"&amp;B180&amp;"/ "&amp;search_path&amp;"\RTDC"&amp;B180&amp;"\"&amp;TEXT(F180,"YYYY-MM-DD")&amp;" --exclude ""*"" --recursive --include ""*"&amp;TEXT(F180,"YYYYMMDD")&amp;"*"" &amp; """&amp;walkandungz&amp;""" "&amp;search_path&amp;"\RTDC"&amp;B180&amp;"\"&amp;TEXT(F180,"YYYY-MM-DD")
&amp;" &amp; "&amp;"aws s3 cp "&amp;s3_bucket&amp;"/RTDC"&amp;B180&amp;"/ "&amp;search_path&amp;"\RTDC"&amp;B180&amp;"\"&amp;TEXT(F180+1,"YYYY-MM-DD")&amp;" --exclude ""*"" --recursive --include ""*"&amp;TEXT(F180+1,"YYYYMMDD")&amp;"*"" &amp; """&amp;walkandungz&amp;""" "&amp;search_path&amp;"\RTDC"&amp;B180&amp;"\"&amp;TEXT(F180+1,"YYYY-MM-DD")</f>
        <v>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 &amp; 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</v>
      </c>
      <c r="AF180" s="82" t="str">
        <f>astrogrep_path&amp;" /spath="&amp;search_path&amp;" /stypes=""app*"&amp;B180&amp;"*"&amp;TEXT(I180-utc_offset/24,"YYYYMMDD")&amp;"*"" /stext="" "&amp;TEXT(I180-utc_offset/24,"HH")&amp;search_regexp&amp;""" /e /r /s"</f>
        <v>"C:\Program Files (x86)\AstroGrep\AstroGrep.exe" /spath="%USERPROFILE%\AppData\Local\Temp\OnboardLogs" /stypes="app*4027*20170207*" /stext=" 21:.+((SYSTEM_STATE.+slice.+state.+changed )|(ment ac)|(multiple cpu faults)|(system.+state.+changed )|(\[timeout)|(PRM\|1\|D)|(kpr)|(kdp)|(\|lc)|(penalty))" /e /r /s</v>
      </c>
      <c r="AG180" s="1" t="str">
        <f>IFERROR(IF(VALUE(LEFT(AD180,2))&lt;=2,"EC",IF(OR(VALUE(LEFT(AD180,2))=8,VALUE(LEFT(AD180,2))=18),"NW","Other")),"Other")</f>
        <v>NW</v>
      </c>
      <c r="AH180" s="86" t="str">
        <f t="shared" si="9"/>
        <v>"%USERPROFILE%\Documents\GitHub\eaglep3\Utilities\RefineRTDCRunTimes.py" --tripid 823-07 --locoid 4027 --swversion DE.1.0.8.0 --startMP 204:939 --initTime 2017-02-07T14:10:24 --startdatetime 2017-02-07T14:21:18 --delay 1 --endMP 300:58929 --enddatetime 2017-02-07T14:34:37 --enforcementcount 0 &gt;&gt;C:\Users\stu\Documents\GitHub\eaglep3-reporting\EC\2017-02-07-refined-times.txt</v>
      </c>
      <c r="AI180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{"issue":{"subject":"","project_id":79,"tracker_id":40,"status_id":1,"priority_id":2,"assigned_to_id":23,"start_date":"2017-02-07","description":"","custom_fields":[{"id":1,"name":"Subdivision","value":"NW"},{"id":4,"name":"Milepost","value":"5.8929"},{"id":17,"name":"Train ID","value":"823-07"},{"id":16,"name":"Locomotive ID","value":"4027"},{"id":130,"name":"Impact","value":""},{"id":150,"name":"Time of Event (Mountain Time)","value":"14:34:37"},{"id":151,"name":"Denver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48"/>
      <c r="AK180" s="48"/>
      <c r="AL180" s="48"/>
      <c r="AM180" s="158" t="str">
        <f t="shared" si="11"/>
        <v>start /low /b %USERPROFILE%\Documents\GitHub\eaglep3\Utilities\DownloadLogsFromS3.py --loco 4027 --day 2017-02-07</v>
      </c>
      <c r="AN180" s="167" t="str">
        <f>"grep -SE -B400 ""CHR.+\|PRM\|1\|D.+(SWITCH|SIGNAL).+UNKNOWN"" "&amp;search_path&amp;"\RTDC"&amp;B180&amp;"\*"&amp;B180&amp;"*"&amp;TEXT(AVERAGE(F180,I180)-utc_offset/24,"YYYYMMDD")&amp;"*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"%USERPROFILE%\AppData\Local\Temp\OnboardLogs"\RTDC4027\*4027*20170207* | grep -SE "(Enforcement Action)|(\[TIMEOUT)|(CHR.+\|PRM\|1\|D.+(SWITCH|SIGNAL).+UNKNOWN)" - &gt;&gt; 2017-02-07-UncaughtWiMAX.txt</v>
      </c>
    </row>
    <row r="181" spans="1:91" x14ac:dyDescent="0.25">
      <c r="A181" s="33" t="s">
        <v>615</v>
      </c>
      <c r="B181" s="7">
        <v>4028</v>
      </c>
      <c r="C181" s="21" t="s">
        <v>193</v>
      </c>
      <c r="D181" s="21" t="s">
        <v>834</v>
      </c>
      <c r="E181" s="13">
        <v>42773.608807870369</v>
      </c>
      <c r="F181" s="13">
        <v>42773.610393518517</v>
      </c>
      <c r="G181" s="7">
        <v>1</v>
      </c>
      <c r="H181" s="21" t="s">
        <v>835</v>
      </c>
      <c r="I181" s="13">
        <v>42773.621458333335</v>
      </c>
      <c r="J181" s="7">
        <v>0</v>
      </c>
      <c r="K181" s="98" t="str">
        <f>IF(ISEVEN(B181),(B181-1)&amp;"/"&amp;B181,B181&amp;"/"&amp;(B181+1))</f>
        <v>4027/4028</v>
      </c>
      <c r="L181" s="21" t="str">
        <f>VLOOKUP(A181,'Trips&amp;Operators'!$C$1:$G$99999,5,FALSE)</f>
        <v>LEVIN SCOTT</v>
      </c>
      <c r="M181" s="6">
        <f>I181-F181</f>
        <v>1.1064814818382729E-2</v>
      </c>
      <c r="N181" s="7">
        <f>24*60*SUM($M181:$M181)</f>
        <v>15.93333333847113</v>
      </c>
      <c r="O181" s="7"/>
      <c r="P181" s="7"/>
      <c r="Q181" s="22"/>
      <c r="R181" s="22"/>
      <c r="S181" s="31">
        <f>SUM(U181:U181)/IF(AG181="EC",12,1)</f>
        <v>1</v>
      </c>
      <c r="T181" s="46" t="str">
        <f>IF(ISEVEN(LEFT(AD181,4)),"Southbound","NorthBound")</f>
        <v>Southbound</v>
      </c>
      <c r="U181" s="190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191" t="str">
        <f>"https://d0f6bd738d7f1b3e5a7ca70fe4ff75f0.us-east-1.aws.found.io/app/kibana#/discover/Steve-Slow-Train-Analysis-(2080s-and-2083s)?_g="&amp;"(refreshInterval:(display:Off,pause:!f,section:0,value:0),time:(from:'"&amp;TEXT(E181-1/24,"yyyy-MM-DDThh:mm:ss")&amp;utc_offset&amp;"00"&amp;"',mode:absolute,to:'"&amp;TEXT(I181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181&amp;"%22')),sort:!(Time.ISO8601,asc))"</f>
        <v>https://d0f6bd738d7f1b3e5a7ca70fe4ff75f0.us-east-1.aws.found.io/app/kibana#/discover/Steve-Slow-Train-Analysis-(2080s-and-2083s)?_g=(refreshInterval:(display:Off,pause:!f,section:0,value:0),time:(from:'2017-02-07T13:36:41-0700',mode:absolute,to:'2017-02-07T15:54:54-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1" s="192" t="str">
        <f>IF(AA181&lt;IF(AG181="EC",23,5.65),"Y","N")</f>
        <v>N</v>
      </c>
      <c r="X181" s="192">
        <f>VALUE(LEFT(AD181,4))-VALUE(LEFT(AD180,4))</f>
        <v>1</v>
      </c>
      <c r="Y181" s="62">
        <f>RIGHT(D181,LEN(D181)-4)/10000</f>
        <v>5.8623000000000003</v>
      </c>
      <c r="Z181" s="62">
        <f>RIGHT(H181,LEN(H181)-4)/10000</f>
        <v>6.5600000000000006E-2</v>
      </c>
      <c r="AA181" s="62">
        <f>ABS(Z181-Y181)</f>
        <v>5.7967000000000004</v>
      </c>
      <c r="AB181" s="59" t="e">
        <f>VLOOKUP(A181,Enforcements!$C$7:$K$14,8,0)</f>
        <v>#N/A</v>
      </c>
      <c r="AC181" s="55" t="e">
        <f>VLOOKUP(A181,Enforcements!$C$7:$E$14,3,0)</f>
        <v>#N/A</v>
      </c>
      <c r="AD181" s="56" t="str">
        <f>IF(LEN(A181)=6,"0"&amp;A181,A181)</f>
        <v>0824-07</v>
      </c>
      <c r="AE181" s="85" t="str">
        <f>"aws s3 cp "&amp;s3_bucket&amp;"/RTDC"&amp;B181&amp;"/ "&amp;search_path&amp;"\RTDC"&amp;B181&amp;"\"&amp;TEXT(F181,"YYYY-MM-DD")&amp;" --exclude ""*"" --recursive --include ""*"&amp;TEXT(F181,"YYYYMMDD")&amp;"*"" &amp; """&amp;walkandungz&amp;""" "&amp;search_path&amp;"\RTDC"&amp;B181&amp;"\"&amp;TEXT(F181,"YYYY-MM-DD")
&amp;" &amp; "&amp;"aws s3 cp "&amp;s3_bucket&amp;"/RTDC"&amp;B181&amp;"/ "&amp;search_path&amp;"\RTDC"&amp;B181&amp;"\"&amp;TEXT(F181+1,"YYYY-MM-DD")&amp;" --exclude ""*"" --recursive --include ""*"&amp;TEXT(F181+1,"YYYYMMDD")&amp;"*"" &amp; """&amp;walkandungz&amp;""" "&amp;search_path&amp;"\RTDC"&amp;B181&amp;"\"&amp;TEXT(F181+1,"YYYY-MM-DD")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AF181" s="82" t="str">
        <f>astrogrep_path&amp;" /spath="&amp;search_path&amp;" /stypes=""app*"&amp;B181&amp;"*"&amp;TEXT(I181-utc_offset/24,"YYYYMMDD")&amp;"*"" /stext="" "&amp;TEXT(I181-utc_offset/24,"HH")&amp;search_regexp&amp;""" /e /r /s"</f>
        <v>"C:\Program Files (x86)\AstroGrep\AstroGrep.exe" /spath="%USERPROFILE%\AppData\Local\Temp\OnboardLogs" /stypes="app*4028*20170207*" /stext=" 21:.+((SYSTEM_STATE.+slice.+state.+changed )|(ment ac)|(multiple cpu faults)|(system.+state.+changed )|(\[timeout)|(PRM\|1\|D)|(kpr)|(kdp)|(\|lc)|(penalty))" /e /r /s</v>
      </c>
      <c r="AG181" s="1" t="str">
        <f>IFERROR(IF(VALUE(LEFT(AD181,2))&lt;=2,"EC",IF(OR(VALUE(LEFT(AD181,2))=8,VALUE(LEFT(AD181,2))=18),"NW","Other")),"Other")</f>
        <v>NW</v>
      </c>
      <c r="AH181" s="86" t="str">
        <f t="shared" si="9"/>
        <v>"%USERPROFILE%\Documents\GitHub\eaglep3\Utilities\RefineRTDCRunTimes.py" --tripid 824-07 --locoid 4028 --swversion DE.1.0.8.0 --startMP 300:58623 --initTime 2017-02-07T14:36:41 --startdatetime 2017-02-07T14:38:58 --delay 1 --endMP 204:656 --enddatetime 2017-02-07T14:54:54 --enforcementcount 0 &gt;&gt;C:\Users\stu\Documents\GitHub\eaglep3-reporting\EC\2017-02-07-refined-times.txt</v>
      </c>
      <c r="AI181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{"issue":{"subject":"","project_id":79,"tracker_id":40,"status_id":1,"priority_id":2,"assigned_to_id":23,"start_date":"2017-02-07","description":"","custom_fields":[{"id":1,"name":"Subdivision","value":"NW"},{"id":4,"name":"Milepost","value":"0.0656"},{"id":17,"name":"Train ID","value":"824-07"},{"id":16,"name":"Locomotive ID","value":"4028"},{"id":130,"name":"Impact","value":""},{"id":150,"name":"Time of Event (Mountain Time)","value":"14:54:54"},{"id":151,"name":"Denver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48"/>
      <c r="AK181" s="48"/>
      <c r="AL181" s="48"/>
      <c r="AM181" s="158" t="str">
        <f t="shared" si="11"/>
        <v>start /low /b %USERPROFILE%\Documents\GitHub\eaglep3\Utilities\DownloadLogsFromS3.py --loco 4028 --day 2017-02-07</v>
      </c>
      <c r="AN181" s="167" t="str">
        <f>"grep -SE -B400 ""CHR.+\|PRM\|1\|D.+(SWITCH|SIGNAL).+UNKNOWN"" "&amp;search_path&amp;"\RTDC"&amp;B181&amp;"\*"&amp;B181&amp;"*"&amp;TEXT(AVERAGE(F181,I181)-utc_offset/24,"YYYYMMDD")&amp;"*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"%USERPROFILE%\AppData\Local\Temp\OnboardLogs"\RTDC4028\*4028*20170207* | grep -SE "(Enforcement Action)|(\[TIMEOUT)|(CHR.+\|PRM\|1\|D.+(SWITCH|SIGNAL).+UNKNOWN)" - &gt;&gt; 2017-02-07-UncaughtWiMAX.txt</v>
      </c>
    </row>
    <row r="182" spans="1:91" s="20" customFormat="1" x14ac:dyDescent="0.25">
      <c r="A182" s="33" t="s">
        <v>621</v>
      </c>
      <c r="B182" s="7">
        <v>4027</v>
      </c>
      <c r="C182" s="21" t="s">
        <v>193</v>
      </c>
      <c r="D182" s="21" t="s">
        <v>836</v>
      </c>
      <c r="E182" s="13">
        <v>42773.635509259257</v>
      </c>
      <c r="F182" s="13">
        <v>42773.639745370368</v>
      </c>
      <c r="G182" s="7">
        <v>1</v>
      </c>
      <c r="H182" s="21" t="s">
        <v>458</v>
      </c>
      <c r="I182" s="13">
        <v>42773.649050925924</v>
      </c>
      <c r="J182" s="7">
        <v>0</v>
      </c>
      <c r="K182" s="98" t="str">
        <f>IF(ISEVEN(B182),(B182-1)&amp;"/"&amp;B182,B182&amp;"/"&amp;(B182+1))</f>
        <v>4027/4028</v>
      </c>
      <c r="L182" s="21" t="str">
        <f>VLOOKUP(A182,'Trips&amp;Operators'!$C$1:$G$99999,5,FALSE)</f>
        <v>LEVIN SCOTT</v>
      </c>
      <c r="M182" s="6">
        <f>I182-F182</f>
        <v>9.3055555553291924E-3</v>
      </c>
      <c r="N182" s="7">
        <f>24*60*SUM($M182:$M182)</f>
        <v>13.399999999674037</v>
      </c>
      <c r="O182" s="7"/>
      <c r="P182" s="7"/>
      <c r="Q182" s="22"/>
      <c r="R182" s="22"/>
      <c r="S182" s="31">
        <f>SUM(U182:U182)/IF(AG182="EC",12,1)</f>
        <v>1</v>
      </c>
      <c r="T182" s="46" t="str">
        <f>IF(ISEVEN(LEFT(AD182,4)),"Southbound","NorthBound")</f>
        <v>NorthBound</v>
      </c>
      <c r="U182" s="190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191" t="str">
        <f>"https://d0f6bd738d7f1b3e5a7ca70fe4ff75f0.us-east-1.aws.found.io/app/kibana#/discover/Steve-Slow-Train-Analysis-(2080s-and-2083s)?_g="&amp;"(refreshInterval:(display:Off,pause:!f,section:0,value:0),time:(from:'"&amp;TEXT(E182-1/24,"yyyy-MM-DDThh:mm:ss")&amp;utc_offset&amp;"00"&amp;"',mode:absolute,to:'"&amp;TEXT(I182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182&amp;"%22')),sort:!(Time.ISO8601,asc))"</f>
        <v>https://d0f6bd738d7f1b3e5a7ca70fe4ff75f0.us-east-1.aws.found.io/app/kibana#/discover/Steve-Slow-Train-Analysis-(2080s-and-2083s)?_g=(refreshInterval:(display:Off,pause:!f,section:0,value:0),time:(from:'2017-02-07T14:15:08-0700',mode:absolute,to:'2017-02-07T16:34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2" s="192" t="str">
        <f>IF(AA182&lt;IF(AG182="EC",23,5.65),"Y","N")</f>
        <v>N</v>
      </c>
      <c r="X182" s="192">
        <f>VALUE(LEFT(AD182,4))-VALUE(LEFT(AD181,4))</f>
        <v>1</v>
      </c>
      <c r="Y182" s="62">
        <f>RIGHT(D182,LEN(D182)-4)/10000</f>
        <v>9.4399999999999998E-2</v>
      </c>
      <c r="Z182" s="62">
        <f>RIGHT(H182,LEN(H182)-4)/10000</f>
        <v>5.8930999999999996</v>
      </c>
      <c r="AA182" s="62">
        <f>ABS(Z182-Y182)</f>
        <v>5.7986999999999993</v>
      </c>
      <c r="AB182" s="59" t="e">
        <f>VLOOKUP(A182,Enforcements!$C$7:$K$14,8,0)</f>
        <v>#N/A</v>
      </c>
      <c r="AC182" s="55" t="e">
        <f>VLOOKUP(A182,Enforcements!$C$7:$E$14,3,0)</f>
        <v>#N/A</v>
      </c>
      <c r="AD182" s="56" t="str">
        <f>IF(LEN(A182)=6,"0"&amp;A182,A182)</f>
        <v>0825-07</v>
      </c>
      <c r="AE182" s="85" t="str">
        <f>"aws s3 cp "&amp;s3_bucket&amp;"/RTDC"&amp;B182&amp;"/ "&amp;search_path&amp;"\RTDC"&amp;B182&amp;"\"&amp;TEXT(F182,"YYYY-MM-DD")&amp;" --exclude ""*"" --recursive --include ""*"&amp;TEXT(F182,"YYYYMMDD")&amp;"*"" &amp; """&amp;walkandungz&amp;""" "&amp;search_path&amp;"\RTDC"&amp;B182&amp;"\"&amp;TEXT(F182,"YYYY-MM-DD")
&amp;" &amp; "&amp;"aws s3 cp "&amp;s3_bucket&amp;"/RTDC"&amp;B182&amp;"/ "&amp;search_path&amp;"\RTDC"&amp;B182&amp;"\"&amp;TEXT(F182+1,"YYYY-MM-DD")&amp;" --exclude ""*"" --recursive --include ""*"&amp;TEXT(F182+1,"YYYYMMDD")&amp;"*"" &amp; """&amp;walkandungz&amp;""" "&amp;search_path&amp;"\RTDC"&amp;B182&amp;"\"&amp;TEXT(F182+1,"YYYY-MM-DD")</f>
        <v>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 &amp; 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</v>
      </c>
      <c r="AF182" s="82" t="str">
        <f>astrogrep_path&amp;" /spath="&amp;search_path&amp;" /stypes=""app*"&amp;B182&amp;"*"&amp;TEXT(I182-utc_offset/24,"YYYYMMDD")&amp;"*"" /stext="" "&amp;TEXT(I182-utc_offset/24,"HH")&amp;search_regexp&amp;""" /e /r /s"</f>
        <v>"C:\Program Files (x86)\AstroGrep\AstroGrep.exe" /spath="%USERPROFILE%\AppData\Local\Temp\OnboardLogs" /stypes="app*4027*20170207*" /stext=" 22:.+((SYSTEM_STATE.+slice.+state.+changed )|(ment ac)|(multiple cpu faults)|(system.+state.+changed )|(\[timeout)|(PRM\|1\|D)|(kpr)|(kdp)|(\|lc)|(penalty))" /e /r /s</v>
      </c>
      <c r="AG182" s="1" t="str">
        <f>IFERROR(IF(VALUE(LEFT(AD182,2))&lt;=2,"EC",IF(OR(VALUE(LEFT(AD182,2))=8,VALUE(LEFT(AD182,2))=18),"NW","Other")),"Other")</f>
        <v>NW</v>
      </c>
      <c r="AH182" s="86" t="str">
        <f t="shared" si="9"/>
        <v>"%USERPROFILE%\Documents\GitHub\eaglep3\Utilities\RefineRTDCRunTimes.py" --tripid 825-07 --locoid 4027 --swversion DE.1.0.8.0 --startMP 204:944 --initTime 2017-02-07T15:15:08 --startdatetime 2017-02-07T15:21:14 --delay 1 --endMP 300:58931 --enddatetime 2017-02-07T15:34:38 --enforcementcount 0 &gt;&gt;C:\Users\stu\Documents\GitHub\eaglep3-reporting\EC\2017-02-07-refined-times.txt</v>
      </c>
      <c r="AI182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{"issue":{"subject":"","project_id":79,"tracker_id":40,"status_id":1,"priority_id":2,"assigned_to_id":23,"start_date":"2017-02-07","description":"","custom_fields":[{"id":1,"name":"Subdivision","value":"NW"},{"id":4,"name":"Milepost","value":"5.8931"},{"id":17,"name":"Train ID","value":"825-07"},{"id":16,"name":"Locomotive ID","value":"4027"},{"id":130,"name":"Impact","value":""},{"id":150,"name":"Time of Event (Mountain Time)","value":"15:34:38"},{"id":151,"name":"Denver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48"/>
      <c r="AK182" s="48"/>
      <c r="AL182" s="48"/>
      <c r="AM182" s="158" t="str">
        <f t="shared" si="11"/>
        <v>start /low /b %USERPROFILE%\Documents\GitHub\eaglep3\Utilities\DownloadLogsFromS3.py --loco 4027 --day 2017-02-07</v>
      </c>
      <c r="AN182" s="167" t="str">
        <f>"grep -SE -B400 ""CHR.+\|PRM\|1\|D.+(SWITCH|SIGNAL).+UNKNOWN"" "&amp;search_path&amp;"\RTDC"&amp;B182&amp;"\*"&amp;B182&amp;"*"&amp;TEXT(AVERAGE(F182,I182)-utc_offset/24,"YYYYMMDD")&amp;"*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"%USERPROFILE%\AppData\Local\Temp\OnboardLogs"\RTDC4027\*4027*20170207* | grep -SE "(Enforcement Action)|(\[TIMEOUT)|(CHR.+\|PRM\|1\|D.+(SWITCH|SIGNAL).+UNKNOWN)" - &gt;&gt; 2017-02-07-UncaughtWiMAX.txt</v>
      </c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3" t="s">
        <v>480</v>
      </c>
      <c r="B183" s="7">
        <v>4028</v>
      </c>
      <c r="C183" s="21" t="s">
        <v>193</v>
      </c>
      <c r="D183" s="21" t="s">
        <v>460</v>
      </c>
      <c r="E183" s="13">
        <v>42773.650752314818</v>
      </c>
      <c r="F183" s="13">
        <v>42773.652002314811</v>
      </c>
      <c r="G183" s="7">
        <v>1</v>
      </c>
      <c r="H183" s="21" t="s">
        <v>456</v>
      </c>
      <c r="I183" s="13">
        <v>42773.663402777776</v>
      </c>
      <c r="J183" s="7">
        <v>0</v>
      </c>
      <c r="K183" s="98" t="str">
        <f>IF(ISEVEN(B183),(B183-1)&amp;"/"&amp;B183,B183&amp;"/"&amp;(B183+1))</f>
        <v>4027/4028</v>
      </c>
      <c r="L183" s="21" t="str">
        <f>VLOOKUP(A183,'Trips&amp;Operators'!$C$1:$G$99999,5,FALSE)</f>
        <v>LEVIN SCOTT</v>
      </c>
      <c r="M183" s="6">
        <f>I183-F183</f>
        <v>1.1400462964957114E-2</v>
      </c>
      <c r="N183" s="7">
        <f>24*60*SUM($M183:$M183)</f>
        <v>16.416666669538245</v>
      </c>
      <c r="O183" s="7"/>
      <c r="P183" s="7"/>
      <c r="Q183" s="22"/>
      <c r="R183" s="22"/>
      <c r="S183" s="31">
        <f>SUM(U183:U183)/IF(AG183="EC",12,1)</f>
        <v>1</v>
      </c>
      <c r="T183" s="46" t="str">
        <f>IF(ISEVEN(LEFT(AD183,4)),"Southbound","NorthBound")</f>
        <v>Southbound</v>
      </c>
      <c r="U183" s="190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191" t="str">
        <f>"https://d0f6bd738d7f1b3e5a7ca70fe4ff75f0.us-east-1.aws.found.io/app/kibana#/discover/Steve-Slow-Train-Analysis-(2080s-and-2083s)?_g="&amp;"(refreshInterval:(display:Off,pause:!f,section:0,value:0),time:(from:'"&amp;TEXT(E183-1/24,"yyyy-MM-DDThh:mm:ss")&amp;utc_offset&amp;"00"&amp;"',mode:absolute,to:'"&amp;TEXT(I183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183&amp;"%22')),sort:!(Time.ISO8601,asc))"</f>
        <v>https://d0f6bd738d7f1b3e5a7ca70fe4ff75f0.us-east-1.aws.found.io/app/kibana#/discover/Steve-Slow-Train-Analysis-(2080s-and-2083s)?_g=(refreshInterval:(display:Off,pause:!f,section:0,value:0),time:(from:'2017-02-07T14:37:05-0700',mode:absolute,to:'2017-02-07T16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3" s="192" t="str">
        <f>IF(AA183&lt;IF(AG183="EC",23,5.65),"Y","N")</f>
        <v>N</v>
      </c>
      <c r="X183" s="192">
        <f>VALUE(LEFT(AD183,4))-VALUE(LEFT(AD182,4))</f>
        <v>1</v>
      </c>
      <c r="Y183" s="62">
        <f>RIGHT(D183,LEN(D183)-4)/10000</f>
        <v>5.8608000000000002</v>
      </c>
      <c r="Z183" s="62">
        <f>RIGHT(H183,LEN(H183)-4)/10000</f>
        <v>6.8199999999999997E-2</v>
      </c>
      <c r="AA183" s="62">
        <f>ABS(Z183-Y183)</f>
        <v>5.7926000000000002</v>
      </c>
      <c r="AB183" s="59" t="e">
        <f>VLOOKUP(A183,Enforcements!$C$7:$K$14,8,0)</f>
        <v>#N/A</v>
      </c>
      <c r="AC183" s="55" t="e">
        <f>VLOOKUP(A183,Enforcements!$C$7:$E$14,3,0)</f>
        <v>#N/A</v>
      </c>
      <c r="AD183" s="56" t="str">
        <f>IF(LEN(A183)=6,"0"&amp;A183,A183)</f>
        <v>0826-07</v>
      </c>
      <c r="AE183" s="85" t="str">
        <f>"aws s3 cp "&amp;s3_bucket&amp;"/RTDC"&amp;B183&amp;"/ "&amp;search_path&amp;"\RTDC"&amp;B183&amp;"\"&amp;TEXT(F183,"YYYY-MM-DD")&amp;" --exclude ""*"" --recursive --include ""*"&amp;TEXT(F183,"YYYYMMDD")&amp;"*"" &amp; """&amp;walkandungz&amp;""" "&amp;search_path&amp;"\RTDC"&amp;B183&amp;"\"&amp;TEXT(F183,"YYYY-MM-DD")
&amp;" &amp; "&amp;"aws s3 cp "&amp;s3_bucket&amp;"/RTDC"&amp;B183&amp;"/ "&amp;search_path&amp;"\RTDC"&amp;B183&amp;"\"&amp;TEXT(F183+1,"YYYY-MM-DD")&amp;" --exclude ""*"" --recursive --include ""*"&amp;TEXT(F183+1,"YYYYMMDD")&amp;"*"" &amp; """&amp;walkandungz&amp;""" "&amp;search_path&amp;"\RTDC"&amp;B183&amp;"\"&amp;TEXT(F183+1,"YYYY-MM-DD")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AF183" s="82" t="str">
        <f>astrogrep_path&amp;" /spath="&amp;search_path&amp;" /stypes=""app*"&amp;B183&amp;"*"&amp;TEXT(I183-utc_offset/24,"YYYYMMDD")&amp;"*"" /stext="" "&amp;TEXT(I183-utc_offset/24,"HH")&amp;search_regexp&amp;""" /e /r /s"</f>
        <v>"C:\Program Files (x86)\AstroGrep\AstroGrep.exe" /spath="%USERPROFILE%\AppData\Local\Temp\OnboardLogs" /stypes="app*4028*20170207*" /stext=" 22:.+((SYSTEM_STATE.+slice.+state.+changed )|(ment ac)|(multiple cpu faults)|(system.+state.+changed )|(\[timeout)|(PRM\|1\|D)|(kpr)|(kdp)|(\|lc)|(penalty))" /e /r /s</v>
      </c>
      <c r="AG183" s="1" t="str">
        <f>IFERROR(IF(VALUE(LEFT(AD183,2))&lt;=2,"EC",IF(OR(VALUE(LEFT(AD183,2))=8,VALUE(LEFT(AD183,2))=18),"NW","Other")),"Other")</f>
        <v>NW</v>
      </c>
      <c r="AH183" s="86" t="str">
        <f t="shared" si="9"/>
        <v>"%USERPROFILE%\Documents\GitHub\eaglep3\Utilities\RefineRTDCRunTimes.py" --tripid 826-07 --locoid 4028 --swversion DE.1.0.8.0 --startMP 300:58608 --initTime 2017-02-07T15:37:05 --startdatetime 2017-02-07T15:38:53 --delay 1 --endMP 204:682 --enddatetime 2017-02-07T15:55:18 --enforcementcount 0 &gt;&gt;C:\Users\stu\Documents\GitHub\eaglep3-reporting\EC\2017-02-07-refined-times.txt</v>
      </c>
      <c r="AI183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{"issue":{"subject":"","project_id":79,"tracker_id":40,"status_id":1,"priority_id":2,"assigned_to_id":23,"start_date":"2017-02-07","description":"","custom_fields":[{"id":1,"name":"Subdivision","value":"NW"},{"id":4,"name":"Milepost","value":"0.0682"},{"id":17,"name":"Train ID","value":"826-07"},{"id":16,"name":"Locomotive ID","value":"4028"},{"id":130,"name":"Impact","value":""},{"id":150,"name":"Time of Event (Mountain Time)","value":"15:55:18"},{"id":151,"name":"Denver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48"/>
      <c r="AK183" s="48"/>
      <c r="AL183" s="48"/>
      <c r="AM183" s="158" t="str">
        <f t="shared" si="11"/>
        <v>start /low /b %USERPROFILE%\Documents\GitHub\eaglep3\Utilities\DownloadLogsFromS3.py --loco 4028 --day 2017-02-07</v>
      </c>
      <c r="AN183" s="167" t="str">
        <f>"grep -SE -B400 ""CHR.+\|PRM\|1\|D.+(SWITCH|SIGNAL).+UNKNOWN"" "&amp;search_path&amp;"\RTDC"&amp;B183&amp;"\*"&amp;B183&amp;"*"&amp;TEXT(AVERAGE(F183,I183)-utc_offset/24,"YYYYMMDD")&amp;"*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"%USERPROFILE%\AppData\Local\Temp\OnboardLogs"\RTDC4028\*4028*20170207* | grep -SE "(Enforcement Action)|(\[TIMEOUT)|(CHR.+\|PRM\|1\|D.+(SWITCH|SIGNAL).+UNKNOWN)" - &gt;&gt; 2017-02-07-UncaughtWiMAX.txt</v>
      </c>
    </row>
    <row r="184" spans="1:91" s="20" customFormat="1" x14ac:dyDescent="0.25">
      <c r="A184" s="33" t="s">
        <v>481</v>
      </c>
      <c r="B184" s="7">
        <v>4051</v>
      </c>
      <c r="C184" s="21" t="s">
        <v>193</v>
      </c>
      <c r="D184" s="21" t="s">
        <v>837</v>
      </c>
      <c r="E184" s="13">
        <v>42773.651666666665</v>
      </c>
      <c r="F184" s="13">
        <v>42773.66064814815</v>
      </c>
      <c r="G184" s="7">
        <v>1</v>
      </c>
      <c r="H184" s="21" t="s">
        <v>450</v>
      </c>
      <c r="I184" s="13">
        <v>42773.673530092594</v>
      </c>
      <c r="J184" s="7">
        <v>0</v>
      </c>
      <c r="K184" s="98" t="str">
        <f>IF(ISEVEN(B184),(B184-1)&amp;"/"&amp;B184,B184&amp;"/"&amp;(B184+1))</f>
        <v>4051/4052</v>
      </c>
      <c r="L184" s="21" t="str">
        <f>VLOOKUP(A184,'Trips&amp;Operators'!$C$1:$G$99999,5,FALSE)</f>
        <v>HILLS DUSTIN</v>
      </c>
      <c r="M184" s="6">
        <f>I184-F184</f>
        <v>1.2881944443506654E-2</v>
      </c>
      <c r="N184" s="7">
        <f>24*60*SUM($M184:$M184)</f>
        <v>18.549999998649582</v>
      </c>
      <c r="O184" s="7"/>
      <c r="P184" s="7"/>
      <c r="Q184" s="22"/>
      <c r="R184" s="22"/>
      <c r="S184" s="31">
        <f>SUM(U184:U184)/IF(AG184="EC",12,1)</f>
        <v>1</v>
      </c>
      <c r="T184" s="46" t="str">
        <f>IF(ISEVEN(LEFT(AD184,4)),"Southbound","NorthBound")</f>
        <v>NorthBound</v>
      </c>
      <c r="U184" s="190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191" t="str">
        <f>"https://d0f6bd738d7f1b3e5a7ca70fe4ff75f0.us-east-1.aws.found.io/app/kibana#/discover/Steve-Slow-Train-Analysis-(2080s-and-2083s)?_g="&amp;"(refreshInterval:(display:Off,pause:!f,section:0,value:0),time:(from:'"&amp;TEXT(E184-1/24,"yyyy-MM-DDThh:mm:ss")&amp;utc_offset&amp;"00"&amp;"',mode:absolute,to:'"&amp;TEXT(I184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184&amp;"%22')),sort:!(Time.ISO8601,asc))"</f>
        <v>https://d0f6bd738d7f1b3e5a7ca70fe4ff75f0.us-east-1.aws.found.io/app/kibana#/discover/Steve-Slow-Train-Analysis-(2080s-and-2083s)?_g=(refreshInterval:(display:Off,pause:!f,section:0,value:0),time:(from:'2017-02-07T14:38:24-0700',mode:absolute,to:'2017-02-07T17:09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4" s="192" t="str">
        <f>IF(AA184&lt;IF(AG184="EC",23,5.65),"Y","N")</f>
        <v>N</v>
      </c>
      <c r="X184" s="192">
        <f>VALUE(LEFT(AD184,4))-VALUE(LEFT(AD183,4))</f>
        <v>1</v>
      </c>
      <c r="Y184" s="62">
        <f>RIGHT(D184,LEN(D184)-4)/10000</f>
        <v>9.8599999999999993E-2</v>
      </c>
      <c r="Z184" s="62">
        <f>RIGHT(H184,LEN(H184)-4)/10000</f>
        <v>5.9005000000000001</v>
      </c>
      <c r="AA184" s="62">
        <f>ABS(Z184-Y184)</f>
        <v>5.8018999999999998</v>
      </c>
      <c r="AB184" s="59" t="e">
        <f>VLOOKUP(A184,Enforcements!$C$7:$K$14,8,0)</f>
        <v>#N/A</v>
      </c>
      <c r="AC184" s="55" t="e">
        <f>VLOOKUP(A184,Enforcements!$C$7:$E$14,3,0)</f>
        <v>#N/A</v>
      </c>
      <c r="AD184" s="56" t="str">
        <f>IF(LEN(A184)=6,"0"&amp;A184,A184)</f>
        <v>0827-07</v>
      </c>
      <c r="AE184" s="85" t="str">
        <f>"aws s3 cp "&amp;s3_bucket&amp;"/RTDC"&amp;B184&amp;"/ "&amp;search_path&amp;"\RTDC"&amp;B184&amp;"\"&amp;TEXT(F184,"YYYY-MM-DD")&amp;" --exclude ""*"" --recursive --include ""*"&amp;TEXT(F184,"YYYYMMDD")&amp;"*"" &amp; """&amp;walkandungz&amp;""" "&amp;search_path&amp;"\RTDC"&amp;B184&amp;"\"&amp;TEXT(F184,"YYYY-MM-DD")
&amp;" &amp; "&amp;"aws s3 cp "&amp;s3_bucket&amp;"/RTDC"&amp;B184&amp;"/ "&amp;search_path&amp;"\RTDC"&amp;B184&amp;"\"&amp;TEXT(F184+1,"YYYY-MM-DD")&amp;" --exclude ""*"" --recursive --include ""*"&amp;TEXT(F184+1,"YYYYMMDD")&amp;"*"" &amp; """&amp;walkandungz&amp;""" "&amp;search_path&amp;"\RTDC"&amp;B184&amp;"\"&amp;TEXT(F184+1,"YYYY-MM-DD")</f>
        <v>aws s3 cp s3://rtdc.mdm.uploadarchive.raw/RTDC4051/ "%USERPROFILE%\AppData\Local\Temp\OnboardLogs"\RTDC4051\2017-02-07 --exclude "*" --recursive --include "*20170207*" &amp; "%USERPROFILE%\Documents\GitHub\mrs-test-scripts\Headless Mode &amp; Sideloading\WalkAndUnGZ.bat" "%USERPROFILE%\AppData\Local\Temp\OnboardLogs"\RTDC4051\2017-02-07 &amp; 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</v>
      </c>
      <c r="AF184" s="82" t="str">
        <f>astrogrep_path&amp;" /spath="&amp;search_path&amp;" /stypes=""app*"&amp;B184&amp;"*"&amp;TEXT(I184-utc_offset/24,"YYYYMMDD")&amp;"*"" /stext="" "&amp;TEXT(I184-utc_offset/24,"HH")&amp;search_regexp&amp;""" /e /r /s"</f>
        <v>"C:\Program Files (x86)\AstroGrep\AstroGrep.exe" /spath="%USERPROFILE%\AppData\Local\Temp\OnboardLogs" /stypes="app*4051*20170207*" /stext=" 23:.+((SYSTEM_STATE.+slice.+state.+changed )|(ment ac)|(multiple cpu faults)|(system.+state.+changed )|(\[timeout)|(PRM\|1\|D)|(kpr)|(kdp)|(\|lc)|(penalty))" /e /r /s</v>
      </c>
      <c r="AG184" s="1" t="str">
        <f>IFERROR(IF(VALUE(LEFT(AD184,2))&lt;=2,"EC",IF(OR(VALUE(LEFT(AD184,2))=8,VALUE(LEFT(AD184,2))=18),"NW","Other")),"Other")</f>
        <v>NW</v>
      </c>
      <c r="AH184" s="86" t="str">
        <f t="shared" si="9"/>
        <v>"%USERPROFILE%\Documents\GitHub\eaglep3\Utilities\RefineRTDCRunTimes.py" --tripid 827-07 --locoid 4051 --swversion DE.1.0.8.0 --startMP 204:986 --initTime 2017-02-07T15:38:24 --startdatetime 2017-02-07T15:51:20 --delay 1 --endMP 300:59005 --enddatetime 2017-02-07T16:09:53 --enforcementcount 0 &gt;&gt;C:\Users\stu\Documents\GitHub\eaglep3-reporting\EC\2017-02-07-refined-times.txt</v>
      </c>
      <c r="AI184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{"issue":{"subject":"","project_id":79,"tracker_id":40,"status_id":1,"priority_id":2,"assigned_to_id":23,"start_date":"2017-02-07","description":"","custom_fields":[{"id":1,"name":"Subdivision","value":"NW"},{"id":4,"name":"Milepost","value":"5.9005"},{"id":17,"name":"Train ID","value":"827-07"},{"id":16,"name":"Locomotive ID","value":"4051"},{"id":130,"name":"Impact","value":""},{"id":150,"name":"Time of Event (Mountain Time)","value":"16:09:53"},{"id":151,"name":"Denver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48"/>
      <c r="AK184" s="48"/>
      <c r="AL184" s="48"/>
      <c r="AM184" s="158" t="str">
        <f t="shared" si="11"/>
        <v>start /low /b %USERPROFILE%\Documents\GitHub\eaglep3\Utilities\DownloadLogsFromS3.py --loco 4051 --day 2017-02-07</v>
      </c>
      <c r="AN184" s="167" t="str">
        <f>"grep -SE -B400 ""CHR.+\|PRM\|1\|D.+(SWITCH|SIGNAL).+UNKNOWN"" "&amp;search_path&amp;"\RTDC"&amp;B184&amp;"\*"&amp;B184&amp;"*"&amp;TEXT(AVERAGE(F184,I184)-utc_offset/24,"YYYYMMDD")&amp;"*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"%USERPROFILE%\AppData\Local\Temp\OnboardLogs"\RTDC4051\*4051*20170207* | grep -SE "(Enforcement Action)|(\[TIMEOUT)|(CHR.+\|PRM\|1\|D.+(SWITCH|SIGNAL).+UNKNOWN)" - &gt;&gt; 2017-02-07-UncaughtWiMAX.txt</v>
      </c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</row>
    <row r="185" spans="1:91" x14ac:dyDescent="0.25">
      <c r="A185" s="33" t="s">
        <v>482</v>
      </c>
      <c r="B185" s="7">
        <v>4052</v>
      </c>
      <c r="C185" s="21" t="s">
        <v>193</v>
      </c>
      <c r="D185" s="21" t="s">
        <v>838</v>
      </c>
      <c r="E185" s="13">
        <v>42773.674687500003</v>
      </c>
      <c r="F185" s="13">
        <v>42773.67596064815</v>
      </c>
      <c r="G185" s="7">
        <v>0</v>
      </c>
      <c r="H185" s="21" t="s">
        <v>839</v>
      </c>
      <c r="I185" s="13">
        <v>42773.685046296298</v>
      </c>
      <c r="J185" s="7">
        <v>0</v>
      </c>
      <c r="K185" s="98" t="str">
        <f>IF(ISEVEN(B185),(B185-1)&amp;"/"&amp;B185,B185&amp;"/"&amp;(B185+1))</f>
        <v>4051/4052</v>
      </c>
      <c r="L185" s="21" t="str">
        <f>VLOOKUP(A185,'Trips&amp;Operators'!$C$1:$G$99999,5,FALSE)</f>
        <v>HILLS DUSTIN</v>
      </c>
      <c r="M185" s="6">
        <f>I185-F185</f>
        <v>9.0856481474475004E-3</v>
      </c>
      <c r="N185" s="7">
        <f>24*60*SUM($M185:$M185)</f>
        <v>13.083333332324401</v>
      </c>
      <c r="O185" s="7"/>
      <c r="P185" s="7"/>
      <c r="Q185" s="22"/>
      <c r="R185" s="22"/>
      <c r="S185" s="31">
        <f>SUM(U185:U185)/IF(AG185="EC",12,1)</f>
        <v>1</v>
      </c>
      <c r="T185" s="46" t="str">
        <f>IF(ISEVEN(LEFT(AD185,4)),"Southbound","NorthBound")</f>
        <v>Southbound</v>
      </c>
      <c r="U185" s="190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191" t="str">
        <f>"https://d0f6bd738d7f1b3e5a7ca70fe4ff75f0.us-east-1.aws.found.io/app/kibana#/discover/Steve-Slow-Train-Analysis-(2080s-and-2083s)?_g="&amp;"(refreshInterval:(display:Off,pause:!f,section:0,value:0),time:(from:'"&amp;TEXT(E185-1/24,"yyyy-MM-DDThh:mm:ss")&amp;utc_offset&amp;"00"&amp;"',mode:absolute,to:'"&amp;TEXT(I185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185&amp;"%22')),sort:!(Time.ISO8601,asc))"</f>
        <v>https://d0f6bd738d7f1b3e5a7ca70fe4ff75f0.us-east-1.aws.found.io/app/kibana#/discover/Steve-Slow-Train-Analysis-(2080s-and-2083s)?_g=(refreshInterval:(display:Off,pause:!f,section:0,value:0),time:(from:'2017-02-07T15:11:33-0700',mode:absolute,to:'2017-02-07T17:26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5" s="192" t="str">
        <f>IF(AA185&lt;IF(AG185="EC",23,5.65),"Y","N")</f>
        <v>N</v>
      </c>
      <c r="X185" s="192">
        <f>VALUE(LEFT(AD185,4))-VALUE(LEFT(AD184,4))</f>
        <v>1</v>
      </c>
      <c r="Y185" s="62">
        <f>RIGHT(D185,LEN(D185)-4)/10000</f>
        <v>5.8686999999999996</v>
      </c>
      <c r="Z185" s="62">
        <f>RIGHT(H185,LEN(H185)-4)/10000</f>
        <v>6.4000000000000001E-2</v>
      </c>
      <c r="AA185" s="62">
        <f>ABS(Z185-Y185)</f>
        <v>5.8046999999999995</v>
      </c>
      <c r="AB185" s="59" t="e">
        <f>VLOOKUP(A185,Enforcements!$C$7:$K$14,8,0)</f>
        <v>#N/A</v>
      </c>
      <c r="AC185" s="55" t="e">
        <f>VLOOKUP(A185,Enforcements!$C$7:$E$14,3,0)</f>
        <v>#N/A</v>
      </c>
      <c r="AD185" s="56" t="str">
        <f>IF(LEN(A185)=6,"0"&amp;A185,A185)</f>
        <v>0828-07</v>
      </c>
      <c r="AE185" s="85" t="str">
        <f>"aws s3 cp "&amp;s3_bucket&amp;"/RTDC"&amp;B185&amp;"/ "&amp;search_path&amp;"\RTDC"&amp;B185&amp;"\"&amp;TEXT(F185,"YYYY-MM-DD")&amp;" --exclude ""*"" --recursive --include ""*"&amp;TEXT(F185,"YYYYMMDD")&amp;"*"" &amp; """&amp;walkandungz&amp;""" "&amp;search_path&amp;"\RTDC"&amp;B185&amp;"\"&amp;TEXT(F185,"YYYY-MM-DD")
&amp;" &amp; "&amp;"aws s3 cp "&amp;s3_bucket&amp;"/RTDC"&amp;B185&amp;"/ "&amp;search_path&amp;"\RTDC"&amp;B185&amp;"\"&amp;TEXT(F185+1,"YYYY-MM-DD")&amp;" --exclude ""*"" --recursive --include ""*"&amp;TEXT(F185+1,"YYYYMMDD")&amp;"*"" &amp; """&amp;walkandungz&amp;""" "&amp;search_path&amp;"\RTDC"&amp;B185&amp;"\"&amp;TEXT(F185+1,"YYYY-MM-DD")</f>
        <v>aws s3 cp s3://rtdc.mdm.uploadarchive.raw/RTDC4052/ "%USERPROFILE%\AppData\Local\Temp\OnboardLogs"\RTDC4052\2017-02-07 --exclude "*" --recursive --include "*20170207*" &amp; "%USERPROFILE%\Documents\GitHub\mrs-test-scripts\Headless Mode &amp; Sideloading\WalkAndUnGZ.bat" "%USERPROFILE%\AppData\Local\Temp\OnboardLogs"\RTDC4052\2017-02-07 &amp; aws s3 cp s3://rtdc.mdm.uploadarchive.raw/RTDC4052/ "%USERPROFILE%\AppData\Local\Temp\OnboardLogs"\RTDC4052\2017-02-08 --exclude "*" --recursive --include "*20170208*" &amp; "%USERPROFILE%\Documents\GitHub\mrs-test-scripts\Headless Mode &amp; Sideloading\WalkAndUnGZ.bat" "%USERPROFILE%\AppData\Local\Temp\OnboardLogs"\RTDC4052\2017-02-08</v>
      </c>
      <c r="AF185" s="82" t="str">
        <f>astrogrep_path&amp;" /spath="&amp;search_path&amp;" /stypes=""app*"&amp;B185&amp;"*"&amp;TEXT(I185-utc_offset/24,"YYYYMMDD")&amp;"*"" /stext="" "&amp;TEXT(I185-utc_offset/24,"HH")&amp;search_regexp&amp;""" /e /r /s"</f>
        <v>"C:\Program Files (x86)\AstroGrep\AstroGrep.exe" /spath="%USERPROFILE%\AppData\Local\Temp\OnboardLogs" /stypes="app*4052*20170207*" /stext=" 23:.+((SYSTEM_STATE.+slice.+state.+changed )|(ment ac)|(multiple cpu faults)|(system.+state.+changed )|(\[timeout)|(PRM\|1\|D)|(kpr)|(kdp)|(\|lc)|(penalty))" /e /r /s</v>
      </c>
      <c r="AG185" s="1" t="str">
        <f>IFERROR(IF(VALUE(LEFT(AD185,2))&lt;=2,"EC",IF(OR(VALUE(LEFT(AD185,2))=8,VALUE(LEFT(AD185,2))=18),"NW","Other")),"Other")</f>
        <v>NW</v>
      </c>
      <c r="AH185" s="86" t="str">
        <f t="shared" si="9"/>
        <v>"%USERPROFILE%\Documents\GitHub\eaglep3\Utilities\RefineRTDCRunTimes.py" --tripid 828-07 --locoid 4052 --swversion DE.1.0.8.0 --startMP 300:58687 --initTime 2017-02-07T16:11:33 --startdatetime 2017-02-07T16:13:23 --delay 0 --endMP 204:640 --enddatetime 2017-02-07T16:26:28 --enforcementcount 0 &gt;&gt;C:\Users\stu\Documents\GitHub\eaglep3-reporting\EC\2017-02-07-refined-times.txt</v>
      </c>
      <c r="AI185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{"issue":{"subject":"","project_id":79,"tracker_id":40,"status_id":1,"priority_id":2,"assigned_to_id":23,"start_date":"2017-02-07","description":"","custom_fields":[{"id":1,"name":"Subdivision","value":"NW"},{"id":4,"name":"Milepost","value":"0.064"},{"id":17,"name":"Train ID","value":"828-07"},{"id":16,"name":"Locomotive ID","value":"4052"},{"id":130,"name":"Impact","value":""},{"id":150,"name":"Time of Event (Mountain Time)","value":"16:26:28"},{"id":151,"name":"Denver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48"/>
      <c r="AK185" s="48"/>
      <c r="AL185" s="48"/>
      <c r="AM185" s="158" t="str">
        <f t="shared" si="11"/>
        <v>start /low /b %USERPROFILE%\Documents\GitHub\eaglep3\Utilities\DownloadLogsFromS3.py --loco 4052 --day 2017-02-07</v>
      </c>
      <c r="AN185" s="167" t="str">
        <f>"grep -SE -B400 ""CHR.+\|PRM\|1\|D.+(SWITCH|SIGNAL).+UNKNOWN"" "&amp;search_path&amp;"\RTDC"&amp;B185&amp;"\*"&amp;B185&amp;"*"&amp;TEXT(AVERAGE(F185,I185)-utc_offset/24,"YYYYMMDD")&amp;"*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"%USERPROFILE%\AppData\Local\Temp\OnboardLogs"\RTDC4052\*4052*20170207* | grep -SE "(Enforcement Action)|(\[TIMEOUT)|(CHR.+\|PRM\|1\|D.+(SWITCH|SIGNAL).+UNKNOWN)" - &gt;&gt; 2017-02-07-UncaughtWiMAX.txt</v>
      </c>
    </row>
    <row r="186" spans="1:91" x14ac:dyDescent="0.25">
      <c r="A186" s="33" t="s">
        <v>629</v>
      </c>
      <c r="B186" s="7">
        <v>4027</v>
      </c>
      <c r="C186" s="21" t="s">
        <v>193</v>
      </c>
      <c r="D186" s="21" t="s">
        <v>454</v>
      </c>
      <c r="E186" s="13">
        <v>42773.670740740738</v>
      </c>
      <c r="F186" s="13">
        <v>42773.68141203704</v>
      </c>
      <c r="G186" s="7">
        <v>1</v>
      </c>
      <c r="H186" s="21" t="s">
        <v>840</v>
      </c>
      <c r="I186" s="13">
        <v>42773.691493055558</v>
      </c>
      <c r="J186" s="7">
        <v>0</v>
      </c>
      <c r="K186" s="98" t="str">
        <f>IF(ISEVEN(B186),(B186-1)&amp;"/"&amp;B186,B186&amp;"/"&amp;(B186+1))</f>
        <v>4027/4028</v>
      </c>
      <c r="L186" s="21" t="str">
        <f>VLOOKUP(A186,'Trips&amp;Operators'!$C$1:$G$99999,5,FALSE)</f>
        <v>STEWART MICHAEL</v>
      </c>
      <c r="M186" s="6">
        <f>I186-F186</f>
        <v>1.0081018517666962E-2</v>
      </c>
      <c r="N186" s="7">
        <f>24*60*SUM($M186:$M186)</f>
        <v>14.516666665440425</v>
      </c>
      <c r="O186" s="7"/>
      <c r="P186" s="7"/>
      <c r="Q186" s="22"/>
      <c r="R186" s="22"/>
      <c r="S186" s="31">
        <f>SUM(U186:U186)/IF(AG186="EC",12,1)</f>
        <v>1</v>
      </c>
      <c r="T186" s="46" t="str">
        <f>IF(ISEVEN(LEFT(AD186,4)),"Southbound","NorthBound")</f>
        <v>NorthBound</v>
      </c>
      <c r="U186" s="190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191" t="str">
        <f>"https://d0f6bd738d7f1b3e5a7ca70fe4ff75f0.us-east-1.aws.found.io/app/kibana#/discover/Steve-Slow-Train-Analysis-(2080s-and-2083s)?_g="&amp;"(refreshInterval:(display:Off,pause:!f,section:0,value:0),time:(from:'"&amp;TEXT(E186-1/24,"yyyy-MM-DDThh:mm:ss")&amp;utc_offset&amp;"00"&amp;"',mode:absolute,to:'"&amp;TEXT(I186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186&amp;"%22')),sort:!(Time.ISO8601,asc))"</f>
        <v>https://d0f6bd738d7f1b3e5a7ca70fe4ff75f0.us-east-1.aws.found.io/app/kibana#/discover/Steve-Slow-Train-Analysis-(2080s-and-2083s)?_g=(refreshInterval:(display:Off,pause:!f,section:0,value:0),time:(from:'2017-02-07T15:05:52-0700',mode:absolute,to:'2017-02-07T17:35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86" s="192" t="str">
        <f>IF(AA186&lt;IF(AG186="EC",23,5.65),"Y","N")</f>
        <v>N</v>
      </c>
      <c r="X186" s="192">
        <f>VALUE(LEFT(AD186,4))-VALUE(LEFT(AD185,4))</f>
        <v>1</v>
      </c>
      <c r="Y186" s="62">
        <f>RIGHT(D186,LEN(D186)-4)/10000</f>
        <v>9.74E-2</v>
      </c>
      <c r="Z186" s="62">
        <f>RIGHT(H186,LEN(H186)-4)/10000</f>
        <v>5.8959999999999999</v>
      </c>
      <c r="AA186" s="62">
        <f>ABS(Z186-Y186)</f>
        <v>5.7985999999999995</v>
      </c>
      <c r="AB186" s="59" t="e">
        <f>VLOOKUP(A186,Enforcements!$C$7:$K$14,8,0)</f>
        <v>#N/A</v>
      </c>
      <c r="AC186" s="55" t="e">
        <f>VLOOKUP(A186,Enforcements!$C$7:$E$14,3,0)</f>
        <v>#N/A</v>
      </c>
      <c r="AD186" s="56" t="str">
        <f>IF(LEN(A186)=6,"0"&amp;A186,A186)</f>
        <v>0829-07</v>
      </c>
      <c r="AE186" s="85" t="str">
        <f>"aws s3 cp "&amp;s3_bucket&amp;"/RTDC"&amp;B186&amp;"/ "&amp;search_path&amp;"\RTDC"&amp;B186&amp;"\"&amp;TEXT(F186,"YYYY-MM-DD")&amp;" --exclude ""*"" --recursive --include ""*"&amp;TEXT(F186,"YYYYMMDD")&amp;"*"" &amp; """&amp;walkandungz&amp;""" "&amp;search_path&amp;"\RTDC"&amp;B186&amp;"\"&amp;TEXT(F186,"YYYY-MM-DD")
&amp;" &amp; "&amp;"aws s3 cp "&amp;s3_bucket&amp;"/RTDC"&amp;B186&amp;"/ "&amp;search_path&amp;"\RTDC"&amp;B186&amp;"\"&amp;TEXT(F186+1,"YYYY-MM-DD")&amp;" --exclude ""*"" --recursive --include ""*"&amp;TEXT(F186+1,"YYYYMMDD")&amp;"*"" &amp; """&amp;walkandungz&amp;""" "&amp;search_path&amp;"\RTDC"&amp;B186&amp;"\"&amp;TEXT(F186+1,"YYYY-MM-DD")</f>
        <v>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 &amp; 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</v>
      </c>
      <c r="AF186" s="82" t="str">
        <f>astrogrep_path&amp;" /spath="&amp;search_path&amp;" /stypes=""app*"&amp;B186&amp;"*"&amp;TEXT(I186-utc_offset/24,"YYYYMMDD")&amp;"*"" /stext="" "&amp;TEXT(I186-utc_offset/24,"HH")&amp;search_regexp&amp;""" /e /r /s"</f>
        <v>"C:\Program Files (x86)\AstroGrep\AstroGrep.exe" /spath="%USERPROFILE%\AppData\Local\Temp\OnboardLogs" /stypes="app*4027*20170207*" /stext=" 23:.+((SYSTEM_STATE.+slice.+state.+changed )|(ment ac)|(multiple cpu faults)|(system.+state.+changed )|(\[timeout)|(PRM\|1\|D)|(kpr)|(kdp)|(\|lc)|(penalty))" /e /r /s</v>
      </c>
      <c r="AG186" s="1" t="str">
        <f>IFERROR(IF(VALUE(LEFT(AD186,2))&lt;=2,"EC",IF(OR(VALUE(LEFT(AD186,2))=8,VALUE(LEFT(AD186,2))=18),"NW","Other")),"Other")</f>
        <v>NW</v>
      </c>
      <c r="AH186" s="86" t="str">
        <f t="shared" si="9"/>
        <v>"%USERPROFILE%\Documents\GitHub\eaglep3\Utilities\RefineRTDCRunTimes.py" --tripid 829-07 --locoid 4027 --swversion DE.1.0.8.0 --startMP 204:974 --initTime 2017-02-07T16:05:52 --startdatetime 2017-02-07T16:21:14 --delay 1 --endMP 300:58960 --enddatetime 2017-02-07T16:35:45 --enforcementcount 0 &gt;&gt;C:\Users\stu\Documents\GitHub\eaglep3-reporting\EC\2017-02-07-refined-times.txt</v>
      </c>
      <c r="AI186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{"issue":{"subject":"","project_id":79,"tracker_id":40,"status_id":1,"priority_id":2,"assigned_to_id":23,"start_date":"2017-02-07","description":"","custom_fields":[{"id":1,"name":"Subdivision","value":"NW"},{"id":4,"name":"Milepost","value":"5.896"},{"id":17,"name":"Train ID","value":"829-07"},{"id":16,"name":"Locomotive ID","value":"4027"},{"id":130,"name":"Impact","value":""},{"id":150,"name":"Time of Event (Mountain Time)","value":"16:35:45"},{"id":151,"name":"Denver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48"/>
      <c r="AK186" s="48"/>
      <c r="AL186" s="48"/>
      <c r="AM186" s="158" t="str">
        <f t="shared" si="11"/>
        <v>start /low /b %USERPROFILE%\Documents\GitHub\eaglep3\Utilities\DownloadLogsFromS3.py --loco 4027 --day 2017-02-07</v>
      </c>
      <c r="AN186" s="167" t="str">
        <f>"grep -SE -B400 ""CHR.+\|PRM\|1\|D.+(SWITCH|SIGNAL).+UNKNOWN"" "&amp;search_path&amp;"\RTDC"&amp;B186&amp;"\*"&amp;B186&amp;"*"&amp;TEXT(AVERAGE(F186,I186)-utc_offset/24,"YYYYMMDD")&amp;"*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"%USERPROFILE%\AppData\Local\Temp\OnboardLogs"\RTDC4027\*4027*20170207* | grep -SE "(Enforcement Action)|(\[TIMEOUT)|(CHR.+\|PRM\|1\|D.+(SWITCH|SIGNAL).+UNKNOWN)" - &gt;&gt; 2017-02-07-UncaughtWiMAX.txt</v>
      </c>
    </row>
    <row r="187" spans="1:91" s="20" customFormat="1" x14ac:dyDescent="0.25">
      <c r="A187" s="33" t="s">
        <v>483</v>
      </c>
      <c r="B187" s="7">
        <v>4028</v>
      </c>
      <c r="C187" s="21" t="s">
        <v>193</v>
      </c>
      <c r="D187" s="21" t="s">
        <v>841</v>
      </c>
      <c r="E187" s="13">
        <v>42773.692777777775</v>
      </c>
      <c r="F187" s="13">
        <v>42773.695497685185</v>
      </c>
      <c r="G187" s="7">
        <v>2</v>
      </c>
      <c r="H187" s="21" t="s">
        <v>830</v>
      </c>
      <c r="I187" s="13">
        <v>42773.705821759257</v>
      </c>
      <c r="J187" s="7">
        <v>0</v>
      </c>
      <c r="K187" s="98" t="str">
        <f>IF(ISEVEN(B187),(B187-1)&amp;"/"&amp;B187,B187&amp;"/"&amp;(B187+1))</f>
        <v>4027/4028</v>
      </c>
      <c r="L187" s="21" t="str">
        <f>VLOOKUP(A187,'Trips&amp;Operators'!$C$1:$G$99999,5,FALSE)</f>
        <v>STEWART MICHAEL</v>
      </c>
      <c r="M187" s="6">
        <f>I187-F187</f>
        <v>1.0324074071832001E-2</v>
      </c>
      <c r="N187" s="7">
        <f>24*60*SUM($M187:$M187)</f>
        <v>14.866666663438082</v>
      </c>
      <c r="O187" s="7"/>
      <c r="P187" s="7"/>
      <c r="Q187" s="22"/>
      <c r="R187" s="22"/>
      <c r="S187" s="31">
        <f>SUM(U187:U187)/IF(AG187="EC",12,1)</f>
        <v>1</v>
      </c>
      <c r="T187" s="46" t="str">
        <f>IF(ISEVEN(LEFT(AD187,4)),"Southbound","NorthBound")</f>
        <v>Southbound</v>
      </c>
      <c r="U187" s="190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191" t="str">
        <f>"https://d0f6bd738d7f1b3e5a7ca70fe4ff75f0.us-east-1.aws.found.io/app/kibana#/discover/Steve-Slow-Train-Analysis-(2080s-and-2083s)?_g="&amp;"(refreshInterval:(display:Off,pause:!f,section:0,value:0),time:(from:'"&amp;TEXT(E187-1/24,"yyyy-MM-DDThh:mm:ss")&amp;utc_offset&amp;"00"&amp;"',mode:absolute,to:'"&amp;TEXT(I187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187&amp;"%22')),sort:!(Time.ISO8601,asc))"</f>
        <v>https://d0f6bd738d7f1b3e5a7ca70fe4ff75f0.us-east-1.aws.found.io/app/kibana#/discover/Steve-Slow-Train-Analysis-(2080s-and-2083s)?_g=(refreshInterval:(display:Off,pause:!f,section:0,value:0),time:(from:'2017-02-07T15:37:36-0700',mode:absolute,to:'2017-02-07T17:56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87" s="192" t="str">
        <f>IF(AA187&lt;IF(AG187="EC",23,5.65),"Y","N")</f>
        <v>N</v>
      </c>
      <c r="X187" s="192">
        <f>VALUE(LEFT(AD187,4))-VALUE(LEFT(AD186,4))</f>
        <v>1</v>
      </c>
      <c r="Y187" s="62">
        <f>RIGHT(D187,LEN(D187)-4)/10000</f>
        <v>5.8643000000000001</v>
      </c>
      <c r="Z187" s="62">
        <f>RIGHT(H187,LEN(H187)-4)/10000</f>
        <v>7.1499999999999994E-2</v>
      </c>
      <c r="AA187" s="62">
        <f>ABS(Z187-Y187)</f>
        <v>5.7927999999999997</v>
      </c>
      <c r="AB187" s="59" t="e">
        <f>VLOOKUP(A187,Enforcements!$C$7:$K$14,8,0)</f>
        <v>#N/A</v>
      </c>
      <c r="AC187" s="55" t="e">
        <f>VLOOKUP(A187,Enforcements!$C$7:$E$14,3,0)</f>
        <v>#N/A</v>
      </c>
      <c r="AD187" s="56" t="str">
        <f>IF(LEN(A187)=6,"0"&amp;A187,A187)</f>
        <v>0830-07</v>
      </c>
      <c r="AE187" s="85" t="str">
        <f>"aws s3 cp "&amp;s3_bucket&amp;"/RTDC"&amp;B187&amp;"/ "&amp;search_path&amp;"\RTDC"&amp;B187&amp;"\"&amp;TEXT(F187,"YYYY-MM-DD")&amp;" --exclude ""*"" --recursive --include ""*"&amp;TEXT(F187,"YYYYMMDD")&amp;"*"" &amp; """&amp;walkandungz&amp;""" "&amp;search_path&amp;"\RTDC"&amp;B187&amp;"\"&amp;TEXT(F187,"YYYY-MM-DD")
&amp;" &amp; "&amp;"aws s3 cp "&amp;s3_bucket&amp;"/RTDC"&amp;B187&amp;"/ "&amp;search_path&amp;"\RTDC"&amp;B187&amp;"\"&amp;TEXT(F187+1,"YYYY-MM-DD")&amp;" --exclude ""*"" --recursive --include ""*"&amp;TEXT(F187+1,"YYYYMMDD")&amp;"*"" &amp; """&amp;walkandungz&amp;""" "&amp;search_path&amp;"\RTDC"&amp;B187&amp;"\"&amp;TEXT(F187+1,"YYYY-MM-DD")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AF187" s="82" t="str">
        <f>astrogrep_path&amp;" /spath="&amp;search_path&amp;" /stypes=""app*"&amp;B187&amp;"*"&amp;TEXT(I187-utc_offset/24,"YYYYMMDD")&amp;"*"" /stext="" "&amp;TEXT(I187-utc_offset/24,"HH")&amp;search_regexp&amp;""" /e /r /s"</f>
        <v>"C:\Program Files (x86)\AstroGrep\AstroGrep.exe" /spath="%USERPROFILE%\AppData\Local\Temp\OnboardLogs" /stypes="app*4028*20170207*" /stext=" 23:.+((SYSTEM_STATE.+slice.+state.+changed )|(ment ac)|(multiple cpu faults)|(system.+state.+changed )|(\[timeout)|(PRM\|1\|D)|(kpr)|(kdp)|(\|lc)|(penalty))" /e /r /s</v>
      </c>
      <c r="AG187" s="1" t="str">
        <f>IFERROR(IF(VALUE(LEFT(AD187,2))&lt;=2,"EC",IF(OR(VALUE(LEFT(AD187,2))=8,VALUE(LEFT(AD187,2))=18),"NW","Other")),"Other")</f>
        <v>NW</v>
      </c>
      <c r="AH187" s="86" t="str">
        <f t="shared" si="9"/>
        <v>"%USERPROFILE%\Documents\GitHub\eaglep3\Utilities\RefineRTDCRunTimes.py" --tripid 830-07 --locoid 4028 --swversion DE.1.0.8.0 --startMP 300:58643 --initTime 2017-02-07T16:37:36 --startdatetime 2017-02-07T16:41:31 --delay 2 --endMP 204:715 --enddatetime 2017-02-07T16:56:23 --enforcementcount 0 &gt;&gt;C:\Users\stu\Documents\GitHub\eaglep3-reporting\EC\2017-02-07-refined-times.txt</v>
      </c>
      <c r="AI187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{"issue":{"subject":"","project_id":79,"tracker_id":40,"status_id":1,"priority_id":2,"assigned_to_id":23,"start_date":"2017-02-07","description":"","custom_fields":[{"id":1,"name":"Subdivision","value":"NW"},{"id":4,"name":"Milepost","value":"0.0715"},{"id":17,"name":"Train ID","value":"830-07"},{"id":16,"name":"Locomotive ID","value":"4028"},{"id":130,"name":"Impact","value":""},{"id":150,"name":"Time of Event (Mountain Time)","value":"16:56:23"},{"id":151,"name":"Denver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48"/>
      <c r="AK187" s="48"/>
      <c r="AL187" s="48"/>
      <c r="AM187" s="158" t="str">
        <f t="shared" si="11"/>
        <v>start /low /b %USERPROFILE%\Documents\GitHub\eaglep3\Utilities\DownloadLogsFromS3.py --loco 4028 --day 2017-02-07</v>
      </c>
      <c r="AN187" s="167" t="str">
        <f>"grep -SE -B400 ""CHR.+\|PRM\|1\|D.+(SWITCH|SIGNAL).+UNKNOWN"" "&amp;search_path&amp;"\RTDC"&amp;B187&amp;"\*"&amp;B187&amp;"*"&amp;TEXT(AVERAGE(F187,I187)-utc_offset/24,"YYYYMMDD")&amp;"*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"%USERPROFILE%\AppData\Local\Temp\OnboardLogs"\RTDC4028\*4028*20170207* | grep -SE "(Enforcement Action)|(\[TIMEOUT)|(CHR.+\|PRM\|1\|D.+(SWITCH|SIGNAL).+UNKNOWN)" - &gt;&gt; 2017-02-07-UncaughtWiMAX.txt</v>
      </c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</row>
    <row r="188" spans="1:91" x14ac:dyDescent="0.25">
      <c r="A188" s="33" t="s">
        <v>484</v>
      </c>
      <c r="B188" s="7">
        <v>4051</v>
      </c>
      <c r="C188" s="21" t="s">
        <v>193</v>
      </c>
      <c r="D188" s="21" t="s">
        <v>833</v>
      </c>
      <c r="E188" s="13">
        <v>42773.686041666668</v>
      </c>
      <c r="F188" s="13">
        <v>42773.702314814815</v>
      </c>
      <c r="G188" s="7">
        <v>1</v>
      </c>
      <c r="H188" s="21" t="s">
        <v>450</v>
      </c>
      <c r="I188" s="13">
        <v>42773.712083333332</v>
      </c>
      <c r="J188" s="7">
        <v>0</v>
      </c>
      <c r="K188" s="98" t="str">
        <f>IF(ISEVEN(B188),(B188-1)&amp;"/"&amp;B188,B188&amp;"/"&amp;(B188+1))</f>
        <v>4051/4052</v>
      </c>
      <c r="L188" s="21" t="str">
        <f>VLOOKUP(A188,'Trips&amp;Operators'!$C$1:$G$99999,5,FALSE)</f>
        <v>HILLS DUSTIN</v>
      </c>
      <c r="M188" s="6">
        <f>I188-F188</f>
        <v>9.7685185173759237E-3</v>
      </c>
      <c r="N188" s="7">
        <f>24*60*SUM($M188:$M188)</f>
        <v>14.06666666502133</v>
      </c>
      <c r="O188" s="7"/>
      <c r="P188" s="7"/>
      <c r="Q188" s="22"/>
      <c r="R188" s="22"/>
      <c r="S188" s="31">
        <f>SUM(U188:U188)/IF(AG188="EC",12,1)</f>
        <v>1</v>
      </c>
      <c r="T188" s="46" t="str">
        <f>IF(ISEVEN(LEFT(AD188,4)),"Southbound","NorthBound")</f>
        <v>NorthBound</v>
      </c>
      <c r="U188" s="190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191" t="str">
        <f>"https://d0f6bd738d7f1b3e5a7ca70fe4ff75f0.us-east-1.aws.found.io/app/kibana#/discover/Steve-Slow-Train-Analysis-(2080s-and-2083s)?_g="&amp;"(refreshInterval:(display:Off,pause:!f,section:0,value:0),time:(from:'"&amp;TEXT(E188-1/24,"yyyy-MM-DDThh:mm:ss")&amp;utc_offset&amp;"00"&amp;"',mode:absolute,to:'"&amp;TEXT(I188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188&amp;"%22')),sort:!(Time.ISO8601,asc))"</f>
        <v>https://d0f6bd738d7f1b3e5a7ca70fe4ff75f0.us-east-1.aws.found.io/app/kibana#/discover/Steve-Slow-Train-Analysis-(2080s-and-2083s)?_g=(refreshInterval:(display:Off,pause:!f,section:0,value:0),time:(from:'2017-02-07T15:27:54-0700',mode:absolute,to:'2017-02-07T18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88" s="192" t="str">
        <f>IF(AA188&lt;IF(AG188="EC",23,5.65),"Y","N")</f>
        <v>N</v>
      </c>
      <c r="X188" s="192">
        <f>VALUE(LEFT(AD188,4))-VALUE(LEFT(AD187,4))</f>
        <v>1</v>
      </c>
      <c r="Y188" s="62">
        <f>RIGHT(D188,LEN(D188)-4)/10000</f>
        <v>9.3899999999999997E-2</v>
      </c>
      <c r="Z188" s="62">
        <f>RIGHT(H188,LEN(H188)-4)/10000</f>
        <v>5.9005000000000001</v>
      </c>
      <c r="AA188" s="62">
        <f>ABS(Z188-Y188)</f>
        <v>5.8066000000000004</v>
      </c>
      <c r="AB188" s="59" t="e">
        <f>VLOOKUP(A188,Enforcements!$C$7:$K$14,8,0)</f>
        <v>#N/A</v>
      </c>
      <c r="AC188" s="55" t="e">
        <f>VLOOKUP(A188,Enforcements!$C$7:$E$14,3,0)</f>
        <v>#N/A</v>
      </c>
      <c r="AD188" s="56" t="str">
        <f>IF(LEN(A188)=6,"0"&amp;A188,A188)</f>
        <v>0831-07</v>
      </c>
      <c r="AE188" s="85" t="str">
        <f>"aws s3 cp "&amp;s3_bucket&amp;"/RTDC"&amp;B188&amp;"/ "&amp;search_path&amp;"\RTDC"&amp;B188&amp;"\"&amp;TEXT(F188,"YYYY-MM-DD")&amp;" --exclude ""*"" --recursive --include ""*"&amp;TEXT(F188,"YYYYMMDD")&amp;"*"" &amp; """&amp;walkandungz&amp;""" "&amp;search_path&amp;"\RTDC"&amp;B188&amp;"\"&amp;TEXT(F188,"YYYY-MM-DD")
&amp;" &amp; "&amp;"aws s3 cp "&amp;s3_bucket&amp;"/RTDC"&amp;B188&amp;"/ "&amp;search_path&amp;"\RTDC"&amp;B188&amp;"\"&amp;TEXT(F188+1,"YYYY-MM-DD")&amp;" --exclude ""*"" --recursive --include ""*"&amp;TEXT(F188+1,"YYYYMMDD")&amp;"*"" &amp; """&amp;walkandungz&amp;""" "&amp;search_path&amp;"\RTDC"&amp;B188&amp;"\"&amp;TEXT(F188+1,"YYYY-MM-DD")</f>
        <v>aws s3 cp s3://rtdc.mdm.uploadarchive.raw/RTDC4051/ "%USERPROFILE%\AppData\Local\Temp\OnboardLogs"\RTDC4051\2017-02-07 --exclude "*" --recursive --include "*20170207*" &amp; "%USERPROFILE%\Documents\GitHub\mrs-test-scripts\Headless Mode &amp; Sideloading\WalkAndUnGZ.bat" "%USERPROFILE%\AppData\Local\Temp\OnboardLogs"\RTDC4051\2017-02-07 &amp; 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</v>
      </c>
      <c r="AF188" s="82" t="str">
        <f>astrogrep_path&amp;" /spath="&amp;search_path&amp;" /stypes=""app*"&amp;B188&amp;"*"&amp;TEXT(I188-utc_offset/24,"YYYYMMDD")&amp;"*"" /stext="" "&amp;TEXT(I188-utc_offset/24,"HH")&amp;search_regexp&amp;""" /e /r /s"</f>
        <v>"C:\Program Files (x86)\AstroGrep\AstroGrep.exe" /spath="%USERPROFILE%\AppData\Local\Temp\OnboardLogs" /stypes="app*4051*20170208*" /stext=" 00:.+((SYSTEM_STATE.+slice.+state.+changed )|(ment ac)|(multiple cpu faults)|(system.+state.+changed )|(\[timeout)|(PRM\|1\|D)|(kpr)|(kdp)|(\|lc)|(penalty))" /e /r /s</v>
      </c>
      <c r="AG188" s="1" t="str">
        <f>IFERROR(IF(VALUE(LEFT(AD188,2))&lt;=2,"EC",IF(OR(VALUE(LEFT(AD188,2))=8,VALUE(LEFT(AD188,2))=18),"NW","Other")),"Other")</f>
        <v>NW</v>
      </c>
      <c r="AH188" s="86" t="str">
        <f t="shared" si="9"/>
        <v>"%USERPROFILE%\Documents\GitHub\eaglep3\Utilities\RefineRTDCRunTimes.py" --tripid 831-07 --locoid 4051 --swversion DE.1.0.8.0 --startMP 204:939 --initTime 2017-02-07T16:27:54 --startdatetime 2017-02-07T16:51:20 --delay 1 --endMP 300:59005 --enddatetime 2017-02-07T17:05:24 --enforcementcount 0 &gt;&gt;C:\Users\stu\Documents\GitHub\eaglep3-reporting\EC\2017-02-07-refined-times.txt</v>
      </c>
      <c r="AI188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{"issue":{"subject":"","project_id":79,"tracker_id":40,"status_id":1,"priority_id":2,"assigned_to_id":23,"start_date":"2017-02-07","description":"","custom_fields":[{"id":1,"name":"Subdivision","value":"NW"},{"id":4,"name":"Milepost","value":"5.9005"},{"id":17,"name":"Train ID","value":"831-07"},{"id":16,"name":"Locomotive ID","value":"4051"},{"id":130,"name":"Impact","value":""},{"id":150,"name":"Time of Event (Mountain Time)","value":"17:05:24"},{"id":151,"name":"Denver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48"/>
      <c r="AK188" s="48"/>
      <c r="AL188" s="48"/>
      <c r="AM188" s="158" t="str">
        <f t="shared" si="11"/>
        <v>start /low /b %USERPROFILE%\Documents\GitHub\eaglep3\Utilities\DownloadLogsFromS3.py --loco 4051 --day 2017-02-07</v>
      </c>
      <c r="AN188" s="167" t="str">
        <f>"grep -SE -B400 ""CHR.+\|PRM\|1\|D.+(SWITCH|SIGNAL).+UNKNOWN"" "&amp;search_path&amp;"\RTDC"&amp;B188&amp;"\*"&amp;B188&amp;"*"&amp;TEXT(AVERAGE(F188,I188)-utc_offset/24,"YYYYMMDD")&amp;"*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"%USERPROFILE%\AppData\Local\Temp\OnboardLogs"\RTDC4051\*4051*20170207* | grep -SE "(Enforcement Action)|(\[TIMEOUT)|(CHR.+\|PRM\|1\|D.+(SWITCH|SIGNAL).+UNKNOWN)" - &gt;&gt; 2017-02-07-UncaughtWiMAX.txt</v>
      </c>
    </row>
    <row r="189" spans="1:91" s="20" customFormat="1" x14ac:dyDescent="0.25">
      <c r="A189" s="33" t="s">
        <v>485</v>
      </c>
      <c r="B189" s="7">
        <v>4052</v>
      </c>
      <c r="C189" s="21" t="s">
        <v>193</v>
      </c>
      <c r="D189" s="21" t="s">
        <v>451</v>
      </c>
      <c r="E189" s="13">
        <v>42773.713159722225</v>
      </c>
      <c r="F189" s="13">
        <v>42773.715127314812</v>
      </c>
      <c r="G189" s="7">
        <v>1</v>
      </c>
      <c r="H189" s="21" t="s">
        <v>835</v>
      </c>
      <c r="I189" s="13">
        <v>42773.726168981484</v>
      </c>
      <c r="J189" s="7">
        <v>0</v>
      </c>
      <c r="K189" s="98" t="str">
        <f>IF(ISEVEN(B189),(B189-1)&amp;"/"&amp;B189,B189&amp;"/"&amp;(B189+1))</f>
        <v>4051/4052</v>
      </c>
      <c r="L189" s="21" t="str">
        <f>VLOOKUP(A189,'Trips&amp;Operators'!$C$1:$G$99999,5,FALSE)</f>
        <v>HILLS DUSTIN</v>
      </c>
      <c r="M189" s="6">
        <f>I189-F189</f>
        <v>1.1041666672099382E-2</v>
      </c>
      <c r="N189" s="7">
        <f>24*60*SUM($M189:$M189)</f>
        <v>15.90000000782311</v>
      </c>
      <c r="O189" s="7"/>
      <c r="P189" s="7"/>
      <c r="Q189" s="22"/>
      <c r="R189" s="22"/>
      <c r="S189" s="31">
        <f>SUM(U189:U189)/IF(AG189="EC",12,1)</f>
        <v>1</v>
      </c>
      <c r="T189" s="46" t="str">
        <f>IF(ISEVEN(LEFT(AD189,4)),"Southbound","NorthBound")</f>
        <v>Southbound</v>
      </c>
      <c r="U189" s="190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191" t="str">
        <f>"https://d0f6bd738d7f1b3e5a7ca70fe4ff75f0.us-east-1.aws.found.io/app/kibana#/discover/Steve-Slow-Train-Analysis-(2080s-and-2083s)?_g="&amp;"(refreshInterval:(display:Off,pause:!f,section:0,value:0),time:(from:'"&amp;TEXT(E189-1/24,"yyyy-MM-DDThh:mm:ss")&amp;utc_offset&amp;"00"&amp;"',mode:absolute,to:'"&amp;TEXT(I189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189&amp;"%22')),sort:!(Time.ISO8601,asc))"</f>
        <v>https://d0f6bd738d7f1b3e5a7ca70fe4ff75f0.us-east-1.aws.found.io/app/kibana#/discover/Steve-Slow-Train-Analysis-(2080s-and-2083s)?_g=(refreshInterval:(display:Off,pause:!f,section:0,value:0),time:(from:'2017-02-07T16:06:57-0700',mode:absolute,to:'2017-02-07T18:25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89" s="192" t="str">
        <f>IF(AA189&lt;IF(AG189="EC",23,5.65),"Y","N")</f>
        <v>N</v>
      </c>
      <c r="X189" s="192">
        <f>VALUE(LEFT(AD189,4))-VALUE(LEFT(AD188,4))</f>
        <v>1</v>
      </c>
      <c r="Y189" s="62">
        <f>RIGHT(D189,LEN(D189)-4)/10000</f>
        <v>5.8697999999999997</v>
      </c>
      <c r="Z189" s="62">
        <f>RIGHT(H189,LEN(H189)-4)/10000</f>
        <v>6.5600000000000006E-2</v>
      </c>
      <c r="AA189" s="62">
        <f>ABS(Z189-Y189)</f>
        <v>5.8041999999999998</v>
      </c>
      <c r="AB189" s="59" t="e">
        <f>VLOOKUP(A189,Enforcements!$C$7:$K$14,8,0)</f>
        <v>#N/A</v>
      </c>
      <c r="AC189" s="55" t="e">
        <f>VLOOKUP(A189,Enforcements!$C$7:$E$14,3,0)</f>
        <v>#N/A</v>
      </c>
      <c r="AD189" s="56" t="str">
        <f>IF(LEN(A189)=6,"0"&amp;A189,A189)</f>
        <v>0832-07</v>
      </c>
      <c r="AE189" s="85" t="str">
        <f>"aws s3 cp "&amp;s3_bucket&amp;"/RTDC"&amp;B189&amp;"/ "&amp;search_path&amp;"\RTDC"&amp;B189&amp;"\"&amp;TEXT(F189,"YYYY-MM-DD")&amp;" --exclude ""*"" --recursive --include ""*"&amp;TEXT(F189,"YYYYMMDD")&amp;"*"" &amp; """&amp;walkandungz&amp;""" "&amp;search_path&amp;"\RTDC"&amp;B189&amp;"\"&amp;TEXT(F189,"YYYY-MM-DD")
&amp;" &amp; "&amp;"aws s3 cp "&amp;s3_bucket&amp;"/RTDC"&amp;B189&amp;"/ "&amp;search_path&amp;"\RTDC"&amp;B189&amp;"\"&amp;TEXT(F189+1,"YYYY-MM-DD")&amp;" --exclude ""*"" --recursive --include ""*"&amp;TEXT(F189+1,"YYYYMMDD")&amp;"*"" &amp; """&amp;walkandungz&amp;""" "&amp;search_path&amp;"\RTDC"&amp;B189&amp;"\"&amp;TEXT(F189+1,"YYYY-MM-DD")</f>
        <v>aws s3 cp s3://rtdc.mdm.uploadarchive.raw/RTDC4052/ "%USERPROFILE%\AppData\Local\Temp\OnboardLogs"\RTDC4052\2017-02-07 --exclude "*" --recursive --include "*20170207*" &amp; "%USERPROFILE%\Documents\GitHub\mrs-test-scripts\Headless Mode &amp; Sideloading\WalkAndUnGZ.bat" "%USERPROFILE%\AppData\Local\Temp\OnboardLogs"\RTDC4052\2017-02-07 &amp; aws s3 cp s3://rtdc.mdm.uploadarchive.raw/RTDC4052/ "%USERPROFILE%\AppData\Local\Temp\OnboardLogs"\RTDC4052\2017-02-08 --exclude "*" --recursive --include "*20170208*" &amp; "%USERPROFILE%\Documents\GitHub\mrs-test-scripts\Headless Mode &amp; Sideloading\WalkAndUnGZ.bat" "%USERPROFILE%\AppData\Local\Temp\OnboardLogs"\RTDC4052\2017-02-08</v>
      </c>
      <c r="AF189" s="82" t="str">
        <f>astrogrep_path&amp;" /spath="&amp;search_path&amp;" /stypes=""app*"&amp;B189&amp;"*"&amp;TEXT(I189-utc_offset/24,"YYYYMMDD")&amp;"*"" /stext="" "&amp;TEXT(I189-utc_offset/24,"HH")&amp;search_regexp&amp;""" /e /r /s"</f>
        <v>"C:\Program Files (x86)\AstroGrep\AstroGrep.exe" /spath="%USERPROFILE%\AppData\Local\Temp\OnboardLogs" /stypes="app*4052*20170208*" /stext=" 00:.+((SYSTEM_STATE.+slice.+state.+changed )|(ment ac)|(multiple cpu faults)|(system.+state.+changed )|(\[timeout)|(PRM\|1\|D)|(kpr)|(kdp)|(\|lc)|(penalty))" /e /r /s</v>
      </c>
      <c r="AG189" s="1" t="str">
        <f>IFERROR(IF(VALUE(LEFT(AD189,2))&lt;=2,"EC",IF(OR(VALUE(LEFT(AD189,2))=8,VALUE(LEFT(AD189,2))=18),"NW","Other")),"Other")</f>
        <v>NW</v>
      </c>
      <c r="AH189" s="86" t="str">
        <f t="shared" si="9"/>
        <v>"%USERPROFILE%\Documents\GitHub\eaglep3\Utilities\RefineRTDCRunTimes.py" --tripid 832-07 --locoid 4052 --swversion DE.1.0.8.0 --startMP 300:58698 --initTime 2017-02-07T17:06:57 --startdatetime 2017-02-07T17:09:47 --delay 1 --endMP 204:656 --enddatetime 2017-02-07T17:25:41 --enforcementcount 0 &gt;&gt;C:\Users\stu\Documents\GitHub\eaglep3-reporting\EC\2017-02-07-refined-times.txt</v>
      </c>
      <c r="AI189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{"issue":{"subject":"","project_id":79,"tracker_id":40,"status_id":1,"priority_id":2,"assigned_to_id":23,"start_date":"2017-02-07","description":"","custom_fields":[{"id":1,"name":"Subdivision","value":"NW"},{"id":4,"name":"Milepost","value":"0.0656"},{"id":17,"name":"Train ID","value":"832-07"},{"id":16,"name":"Locomotive ID","value":"4052"},{"id":130,"name":"Impact","value":""},{"id":150,"name":"Time of Event (Mountain Time)","value":"17:25:41"},{"id":151,"name":"Denver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48"/>
      <c r="AK189" s="48"/>
      <c r="AL189" s="48"/>
      <c r="AM189" s="158" t="str">
        <f t="shared" si="11"/>
        <v>start /low /b %USERPROFILE%\Documents\GitHub\eaglep3\Utilities\DownloadLogsFromS3.py --loco 4052 --day 2017-02-07</v>
      </c>
      <c r="AN189" s="167" t="str">
        <f>"grep -SE -B400 ""CHR.+\|PRM\|1\|D.+(SWITCH|SIGNAL).+UNKNOWN"" "&amp;search_path&amp;"\RTDC"&amp;B189&amp;"\*"&amp;B189&amp;"*"&amp;TEXT(AVERAGE(F189,I189)-utc_offset/24,"YYYYMMDD")&amp;"*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"%USERPROFILE%\AppData\Local\Temp\OnboardLogs"\RTDC4052\*4052*20170208* | grep -SE "(Enforcement Action)|(\[TIMEOUT)|(CHR.+\|PRM\|1\|D.+(SWITCH|SIGNAL).+UNKNOWN)" - &gt;&gt; 2017-02-07-UncaughtWiMAX.txt</v>
      </c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</row>
    <row r="190" spans="1:91" x14ac:dyDescent="0.25">
      <c r="A190" s="33" t="s">
        <v>639</v>
      </c>
      <c r="B190" s="7">
        <v>4027</v>
      </c>
      <c r="C190" s="21" t="s">
        <v>193</v>
      </c>
      <c r="D190" s="21" t="s">
        <v>842</v>
      </c>
      <c r="E190" s="13">
        <v>42773.718078703707</v>
      </c>
      <c r="F190" s="13">
        <v>42773.723101851851</v>
      </c>
      <c r="G190" s="7">
        <v>2</v>
      </c>
      <c r="H190" s="21" t="s">
        <v>386</v>
      </c>
      <c r="I190" s="13">
        <v>42773.732442129629</v>
      </c>
      <c r="J190" s="7">
        <v>0</v>
      </c>
      <c r="K190" s="98" t="str">
        <f>IF(ISEVEN(B190),(B190-1)&amp;"/"&amp;B190,B190&amp;"/"&amp;(B190+1))</f>
        <v>4027/4028</v>
      </c>
      <c r="L190" s="21" t="str">
        <f>VLOOKUP(A190,'Trips&amp;Operators'!$C$1:$G$99999,5,FALSE)</f>
        <v>LEVIN SCOTT</v>
      </c>
      <c r="M190" s="6">
        <f>I190-F190</f>
        <v>9.340277778392192E-3</v>
      </c>
      <c r="N190" s="7">
        <f>24*60*SUM($M190:$M190)</f>
        <v>13.450000000884756</v>
      </c>
      <c r="O190" s="7"/>
      <c r="P190" s="7"/>
      <c r="Q190" s="22"/>
      <c r="R190" s="22"/>
      <c r="S190" s="31">
        <f>SUM(U190:U190)/IF(AG190="EC",12,1)</f>
        <v>1</v>
      </c>
      <c r="T190" s="46" t="str">
        <f>IF(ISEVEN(LEFT(AD190,4)),"Southbound","NorthBound")</f>
        <v>NorthBound</v>
      </c>
      <c r="U190" s="190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191" t="str">
        <f>"https://d0f6bd738d7f1b3e5a7ca70fe4ff75f0.us-east-1.aws.found.io/app/kibana#/discover/Steve-Slow-Train-Analysis-(2080s-and-2083s)?_g="&amp;"(refreshInterval:(display:Off,pause:!f,section:0,value:0),time:(from:'"&amp;TEXT(E190-1/24,"yyyy-MM-DDThh:mm:ss")&amp;utc_offset&amp;"00"&amp;"',mode:absolute,to:'"&amp;TEXT(I190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190&amp;"%22')),sort:!(Time.ISO8601,asc))"</f>
        <v>https://d0f6bd738d7f1b3e5a7ca70fe4ff75f0.us-east-1.aws.found.io/app/kibana#/discover/Steve-Slow-Train-Analysis-(2080s-and-2083s)?_g=(refreshInterval:(display:Off,pause:!f,section:0,value:0),time:(from:'2017-02-07T16:14:02-0700',mode:absolute,to:'2017-02-07T18:34:43-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0" s="192" t="str">
        <f>IF(AA190&lt;IF(AG190="EC",23,5.65),"Y","N")</f>
        <v>N</v>
      </c>
      <c r="X190" s="192">
        <f>VALUE(LEFT(AD190,4))-VALUE(LEFT(AD189,4))</f>
        <v>1</v>
      </c>
      <c r="Y190" s="62">
        <f>RIGHT(D190,LEN(D190)-4)/10000</f>
        <v>9.9000000000000005E-2</v>
      </c>
      <c r="Z190" s="62">
        <f>RIGHT(H190,LEN(H190)-4)/10000</f>
        <v>5.8940999999999999</v>
      </c>
      <c r="AA190" s="62">
        <f>ABS(Z190-Y190)</f>
        <v>5.7950999999999997</v>
      </c>
      <c r="AB190" s="59" t="e">
        <f>VLOOKUP(A190,Enforcements!$C$7:$K$14,8,0)</f>
        <v>#N/A</v>
      </c>
      <c r="AC190" s="55" t="e">
        <f>VLOOKUP(A190,Enforcements!$C$7:$E$14,3,0)</f>
        <v>#N/A</v>
      </c>
      <c r="AD190" s="56" t="str">
        <f>IF(LEN(A190)=6,"0"&amp;A190,A190)</f>
        <v>0833-07</v>
      </c>
      <c r="AE190" s="85" t="str">
        <f>"aws s3 cp "&amp;s3_bucket&amp;"/RTDC"&amp;B190&amp;"/ "&amp;search_path&amp;"\RTDC"&amp;B190&amp;"\"&amp;TEXT(F190,"YYYY-MM-DD")&amp;" --exclude ""*"" --recursive --include ""*"&amp;TEXT(F190,"YYYYMMDD")&amp;"*"" &amp; """&amp;walkandungz&amp;""" "&amp;search_path&amp;"\RTDC"&amp;B190&amp;"\"&amp;TEXT(F190,"YYYY-MM-DD")
&amp;" &amp; "&amp;"aws s3 cp "&amp;s3_bucket&amp;"/RTDC"&amp;B190&amp;"/ "&amp;search_path&amp;"\RTDC"&amp;B190&amp;"\"&amp;TEXT(F190+1,"YYYY-MM-DD")&amp;" --exclude ""*"" --recursive --include ""*"&amp;TEXT(F190+1,"YYYYMMDD")&amp;"*"" &amp; """&amp;walkandungz&amp;""" "&amp;search_path&amp;"\RTDC"&amp;B190&amp;"\"&amp;TEXT(F190+1,"YYYY-MM-DD")</f>
        <v>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 &amp; 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</v>
      </c>
      <c r="AF190" s="82" t="str">
        <f>astrogrep_path&amp;" /spath="&amp;search_path&amp;" /stypes=""app*"&amp;B190&amp;"*"&amp;TEXT(I190-utc_offset/24,"YYYYMMDD")&amp;"*"" /stext="" "&amp;TEXT(I190-utc_offset/24,"HH")&amp;search_regexp&amp;""" /e /r /s"</f>
        <v>"C:\Program Files (x86)\AstroGrep\AstroGrep.exe" /spath="%USERPROFILE%\AppData\Local\Temp\OnboardLogs" /stypes="app*4027*20170208*" /stext=" 00:.+((SYSTEM_STATE.+slice.+state.+changed )|(ment ac)|(multiple cpu faults)|(system.+state.+changed )|(\[timeout)|(PRM\|1\|D)|(kpr)|(kdp)|(\|lc)|(penalty))" /e /r /s</v>
      </c>
      <c r="AG190" s="1" t="str">
        <f>IFERROR(IF(VALUE(LEFT(AD190,2))&lt;=2,"EC",IF(OR(VALUE(LEFT(AD190,2))=8,VALUE(LEFT(AD190,2))=18),"NW","Other")),"Other")</f>
        <v>NW</v>
      </c>
      <c r="AH190" s="86" t="str">
        <f t="shared" si="9"/>
        <v>"%USERPROFILE%\Documents\GitHub\eaglep3\Utilities\RefineRTDCRunTimes.py" --tripid 833-07 --locoid 4027 --swversion DE.1.0.8.0 --startMP 204:990 --initTime 2017-02-07T17:14:02 --startdatetime 2017-02-07T17:21:16 --delay 2 --endMP 300:58941 --enddatetime 2017-02-07T17:34:43 --enforcementcount 0 &gt;&gt;C:\Users\stu\Documents\GitHub\eaglep3-reporting\EC\2017-02-07-refined-times.txt</v>
      </c>
      <c r="AI190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{"issue":{"subject":"","project_id":79,"tracker_id":40,"status_id":1,"priority_id":2,"assigned_to_id":23,"start_date":"2017-02-07","description":"","custom_fields":[{"id":1,"name":"Subdivision","value":"NW"},{"id":4,"name":"Milepost","value":"5.8941"},{"id":17,"name":"Train ID","value":"833-07"},{"id":16,"name":"Locomotive ID","value":"4027"},{"id":130,"name":"Impact","value":""},{"id":150,"name":"Time of Event (Mountain Time)","value":"17:34:43"},{"id":151,"name":"Denver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48"/>
      <c r="AK190" s="48"/>
      <c r="AL190" s="48"/>
      <c r="AM190" s="158" t="str">
        <f t="shared" si="11"/>
        <v>start /low /b %USERPROFILE%\Documents\GitHub\eaglep3\Utilities\DownloadLogsFromS3.py --loco 4027 --day 2017-02-07</v>
      </c>
      <c r="AN190" s="167" t="str">
        <f>"grep -SE -B400 ""CHR.+\|PRM\|1\|D.+(SWITCH|SIGNAL).+UNKNOWN"" "&amp;search_path&amp;"\RTDC"&amp;B190&amp;"\*"&amp;B190&amp;"*"&amp;TEXT(AVERAGE(F190,I190)-utc_offset/24,"YYYYMMDD")&amp;"*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"%USERPROFILE%\AppData\Local\Temp\OnboardLogs"\RTDC4027\*4027*20170208* | grep -SE "(Enforcement Action)|(\[TIMEOUT)|(CHR.+\|PRM\|1\|D.+(SWITCH|SIGNAL).+UNKNOWN)" - &gt;&gt; 2017-02-07-UncaughtWiMAX.txt</v>
      </c>
    </row>
    <row r="191" spans="1:91" x14ac:dyDescent="0.25">
      <c r="A191" s="33" t="s">
        <v>646</v>
      </c>
      <c r="B191" s="7">
        <v>4028</v>
      </c>
      <c r="C191" s="21" t="s">
        <v>193</v>
      </c>
      <c r="D191" s="21" t="s">
        <v>459</v>
      </c>
      <c r="E191" s="13">
        <v>42773.733576388891</v>
      </c>
      <c r="F191" s="13">
        <v>42773.735555555555</v>
      </c>
      <c r="G191" s="7">
        <v>2</v>
      </c>
      <c r="H191" s="21" t="s">
        <v>843</v>
      </c>
      <c r="I191" s="13">
        <v>42773.746840277781</v>
      </c>
      <c r="J191" s="7">
        <v>0</v>
      </c>
      <c r="K191" s="98" t="str">
        <f>IF(ISEVEN(B191),(B191-1)&amp;"/"&amp;B191,B191&amp;"/"&amp;(B191+1))</f>
        <v>4027/4028</v>
      </c>
      <c r="L191" s="21" t="str">
        <f>VLOOKUP(A191,'Trips&amp;Operators'!$C$1:$G$99999,5,FALSE)</f>
        <v>LEVIN SCOTT</v>
      </c>
      <c r="M191" s="6">
        <f>I191-F191</f>
        <v>1.1284722226264421E-2</v>
      </c>
      <c r="N191" s="7">
        <f>24*60*SUM($M191:$M191)</f>
        <v>16.250000005820766</v>
      </c>
      <c r="O191" s="7"/>
      <c r="P191" s="7"/>
      <c r="Q191" s="22"/>
      <c r="R191" s="22"/>
      <c r="S191" s="31">
        <f>SUM(U191:U191)/IF(AG191="EC",12,1)</f>
        <v>1</v>
      </c>
      <c r="T191" s="46" t="str">
        <f>IF(ISEVEN(LEFT(AD191,4)),"Southbound","NorthBound")</f>
        <v>Southbound</v>
      </c>
      <c r="U191" s="190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191" t="str">
        <f>"https://d0f6bd738d7f1b3e5a7ca70fe4ff75f0.us-east-1.aws.found.io/app/kibana#/discover/Steve-Slow-Train-Analysis-(2080s-and-2083s)?_g="&amp;"(refreshInterval:(display:Off,pause:!f,section:0,value:0),time:(from:'"&amp;TEXT(E191-1/24,"yyyy-MM-DDThh:mm:ss")&amp;utc_offset&amp;"00"&amp;"',mode:absolute,to:'"&amp;TEXT(I191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191&amp;"%22')),sort:!(Time.ISO8601,asc))"</f>
        <v>https://d0f6bd738d7f1b3e5a7ca70fe4ff75f0.us-east-1.aws.found.io/app/kibana#/discover/Steve-Slow-Train-Analysis-(2080s-and-2083s)?_g=(refreshInterval:(display:Off,pause:!f,section:0,value:0),time:(from:'2017-02-07T16:36:21-0700',mode:absolute,to:'2017-02-07T18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1" s="192" t="str">
        <f>IF(AA191&lt;IF(AG191="EC",23,5.65),"Y","N")</f>
        <v>N</v>
      </c>
      <c r="X191" s="192">
        <f>VALUE(LEFT(AD191,4))-VALUE(LEFT(AD190,4))</f>
        <v>1</v>
      </c>
      <c r="Y191" s="62">
        <f>RIGHT(D191,LEN(D191)-4)/10000</f>
        <v>5.8619000000000003</v>
      </c>
      <c r="Z191" s="62">
        <f>RIGHT(H191,LEN(H191)-4)/10000</f>
        <v>6.6600000000000006E-2</v>
      </c>
      <c r="AA191" s="62">
        <f>ABS(Z191-Y191)</f>
        <v>5.7953000000000001</v>
      </c>
      <c r="AB191" s="59" t="e">
        <f>VLOOKUP(A191,Enforcements!$C$7:$K$14,8,0)</f>
        <v>#N/A</v>
      </c>
      <c r="AC191" s="55" t="e">
        <f>VLOOKUP(A191,Enforcements!$C$7:$E$14,3,0)</f>
        <v>#N/A</v>
      </c>
      <c r="AD191" s="56" t="str">
        <f>IF(LEN(A191)=6,"0"&amp;A191,A191)</f>
        <v>0834-07</v>
      </c>
      <c r="AE191" s="85" t="str">
        <f>"aws s3 cp "&amp;s3_bucket&amp;"/RTDC"&amp;B191&amp;"/ "&amp;search_path&amp;"\RTDC"&amp;B191&amp;"\"&amp;TEXT(F191,"YYYY-MM-DD")&amp;" --exclude ""*"" --recursive --include ""*"&amp;TEXT(F191,"YYYYMMDD")&amp;"*"" &amp; """&amp;walkandungz&amp;""" "&amp;search_path&amp;"\RTDC"&amp;B191&amp;"\"&amp;TEXT(F191,"YYYY-MM-DD")
&amp;" &amp; "&amp;"aws s3 cp "&amp;s3_bucket&amp;"/RTDC"&amp;B191&amp;"/ "&amp;search_path&amp;"\RTDC"&amp;B191&amp;"\"&amp;TEXT(F191+1,"YYYY-MM-DD")&amp;" --exclude ""*"" --recursive --include ""*"&amp;TEXT(F191+1,"YYYYMMDD")&amp;"*"" &amp; """&amp;walkandungz&amp;""" "&amp;search_path&amp;"\RTDC"&amp;B191&amp;"\"&amp;TEXT(F191+1,"YYYY-MM-DD")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AF191" s="82" t="str">
        <f>astrogrep_path&amp;" /spath="&amp;search_path&amp;" /stypes=""app*"&amp;B191&amp;"*"&amp;TEXT(I191-utc_offset/24,"YYYYMMDD")&amp;"*"" /stext="" "&amp;TEXT(I191-utc_offset/24,"HH")&amp;search_regexp&amp;""" /e /r /s"</f>
        <v>"C:\Program Files (x86)\AstroGrep\AstroGrep.exe" /spath="%USERPROFILE%\AppData\Local\Temp\OnboardLogs" /stypes="app*4028*20170208*" /stext=" 00:.+((SYSTEM_STATE.+slice.+state.+changed )|(ment ac)|(multiple cpu faults)|(system.+state.+changed )|(\[timeout)|(PRM\|1\|D)|(kpr)|(kdp)|(\|lc)|(penalty))" /e /r /s</v>
      </c>
      <c r="AG191" s="1" t="str">
        <f>IFERROR(IF(VALUE(LEFT(AD191,2))&lt;=2,"EC",IF(OR(VALUE(LEFT(AD191,2))=8,VALUE(LEFT(AD191,2))=18),"NW","Other")),"Other")</f>
        <v>NW</v>
      </c>
      <c r="AH191" s="86" t="str">
        <f t="shared" si="9"/>
        <v>"%USERPROFILE%\Documents\GitHub\eaglep3\Utilities\RefineRTDCRunTimes.py" --tripid 834-07 --locoid 4028 --swversion DE.1.0.8.0 --startMP 300:58619 --initTime 2017-02-07T17:36:21 --startdatetime 2017-02-07T17:39:12 --delay 2 --endMP 204:666 --enddatetime 2017-02-07T17:55:27 --enforcementcount 0 &gt;&gt;C:\Users\stu\Documents\GitHub\eaglep3-reporting\EC\2017-02-07-refined-times.txt</v>
      </c>
      <c r="AI191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{"issue":{"subject":"","project_id":79,"tracker_id":40,"status_id":1,"priority_id":2,"assigned_to_id":23,"start_date":"2017-02-07","description":"","custom_fields":[{"id":1,"name":"Subdivision","value":"NW"},{"id":4,"name":"Milepost","value":"0.0666"},{"id":17,"name":"Train ID","value":"834-07"},{"id":16,"name":"Locomotive ID","value":"4028"},{"id":130,"name":"Impact","value":""},{"id":150,"name":"Time of Event (Mountain Time)","value":"17:55:27"},{"id":151,"name":"Denver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48"/>
      <c r="AK191" s="48"/>
      <c r="AL191" s="48"/>
      <c r="AM191" s="158" t="str">
        <f t="shared" si="11"/>
        <v>start /low /b %USERPROFILE%\Documents\GitHub\eaglep3\Utilities\DownloadLogsFromS3.py --loco 4028 --day 2017-02-07</v>
      </c>
      <c r="AN191" s="167" t="str">
        <f>"grep -SE -B400 ""CHR.+\|PRM\|1\|D.+(SWITCH|SIGNAL).+UNKNOWN"" "&amp;search_path&amp;"\RTDC"&amp;B191&amp;"\*"&amp;B191&amp;"*"&amp;TEXT(AVERAGE(F191,I191)-utc_offset/24,"YYYYMMDD")&amp;"*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"%USERPROFILE%\AppData\Local\Temp\OnboardLogs"\RTDC4028\*4028*20170208* | grep -SE "(Enforcement Action)|(\[TIMEOUT)|(CHR.+\|PRM\|1\|D.+(SWITCH|SIGNAL).+UNKNOWN)" - &gt;&gt; 2017-02-07-UncaughtWiMAX.txt</v>
      </c>
    </row>
    <row r="192" spans="1:91" x14ac:dyDescent="0.25">
      <c r="A192" s="33" t="s">
        <v>644</v>
      </c>
      <c r="B192" s="7">
        <v>4051</v>
      </c>
      <c r="C192" s="21" t="s">
        <v>193</v>
      </c>
      <c r="D192" s="21" t="s">
        <v>844</v>
      </c>
      <c r="E192" s="13">
        <v>42773.727488425924</v>
      </c>
      <c r="F192" s="13">
        <v>42773.743981481479</v>
      </c>
      <c r="G192" s="7">
        <v>1</v>
      </c>
      <c r="H192" s="21" t="s">
        <v>845</v>
      </c>
      <c r="I192" s="13">
        <v>42773.753912037035</v>
      </c>
      <c r="J192" s="7">
        <v>0</v>
      </c>
      <c r="K192" s="98" t="str">
        <f>IF(ISEVEN(B192),(B192-1)&amp;"/"&amp;B192,B192&amp;"/"&amp;(B192+1))</f>
        <v>4051/4052</v>
      </c>
      <c r="L192" s="21" t="str">
        <f>VLOOKUP(A192,'Trips&amp;Operators'!$C$1:$G$99999,5,FALSE)</f>
        <v>HILLS DUSTIN</v>
      </c>
      <c r="M192" s="6">
        <f>I192-F192</f>
        <v>9.930555555911269E-3</v>
      </c>
      <c r="N192" s="7">
        <f>24*60*SUM($M192:$M192)</f>
        <v>14.300000000512227</v>
      </c>
      <c r="O192" s="7"/>
      <c r="P192" s="7"/>
      <c r="Q192" s="22"/>
      <c r="R192" s="22"/>
      <c r="S192" s="31">
        <f>SUM(U192:U192)/IF(AG192="EC",12,1)</f>
        <v>1</v>
      </c>
      <c r="T192" s="46" t="str">
        <f>IF(ISEVEN(LEFT(AD192,4)),"Southbound","NorthBound")</f>
        <v>NorthBound</v>
      </c>
      <c r="U192" s="190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191" t="str">
        <f>"https://d0f6bd738d7f1b3e5a7ca70fe4ff75f0.us-east-1.aws.found.io/app/kibana#/discover/Steve-Slow-Train-Analysis-(2080s-and-2083s)?_g="&amp;"(refreshInterval:(display:Off,pause:!f,section:0,value:0),time:(from:'"&amp;TEXT(E192-1/24,"yyyy-MM-DDThh:mm:ss")&amp;utc_offset&amp;"00"&amp;"',mode:absolute,to:'"&amp;TEXT(I192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192&amp;"%22')),sort:!(Time.ISO8601,asc))"</f>
        <v>https://d0f6bd738d7f1b3e5a7ca70fe4ff75f0.us-east-1.aws.found.io/app/kibana#/discover/Steve-Slow-Train-Analysis-(2080s-and-2083s)?_g=(refreshInterval:(display:Off,pause:!f,section:0,value:0),time:(from:'2017-02-07T16:27:35-0700',mode:absolute,to:'2017-02-07T19:05:38-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2" s="192" t="str">
        <f>IF(AA192&lt;IF(AG192="EC",23,5.65),"Y","N")</f>
        <v>N</v>
      </c>
      <c r="X192" s="192">
        <f>VALUE(LEFT(AD192,4))-VALUE(LEFT(AD191,4))</f>
        <v>1</v>
      </c>
      <c r="Y192" s="62">
        <f>RIGHT(D192,LEN(D192)-4)/10000</f>
        <v>9.4799999999999995E-2</v>
      </c>
      <c r="Z192" s="62">
        <f>RIGHT(H192,LEN(H192)-4)/10000</f>
        <v>5.8982000000000001</v>
      </c>
      <c r="AA192" s="62">
        <f>ABS(Z192-Y192)</f>
        <v>5.8033999999999999</v>
      </c>
      <c r="AB192" s="59" t="e">
        <f>VLOOKUP(A192,Enforcements!$C$7:$K$14,8,0)</f>
        <v>#N/A</v>
      </c>
      <c r="AC192" s="55" t="e">
        <f>VLOOKUP(A192,Enforcements!$C$7:$E$14,3,0)</f>
        <v>#N/A</v>
      </c>
      <c r="AD192" s="56" t="str">
        <f>IF(LEN(A192)=6,"0"&amp;A192,A192)</f>
        <v>0835-07</v>
      </c>
      <c r="AE192" s="85" t="str">
        <f>"aws s3 cp "&amp;s3_bucket&amp;"/RTDC"&amp;B192&amp;"/ "&amp;search_path&amp;"\RTDC"&amp;B192&amp;"\"&amp;TEXT(F192,"YYYY-MM-DD")&amp;" --exclude ""*"" --recursive --include ""*"&amp;TEXT(F192,"YYYYMMDD")&amp;"*"" &amp; """&amp;walkandungz&amp;""" "&amp;search_path&amp;"\RTDC"&amp;B192&amp;"\"&amp;TEXT(F192,"YYYY-MM-DD")
&amp;" &amp; "&amp;"aws s3 cp "&amp;s3_bucket&amp;"/RTDC"&amp;B192&amp;"/ "&amp;search_path&amp;"\RTDC"&amp;B192&amp;"\"&amp;TEXT(F192+1,"YYYY-MM-DD")&amp;" --exclude ""*"" --recursive --include ""*"&amp;TEXT(F192+1,"YYYYMMDD")&amp;"*"" &amp; """&amp;walkandungz&amp;""" "&amp;search_path&amp;"\RTDC"&amp;B192&amp;"\"&amp;TEXT(F192+1,"YYYY-MM-DD")</f>
        <v>aws s3 cp s3://rtdc.mdm.uploadarchive.raw/RTDC4051/ "%USERPROFILE%\AppData\Local\Temp\OnboardLogs"\RTDC4051\2017-02-07 --exclude "*" --recursive --include "*20170207*" &amp; "%USERPROFILE%\Documents\GitHub\mrs-test-scripts\Headless Mode &amp; Sideloading\WalkAndUnGZ.bat" "%USERPROFILE%\AppData\Local\Temp\OnboardLogs"\RTDC4051\2017-02-07 &amp; 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</v>
      </c>
      <c r="AF192" s="82" t="str">
        <f>astrogrep_path&amp;" /spath="&amp;search_path&amp;" /stypes=""app*"&amp;B192&amp;"*"&amp;TEXT(I192-utc_offset/24,"YYYYMMDD")&amp;"*"" /stext="" "&amp;TEXT(I192-utc_offset/24,"HH")&amp;search_regexp&amp;""" /e /r /s"</f>
        <v>"C:\Program Files (x86)\AstroGrep\AstroGrep.exe" /spath="%USERPROFILE%\AppData\Local\Temp\OnboardLogs" /stypes="app*4051*20170208*" /stext=" 01:.+((SYSTEM_STATE.+slice.+state.+changed )|(ment ac)|(multiple cpu faults)|(system.+state.+changed )|(\[timeout)|(PRM\|1\|D)|(kpr)|(kdp)|(\|lc)|(penalty))" /e /r /s</v>
      </c>
      <c r="AG192" s="1" t="str">
        <f>IFERROR(IF(VALUE(LEFT(AD192,2))&lt;=2,"EC",IF(OR(VALUE(LEFT(AD192,2))=8,VALUE(LEFT(AD192,2))=18),"NW","Other")),"Other")</f>
        <v>NW</v>
      </c>
      <c r="AH192" s="86" t="str">
        <f t="shared" si="9"/>
        <v>"%USERPROFILE%\Documents\GitHub\eaglep3\Utilities\RefineRTDCRunTimes.py" --tripid 835-07 --locoid 4051 --swversion DE.1.0.8.0 --startMP 204:948 --initTime 2017-02-07T17:27:35 --startdatetime 2017-02-07T17:51:20 --delay 1 --endMP 300:58982 --enddatetime 2017-02-07T18:05:38 --enforcementcount 0 &gt;&gt;C:\Users\stu\Documents\GitHub\eaglep3-reporting\EC\2017-02-07-refined-times.txt</v>
      </c>
      <c r="AI192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{"issue":{"subject":"","project_id":79,"tracker_id":40,"status_id":1,"priority_id":2,"assigned_to_id":23,"start_date":"2017-02-07","description":"","custom_fields":[{"id":1,"name":"Subdivision","value":"NW"},{"id":4,"name":"Milepost","value":"5.8982"},{"id":17,"name":"Train ID","value":"835-07"},{"id":16,"name":"Locomotive ID","value":"4051"},{"id":130,"name":"Impact","value":""},{"id":150,"name":"Time of Event (Mountain Time)","value":"18:05:38"},{"id":151,"name":"Denver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48"/>
      <c r="AK192" s="48"/>
      <c r="AL192" s="48"/>
      <c r="AM192" s="158" t="str">
        <f t="shared" si="11"/>
        <v>start /low /b %USERPROFILE%\Documents\GitHub\eaglep3\Utilities\DownloadLogsFromS3.py --loco 4051 --day 2017-02-07</v>
      </c>
      <c r="AN192" s="167" t="str">
        <f>"grep -SE -B400 ""CHR.+\|PRM\|1\|D.+(SWITCH|SIGNAL).+UNKNOWN"" "&amp;search_path&amp;"\RTDC"&amp;B192&amp;"\*"&amp;B192&amp;"*"&amp;TEXT(AVERAGE(F192,I192)-utc_offset/24,"YYYYMMDD")&amp;"*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"%USERPROFILE%\AppData\Local\Temp\OnboardLogs"\RTDC4051\*4051*20170208* | grep -SE "(Enforcement Action)|(\[TIMEOUT)|(CHR.+\|PRM\|1\|D.+(SWITCH|SIGNAL).+UNKNOWN)" - &gt;&gt; 2017-02-07-UncaughtWiMAX.txt</v>
      </c>
    </row>
    <row r="193" spans="1:91" s="20" customFormat="1" x14ac:dyDescent="0.25">
      <c r="A193" s="33" t="s">
        <v>649</v>
      </c>
      <c r="B193" s="7">
        <v>4052</v>
      </c>
      <c r="C193" s="21" t="s">
        <v>193</v>
      </c>
      <c r="D193" s="21" t="s">
        <v>846</v>
      </c>
      <c r="E193" s="13">
        <v>42773.755046296297</v>
      </c>
      <c r="F193" s="13">
        <v>42773.756527777776</v>
      </c>
      <c r="G193" s="7">
        <v>1</v>
      </c>
      <c r="H193" s="21" t="s">
        <v>847</v>
      </c>
      <c r="I193" s="13">
        <v>42773.76730324074</v>
      </c>
      <c r="J193" s="7">
        <v>0</v>
      </c>
      <c r="K193" s="98" t="str">
        <f>IF(ISEVEN(B193),(B193-1)&amp;"/"&amp;B193,B193&amp;"/"&amp;(B193+1))</f>
        <v>4051/4052</v>
      </c>
      <c r="L193" s="21" t="str">
        <f>VLOOKUP(A193,'Trips&amp;Operators'!$C$1:$G$99999,5,FALSE)</f>
        <v>HILLS DUSTIN</v>
      </c>
      <c r="M193" s="6">
        <f>I193-F193</f>
        <v>1.0775462964375038E-2</v>
      </c>
      <c r="N193" s="7">
        <f>24*60*SUM($M193:$M193)</f>
        <v>15.516666668700054</v>
      </c>
      <c r="O193" s="7"/>
      <c r="P193" s="7"/>
      <c r="Q193" s="22"/>
      <c r="R193" s="22"/>
      <c r="S193" s="31">
        <f>SUM(U193:U193)/IF(AG193="EC",12,1)</f>
        <v>1</v>
      </c>
      <c r="T193" s="46" t="str">
        <f>IF(ISEVEN(LEFT(AD193,4)),"Southbound","NorthBound")</f>
        <v>Southbound</v>
      </c>
      <c r="U193" s="190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191" t="str">
        <f>"https://d0f6bd738d7f1b3e5a7ca70fe4ff75f0.us-east-1.aws.found.io/app/kibana#/discover/Steve-Slow-Train-Analysis-(2080s-and-2083s)?_g="&amp;"(refreshInterval:(display:Off,pause:!f,section:0,value:0),time:(from:'"&amp;TEXT(E193-1/24,"yyyy-MM-DDThh:mm:ss")&amp;utc_offset&amp;"00"&amp;"',mode:absolute,to:'"&amp;TEXT(I193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193&amp;"%22')),sort:!(Time.ISO8601,asc))"</f>
        <v>https://d0f6bd738d7f1b3e5a7ca70fe4ff75f0.us-east-1.aws.found.io/app/kibana#/discover/Steve-Slow-Train-Analysis-(2080s-and-2083s)?_g=(refreshInterval:(display:Off,pause:!f,section:0,value:0),time:(from:'2017-02-07T17:07:16-0700',mode:absolute,to:'2017-02-07T19:24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193" s="192" t="str">
        <f>IF(AA193&lt;IF(AG193="EC",23,5.65),"Y","N")</f>
        <v>N</v>
      </c>
      <c r="X193" s="192">
        <f>VALUE(LEFT(AD193,4))-VALUE(LEFT(AD192,4))</f>
        <v>1</v>
      </c>
      <c r="Y193" s="62">
        <f>RIGHT(D193,LEN(D193)-4)/10000</f>
        <v>5.8666</v>
      </c>
      <c r="Z193" s="62">
        <f>RIGHT(H193,LEN(H193)-4)/10000</f>
        <v>6.5699999999999995E-2</v>
      </c>
      <c r="AA193" s="62">
        <f>ABS(Z193-Y193)</f>
        <v>5.8009000000000004</v>
      </c>
      <c r="AB193" s="59" t="e">
        <f>VLOOKUP(A193,Enforcements!$C$7:$K$14,8,0)</f>
        <v>#N/A</v>
      </c>
      <c r="AC193" s="55" t="e">
        <f>VLOOKUP(A193,Enforcements!$C$7:$E$14,3,0)</f>
        <v>#N/A</v>
      </c>
      <c r="AD193" s="56" t="str">
        <f>IF(LEN(A193)=6,"0"&amp;A193,A193)</f>
        <v>0836-07</v>
      </c>
      <c r="AE193" s="85" t="str">
        <f>"aws s3 cp "&amp;s3_bucket&amp;"/RTDC"&amp;B193&amp;"/ "&amp;search_path&amp;"\RTDC"&amp;B193&amp;"\"&amp;TEXT(F193,"YYYY-MM-DD")&amp;" --exclude ""*"" --recursive --include ""*"&amp;TEXT(F193,"YYYYMMDD")&amp;"*"" &amp; """&amp;walkandungz&amp;""" "&amp;search_path&amp;"\RTDC"&amp;B193&amp;"\"&amp;TEXT(F193,"YYYY-MM-DD")
&amp;" &amp; "&amp;"aws s3 cp "&amp;s3_bucket&amp;"/RTDC"&amp;B193&amp;"/ "&amp;search_path&amp;"\RTDC"&amp;B193&amp;"\"&amp;TEXT(F193+1,"YYYY-MM-DD")&amp;" --exclude ""*"" --recursive --include ""*"&amp;TEXT(F193+1,"YYYYMMDD")&amp;"*"" &amp; """&amp;walkandungz&amp;""" "&amp;search_path&amp;"\RTDC"&amp;B193&amp;"\"&amp;TEXT(F193+1,"YYYY-MM-DD")</f>
        <v>aws s3 cp s3://rtdc.mdm.uploadarchive.raw/RTDC4052/ "%USERPROFILE%\AppData\Local\Temp\OnboardLogs"\RTDC4052\2017-02-07 --exclude "*" --recursive --include "*20170207*" &amp; "%USERPROFILE%\Documents\GitHub\mrs-test-scripts\Headless Mode &amp; Sideloading\WalkAndUnGZ.bat" "%USERPROFILE%\AppData\Local\Temp\OnboardLogs"\RTDC4052\2017-02-07 &amp; aws s3 cp s3://rtdc.mdm.uploadarchive.raw/RTDC4052/ "%USERPROFILE%\AppData\Local\Temp\OnboardLogs"\RTDC4052\2017-02-08 --exclude "*" --recursive --include "*20170208*" &amp; "%USERPROFILE%\Documents\GitHub\mrs-test-scripts\Headless Mode &amp; Sideloading\WalkAndUnGZ.bat" "%USERPROFILE%\AppData\Local\Temp\OnboardLogs"\RTDC4052\2017-02-08</v>
      </c>
      <c r="AF193" s="82" t="str">
        <f>astrogrep_path&amp;" /spath="&amp;search_path&amp;" /stypes=""app*"&amp;B193&amp;"*"&amp;TEXT(I193-utc_offset/24,"YYYYMMDD")&amp;"*"" /stext="" "&amp;TEXT(I193-utc_offset/24,"HH")&amp;search_regexp&amp;""" /e /r /s"</f>
        <v>"C:\Program Files (x86)\AstroGrep\AstroGrep.exe" /spath="%USERPROFILE%\AppData\Local\Temp\OnboardLogs" /stypes="app*4052*20170208*" /stext=" 01:.+((SYSTEM_STATE.+slice.+state.+changed )|(ment ac)|(multiple cpu faults)|(system.+state.+changed )|(\[timeout)|(PRM\|1\|D)|(kpr)|(kdp)|(\|lc)|(penalty))" /e /r /s</v>
      </c>
      <c r="AG193" s="1" t="str">
        <f>IFERROR(IF(VALUE(LEFT(AD193,2))&lt;=2,"EC",IF(OR(VALUE(LEFT(AD193,2))=8,VALUE(LEFT(AD193,2))=18),"NW","Other")),"Other")</f>
        <v>NW</v>
      </c>
      <c r="AH193" s="86" t="str">
        <f t="shared" si="9"/>
        <v>"%USERPROFILE%\Documents\GitHub\eaglep3\Utilities\RefineRTDCRunTimes.py" --tripid 836-07 --locoid 4052 --swversion DE.1.0.8.0 --startMP 300:58666 --initTime 2017-02-07T18:07:16 --startdatetime 2017-02-07T18:09:24 --delay 1 --endMP 204:657 --enddatetime 2017-02-07T18:24:55 --enforcementcount 0 &gt;&gt;C:\Users\stu\Documents\GitHub\eaglep3-reporting\EC\2017-02-07-refined-times.txt</v>
      </c>
      <c r="AI193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{"issue":{"subject":"","project_id":79,"tracker_id":40,"status_id":1,"priority_id":2,"assigned_to_id":23,"start_date":"2017-02-07","description":"","custom_fields":[{"id":1,"name":"Subdivision","value":"NW"},{"id":4,"name":"Milepost","value":"0.0657"},{"id":17,"name":"Train ID","value":"836-07"},{"id":16,"name":"Locomotive ID","value":"4052"},{"id":130,"name":"Impact","value":""},{"id":150,"name":"Time of Event (Mountain Time)","value":"18:24:55"},{"id":151,"name":"Denver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48"/>
      <c r="AK193" s="48"/>
      <c r="AL193" s="48"/>
      <c r="AM193" s="158" t="str">
        <f t="shared" si="11"/>
        <v>start /low /b %USERPROFILE%\Documents\GitHub\eaglep3\Utilities\DownloadLogsFromS3.py --loco 4052 --day 2017-02-07</v>
      </c>
      <c r="AN193" s="167" t="str">
        <f>"grep -SE -B400 ""CHR.+\|PRM\|1\|D.+(SWITCH|SIGNAL).+UNKNOWN"" "&amp;search_path&amp;"\RTDC"&amp;B193&amp;"\*"&amp;B193&amp;"*"&amp;TEXT(AVERAGE(F193,I193)-utc_offset/24,"YYYYMMDD")&amp;"*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"%USERPROFILE%\AppData\Local\Temp\OnboardLogs"\RTDC4052\*4052*20170208* | grep -SE "(Enforcement Action)|(\[TIMEOUT)|(CHR.+\|PRM\|1\|D.+(SWITCH|SIGNAL).+UNKNOWN)" - &gt;&gt; 2017-02-07-UncaughtWiMAX.txt</v>
      </c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</row>
    <row r="194" spans="1:91" x14ac:dyDescent="0.25">
      <c r="A194" s="33" t="s">
        <v>650</v>
      </c>
      <c r="B194" s="7">
        <v>4027</v>
      </c>
      <c r="C194" s="21" t="s">
        <v>193</v>
      </c>
      <c r="D194" s="21" t="s">
        <v>452</v>
      </c>
      <c r="E194" s="13">
        <v>42773.757581018515</v>
      </c>
      <c r="F194" s="13">
        <v>42773.764756944445</v>
      </c>
      <c r="G194" s="7">
        <v>1</v>
      </c>
      <c r="H194" s="21" t="s">
        <v>383</v>
      </c>
      <c r="I194" s="13">
        <v>42773.773969907408</v>
      </c>
      <c r="J194" s="7">
        <v>0</v>
      </c>
      <c r="K194" s="98" t="str">
        <f>IF(ISEVEN(B194),(B194-1)&amp;"/"&amp;B194,B194&amp;"/"&amp;(B194+1))</f>
        <v>4027/4028</v>
      </c>
      <c r="L194" s="21" t="str">
        <f>VLOOKUP(A194,'Trips&amp;Operators'!$C$1:$G$99999,5,FALSE)</f>
        <v>LEVIN SCOTT</v>
      </c>
      <c r="M194" s="6">
        <f>I194-F194</f>
        <v>9.2129629629198462E-3</v>
      </c>
      <c r="N194" s="7">
        <f>24*60*SUM($M194:$M194)</f>
        <v>13.266666666604578</v>
      </c>
      <c r="O194" s="7"/>
      <c r="P194" s="7"/>
      <c r="Q194" s="22"/>
      <c r="R194" s="22"/>
      <c r="S194" s="31">
        <f>SUM(U194:U194)/IF(AG194="EC",12,1)</f>
        <v>1</v>
      </c>
      <c r="T194" s="46" t="str">
        <f>IF(ISEVEN(LEFT(AD194,4)),"Southbound","NorthBound")</f>
        <v>NorthBound</v>
      </c>
      <c r="U194" s="190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191" t="str">
        <f>"https://d0f6bd738d7f1b3e5a7ca70fe4ff75f0.us-east-1.aws.found.io/app/kibana#/discover/Steve-Slow-Train-Analysis-(2080s-and-2083s)?_g="&amp;"(refreshInterval:(display:Off,pause:!f,section:0,value:0),time:(from:'"&amp;TEXT(E194-1/24,"yyyy-MM-DDThh:mm:ss")&amp;utc_offset&amp;"00"&amp;"',mode:absolute,to:'"&amp;TEXT(I194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194&amp;"%22')),sort:!(Time.ISO8601,asc))"</f>
        <v>https://d0f6bd738d7f1b3e5a7ca70fe4ff75f0.us-east-1.aws.found.io/app/kibana#/discover/Steve-Slow-Train-Analysis-(2080s-and-2083s)?_g=(refreshInterval:(display:Off,pause:!f,section:0,value:0),time:(from:'2017-02-07T17:10:55-0700',mode:absolute,to:'2017-02-07T19:34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4" s="192" t="str">
        <f>IF(AA194&lt;IF(AG194="EC",23,5.65),"Y","N")</f>
        <v>N</v>
      </c>
      <c r="X194" s="192">
        <f>VALUE(LEFT(AD194,4))-VALUE(LEFT(AD193,4))</f>
        <v>1</v>
      </c>
      <c r="Y194" s="62">
        <f>RIGHT(D194,LEN(D194)-4)/10000</f>
        <v>9.5299999999999996E-2</v>
      </c>
      <c r="Z194" s="62">
        <f>RIGHT(H194,LEN(H194)-4)/10000</f>
        <v>5.8928000000000003</v>
      </c>
      <c r="AA194" s="62">
        <f>ABS(Z194-Y194)</f>
        <v>5.7975000000000003</v>
      </c>
      <c r="AB194" s="59" t="e">
        <f>VLOOKUP(A194,Enforcements!$C$7:$K$14,8,0)</f>
        <v>#N/A</v>
      </c>
      <c r="AC194" s="55" t="e">
        <f>VLOOKUP(A194,Enforcements!$C$7:$E$14,3,0)</f>
        <v>#N/A</v>
      </c>
      <c r="AD194" s="56" t="str">
        <f>IF(LEN(A194)=6,"0"&amp;A194,A194)</f>
        <v>0837-07</v>
      </c>
      <c r="AE194" s="85" t="str">
        <f>"aws s3 cp "&amp;s3_bucket&amp;"/RTDC"&amp;B194&amp;"/ "&amp;search_path&amp;"\RTDC"&amp;B194&amp;"\"&amp;TEXT(F194,"YYYY-MM-DD")&amp;" --exclude ""*"" --recursive --include ""*"&amp;TEXT(F194,"YYYYMMDD")&amp;"*"" &amp; """&amp;walkandungz&amp;""" "&amp;search_path&amp;"\RTDC"&amp;B194&amp;"\"&amp;TEXT(F194,"YYYY-MM-DD")
&amp;" &amp; "&amp;"aws s3 cp "&amp;s3_bucket&amp;"/RTDC"&amp;B194&amp;"/ "&amp;search_path&amp;"\RTDC"&amp;B194&amp;"\"&amp;TEXT(F194+1,"YYYY-MM-DD")&amp;" --exclude ""*"" --recursive --include ""*"&amp;TEXT(F194+1,"YYYYMMDD")&amp;"*"" &amp; """&amp;walkandungz&amp;""" "&amp;search_path&amp;"\RTDC"&amp;B194&amp;"\"&amp;TEXT(F194+1,"YYYY-MM-DD")</f>
        <v>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 &amp; 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</v>
      </c>
      <c r="AF194" s="82" t="str">
        <f>astrogrep_path&amp;" /spath="&amp;search_path&amp;" /stypes=""app*"&amp;B194&amp;"*"&amp;TEXT(I194-utc_offset/24,"YYYYMMDD")&amp;"*"" /stext="" "&amp;TEXT(I194-utc_offset/24,"HH")&amp;search_regexp&amp;""" /e /r /s"</f>
        <v>"C:\Program Files (x86)\AstroGrep\AstroGrep.exe" /spath="%USERPROFILE%\AppData\Local\Temp\OnboardLogs" /stypes="app*4027*20170208*" /stext=" 01:.+((SYSTEM_STATE.+slice.+state.+changed )|(ment ac)|(multiple cpu faults)|(system.+state.+changed )|(\[timeout)|(PRM\|1\|D)|(kpr)|(kdp)|(\|lc)|(penalty))" /e /r /s</v>
      </c>
      <c r="AG194" s="1" t="str">
        <f>IFERROR(IF(VALUE(LEFT(AD194,2))&lt;=2,"EC",IF(OR(VALUE(LEFT(AD194,2))=8,VALUE(LEFT(AD194,2))=18),"NW","Other")),"Other")</f>
        <v>NW</v>
      </c>
      <c r="AH194" s="86" t="str">
        <f t="shared" si="9"/>
        <v>"%USERPROFILE%\Documents\GitHub\eaglep3\Utilities\RefineRTDCRunTimes.py" --tripid 837-07 --locoid 4027 --swversion DE.1.0.8.0 --startMP 204:953 --initTime 2017-02-07T18:10:55 --startdatetime 2017-02-07T18:21:15 --delay 1 --endMP 300:58928 --enddatetime 2017-02-07T18:34:31 --enforcementcount 0 &gt;&gt;C:\Users\stu\Documents\GitHub\eaglep3-reporting\EC\2017-02-07-refined-times.txt</v>
      </c>
      <c r="AI194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{"issue":{"subject":"","project_id":79,"tracker_id":40,"status_id":1,"priority_id":2,"assigned_to_id":23,"start_date":"2017-02-07","description":"","custom_fields":[{"id":1,"name":"Subdivision","value":"NW"},{"id":4,"name":"Milepost","value":"5.8928"},{"id":17,"name":"Train ID","value":"837-07"},{"id":16,"name":"Locomotive ID","value":"4027"},{"id":130,"name":"Impact","value":""},{"id":150,"name":"Time of Event (Mountain Time)","value":"18:34:31"},{"id":151,"name":"Denver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48"/>
      <c r="AK194" s="48"/>
      <c r="AL194" s="48"/>
      <c r="AM194" s="158" t="str">
        <f t="shared" si="11"/>
        <v>start /low /b %USERPROFILE%\Documents\GitHub\eaglep3\Utilities\DownloadLogsFromS3.py --loco 4027 --day 2017-02-07</v>
      </c>
      <c r="AN194" s="167" t="str">
        <f>"grep -SE -B400 ""CHR.+\|PRM\|1\|D.+(SWITCH|SIGNAL).+UNKNOWN"" "&amp;search_path&amp;"\RTDC"&amp;B194&amp;"\*"&amp;B194&amp;"*"&amp;TEXT(AVERAGE(F194,I194)-utc_offset/24,"YYYYMMDD")&amp;"*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"%USERPROFILE%\AppData\Local\Temp\OnboardLogs"\RTDC4027\*4027*20170208* | grep -SE "(Enforcement Action)|(\[TIMEOUT)|(CHR.+\|PRM\|1\|D.+(SWITCH|SIGNAL).+UNKNOWN)" - &gt;&gt; 2017-02-07-UncaughtWiMAX.txt</v>
      </c>
    </row>
    <row r="195" spans="1:91" s="20" customFormat="1" x14ac:dyDescent="0.25">
      <c r="A195" s="33" t="s">
        <v>658</v>
      </c>
      <c r="B195" s="7">
        <v>4028</v>
      </c>
      <c r="C195" s="21" t="s">
        <v>193</v>
      </c>
      <c r="D195" s="21" t="s">
        <v>848</v>
      </c>
      <c r="E195" s="13">
        <v>42773.775000000001</v>
      </c>
      <c r="F195" s="13">
        <v>42773.776342592595</v>
      </c>
      <c r="G195" s="7">
        <v>1</v>
      </c>
      <c r="H195" s="21" t="s">
        <v>847</v>
      </c>
      <c r="I195" s="13">
        <v>42773.788460648146</v>
      </c>
      <c r="J195" s="7">
        <v>0</v>
      </c>
      <c r="K195" s="98" t="str">
        <f>IF(ISEVEN(B195),(B195-1)&amp;"/"&amp;B195,B195&amp;"/"&amp;(B195+1))</f>
        <v>4027/4028</v>
      </c>
      <c r="L195" s="21" t="str">
        <f>VLOOKUP(A195,'Trips&amp;Operators'!$C$1:$G$99999,5,FALSE)</f>
        <v>LEVIN SCOTT</v>
      </c>
      <c r="M195" s="6">
        <f>I195-F195</f>
        <v>1.211805555067258E-2</v>
      </c>
      <c r="N195" s="7">
        <f>24*60*SUM($M195:$M195)</f>
        <v>17.449999992968515</v>
      </c>
      <c r="O195" s="7"/>
      <c r="P195" s="7"/>
      <c r="Q195" s="22"/>
      <c r="R195" s="22"/>
      <c r="S195" s="31">
        <f>SUM(U195:U195)/IF(AG195="EC",12,1)</f>
        <v>1</v>
      </c>
      <c r="T195" s="46" t="str">
        <f>IF(ISEVEN(LEFT(AD195,4)),"Southbound","NorthBound")</f>
        <v>Southbound</v>
      </c>
      <c r="U195" s="190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1</v>
      </c>
      <c r="V195" s="191" t="str">
        <f>"https://d0f6bd738d7f1b3e5a7ca70fe4ff75f0.us-east-1.aws.found.io/app/kibana#/discover/Steve-Slow-Train-Analysis-(2080s-and-2083s)?_g="&amp;"(refreshInterval:(display:Off,pause:!f,section:0,value:0),time:(from:'"&amp;TEXT(E195-1/24,"yyyy-MM-DDThh:mm:ss")&amp;utc_offset&amp;"00"&amp;"',mode:absolute,to:'"&amp;TEXT(I195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195&amp;"%22')),sort:!(Time.ISO8601,asc))"</f>
        <v>https://d0f6bd738d7f1b3e5a7ca70fe4ff75f0.us-east-1.aws.found.io/app/kibana#/discover/Steve-Slow-Train-Analysis-(2080s-and-2083s)?_g=(refreshInterval:(display:Off,pause:!f,section:0,value:0),time:(from:'2017-02-07T17:36:00-0700',mode:absolute,to:'2017-02-07T19:55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5" s="192" t="str">
        <f>IF(AA195&lt;IF(AG195="EC",23,5.65),"Y","N")</f>
        <v>N</v>
      </c>
      <c r="X195" s="192">
        <f>VALUE(LEFT(AD195,4))-VALUE(LEFT(AD194,4))</f>
        <v>1</v>
      </c>
      <c r="Y195" s="62">
        <f>RIGHT(D195,LEN(D195)-4)/10000</f>
        <v>5.8605999999999998</v>
      </c>
      <c r="Z195" s="62">
        <f>RIGHT(H195,LEN(H195)-4)/10000</f>
        <v>6.5699999999999995E-2</v>
      </c>
      <c r="AA195" s="62">
        <f>ABS(Z195-Y195)</f>
        <v>5.7949000000000002</v>
      </c>
      <c r="AB195" s="59" t="e">
        <f>VLOOKUP(A195,Enforcements!$C$7:$K$14,8,0)</f>
        <v>#N/A</v>
      </c>
      <c r="AC195" s="55" t="e">
        <f>VLOOKUP(A195,Enforcements!$C$7:$E$14,3,0)</f>
        <v>#N/A</v>
      </c>
      <c r="AD195" s="56" t="str">
        <f>IF(LEN(A195)=6,"0"&amp;A195,A195)</f>
        <v>0838-07</v>
      </c>
      <c r="AE195" s="85" t="str">
        <f>"aws s3 cp "&amp;s3_bucket&amp;"/RTDC"&amp;B195&amp;"/ "&amp;search_path&amp;"\RTDC"&amp;B195&amp;"\"&amp;TEXT(F195,"YYYY-MM-DD")&amp;" --exclude ""*"" --recursive --include ""*"&amp;TEXT(F195,"YYYYMMDD")&amp;"*"" &amp; """&amp;walkandungz&amp;""" "&amp;search_path&amp;"\RTDC"&amp;B195&amp;"\"&amp;TEXT(F195,"YYYY-MM-DD")
&amp;" &amp; "&amp;"aws s3 cp "&amp;s3_bucket&amp;"/RTDC"&amp;B195&amp;"/ "&amp;search_path&amp;"\RTDC"&amp;B195&amp;"\"&amp;TEXT(F195+1,"YYYY-MM-DD")&amp;" --exclude ""*"" --recursive --include ""*"&amp;TEXT(F195+1,"YYYYMMDD")&amp;"*"" &amp; """&amp;walkandungz&amp;""" "&amp;search_path&amp;"\RTDC"&amp;B195&amp;"\"&amp;TEXT(F195+1,"YYYY-MM-DD")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AF195" s="82" t="str">
        <f>astrogrep_path&amp;" /spath="&amp;search_path&amp;" /stypes=""app*"&amp;B195&amp;"*"&amp;TEXT(I195-utc_offset/24,"YYYYMMDD")&amp;"*"" /stext="" "&amp;TEXT(I195-utc_offset/24,"HH")&amp;search_regexp&amp;""" /e /r /s"</f>
        <v>"C:\Program Files (x86)\AstroGrep\AstroGrep.exe" /spath="%USERPROFILE%\AppData\Local\Temp\OnboardLogs" /stypes="app*4028*20170208*" /stext=" 01:.+((SYSTEM_STATE.+slice.+state.+changed )|(ment ac)|(multiple cpu faults)|(system.+state.+changed )|(\[timeout)|(PRM\|1\|D)|(kpr)|(kdp)|(\|lc)|(penalty))" /e /r /s</v>
      </c>
      <c r="AG195" s="1" t="str">
        <f>IFERROR(IF(VALUE(LEFT(AD195,2))&lt;=2,"EC",IF(OR(VALUE(LEFT(AD195,2))=8,VALUE(LEFT(AD195,2))=18),"NW","Other")),"Other")</f>
        <v>NW</v>
      </c>
      <c r="AH195" s="86" t="str">
        <f t="shared" si="9"/>
        <v>"%USERPROFILE%\Documents\GitHub\eaglep3\Utilities\RefineRTDCRunTimes.py" --tripid 838-07 --locoid 4028 --swversion DE.1.0.8.0 --startMP 300:58606 --initTime 2017-02-07T18:36:00 --startdatetime 2017-02-07T18:37:56 --delay 1 --endMP 204:657 --enddatetime 2017-02-07T18:55:23 --enforcementcount 0 &gt;&gt;C:\Users\stu\Documents\GitHub\eaglep3-reporting\EC\2017-02-07-refined-times.txt</v>
      </c>
      <c r="AI195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{"issue":{"subject":"","project_id":79,"tracker_id":40,"status_id":1,"priority_id":2,"assigned_to_id":23,"start_date":"2017-02-07","description":"","custom_fields":[{"id":1,"name":"Subdivision","value":"NW"},{"id":4,"name":"Milepost","value":"0.0657"},{"id":17,"name":"Train ID","value":"838-07"},{"id":16,"name":"Locomotive ID","value":"4028"},{"id":130,"name":"Impact","value":""},{"id":150,"name":"Time of Event (Mountain Time)","value":"18:55:23"},{"id":151,"name":"Denver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48"/>
      <c r="AK195" s="48"/>
      <c r="AL195" s="48"/>
      <c r="AM195" s="158" t="str">
        <f t="shared" si="11"/>
        <v>start /low /b %USERPROFILE%\Documents\GitHub\eaglep3\Utilities\DownloadLogsFromS3.py --loco 4028 --day 2017-02-07</v>
      </c>
      <c r="AN195" s="167" t="str">
        <f>"grep -SE -B400 ""CHR.+\|PRM\|1\|D.+(SWITCH|SIGNAL).+UNKNOWN"" "&amp;search_path&amp;"\RTDC"&amp;B195&amp;"\*"&amp;B195&amp;"*"&amp;TEXT(AVERAGE(F195,I195)-utc_offset/24,"YYYYMMDD")&amp;"*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"%USERPROFILE%\AppData\Local\Temp\OnboardLogs"\RTDC4028\*4028*20170208* | grep -SE "(Enforcement Action)|(\[TIMEOUT)|(CHR.+\|PRM\|1\|D.+(SWITCH|SIGNAL).+UNKNOWN)" - &gt;&gt; 2017-02-07-UncaughtWiMAX.txt</v>
      </c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</row>
    <row r="196" spans="1:91" x14ac:dyDescent="0.25">
      <c r="A196" s="33" t="s">
        <v>491</v>
      </c>
      <c r="B196" s="7">
        <v>4051</v>
      </c>
      <c r="C196" s="21" t="s">
        <v>193</v>
      </c>
      <c r="D196" s="21" t="s">
        <v>449</v>
      </c>
      <c r="E196" s="13">
        <v>42773.768807870372</v>
      </c>
      <c r="F196" s="13">
        <v>42773.78564814815</v>
      </c>
      <c r="G196" s="7">
        <v>2</v>
      </c>
      <c r="H196" s="21" t="s">
        <v>849</v>
      </c>
      <c r="I196" s="13">
        <v>42773.795925925922</v>
      </c>
      <c r="J196" s="7">
        <v>0</v>
      </c>
      <c r="K196" s="98" t="str">
        <f>IF(ISEVEN(B196),(B196-1)&amp;"/"&amp;B196,B196&amp;"/"&amp;(B196+1))</f>
        <v>4051/4052</v>
      </c>
      <c r="L196" s="21" t="str">
        <f>VLOOKUP(A196,'Trips&amp;Operators'!$C$1:$G$99999,5,FALSE)</f>
        <v>HILLS DUSTIN</v>
      </c>
      <c r="M196" s="6">
        <f>I196-F196</f>
        <v>1.0277777771989349E-2</v>
      </c>
      <c r="N196" s="7">
        <f>24*60*SUM($M196:$M196)</f>
        <v>14.799999991664663</v>
      </c>
      <c r="O196" s="7"/>
      <c r="P196" s="7"/>
      <c r="Q196" s="22"/>
      <c r="R196" s="22"/>
      <c r="S196" s="31">
        <f>SUM(U196:U196)/IF(AG196="EC",12,1)</f>
        <v>1</v>
      </c>
      <c r="T196" s="46" t="str">
        <f>IF(ISEVEN(LEFT(AD196,4)),"Southbound","NorthBound")</f>
        <v>NorthBound</v>
      </c>
      <c r="U196" s="190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191" t="str">
        <f>"https://d0f6bd738d7f1b3e5a7ca70fe4ff75f0.us-east-1.aws.found.io/app/kibana#/discover/Steve-Slow-Train-Analysis-(2080s-and-2083s)?_g="&amp;"(refreshInterval:(display:Off,pause:!f,section:0,value:0),time:(from:'"&amp;TEXT(E196-1/24,"yyyy-MM-DDThh:mm:ss")&amp;utc_offset&amp;"00"&amp;"',mode:absolute,to:'"&amp;TEXT(I196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196&amp;"%22')),sort:!(Time.ISO8601,asc))"</f>
        <v>https://d0f6bd738d7f1b3e5a7ca70fe4ff75f0.us-east-1.aws.found.io/app/kibana#/discover/Steve-Slow-Train-Analysis-(2080s-and-2083s)?_g=(refreshInterval:(display:Off,pause:!f,section:0,value:0),time:(from:'2017-02-07T17:27:05-0700',mode:absolute,to:'2017-02-07T20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196" s="192" t="str">
        <f>IF(AA196&lt;IF(AG196="EC",23,5.65),"Y","N")</f>
        <v>N</v>
      </c>
      <c r="X196" s="192">
        <f>VALUE(LEFT(AD196,4))-VALUE(LEFT(AD195,4))</f>
        <v>1</v>
      </c>
      <c r="Y196" s="62">
        <f>RIGHT(D196,LEN(D196)-4)/10000</f>
        <v>9.5699999999999993E-2</v>
      </c>
      <c r="Z196" s="62">
        <f>RIGHT(H196,LEN(H196)-4)/10000</f>
        <v>5.8978000000000002</v>
      </c>
      <c r="AA196" s="62">
        <f>ABS(Z196-Y196)</f>
        <v>5.8021000000000003</v>
      </c>
      <c r="AB196" s="59" t="e">
        <f>VLOOKUP(A196,Enforcements!$C$7:$K$14,8,0)</f>
        <v>#N/A</v>
      </c>
      <c r="AC196" s="55" t="e">
        <f>VLOOKUP(A196,Enforcements!$C$7:$E$14,3,0)</f>
        <v>#N/A</v>
      </c>
      <c r="AD196" s="56" t="str">
        <f>IF(LEN(A196)=6,"0"&amp;A196,A196)</f>
        <v>0839-07</v>
      </c>
      <c r="AE196" s="85" t="str">
        <f>"aws s3 cp "&amp;s3_bucket&amp;"/RTDC"&amp;B196&amp;"/ "&amp;search_path&amp;"\RTDC"&amp;B196&amp;"\"&amp;TEXT(F196,"YYYY-MM-DD")&amp;" --exclude ""*"" --recursive --include ""*"&amp;TEXT(F196,"YYYYMMDD")&amp;"*"" &amp; """&amp;walkandungz&amp;""" "&amp;search_path&amp;"\RTDC"&amp;B196&amp;"\"&amp;TEXT(F196,"YYYY-MM-DD")
&amp;" &amp; "&amp;"aws s3 cp "&amp;s3_bucket&amp;"/RTDC"&amp;B196&amp;"/ "&amp;search_path&amp;"\RTDC"&amp;B196&amp;"\"&amp;TEXT(F196+1,"YYYY-MM-DD")&amp;" --exclude ""*"" --recursive --include ""*"&amp;TEXT(F196+1,"YYYYMMDD")&amp;"*"" &amp; """&amp;walkandungz&amp;""" "&amp;search_path&amp;"\RTDC"&amp;B196&amp;"\"&amp;TEXT(F196+1,"YYYY-MM-DD")</f>
        <v>aws s3 cp s3://rtdc.mdm.uploadarchive.raw/RTDC4051/ "%USERPROFILE%\AppData\Local\Temp\OnboardLogs"\RTDC4051\2017-02-07 --exclude "*" --recursive --include "*20170207*" &amp; "%USERPROFILE%\Documents\GitHub\mrs-test-scripts\Headless Mode &amp; Sideloading\WalkAndUnGZ.bat" "%USERPROFILE%\AppData\Local\Temp\OnboardLogs"\RTDC4051\2017-02-07 &amp; 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</v>
      </c>
      <c r="AF196" s="82" t="str">
        <f>astrogrep_path&amp;" /spath="&amp;search_path&amp;" /stypes=""app*"&amp;B196&amp;"*"&amp;TEXT(I196-utc_offset/24,"YYYYMMDD")&amp;"*"" /stext="" "&amp;TEXT(I196-utc_offset/24,"HH")&amp;search_regexp&amp;""" /e /r /s"</f>
        <v>"C:\Program Files (x86)\AstroGrep\AstroGrep.exe" /spath="%USERPROFILE%\AppData\Local\Temp\OnboardLogs" /stypes="app*4051*20170208*" /stext=" 02:.+((SYSTEM_STATE.+slice.+state.+changed )|(ment ac)|(multiple cpu faults)|(system.+state.+changed )|(\[timeout)|(PRM\|1\|D)|(kpr)|(kdp)|(\|lc)|(penalty))" /e /r /s</v>
      </c>
      <c r="AG196" s="1" t="str">
        <f>IFERROR(IF(VALUE(LEFT(AD196,2))&lt;=2,"EC",IF(OR(VALUE(LEFT(AD196,2))=8,VALUE(LEFT(AD196,2))=18),"NW","Other")),"Other")</f>
        <v>NW</v>
      </c>
      <c r="AH196" s="86" t="str">
        <f t="shared" si="9"/>
        <v>"%USERPROFILE%\Documents\GitHub\eaglep3\Utilities\RefineRTDCRunTimes.py" --tripid 839-07 --locoid 4051 --swversion DE.1.0.8.0 --startMP 204:957 --initTime 2017-02-07T18:27:05 --startdatetime 2017-02-07T18:51:20 --delay 2 --endMP 300:58978 --enddatetime 2017-02-07T19:06:08 --enforcementcount 0 &gt;&gt;C:\Users\stu\Documents\GitHub\eaglep3-reporting\EC\2017-02-07-refined-times.txt</v>
      </c>
      <c r="AI196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{"issue":{"subject":"","project_id":79,"tracker_id":40,"status_id":1,"priority_id":2,"assigned_to_id":23,"start_date":"2017-02-07","description":"","custom_fields":[{"id":1,"name":"Subdivision","value":"NW"},{"id":4,"name":"Milepost","value":"5.8978"},{"id":17,"name":"Train ID","value":"839-07"},{"id":16,"name":"Locomotive ID","value":"4051"},{"id":130,"name":"Impact","value":""},{"id":150,"name":"Time of Event (Mountain Time)","value":"19:06:08"},{"id":151,"name":"Denver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48"/>
      <c r="AK196" s="48"/>
      <c r="AL196" s="48"/>
      <c r="AM196" s="158" t="str">
        <f t="shared" si="11"/>
        <v>start /low /b %USERPROFILE%\Documents\GitHub\eaglep3\Utilities\DownloadLogsFromS3.py --loco 4051 --day 2017-02-07</v>
      </c>
      <c r="AN196" s="167" t="str">
        <f>"grep -SE -B400 ""CHR.+\|PRM\|1\|D.+(SWITCH|SIGNAL).+UNKNOWN"" "&amp;search_path&amp;"\RTDC"&amp;B196&amp;"\*"&amp;B196&amp;"*"&amp;TEXT(AVERAGE(F196,I196)-utc_offset/24,"YYYYMMDD")&amp;"*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"%USERPROFILE%\AppData\Local\Temp\OnboardLogs"\RTDC4051\*4051*20170208* | grep -SE "(Enforcement Action)|(\[TIMEOUT)|(CHR.+\|PRM\|1\|D.+(SWITCH|SIGNAL).+UNKNOWN)" - &gt;&gt; 2017-02-07-UncaughtWiMAX.txt</v>
      </c>
    </row>
    <row r="197" spans="1:91" x14ac:dyDescent="0.25">
      <c r="A197" s="33" t="s">
        <v>493</v>
      </c>
      <c r="B197" s="7">
        <v>4028</v>
      </c>
      <c r="C197" s="21" t="s">
        <v>193</v>
      </c>
      <c r="D197" s="21" t="s">
        <v>459</v>
      </c>
      <c r="E197" s="13">
        <v>42773.816851851851</v>
      </c>
      <c r="F197" s="13">
        <v>42773.818136574075</v>
      </c>
      <c r="G197" s="7">
        <v>1</v>
      </c>
      <c r="H197" s="21" t="s">
        <v>847</v>
      </c>
      <c r="I197" s="13">
        <v>42773.829837962963</v>
      </c>
      <c r="J197" s="7">
        <v>0</v>
      </c>
      <c r="K197" s="98" t="str">
        <f>IF(ISEVEN(B197),(B197-1)&amp;"/"&amp;B197,B197&amp;"/"&amp;(B197+1))</f>
        <v>4027/4028</v>
      </c>
      <c r="L197" s="21" t="str">
        <f>VLOOKUP(A197,'Trips&amp;Operators'!$C$1:$G$99999,5,FALSE)</f>
        <v>LEVIN SCOTT</v>
      </c>
      <c r="M197" s="6">
        <f>I197-F197</f>
        <v>1.17013888884685E-2</v>
      </c>
      <c r="N197" s="7">
        <f>24*60*SUM($M197:$M197)</f>
        <v>16.84999999939464</v>
      </c>
      <c r="O197" s="7"/>
      <c r="P197" s="7"/>
      <c r="Q197" s="22"/>
      <c r="R197" s="22"/>
      <c r="S197" s="31">
        <f>SUM(U197:U197)/IF(AG197="EC",12,1)</f>
        <v>1</v>
      </c>
      <c r="T197" s="46" t="str">
        <f>IF(ISEVEN(LEFT(AD197,4)),"Southbound","NorthBound")</f>
        <v>Southbound</v>
      </c>
      <c r="U197" s="190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191" t="str">
        <f>"https://d0f6bd738d7f1b3e5a7ca70fe4ff75f0.us-east-1.aws.found.io/app/kibana#/discover/Steve-Slow-Train-Analysis-(2080s-and-2083s)?_g="&amp;"(refreshInterval:(display:Off,pause:!f,section:0,value:0),time:(from:'"&amp;TEXT(E197-1/24,"yyyy-MM-DDThh:mm:ss")&amp;utc_offset&amp;"00"&amp;"',mode:absolute,to:'"&amp;TEXT(I197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197&amp;"%22')),sort:!(Time.ISO8601,asc))"</f>
        <v>https://d0f6bd738d7f1b3e5a7ca70fe4ff75f0.us-east-1.aws.found.io/app/kibana#/discover/Steve-Slow-Train-Analysis-(2080s-and-2083s)?_g=(refreshInterval:(display:Off,pause:!f,section:0,value:0),time:(from:'2017-02-07T18:36:16-0700',mode:absolute,to:'2017-02-07T20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7" s="192" t="str">
        <f>IF(AA197&lt;IF(AG197="EC",23,5.65),"Y","N")</f>
        <v>N</v>
      </c>
      <c r="X197" s="192">
        <f>VALUE(LEFT(AD197,4))-VALUE(LEFT(AD196,4))</f>
        <v>1</v>
      </c>
      <c r="Y197" s="62">
        <f>RIGHT(D197,LEN(D197)-4)/10000</f>
        <v>5.8619000000000003</v>
      </c>
      <c r="Z197" s="62">
        <f>RIGHT(H197,LEN(H197)-4)/10000</f>
        <v>6.5699999999999995E-2</v>
      </c>
      <c r="AA197" s="62">
        <f>ABS(Z197-Y197)</f>
        <v>5.7962000000000007</v>
      </c>
      <c r="AB197" s="59" t="e">
        <f>VLOOKUP(A197,Enforcements!$C$7:$K$14,8,0)</f>
        <v>#N/A</v>
      </c>
      <c r="AC197" s="55" t="e">
        <f>VLOOKUP(A197,Enforcements!$C$7:$E$14,3,0)</f>
        <v>#N/A</v>
      </c>
      <c r="AD197" s="56" t="str">
        <f>IF(LEN(A197)=6,"0"&amp;A197,A197)</f>
        <v>0840-07</v>
      </c>
      <c r="AE197" s="85" t="str">
        <f>"aws s3 cp "&amp;s3_bucket&amp;"/RTDC"&amp;B197&amp;"/ "&amp;search_path&amp;"\RTDC"&amp;B197&amp;"\"&amp;TEXT(F197,"YYYY-MM-DD")&amp;" --exclude ""*"" --recursive --include ""*"&amp;TEXT(F197,"YYYYMMDD")&amp;"*"" &amp; """&amp;walkandungz&amp;""" "&amp;search_path&amp;"\RTDC"&amp;B197&amp;"\"&amp;TEXT(F197,"YYYY-MM-DD")
&amp;" &amp; "&amp;"aws s3 cp "&amp;s3_bucket&amp;"/RTDC"&amp;B197&amp;"/ "&amp;search_path&amp;"\RTDC"&amp;B197&amp;"\"&amp;TEXT(F197+1,"YYYY-MM-DD")&amp;" --exclude ""*"" --recursive --include ""*"&amp;TEXT(F197+1,"YYYYMMDD")&amp;"*"" &amp; """&amp;walkandungz&amp;""" "&amp;search_path&amp;"\RTDC"&amp;B197&amp;"\"&amp;TEXT(F197+1,"YYYY-MM-DD")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AF197" s="82" t="str">
        <f>astrogrep_path&amp;" /spath="&amp;search_path&amp;" /stypes=""app*"&amp;B197&amp;"*"&amp;TEXT(I197-utc_offset/24,"YYYYMMDD")&amp;"*"" /stext="" "&amp;TEXT(I197-utc_offset/24,"HH")&amp;search_regexp&amp;""" /e /r /s"</f>
        <v>"C:\Program Files (x86)\AstroGrep\AstroGrep.exe" /spath="%USERPROFILE%\AppData\Local\Temp\OnboardLogs" /stypes="app*4028*20170208*" /stext=" 02:.+((SYSTEM_STATE.+slice.+state.+changed )|(ment ac)|(multiple cpu faults)|(system.+state.+changed )|(\[timeout)|(PRM\|1\|D)|(kpr)|(kdp)|(\|lc)|(penalty))" /e /r /s</v>
      </c>
      <c r="AG197" s="1" t="str">
        <f>IFERROR(IF(VALUE(LEFT(AD197,2))&lt;=2,"EC",IF(OR(VALUE(LEFT(AD197,2))=8,VALUE(LEFT(AD197,2))=18),"NW","Other")),"Other")</f>
        <v>NW</v>
      </c>
      <c r="AH197" s="86" t="str">
        <f t="shared" si="9"/>
        <v>"%USERPROFILE%\Documents\GitHub\eaglep3\Utilities\RefineRTDCRunTimes.py" --tripid 840-07 --locoid 4028 --swversion DE.1.0.8.0 --startMP 300:58619 --initTime 2017-02-07T19:36:16 --startdatetime 2017-02-07T19:38:07 --delay 1 --endMP 204:657 --enddatetime 2017-02-07T19:54:58 --enforcementcount 0 &gt;&gt;C:\Users\stu\Documents\GitHub\eaglep3-reporting\EC\2017-02-07-refined-times.txt</v>
      </c>
      <c r="AI197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{"issue":{"subject":"","project_id":79,"tracker_id":40,"status_id":1,"priority_id":2,"assigned_to_id":23,"start_date":"2017-02-07","description":"","custom_fields":[{"id":1,"name":"Subdivision","value":"NW"},{"id":4,"name":"Milepost","value":"0.0657"},{"id":17,"name":"Train ID","value":"840-07"},{"id":16,"name":"Locomotive ID","value":"4028"},{"id":130,"name":"Impact","value":""},{"id":150,"name":"Time of Event (Mountain Time)","value":"19:54:58"},{"id":151,"name":"Denver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48"/>
      <c r="AK197" s="48"/>
      <c r="AL197" s="48"/>
      <c r="AM197" s="158" t="str">
        <f t="shared" si="11"/>
        <v>start /low /b %USERPROFILE%\Documents\GitHub\eaglep3\Utilities\DownloadLogsFromS3.py --loco 4028 --day 2017-02-07</v>
      </c>
      <c r="AN197" s="167" t="str">
        <f>"grep -SE -B400 ""CHR.+\|PRM\|1\|D.+(SWITCH|SIGNAL).+UNKNOWN"" "&amp;search_path&amp;"\RTDC"&amp;B197&amp;"\*"&amp;B197&amp;"*"&amp;TEXT(AVERAGE(F197,I197)-utc_offset/24,"YYYYMMDD")&amp;"*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"%USERPROFILE%\AppData\Local\Temp\OnboardLogs"\RTDC4028\*4028*20170208* | grep -SE "(Enforcement Action)|(\[TIMEOUT)|(CHR.+\|PRM\|1\|D.+(SWITCH|SIGNAL).+UNKNOWN)" - &gt;&gt; 2017-02-07-UncaughtWiMAX.txt</v>
      </c>
    </row>
    <row r="198" spans="1:91" x14ac:dyDescent="0.25">
      <c r="A198" s="33" t="s">
        <v>665</v>
      </c>
      <c r="B198" s="7">
        <v>4027</v>
      </c>
      <c r="C198" s="21" t="s">
        <v>193</v>
      </c>
      <c r="D198" s="21" t="s">
        <v>448</v>
      </c>
      <c r="E198" s="13">
        <v>42773.803831018522</v>
      </c>
      <c r="F198" s="13">
        <v>42773.806435185186</v>
      </c>
      <c r="G198" s="7">
        <v>1</v>
      </c>
      <c r="H198" s="21" t="s">
        <v>850</v>
      </c>
      <c r="I198" s="13">
        <v>42773.815474537034</v>
      </c>
      <c r="J198" s="7">
        <v>0</v>
      </c>
      <c r="K198" s="98" t="str">
        <f>IF(ISEVEN(B198),(B198-1)&amp;"/"&amp;B198,B198&amp;"/"&amp;(B198+1))</f>
        <v>4027/4028</v>
      </c>
      <c r="L198" s="21" t="str">
        <f>VLOOKUP(A198,'Trips&amp;Operators'!$C$1:$G$99999,5,FALSE)</f>
        <v>LEVIN SCOTT</v>
      </c>
      <c r="M198" s="6">
        <f>I198-F198</f>
        <v>9.0393518476048484E-3</v>
      </c>
      <c r="N198" s="7">
        <f>24*60*SUM($M198:$M198)</f>
        <v>13.016666660550982</v>
      </c>
      <c r="O198" s="7"/>
      <c r="P198" s="7"/>
      <c r="Q198" s="22"/>
      <c r="R198" s="22"/>
      <c r="S198" s="31">
        <f>SUM(U198:U198)/IF(AG198="EC",12,1)</f>
        <v>1</v>
      </c>
      <c r="T198" s="46" t="str">
        <f>IF(ISEVEN(LEFT(AD198,4)),"Southbound","NorthBound")</f>
        <v>NorthBound</v>
      </c>
      <c r="U198" s="190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191" t="str">
        <f>"https://d0f6bd738d7f1b3e5a7ca70fe4ff75f0.us-east-1.aws.found.io/app/kibana#/discover/Steve-Slow-Train-Analysis-(2080s-and-2083s)?_g="&amp;"(refreshInterval:(display:Off,pause:!f,section:0,value:0),time:(from:'"&amp;TEXT(E198-1/24,"yyyy-MM-DDThh:mm:ss")&amp;utc_offset&amp;"00"&amp;"',mode:absolute,to:'"&amp;TEXT(I198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198&amp;"%22')),sort:!(Time.ISO8601,asc))"</f>
        <v>https://d0f6bd738d7f1b3e5a7ca70fe4ff75f0.us-east-1.aws.found.io/app/kibana#/discover/Steve-Slow-Train-Analysis-(2080s-and-2083s)?_g=(refreshInterval:(display:Off,pause:!f,section:0,value:0),time:(from:'2017-02-07T18:17:31-0700',mode:absolute,to:'2017-02-07T20:34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198" s="192" t="str">
        <f>IF(AA198&lt;IF(AG198="EC",23,5.65),"Y","N")</f>
        <v>N</v>
      </c>
      <c r="X198" s="192">
        <f>VALUE(LEFT(AD198,4))-VALUE(LEFT(AD197,4))</f>
        <v>1</v>
      </c>
      <c r="Y198" s="62">
        <f>RIGHT(D198,LEN(D198)-4)/10000</f>
        <v>9.6699999999999994E-2</v>
      </c>
      <c r="Z198" s="62">
        <f>RIGHT(H198,LEN(H198)-4)/10000</f>
        <v>5.8935000000000004</v>
      </c>
      <c r="AA198" s="62">
        <f>ABS(Z198-Y198)</f>
        <v>5.7968000000000002</v>
      </c>
      <c r="AB198" s="59" t="e">
        <f>VLOOKUP(A198,Enforcements!$C$7:$K$14,8,0)</f>
        <v>#N/A</v>
      </c>
      <c r="AC198" s="55" t="e">
        <f>VLOOKUP(A198,Enforcements!$C$7:$E$14,3,0)</f>
        <v>#N/A</v>
      </c>
      <c r="AD198" s="56" t="str">
        <f>IF(LEN(A198)=6,"0"&amp;A198,A198)</f>
        <v>0841-07</v>
      </c>
      <c r="AE198" s="85" t="str">
        <f>"aws s3 cp "&amp;s3_bucket&amp;"/RTDC"&amp;B198&amp;"/ "&amp;search_path&amp;"\RTDC"&amp;B198&amp;"\"&amp;TEXT(F198,"YYYY-MM-DD")&amp;" --exclude ""*"" --recursive --include ""*"&amp;TEXT(F198,"YYYYMMDD")&amp;"*"" &amp; """&amp;walkandungz&amp;""" "&amp;search_path&amp;"\RTDC"&amp;B198&amp;"\"&amp;TEXT(F198,"YYYY-MM-DD")
&amp;" &amp; "&amp;"aws s3 cp "&amp;s3_bucket&amp;"/RTDC"&amp;B198&amp;"/ "&amp;search_path&amp;"\RTDC"&amp;B198&amp;"\"&amp;TEXT(F198+1,"YYYY-MM-DD")&amp;" --exclude ""*"" --recursive --include ""*"&amp;TEXT(F198+1,"YYYYMMDD")&amp;"*"" &amp; """&amp;walkandungz&amp;""" "&amp;search_path&amp;"\RTDC"&amp;B198&amp;"\"&amp;TEXT(F198+1,"YYYY-MM-DD")</f>
        <v>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 &amp; 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</v>
      </c>
      <c r="AF198" s="82" t="str">
        <f>astrogrep_path&amp;" /spath="&amp;search_path&amp;" /stypes=""app*"&amp;B198&amp;"*"&amp;TEXT(I198-utc_offset/24,"YYYYMMDD")&amp;"*"" /stext="" "&amp;TEXT(I198-utc_offset/24,"HH")&amp;search_regexp&amp;""" /e /r /s"</f>
        <v>"C:\Program Files (x86)\AstroGrep\AstroGrep.exe" /spath="%USERPROFILE%\AppData\Local\Temp\OnboardLogs" /stypes="app*4027*20170208*" /stext=" 02:.+((SYSTEM_STATE.+slice.+state.+changed )|(ment ac)|(multiple cpu faults)|(system.+state.+changed )|(\[timeout)|(PRM\|1\|D)|(kpr)|(kdp)|(\|lc)|(penalty))" /e /r /s</v>
      </c>
      <c r="AG198" s="1" t="str">
        <f>IFERROR(IF(VALUE(LEFT(AD198,2))&lt;=2,"EC",IF(OR(VALUE(LEFT(AD198,2))=8,VALUE(LEFT(AD198,2))=18),"NW","Other")),"Other")</f>
        <v>NW</v>
      </c>
      <c r="AH198" s="86" t="str">
        <f t="shared" si="9"/>
        <v>"%USERPROFILE%\Documents\GitHub\eaglep3\Utilities\RefineRTDCRunTimes.py" --tripid 841-07 --locoid 4027 --swversion DE.1.0.8.0 --startMP 204:967 --initTime 2017-02-07T19:17:31 --startdatetime 2017-02-07T19:21:16 --delay 1 --endMP 300:58935 --enddatetime 2017-02-07T19:34:17 --enforcementcount 0 &gt;&gt;C:\Users\stu\Documents\GitHub\eaglep3-reporting\EC\2017-02-07-refined-times.txt</v>
      </c>
      <c r="AI198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{"issue":{"subject":"","project_id":79,"tracker_id":40,"status_id":1,"priority_id":2,"assigned_to_id":23,"start_date":"2017-02-07","description":"","custom_fields":[{"id":1,"name":"Subdivision","value":"NW"},{"id":4,"name":"Milepost","value":"5.8935"},{"id":17,"name":"Train ID","value":"841-07"},{"id":16,"name":"Locomotive ID","value":"4027"},{"id":130,"name":"Impact","value":""},{"id":150,"name":"Time of Event (Mountain Time)","value":"19:34:17"},{"id":151,"name":"Denver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48"/>
      <c r="AK198" s="48"/>
      <c r="AL198" s="48"/>
      <c r="AM198" s="158" t="str">
        <f t="shared" si="11"/>
        <v>start /low /b %USERPROFILE%\Documents\GitHub\eaglep3\Utilities\DownloadLogsFromS3.py --loco 4027 --day 2017-02-07</v>
      </c>
      <c r="AN198" s="167" t="str">
        <f>"grep -SE -B400 ""CHR.+\|PRM\|1\|D.+(SWITCH|SIGNAL).+UNKNOWN"" "&amp;search_path&amp;"\RTDC"&amp;B198&amp;"\*"&amp;B198&amp;"*"&amp;TEXT(AVERAGE(F198,I198)-utc_offset/24,"YYYYMMDD")&amp;"*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"%USERPROFILE%\AppData\Local\Temp\OnboardLogs"\RTDC4027\*4027*20170208* | grep -SE "(Enforcement Action)|(\[TIMEOUT)|(CHR.+\|PRM\|1\|D.+(SWITCH|SIGNAL).+UNKNOWN)" - &gt;&gt; 2017-02-07-UncaughtWiMAX.txt</v>
      </c>
    </row>
    <row r="199" spans="1:91" x14ac:dyDescent="0.25">
      <c r="A199" s="33" t="s">
        <v>673</v>
      </c>
      <c r="B199" s="7">
        <v>4028</v>
      </c>
      <c r="C199" s="21" t="s">
        <v>193</v>
      </c>
      <c r="D199" s="21" t="s">
        <v>384</v>
      </c>
      <c r="E199" s="13">
        <v>42773.858136574076</v>
      </c>
      <c r="F199" s="13">
        <v>42773.859201388892</v>
      </c>
      <c r="G199" s="7">
        <v>1</v>
      </c>
      <c r="H199" s="21" t="s">
        <v>847</v>
      </c>
      <c r="I199" s="13">
        <v>42773.871516203704</v>
      </c>
      <c r="J199" s="7">
        <v>0</v>
      </c>
      <c r="K199" s="98" t="str">
        <f>IF(ISEVEN(B199),(B199-1)&amp;"/"&amp;B199,B199&amp;"/"&amp;(B199+1))</f>
        <v>4027/4028</v>
      </c>
      <c r="L199" s="21" t="str">
        <f>VLOOKUP(A199,'Trips&amp;Operators'!$C$1:$G$99999,5,FALSE)</f>
        <v>LEVIN SCOTT</v>
      </c>
      <c r="M199" s="6">
        <f>I199-F199</f>
        <v>1.2314814812270924E-2</v>
      </c>
      <c r="N199" s="7">
        <f>24*60*SUM($M199:$M199)</f>
        <v>17.733333329670131</v>
      </c>
      <c r="O199" s="7"/>
      <c r="P199" s="7"/>
      <c r="Q199" s="22"/>
      <c r="R199" s="22"/>
      <c r="S199" s="31">
        <f>SUM(U199:U199)/IF(AG199="EC",12,1)</f>
        <v>1</v>
      </c>
      <c r="T199" s="46" t="str">
        <f>IF(ISEVEN(LEFT(AD199,4)),"Southbound","NorthBound")</f>
        <v>Southbound</v>
      </c>
      <c r="U199" s="190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191" t="str">
        <f>"https://d0f6bd738d7f1b3e5a7ca70fe4ff75f0.us-east-1.aws.found.io/app/kibana#/discover/Steve-Slow-Train-Analysis-(2080s-and-2083s)?_g="&amp;"(refreshInterval:(display:Off,pause:!f,section:0,value:0),time:(from:'"&amp;TEXT(E199-1/24,"yyyy-MM-DDThh:mm:ss")&amp;utc_offset&amp;"00"&amp;"',mode:absolute,to:'"&amp;TEXT(I199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199&amp;"%22')),sort:!(Time.ISO8601,asc))"</f>
        <v>https://d0f6bd738d7f1b3e5a7ca70fe4ff75f0.us-east-1.aws.found.io/app/kibana#/discover/Steve-Slow-Train-Analysis-(2080s-and-2083s)?_g=(refreshInterval:(display:Off,pause:!f,section:0,value:0),time:(from:'2017-02-07T19:35:43-0700',mode:absolute,to:'2017-02-07T21:54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199" s="192" t="str">
        <f>IF(AA199&lt;IF(AG199="EC",23,5.65),"Y","N")</f>
        <v>N</v>
      </c>
      <c r="X199" s="192">
        <f>VALUE(LEFT(AD199,4))-VALUE(LEFT(AD198,4))</f>
        <v>1</v>
      </c>
      <c r="Y199" s="62">
        <f>RIGHT(D199,LEN(D199)-4)/10000</f>
        <v>5.8615000000000004</v>
      </c>
      <c r="Z199" s="62">
        <f>RIGHT(H199,LEN(H199)-4)/10000</f>
        <v>6.5699999999999995E-2</v>
      </c>
      <c r="AA199" s="62">
        <f>ABS(Z199-Y199)</f>
        <v>5.7958000000000007</v>
      </c>
      <c r="AB199" s="59" t="e">
        <f>VLOOKUP(A199,Enforcements!$C$7:$K$14,8,0)</f>
        <v>#N/A</v>
      </c>
      <c r="AC199" s="55" t="e">
        <f>VLOOKUP(A199,Enforcements!$C$7:$E$14,3,0)</f>
        <v>#N/A</v>
      </c>
      <c r="AD199" s="56" t="str">
        <f>IF(LEN(A199)=6,"0"&amp;A199,A199)</f>
        <v>0842-07</v>
      </c>
      <c r="AE199" s="85" t="str">
        <f>"aws s3 cp "&amp;s3_bucket&amp;"/RTDC"&amp;B199&amp;"/ "&amp;search_path&amp;"\RTDC"&amp;B199&amp;"\"&amp;TEXT(F199,"YYYY-MM-DD")&amp;" --exclude ""*"" --recursive --include ""*"&amp;TEXT(F199,"YYYYMMDD")&amp;"*"" &amp; """&amp;walkandungz&amp;""" "&amp;search_path&amp;"\RTDC"&amp;B199&amp;"\"&amp;TEXT(F199,"YYYY-MM-DD")
&amp;" &amp; "&amp;"aws s3 cp "&amp;s3_bucket&amp;"/RTDC"&amp;B199&amp;"/ "&amp;search_path&amp;"\RTDC"&amp;B199&amp;"\"&amp;TEXT(F199+1,"YYYY-MM-DD")&amp;" --exclude ""*"" --recursive --include ""*"&amp;TEXT(F199+1,"YYYYMMDD")&amp;"*"" &amp; """&amp;walkandungz&amp;""" "&amp;search_path&amp;"\RTDC"&amp;B199&amp;"\"&amp;TEXT(F199+1,"YYYY-MM-DD")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AF199" s="82" t="str">
        <f>astrogrep_path&amp;" /spath="&amp;search_path&amp;" /stypes=""app*"&amp;B199&amp;"*"&amp;TEXT(I199-utc_offset/24,"YYYYMMDD")&amp;"*"" /stext="" "&amp;TEXT(I199-utc_offset/24,"HH")&amp;search_regexp&amp;""" /e /r /s"</f>
        <v>"C:\Program Files (x86)\AstroGrep\AstroGrep.exe" /spath="%USERPROFILE%\AppData\Local\Temp\OnboardLogs" /stypes="app*4028*20170208*" /stext=" 03:.+((SYSTEM_STATE.+slice.+state.+changed )|(ment ac)|(multiple cpu faults)|(system.+state.+changed )|(\[timeout)|(PRM\|1\|D)|(kpr)|(kdp)|(\|lc)|(penalty))" /e /r /s</v>
      </c>
      <c r="AG199" s="1" t="str">
        <f>IFERROR(IF(VALUE(LEFT(AD199,2))&lt;=2,"EC",IF(OR(VALUE(LEFT(AD199,2))=8,VALUE(LEFT(AD199,2))=18),"NW","Other")),"Other")</f>
        <v>NW</v>
      </c>
      <c r="AH199" s="86" t="str">
        <f t="shared" si="9"/>
        <v>"%USERPROFILE%\Documents\GitHub\eaglep3\Utilities\RefineRTDCRunTimes.py" --tripid 842-07 --locoid 4028 --swversion DE.1.0.8.0 --startMP 300:58615 --initTime 2017-02-07T20:35:43 --startdatetime 2017-02-07T20:37:15 --delay 1 --endMP 204:657 --enddatetime 2017-02-07T20:54:59 --enforcementcount 0 &gt;&gt;C:\Users\stu\Documents\GitHub\eaglep3-reporting\EC\2017-02-07-refined-times.txt</v>
      </c>
      <c r="AI199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{"issue":{"subject":"","project_id":79,"tracker_id":40,"status_id":1,"priority_id":2,"assigned_to_id":23,"start_date":"2017-02-07","description":"","custom_fields":[{"id":1,"name":"Subdivision","value":"NW"},{"id":4,"name":"Milepost","value":"0.0657"},{"id":17,"name":"Train ID","value":"842-07"},{"id":16,"name":"Locomotive ID","value":"4028"},{"id":130,"name":"Impact","value":""},{"id":150,"name":"Time of Event (Mountain Time)","value":"20:54:59"},{"id":151,"name":"Denver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48"/>
      <c r="AK199" s="48"/>
      <c r="AL199" s="48"/>
      <c r="AM199" s="158" t="str">
        <f t="shared" si="11"/>
        <v>start /low /b %USERPROFILE%\Documents\GitHub\eaglep3\Utilities\DownloadLogsFromS3.py --loco 4028 --day 2017-02-07</v>
      </c>
      <c r="AN199" s="167" t="str">
        <f>"grep -SE -B400 ""CHR.+\|PRM\|1\|D.+(SWITCH|SIGNAL).+UNKNOWN"" "&amp;search_path&amp;"\RTDC"&amp;B199&amp;"\*"&amp;B199&amp;"*"&amp;TEXT(AVERAGE(F199,I199)-utc_offset/24,"YYYYMMDD")&amp;"*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"%USERPROFILE%\AppData\Local\Temp\OnboardLogs"\RTDC4028\*4028*20170208* | grep -SE "(Enforcement Action)|(\[TIMEOUT)|(CHR.+\|PRM\|1\|D.+(SWITCH|SIGNAL).+UNKNOWN)" - &gt;&gt; 2017-02-07-UncaughtWiMAX.txt</v>
      </c>
    </row>
    <row r="200" spans="1:91" x14ac:dyDescent="0.25">
      <c r="A200" s="33" t="s">
        <v>672</v>
      </c>
      <c r="B200" s="7">
        <v>4027</v>
      </c>
      <c r="C200" s="21" t="s">
        <v>193</v>
      </c>
      <c r="D200" s="21" t="s">
        <v>447</v>
      </c>
      <c r="E200" s="13">
        <v>42773.844675925924</v>
      </c>
      <c r="F200" s="13">
        <v>42773.848090277781</v>
      </c>
      <c r="G200" s="7">
        <v>2</v>
      </c>
      <c r="H200" s="21" t="s">
        <v>458</v>
      </c>
      <c r="I200" s="13">
        <v>42773.857060185182</v>
      </c>
      <c r="J200" s="7">
        <v>0</v>
      </c>
      <c r="K200" s="98" t="str">
        <f>IF(ISEVEN(B200),(B200-1)&amp;"/"&amp;B200,B200&amp;"/"&amp;(B200+1))</f>
        <v>4027/4028</v>
      </c>
      <c r="L200" s="21" t="str">
        <f>VLOOKUP(A200,'Trips&amp;Operators'!$C$1:$G$99999,5,FALSE)</f>
        <v>LEVIN SCOTT</v>
      </c>
      <c r="M200" s="6">
        <f>I200-F200</f>
        <v>8.9699074014788494E-3</v>
      </c>
      <c r="N200" s="7">
        <f>24*60*SUM($M200:$M200)</f>
        <v>12.916666658129543</v>
      </c>
      <c r="O200" s="7"/>
      <c r="P200" s="7"/>
      <c r="Q200" s="22"/>
      <c r="R200" s="22"/>
      <c r="S200" s="31">
        <f>SUM(U200:U200)/IF(AG200="EC",12,1)</f>
        <v>1</v>
      </c>
      <c r="T200" s="46" t="str">
        <f>IF(ISEVEN(LEFT(AD200,4)),"Southbound","NorthBound")</f>
        <v>NorthBound</v>
      </c>
      <c r="U200" s="190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191" t="str">
        <f>"https://d0f6bd738d7f1b3e5a7ca70fe4ff75f0.us-east-1.aws.found.io/app/kibana#/discover/Steve-Slow-Train-Analysis-(2080s-and-2083s)?_g="&amp;"(refreshInterval:(display:Off,pause:!f,section:0,value:0),time:(from:'"&amp;TEXT(E200-1/24,"yyyy-MM-DDThh:mm:ss")&amp;utc_offset&amp;"00"&amp;"',mode:absolute,to:'"&amp;TEXT(I200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200&amp;"%22')),sort:!(Time.ISO8601,asc))"</f>
        <v>https://d0f6bd738d7f1b3e5a7ca70fe4ff75f0.us-east-1.aws.found.io/app/kibana#/discover/Steve-Slow-Train-Analysis-(2080s-and-2083s)?_g=(refreshInterval:(display:Off,pause:!f,section:0,value:0),time:(from:'2017-02-07T19:16:20-0700',mode:absolute,to:'2017-02-07T21:34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0" s="192" t="str">
        <f>IF(AA200&lt;IF(AG200="EC",23,5.65),"Y","N")</f>
        <v>N</v>
      </c>
      <c r="X200" s="192">
        <f>VALUE(LEFT(AD200,4))-VALUE(LEFT(AD199,4))</f>
        <v>1</v>
      </c>
      <c r="Y200" s="62">
        <f>RIGHT(D200,LEN(D200)-4)/10000</f>
        <v>9.4600000000000004E-2</v>
      </c>
      <c r="Z200" s="62">
        <f>RIGHT(H200,LEN(H200)-4)/10000</f>
        <v>5.8930999999999996</v>
      </c>
      <c r="AA200" s="62">
        <f>ABS(Z200-Y200)</f>
        <v>5.7984999999999998</v>
      </c>
      <c r="AB200" s="59" t="e">
        <f>VLOOKUP(A200,Enforcements!$C$7:$K$14,8,0)</f>
        <v>#N/A</v>
      </c>
      <c r="AC200" s="55" t="e">
        <f>VLOOKUP(A200,Enforcements!$C$7:$E$14,3,0)</f>
        <v>#N/A</v>
      </c>
      <c r="AD200" s="56" t="str">
        <f>IF(LEN(A200)=6,"0"&amp;A200,A200)</f>
        <v>0843-07</v>
      </c>
      <c r="AE200" s="85" t="str">
        <f>"aws s3 cp "&amp;s3_bucket&amp;"/RTDC"&amp;B200&amp;"/ "&amp;search_path&amp;"\RTDC"&amp;B200&amp;"\"&amp;TEXT(F200,"YYYY-MM-DD")&amp;" --exclude ""*"" --recursive --include ""*"&amp;TEXT(F200,"YYYYMMDD")&amp;"*"" &amp; """&amp;walkandungz&amp;""" "&amp;search_path&amp;"\RTDC"&amp;B200&amp;"\"&amp;TEXT(F200,"YYYY-MM-DD")
&amp;" &amp; "&amp;"aws s3 cp "&amp;s3_bucket&amp;"/RTDC"&amp;B200&amp;"/ "&amp;search_path&amp;"\RTDC"&amp;B200&amp;"\"&amp;TEXT(F200+1,"YYYY-MM-DD")&amp;" --exclude ""*"" --recursive --include ""*"&amp;TEXT(F200+1,"YYYYMMDD")&amp;"*"" &amp; """&amp;walkandungz&amp;""" "&amp;search_path&amp;"\RTDC"&amp;B200&amp;"\"&amp;TEXT(F200+1,"YYYY-MM-DD")</f>
        <v>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 &amp; 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</v>
      </c>
      <c r="AF200" s="82" t="str">
        <f>astrogrep_path&amp;" /spath="&amp;search_path&amp;" /stypes=""app*"&amp;B200&amp;"*"&amp;TEXT(I200-utc_offset/24,"YYYYMMDD")&amp;"*"" /stext="" "&amp;TEXT(I200-utc_offset/24,"HH")&amp;search_regexp&amp;""" /e /r /s"</f>
        <v>"C:\Program Files (x86)\AstroGrep\AstroGrep.exe" /spath="%USERPROFILE%\AppData\Local\Temp\OnboardLogs" /stypes="app*4027*20170208*" /stext=" 03:.+((SYSTEM_STATE.+slice.+state.+changed )|(ment ac)|(multiple cpu faults)|(system.+state.+changed )|(\[timeout)|(PRM\|1\|D)|(kpr)|(kdp)|(\|lc)|(penalty))" /e /r /s</v>
      </c>
      <c r="AG200" s="1" t="str">
        <f>IFERROR(IF(VALUE(LEFT(AD200,2))&lt;=2,"EC",IF(OR(VALUE(LEFT(AD200,2))=8,VALUE(LEFT(AD200,2))=18),"NW","Other")),"Other")</f>
        <v>NW</v>
      </c>
      <c r="AH200" s="86" t="str">
        <f t="shared" si="9"/>
        <v>"%USERPROFILE%\Documents\GitHub\eaglep3\Utilities\RefineRTDCRunTimes.py" --tripid 843-07 --locoid 4027 --swversion DE.1.0.8.0 --startMP 204:946 --initTime 2017-02-07T20:16:20 --startdatetime 2017-02-07T20:21:15 --delay 2 --endMP 300:58931 --enddatetime 2017-02-07T20:34:10 --enforcementcount 0 &gt;&gt;C:\Users\stu\Documents\GitHub\eaglep3-reporting\EC\2017-02-07-refined-times.txt</v>
      </c>
      <c r="AI200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{"issue":{"subject":"","project_id":79,"tracker_id":40,"status_id":1,"priority_id":2,"assigned_to_id":23,"start_date":"2017-02-07","description":"","custom_fields":[{"id":1,"name":"Subdivision","value":"NW"},{"id":4,"name":"Milepost","value":"5.8931"},{"id":17,"name":"Train ID","value":"843-07"},{"id":16,"name":"Locomotive ID","value":"4027"},{"id":130,"name":"Impact","value":""},{"id":150,"name":"Time of Event (Mountain Time)","value":"20:34:10"},{"id":151,"name":"Denver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48"/>
      <c r="AK200" s="48"/>
      <c r="AL200" s="48"/>
      <c r="AM200" s="158" t="str">
        <f t="shared" si="11"/>
        <v>start /low /b %USERPROFILE%\Documents\GitHub\eaglep3\Utilities\DownloadLogsFromS3.py --loco 4027 --day 2017-02-07</v>
      </c>
      <c r="AN200" s="167" t="str">
        <f>"grep -SE -B400 ""CHR.+\|PRM\|1\|D.+(SWITCH|SIGNAL).+UNKNOWN"" "&amp;search_path&amp;"\RTDC"&amp;B200&amp;"\*"&amp;B200&amp;"*"&amp;TEXT(AVERAGE(F200,I200)-utc_offset/24,"YYYYMMDD")&amp;"*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"%USERPROFILE%\AppData\Local\Temp\OnboardLogs"\RTDC4027\*4027*20170208* | grep -SE "(Enforcement Action)|(\[TIMEOUT)|(CHR.+\|PRM\|1\|D.+(SWITCH|SIGNAL).+UNKNOWN)" - &gt;&gt; 2017-02-07-UncaughtWiMAX.txt</v>
      </c>
    </row>
    <row r="201" spans="1:91" x14ac:dyDescent="0.25">
      <c r="A201" s="33" t="s">
        <v>679</v>
      </c>
      <c r="B201" s="7">
        <v>4028</v>
      </c>
      <c r="C201" s="21" t="s">
        <v>193</v>
      </c>
      <c r="D201" s="21" t="s">
        <v>851</v>
      </c>
      <c r="E201" s="13">
        <v>42773.901724537034</v>
      </c>
      <c r="F201" s="13">
        <v>42773.904178240744</v>
      </c>
      <c r="G201" s="7">
        <v>1</v>
      </c>
      <c r="H201" s="21" t="s">
        <v>843</v>
      </c>
      <c r="I201" s="13">
        <v>42773.913506944446</v>
      </c>
      <c r="J201" s="7">
        <v>0</v>
      </c>
      <c r="K201" s="98" t="str">
        <f>IF(ISEVEN(B201),(B201-1)&amp;"/"&amp;B201,B201&amp;"/"&amp;(B201+1))</f>
        <v>4027/4028</v>
      </c>
      <c r="L201" s="21" t="str">
        <f>VLOOKUP(A201,'Trips&amp;Operators'!$C$1:$G$99999,5,FALSE)</f>
        <v>HILLS DUSTIN</v>
      </c>
      <c r="M201" s="6">
        <f>I201-F201</f>
        <v>9.3287037016125396E-3</v>
      </c>
      <c r="N201" s="7">
        <f>24*60*SUM($M201:$M201)</f>
        <v>13.433333330322057</v>
      </c>
      <c r="O201" s="7"/>
      <c r="P201" s="7"/>
      <c r="Q201" s="22"/>
      <c r="R201" s="22"/>
      <c r="S201" s="31">
        <f>SUM(U201:U201)/IF(AG201="EC",12,1)</f>
        <v>1</v>
      </c>
      <c r="T201" s="46" t="str">
        <f>IF(ISEVEN(LEFT(AD201,4)),"Southbound","NorthBound")</f>
        <v>Southbound</v>
      </c>
      <c r="U201" s="190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191" t="str">
        <f>"https://d0f6bd738d7f1b3e5a7ca70fe4ff75f0.us-east-1.aws.found.io/app/kibana#/discover/Steve-Slow-Train-Analysis-(2080s-and-2083s)?_g="&amp;"(refreshInterval:(display:Off,pause:!f,section:0,value:0),time:(from:'"&amp;TEXT(E201-1/24,"yyyy-MM-DDThh:mm:ss")&amp;utc_offset&amp;"00"&amp;"',mode:absolute,to:'"&amp;TEXT(I201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201&amp;"%22')),sort:!(Time.ISO8601,asc))"</f>
        <v>https://d0f6bd738d7f1b3e5a7ca70fe4ff75f0.us-east-1.aws.found.io/app/kibana#/discover/Steve-Slow-Train-Analysis-(2080s-and-2083s)?_g=(refreshInterval:(display:Off,pause:!f,section:0,value:0),time:(from:'2017-02-07T20:38:29-0700',mode:absolute,to:'2017-02-07T22:55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01" s="192" t="str">
        <f>IF(AA201&lt;IF(AG201="EC",23,5.65),"Y","N")</f>
        <v>N</v>
      </c>
      <c r="X201" s="192">
        <f>VALUE(LEFT(AD201,4))-VALUE(LEFT(AD200,4))</f>
        <v>1</v>
      </c>
      <c r="Y201" s="62">
        <f>RIGHT(D201,LEN(D201)-4)/10000</f>
        <v>5.8677000000000001</v>
      </c>
      <c r="Z201" s="62">
        <f>RIGHT(H201,LEN(H201)-4)/10000</f>
        <v>6.6600000000000006E-2</v>
      </c>
      <c r="AA201" s="62">
        <f>ABS(Z201-Y201)</f>
        <v>5.8010999999999999</v>
      </c>
      <c r="AB201" s="59" t="e">
        <f>VLOOKUP(A201,Enforcements!$C$7:$K$14,8,0)</f>
        <v>#N/A</v>
      </c>
      <c r="AC201" s="55" t="e">
        <f>VLOOKUP(A201,Enforcements!$C$7:$E$14,3,0)</f>
        <v>#N/A</v>
      </c>
      <c r="AD201" s="56" t="str">
        <f>IF(LEN(A201)=6,"0"&amp;A201,A201)</f>
        <v>0844-07</v>
      </c>
      <c r="AE201" s="85" t="str">
        <f>"aws s3 cp "&amp;s3_bucket&amp;"/RTDC"&amp;B201&amp;"/ "&amp;search_path&amp;"\RTDC"&amp;B201&amp;"\"&amp;TEXT(F201,"YYYY-MM-DD")&amp;" --exclude ""*"" --recursive --include ""*"&amp;TEXT(F201,"YYYYMMDD")&amp;"*"" &amp; """&amp;walkandungz&amp;""" "&amp;search_path&amp;"\RTDC"&amp;B201&amp;"\"&amp;TEXT(F201,"YYYY-MM-DD")
&amp;" &amp; "&amp;"aws s3 cp "&amp;s3_bucket&amp;"/RTDC"&amp;B201&amp;"/ "&amp;search_path&amp;"\RTDC"&amp;B201&amp;"\"&amp;TEXT(F201+1,"YYYY-MM-DD")&amp;" --exclude ""*"" --recursive --include ""*"&amp;TEXT(F201+1,"YYYYMMDD")&amp;"*"" &amp; """&amp;walkandungz&amp;""" "&amp;search_path&amp;"\RTDC"&amp;B201&amp;"\"&amp;TEXT(F201+1,"YYYY-MM-DD")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AF201" s="82" t="str">
        <f>astrogrep_path&amp;" /spath="&amp;search_path&amp;" /stypes=""app*"&amp;B201&amp;"*"&amp;TEXT(I201-utc_offset/24,"YYYYMMDD")&amp;"*"" /stext="" "&amp;TEXT(I201-utc_offset/24,"HH")&amp;search_regexp&amp;""" /e /r /s"</f>
        <v>"C:\Program Files (x86)\AstroGrep\AstroGrep.exe" /spath="%USERPROFILE%\AppData\Local\Temp\OnboardLogs" /stypes="app*4028*20170208*" /stext=" 04:.+((SYSTEM_STATE.+slice.+state.+changed )|(ment ac)|(multiple cpu faults)|(system.+state.+changed )|(\[timeout)|(PRM\|1\|D)|(kpr)|(kdp)|(\|lc)|(penalty))" /e /r /s</v>
      </c>
      <c r="AG201" s="1" t="str">
        <f>IFERROR(IF(VALUE(LEFT(AD201,2))&lt;=2,"EC",IF(OR(VALUE(LEFT(AD201,2))=8,VALUE(LEFT(AD201,2))=18),"NW","Other")),"Other")</f>
        <v>NW</v>
      </c>
      <c r="AH201" s="86" t="str">
        <f t="shared" si="9"/>
        <v>"%USERPROFILE%\Documents\GitHub\eaglep3\Utilities\RefineRTDCRunTimes.py" --tripid 844-07 --locoid 4028 --swversion DE.1.0.8.0 --startMP 300:58677 --initTime 2017-02-07T21:38:29 --startdatetime 2017-02-07T21:42:01 --delay 1 --endMP 204:666 --enddatetime 2017-02-07T21:55:27 --enforcementcount 0 &gt;&gt;C:\Users\stu\Documents\GitHub\eaglep3-reporting\EC\2017-02-07-refined-times.txt</v>
      </c>
      <c r="AI201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{"issue":{"subject":"","project_id":79,"tracker_id":40,"status_id":1,"priority_id":2,"assigned_to_id":23,"start_date":"2017-02-07","description":"","custom_fields":[{"id":1,"name":"Subdivision","value":"NW"},{"id":4,"name":"Milepost","value":"0.0666"},{"id":17,"name":"Train ID","value":"844-07"},{"id":16,"name":"Locomotive ID","value":"4028"},{"id":130,"name":"Impact","value":""},{"id":150,"name":"Time of Event (Mountain Time)","value":"21:55:27"},{"id":151,"name":"Denver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48"/>
      <c r="AK201" s="48"/>
      <c r="AL201" s="48"/>
      <c r="AM201" s="158" t="str">
        <f t="shared" si="11"/>
        <v>start /low /b %USERPROFILE%\Documents\GitHub\eaglep3\Utilities\DownloadLogsFromS3.py --loco 4028 --day 2017-02-07</v>
      </c>
      <c r="AN201" s="167" t="str">
        <f>"grep -SE -B400 ""CHR.+\|PRM\|1\|D.+(SWITCH|SIGNAL).+UNKNOWN"" "&amp;search_path&amp;"\RTDC"&amp;B201&amp;"\*"&amp;B201&amp;"*"&amp;TEXT(AVERAGE(F201,I201)-utc_offset/24,"YYYYMMDD")&amp;"*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"%USERPROFILE%\AppData\Local\Temp\OnboardLogs"\RTDC4028\*4028*20170208* | grep -SE "(Enforcement Action)|(\[TIMEOUT)|(CHR.+\|PRM\|1\|D.+(SWITCH|SIGNAL).+UNKNOWN)" - &gt;&gt; 2017-02-07-UncaughtWiMAX.txt</v>
      </c>
    </row>
    <row r="202" spans="1:91" x14ac:dyDescent="0.25">
      <c r="A202" s="33" t="s">
        <v>676</v>
      </c>
      <c r="B202" s="7">
        <v>4027</v>
      </c>
      <c r="C202" s="21" t="s">
        <v>193</v>
      </c>
      <c r="D202" s="21" t="s">
        <v>833</v>
      </c>
      <c r="E202" s="13">
        <v>42773.876400462963</v>
      </c>
      <c r="F202" s="13">
        <v>42773.889861111114</v>
      </c>
      <c r="G202" s="7">
        <v>1</v>
      </c>
      <c r="H202" s="21" t="s">
        <v>852</v>
      </c>
      <c r="I202" s="13">
        <v>42773.899629629632</v>
      </c>
      <c r="J202" s="7">
        <v>0</v>
      </c>
      <c r="K202" s="98" t="str">
        <f>IF(ISEVEN(B202),(B202-1)&amp;"/"&amp;B202,B202&amp;"/"&amp;(B202+1))</f>
        <v>4027/4028</v>
      </c>
      <c r="L202" s="21" t="str">
        <f>VLOOKUP(A202,'Trips&amp;Operators'!$C$1:$G$99999,5,FALSE)</f>
        <v>HILLS DUSTIN</v>
      </c>
      <c r="M202" s="6">
        <f>I202-F202</f>
        <v>9.7685185173759237E-3</v>
      </c>
      <c r="N202" s="7">
        <f>24*60*SUM($M202:$M202)</f>
        <v>14.06666666502133</v>
      </c>
      <c r="O202" s="7"/>
      <c r="P202" s="7"/>
      <c r="Q202" s="22"/>
      <c r="R202" s="22"/>
      <c r="S202" s="31">
        <f>SUM(U202:U202)/IF(AG202="EC",12,1)</f>
        <v>1</v>
      </c>
      <c r="T202" s="46" t="str">
        <f>IF(ISEVEN(LEFT(AD202,4)),"Southbound","NorthBound")</f>
        <v>NorthBound</v>
      </c>
      <c r="U202" s="190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191" t="str">
        <f>"https://d0f6bd738d7f1b3e5a7ca70fe4ff75f0.us-east-1.aws.found.io/app/kibana#/discover/Steve-Slow-Train-Analysis-(2080s-and-2083s)?_g="&amp;"(refreshInterval:(display:Off,pause:!f,section:0,value:0),time:(from:'"&amp;TEXT(E202-1/24,"yyyy-MM-DDThh:mm:ss")&amp;utc_offset&amp;"00"&amp;"',mode:absolute,to:'"&amp;TEXT(I202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202&amp;"%22')),sort:!(Time.ISO8601,asc))"</f>
        <v>https://d0f6bd738d7f1b3e5a7ca70fe4ff75f0.us-east-1.aws.found.io/app/kibana#/discover/Steve-Slow-Train-Analysis-(2080s-and-2083s)?_g=(refreshInterval:(display:Off,pause:!f,section:0,value:0),time:(from:'2017-02-07T20:02:01-0700',mode:absolute,to:'2017-02-07T22:35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2" s="192" t="str">
        <f>IF(AA202&lt;IF(AG202="EC",23,5.65),"Y","N")</f>
        <v>N</v>
      </c>
      <c r="X202" s="192">
        <f>VALUE(LEFT(AD202,4))-VALUE(LEFT(AD201,4))</f>
        <v>1</v>
      </c>
      <c r="Y202" s="62">
        <f>RIGHT(D202,LEN(D202)-4)/10000</f>
        <v>9.3899999999999997E-2</v>
      </c>
      <c r="Z202" s="62">
        <f>RIGHT(H202,LEN(H202)-4)/10000</f>
        <v>5.8994999999999997</v>
      </c>
      <c r="AA202" s="62">
        <f>ABS(Z202-Y202)</f>
        <v>5.8056000000000001</v>
      </c>
      <c r="AB202" s="59" t="e">
        <f>VLOOKUP(A202,Enforcements!$C$7:$K$14,8,0)</f>
        <v>#N/A</v>
      </c>
      <c r="AC202" s="55" t="e">
        <f>VLOOKUP(A202,Enforcements!$C$7:$E$14,3,0)</f>
        <v>#N/A</v>
      </c>
      <c r="AD202" s="56" t="str">
        <f>IF(LEN(A202)=6,"0"&amp;A202,A202)</f>
        <v>0845-07</v>
      </c>
      <c r="AE202" s="85" t="str">
        <f>"aws s3 cp "&amp;s3_bucket&amp;"/RTDC"&amp;B202&amp;"/ "&amp;search_path&amp;"\RTDC"&amp;B202&amp;"\"&amp;TEXT(F202,"YYYY-MM-DD")&amp;" --exclude ""*"" --recursive --include ""*"&amp;TEXT(F202,"YYYYMMDD")&amp;"*"" &amp; """&amp;walkandungz&amp;""" "&amp;search_path&amp;"\RTDC"&amp;B202&amp;"\"&amp;TEXT(F202,"YYYY-MM-DD")
&amp;" &amp; "&amp;"aws s3 cp "&amp;s3_bucket&amp;"/RTDC"&amp;B202&amp;"/ "&amp;search_path&amp;"\RTDC"&amp;B202&amp;"\"&amp;TEXT(F202+1,"YYYY-MM-DD")&amp;" --exclude ""*"" --recursive --include ""*"&amp;TEXT(F202+1,"YYYYMMDD")&amp;"*"" &amp; """&amp;walkandungz&amp;""" "&amp;search_path&amp;"\RTDC"&amp;B202&amp;"\"&amp;TEXT(F202+1,"YYYY-MM-DD")</f>
        <v>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 &amp; 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</v>
      </c>
      <c r="AF202" s="82" t="str">
        <f>astrogrep_path&amp;" /spath="&amp;search_path&amp;" /stypes=""app*"&amp;B202&amp;"*"&amp;TEXT(I202-utc_offset/24,"YYYYMMDD")&amp;"*"" /stext="" "&amp;TEXT(I202-utc_offset/24,"HH")&amp;search_regexp&amp;""" /e /r /s"</f>
        <v>"C:\Program Files (x86)\AstroGrep\AstroGrep.exe" /spath="%USERPROFILE%\AppData\Local\Temp\OnboardLogs" /stypes="app*4027*20170208*" /stext=" 04:.+((SYSTEM_STATE.+slice.+state.+changed )|(ment ac)|(multiple cpu faults)|(system.+state.+changed )|(\[timeout)|(PRM\|1\|D)|(kpr)|(kdp)|(\|lc)|(penalty))" /e /r /s</v>
      </c>
      <c r="AG202" s="1" t="str">
        <f>IFERROR(IF(VALUE(LEFT(AD202,2))&lt;=2,"EC",IF(OR(VALUE(LEFT(AD202,2))=8,VALUE(LEFT(AD202,2))=18),"NW","Other")),"Other")</f>
        <v>NW</v>
      </c>
      <c r="AH202" s="86" t="str">
        <f t="shared" si="9"/>
        <v>"%USERPROFILE%\Documents\GitHub\eaglep3\Utilities\RefineRTDCRunTimes.py" --tripid 845-07 --locoid 4027 --swversion DE.1.0.8.0 --startMP 204:939 --initTime 2017-02-07T21:02:01 --startdatetime 2017-02-07T21:21:24 --delay 1 --endMP 300:58995 --enddatetime 2017-02-07T21:35:28 --enforcementcount 0 &gt;&gt;C:\Users\stu\Documents\GitHub\eaglep3-reporting\EC\2017-02-07-refined-times.txt</v>
      </c>
      <c r="AI202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{"issue":{"subject":"","project_id":79,"tracker_id":40,"status_id":1,"priority_id":2,"assigned_to_id":23,"start_date":"2017-02-07","description":"","custom_fields":[{"id":1,"name":"Subdivision","value":"NW"},{"id":4,"name":"Milepost","value":"5.8995"},{"id":17,"name":"Train ID","value":"845-07"},{"id":16,"name":"Locomotive ID","value":"4027"},{"id":130,"name":"Impact","value":""},{"id":150,"name":"Time of Event (Mountain Time)","value":"21:35:28"},{"id":151,"name":"Denver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48"/>
      <c r="AK202" s="48"/>
      <c r="AL202" s="48"/>
      <c r="AM202" s="158" t="str">
        <f t="shared" si="11"/>
        <v>start /low /b %USERPROFILE%\Documents\GitHub\eaglep3\Utilities\DownloadLogsFromS3.py --loco 4027 --day 2017-02-07</v>
      </c>
      <c r="AN202" s="167" t="str">
        <f>"grep -SE -B400 ""CHR.+\|PRM\|1\|D.+(SWITCH|SIGNAL).+UNKNOWN"" "&amp;search_path&amp;"\RTDC"&amp;B202&amp;"\*"&amp;B202&amp;"*"&amp;TEXT(AVERAGE(F202,I202)-utc_offset/24,"YYYYMMDD")&amp;"*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"%USERPROFILE%\AppData\Local\Temp\OnboardLogs"\RTDC4027\*4027*20170208* | grep -SE "(Enforcement Action)|(\[TIMEOUT)|(CHR.+\|PRM\|1\|D.+(SWITCH|SIGNAL).+UNKNOWN)" - &gt;&gt; 2017-02-07-UncaughtWiMAX.txt</v>
      </c>
    </row>
    <row r="203" spans="1:91" x14ac:dyDescent="0.25">
      <c r="A203" s="33" t="s">
        <v>494</v>
      </c>
      <c r="B203" s="7">
        <v>4027</v>
      </c>
      <c r="C203" s="21" t="s">
        <v>193</v>
      </c>
      <c r="D203" s="21" t="s">
        <v>853</v>
      </c>
      <c r="E203" s="13">
        <v>42773.914675925924</v>
      </c>
      <c r="F203" s="13">
        <v>42773.931388888886</v>
      </c>
      <c r="G203" s="7">
        <v>2</v>
      </c>
      <c r="H203" s="21" t="s">
        <v>386</v>
      </c>
      <c r="I203" s="13">
        <v>42773.941261574073</v>
      </c>
      <c r="J203" s="7">
        <v>0</v>
      </c>
      <c r="K203" s="98" t="str">
        <f>IF(ISEVEN(B203),(B203-1)&amp;"/"&amp;B203,B203&amp;"/"&amp;(B203+1))</f>
        <v>4027/4028</v>
      </c>
      <c r="L203" s="21" t="str">
        <f>VLOOKUP(A203,'Trips&amp;Operators'!$C$1:$G$99999,5,FALSE)</f>
        <v>HILLS DUSTIN</v>
      </c>
      <c r="M203" s="6">
        <f>I203-F203</f>
        <v>9.8726851865649223E-3</v>
      </c>
      <c r="N203" s="7">
        <f>24*60*SUM($M203:$M203)</f>
        <v>14.216666668653488</v>
      </c>
      <c r="O203" s="7"/>
      <c r="P203" s="7"/>
      <c r="Q203" s="22"/>
      <c r="R203" s="22"/>
      <c r="S203" s="31">
        <f>SUM(U203:U203)/IF(AG203="EC",12,1)</f>
        <v>1</v>
      </c>
      <c r="T203" s="46" t="str">
        <f>IF(ISEVEN(LEFT(AD203,4)),"Southbound","NorthBound")</f>
        <v>NorthBound</v>
      </c>
      <c r="U203" s="190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191" t="str">
        <f>"https://d0f6bd738d7f1b3e5a7ca70fe4ff75f0.us-east-1.aws.found.io/app/kibana#/discover/Steve-Slow-Train-Analysis-(2080s-and-2083s)?_g="&amp;"(refreshInterval:(display:Off,pause:!f,section:0,value:0),time:(from:'"&amp;TEXT(E203-1/24,"yyyy-MM-DDThh:mm:ss")&amp;utc_offset&amp;"00"&amp;"',mode:absolute,to:'"&amp;TEXT(I203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203&amp;"%22')),sort:!(Time.ISO8601,asc))"</f>
        <v>https://d0f6bd738d7f1b3e5a7ca70fe4ff75f0.us-east-1.aws.found.io/app/kibana#/discover/Steve-Slow-Train-Analysis-(2080s-and-2083s)?_g=(refreshInterval:(display:Off,pause:!f,section:0,value:0),time:(from:'2017-02-07T20:57:08-0700',mode:absolute,to:'2017-02-07T23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W203" s="192" t="str">
        <f>IF(AA203&lt;IF(AG203="EC",23,5.65),"Y","N")</f>
        <v>N</v>
      </c>
      <c r="X203" s="192">
        <f>VALUE(LEFT(AD203,4))-VALUE(LEFT(AD202,4))</f>
        <v>2</v>
      </c>
      <c r="Y203" s="62">
        <f>RIGHT(D203,LEN(D203)-4)/10000</f>
        <v>9.5799999999999996E-2</v>
      </c>
      <c r="Z203" s="62">
        <f>RIGHT(H203,LEN(H203)-4)/10000</f>
        <v>5.8940999999999999</v>
      </c>
      <c r="AA203" s="62">
        <f>ABS(Z203-Y203)</f>
        <v>5.7983000000000002</v>
      </c>
      <c r="AB203" s="59" t="e">
        <f>VLOOKUP(A203,Enforcements!$C$7:$K$14,8,0)</f>
        <v>#N/A</v>
      </c>
      <c r="AC203" s="55" t="e">
        <f>VLOOKUP(A203,Enforcements!$C$7:$E$14,3,0)</f>
        <v>#N/A</v>
      </c>
      <c r="AD203" s="56" t="str">
        <f>IF(LEN(A203)=6,"0"&amp;A203,A203)</f>
        <v>0847-07</v>
      </c>
      <c r="AE203" s="85" t="str">
        <f>"aws s3 cp "&amp;s3_bucket&amp;"/RTDC"&amp;B203&amp;"/ "&amp;search_path&amp;"\RTDC"&amp;B203&amp;"\"&amp;TEXT(F203,"YYYY-MM-DD")&amp;" --exclude ""*"" --recursive --include ""*"&amp;TEXT(F203,"YYYYMMDD")&amp;"*"" &amp; """&amp;walkandungz&amp;""" "&amp;search_path&amp;"\RTDC"&amp;B203&amp;"\"&amp;TEXT(F203,"YYYY-MM-DD")
&amp;" &amp; "&amp;"aws s3 cp "&amp;s3_bucket&amp;"/RTDC"&amp;B203&amp;"/ "&amp;search_path&amp;"\RTDC"&amp;B203&amp;"\"&amp;TEXT(F203+1,"YYYY-MM-DD")&amp;" --exclude ""*"" --recursive --include ""*"&amp;TEXT(F203+1,"YYYYMMDD")&amp;"*"" &amp; """&amp;walkandungz&amp;""" "&amp;search_path&amp;"\RTDC"&amp;B203&amp;"\"&amp;TEXT(F203+1,"YYYY-MM-DD")</f>
        <v>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 &amp; 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</v>
      </c>
      <c r="AF203" s="82" t="str">
        <f>astrogrep_path&amp;" /spath="&amp;search_path&amp;" /stypes=""app*"&amp;B203&amp;"*"&amp;TEXT(I203-utc_offset/24,"YYYYMMDD")&amp;"*"" /stext="" "&amp;TEXT(I203-utc_offset/24,"HH")&amp;search_regexp&amp;""" /e /r /s"</f>
        <v>"C:\Program Files (x86)\AstroGrep\AstroGrep.exe" /spath="%USERPROFILE%\AppData\Local\Temp\OnboardLogs" /stypes="app*4027*20170208*" /stext=" 05:.+((SYSTEM_STATE.+slice.+state.+changed )|(ment ac)|(multiple cpu faults)|(system.+state.+changed )|(\[timeout)|(PRM\|1\|D)|(kpr)|(kdp)|(\|lc)|(penalty))" /e /r /s</v>
      </c>
      <c r="AG203" s="1" t="str">
        <f>IFERROR(IF(VALUE(LEFT(AD203,2))&lt;=2,"EC",IF(OR(VALUE(LEFT(AD203,2))=8,VALUE(LEFT(AD203,2))=18),"NW","Other")),"Other")</f>
        <v>NW</v>
      </c>
      <c r="AH203" s="86" t="str">
        <f t="shared" si="9"/>
        <v>"%USERPROFILE%\Documents\GitHub\eaglep3\Utilities\RefineRTDCRunTimes.py" --tripid 847-07 --locoid 4027 --swversion DE.1.0.8.0 --startMP 204:958 --initTime 2017-02-07T21:57:08 --startdatetime 2017-02-07T22:21:12 --delay 2 --endMP 300:58941 --enddatetime 2017-02-07T22:35:25 --enforcementcount 0 &gt;&gt;C:\Users\stu\Documents\GitHub\eaglep3-reporting\EC\2017-02-07-refined-times.txt</v>
      </c>
      <c r="AI203" s="108" t="str">
        <f t="shared" si="10"/>
        <v>echo {"issue":{"subject":"","project_id":79,"tracker_id":40,"status_id":1,"priority_id":2,"assigned_to_id":23,"start_date":"2017-02-07","description":"","custom_fields":[{"id":1,"name":"Subdivision","value":"NW"},{"id":4,"name":"Milepost","value":"5.8941"},{"id":17,"name":"Train ID","value":"847-07"},{"id":16,"name":"Locomotive ID","value":"4027"},{"id":130,"name":"Impact","value":""},{"id":150,"name":"Time of Event (Mountain Time)","value":"22:35:25"},{"id":151,"name":"Denver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48"/>
      <c r="AK203" s="48"/>
      <c r="AL203" s="48"/>
      <c r="AM203" s="158" t="str">
        <f t="shared" si="11"/>
        <v>start /low /b %USERPROFILE%\Documents\GitHub\eaglep3\Utilities\DownloadLogsFromS3.py --loco 4027 --day 2017-02-07</v>
      </c>
      <c r="AN203" s="167" t="str">
        <f>"grep -SE -B400 ""CHR.+\|PRM\|1\|D.+(SWITCH|SIGNAL).+UNKNOWN"" "&amp;search_path&amp;"\RTDC"&amp;B203&amp;"\*"&amp;B203&amp;"*"&amp;TEXT(AVERAGE(F203,I203)-utc_offset/24,"YYYYMMDD")&amp;"*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"%USERPROFILE%\AppData\Local\Temp\OnboardLogs"\RTDC4027\*4027*20170208* | grep -SE "(Enforcement Action)|(\[TIMEOUT)|(CHR.+\|PRM\|1\|D.+(SWITCH|SIGNAL).+UNKNOWN)" - &gt;&gt; 2017-02-07-UncaughtWiMAX.txt</v>
      </c>
    </row>
    <row r="204" spans="1:91" x14ac:dyDescent="0.25">
      <c r="A204" s="33" t="s">
        <v>659</v>
      </c>
      <c r="B204" s="7">
        <v>4011</v>
      </c>
      <c r="C204" s="21" t="s">
        <v>193</v>
      </c>
      <c r="D204" s="21" t="s">
        <v>774</v>
      </c>
      <c r="E204" s="13">
        <v>42773.777812499997</v>
      </c>
      <c r="F204" s="13">
        <v>42773.793449074074</v>
      </c>
      <c r="G204" s="7">
        <v>1</v>
      </c>
      <c r="H204" s="21" t="s">
        <v>775</v>
      </c>
      <c r="I204" s="13">
        <v>42773.793819444443</v>
      </c>
      <c r="J204" s="7">
        <v>0</v>
      </c>
      <c r="K204" s="98" t="str">
        <f>IF(ISEVEN(B204),(B204-1)&amp;"/"&amp;B204,B204&amp;"/"&amp;(B204+1))</f>
        <v>4011/4012</v>
      </c>
      <c r="L204" s="21" t="str">
        <f>VLOOKUP(A204,'Trips&amp;Operators'!$C$1:$G$99999,5,FALSE)</f>
        <v>CLARK KATHLEEN</v>
      </c>
      <c r="M204" s="6">
        <f>I204-F204</f>
        <v>3.7037036963738501E-4</v>
      </c>
      <c r="N204" s="7">
        <f>24*60*SUM($M204:$M204)</f>
        <v>0.53333333227783442</v>
      </c>
      <c r="O204" s="7"/>
      <c r="P204" s="7"/>
      <c r="Q204" s="22"/>
      <c r="R204" s="22"/>
      <c r="S204" s="31">
        <f>SUM(U204:U204)/IF(AG204="EC",12,1)</f>
        <v>1</v>
      </c>
      <c r="T204" s="46" t="str">
        <f>IF(ISEVEN(LEFT(AD204,4)),"Southbound","NorthBound")</f>
        <v>NorthBound</v>
      </c>
      <c r="U204" s="190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191" t="str">
        <f>"https://d0f6bd738d7f1b3e5a7ca70fe4ff75f0.us-east-1.aws.found.io/app/kibana#/discover/Steve-Slow-Train-Analysis-(2080s-and-2083s)?_g="&amp;"(refreshInterval:(display:Off,pause:!f,section:0,value:0),time:(from:'"&amp;TEXT(E204-1/24,"yyyy-MM-DDThh:mm:ss")&amp;utc_offset&amp;"00"&amp;"',mode:absolute,to:'"&amp;TEXT(I204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204&amp;"%22')),sort:!(Time.ISO8601,asc))"</f>
        <v>https://d0f6bd738d7f1b3e5a7ca70fe4ff75f0.us-east-1.aws.found.io/app/kibana#/discover/Steve-Slow-Train-Analysis-(2080s-and-2083s)?_g=(refreshInterval:(display:Off,pause:!f,section:0,value:0),time:(from:'2017-02-07T17:40:03-0700',mode:absolute,to:'2017-02-07T20:03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4" s="192" t="str">
        <f>IF(AA204&lt;IF(AG204="EC",23,5.65),"Y","N")</f>
        <v>Y</v>
      </c>
      <c r="X204" s="192">
        <f>VALUE(LEFT(AD204,4))-VALUE(LEFT(AD203,4))</f>
        <v>-544</v>
      </c>
      <c r="Y204" s="62">
        <f>RIGHT(D204,LEN(D204)-4)/10000</f>
        <v>5.28E-2</v>
      </c>
      <c r="Z204" s="62">
        <f>RIGHT(H204,LEN(H204)-4)/10000</f>
        <v>3.0417000000000001</v>
      </c>
      <c r="AA204" s="62">
        <f>ABS(Z204-Y204)</f>
        <v>2.9889000000000001</v>
      </c>
      <c r="AB204" s="59" t="e">
        <f>VLOOKUP(A204,Enforcements!$C$7:$K$14,8,0)</f>
        <v>#N/A</v>
      </c>
      <c r="AC204" s="55" t="e">
        <f>VLOOKUP(A204,Enforcements!$C$7:$E$14,3,0)</f>
        <v>#N/A</v>
      </c>
      <c r="AD204" s="56" t="str">
        <f>IF(LEN(A204)=6,"0"&amp;A204,A204)</f>
        <v>0303-07</v>
      </c>
      <c r="AE204" s="85" t="str">
        <f>"aws s3 cp "&amp;s3_bucket&amp;"/RTDC"&amp;B204&amp;"/ "&amp;search_path&amp;"\RTDC"&amp;B204&amp;"\"&amp;TEXT(F204,"YYYY-MM-DD")&amp;" --exclude ""*"" --recursive --include ""*"&amp;TEXT(F204,"YYYYMMDD")&amp;"*"" &amp; """&amp;walkandungz&amp;""" "&amp;search_path&amp;"\RTDC"&amp;B204&amp;"\"&amp;TEXT(F204,"YYYY-MM-DD")
&amp;" &amp; "&amp;"aws s3 cp "&amp;s3_bucket&amp;"/RTDC"&amp;B204&amp;"/ "&amp;search_path&amp;"\RTDC"&amp;B204&amp;"\"&amp;TEXT(F204+1,"YYYY-MM-DD")&amp;" --exclude ""*"" --recursive --include ""*"&amp;TEXT(F204+1,"YYYYMMDD")&amp;"*"" &amp; """&amp;walkandungz&amp;""" "&amp;search_path&amp;"\RTDC"&amp;B204&amp;"\"&amp;TEXT(F204+1,"YYYY-MM-DD")</f>
        <v>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 &amp; aws s3 cp s3://rtdc.mdm.uploadarchive.raw/RTDC4011/ "%USERPROFILE%\AppData\Local\Temp\OnboardLogs"\RTDC4011\2017-02-08 --exclude "*" --recursive --include "*20170208*" &amp; "%USERPROFILE%\Documents\GitHub\mrs-test-scripts\Headless Mode &amp; Sideloading\WalkAndUnGZ.bat" "%USERPROFILE%\AppData\Local\Temp\OnboardLogs"\RTDC4011\2017-02-08</v>
      </c>
      <c r="AF204" s="82" t="str">
        <f>astrogrep_path&amp;" /spath="&amp;search_path&amp;" /stypes=""app*"&amp;B204&amp;"*"&amp;TEXT(I204-utc_offset/24,"YYYYMMDD")&amp;"*"" /stext="" "&amp;TEXT(I204-utc_offset/24,"HH")&amp;search_regexp&amp;""" /e /r /s"</f>
        <v>"C:\Program Files (x86)\AstroGrep\AstroGrep.exe" /spath="%USERPROFILE%\AppData\Local\Temp\OnboardLogs" /stypes="app*4011*20170208*" /stext=" 02:.+((SYSTEM_STATE.+slice.+state.+changed )|(ment ac)|(multiple cpu faults)|(system.+state.+changed )|(\[timeout)|(PRM\|1\|D)|(kpr)|(kdp)|(\|lc)|(penalty))" /e /r /s</v>
      </c>
      <c r="AG204" s="1" t="str">
        <f>IFERROR(IF(VALUE(LEFT(AD204,2))&lt;=2,"EC",IF(OR(VALUE(LEFT(AD204,2))=8,VALUE(LEFT(AD204,2))=18),"NW","Other")),"Other")</f>
        <v>Other</v>
      </c>
      <c r="AH204" s="86" t="str">
        <f t="shared" si="9"/>
        <v>"%USERPROFILE%\Documents\GitHub\eaglep3\Utilities\RefineRTDCRunTimes.py" --tripid 303-07 --locoid 4011 --swversion DE.1.0.8.0 --startMP 204:528 --initTime 2017-02-07T18:40:03 --startdatetime 2017-02-07T19:02:34 --delay 1 --endMP 300:30417 --enddatetime 2017-02-07T19:03:06 --enforcementcount 0 &gt;&gt;C:\Users\stu\Documents\GitHub\eaglep3-reporting\EC\2017-02-07-refined-times.txt</v>
      </c>
      <c r="AI204" s="108" t="str">
        <f t="shared" si="10"/>
        <v>echo {"issue":{"subject":"","project_id":79,"tracker_id":40,"status_id":1,"priority_id":2,"assigned_to_id":23,"start_date":"2017-02-07","description":"","custom_fields":[{"id":1,"name":"Subdivision","value":"Other"},{"id":4,"name":"Milepost","value":"3.0417"},{"id":17,"name":"Train ID","value":"303-07"},{"id":16,"name":"Locomotive ID","value":"4011"},{"id":130,"name":"Impact","value":""},{"id":150,"name":"Time of Event (Mountain Time)","value":"19:03:06"},{"id":151,"name":"Denver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48"/>
      <c r="AK204" s="48"/>
      <c r="AL204" s="48"/>
      <c r="AM204" s="158" t="str">
        <f t="shared" si="11"/>
        <v>start /low /b %USERPROFILE%\Documents\GitHub\eaglep3\Utilities\DownloadLogsFromS3.py --loco 4011 --day 2017-02-07</v>
      </c>
      <c r="AN204" s="167" t="str">
        <f>"grep -SE -B400 ""CHR.+\|PRM\|1\|D.+(SWITCH|SIGNAL).+UNKNOWN"" "&amp;search_path&amp;"\RTDC"&amp;B204&amp;"\*"&amp;B204&amp;"*"&amp;TEXT(AVERAGE(F204,I204)-utc_offset/24,"YYYYMMDD")&amp;"*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"%USERPROFILE%\AppData\Local\Temp\OnboardLogs"\RTDC4011\*4011*20170208* | grep -SE "(Enforcement Action)|(\[TIMEOUT)|(CHR.+\|PRM\|1\|D.+(SWITCH|SIGNAL).+UNKNOWN)" - &gt;&gt; 2017-02-07-UncaughtWiMAX.txt</v>
      </c>
    </row>
    <row r="205" spans="1:91" x14ac:dyDescent="0.25">
      <c r="A205" s="33" t="s">
        <v>659</v>
      </c>
      <c r="B205" s="7">
        <v>4011</v>
      </c>
      <c r="C205" s="21" t="s">
        <v>193</v>
      </c>
      <c r="D205" s="21" t="s">
        <v>776</v>
      </c>
      <c r="E205" s="13">
        <v>42773.791851851849</v>
      </c>
      <c r="F205" s="13">
        <v>42773.793449074074</v>
      </c>
      <c r="G205" s="7">
        <v>1</v>
      </c>
      <c r="H205" s="21" t="s">
        <v>777</v>
      </c>
      <c r="I205" s="13">
        <v>42773.793819444443</v>
      </c>
      <c r="J205" s="7">
        <v>0</v>
      </c>
      <c r="K205" s="98" t="str">
        <f>IF(ISEVEN(B205),(B205-1)&amp;"/"&amp;B205,B205&amp;"/"&amp;(B205+1))</f>
        <v>4011/4012</v>
      </c>
      <c r="L205" s="21" t="str">
        <f>VLOOKUP(A205,'Trips&amp;Operators'!$C$1:$G$99999,5,FALSE)</f>
        <v>CLARK KATHLEEN</v>
      </c>
      <c r="M205" s="6">
        <f>I205-F205</f>
        <v>3.7037036963738501E-4</v>
      </c>
      <c r="N205" s="7">
        <f>24*60*SUM($M205:$M205)</f>
        <v>0.53333333227783442</v>
      </c>
      <c r="O205" s="7"/>
      <c r="P205" s="7"/>
      <c r="Q205" s="22"/>
      <c r="R205" s="22"/>
      <c r="S205" s="31">
        <f>SUM(U205:U205)/IF(AG205="EC",12,1)</f>
        <v>0</v>
      </c>
      <c r="T205" s="46" t="str">
        <f>IF(ISEVEN(LEFT(AD205,4)),"Southbound","NorthBound")</f>
        <v>NorthBound</v>
      </c>
      <c r="U205" s="190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191" t="str">
        <f>"https://d0f6bd738d7f1b3e5a7ca70fe4ff75f0.us-east-1.aws.found.io/app/kibana#/discover/Steve-Slow-Train-Analysis-(2080s-and-2083s)?_g="&amp;"(refreshInterval:(display:Off,pause:!f,section:0,value:0),time:(from:'"&amp;TEXT(E205-1/24,"yyyy-MM-DDThh:mm:ss")&amp;utc_offset&amp;"00"&amp;"',mode:absolute,to:'"&amp;TEXT(I205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205&amp;"%22')),sort:!(Time.ISO8601,asc))"</f>
        <v>https://d0f6bd738d7f1b3e5a7ca70fe4ff75f0.us-east-1.aws.found.io/app/kibana#/discover/Steve-Slow-Train-Analysis-(2080s-and-2083s)?_g=(refreshInterval:(display:Off,pause:!f,section:0,value:0),time:(from:'2017-02-07T18:00:16-0700',mode:absolute,to:'2017-02-07T20:03:06-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W205" s="192" t="str">
        <f>IF(AA205&lt;IF(AG205="EC",23,5.65),"Y","N")</f>
        <v>Y</v>
      </c>
      <c r="X205" s="192">
        <f>VALUE(LEFT(AD205,4))-VALUE(LEFT(AD204,4))</f>
        <v>0</v>
      </c>
      <c r="Y205" s="62">
        <f>RIGHT(D205,LEN(D205)-4)/10000</f>
        <v>3.0411000000000001</v>
      </c>
      <c r="Z205" s="62">
        <f>RIGHT(H205,LEN(H205)-4)/10000</f>
        <v>3.1425999999999998</v>
      </c>
      <c r="AA205" s="62">
        <f>ABS(Z205-Y205)</f>
        <v>0.1014999999999997</v>
      </c>
      <c r="AB205" s="59" t="e">
        <f>VLOOKUP(A205,Enforcements!$C$7:$K$14,8,0)</f>
        <v>#N/A</v>
      </c>
      <c r="AC205" s="55" t="e">
        <f>VLOOKUP(A205,Enforcements!$C$7:$E$14,3,0)</f>
        <v>#N/A</v>
      </c>
      <c r="AD205" s="56" t="str">
        <f>IF(LEN(A205)=6,"0"&amp;A205,A205)</f>
        <v>0303-07</v>
      </c>
      <c r="AE205" s="85" t="str">
        <f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 &amp; aws s3 cp s3://rtdc.mdm.uploadarchive.raw/RTDC4011/ "%USERPROFILE%\AppData\Local\Temp\OnboardLogs"\RTDC4011\2017-02-08 --exclude "*" --recursive --include "*20170208*" &amp; "%USERPROFILE%\Documents\GitHub\mrs-test-scripts\Headless Mode &amp; Sideloading\WalkAndUnGZ.bat" "%USERPROFILE%\AppData\Local\Temp\OnboardLogs"\RTDC4011\2017-02-08</v>
      </c>
      <c r="AF205" s="82" t="str">
        <f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/stypes="app*4011*20170208*" /stext=" 02:.+((SYSTEM_STATE.+slice.+state.+changed )|(ment ac)|(multiple cpu faults)|(system.+state.+changed )|(\[timeout)|(PRM\|1\|D)|(kpr)|(kdp)|(\|lc)|(penalty))" /e /r /s</v>
      </c>
      <c r="AG205" s="1" t="str">
        <f>IFERROR(IF(VALUE(LEFT(AD205,2))&lt;=2,"EC",IF(OR(VALUE(LEFT(AD205,2))=8,VALUE(LEFT(AD205,2))=18),"NW","Other")),"Other")</f>
        <v>Other</v>
      </c>
      <c r="AH205" s="86" t="str">
        <f t="shared" si="9"/>
        <v>"%USERPROFILE%\Documents\GitHub\eaglep3\Utilities\RefineRTDCRunTimes.py" --tripid 303-07 --locoid 4011 --swversion DE.1.0.8.0 --startMP 300:30411 --initTime 2017-02-07T19:00:16 --startdatetime 2017-02-07T19:02:34 --delay 1 --endMP 300:31426 --enddatetime 2017-02-07T19:03:06 --enforcementcount 0 &gt;&gt;C:\Users\stu\Documents\GitHub\eaglep3-reporting\EC\2017-02-07-refined-times.txt</v>
      </c>
      <c r="AI205" s="108" t="str">
        <f t="shared" si="10"/>
        <v>echo {"issue":{"subject":"","project_id":79,"tracker_id":40,"status_id":1,"priority_id":2,"assigned_to_id":23,"start_date":"2017-02-07","description":"","custom_fields":[{"id":1,"name":"Subdivision","value":"Other"},{"id":4,"name":"Milepost","value":"3.1426"},{"id":17,"name":"Train ID","value":"303-07"},{"id":16,"name":"Locomotive ID","value":"4011"},{"id":130,"name":"Impact","value":""},{"id":150,"name":"Time of Event (Mountain Time)","value":"19:03:06"},{"id":151,"name":"Denver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48"/>
      <c r="AK205" s="48"/>
      <c r="AL205" s="48"/>
      <c r="AM205" s="158" t="str">
        <f t="shared" si="11"/>
        <v>start /low /b %USERPROFILE%\Documents\GitHub\eaglep3\Utilities\DownloadLogsFromS3.py --loco 4011 --day 2017-02-07</v>
      </c>
      <c r="AN205" s="167" t="str">
        <f>"grep -SE -B400 ""CHR.+\|PRM\|1\|D.+(SWITCH|SIGNAL).+UNKNOWN"" "&amp;search_path&amp;"\RTDC"&amp;B205&amp;"\*"&amp;B205&amp;"*"&amp;TEXT(AVERAGE(F205,I205)-utc_offset/24,"YYYYMMDD")&amp;"*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"%USERPROFILE%\AppData\Local\Temp\OnboardLogs"\RTDC4011\*4011*20170208* | grep -SE "(Enforcement Action)|(\[TIMEOUT)|(CHR.+\|PRM\|1\|D.+(SWITCH|SIGNAL).+UNKNOWN)" - &gt;&gt; 2017-02-07-UncaughtWiMAX.txt</v>
      </c>
    </row>
    <row r="206" spans="1:91" x14ac:dyDescent="0.25">
      <c r="A206" s="33" t="s">
        <v>500</v>
      </c>
      <c r="B206" s="7">
        <v>4026</v>
      </c>
      <c r="C206" s="21" t="s">
        <v>193</v>
      </c>
      <c r="D206" s="21" t="s">
        <v>778</v>
      </c>
      <c r="E206" s="13">
        <v>42773.14502314815</v>
      </c>
      <c r="F206" s="13">
        <v>42773.14640046296</v>
      </c>
      <c r="G206" s="7">
        <v>1</v>
      </c>
      <c r="H206" s="21" t="s">
        <v>779</v>
      </c>
      <c r="I206" s="13">
        <v>42773.147592592592</v>
      </c>
      <c r="J206" s="7">
        <v>0</v>
      </c>
      <c r="K206" s="98" t="str">
        <f>IF(ISEVEN(B206),(B206-1)&amp;"/"&amp;B206,B206&amp;"/"&amp;(B206+1))</f>
        <v>4025/4026</v>
      </c>
      <c r="L206" s="21" t="str">
        <f>VLOOKUP(A206,'Trips&amp;Operators'!$C$1:$G$99999,5,FALSE)</f>
        <v>MAELZER KURT</v>
      </c>
      <c r="M206" s="6">
        <f>I206-F206</f>
        <v>1.1921296318178065E-3</v>
      </c>
      <c r="N206" s="7">
        <f>24*60*SUM($M206:$M206)</f>
        <v>1.7166666698176414</v>
      </c>
      <c r="O206" s="7"/>
      <c r="P206" s="7"/>
      <c r="Q206" s="22"/>
      <c r="R206" s="22"/>
      <c r="S206" s="31">
        <f>SUM(U206:U206)/IF(AG206="EC",12,1)</f>
        <v>0</v>
      </c>
      <c r="T206" s="46" t="str">
        <f>IF(ISEVEN(LEFT(AD206,4)),"Southbound","NorthBound")</f>
        <v>Southbound</v>
      </c>
      <c r="U206" s="190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191" t="str">
        <f>"https://d0f6bd738d7f1b3e5a7ca70fe4ff75f0.us-east-1.aws.found.io/app/kibana#/discover/Steve-Slow-Train-Analysis-(2080s-and-2083s)?_g="&amp;"(refreshInterval:(display:Off,pause:!f,section:0,value:0),time:(from:'"&amp;TEXT(E206-1/24,"yyyy-MM-DDThh:mm:ss")&amp;utc_offset&amp;"00"&amp;"',mode:absolute,to:'"&amp;TEXT(I206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206&amp;"%22')),sort:!(Time.ISO8601,asc))"</f>
        <v>https://d0f6bd738d7f1b3e5a7ca70fe4ff75f0.us-east-1.aws.found.io/app/kibana#/discover/Steve-Slow-Train-Analysis-(2080s-and-2083s)?_g=(refreshInterval:(display:Off,pause:!f,section:0,value:0),time:(from:'2017-02-07T02:28:50-0700',mode:absolute,to:'2017-02-07T04:32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4026%22')),sort:!(Time.ISO8601,asc))</v>
      </c>
      <c r="W206" s="192" t="str">
        <f>IF(AA206&lt;IF(AG206="EC",23,5.65),"Y","N")</f>
        <v>Y</v>
      </c>
      <c r="X206" s="192">
        <f>VALUE(LEFT(AD206,4))-VALUE(LEFT(AD205,4))</f>
        <v>1</v>
      </c>
      <c r="Y206" s="62">
        <f>RIGHT(D206,LEN(D206)-4)/10000</f>
        <v>2.3035000000000001</v>
      </c>
      <c r="Z206" s="62">
        <f>RIGHT(H206,LEN(H206)-4)/10000</f>
        <v>1.9382999999999999</v>
      </c>
      <c r="AA206" s="62">
        <f>ABS(Z206-Y206)</f>
        <v>0.36520000000000019</v>
      </c>
      <c r="AB206" s="59" t="e">
        <f>VLOOKUP(A206,Enforcements!$C$7:$K$14,8,0)</f>
        <v>#N/A</v>
      </c>
      <c r="AC206" s="55" t="e">
        <f>VLOOKUP(A206,Enforcements!$C$7:$E$14,3,0)</f>
        <v>#N/A</v>
      </c>
      <c r="AD206" s="56" t="str">
        <f>IF(LEN(A206)=6,"0"&amp;A206,A206)</f>
        <v>0304-07</v>
      </c>
      <c r="AE206" s="85" t="str">
        <f>"aws s3 cp "&amp;s3_bucket&amp;"/RTDC"&amp;B206&amp;"/ "&amp;search_path&amp;"\RTDC"&amp;B206&amp;"\"&amp;TEXT(F206,"YYYY-MM-DD")&amp;" --exclude ""*"" --recursive --include ""*"&amp;TEXT(F206,"YYYYMMDD")&amp;"*"" &amp; """&amp;walkandungz&amp;""" "&amp;search_path&amp;"\RTDC"&amp;B206&amp;"\"&amp;TEXT(F206,"YYYY-MM-DD")
&amp;" &amp; "&amp;"aws s3 cp "&amp;s3_bucket&amp;"/RTDC"&amp;B206&amp;"/ "&amp;search_path&amp;"\RTDC"&amp;B206&amp;"\"&amp;TEXT(F206+1,"YYYY-MM-DD")&amp;" --exclude ""*"" --recursive --include ""*"&amp;TEXT(F206+1,"YYYYMMDD")&amp;"*"" &amp; """&amp;walkandungz&amp;""" "&amp;search_path&amp;"\RTDC"&amp;B206&amp;"\"&amp;TEXT(F206+1,"YYYY-MM-DD")</f>
        <v>aws s3 cp s3://rtdc.mdm.uploadarchive.raw/RTDC4026/ "%USERPROFILE%\AppData\Local\Temp\OnboardLogs"\RTDC4026\2017-02-07 --exclude "*" --recursive --include "*20170207*" &amp; "%USERPROFILE%\Documents\GitHub\mrs-test-scripts\Headless Mode &amp; Sideloading\WalkAndUnGZ.bat" "%USERPROFILE%\AppData\Local\Temp\OnboardLogs"\RTDC4026\2017-02-07 &amp; aws s3 cp s3://rtdc.mdm.uploadarchive.raw/RTDC4026/ "%USERPROFILE%\AppData\Local\Temp\OnboardLogs"\RTDC4026\2017-02-08 --exclude "*" --recursive --include "*20170208*" &amp; "%USERPROFILE%\Documents\GitHub\mrs-test-scripts\Headless Mode &amp; Sideloading\WalkAndUnGZ.bat" "%USERPROFILE%\AppData\Local\Temp\OnboardLogs"\RTDC4026\2017-02-08</v>
      </c>
      <c r="AF206" s="82" t="str">
        <f>astrogrep_path&amp;" /spath="&amp;search_path&amp;" /stypes=""app*"&amp;B206&amp;"*"&amp;TEXT(I206-utc_offset/24,"YYYYMMDD")&amp;"*"" /stext="" "&amp;TEXT(I206-utc_offset/24,"HH")&amp;search_regexp&amp;""" /e /r /s"</f>
        <v>"C:\Program Files (x86)\AstroGrep\AstroGrep.exe" /spath="%USERPROFILE%\AppData\Local\Temp\OnboardLogs" /stypes="app*4026*20170207*" /stext=" 10:.+((SYSTEM_STATE.+slice.+state.+changed )|(ment ac)|(multiple cpu faults)|(system.+state.+changed )|(\[timeout)|(PRM\|1\|D)|(kpr)|(kdp)|(\|lc)|(penalty))" /e /r /s</v>
      </c>
      <c r="AG206" s="1" t="str">
        <f>IFERROR(IF(VALUE(LEFT(AD206,2))&lt;=2,"EC",IF(OR(VALUE(LEFT(AD206,2))=8,VALUE(LEFT(AD206,2))=18),"NW","Other")),"Other")</f>
        <v>Other</v>
      </c>
      <c r="AH206" s="86" t="str">
        <f t="shared" ref="AH206:AH231" si="12">refinertdcruntimes&amp;" --tripid "&amp;A206&amp;" --locoid "&amp;B206&amp;" --swversion "&amp;C206&amp;" --startMP "&amp;D206&amp;" --initTime "&amp;TEXT(E206,"yyyy-mm-ddTHH:MM:SS")&amp;" --startdatetime "&amp;TEXT(F206,"yyyy-mm-ddTHH:MM:SS")&amp;" --delay "&amp;G206&amp;" --endMP "&amp;H206&amp;" --enddatetime "&amp;TEXT(I206,"yyyy-mm-ddTHH:MM:SS")&amp;" --enforcementcount "&amp;J206&amp;IF(outputrefinedruntimes," &gt;&gt;"&amp;RefinedRTDCRunTimesOutputFile,"")</f>
        <v>"%USERPROFILE%\Documents\GitHub\eaglep3\Utilities\RefineRTDCRunTimes.py" --tripid 304-07 --locoid 4026 --swversion DE.1.0.8.0 --startMP 300:23035 --initTime 2017-02-07T03:28:50 --startdatetime 2017-02-07T03:30:49 --delay 1 --endMP 300:19383 --enddatetime 2017-02-07T03:32:32 --enforcementcount 0 &gt;&gt;C:\Users\stu\Documents\GitHub\eaglep3-reporting\EC\2017-02-07-refined-times.txt</v>
      </c>
      <c r="AI206" s="108" t="str">
        <f t="shared" ref="AI206:AI231" si="13">"echo {""issue"":{""subject"":"""&amp;R206&amp;""",""project_id"":79,""tracker_id"":40,""status_id"":"&amp;redmine_status&amp;",""priority_id"":"&amp;redmine_priority&amp;",""assigned_to_id"":"&amp;redmine_assignee&amp;",""start_date"":"""&amp;TEXT(I206,"YYYY-mm-dd")&amp;""",""description"":"""&amp;AJ206&amp;""",""custom_fields"":[{""id"":1,""name"":""Subdivision"",""value"":"""&amp;AG206&amp;"""},{""id"":4,""name"":""Milepost"",""value"":"""&amp;Z206&amp;"""},{""id"":17,""name"":""Train ID"",""value"":"""&amp;A206&amp;"""},{""id"":16,""name"":""Locomotive ID"",""value"":"""&amp;B206&amp;"""},{""id"":130,""name"":""Impact"",""value"":"""&amp;AK206&amp;"""},{""id"":150,""name"":""Time of Event (Mountain Time)"",""value"":"""&amp;TEXT(I206,"hh:mm:ss")&amp;"""},{""id"":151,""name"":""Denver Issue ID"",""value"":"""&amp;"""},{""id"":178,""name"":""Operational Impact"",""value"":"""&amp;redmine_op_impact&amp;"""},{""id"":179,""name"":""Denver Segment Assigned"",""value"":"""&amp;AL206&amp;"""}]}}"&amp;"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{"issue":{"subject":"","project_id":79,"tracker_id":40,"status_id":1,"priority_id":2,"assigned_to_id":23,"start_date":"2017-02-07","description":"","custom_fields":[{"id":1,"name":"Subdivision","value":"Other"},{"id":4,"name":"Milepost","value":"1.9383"},{"id":17,"name":"Train ID","value":"304-07"},{"id":16,"name":"Locomotive ID","value":"4026"},{"id":130,"name":"Impact","value":""},{"id":150,"name":"Time of Event (Mountain Time)","value":"03:32:32"},{"id":151,"name":"Denver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48"/>
      <c r="AK206" s="48"/>
      <c r="AL206" s="48"/>
      <c r="AM206" s="158" t="str">
        <f t="shared" ref="AM206:AM231" si="14">"start /low /b "&amp;dls3logs&amp;" --loco "&amp;B206&amp;" --day "&amp;TEXT(F206,"YYYY-MM-DD")</f>
        <v>start /low /b %USERPROFILE%\Documents\GitHub\eaglep3\Utilities\DownloadLogsFromS3.py --loco 4026 --day 2017-02-07</v>
      </c>
      <c r="AN206" s="167" t="str">
        <f>"grep -SE -B400 ""CHR.+\|PRM\|1\|D.+(SWITCH|SIGNAL).+UNKNOWN"" "&amp;search_path&amp;"\RTDC"&amp;B206&amp;"\*"&amp;B206&amp;"*"&amp;TEXT(AVERAGE(F206,I206)-utc_offset/24,"YYYYMMDD")&amp;"*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"%USERPROFILE%\AppData\Local\Temp\OnboardLogs"\RTDC4026\*4026*20170207* | grep -SE "(Enforcement Action)|(\[TIMEOUT)|(CHR.+\|PRM\|1\|D.+(SWITCH|SIGNAL).+UNKNOWN)" - &gt;&gt; 2017-02-07-UncaughtWiMAX.txt</v>
      </c>
    </row>
    <row r="207" spans="1:91" x14ac:dyDescent="0.25">
      <c r="A207" s="33" t="s">
        <v>664</v>
      </c>
      <c r="B207" s="7">
        <v>4038</v>
      </c>
      <c r="C207" s="21" t="s">
        <v>193</v>
      </c>
      <c r="D207" s="21" t="s">
        <v>780</v>
      </c>
      <c r="E207" s="13">
        <v>42773.799166666664</v>
      </c>
      <c r="F207" s="13">
        <v>42773.800752314812</v>
      </c>
      <c r="G207" s="7">
        <v>1</v>
      </c>
      <c r="H207" s="21" t="s">
        <v>781</v>
      </c>
      <c r="I207" s="13">
        <v>42773.809224537035</v>
      </c>
      <c r="J207" s="7">
        <v>0</v>
      </c>
      <c r="K207" s="98" t="str">
        <f>IF(ISEVEN(B207),(B207-1)&amp;"/"&amp;B207,B207&amp;"/"&amp;(B207+1))</f>
        <v>4037/4038</v>
      </c>
      <c r="L207" s="21" t="str">
        <f>VLOOKUP(A207,'Trips&amp;Operators'!$C$1:$G$99999,5,FALSE)</f>
        <v>BERLING GARY</v>
      </c>
      <c r="M207" s="6">
        <f>I207-F207</f>
        <v>8.4722222236450762E-3</v>
      </c>
      <c r="N207" s="7">
        <f>24*60*SUM($M207:$M207)</f>
        <v>12.20000000204891</v>
      </c>
      <c r="O207" s="7"/>
      <c r="P207" s="7"/>
      <c r="Q207" s="22"/>
      <c r="R207" s="22"/>
      <c r="S207" s="31">
        <f>SUM(U207:U207)/IF(AG207="EC",12,1)</f>
        <v>1</v>
      </c>
      <c r="T207" s="46" t="str">
        <f>IF(ISEVEN(LEFT(AD207,4)),"Southbound","NorthBound")</f>
        <v>NorthBound</v>
      </c>
      <c r="U207" s="190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1</v>
      </c>
      <c r="V207" s="191" t="str">
        <f>"https://d0f6bd738d7f1b3e5a7ca70fe4ff75f0.us-east-1.aws.found.io/app/kibana#/discover/Steve-Slow-Train-Analysis-(2080s-and-2083s)?_g="&amp;"(refreshInterval:(display:Off,pause:!f,section:0,value:0),time:(from:'"&amp;TEXT(E207-1/24,"yyyy-MM-DDThh:mm:ss")&amp;utc_offset&amp;"00"&amp;"',mode:absolute,to:'"&amp;TEXT(I207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207&amp;"%22')),sort:!(Time.ISO8601,asc))"</f>
        <v>https://d0f6bd738d7f1b3e5a7ca70fe4ff75f0.us-east-1.aws.found.io/app/kibana#/discover/Steve-Slow-Train-Analysis-(2080s-and-2083s)?_g=(refreshInterval:(display:Off,pause:!f,section:0,value:0),time:(from:'2017-02-07T18:10:48-0700',mode:absolute,to:'2017-02-07T20:25:17-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W207" s="192" t="str">
        <f>IF(AA207&lt;IF(AG207="EC",23,5.65),"Y","N")</f>
        <v>Y</v>
      </c>
      <c r="X207" s="192">
        <f>VALUE(LEFT(AD207,4))-VALUE(LEFT(AD206,4))</f>
        <v>1</v>
      </c>
      <c r="Y207" s="62">
        <f>RIGHT(D207,LEN(D207)-4)/10000</f>
        <v>3.8100000000000002E-2</v>
      </c>
      <c r="Z207" s="62">
        <f>RIGHT(H207,LEN(H207)-4)/10000</f>
        <v>2.3313999999999999</v>
      </c>
      <c r="AA207" s="62">
        <f>ABS(Z207-Y207)</f>
        <v>2.2932999999999999</v>
      </c>
      <c r="AB207" s="59" t="e">
        <f>VLOOKUP(A207,Enforcements!$C$7:$K$14,8,0)</f>
        <v>#N/A</v>
      </c>
      <c r="AC207" s="55" t="e">
        <f>VLOOKUP(A207,Enforcements!$C$7:$E$14,3,0)</f>
        <v>#N/A</v>
      </c>
      <c r="AD207" s="56" t="str">
        <f>IF(LEN(A207)=6,"0"&amp;A207,A207)</f>
        <v>0305-07</v>
      </c>
      <c r="AE207" s="85" t="str">
        <f>"aws s3 cp "&amp;s3_bucket&amp;"/RTDC"&amp;B207&amp;"/ "&amp;search_path&amp;"\RTDC"&amp;B207&amp;"\"&amp;TEXT(F207,"YYYY-MM-DD")&amp;" --exclude ""*"" --recursive --include ""*"&amp;TEXT(F207,"YYYYMMDD")&amp;"*"" &amp; """&amp;walkandungz&amp;""" "&amp;search_path&amp;"\RTDC"&amp;B207&amp;"\"&amp;TEXT(F207,"YYYY-MM-DD")
&amp;" &amp; "&amp;"aws s3 cp "&amp;s3_bucket&amp;"/RTDC"&amp;B207&amp;"/ "&amp;search_path&amp;"\RTDC"&amp;B207&amp;"\"&amp;TEXT(F207+1,"YYYY-MM-DD")&amp;" --exclude ""*"" --recursive --include ""*"&amp;TEXT(F207+1,"YYYYMMDD")&amp;"*"" &amp; """&amp;walkandungz&amp;""" "&amp;search_path&amp;"\RTDC"&amp;B207&amp;"\"&amp;TEXT(F207+1,"YYYY-MM-DD")</f>
        <v>aws s3 cp s3://rtdc.mdm.uploadarchive.raw/RTDC4038/ "%USERPROFILE%\AppData\Local\Temp\OnboardLogs"\RTDC4038\2017-02-07 --exclude "*" --recursive --include "*20170207*" &amp; "%USERPROFILE%\Documents\GitHub\mrs-test-scripts\Headless Mode &amp; Sideloading\WalkAndUnGZ.bat" "%USERPROFILE%\AppData\Local\Temp\OnboardLogs"\RTDC4038\2017-02-07 &amp; aws s3 cp s3://rtdc.mdm.uploadarchive.raw/RTDC4038/ "%USERPROFILE%\AppData\Local\Temp\OnboardLogs"\RTDC4038\2017-02-08 --exclude "*" --recursive --include "*20170208*" &amp; "%USERPROFILE%\Documents\GitHub\mrs-test-scripts\Headless Mode &amp; Sideloading\WalkAndUnGZ.bat" "%USERPROFILE%\AppData\Local\Temp\OnboardLogs"\RTDC4038\2017-02-08</v>
      </c>
      <c r="AF207" s="82" t="str">
        <f>astrogrep_path&amp;" /spath="&amp;search_path&amp;" /stypes=""app*"&amp;B207&amp;"*"&amp;TEXT(I207-utc_offset/24,"YYYYMMDD")&amp;"*"" /stext="" "&amp;TEXT(I207-utc_offset/24,"HH")&amp;search_regexp&amp;""" /e /r /s"</f>
        <v>"C:\Program Files (x86)\AstroGrep\AstroGrep.exe" /spath="%USERPROFILE%\AppData\Local\Temp\OnboardLogs" /stypes="app*4038*20170208*" /stext=" 02:.+((SYSTEM_STATE.+slice.+state.+changed )|(ment ac)|(multiple cpu faults)|(system.+state.+changed )|(\[timeout)|(PRM\|1\|D)|(kpr)|(kdp)|(\|lc)|(penalty))" /e /r /s</v>
      </c>
      <c r="AG207" s="1" t="str">
        <f>IFERROR(IF(VALUE(LEFT(AD207,2))&lt;=2,"EC",IF(OR(VALUE(LEFT(AD207,2))=8,VALUE(LEFT(AD207,2))=18),"NW","Other")),"Other")</f>
        <v>Other</v>
      </c>
      <c r="AH207" s="86" t="str">
        <f t="shared" si="12"/>
        <v>"%USERPROFILE%\Documents\GitHub\eaglep3\Utilities\RefineRTDCRunTimes.py" --tripid 305-07 --locoid 4038 --swversion DE.1.0.8.0 --startMP 204:381 --initTime 2017-02-07T19:10:48 --startdatetime 2017-02-07T19:13:05 --delay 1 --endMP 300:23314 --enddatetime 2017-02-07T19:25:17 --enforcementcount 0 &gt;&gt;C:\Users\stu\Documents\GitHub\eaglep3-reporting\EC\2017-02-07-refined-times.txt</v>
      </c>
      <c r="AI207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{"issue":{"subject":"","project_id":79,"tracker_id":40,"status_id":1,"priority_id":2,"assigned_to_id":23,"start_date":"2017-02-07","description":"","custom_fields":[{"id":1,"name":"Subdivision","value":"Other"},{"id":4,"name":"Milepost","value":"2.3314"},{"id":17,"name":"Train ID","value":"305-07"},{"id":16,"name":"Locomotive ID","value":"4038"},{"id":130,"name":"Impact","value":""},{"id":150,"name":"Time of Event (Mountain Time)","value":"19:25:17"},{"id":151,"name":"Denver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48"/>
      <c r="AK207" s="48"/>
      <c r="AL207" s="48"/>
      <c r="AM207" s="158" t="str">
        <f t="shared" si="14"/>
        <v>start /low /b %USERPROFILE%\Documents\GitHub\eaglep3\Utilities\DownloadLogsFromS3.py --loco 4038 --day 2017-02-07</v>
      </c>
      <c r="AN207" s="167" t="str">
        <f>"grep -SE -B400 ""CHR.+\|PRM\|1\|D.+(SWITCH|SIGNAL).+UNKNOWN"" "&amp;search_path&amp;"\RTDC"&amp;B207&amp;"\*"&amp;B207&amp;"*"&amp;TEXT(AVERAGE(F207,I207)-utc_offset/24,"YYYYMMDD")&amp;"*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"%USERPROFILE%\AppData\Local\Temp\OnboardLogs"\RTDC4038\*4038*20170208* | grep -SE "(Enforcement Action)|(\[TIMEOUT)|(CHR.+\|PRM\|1\|D.+(SWITCH|SIGNAL).+UNKNOWN)" - &gt;&gt; 2017-02-07-UncaughtWiMAX.txt</v>
      </c>
    </row>
    <row r="208" spans="1:91" x14ac:dyDescent="0.25">
      <c r="A208" s="33" t="s">
        <v>667</v>
      </c>
      <c r="B208" s="7">
        <v>4025</v>
      </c>
      <c r="C208" s="21" t="s">
        <v>193</v>
      </c>
      <c r="D208" s="21" t="s">
        <v>306</v>
      </c>
      <c r="E208" s="13">
        <v>42773.816006944442</v>
      </c>
      <c r="F208" s="13">
        <v>42773.818969907406</v>
      </c>
      <c r="G208" s="7">
        <v>1</v>
      </c>
      <c r="H208" s="21" t="s">
        <v>323</v>
      </c>
      <c r="I208" s="13">
        <v>42773.824791666666</v>
      </c>
      <c r="J208" s="7">
        <v>0</v>
      </c>
      <c r="K208" s="98" t="str">
        <f>IF(ISEVEN(B208),(B208-1)&amp;"/"&amp;B208,B208&amp;"/"&amp;(B208+1))</f>
        <v>4025/4026</v>
      </c>
      <c r="L208" s="21" t="str">
        <f>VLOOKUP(A208,'Trips&amp;Operators'!$C$1:$G$99999,5,FALSE)</f>
        <v>BRANNON JEFFREY</v>
      </c>
      <c r="M208" s="6">
        <f>I208-F208</f>
        <v>5.8217592595610768E-3</v>
      </c>
      <c r="N208" s="7">
        <f>24*60*SUM($M208:$M208)</f>
        <v>8.3833333337679505</v>
      </c>
      <c r="O208" s="7"/>
      <c r="P208" s="7"/>
      <c r="Q208" s="22"/>
      <c r="R208" s="22"/>
      <c r="S208" s="31">
        <f>SUM(U208:U208)/IF(AG208="EC",12,1)</f>
        <v>1</v>
      </c>
      <c r="T208" s="46" t="str">
        <f>IF(ISEVEN(LEFT(AD208,4)),"Southbound","NorthBound")</f>
        <v>NorthBound</v>
      </c>
      <c r="U208" s="190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1</v>
      </c>
      <c r="V208" s="191" t="str">
        <f>"https://d0f6bd738d7f1b3e5a7ca70fe4ff75f0.us-east-1.aws.found.io/app/kibana#/discover/Steve-Slow-Train-Analysis-(2080s-and-2083s)?_g="&amp;"(refreshInterval:(display:Off,pause:!f,section:0,value:0),time:(from:'"&amp;TEXT(E208-1/24,"yyyy-MM-DDThh:mm:ss")&amp;utc_offset&amp;"00"&amp;"',mode:absolute,to:'"&amp;TEXT(I208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208&amp;"%22')),sort:!(Time.ISO8601,asc))"</f>
        <v>https://d0f6bd738d7f1b3e5a7ca70fe4ff75f0.us-east-1.aws.found.io/app/kibana#/discover/Steve-Slow-Train-Analysis-(2080s-and-2083s)?_g=(refreshInterval:(display:Off,pause:!f,section:0,value:0),time:(from:'2017-02-07T18:35:03-0700',mode:absolute,to:'2017-02-07T20:47:42-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W208" s="192" t="str">
        <f>IF(AA208&lt;IF(AG208="EC",23,5.65),"Y","N")</f>
        <v>Y</v>
      </c>
      <c r="X208" s="192">
        <f>VALUE(LEFT(AD208,4))-VALUE(LEFT(AD207,4))</f>
        <v>2</v>
      </c>
      <c r="Y208" s="62">
        <f>RIGHT(D208,LEN(D208)-4)/10000</f>
        <v>4.3700000000000003E-2</v>
      </c>
      <c r="Z208" s="62">
        <f>RIGHT(H208,LEN(H208)-4)/10000</f>
        <v>2.3346</v>
      </c>
      <c r="AA208" s="62">
        <f>ABS(Z208-Y208)</f>
        <v>2.2909000000000002</v>
      </c>
      <c r="AB208" s="59" t="e">
        <f>VLOOKUP(A208,Enforcements!$C$7:$K$14,8,0)</f>
        <v>#N/A</v>
      </c>
      <c r="AC208" s="55" t="e">
        <f>VLOOKUP(A208,Enforcements!$C$7:$E$14,3,0)</f>
        <v>#N/A</v>
      </c>
      <c r="AD208" s="56" t="str">
        <f>IF(LEN(A208)=6,"0"&amp;A208,A208)</f>
        <v>0307-07</v>
      </c>
      <c r="AE208" s="85" t="str">
        <f>"aws s3 cp "&amp;s3_bucket&amp;"/RTDC"&amp;B208&amp;"/ "&amp;search_path&amp;"\RTDC"&amp;B208&amp;"\"&amp;TEXT(F208,"YYYY-MM-DD")&amp;" --exclude ""*"" --recursive --include ""*"&amp;TEXT(F208,"YYYYMMDD")&amp;"*"" &amp; """&amp;walkandungz&amp;""" "&amp;search_path&amp;"\RTDC"&amp;B208&amp;"\"&amp;TEXT(F208,"YYYY-MM-DD")
&amp;" &amp; "&amp;"aws s3 cp "&amp;s3_bucket&amp;"/RTDC"&amp;B208&amp;"/ "&amp;search_path&amp;"\RTDC"&amp;B208&amp;"\"&amp;TEXT(F208+1,"YYYY-MM-DD")&amp;" --exclude ""*"" --recursive --include ""*"&amp;TEXT(F208+1,"YYYYMMDD")&amp;"*"" &amp; """&amp;walkandungz&amp;""" "&amp;search_path&amp;"\RTDC"&amp;B208&amp;"\"&amp;TEXT(F208+1,"YYYY-MM-DD")</f>
        <v>aws s3 cp s3://rtdc.mdm.uploadarchive.raw/RTDC4025/ "%USERPROFILE%\AppData\Local\Temp\OnboardLogs"\RTDC4025\2017-02-07 --exclude "*" --recursive --include "*20170207*" &amp; "%USERPROFILE%\Documents\GitHub\mrs-test-scripts\Headless Mode &amp; Sideloading\WalkAndUnGZ.bat" "%USERPROFILE%\AppData\Local\Temp\OnboardLogs"\RTDC4025\2017-02-07 &amp; aws s3 cp s3://rtdc.mdm.uploadarchive.raw/RTDC4025/ "%USERPROFILE%\AppData\Local\Temp\OnboardLogs"\RTDC4025\2017-02-08 --exclude "*" --recursive --include "*20170208*" &amp; "%USERPROFILE%\Documents\GitHub\mrs-test-scripts\Headless Mode &amp; Sideloading\WalkAndUnGZ.bat" "%USERPROFILE%\AppData\Local\Temp\OnboardLogs"\RTDC4025\2017-02-08</v>
      </c>
      <c r="AF208" s="82" t="str">
        <f>astrogrep_path&amp;" /spath="&amp;search_path&amp;" /stypes=""app*"&amp;B208&amp;"*"&amp;TEXT(I208-utc_offset/24,"YYYYMMDD")&amp;"*"" /stext="" "&amp;TEXT(I208-utc_offset/24,"HH")&amp;search_regexp&amp;""" /e /r /s"</f>
        <v>"C:\Program Files (x86)\AstroGrep\AstroGrep.exe" /spath="%USERPROFILE%\AppData\Local\Temp\OnboardLogs" /stypes="app*4025*20170208*" /stext=" 02:.+((SYSTEM_STATE.+slice.+state.+changed )|(ment ac)|(multiple cpu faults)|(system.+state.+changed )|(\[timeout)|(PRM\|1\|D)|(kpr)|(kdp)|(\|lc)|(penalty))" /e /r /s</v>
      </c>
      <c r="AG208" s="1" t="str">
        <f>IFERROR(IF(VALUE(LEFT(AD208,2))&lt;=2,"EC",IF(OR(VALUE(LEFT(AD208,2))=8,VALUE(LEFT(AD208,2))=18),"NW","Other")),"Other")</f>
        <v>Other</v>
      </c>
      <c r="AH208" s="86" t="str">
        <f t="shared" si="12"/>
        <v>"%USERPROFILE%\Documents\GitHub\eaglep3\Utilities\RefineRTDCRunTimes.py" --tripid 307-07 --locoid 4025 --swversion DE.1.0.8.0 --startMP 204:437 --initTime 2017-02-07T19:35:03 --startdatetime 2017-02-07T19:39:19 --delay 1 --endMP 300:23346 --enddatetime 2017-02-07T19:47:42 --enforcementcount 0 &gt;&gt;C:\Users\stu\Documents\GitHub\eaglep3-reporting\EC\2017-02-07-refined-times.txt</v>
      </c>
      <c r="AI208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{"issue":{"subject":"","project_id":79,"tracker_id":40,"status_id":1,"priority_id":2,"assigned_to_id":23,"start_date":"2017-02-07","description":"","custom_fields":[{"id":1,"name":"Subdivision","value":"Other"},{"id":4,"name":"Milepost","value":"2.3346"},{"id":17,"name":"Train ID","value":"307-07"},{"id":16,"name":"Locomotive ID","value":"4025"},{"id":130,"name":"Impact","value":""},{"id":150,"name":"Time of Event (Mountain Time)","value":"19:47:42"},{"id":151,"name":"Denver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48"/>
      <c r="AK208" s="48"/>
      <c r="AL208" s="48"/>
      <c r="AM208" s="158" t="str">
        <f t="shared" si="14"/>
        <v>start /low /b %USERPROFILE%\Documents\GitHub\eaglep3\Utilities\DownloadLogsFromS3.py --loco 4025 --day 2017-02-07</v>
      </c>
      <c r="AN208" s="167" t="str">
        <f>"grep -SE -B400 ""CHR.+\|PRM\|1\|D.+(SWITCH|SIGNAL).+UNKNOWN"" "&amp;search_path&amp;"\RTDC"&amp;B208&amp;"\*"&amp;B208&amp;"*"&amp;TEXT(AVERAGE(F208,I208)-utc_offset/24,"YYYYMMDD")&amp;"*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"%USERPROFILE%\AppData\Local\Temp\OnboardLogs"\RTDC4025\*4025*20170208* | grep -SE "(Enforcement Action)|(\[TIMEOUT)|(CHR.+\|PRM\|1\|D.+(SWITCH|SIGNAL).+UNKNOWN)" - &gt;&gt; 2017-02-07-UncaughtWiMAX.txt</v>
      </c>
    </row>
    <row r="209" spans="1:40" x14ac:dyDescent="0.25">
      <c r="A209" s="33" t="s">
        <v>695</v>
      </c>
      <c r="B209" s="7">
        <v>4031</v>
      </c>
      <c r="C209" s="21" t="s">
        <v>193</v>
      </c>
      <c r="D209" s="21" t="s">
        <v>782</v>
      </c>
      <c r="E209" s="13">
        <v>42774.047407407408</v>
      </c>
      <c r="F209" s="13">
        <v>42774.049016203702</v>
      </c>
      <c r="G209" s="7">
        <v>1</v>
      </c>
      <c r="H209" s="21" t="s">
        <v>783</v>
      </c>
      <c r="I209" s="13">
        <v>42774.055173611108</v>
      </c>
      <c r="J209" s="7">
        <v>0</v>
      </c>
      <c r="K209" s="98" t="str">
        <f>IF(ISEVEN(B209),(B209-1)&amp;"/"&amp;B209,B209&amp;"/"&amp;(B209+1))</f>
        <v>4031/4032</v>
      </c>
      <c r="L209" s="21" t="str">
        <f>VLOOKUP(A209,'Trips&amp;Operators'!$C$1:$G$99999,5,FALSE)</f>
        <v>SAFIEF AEIMEN</v>
      </c>
      <c r="M209" s="6">
        <f>I209-F209</f>
        <v>6.1574074061354622E-3</v>
      </c>
      <c r="N209" s="7">
        <f>24*60*SUM($M209:$M209)</f>
        <v>8.8666666648350656</v>
      </c>
      <c r="O209" s="7"/>
      <c r="P209" s="7"/>
      <c r="Q209" s="22"/>
      <c r="R209" s="22"/>
      <c r="S209" s="31">
        <f>SUM(U209:U209)/IF(AG209="EC",12,1)</f>
        <v>1</v>
      </c>
      <c r="T209" s="46" t="str">
        <f>IF(ISEVEN(LEFT(AD209,4)),"Southbound","NorthBound")</f>
        <v>NorthBound</v>
      </c>
      <c r="U209" s="190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1</v>
      </c>
      <c r="V209" s="191" t="str">
        <f>"https://d0f6bd738d7f1b3e5a7ca70fe4ff75f0.us-east-1.aws.found.io/app/kibana#/discover/Steve-Slow-Train-Analysis-(2080s-and-2083s)?_g="&amp;"(refreshInterval:(display:Off,pause:!f,section:0,value:0),time:(from:'"&amp;TEXT(E209-1/24,"yyyy-MM-DDThh:mm:ss")&amp;utc_offset&amp;"00"&amp;"',mode:absolute,to:'"&amp;TEXT(I209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209&amp;"%22')),sort:!(Time.ISO8601,asc))"</f>
        <v>https://d0f6bd738d7f1b3e5a7ca70fe4ff75f0.us-east-1.aws.found.io/app/kibana#/discover/Steve-Slow-Train-Analysis-(2080s-and-2083s)?_g=(refreshInterval:(display:Off,pause:!f,section:0,value:0),time:(from:'2017-02-08T00:08:16-0700',mode:absolute,to:'2017-02-08T02:19:27-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W209" s="192" t="str">
        <f>IF(AA209&lt;IF(AG209="EC",23,5.65),"Y","N")</f>
        <v>Y</v>
      </c>
      <c r="X209" s="192">
        <f>VALUE(LEFT(AD209,4))-VALUE(LEFT(AD208,4))</f>
        <v>2</v>
      </c>
      <c r="Y209" s="62">
        <f>RIGHT(D209,LEN(D209)-4)/10000</f>
        <v>0.107</v>
      </c>
      <c r="Z209" s="62">
        <f>RIGHT(H209,LEN(H209)-4)/10000</f>
        <v>2.3126000000000002</v>
      </c>
      <c r="AA209" s="62">
        <f>ABS(Z209-Y209)</f>
        <v>2.2056</v>
      </c>
      <c r="AB209" s="59" t="e">
        <f>VLOOKUP(A209,Enforcements!$C$7:$K$14,8,0)</f>
        <v>#N/A</v>
      </c>
      <c r="AC209" s="55" t="e">
        <f>VLOOKUP(A209,Enforcements!$C$7:$E$14,3,0)</f>
        <v>#N/A</v>
      </c>
      <c r="AD209" s="56" t="str">
        <f>IF(LEN(A209)=6,"0"&amp;A209,A209)</f>
        <v>0309-07</v>
      </c>
      <c r="AE209" s="85" t="str">
        <f>"aws s3 cp "&amp;s3_bucket&amp;"/RTDC"&amp;B209&amp;"/ "&amp;search_path&amp;"\RTDC"&amp;B209&amp;"\"&amp;TEXT(F209,"YYYY-MM-DD")&amp;" --exclude ""*"" --recursive --include ""*"&amp;TEXT(F209,"YYYYMMDD")&amp;"*"" &amp; """&amp;walkandungz&amp;""" "&amp;search_path&amp;"\RTDC"&amp;B209&amp;"\"&amp;TEXT(F209,"YYYY-MM-DD")
&amp;" &amp; "&amp;"aws s3 cp "&amp;s3_bucket&amp;"/RTDC"&amp;B209&amp;"/ "&amp;search_path&amp;"\RTDC"&amp;B209&amp;"\"&amp;TEXT(F209+1,"YYYY-MM-DD")&amp;" --exclude ""*"" --recursive --include ""*"&amp;TEXT(F209+1,"YYYYMMDD")&amp;"*"" &amp; """&amp;walkandungz&amp;""" "&amp;search_path&amp;"\RTDC"&amp;B209&amp;"\"&amp;TEXT(F209+1,"YYYY-MM-DD")</f>
        <v>aws s3 cp s3://rtdc.mdm.uploadarchive.raw/RTDC4031/ "%USERPROFILE%\AppData\Local\Temp\OnboardLogs"\RTDC4031\2017-02-08 --exclude "*" --recursive --include "*20170208*" &amp; "%USERPROFILE%\Documents\GitHub\mrs-test-scripts\Headless Mode &amp; Sideloading\WalkAndUnGZ.bat" "%USERPROFILE%\AppData\Local\Temp\OnboardLogs"\RTDC4031\2017-02-08 &amp; aws s3 cp s3://rtdc.mdm.uploadarchive.raw/RTDC4031/ "%USERPROFILE%\AppData\Local\Temp\OnboardLogs"\RTDC4031\2017-02-09 --exclude "*" --recursive --include "*20170209*" &amp; "%USERPROFILE%\Documents\GitHub\mrs-test-scripts\Headless Mode &amp; Sideloading\WalkAndUnGZ.bat" "%USERPROFILE%\AppData\Local\Temp\OnboardLogs"\RTDC4031\2017-02-09</v>
      </c>
      <c r="AF209" s="82" t="str">
        <f>astrogrep_path&amp;" /spath="&amp;search_path&amp;" /stypes=""app*"&amp;B209&amp;"*"&amp;TEXT(I209-utc_offset/24,"YYYYMMDD")&amp;"*"" /stext="" "&amp;TEXT(I209-utc_offset/24,"HH")&amp;search_regexp&amp;""" /e /r /s"</f>
        <v>"C:\Program Files (x86)\AstroGrep\AstroGrep.exe" /spath="%USERPROFILE%\AppData\Local\Temp\OnboardLogs" /stypes="app*4031*20170208*" /stext=" 08:.+((SYSTEM_STATE.+slice.+state.+changed )|(ment ac)|(multiple cpu faults)|(system.+state.+changed )|(\[timeout)|(PRM\|1\|D)|(kpr)|(kdp)|(\|lc)|(penalty))" /e /r /s</v>
      </c>
      <c r="AG209" s="1" t="str">
        <f>IFERROR(IF(VALUE(LEFT(AD209,2))&lt;=2,"EC",IF(OR(VALUE(LEFT(AD209,2))=8,VALUE(LEFT(AD209,2))=18),"NW","Other")),"Other")</f>
        <v>Other</v>
      </c>
      <c r="AH209" s="86" t="str">
        <f t="shared" si="12"/>
        <v>"%USERPROFILE%\Documents\GitHub\eaglep3\Utilities\RefineRTDCRunTimes.py" --tripid 309-07 --locoid 4031 --swversion DE.1.0.8.0 --startMP 204:1070 --initTime 2017-02-08T01:08:16 --startdatetime 2017-02-08T01:10:35 --delay 1 --endMP 300:23126 --enddatetime 2017-02-08T01:19:27 --enforcementcount 0 &gt;&gt;C:\Users\stu\Documents\GitHub\eaglep3-reporting\EC\2017-02-07-refined-times.txt</v>
      </c>
      <c r="AI209" s="108" t="str">
        <f t="shared" si="13"/>
        <v>echo {"issue":{"subject":"","project_id":79,"tracker_id":40,"status_id":1,"priority_id":2,"assigned_to_id":23,"start_date":"2017-02-08","description":"","custom_fields":[{"id":1,"name":"Subdivision","value":"Other"},{"id":4,"name":"Milepost","value":"2.3126"},{"id":17,"name":"Train ID","value":"309-07"},{"id":16,"name":"Locomotive ID","value":"4031"},{"id":130,"name":"Impact","value":""},{"id":150,"name":"Time of Event (Mountain Time)","value":"01:19:27"},{"id":151,"name":"Denver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48"/>
      <c r="AK209" s="48"/>
      <c r="AL209" s="48"/>
      <c r="AM209" s="158" t="str">
        <f t="shared" si="14"/>
        <v>start /low /b %USERPROFILE%\Documents\GitHub\eaglep3\Utilities\DownloadLogsFromS3.py --loco 4031 --day 2017-02-08</v>
      </c>
      <c r="AN209" s="167" t="str">
        <f>"grep -SE -B400 ""CHR.+\|PRM\|1\|D.+(SWITCH|SIGNAL).+UNKNOWN"" "&amp;search_path&amp;"\RTDC"&amp;B209&amp;"\*"&amp;B209&amp;"*"&amp;TEXT(AVERAGE(F209,I209)-utc_offset/24,"YYYYMMDD")&amp;"*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"%USERPROFILE%\AppData\Local\Temp\OnboardLogs"\RTDC4031\*4031*20170208* | grep -SE "(Enforcement Action)|(\[TIMEOUT)|(CHR.+\|PRM\|1\|D.+(SWITCH|SIGNAL).+UNKNOWN)" - &gt;&gt; 2017-02-07-UncaughtWiMAX.txt</v>
      </c>
    </row>
    <row r="210" spans="1:40" x14ac:dyDescent="0.25">
      <c r="A210" s="33" t="s">
        <v>416</v>
      </c>
      <c r="B210" s="7">
        <v>4003</v>
      </c>
      <c r="C210" s="21" t="s">
        <v>193</v>
      </c>
      <c r="D210" s="21" t="s">
        <v>437</v>
      </c>
      <c r="E210" s="13">
        <v>42773.088333333333</v>
      </c>
      <c r="F210" s="13">
        <v>42773.089837962965</v>
      </c>
      <c r="G210" s="7">
        <v>1</v>
      </c>
      <c r="H210" s="21" t="s">
        <v>393</v>
      </c>
      <c r="I210" s="13">
        <v>42773.09648148148</v>
      </c>
      <c r="J210" s="7">
        <v>0</v>
      </c>
      <c r="K210" s="98" t="str">
        <f>IF(ISEVEN(B210),(B210-1)&amp;"/"&amp;B210,B210&amp;"/"&amp;(B210+1))</f>
        <v>4003/4004</v>
      </c>
      <c r="L210" s="21" t="str">
        <f>VLOOKUP(A210,'Trips&amp;Operators'!$C$1:$G$99999,5,FALSE)</f>
        <v>STORY SAMANTHA</v>
      </c>
      <c r="M210" s="6">
        <f>I210-F210</f>
        <v>6.6435185144655406E-3</v>
      </c>
      <c r="N210" s="7">
        <f>24*60*SUM($M210:$M210)</f>
        <v>9.5666666608303785</v>
      </c>
      <c r="O210" s="7"/>
      <c r="P210" s="7"/>
      <c r="Q210" s="22"/>
      <c r="R210" s="22"/>
      <c r="S210" s="31">
        <f>SUM(U210:U210)/IF(AG210="EC",12,1)</f>
        <v>1</v>
      </c>
      <c r="T210" s="46" t="str">
        <f>IF(ISEVEN(LEFT(AD210,4)),"Southbound","NorthBound")</f>
        <v>NorthBound</v>
      </c>
      <c r="U210" s="190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1</v>
      </c>
      <c r="V210" s="191" t="str">
        <f>"https://d0f6bd738d7f1b3e5a7ca70fe4ff75f0.us-east-1.aws.found.io/app/kibana#/discover/Steve-Slow-Train-Analysis-(2080s-and-2083s)?_g="&amp;"(refreshInterval:(display:Off,pause:!f,section:0,value:0),time:(from:'"&amp;TEXT(E210-1/24,"yyyy-MM-DDThh:mm:ss")&amp;utc_offset&amp;"00"&amp;"',mode:absolute,to:'"&amp;TEXT(I210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210&amp;"%22')),sort:!(Time.ISO8601,asc))"</f>
        <v>https://d0f6bd738d7f1b3e5a7ca70fe4ff75f0.us-east-1.aws.found.io/app/kibana#/discover/Steve-Slow-Train-Analysis-(2080s-and-2083s)?_g=(refreshInterval:(display:Off,pause:!f,section:0,value:0),time:(from:'2017-02-07T01:07:12-0700',mode:absolute,to:'2017-02-07T03:18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4003%22')),sort:!(Time.ISO8601,asc))</v>
      </c>
      <c r="W210" s="192" t="str">
        <f>IF(AA210&lt;IF(AG210="EC",23,5.65),"Y","N")</f>
        <v>Y</v>
      </c>
      <c r="X210" s="192">
        <f>VALUE(LEFT(AD210,4))-VALUE(LEFT(AD209,4))</f>
        <v>4</v>
      </c>
      <c r="Y210" s="62">
        <f>RIGHT(D210,LEN(D210)-4)/10000</f>
        <v>4.8000000000000001E-2</v>
      </c>
      <c r="Z210" s="62">
        <f>RIGHT(H210,LEN(H210)-4)/10000</f>
        <v>2.3306</v>
      </c>
      <c r="AA210" s="62">
        <f>ABS(Z210-Y210)</f>
        <v>2.2826</v>
      </c>
      <c r="AB210" s="59" t="e">
        <f>VLOOKUP(A210,Enforcements!$C$7:$K$14,8,0)</f>
        <v>#N/A</v>
      </c>
      <c r="AC210" s="55" t="e">
        <f>VLOOKUP(A210,Enforcements!$C$7:$E$14,3,0)</f>
        <v>#N/A</v>
      </c>
      <c r="AD210" s="56" t="str">
        <f>IF(LEN(A210)=6,"0"&amp;A210,A210)</f>
        <v>0313-06</v>
      </c>
      <c r="AE210" s="85" t="str">
        <f>"aws s3 cp "&amp;s3_bucket&amp;"/RTDC"&amp;B210&amp;"/ "&amp;search_path&amp;"\RTDC"&amp;B210&amp;"\"&amp;TEXT(F210,"YYYY-MM-DD")&amp;" --exclude ""*"" --recursive --include ""*"&amp;TEXT(F210,"YYYYMMDD")&amp;"*"" &amp; """&amp;walkandungz&amp;""" "&amp;search_path&amp;"\RTDC"&amp;B210&amp;"\"&amp;TEXT(F210,"YYYY-MM-DD")
&amp;" &amp; "&amp;"aws s3 cp "&amp;s3_bucket&amp;"/RTDC"&amp;B210&amp;"/ "&amp;search_path&amp;"\RTDC"&amp;B210&amp;"\"&amp;TEXT(F210+1,"YYYY-MM-DD")&amp;" --exclude ""*"" --recursive --include ""*"&amp;TEXT(F210+1,"YYYYMMDD")&amp;"*"" &amp; """&amp;walkandungz&amp;""" "&amp;search_path&amp;"\RTDC"&amp;B210&amp;"\"&amp;TEXT(F210+1,"YYYY-MM-DD")</f>
        <v>aws s3 cp s3://rtdc.mdm.uploadarchive.raw/RTDC4003/ "%USERPROFILE%\AppData\Local\Temp\OnboardLogs"\RTDC4003\2017-02-07 --exclude "*" --recursive --include "*20170207*" &amp; "%USERPROFILE%\Documents\GitHub\mrs-test-scripts\Headless Mode &amp; Sideloading\WalkAndUnGZ.bat" "%USERPROFILE%\AppData\Local\Temp\OnboardLogs"\RTDC4003\2017-02-07 &amp; aws s3 cp s3://rtdc.mdm.uploadarchive.raw/RTDC4003/ "%USERPROFILE%\AppData\Local\Temp\OnboardLogs"\RTDC4003\2017-02-08 --exclude "*" --recursive --include "*20170208*" &amp; "%USERPROFILE%\Documents\GitHub\mrs-test-scripts\Headless Mode &amp; Sideloading\WalkAndUnGZ.bat" "%USERPROFILE%\AppData\Local\Temp\OnboardLogs"\RTDC4003\2017-02-08</v>
      </c>
      <c r="AF210" s="82" t="str">
        <f>astrogrep_path&amp;" /spath="&amp;search_path&amp;" /stypes=""app*"&amp;B210&amp;"*"&amp;TEXT(I210-utc_offset/24,"YYYYMMDD")&amp;"*"" /stext="" "&amp;TEXT(I210-utc_offset/24,"HH")&amp;search_regexp&amp;""" /e /r /s"</f>
        <v>"C:\Program Files (x86)\AstroGrep\AstroGrep.exe" /spath="%USERPROFILE%\AppData\Local\Temp\OnboardLogs" /stypes="app*4003*20170207*" /stext=" 09:.+((SYSTEM_STATE.+slice.+state.+changed )|(ment ac)|(multiple cpu faults)|(system.+state.+changed )|(\[timeout)|(PRM\|1\|D)|(kpr)|(kdp)|(\|lc)|(penalty))" /e /r /s</v>
      </c>
      <c r="AG210" s="1" t="str">
        <f>IFERROR(IF(VALUE(LEFT(AD210,2))&lt;=2,"EC",IF(OR(VALUE(LEFT(AD210,2))=8,VALUE(LEFT(AD210,2))=18),"NW","Other")),"Other")</f>
        <v>Other</v>
      </c>
      <c r="AH210" s="86" t="str">
        <f t="shared" si="12"/>
        <v>"%USERPROFILE%\Documents\GitHub\eaglep3\Utilities\RefineRTDCRunTimes.py" --tripid 313-06 --locoid 4003 --swversion DE.1.0.8.0 --startMP 204:480 --initTime 2017-02-07T02:07:12 --startdatetime 2017-02-07T02:09:22 --delay 1 --endMP 300:23306 --enddatetime 2017-02-07T02:18:56 --enforcementcount 0 &gt;&gt;C:\Users\stu\Documents\GitHub\eaglep3-reporting\EC\2017-02-07-refined-times.txt</v>
      </c>
      <c r="AI210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{"issue":{"subject":"","project_id":79,"tracker_id":40,"status_id":1,"priority_id":2,"assigned_to_id":23,"start_date":"2017-02-07","description":"","custom_fields":[{"id":1,"name":"Subdivision","value":"Other"},{"id":4,"name":"Milepost","value":"2.3306"},{"id":17,"name":"Train ID","value":"313-06"},{"id":16,"name":"Locomotive ID","value":"4003"},{"id":130,"name":"Impact","value":""},{"id":150,"name":"Time of Event (Mountain Time)","value":"02:18:56"},{"id":151,"name":"Denver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48"/>
      <c r="AK210" s="48"/>
      <c r="AL210" s="48"/>
      <c r="AM210" s="158" t="str">
        <f t="shared" si="14"/>
        <v>start /low /b %USERPROFILE%\Documents\GitHub\eaglep3\Utilities\DownloadLogsFromS3.py --loco 4003 --day 2017-02-07</v>
      </c>
      <c r="AN210" s="167" t="str">
        <f>"grep -SE -B400 ""CHR.+\|PRM\|1\|D.+(SWITCH|SIGNAL).+UNKNOWN"" "&amp;search_path&amp;"\RTDC"&amp;B210&amp;"\*"&amp;B210&amp;"*"&amp;TEXT(AVERAGE(F210,I210)-utc_offset/24,"YYYYMMDD")&amp;"*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"%USERPROFILE%\AppData\Local\Temp\OnboardLogs"\RTDC4003\*4003*20170207* | grep -SE "(Enforcement Action)|(\[TIMEOUT)|(CHR.+\|PRM\|1\|D.+(SWITCH|SIGNAL).+UNKNOWN)" - &gt;&gt; 2017-02-07-UncaughtWiMAX.txt</v>
      </c>
    </row>
    <row r="211" spans="1:40" x14ac:dyDescent="0.25">
      <c r="A211" s="33" t="s">
        <v>694</v>
      </c>
      <c r="B211" s="7">
        <v>4002</v>
      </c>
      <c r="C211" s="21" t="s">
        <v>193</v>
      </c>
      <c r="D211" s="21" t="s">
        <v>784</v>
      </c>
      <c r="E211" s="13">
        <v>42774.033958333333</v>
      </c>
      <c r="F211" s="13">
        <v>42774.034861111111</v>
      </c>
      <c r="G211" s="7">
        <v>0</v>
      </c>
      <c r="H211" s="21" t="s">
        <v>785</v>
      </c>
      <c r="I211" s="13">
        <v>42774.043055555558</v>
      </c>
      <c r="J211" s="7">
        <v>0</v>
      </c>
      <c r="K211" s="98" t="str">
        <f>IF(ISEVEN(B211),(B211-1)&amp;"/"&amp;B211,B211&amp;"/"&amp;(B211+1))</f>
        <v>4001/4002</v>
      </c>
      <c r="L211" s="21" t="str">
        <f>VLOOKUP(A211,'Trips&amp;Operators'!$C$1:$G$99999,5,FALSE)</f>
        <v>CHANDLER KELVIN</v>
      </c>
      <c r="M211" s="6">
        <f>I211-F211</f>
        <v>8.1944444464170374E-3</v>
      </c>
      <c r="N211" s="7">
        <f>24*60*SUM($M211:$M211)</f>
        <v>11.800000002840534</v>
      </c>
      <c r="O211" s="7"/>
      <c r="P211" s="7"/>
      <c r="Q211" s="22"/>
      <c r="R211" s="22"/>
      <c r="S211" s="31">
        <f>SUM(U211:U211)/IF(AG211="EC",12,1)</f>
        <v>1</v>
      </c>
      <c r="T211" s="46" t="str">
        <f>IF(ISEVEN(LEFT(AD211,4)),"Southbound","NorthBound")</f>
        <v>NorthBound</v>
      </c>
      <c r="U211" s="190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1</v>
      </c>
      <c r="V211" s="191" t="str">
        <f>"https://d0f6bd738d7f1b3e5a7ca70fe4ff75f0.us-east-1.aws.found.io/app/kibana#/discover/Steve-Slow-Train-Analysis-(2080s-and-2083s)?_g="&amp;"(refreshInterval:(display:Off,pause:!f,section:0,value:0),time:(from:'"&amp;TEXT(E211-1/24,"yyyy-MM-DDThh:mm:ss")&amp;utc_offset&amp;"00"&amp;"',mode:absolute,to:'"&amp;TEXT(I211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211&amp;"%22')),sort:!(Time.ISO8601,asc))"</f>
        <v>https://d0f6bd738d7f1b3e5a7ca70fe4ff75f0.us-east-1.aws.found.io/app/kibana#/discover/Steve-Slow-Train-Analysis-(2080s-and-2083s)?_g=(refreshInterval:(display:Off,pause:!f,section:0,value:0),time:(from:'2017-02-07T23:48:54-0700',mode:absolute,to:'2017-02-08T02:02:00-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4002%22')),sort:!(Time.ISO8601,asc))</v>
      </c>
      <c r="W211" s="192" t="str">
        <f>IF(AA211&lt;IF(AG211="EC",23,5.65),"Y","N")</f>
        <v>Y</v>
      </c>
      <c r="X211" s="192">
        <f>VALUE(LEFT(AD211,4))-VALUE(LEFT(AD210,4))</f>
        <v>2</v>
      </c>
      <c r="Y211" s="62">
        <f>RIGHT(D211,LEN(D211)-4)/10000</f>
        <v>3.0200000000000001E-2</v>
      </c>
      <c r="Z211" s="62">
        <f>RIGHT(H211,LEN(H211)-4)/10000</f>
        <v>2.3304</v>
      </c>
      <c r="AA211" s="62">
        <f>ABS(Z211-Y211)</f>
        <v>2.3002000000000002</v>
      </c>
      <c r="AB211" s="59" t="e">
        <f>VLOOKUP(A211,Enforcements!$C$7:$K$14,8,0)</f>
        <v>#N/A</v>
      </c>
      <c r="AC211" s="55" t="e">
        <f>VLOOKUP(A211,Enforcements!$C$7:$E$14,3,0)</f>
        <v>#N/A</v>
      </c>
      <c r="AD211" s="56" t="str">
        <f>IF(LEN(A211)=6,"0"&amp;A211,A211)</f>
        <v>0315-07</v>
      </c>
      <c r="AE211" s="85" t="str">
        <f>"aws s3 cp "&amp;s3_bucket&amp;"/RTDC"&amp;B211&amp;"/ "&amp;search_path&amp;"\RTDC"&amp;B211&amp;"\"&amp;TEXT(F211,"YYYY-MM-DD")&amp;" --exclude ""*"" --recursive --include ""*"&amp;TEXT(F211,"YYYYMMDD")&amp;"*"" &amp; """&amp;walkandungz&amp;""" "&amp;search_path&amp;"\RTDC"&amp;B211&amp;"\"&amp;TEXT(F211,"YYYY-MM-DD")
&amp;" &amp; "&amp;"aws s3 cp "&amp;s3_bucket&amp;"/RTDC"&amp;B211&amp;"/ "&amp;search_path&amp;"\RTDC"&amp;B211&amp;"\"&amp;TEXT(F211+1,"YYYY-MM-DD")&amp;" --exclude ""*"" --recursive --include ""*"&amp;TEXT(F211+1,"YYYYMMDD")&amp;"*"" &amp; """&amp;walkandungz&amp;""" "&amp;search_path&amp;"\RTDC"&amp;B211&amp;"\"&amp;TEXT(F211+1,"YYYY-MM-DD")</f>
        <v>aws s3 cp s3://rtdc.mdm.uploadarchive.raw/RTDC4002/ "%USERPROFILE%\AppData\Local\Temp\OnboardLogs"\RTDC4002\2017-02-08 --exclude "*" --recursive --include "*20170208*" &amp; "%USERPROFILE%\Documents\GitHub\mrs-test-scripts\Headless Mode &amp; Sideloading\WalkAndUnGZ.bat" "%USERPROFILE%\AppData\Local\Temp\OnboardLogs"\RTDC4002\2017-02-08 &amp; aws s3 cp s3://rtdc.mdm.uploadarchive.raw/RTDC4002/ "%USERPROFILE%\AppData\Local\Temp\OnboardLogs"\RTDC4002\2017-02-09 --exclude "*" --recursive --include "*20170209*" &amp; "%USERPROFILE%\Documents\GitHub\mrs-test-scripts\Headless Mode &amp; Sideloading\WalkAndUnGZ.bat" "%USERPROFILE%\AppData\Local\Temp\OnboardLogs"\RTDC4002\2017-02-09</v>
      </c>
      <c r="AF211" s="82" t="str">
        <f>astrogrep_path&amp;" /spath="&amp;search_path&amp;" /stypes=""app*"&amp;B211&amp;"*"&amp;TEXT(I211-utc_offset/24,"YYYYMMDD")&amp;"*"" /stext="" "&amp;TEXT(I211-utc_offset/24,"HH")&amp;search_regexp&amp;""" /e /r /s"</f>
        <v>"C:\Program Files (x86)\AstroGrep\AstroGrep.exe" /spath="%USERPROFILE%\AppData\Local\Temp\OnboardLogs" /stypes="app*4002*20170208*" /stext=" 08:.+((SYSTEM_STATE.+slice.+state.+changed )|(ment ac)|(multiple cpu faults)|(system.+state.+changed )|(\[timeout)|(PRM\|1\|D)|(kpr)|(kdp)|(\|lc)|(penalty))" /e /r /s</v>
      </c>
      <c r="AG211" s="1" t="str">
        <f>IFERROR(IF(VALUE(LEFT(AD211,2))&lt;=2,"EC",IF(OR(VALUE(LEFT(AD211,2))=8,VALUE(LEFT(AD211,2))=18),"NW","Other")),"Other")</f>
        <v>Other</v>
      </c>
      <c r="AH211" s="86" t="str">
        <f t="shared" si="12"/>
        <v>"%USERPROFILE%\Documents\GitHub\eaglep3\Utilities\RefineRTDCRunTimes.py" --tripid 315-07 --locoid 4002 --swversion DE.1.0.8.0 --startMP 204:302 --initTime 2017-02-08T00:48:54 --startdatetime 2017-02-08T00:50:12 --delay 0 --endMP 300:23304 --enddatetime 2017-02-08T01:02:00 --enforcementcount 0 &gt;&gt;C:\Users\stu\Documents\GitHub\eaglep3-reporting\EC\2017-02-07-refined-times.txt</v>
      </c>
      <c r="AI211" s="108" t="str">
        <f t="shared" si="13"/>
        <v>echo {"issue":{"subject":"","project_id":79,"tracker_id":40,"status_id":1,"priority_id":2,"assigned_to_id":23,"start_date":"2017-02-08","description":"","custom_fields":[{"id":1,"name":"Subdivision","value":"Other"},{"id":4,"name":"Milepost","value":"2.3304"},{"id":17,"name":"Train ID","value":"315-07"},{"id":16,"name":"Locomotive ID","value":"4002"},{"id":130,"name":"Impact","value":""},{"id":150,"name":"Time of Event (Mountain Time)","value":"01:02:00"},{"id":151,"name":"Denver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48"/>
      <c r="AK211" s="48"/>
      <c r="AL211" s="48"/>
      <c r="AM211" s="158" t="str">
        <f t="shared" si="14"/>
        <v>start /low /b %USERPROFILE%\Documents\GitHub\eaglep3\Utilities\DownloadLogsFromS3.py --loco 4002 --day 2017-02-08</v>
      </c>
      <c r="AN211" s="167" t="str">
        <f>"grep -SE -B400 ""CHR.+\|PRM\|1\|D.+(SWITCH|SIGNAL).+UNKNOWN"" "&amp;search_path&amp;"\RTDC"&amp;B211&amp;"\*"&amp;B211&amp;"*"&amp;TEXT(AVERAGE(F211,I211)-utc_offset/24,"YYYYMMDD")&amp;"*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"%USERPROFILE%\AppData\Local\Temp\OnboardLogs"\RTDC4002\*4002*20170208* | grep -SE "(Enforcement Action)|(\[TIMEOUT)|(CHR.+\|PRM\|1\|D.+(SWITCH|SIGNAL).+UNKNOWN)" - &gt;&gt; 2017-02-07-UncaughtWiMAX.txt</v>
      </c>
    </row>
    <row r="212" spans="1:40" x14ac:dyDescent="0.25">
      <c r="A212" s="33" t="s">
        <v>464</v>
      </c>
      <c r="B212" s="7">
        <v>4051</v>
      </c>
      <c r="C212" s="21" t="s">
        <v>193</v>
      </c>
      <c r="D212" s="21" t="s">
        <v>854</v>
      </c>
      <c r="E212" s="13">
        <v>42773.197476851848</v>
      </c>
      <c r="F212" s="13">
        <v>42773.201574074075</v>
      </c>
      <c r="G212" s="7">
        <v>5</v>
      </c>
      <c r="H212" s="21" t="s">
        <v>453</v>
      </c>
      <c r="I212" s="13">
        <v>42773.206238425926</v>
      </c>
      <c r="J212" s="7">
        <v>0</v>
      </c>
      <c r="K212" s="98" t="str">
        <f>IF(ISEVEN(B212),(B212-1)&amp;"/"&amp;B212,B212&amp;"/"&amp;(B212+1))</f>
        <v>4051/4052</v>
      </c>
      <c r="L212" s="21" t="str">
        <f>VLOOKUP(A212,'Trips&amp;Operators'!$C$1:$G$99999,5,FALSE)</f>
        <v>BEAM ROSS</v>
      </c>
      <c r="M212" s="6">
        <f>I212-F212</f>
        <v>4.6643518508062698E-3</v>
      </c>
      <c r="N212" s="7">
        <f>24*60*SUM($M212:$M212)</f>
        <v>6.7166666651610285</v>
      </c>
      <c r="O212" s="7"/>
      <c r="P212" s="7"/>
      <c r="Q212" s="22"/>
      <c r="R212" s="22"/>
      <c r="S212" s="31">
        <f>SUM(U212:U212)/IF(AG212="EC",12,1)</f>
        <v>0</v>
      </c>
      <c r="T212" s="46" t="str">
        <f>IF(ISEVEN(LEFT(AD212,4)),"Southbound","NorthBound")</f>
        <v>NorthBound</v>
      </c>
      <c r="U212" s="190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191" t="str">
        <f>"https://d0f6bd738d7f1b3e5a7ca70fe4ff75f0.us-east-1.aws.found.io/app/kibana#/discover/Steve-Slow-Train-Analysis-(2080s-and-2083s)?_g="&amp;"(refreshInterval:(display:Off,pause:!f,section:0,value:0),time:(from:'"&amp;TEXT(E212-1/24,"yyyy-MM-DDThh:mm:ss")&amp;utc_offset&amp;"00"&amp;"',mode:absolute,to:'"&amp;TEXT(I212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212&amp;"%22')),sort:!(Time.ISO8601,asc))"</f>
        <v>https://d0f6bd738d7f1b3e5a7ca70fe4ff75f0.us-east-1.aws.found.io/app/kibana#/discover/Steve-Slow-Train-Analysis-(2080s-and-2083s)?_g=(refreshInterval:(display:Off,pause:!f,section:0,value:0),time:(from:'2017-02-07T03:44:22-0700',mode:absolute,to:'2017-02-07T05:56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2" s="192" t="str">
        <f>IF(AA212&lt;IF(AG212="EC",23,5.65),"Y","N")</f>
        <v>Y</v>
      </c>
      <c r="X212" s="192">
        <f>VALUE(LEFT(AD212,4))-VALUE(LEFT(AD211,4))</f>
        <v>586</v>
      </c>
      <c r="Y212" s="62">
        <f>RIGHT(D212,LEN(D212)-4)/10000</f>
        <v>3.2997999999999998</v>
      </c>
      <c r="Z212" s="62">
        <f>RIGHT(H212,LEN(H212)-4)/10000</f>
        <v>5.8963000000000001</v>
      </c>
      <c r="AA212" s="62">
        <f>ABS(Z212-Y212)</f>
        <v>2.5965000000000003</v>
      </c>
      <c r="AB212" s="59" t="e">
        <f>VLOOKUP(A212,Enforcements!$C$7:$K$14,8,0)</f>
        <v>#N/A</v>
      </c>
      <c r="AC212" s="55" t="e">
        <f>VLOOKUP(A212,Enforcements!$C$7:$E$14,3,0)</f>
        <v>#N/A</v>
      </c>
      <c r="AD212" s="56" t="str">
        <f>IF(LEN(A212)=6,"0"&amp;A212,A212)</f>
        <v>0901-07</v>
      </c>
      <c r="AE212" s="85" t="str">
        <f>"aws s3 cp "&amp;s3_bucket&amp;"/RTDC"&amp;B212&amp;"/ "&amp;search_path&amp;"\RTDC"&amp;B212&amp;"\"&amp;TEXT(F212,"YYYY-MM-DD")&amp;" --exclude ""*"" --recursive --include ""*"&amp;TEXT(F212,"YYYYMMDD")&amp;"*"" &amp; """&amp;walkandungz&amp;""" "&amp;search_path&amp;"\RTDC"&amp;B212&amp;"\"&amp;TEXT(F212,"YYYY-MM-DD")
&amp;" &amp; "&amp;"aws s3 cp "&amp;s3_bucket&amp;"/RTDC"&amp;B212&amp;"/ "&amp;search_path&amp;"\RTDC"&amp;B212&amp;"\"&amp;TEXT(F212+1,"YYYY-MM-DD")&amp;" --exclude ""*"" --recursive --include ""*"&amp;TEXT(F212+1,"YYYYMMDD")&amp;"*"" &amp; """&amp;walkandungz&amp;""" "&amp;search_path&amp;"\RTDC"&amp;B212&amp;"\"&amp;TEXT(F212+1,"YYYY-MM-DD")</f>
        <v>aws s3 cp s3://rtdc.mdm.uploadarchive.raw/RTDC4051/ "%USERPROFILE%\AppData\Local\Temp\OnboardLogs"\RTDC4051\2017-02-07 --exclude "*" --recursive --include "*20170207*" &amp; "%USERPROFILE%\Documents\GitHub\mrs-test-scripts\Headless Mode &amp; Sideloading\WalkAndUnGZ.bat" "%USERPROFILE%\AppData\Local\Temp\OnboardLogs"\RTDC4051\2017-02-07 &amp; 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</v>
      </c>
      <c r="AF212" s="82" t="str">
        <f>astrogrep_path&amp;" /spath="&amp;search_path&amp;" /stypes=""app*"&amp;B212&amp;"*"&amp;TEXT(I212-utc_offset/24,"YYYYMMDD")&amp;"*"" /stext="" "&amp;TEXT(I212-utc_offset/24,"HH")&amp;search_regexp&amp;""" /e /r /s"</f>
        <v>"C:\Program Files (x86)\AstroGrep\AstroGrep.exe" /spath="%USERPROFILE%\AppData\Local\Temp\OnboardLogs" /stypes="app*4051*20170207*" /stext=" 11:.+((SYSTEM_STATE.+slice.+state.+changed )|(ment ac)|(multiple cpu faults)|(system.+state.+changed )|(\[timeout)|(PRM\|1\|D)|(kpr)|(kdp)|(\|lc)|(penalty))" /e /r /s</v>
      </c>
      <c r="AG212" s="1" t="str">
        <f>IFERROR(IF(VALUE(LEFT(AD212,2))&lt;=2,"EC",IF(OR(VALUE(LEFT(AD212,2))=8,VALUE(LEFT(AD212,2))=18),"NW","Other")),"Other")</f>
        <v>Other</v>
      </c>
      <c r="AH212" s="86" t="str">
        <f t="shared" si="12"/>
        <v>"%USERPROFILE%\Documents\GitHub\eaglep3\Utilities\RefineRTDCRunTimes.py" --tripid 901-07 --locoid 4051 --swversion DE.1.0.8.0 --startMP 300:32998 --initTime 2017-02-07T04:44:22 --startdatetime 2017-02-07T04:50:16 --delay 5 --endMP 300:58963 --enddatetime 2017-02-07T04:56:59 --enforcementcount 0 &gt;&gt;C:\Users\stu\Documents\GitHub\eaglep3-reporting\EC\2017-02-07-refined-times.txt</v>
      </c>
      <c r="AI212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{"issue":{"subject":"","project_id":79,"tracker_id":40,"status_id":1,"priority_id":2,"assigned_to_id":23,"start_date":"2017-02-07","description":"","custom_fields":[{"id":1,"name":"Subdivision","value":"Other"},{"id":4,"name":"Milepost","value":"5.8963"},{"id":17,"name":"Train ID","value":"901-07"},{"id":16,"name":"Locomotive ID","value":"4051"},{"id":130,"name":"Impact","value":""},{"id":150,"name":"Time of Event (Mountain Time)","value":"04:56:59"},{"id":151,"name":"Denver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48"/>
      <c r="AK212" s="48"/>
      <c r="AL212" s="48"/>
      <c r="AM212" s="158" t="str">
        <f t="shared" si="14"/>
        <v>start /low /b %USERPROFILE%\Documents\GitHub\eaglep3\Utilities\DownloadLogsFromS3.py --loco 4051 --day 2017-02-07</v>
      </c>
      <c r="AN212" s="167" t="str">
        <f>"grep -SE -B400 ""CHR.+\|PRM\|1\|D.+(SWITCH|SIGNAL).+UNKNOWN"" "&amp;search_path&amp;"\RTDC"&amp;B212&amp;"\*"&amp;B212&amp;"*"&amp;TEXT(AVERAGE(F212,I212)-utc_offset/24,"YYYYMMDD")&amp;"*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"%USERPROFILE%\AppData\Local\Temp\OnboardLogs"\RTDC4051\*4051*20170207* | grep -SE "(Enforcement Action)|(\[TIMEOUT)|(CHR.+\|PRM\|1\|D.+(SWITCH|SIGNAL).+UNKNOWN)" - &gt;&gt; 2017-02-07-UncaughtWiMAX.txt</v>
      </c>
    </row>
    <row r="213" spans="1:40" x14ac:dyDescent="0.25">
      <c r="A213" s="33" t="s">
        <v>527</v>
      </c>
      <c r="B213" s="7">
        <v>4028</v>
      </c>
      <c r="C213" s="21" t="s">
        <v>193</v>
      </c>
      <c r="D213" s="21" t="s">
        <v>855</v>
      </c>
      <c r="E213" s="13">
        <v>42773.249768518515</v>
      </c>
      <c r="F213" s="13">
        <v>42773.25408564815</v>
      </c>
      <c r="G213" s="7">
        <v>5</v>
      </c>
      <c r="H213" s="21" t="s">
        <v>701</v>
      </c>
      <c r="I213" s="13">
        <v>42773.259363425925</v>
      </c>
      <c r="J213" s="7">
        <v>0</v>
      </c>
      <c r="K213" s="98" t="str">
        <f>IF(ISEVEN(B213),(B213-1)&amp;"/"&amp;B213,B213&amp;"/"&amp;(B213+1))</f>
        <v>4027/4028</v>
      </c>
      <c r="L213" s="21" t="str">
        <f>VLOOKUP(A213,'Trips&amp;Operators'!$C$1:$G$99999,5,FALSE)</f>
        <v>BROWN JACOB</v>
      </c>
      <c r="M213" s="6">
        <f>I213-F213</f>
        <v>5.277777774608694E-3</v>
      </c>
      <c r="N213" s="7">
        <f>24*60*SUM($M213:$M213)</f>
        <v>7.5999999954365194</v>
      </c>
      <c r="O213" s="7"/>
      <c r="P213" s="7"/>
      <c r="Q213" s="22"/>
      <c r="R213" s="22"/>
      <c r="S213" s="31">
        <f>SUM(U213:U213)/IF(AG213="EC",12,1)</f>
        <v>1</v>
      </c>
      <c r="T213" s="46" t="str">
        <f>IF(ISEVEN(LEFT(AD213,4)),"Southbound","NorthBound")</f>
        <v>Southbound</v>
      </c>
      <c r="U213" s="190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1</v>
      </c>
      <c r="V213" s="191" t="str">
        <f>"https://d0f6bd738d7f1b3e5a7ca70fe4ff75f0.us-east-1.aws.found.io/app/kibana#/discover/Steve-Slow-Train-Analysis-(2080s-and-2083s)?_g="&amp;"(refreshInterval:(display:Off,pause:!f,section:0,value:0),time:(from:'"&amp;TEXT(E213-1/24,"yyyy-MM-DDThh:mm:ss")&amp;utc_offset&amp;"00"&amp;"',mode:absolute,to:'"&amp;TEXT(I213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213&amp;"%22')),sort:!(Time.ISO8601,asc))"</f>
        <v>https://d0f6bd738d7f1b3e5a7ca70fe4ff75f0.us-east-1.aws.found.io/app/kibana#/discover/Steve-Slow-Train-Analysis-(2080s-and-2083s)?_g=(refreshInterval:(display:Off,pause:!f,section:0,value:0),time:(from:'2017-02-07T04:59:40-0700',mode:absolute,to:'2017-02-07T07:13:29-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3" s="192" t="str">
        <f>IF(AA213&lt;IF(AG213="EC",23,5.65),"Y","N")</f>
        <v>Y</v>
      </c>
      <c r="X213" s="192">
        <f>VALUE(LEFT(AD213,4))-VALUE(LEFT(AD212,4))</f>
        <v>1</v>
      </c>
      <c r="Y213" s="62">
        <f>RIGHT(D213,LEN(D213)-4)/10000</f>
        <v>2.3403999999999998</v>
      </c>
      <c r="Z213" s="62">
        <f>RIGHT(H213,LEN(H213)-4)/10000</f>
        <v>7.4099999999999999E-2</v>
      </c>
      <c r="AA213" s="62">
        <f>ABS(Z213-Y213)</f>
        <v>2.2662999999999998</v>
      </c>
      <c r="AB213" s="59" t="e">
        <f>VLOOKUP(A213,Enforcements!$C$7:$K$14,8,0)</f>
        <v>#N/A</v>
      </c>
      <c r="AC213" s="55" t="e">
        <f>VLOOKUP(A213,Enforcements!$C$7:$E$14,3,0)</f>
        <v>#N/A</v>
      </c>
      <c r="AD213" s="56" t="str">
        <f>IF(LEN(A213)=6,"0"&amp;A213,A213)</f>
        <v>0902-07</v>
      </c>
      <c r="AE213" s="85" t="str">
        <f>"aws s3 cp "&amp;s3_bucket&amp;"/RTDC"&amp;B213&amp;"/ "&amp;search_path&amp;"\RTDC"&amp;B213&amp;"\"&amp;TEXT(F213,"YYYY-MM-DD")&amp;" --exclude ""*"" --recursive --include ""*"&amp;TEXT(F213,"YYYYMMDD")&amp;"*"" &amp; """&amp;walkandungz&amp;""" "&amp;search_path&amp;"\RTDC"&amp;B213&amp;"\"&amp;TEXT(F213,"YYYY-MM-DD")
&amp;" &amp; "&amp;"aws s3 cp "&amp;s3_bucket&amp;"/RTDC"&amp;B213&amp;"/ "&amp;search_path&amp;"\RTDC"&amp;B213&amp;"\"&amp;TEXT(F213+1,"YYYY-MM-DD")&amp;" --exclude ""*"" --recursive --include ""*"&amp;TEXT(F213+1,"YYYYMMDD")&amp;"*"" &amp; """&amp;walkandungz&amp;""" "&amp;search_path&amp;"\RTDC"&amp;B213&amp;"\"&amp;TEXT(F213+1,"YYYY-MM-DD")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AF213" s="82" t="str">
        <f>astrogrep_path&amp;" /spath="&amp;search_path&amp;" /stypes=""app*"&amp;B213&amp;"*"&amp;TEXT(I213-utc_offset/24,"YYYYMMDD")&amp;"*"" /stext="" "&amp;TEXT(I213-utc_offset/24,"HH")&amp;search_regexp&amp;""" /e /r /s"</f>
        <v>"C:\Program Files (x86)\AstroGrep\AstroGrep.exe" /spath="%USERPROFILE%\AppData\Local\Temp\OnboardLogs" /stypes="app*4028*20170207*" /stext=" 13:.+((SYSTEM_STATE.+slice.+state.+changed )|(ment ac)|(multiple cpu faults)|(system.+state.+changed )|(\[timeout)|(PRM\|1\|D)|(kpr)|(kdp)|(\|lc)|(penalty))" /e /r /s</v>
      </c>
      <c r="AG213" s="1" t="str">
        <f>IFERROR(IF(VALUE(LEFT(AD213,2))&lt;=2,"EC",IF(OR(VALUE(LEFT(AD213,2))=8,VALUE(LEFT(AD213,2))=18),"NW","Other")),"Other")</f>
        <v>Other</v>
      </c>
      <c r="AH213" s="86" t="str">
        <f t="shared" si="12"/>
        <v>"%USERPROFILE%\Documents\GitHub\eaglep3\Utilities\RefineRTDCRunTimes.py" --tripid 902-07 --locoid 4028 --swversion DE.1.0.8.0 --startMP 300:23404 --initTime 2017-02-07T05:59:40 --startdatetime 2017-02-07T06:05:53 --delay 5 --endMP 204:741 --enddatetime 2017-02-07T06:13:29 --enforcementcount 0 &gt;&gt;C:\Users\stu\Documents\GitHub\eaglep3-reporting\EC\2017-02-07-refined-times.txt</v>
      </c>
      <c r="AI213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{"issue":{"subject":"","project_id":79,"tracker_id":40,"status_id":1,"priority_id":2,"assigned_to_id":23,"start_date":"2017-02-07","description":"","custom_fields":[{"id":1,"name":"Subdivision","value":"Other"},{"id":4,"name":"Milepost","value":"0.0741"},{"id":17,"name":"Train ID","value":"902-07"},{"id":16,"name":"Locomotive ID","value":"4028"},{"id":130,"name":"Impact","value":""},{"id":150,"name":"Time of Event (Mountain Time)","value":"06:13:29"},{"id":151,"name":"Denver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48"/>
      <c r="AK213" s="48"/>
      <c r="AL213" s="48"/>
      <c r="AM213" s="158" t="str">
        <f t="shared" si="14"/>
        <v>start /low /b %USERPROFILE%\Documents\GitHub\eaglep3\Utilities\DownloadLogsFromS3.py --loco 4028 --day 2017-02-07</v>
      </c>
      <c r="AN213" s="167" t="str">
        <f>"grep -SE -B400 ""CHR.+\|PRM\|1\|D.+(SWITCH|SIGNAL).+UNKNOWN"" "&amp;search_path&amp;"\RTDC"&amp;B213&amp;"\*"&amp;B213&amp;"*"&amp;TEXT(AVERAGE(F213,I213)-utc_offset/24,"YYYYMMDD")&amp;"*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"%USERPROFILE%\AppData\Local\Temp\OnboardLogs"\RTDC4028\*4028*20170207* | grep -SE "(Enforcement Action)|(\[TIMEOUT)|(CHR.+\|PRM\|1\|D.+(SWITCH|SIGNAL).+UNKNOWN)" - &gt;&gt; 2017-02-07-UncaughtWiMAX.txt</v>
      </c>
    </row>
    <row r="214" spans="1:40" x14ac:dyDescent="0.25">
      <c r="A214" s="33" t="s">
        <v>557</v>
      </c>
      <c r="B214" s="7">
        <v>4051</v>
      </c>
      <c r="C214" s="21" t="s">
        <v>193</v>
      </c>
      <c r="D214" s="21" t="s">
        <v>812</v>
      </c>
      <c r="E214" s="13">
        <v>42773.352407407408</v>
      </c>
      <c r="F214" s="13">
        <v>42773.354375000003</v>
      </c>
      <c r="G214" s="7">
        <v>1</v>
      </c>
      <c r="H214" s="21" t="s">
        <v>856</v>
      </c>
      <c r="I214" s="13">
        <v>42773.359432870369</v>
      </c>
      <c r="J214" s="7">
        <v>0</v>
      </c>
      <c r="K214" s="98" t="str">
        <f>IF(ISEVEN(B214),(B214-1)&amp;"/"&amp;B214,B214&amp;"/"&amp;(B214+1))</f>
        <v>4051/4052</v>
      </c>
      <c r="L214" s="21" t="str">
        <f>VLOOKUP(A214,'Trips&amp;Operators'!$C$1:$G$99999,5,FALSE)</f>
        <v>BEAM ROSS</v>
      </c>
      <c r="M214" s="6">
        <f>I214-F214</f>
        <v>5.057870366727002E-3</v>
      </c>
      <c r="N214" s="7">
        <f>24*60*SUM($M214:$M214)</f>
        <v>7.2833333280868828</v>
      </c>
      <c r="O214" s="7"/>
      <c r="P214" s="7"/>
      <c r="Q214" s="22"/>
      <c r="R214" s="22"/>
      <c r="S214" s="31">
        <f>SUM(U214:U214)/IF(AG214="EC",12,1)</f>
        <v>1</v>
      </c>
      <c r="T214" s="46" t="str">
        <f>IF(ISEVEN(LEFT(AD214,4)),"Southbound","NorthBound")</f>
        <v>NorthBound</v>
      </c>
      <c r="U214" s="190">
        <f>IF(AG214="EC",COUNTIFS(Variables!$M$2:$M$19,IF(T214="NorthBound","&gt;=","&lt;=")&amp;Y214,Variables!$M$2:$M$19,IF(T214="NorthBound","&lt;=","&gt;=")&amp;Z214),COUNTIFS(Variables!$P$2:$P$19,IF(T214="NorthBound","&gt;=","&lt;=")&amp;Y214,Variables!$P$2:$P$19,IF(T214="NorthBound","&lt;=","&gt;=")&amp;Z214))</f>
        <v>1</v>
      </c>
      <c r="V214" s="191" t="str">
        <f>"https://d0f6bd738d7f1b3e5a7ca70fe4ff75f0.us-east-1.aws.found.io/app/kibana#/discover/Steve-Slow-Train-Analysis-(2080s-and-2083s)?_g="&amp;"(refreshInterval:(display:Off,pause:!f,section:0,value:0),time:(from:'"&amp;TEXT(E214-1/24,"yyyy-MM-DDThh:mm:ss")&amp;utc_offset&amp;"00"&amp;"',mode:absolute,to:'"&amp;TEXT(I214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214&amp;"%22')),sort:!(Time.ISO8601,asc))"</f>
        <v>https://d0f6bd738d7f1b3e5a7ca70fe4ff75f0.us-east-1.aws.found.io/app/kibana#/discover/Steve-Slow-Train-Analysis-(2080s-and-2083s)?_g=(refreshInterval:(display:Off,pause:!f,section:0,value:0),time:(from:'2017-02-07T07:27:28-0700',mode:absolute,to:'2017-02-07T09:37:35-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W214" s="192" t="str">
        <f>IF(AA214&lt;IF(AG214="EC",23,5.65),"Y","N")</f>
        <v>Y</v>
      </c>
      <c r="X214" s="192">
        <f>VALUE(LEFT(AD214,4))-VALUE(LEFT(AD213,4))</f>
        <v>1</v>
      </c>
      <c r="Y214" s="62">
        <f>RIGHT(D214,LEN(D214)-4)/10000</f>
        <v>0.1</v>
      </c>
      <c r="Z214" s="62">
        <f>RIGHT(H214,LEN(H214)-4)/10000</f>
        <v>2.4230999999999998</v>
      </c>
      <c r="AA214" s="62">
        <f>ABS(Z214-Y214)</f>
        <v>2.3230999999999997</v>
      </c>
      <c r="AB214" s="59" t="e">
        <f>VLOOKUP(A214,Enforcements!$C$7:$K$14,8,0)</f>
        <v>#N/A</v>
      </c>
      <c r="AC214" s="55" t="e">
        <f>VLOOKUP(A214,Enforcements!$C$7:$E$14,3,0)</f>
        <v>#N/A</v>
      </c>
      <c r="AD214" s="56" t="str">
        <f>IF(LEN(A214)=6,"0"&amp;A214,A214)</f>
        <v>0903-07</v>
      </c>
      <c r="AE214" s="85" t="str">
        <f>"aws s3 cp "&amp;s3_bucket&amp;"/RTDC"&amp;B214&amp;"/ "&amp;search_path&amp;"\RTDC"&amp;B214&amp;"\"&amp;TEXT(F214,"YYYY-MM-DD")&amp;" --exclude ""*"" --recursive --include ""*"&amp;TEXT(F214,"YYYYMMDD")&amp;"*"" &amp; """&amp;walkandungz&amp;""" "&amp;search_path&amp;"\RTDC"&amp;B214&amp;"\"&amp;TEXT(F214,"YYYY-MM-DD")
&amp;" &amp; "&amp;"aws s3 cp "&amp;s3_bucket&amp;"/RTDC"&amp;B214&amp;"/ "&amp;search_path&amp;"\RTDC"&amp;B214&amp;"\"&amp;TEXT(F214+1,"YYYY-MM-DD")&amp;" --exclude ""*"" --recursive --include ""*"&amp;TEXT(F214+1,"YYYYMMDD")&amp;"*"" &amp; """&amp;walkandungz&amp;""" "&amp;search_path&amp;"\RTDC"&amp;B214&amp;"\"&amp;TEXT(F214+1,"YYYY-MM-DD")</f>
        <v>aws s3 cp s3://rtdc.mdm.uploadarchive.raw/RTDC4051/ "%USERPROFILE%\AppData\Local\Temp\OnboardLogs"\RTDC4051\2017-02-07 --exclude "*" --recursive --include "*20170207*" &amp; "%USERPROFILE%\Documents\GitHub\mrs-test-scripts\Headless Mode &amp; Sideloading\WalkAndUnGZ.bat" "%USERPROFILE%\AppData\Local\Temp\OnboardLogs"\RTDC4051\2017-02-07 &amp; 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</v>
      </c>
      <c r="AF214" s="82" t="str">
        <f>astrogrep_path&amp;" /spath="&amp;search_path&amp;" /stypes=""app*"&amp;B214&amp;"*"&amp;TEXT(I214-utc_offset/24,"YYYYMMDD")&amp;"*"" /stext="" "&amp;TEXT(I214-utc_offset/24,"HH")&amp;search_regexp&amp;""" /e /r /s"</f>
        <v>"C:\Program Files (x86)\AstroGrep\AstroGrep.exe" /spath="%USERPROFILE%\AppData\Local\Temp\OnboardLogs" /stypes="app*4051*20170207*" /stext=" 15:.+((SYSTEM_STATE.+slice.+state.+changed )|(ment ac)|(multiple cpu faults)|(system.+state.+changed )|(\[timeout)|(PRM\|1\|D)|(kpr)|(kdp)|(\|lc)|(penalty))" /e /r /s</v>
      </c>
      <c r="AG214" s="1" t="str">
        <f>IFERROR(IF(VALUE(LEFT(AD214,2))&lt;=2,"EC",IF(OR(VALUE(LEFT(AD214,2))=8,VALUE(LEFT(AD214,2))=18),"NW","Other")),"Other")</f>
        <v>Other</v>
      </c>
      <c r="AH214" s="86" t="str">
        <f t="shared" si="12"/>
        <v>"%USERPROFILE%\Documents\GitHub\eaglep3\Utilities\RefineRTDCRunTimes.py" --tripid 903-07 --locoid 4051 --swversion DE.1.0.8.0 --startMP 204:1000 --initTime 2017-02-07T08:27:28 --startdatetime 2017-02-07T08:30:18 --delay 1 --endMP 300:24231 --enddatetime 2017-02-07T08:37:35 --enforcementcount 0 &gt;&gt;C:\Users\stu\Documents\GitHub\eaglep3-reporting\EC\2017-02-07-refined-times.txt</v>
      </c>
      <c r="AI214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{"issue":{"subject":"","project_id":79,"tracker_id":40,"status_id":1,"priority_id":2,"assigned_to_id":23,"start_date":"2017-02-07","description":"","custom_fields":[{"id":1,"name":"Subdivision","value":"Other"},{"id":4,"name":"Milepost","value":"2.4231"},{"id":17,"name":"Train ID","value":"903-07"},{"id":16,"name":"Locomotive ID","value":"4051"},{"id":130,"name":"Impact","value":""},{"id":150,"name":"Time of Event (Mountain Time)","value":"08:37:35"},{"id":151,"name":"Denver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4" s="48"/>
      <c r="AK214" s="48"/>
      <c r="AL214" s="48"/>
      <c r="AM214" s="158" t="str">
        <f t="shared" si="14"/>
        <v>start /low /b %USERPROFILE%\Documents\GitHub\eaglep3\Utilities\DownloadLogsFromS3.py --loco 4051 --day 2017-02-07</v>
      </c>
      <c r="AN214" s="167" t="str">
        <f>"grep -SE -B400 ""CHR.+\|PRM\|1\|D.+(SWITCH|SIGNAL).+UNKNOWN"" "&amp;search_path&amp;"\RTDC"&amp;B214&amp;"\*"&amp;B214&amp;"*"&amp;TEXT(AVERAGE(F214,I214)-utc_offset/24,"YYYYMMDD")&amp;"*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"%USERPROFILE%\AppData\Local\Temp\OnboardLogs"\RTDC4051\*4051*20170207* | grep -SE "(Enforcement Action)|(\[TIMEOUT)|(CHR.+\|PRM\|1\|D.+(SWITCH|SIGNAL).+UNKNOWN)" - &gt;&gt; 2017-02-07-UncaughtWiMAX.txt</v>
      </c>
    </row>
    <row r="215" spans="1:40" x14ac:dyDescent="0.25">
      <c r="A215" s="33" t="s">
        <v>479</v>
      </c>
      <c r="B215" s="7">
        <v>4052</v>
      </c>
      <c r="C215" s="21" t="s">
        <v>193</v>
      </c>
      <c r="D215" s="21" t="s">
        <v>857</v>
      </c>
      <c r="E215" s="13">
        <v>42773.642858796295</v>
      </c>
      <c r="F215" s="13">
        <v>42773.644560185188</v>
      </c>
      <c r="G215" s="7">
        <v>1</v>
      </c>
      <c r="H215" s="21" t="s">
        <v>858</v>
      </c>
      <c r="I215" s="13">
        <v>42773.650034722225</v>
      </c>
      <c r="J215" s="7">
        <v>0</v>
      </c>
      <c r="K215" s="98" t="str">
        <f>IF(ISEVEN(B215),(B215-1)&amp;"/"&amp;B215,B215&amp;"/"&amp;(B215+1))</f>
        <v>4051/4052</v>
      </c>
      <c r="L215" s="21" t="str">
        <f>VLOOKUP(A215,'Trips&amp;Operators'!$C$1:$G$99999,5,FALSE)</f>
        <v>HILLS DUSTIN</v>
      </c>
      <c r="M215" s="6">
        <f>I215-F215</f>
        <v>5.4745370362070389E-3</v>
      </c>
      <c r="N215" s="7">
        <f>24*60*SUM($M215:$M215)</f>
        <v>7.883333332138136</v>
      </c>
      <c r="O215" s="7"/>
      <c r="P215" s="7"/>
      <c r="Q215" s="22"/>
      <c r="R215" s="22"/>
      <c r="S215" s="31">
        <f>SUM(U215:U215)/IF(AG215="EC",12,1)</f>
        <v>1</v>
      </c>
      <c r="T215" s="46" t="str">
        <f>IF(ISEVEN(LEFT(AD215,4)),"Southbound","NorthBound")</f>
        <v>Southbound</v>
      </c>
      <c r="U215" s="190">
        <f>IF(AG215="EC",COUNTIFS(Variables!$M$2:$M$19,IF(T215="NorthBound","&gt;=","&lt;=")&amp;Y215,Variables!$M$2:$M$19,IF(T215="NorthBound","&lt;=","&gt;=")&amp;Z215),COUNTIFS(Variables!$P$2:$P$19,IF(T215="NorthBound","&gt;=","&lt;=")&amp;Y215,Variables!$P$2:$P$19,IF(T215="NorthBound","&lt;=","&gt;=")&amp;Z215))</f>
        <v>1</v>
      </c>
      <c r="V215" s="191" t="str">
        <f>"https://d0f6bd738d7f1b3e5a7ca70fe4ff75f0.us-east-1.aws.found.io/app/kibana#/discover/Steve-Slow-Train-Analysis-(2080s-and-2083s)?_g="&amp;"(refreshInterval:(display:Off,pause:!f,section:0,value:0),time:(from:'"&amp;TEXT(E215-1/24,"yyyy-MM-DDThh:mm:ss")&amp;utc_offset&amp;"00"&amp;"',mode:absolute,to:'"&amp;TEXT(I215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215&amp;"%22')),sort:!(Time.ISO8601,asc))"</f>
        <v>https://d0f6bd738d7f1b3e5a7ca70fe4ff75f0.us-east-1.aws.found.io/app/kibana#/discover/Steve-Slow-Train-Analysis-(2080s-and-2083s)?_g=(refreshInterval:(display:Off,pause:!f,section:0,value:0),time:(from:'2017-02-07T14:25:43-0700',mode:absolute,to:'2017-02-07T16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5" s="192" t="str">
        <f>IF(AA215&lt;IF(AG215="EC",23,5.65),"Y","N")</f>
        <v>Y</v>
      </c>
      <c r="X215" s="192">
        <f>VALUE(LEFT(AD215,4))-VALUE(LEFT(AD214,4))</f>
        <v>1</v>
      </c>
      <c r="Y215" s="62">
        <f>RIGHT(D215,LEN(D215)-4)/10000</f>
        <v>2.3083999999999998</v>
      </c>
      <c r="Z215" s="62">
        <f>RIGHT(H215,LEN(H215)-4)/10000</f>
        <v>6.9099999999999995E-2</v>
      </c>
      <c r="AA215" s="62">
        <f>ABS(Z215-Y215)</f>
        <v>2.2392999999999996</v>
      </c>
      <c r="AB215" s="59" t="e">
        <f>VLOOKUP(A215,Enforcements!$C$7:$K$14,8,0)</f>
        <v>#N/A</v>
      </c>
      <c r="AC215" s="55" t="e">
        <f>VLOOKUP(A215,Enforcements!$C$7:$E$14,3,0)</f>
        <v>#N/A</v>
      </c>
      <c r="AD215" s="56" t="str">
        <f>IF(LEN(A215)=6,"0"&amp;A215,A215)</f>
        <v>0904-07</v>
      </c>
      <c r="AE215" s="85" t="str">
        <f>"aws s3 cp "&amp;s3_bucket&amp;"/RTDC"&amp;B215&amp;"/ "&amp;search_path&amp;"\RTDC"&amp;B215&amp;"\"&amp;TEXT(F215,"YYYY-MM-DD")&amp;" --exclude ""*"" --recursive --include ""*"&amp;TEXT(F215,"YYYYMMDD")&amp;"*"" &amp; """&amp;walkandungz&amp;""" "&amp;search_path&amp;"\RTDC"&amp;B215&amp;"\"&amp;TEXT(F215,"YYYY-MM-DD")
&amp;" &amp; "&amp;"aws s3 cp "&amp;s3_bucket&amp;"/RTDC"&amp;B215&amp;"/ "&amp;search_path&amp;"\RTDC"&amp;B215&amp;"\"&amp;TEXT(F215+1,"YYYY-MM-DD")&amp;" --exclude ""*"" --recursive --include ""*"&amp;TEXT(F215+1,"YYYYMMDD")&amp;"*"" &amp; """&amp;walkandungz&amp;""" "&amp;search_path&amp;"\RTDC"&amp;B215&amp;"\"&amp;TEXT(F215+1,"YYYY-MM-DD")</f>
        <v>aws s3 cp s3://rtdc.mdm.uploadarchive.raw/RTDC4052/ "%USERPROFILE%\AppData\Local\Temp\OnboardLogs"\RTDC4052\2017-02-07 --exclude "*" --recursive --include "*20170207*" &amp; "%USERPROFILE%\Documents\GitHub\mrs-test-scripts\Headless Mode &amp; Sideloading\WalkAndUnGZ.bat" "%USERPROFILE%\AppData\Local\Temp\OnboardLogs"\RTDC4052\2017-02-07 &amp; aws s3 cp s3://rtdc.mdm.uploadarchive.raw/RTDC4052/ "%USERPROFILE%\AppData\Local\Temp\OnboardLogs"\RTDC4052\2017-02-08 --exclude "*" --recursive --include "*20170208*" &amp; "%USERPROFILE%\Documents\GitHub\mrs-test-scripts\Headless Mode &amp; Sideloading\WalkAndUnGZ.bat" "%USERPROFILE%\AppData\Local\Temp\OnboardLogs"\RTDC4052\2017-02-08</v>
      </c>
      <c r="AF215" s="82" t="str">
        <f>astrogrep_path&amp;" /spath="&amp;search_path&amp;" /stypes=""app*"&amp;B215&amp;"*"&amp;TEXT(I215-utc_offset/24,"YYYYMMDD")&amp;"*"" /stext="" "&amp;TEXT(I215-utc_offset/24,"HH")&amp;search_regexp&amp;""" /e /r /s"</f>
        <v>"C:\Program Files (x86)\AstroGrep\AstroGrep.exe" /spath="%USERPROFILE%\AppData\Local\Temp\OnboardLogs" /stypes="app*4052*20170207*" /stext=" 22:.+((SYSTEM_STATE.+slice.+state.+changed )|(ment ac)|(multiple cpu faults)|(system.+state.+changed )|(\[timeout)|(PRM\|1\|D)|(kpr)|(kdp)|(\|lc)|(penalty))" /e /r /s</v>
      </c>
      <c r="AG215" s="1" t="str">
        <f>IFERROR(IF(VALUE(LEFT(AD215,2))&lt;=2,"EC",IF(OR(VALUE(LEFT(AD215,2))=8,VALUE(LEFT(AD215,2))=18),"NW","Other")),"Other")</f>
        <v>Other</v>
      </c>
      <c r="AH215" s="86" t="str">
        <f t="shared" si="12"/>
        <v>"%USERPROFILE%\Documents\GitHub\eaglep3\Utilities\RefineRTDCRunTimes.py" --tripid 904-07 --locoid 4052 --swversion DE.1.0.8.0 --startMP 300:23084 --initTime 2017-02-07T15:25:43 --startdatetime 2017-02-07T15:28:10 --delay 1 --endMP 204:691 --enddatetime 2017-02-07T15:36:03 --enforcementcount 0 &gt;&gt;C:\Users\stu\Documents\GitHub\eaglep3-reporting\EC\2017-02-07-refined-times.txt</v>
      </c>
      <c r="AI215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{"issue":{"subject":"","project_id":79,"tracker_id":40,"status_id":1,"priority_id":2,"assigned_to_id":23,"start_date":"2017-02-07","description":"","custom_fields":[{"id":1,"name":"Subdivision","value":"Other"},{"id":4,"name":"Milepost","value":"0.0691"},{"id":17,"name":"Train ID","value":"904-07"},{"id":16,"name":"Locomotive ID","value":"4052"},{"id":130,"name":"Impact","value":""},{"id":150,"name":"Time of Event (Mountain Time)","value":"15:36:03"},{"id":151,"name":"Denver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5" s="48"/>
      <c r="AK215" s="48"/>
      <c r="AL215" s="48"/>
      <c r="AM215" s="158" t="str">
        <f t="shared" si="14"/>
        <v>start /low /b %USERPROFILE%\Documents\GitHub\eaglep3\Utilities\DownloadLogsFromS3.py --loco 4052 --day 2017-02-07</v>
      </c>
      <c r="AN215" s="167" t="str">
        <f>"grep -SE -B400 ""CHR.+\|PRM\|1\|D.+(SWITCH|SIGNAL).+UNKNOWN"" "&amp;search_path&amp;"\RTDC"&amp;B215&amp;"\*"&amp;B215&amp;"*"&amp;TEXT(AVERAGE(F215,I215)-utc_offset/24,"YYYYMMDD")&amp;"*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"%USERPROFILE%\AppData\Local\Temp\OnboardLogs"\RTDC4052\*4052*20170207* | grep -SE "(Enforcement Action)|(\[TIMEOUT)|(CHR.+\|PRM\|1\|D.+(SWITCH|SIGNAL).+UNKNOWN)" - &gt;&gt; 2017-02-07-UncaughtWiMAX.txt</v>
      </c>
    </row>
    <row r="216" spans="1:40" x14ac:dyDescent="0.25">
      <c r="A216" s="33" t="s">
        <v>662</v>
      </c>
      <c r="B216" s="7">
        <v>4052</v>
      </c>
      <c r="C216" s="21" t="s">
        <v>193</v>
      </c>
      <c r="D216" s="21" t="s">
        <v>859</v>
      </c>
      <c r="E216" s="13">
        <v>42773.797534722224</v>
      </c>
      <c r="F216" s="13">
        <v>42773.799039351848</v>
      </c>
      <c r="G216" s="7">
        <v>0</v>
      </c>
      <c r="H216" s="21" t="s">
        <v>860</v>
      </c>
      <c r="I216" s="13">
        <v>42773.803761574076</v>
      </c>
      <c r="J216" s="7">
        <v>0</v>
      </c>
      <c r="K216" s="98" t="str">
        <f>IF(ISEVEN(B216),(B216-1)&amp;"/"&amp;B216,B216&amp;"/"&amp;(B216+1))</f>
        <v>4051/4052</v>
      </c>
      <c r="L216" s="21" t="str">
        <f>VLOOKUP(A216,'Trips&amp;Operators'!$C$1:$G$99999,5,FALSE)</f>
        <v>HILLS DUSTIN</v>
      </c>
      <c r="M216" s="6">
        <f>I216-F216</f>
        <v>4.7222222274285741E-3</v>
      </c>
      <c r="N216" s="7">
        <f>24*60*SUM($M216:$M216)</f>
        <v>6.8000000074971467</v>
      </c>
      <c r="O216" s="7"/>
      <c r="P216" s="7"/>
      <c r="Q216" s="22"/>
      <c r="R216" s="22"/>
      <c r="S216" s="31">
        <f>SUM(U216:U216)/IF(AG216="EC",12,1)</f>
        <v>0</v>
      </c>
      <c r="T216" s="46" t="str">
        <f>IF(ISEVEN(LEFT(AD216,4)),"Southbound","NorthBound")</f>
        <v>Southbound</v>
      </c>
      <c r="U216" s="190">
        <f>IF(AG216="EC",COUNTIFS(Variables!$M$2:$M$19,IF(T216="NorthBound","&gt;=","&lt;=")&amp;Y216,Variables!$M$2:$M$19,IF(T216="NorthBound","&lt;=","&gt;=")&amp;Z216),COUNTIFS(Variables!$P$2:$P$19,IF(T216="NorthBound","&gt;=","&lt;=")&amp;Y216,Variables!$P$2:$P$19,IF(T216="NorthBound","&lt;=","&gt;=")&amp;Z216))</f>
        <v>0</v>
      </c>
      <c r="V216" s="191" t="str">
        <f>"https://d0f6bd738d7f1b3e5a7ca70fe4ff75f0.us-east-1.aws.found.io/app/kibana#/discover/Steve-Slow-Train-Analysis-(2080s-and-2083s)?_g="&amp;"(refreshInterval:(display:Off,pause:!f,section:0,value:0),time:(from:'"&amp;TEXT(E216-1/24,"yyyy-MM-DDThh:mm:ss")&amp;utc_offset&amp;"00"&amp;"',mode:absolute,to:'"&amp;TEXT(I216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216&amp;"%22')),sort:!(Time.ISO8601,asc))"</f>
        <v>https://d0f6bd738d7f1b3e5a7ca70fe4ff75f0.us-east-1.aws.found.io/app/kibana#/discover/Steve-Slow-Train-Analysis-(2080s-and-2083s)?_g=(refreshInterval:(display:Off,pause:!f,section:0,value:0),time:(from:'2017-02-07T18:08:27-0700',mode:absolute,to:'2017-02-07T20:17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W216" s="192" t="str">
        <f>IF(AA216&lt;IF(AG216="EC",23,5.65),"Y","N")</f>
        <v>Y</v>
      </c>
      <c r="X216" s="192">
        <f>VALUE(LEFT(AD216,4))-VALUE(LEFT(AD215,4))</f>
        <v>2</v>
      </c>
      <c r="Y216" s="62">
        <f>RIGHT(D216,LEN(D216)-4)/10000</f>
        <v>5.8655999999999997</v>
      </c>
      <c r="Z216" s="62">
        <f>RIGHT(H216,LEN(H216)-4)/10000</f>
        <v>2.8740000000000001</v>
      </c>
      <c r="AA216" s="62">
        <f>ABS(Z216-Y216)</f>
        <v>2.9915999999999996</v>
      </c>
      <c r="AB216" s="59" t="e">
        <f>VLOOKUP(A216,Enforcements!$C$7:$K$14,8,0)</f>
        <v>#N/A</v>
      </c>
      <c r="AC216" s="55" t="e">
        <f>VLOOKUP(A216,Enforcements!$C$7:$E$14,3,0)</f>
        <v>#N/A</v>
      </c>
      <c r="AD216" s="56" t="str">
        <f>IF(LEN(A216)=6,"0"&amp;A216,A216)</f>
        <v>0906-07</v>
      </c>
      <c r="AE216" s="85" t="str">
        <f>"aws s3 cp "&amp;s3_bucket&amp;"/RTDC"&amp;B216&amp;"/ "&amp;search_path&amp;"\RTDC"&amp;B216&amp;"\"&amp;TEXT(F216,"YYYY-MM-DD")&amp;" --exclude ""*"" --recursive --include ""*"&amp;TEXT(F216,"YYYYMMDD")&amp;"*"" &amp; """&amp;walkandungz&amp;""" "&amp;search_path&amp;"\RTDC"&amp;B216&amp;"\"&amp;TEXT(F216,"YYYY-MM-DD")
&amp;" &amp; "&amp;"aws s3 cp "&amp;s3_bucket&amp;"/RTDC"&amp;B216&amp;"/ "&amp;search_path&amp;"\RTDC"&amp;B216&amp;"\"&amp;TEXT(F216+1,"YYYY-MM-DD")&amp;" --exclude ""*"" --recursive --include ""*"&amp;TEXT(F216+1,"YYYYMMDD")&amp;"*"" &amp; """&amp;walkandungz&amp;""" "&amp;search_path&amp;"\RTDC"&amp;B216&amp;"\"&amp;TEXT(F216+1,"YYYY-MM-DD")</f>
        <v>aws s3 cp s3://rtdc.mdm.uploadarchive.raw/RTDC4052/ "%USERPROFILE%\AppData\Local\Temp\OnboardLogs"\RTDC4052\2017-02-07 --exclude "*" --recursive --include "*20170207*" &amp; "%USERPROFILE%\Documents\GitHub\mrs-test-scripts\Headless Mode &amp; Sideloading\WalkAndUnGZ.bat" "%USERPROFILE%\AppData\Local\Temp\OnboardLogs"\RTDC4052\2017-02-07 &amp; aws s3 cp s3://rtdc.mdm.uploadarchive.raw/RTDC4052/ "%USERPROFILE%\AppData\Local\Temp\OnboardLogs"\RTDC4052\2017-02-08 --exclude "*" --recursive --include "*20170208*" &amp; "%USERPROFILE%\Documents\GitHub\mrs-test-scripts\Headless Mode &amp; Sideloading\WalkAndUnGZ.bat" "%USERPROFILE%\AppData\Local\Temp\OnboardLogs"\RTDC4052\2017-02-08</v>
      </c>
      <c r="AF216" s="82" t="str">
        <f>astrogrep_path&amp;" /spath="&amp;search_path&amp;" /stypes=""app*"&amp;B216&amp;"*"&amp;TEXT(I216-utc_offset/24,"YYYYMMDD")&amp;"*"" /stext="" "&amp;TEXT(I216-utc_offset/24,"HH")&amp;search_regexp&amp;""" /e /r /s"</f>
        <v>"C:\Program Files (x86)\AstroGrep\AstroGrep.exe" /spath="%USERPROFILE%\AppData\Local\Temp\OnboardLogs" /stypes="app*4052*20170208*" /stext=" 02:.+((SYSTEM_STATE.+slice.+state.+changed )|(ment ac)|(multiple cpu faults)|(system.+state.+changed )|(\[timeout)|(PRM\|1\|D)|(kpr)|(kdp)|(\|lc)|(penalty))" /e /r /s</v>
      </c>
      <c r="AG216" s="1" t="str">
        <f>IFERROR(IF(VALUE(LEFT(AD216,2))&lt;=2,"EC",IF(OR(VALUE(LEFT(AD216,2))=8,VALUE(LEFT(AD216,2))=18),"NW","Other")),"Other")</f>
        <v>Other</v>
      </c>
      <c r="AH216" s="86" t="str">
        <f t="shared" si="12"/>
        <v>"%USERPROFILE%\Documents\GitHub\eaglep3\Utilities\RefineRTDCRunTimes.py" --tripid 906-07 --locoid 4052 --swversion DE.1.0.8.0 --startMP 300:58656 --initTime 2017-02-07T19:08:27 --startdatetime 2017-02-07T19:10:37 --delay 0 --endMP 300:28740 --enddatetime 2017-02-07T19:17:25 --enforcementcount 0 &gt;&gt;C:\Users\stu\Documents\GitHub\eaglep3-reporting\EC\2017-02-07-refined-times.txt</v>
      </c>
      <c r="AI216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{"issue":{"subject":"","project_id":79,"tracker_id":40,"status_id":1,"priority_id":2,"assigned_to_id":23,"start_date":"2017-02-07","description":"","custom_fields":[{"id":1,"name":"Subdivision","value":"Other"},{"id":4,"name":"Milepost","value":"2.874"},{"id":17,"name":"Train ID","value":"906-07"},{"id":16,"name":"Locomotive ID","value":"4052"},{"id":130,"name":"Impact","value":""},{"id":150,"name":"Time of Event (Mountain Time)","value":"19:17:25"},{"id":151,"name":"Denver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6" s="48"/>
      <c r="AK216" s="48"/>
      <c r="AL216" s="48"/>
      <c r="AM216" s="158" t="str">
        <f t="shared" si="14"/>
        <v>start /low /b %USERPROFILE%\Documents\GitHub\eaglep3\Utilities\DownloadLogsFromS3.py --loco 4052 --day 2017-02-07</v>
      </c>
      <c r="AN216" s="167" t="str">
        <f>"grep -SE -B400 ""CHR.+\|PRM\|1\|D.+(SWITCH|SIGNAL).+UNKNOWN"" "&amp;search_path&amp;"\RTDC"&amp;B216&amp;"\*"&amp;B216&amp;"*"&amp;TEXT(AVERAGE(F216,I216)-utc_offset/24,"YYYYMMDD")&amp;"*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"%USERPROFILE%\AppData\Local\Temp\OnboardLogs"\RTDC4052\*4052*20170208* | grep -SE "(Enforcement Action)|(\[TIMEOUT)|(CHR.+\|PRM\|1\|D.+(SWITCH|SIGNAL).+UNKNOWN)" - &gt;&gt; 2017-02-07-UncaughtWiMAX.txt</v>
      </c>
    </row>
    <row r="217" spans="1:40" x14ac:dyDescent="0.25">
      <c r="A217" s="33" t="s">
        <v>684</v>
      </c>
      <c r="B217" s="7">
        <v>4028</v>
      </c>
      <c r="C217" s="21" t="s">
        <v>193</v>
      </c>
      <c r="D217" s="21" t="s">
        <v>861</v>
      </c>
      <c r="E217" s="13">
        <v>42773.942245370374</v>
      </c>
      <c r="F217" s="13">
        <v>42773.944178240738</v>
      </c>
      <c r="G217" s="7">
        <v>1</v>
      </c>
      <c r="H217" s="21" t="s">
        <v>862</v>
      </c>
      <c r="I217" s="13">
        <v>42773.948773148149</v>
      </c>
      <c r="J217" s="7">
        <v>0</v>
      </c>
      <c r="K217" s="98" t="str">
        <f>IF(ISEVEN(B217),(B217-1)&amp;"/"&amp;B217,B217&amp;"/"&amp;(B217+1))</f>
        <v>4027/4028</v>
      </c>
      <c r="L217" s="21" t="str">
        <f>VLOOKUP(A217,'Trips&amp;Operators'!$C$1:$G$99999,5,FALSE)</f>
        <v>HILLS DUSTIN</v>
      </c>
      <c r="M217" s="6">
        <f>I217-F217</f>
        <v>4.5949074119562283E-3</v>
      </c>
      <c r="N217" s="7">
        <f>24*60*SUM($M217:$M217)</f>
        <v>6.6166666732169688</v>
      </c>
      <c r="O217" s="7"/>
      <c r="P217" s="7"/>
      <c r="Q217" s="22"/>
      <c r="R217" s="22"/>
      <c r="S217" s="31">
        <f>SUM(U217:U217)/IF(AG217="EC",12,1)</f>
        <v>0</v>
      </c>
      <c r="T217" s="46" t="str">
        <f>IF(ISEVEN(LEFT(AD217,4)),"Southbound","NorthBound")</f>
        <v>Southbound</v>
      </c>
      <c r="U217" s="190">
        <f>IF(AG217="EC",COUNTIFS(Variables!$M$2:$M$19,IF(T217="NorthBound","&gt;=","&lt;=")&amp;Y217,Variables!$M$2:$M$19,IF(T217="NorthBound","&lt;=","&gt;=")&amp;Z217),COUNTIFS(Variables!$P$2:$P$19,IF(T217="NorthBound","&gt;=","&lt;=")&amp;Y217,Variables!$P$2:$P$19,IF(T217="NorthBound","&lt;=","&gt;=")&amp;Z217))</f>
        <v>0</v>
      </c>
      <c r="V217" s="191" t="str">
        <f>"https://d0f6bd738d7f1b3e5a7ca70fe4ff75f0.us-east-1.aws.found.io/app/kibana#/discover/Steve-Slow-Train-Analysis-(2080s-and-2083s)?_g="&amp;"(refreshInterval:(display:Off,pause:!f,section:0,value:0),time:(from:'"&amp;TEXT(E217-1/24,"yyyy-MM-DDThh:mm:ss")&amp;utc_offset&amp;"00"&amp;"',mode:absolute,to:'"&amp;TEXT(I217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217&amp;"%22')),sort:!(Time.ISO8601,asc))"</f>
        <v>https://d0f6bd738d7f1b3e5a7ca70fe4ff75f0.us-east-1.aws.found.io/app/kibana#/discover/Steve-Slow-Train-Analysis-(2080s-and-2083s)?_g=(refreshInterval:(display:Off,pause:!f,section:0,value:0),time:(from:'2017-02-07T21:36:50-0700',mode:absolute,to:'2017-02-07T23:46:14-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W217" s="192" t="str">
        <f>IF(AA217&lt;IF(AG217="EC",23,5.65),"Y","N")</f>
        <v>Y</v>
      </c>
      <c r="X217" s="192">
        <f>VALUE(LEFT(AD217,4))-VALUE(LEFT(AD216,4))</f>
        <v>2</v>
      </c>
      <c r="Y217" s="62">
        <f>RIGHT(D217,LEN(D217)-4)/10000</f>
        <v>5.8624999999999998</v>
      </c>
      <c r="Z217" s="62">
        <f>RIGHT(H217,LEN(H217)-4)/10000</f>
        <v>2.1236999999999999</v>
      </c>
      <c r="AA217" s="62">
        <f>ABS(Z217-Y217)</f>
        <v>3.7387999999999999</v>
      </c>
      <c r="AB217" s="59" t="e">
        <f>VLOOKUP(A217,Enforcements!$C$7:$K$14,8,0)</f>
        <v>#N/A</v>
      </c>
      <c r="AC217" s="55" t="e">
        <f>VLOOKUP(A217,Enforcements!$C$7:$E$14,3,0)</f>
        <v>#N/A</v>
      </c>
      <c r="AD217" s="56" t="str">
        <f>IF(LEN(A217)=6,"0"&amp;A217,A217)</f>
        <v>0908-07</v>
      </c>
      <c r="AE217" s="85" t="str">
        <f>"aws s3 cp "&amp;s3_bucket&amp;"/RTDC"&amp;B217&amp;"/ "&amp;search_path&amp;"\RTDC"&amp;B217&amp;"\"&amp;TEXT(F217,"YYYY-MM-DD")&amp;" --exclude ""*"" --recursive --include ""*"&amp;TEXT(F217,"YYYYMMDD")&amp;"*"" &amp; """&amp;walkandungz&amp;""" "&amp;search_path&amp;"\RTDC"&amp;B217&amp;"\"&amp;TEXT(F217,"YYYY-MM-DD")
&amp;" &amp; "&amp;"aws s3 cp "&amp;s3_bucket&amp;"/RTDC"&amp;B217&amp;"/ "&amp;search_path&amp;"\RTDC"&amp;B217&amp;"\"&amp;TEXT(F217+1,"YYYY-MM-DD")&amp;" --exclude ""*"" --recursive --include ""*"&amp;TEXT(F217+1,"YYYYMMDD")&amp;"*"" &amp; """&amp;walkandungz&amp;""" "&amp;search_path&amp;"\RTDC"&amp;B217&amp;"\"&amp;TEXT(F217+1,"YYYY-MM-DD")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AF217" s="82" t="str">
        <f>astrogrep_path&amp;" /spath="&amp;search_path&amp;" /stypes=""app*"&amp;B217&amp;"*"&amp;TEXT(I217-utc_offset/24,"YYYYMMDD")&amp;"*"" /stext="" "&amp;TEXT(I217-utc_offset/24,"HH")&amp;search_regexp&amp;""" /e /r /s"</f>
        <v>"C:\Program Files (x86)\AstroGrep\AstroGrep.exe" /spath="%USERPROFILE%\AppData\Local\Temp\OnboardLogs" /stypes="app*4028*20170208*" /stext=" 05:.+((SYSTEM_STATE.+slice.+state.+changed )|(ment ac)|(multiple cpu faults)|(system.+state.+changed )|(\[timeout)|(PRM\|1\|D)|(kpr)|(kdp)|(\|lc)|(penalty))" /e /r /s</v>
      </c>
      <c r="AG217" s="1" t="str">
        <f>IFERROR(IF(VALUE(LEFT(AD217,2))&lt;=2,"EC",IF(OR(VALUE(LEFT(AD217,2))=8,VALUE(LEFT(AD217,2))=18),"NW","Other")),"Other")</f>
        <v>Other</v>
      </c>
      <c r="AH217" s="86" t="str">
        <f t="shared" si="12"/>
        <v>"%USERPROFILE%\Documents\GitHub\eaglep3\Utilities\RefineRTDCRunTimes.py" --tripid 908-07 --locoid 4028 --swversion DE.1.0.8.0 --startMP 300:58625 --initTime 2017-02-07T22:36:50 --startdatetime 2017-02-07T22:39:37 --delay 1 --endMP 300:21237 --enddatetime 2017-02-07T22:46:14 --enforcementcount 0 &gt;&gt;C:\Users\stu\Documents\GitHub\eaglep3-reporting\EC\2017-02-07-refined-times.txt</v>
      </c>
      <c r="AI217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{"issue":{"subject":"","project_id":79,"tracker_id":40,"status_id":1,"priority_id":2,"assigned_to_id":23,"start_date":"2017-02-07","description":"","custom_fields":[{"id":1,"name":"Subdivision","value":"Other"},{"id":4,"name":"Milepost","value":"2.1237"},{"id":17,"name":"Train ID","value":"908-07"},{"id":16,"name":"Locomotive ID","value":"4028"},{"id":130,"name":"Impact","value":""},{"id":150,"name":"Time of Event (Mountain Time)","value":"22:46:14"},{"id":151,"name":"Denver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7" s="48"/>
      <c r="AK217" s="48"/>
      <c r="AL217" s="48"/>
      <c r="AM217" s="158" t="str">
        <f t="shared" si="14"/>
        <v>start /low /b %USERPROFILE%\Documents\GitHub\eaglep3\Utilities\DownloadLogsFromS3.py --loco 4028 --day 2017-02-07</v>
      </c>
      <c r="AN217" s="167" t="str">
        <f>"grep -SE -B400 ""CHR.+\|PRM\|1\|D.+(SWITCH|SIGNAL).+UNKNOWN"" "&amp;search_path&amp;"\RTDC"&amp;B217&amp;"\*"&amp;B217&amp;"*"&amp;TEXT(AVERAGE(F217,I217)-utc_offset/24,"YYYYMMDD")&amp;"*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"%USERPROFILE%\AppData\Local\Temp\OnboardLogs"\RTDC4028\*4028*20170208* | grep -SE "(Enforcement Action)|(\[TIMEOUT)|(CHR.+\|PRM\|1\|D.+(SWITCH|SIGNAL).+UNKNOWN)" - &gt;&gt; 2017-02-07-UncaughtWiMAX.txt</v>
      </c>
    </row>
    <row r="218" spans="1:40" x14ac:dyDescent="0.25">
      <c r="A218" s="33" t="s">
        <v>657</v>
      </c>
      <c r="B218" s="7">
        <v>4044</v>
      </c>
      <c r="C218" s="21" t="s">
        <v>193</v>
      </c>
      <c r="D218" s="21" t="s">
        <v>273</v>
      </c>
      <c r="E218" s="13">
        <v>42773.774907407409</v>
      </c>
      <c r="F218" s="13">
        <v>42773.788530092592</v>
      </c>
      <c r="G218" s="7">
        <v>1</v>
      </c>
      <c r="H218" s="21" t="s">
        <v>786</v>
      </c>
      <c r="I218" s="13">
        <v>42773.794270833336</v>
      </c>
      <c r="J218" s="7">
        <v>0</v>
      </c>
      <c r="K218" s="98" t="str">
        <f>IF(ISEVEN(B218),(B218-1)&amp;"/"&amp;B218,B218&amp;"/"&amp;(B218+1))</f>
        <v>4043/4044</v>
      </c>
      <c r="L218" s="21" t="str">
        <f>VLOOKUP(A218,'Trips&amp;Operators'!$C$1:$G$99999,5,FALSE)</f>
        <v>LEVERE CRAIG</v>
      </c>
      <c r="M218" s="6">
        <f>I218-F218</f>
        <v>5.7407407439313829E-3</v>
      </c>
      <c r="N218" s="7">
        <f>24*60*SUM($M218:$M218)</f>
        <v>8.2666666712611914</v>
      </c>
      <c r="O218" s="7"/>
      <c r="P218" s="7"/>
      <c r="Q218" s="22"/>
      <c r="R218" s="22"/>
      <c r="S218" s="31">
        <f>SUM(U218:U218)/IF(AG218="EC",12,1)</f>
        <v>0</v>
      </c>
      <c r="T218" s="46" t="e">
        <f>IF(ISEVEN(LEFT(AD218,4)),"Southbound","NorthBound")</f>
        <v>#VALUE!</v>
      </c>
      <c r="U218" s="190">
        <f>IF(AG218="EC",COUNTIFS(Variables!$M$2:$M$19,IF(T218="NorthBound","&gt;=","&lt;=")&amp;Y218,Variables!$M$2:$M$19,IF(T218="NorthBound","&lt;=","&gt;=")&amp;Z218),COUNTIFS(Variables!$P$2:$P$19,IF(T218="NorthBound","&gt;=","&lt;=")&amp;Y218,Variables!$P$2:$P$19,IF(T218="NorthBound","&lt;=","&gt;=")&amp;Z218))</f>
        <v>0</v>
      </c>
      <c r="V218" s="191" t="str">
        <f>"https://d0f6bd738d7f1b3e5a7ca70fe4ff75f0.us-east-1.aws.found.io/app/kibana#/discover/Steve-Slow-Train-Analysis-(2080s-and-2083s)?_g="&amp;"(refreshInterval:(display:Off,pause:!f,section:0,value:0),time:(from:'"&amp;TEXT(E218-1/24,"yyyy-MM-DDThh:mm:ss")&amp;utc_offset&amp;"00"&amp;"',mode:absolute,to:'"&amp;TEXT(I218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218&amp;"%22')),sort:!(Time.ISO8601,asc))"</f>
        <v>https://d0f6bd738d7f1b3e5a7ca70fe4ff75f0.us-east-1.aws.found.io/app/kibana#/discover/Steve-Slow-Train-Analysis-(2080s-and-2083s)?_g=(refreshInterval:(display:Off,pause:!f,section:0,value:0),time:(from:'2017-02-07T17:35:52-0700',mode:absolute,to:'2017-02-07T20:03:45-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18" s="192" t="str">
        <f>IF(AA218&lt;IF(AG218="EC",23,5.65),"Y","N")</f>
        <v>Y</v>
      </c>
      <c r="X218" s="192" t="e">
        <f>VALUE(LEFT(AD218,4))-VALUE(LEFT(AD217,4))</f>
        <v>#VALUE!</v>
      </c>
      <c r="Y218" s="62">
        <f>RIGHT(D218,LEN(D218)-4)/10000</f>
        <v>4.53E-2</v>
      </c>
      <c r="Z218" s="62">
        <f>RIGHT(H218,LEN(H218)-4)/10000</f>
        <v>2.2841</v>
      </c>
      <c r="AA218" s="62">
        <f>ABS(Z218-Y218)</f>
        <v>2.2387999999999999</v>
      </c>
      <c r="AB218" s="59" t="e">
        <f>VLOOKUP(A218,Enforcements!$C$7:$K$14,8,0)</f>
        <v>#N/A</v>
      </c>
      <c r="AC218" s="55" t="e">
        <f>VLOOKUP(A218,Enforcements!$C$7:$E$14,3,0)</f>
        <v>#N/A</v>
      </c>
      <c r="AD218" s="56" t="str">
        <f>IF(LEN(A218)=6,"0"&amp;A218,A218)</f>
        <v>51-07</v>
      </c>
      <c r="AE218" s="85" t="str">
        <f>"aws s3 cp "&amp;s3_bucket&amp;"/RTDC"&amp;B218&amp;"/ "&amp;search_path&amp;"\RTDC"&amp;B218&amp;"\"&amp;TEXT(F218,"YYYY-MM-DD")&amp;" --exclude ""*"" --recursive --include ""*"&amp;TEXT(F218,"YYYYMMDD")&amp;"*"" &amp; """&amp;walkandungz&amp;""" "&amp;search_path&amp;"\RTDC"&amp;B218&amp;"\"&amp;TEXT(F218,"YYYY-MM-DD")
&amp;" &amp; "&amp;"aws s3 cp "&amp;s3_bucket&amp;"/RTDC"&amp;B218&amp;"/ "&amp;search_path&amp;"\RTDC"&amp;B218&amp;"\"&amp;TEXT(F218+1,"YYYY-MM-DD")&amp;" --exclude ""*"" --recursive --include ""*"&amp;TEXT(F218+1,"YYYYMMDD")&amp;"*"" &amp; """&amp;walkandungz&amp;""" "&amp;search_path&amp;"\RTDC"&amp;B218&amp;"\"&amp;TEXT(F218+1,"YYYY-MM-DD")</f>
        <v>aws s3 cp s3://rtdc.mdm.uploadarchive.raw/RTDC4044/ "%USERPROFILE%\AppData\Local\Temp\OnboardLogs"\RTDC4044\2017-02-07 --exclude "*" --recursive --include "*20170207*" &amp; "%USERPROFILE%\Documents\GitHub\mrs-test-scripts\Headless Mode &amp; Sideloading\WalkAndUnGZ.bat" "%USERPROFILE%\AppData\Local\Temp\OnboardLogs"\RTDC4044\2017-02-07 &amp; 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</v>
      </c>
      <c r="AF218" s="82" t="str">
        <f>astrogrep_path&amp;" /spath="&amp;search_path&amp;" /stypes=""app*"&amp;B218&amp;"*"&amp;TEXT(I218-utc_offset/24,"YYYYMMDD")&amp;"*"" /stext="" "&amp;TEXT(I218-utc_offset/24,"HH")&amp;search_regexp&amp;""" /e /r /s"</f>
        <v>"C:\Program Files (x86)\AstroGrep\AstroGrep.exe" /spath="%USERPROFILE%\AppData\Local\Temp\OnboardLogs" /stypes="app*4044*20170208*" /stext=" 02:.+((SYSTEM_STATE.+slice.+state.+changed )|(ment ac)|(multiple cpu faults)|(system.+state.+changed )|(\[timeout)|(PRM\|1\|D)|(kpr)|(kdp)|(\|lc)|(penalty))" /e /r /s</v>
      </c>
      <c r="AG218" s="1" t="str">
        <f>IFERROR(IF(VALUE(LEFT(AD218,2))&lt;=2,"EC",IF(OR(VALUE(LEFT(AD218,2))=8,VALUE(LEFT(AD218,2))=18),"NW","Other")),"Other")</f>
        <v>Other</v>
      </c>
      <c r="AH218" s="86" t="str">
        <f t="shared" si="12"/>
        <v>"%USERPROFILE%\Documents\GitHub\eaglep3\Utilities\RefineRTDCRunTimes.py" --tripid 51-07 --locoid 4044 --swversion DE.1.0.8.0 --startMP 204:453 --initTime 2017-02-07T18:35:52 --startdatetime 2017-02-07T18:55:29 --delay 1 --endMP 300:22841 --enddatetime 2017-02-07T19:03:45 --enforcementcount 0 &gt;&gt;C:\Users\stu\Documents\GitHub\eaglep3-reporting\EC\2017-02-07-refined-times.txt</v>
      </c>
      <c r="AI218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{"issue":{"subject":"","project_id":79,"tracker_id":40,"status_id":1,"priority_id":2,"assigned_to_id":23,"start_date":"2017-02-07","description":"","custom_fields":[{"id":1,"name":"Subdivision","value":"Other"},{"id":4,"name":"Milepost","value":"2.2841"},{"id":17,"name":"Train ID","value":"51-07"},{"id":16,"name":"Locomotive ID","value":"4044"},{"id":130,"name":"Impact","value":""},{"id":150,"name":"Time of Event (Mountain Time)","value":"19:03:45"},{"id":151,"name":"Denver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8" s="48"/>
      <c r="AK218" s="48"/>
      <c r="AL218" s="48"/>
      <c r="AM218" s="158" t="str">
        <f t="shared" si="14"/>
        <v>start /low /b %USERPROFILE%\Documents\GitHub\eaglep3\Utilities\DownloadLogsFromS3.py --loco 4044 --day 2017-02-07</v>
      </c>
      <c r="AN218" s="167" t="str">
        <f>"grep -SE -B400 ""CHR.+\|PRM\|1\|D.+(SWITCH|SIGNAL).+UNKNOWN"" "&amp;search_path&amp;"\RTDC"&amp;B218&amp;"\*"&amp;B218&amp;"*"&amp;TEXT(AVERAGE(F218,I218)-utc_offset/24,"YYYYMMDD")&amp;"*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"%USERPROFILE%\AppData\Local\Temp\OnboardLogs"\RTDC4044\*4044*20170208* | grep -SE "(Enforcement Action)|(\[TIMEOUT)|(CHR.+\|PRM\|1\|D.+(SWITCH|SIGNAL).+UNKNOWN)" - &gt;&gt; 2017-02-07-UncaughtWiMAX.txt</v>
      </c>
    </row>
    <row r="219" spans="1:40" x14ac:dyDescent="0.25">
      <c r="A219" s="33" t="s">
        <v>553</v>
      </c>
      <c r="B219" s="7">
        <v>4019</v>
      </c>
      <c r="C219" s="21" t="s">
        <v>193</v>
      </c>
      <c r="D219" s="21" t="s">
        <v>323</v>
      </c>
      <c r="E219" s="13">
        <v>42773.341377314813</v>
      </c>
      <c r="F219" s="13">
        <v>42773.347291666665</v>
      </c>
      <c r="G219" s="7">
        <v>1</v>
      </c>
      <c r="H219" s="21" t="s">
        <v>787</v>
      </c>
      <c r="I219" s="13">
        <v>42773.361087962963</v>
      </c>
      <c r="J219" s="7">
        <v>0</v>
      </c>
      <c r="K219" s="98" t="str">
        <f>IF(ISEVEN(B219),(B219-1)&amp;"/"&amp;B219,B219&amp;"/"&amp;(B219+1))</f>
        <v>4019/4020</v>
      </c>
      <c r="L219" s="21" t="str">
        <f>VLOOKUP(A219,'Trips&amp;Operators'!$C$1:$G$99999,5,FALSE)</f>
        <v>SPECTOR MICHAEL</v>
      </c>
      <c r="M219" s="6">
        <f>I219-F219</f>
        <v>1.3796296298096422E-2</v>
      </c>
      <c r="N219" s="7">
        <f>24*60*SUM($M219:$M219)</f>
        <v>19.866666669258848</v>
      </c>
      <c r="O219" s="7"/>
      <c r="P219" s="7"/>
      <c r="Q219" s="22"/>
      <c r="R219" s="22"/>
      <c r="S219" s="31">
        <f>SUM(U219:U219)/IF(AG219="EC",12,1)</f>
        <v>0</v>
      </c>
      <c r="T219" s="46" t="e">
        <f>IF(ISEVEN(LEFT(AD219,4)),"Southbound","NorthBound")</f>
        <v>#VALUE!</v>
      </c>
      <c r="U219" s="190">
        <f>IF(AG219="EC",COUNTIFS(Variables!$M$2:$M$19,IF(T219="NorthBound","&gt;=","&lt;=")&amp;Y219,Variables!$M$2:$M$19,IF(T219="NorthBound","&lt;=","&gt;=")&amp;Z219),COUNTIFS(Variables!$P$2:$P$19,IF(T219="NorthBound","&gt;=","&lt;=")&amp;Y219,Variables!$P$2:$P$19,IF(T219="NorthBound","&lt;=","&gt;=")&amp;Z219))</f>
        <v>0</v>
      </c>
      <c r="V219" s="191" t="str">
        <f>"https://d0f6bd738d7f1b3e5a7ca70fe4ff75f0.us-east-1.aws.found.io/app/kibana#/discover/Steve-Slow-Train-Analysis-(2080s-and-2083s)?_g="&amp;"(refreshInterval:(display:Off,pause:!f,section:0,value:0),time:(from:'"&amp;TEXT(E219-1/24,"yyyy-MM-DDThh:mm:ss")&amp;utc_offset&amp;"00"&amp;"',mode:absolute,to:'"&amp;TEXT(I219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219&amp;"%22')),sort:!(Time.ISO8601,asc))"</f>
        <v>https://d0f6bd738d7f1b3e5a7ca70fe4ff75f0.us-east-1.aws.found.io/app/kibana#/discover/Steve-Slow-Train-Analysis-(2080s-and-2083s)?_g=(refreshInterval:(display:Off,pause:!f,section:0,value:0),time:(from:'2017-02-07T07:11:35-0700',mode:absolute,to:'2017-02-07T09:39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4019%22')),sort:!(Time.ISO8601,asc))</v>
      </c>
      <c r="W219" s="192" t="str">
        <f>IF(AA219&lt;IF(AG219="EC",23,5.65),"Y","N")</f>
        <v>Y</v>
      </c>
      <c r="X219" s="192" t="e">
        <f>VALUE(LEFT(AD219,4))-VALUE(LEFT(AD218,4))</f>
        <v>#VALUE!</v>
      </c>
      <c r="Y219" s="62">
        <f>RIGHT(D219,LEN(D219)-4)/10000</f>
        <v>2.3346</v>
      </c>
      <c r="Z219" s="62">
        <f>RIGHT(H219,LEN(H219)-4)/10000</f>
        <v>0.1169</v>
      </c>
      <c r="AA219" s="62">
        <f>ABS(Z219-Y219)</f>
        <v>2.2176999999999998</v>
      </c>
      <c r="AB219" s="59" t="e">
        <f>VLOOKUP(A219,Enforcements!$C$7:$K$14,8,0)</f>
        <v>#N/A</v>
      </c>
      <c r="AC219" s="55" t="e">
        <f>VLOOKUP(A219,Enforcements!$C$7:$E$14,3,0)</f>
        <v>#N/A</v>
      </c>
      <c r="AD219" s="56" t="str">
        <f>IF(LEN(A219)=6,"0"&amp;A219,A219)</f>
        <v>52-07</v>
      </c>
      <c r="AE219" s="85" t="str">
        <f>"aws s3 cp "&amp;s3_bucket&amp;"/RTDC"&amp;B219&amp;"/ "&amp;search_path&amp;"\RTDC"&amp;B219&amp;"\"&amp;TEXT(F219,"YYYY-MM-DD")&amp;" --exclude ""*"" --recursive --include ""*"&amp;TEXT(F219,"YYYYMMDD")&amp;"*"" &amp; """&amp;walkandungz&amp;""" "&amp;search_path&amp;"\RTDC"&amp;B219&amp;"\"&amp;TEXT(F219,"YYYY-MM-DD")
&amp;" &amp; "&amp;"aws s3 cp "&amp;s3_bucket&amp;"/RTDC"&amp;B219&amp;"/ "&amp;search_path&amp;"\RTDC"&amp;B219&amp;"\"&amp;TEXT(F219+1,"YYYY-MM-DD")&amp;" --exclude ""*"" --recursive --include ""*"&amp;TEXT(F219+1,"YYYYMMDD")&amp;"*"" &amp; """&amp;walkandungz&amp;""" "&amp;search_path&amp;"\RTDC"&amp;B219&amp;"\"&amp;TEXT(F219+1,"YYYY-MM-DD")</f>
        <v>aws s3 cp s3://rtdc.mdm.uploadarchive.raw/RTDC4019/ "%USERPROFILE%\AppData\Local\Temp\OnboardLogs"\RTDC4019\2017-02-07 --exclude "*" --recursive --include "*20170207*" &amp; "%USERPROFILE%\Documents\GitHub\mrs-test-scripts\Headless Mode &amp; Sideloading\WalkAndUnGZ.bat" "%USERPROFILE%\AppData\Local\Temp\OnboardLogs"\RTDC4019\2017-02-07 &amp; aws s3 cp s3://rtdc.mdm.uploadarchive.raw/RTDC4019/ "%USERPROFILE%\AppData\Local\Temp\OnboardLogs"\RTDC4019\2017-02-08 --exclude "*" --recursive --include "*20170208*" &amp; "%USERPROFILE%\Documents\GitHub\mrs-test-scripts\Headless Mode &amp; Sideloading\WalkAndUnGZ.bat" "%USERPROFILE%\AppData\Local\Temp\OnboardLogs"\RTDC4019\2017-02-08</v>
      </c>
      <c r="AF219" s="82" t="str">
        <f>astrogrep_path&amp;" /spath="&amp;search_path&amp;" /stypes=""app*"&amp;B219&amp;"*"&amp;TEXT(I219-utc_offset/24,"YYYYMMDD")&amp;"*"" /stext="" "&amp;TEXT(I219-utc_offset/24,"HH")&amp;search_regexp&amp;""" /e /r /s"</f>
        <v>"C:\Program Files (x86)\AstroGrep\AstroGrep.exe" /spath="%USERPROFILE%\AppData\Local\Temp\OnboardLogs" /stypes="app*4019*20170207*" /stext=" 15:.+((SYSTEM_STATE.+slice.+state.+changed )|(ment ac)|(multiple cpu faults)|(system.+state.+changed )|(\[timeout)|(PRM\|1\|D)|(kpr)|(kdp)|(\|lc)|(penalty))" /e /r /s</v>
      </c>
      <c r="AG219" s="1" t="str">
        <f>IFERROR(IF(VALUE(LEFT(AD219,2))&lt;=2,"EC",IF(OR(VALUE(LEFT(AD219,2))=8,VALUE(LEFT(AD219,2))=18),"NW","Other")),"Other")</f>
        <v>Other</v>
      </c>
      <c r="AH219" s="86" t="str">
        <f t="shared" si="12"/>
        <v>"%USERPROFILE%\Documents\GitHub\eaglep3\Utilities\RefineRTDCRunTimes.py" --tripid 52-07 --locoid 4019 --swversion DE.1.0.8.0 --startMP 300:23346 --initTime 2017-02-07T08:11:35 --startdatetime 2017-02-07T08:20:06 --delay 1 --endMP 204:1169 --enddatetime 2017-02-07T08:39:58 --enforcementcount 0 &gt;&gt;C:\Users\stu\Documents\GitHub\eaglep3-reporting\EC\2017-02-07-refined-times.txt</v>
      </c>
      <c r="AI219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{"issue":{"subject":"","project_id":79,"tracker_id":40,"status_id":1,"priority_id":2,"assigned_to_id":23,"start_date":"2017-02-07","description":"","custom_fields":[{"id":1,"name":"Subdivision","value":"Other"},{"id":4,"name":"Milepost","value":"0.1169"},{"id":17,"name":"Train ID","value":"52-07"},{"id":16,"name":"Locomotive ID","value":"4019"},{"id":130,"name":"Impact","value":""},{"id":150,"name":"Time of Event (Mountain Time)","value":"08:39:58"},{"id":151,"name":"Denver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9" s="48"/>
      <c r="AK219" s="48"/>
      <c r="AL219" s="48"/>
      <c r="AM219" s="158" t="str">
        <f t="shared" si="14"/>
        <v>start /low /b %USERPROFILE%\Documents\GitHub\eaglep3\Utilities\DownloadLogsFromS3.py --loco 4019 --day 2017-02-07</v>
      </c>
      <c r="AN219" s="167" t="str">
        <f>"grep -SE -B400 ""CHR.+\|PRM\|1\|D.+(SWITCH|SIGNAL).+UNKNOWN"" "&amp;search_path&amp;"\RTDC"&amp;B219&amp;"\*"&amp;B219&amp;"*"&amp;TEXT(AVERAGE(F219,I219)-utc_offset/24,"YYYYMMDD")&amp;"*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"%USERPROFILE%\AppData\Local\Temp\OnboardLogs"\RTDC4019\*4019*20170207* | grep -SE "(Enforcement Action)|(\[TIMEOUT)|(CHR.+\|PRM\|1\|D.+(SWITCH|SIGNAL).+UNKNOWN)" - &gt;&gt; 2017-02-07-UncaughtWiMAX.txt</v>
      </c>
    </row>
    <row r="220" spans="1:40" x14ac:dyDescent="0.25">
      <c r="A220" s="33" t="s">
        <v>487</v>
      </c>
      <c r="B220" s="7">
        <v>4043</v>
      </c>
      <c r="C220" s="21" t="s">
        <v>193</v>
      </c>
      <c r="D220" s="21" t="s">
        <v>788</v>
      </c>
      <c r="E220" s="13">
        <v>42773.75167824074</v>
      </c>
      <c r="F220" s="13">
        <v>42773.757303240738</v>
      </c>
      <c r="G220" s="7">
        <v>7</v>
      </c>
      <c r="H220" s="21" t="s">
        <v>789</v>
      </c>
      <c r="I220" s="13">
        <v>42773.757453703707</v>
      </c>
      <c r="J220" s="7">
        <v>0</v>
      </c>
      <c r="K220" s="98" t="str">
        <f>IF(ISEVEN(B220),(B220-1)&amp;"/"&amp;B220,B220&amp;"/"&amp;(B220+1))</f>
        <v>4043/4044</v>
      </c>
      <c r="L220" s="21" t="str">
        <f>VLOOKUP(A220,'Trips&amp;Operators'!$C$1:$G$99999,5,FALSE)</f>
        <v>STAMBAUGH JAMES</v>
      </c>
      <c r="M220" s="6">
        <f>I220-F220</f>
        <v>1.5046296903165057E-4</v>
      </c>
      <c r="N220" s="7">
        <f>24*60*SUM($M220:$M220)</f>
        <v>0.21666667540557683</v>
      </c>
      <c r="O220" s="7"/>
      <c r="P220" s="7"/>
      <c r="Q220" s="22"/>
      <c r="R220" s="22"/>
      <c r="S220" s="31">
        <f>SUM(U220:U220)/IF(AG220="EC",12,1)</f>
        <v>0</v>
      </c>
      <c r="T220" s="46" t="e">
        <f>IF(ISEVEN(LEFT(AD220,4)),"Southbound","NorthBound")</f>
        <v>#VALUE!</v>
      </c>
      <c r="U220" s="190">
        <f>IF(AG220="EC",COUNTIFS(Variables!$M$2:$M$19,IF(T220="NorthBound","&gt;=","&lt;=")&amp;Y220,Variables!$M$2:$M$19,IF(T220="NorthBound","&lt;=","&gt;=")&amp;Z220),COUNTIFS(Variables!$P$2:$P$19,IF(T220="NorthBound","&gt;=","&lt;=")&amp;Y220,Variables!$P$2:$P$19,IF(T220="NorthBound","&lt;=","&gt;=")&amp;Z220))</f>
        <v>0</v>
      </c>
      <c r="V220" s="191" t="str">
        <f>"https://d0f6bd738d7f1b3e5a7ca70fe4ff75f0.us-east-1.aws.found.io/app/kibana#/discover/Steve-Slow-Train-Analysis-(2080s-and-2083s)?_g="&amp;"(refreshInterval:(display:Off,pause:!f,section:0,value:0),time:(from:'"&amp;TEXT(E220-1/24,"yyyy-MM-DDThh:mm:ss")&amp;utc_offset&amp;"00"&amp;"',mode:absolute,to:'"&amp;TEXT(I220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220&amp;"%22')),sort:!(Time.ISO8601,asc))"</f>
        <v>https://d0f6bd738d7f1b3e5a7ca70fe4ff75f0.us-east-1.aws.found.io/app/kibana#/discover/Steve-Slow-Train-Analysis-(2080s-and-2083s)?_g=(refreshInterval:(display:Off,pause:!f,section:0,value:0),time:(from:'2017-02-07T17:02:25-0700',mode:absolute,to:'2017-02-07T19:10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0" s="192" t="str">
        <f>IF(AA220&lt;IF(AG220="EC",23,5.65),"Y","N")</f>
        <v>Y</v>
      </c>
      <c r="X220" s="192" t="e">
        <f>VALUE(LEFT(AD220,4))-VALUE(LEFT(AD219,4))</f>
        <v>#VALUE!</v>
      </c>
      <c r="Y220" s="62">
        <f>RIGHT(D220,LEN(D220)-4)/10000</f>
        <v>2.2448000000000001</v>
      </c>
      <c r="Z220" s="62">
        <f>RIGHT(H220,LEN(H220)-4)/10000</f>
        <v>2.1646999999999998</v>
      </c>
      <c r="AA220" s="62">
        <f>ABS(Z220-Y220)</f>
        <v>8.0100000000000282E-2</v>
      </c>
      <c r="AB220" s="59" t="e">
        <f>VLOOKUP(A220,Enforcements!$C$7:$K$14,8,0)</f>
        <v>#N/A</v>
      </c>
      <c r="AC220" s="55" t="e">
        <f>VLOOKUP(A220,Enforcements!$C$7:$E$14,3,0)</f>
        <v>#N/A</v>
      </c>
      <c r="AD220" s="56" t="str">
        <f>IF(LEN(A220)=6,"0"&amp;A220,A220)</f>
        <v>54-07</v>
      </c>
      <c r="AE220" s="85" t="str">
        <f>"aws s3 cp "&amp;s3_bucket&amp;"/RTDC"&amp;B220&amp;"/ "&amp;search_path&amp;"\RTDC"&amp;B220&amp;"\"&amp;TEXT(F220,"YYYY-MM-DD")&amp;" --exclude ""*"" --recursive --include ""*"&amp;TEXT(F220,"YYYYMMDD")&amp;"*"" &amp; """&amp;walkandungz&amp;""" "&amp;search_path&amp;"\RTDC"&amp;B220&amp;"\"&amp;TEXT(F220,"YYYY-MM-DD")
&amp;" &amp; "&amp;"aws s3 cp "&amp;s3_bucket&amp;"/RTDC"&amp;B220&amp;"/ "&amp;search_path&amp;"\RTDC"&amp;B220&amp;"\"&amp;TEXT(F220+1,"YYYY-MM-DD")&amp;" --exclude ""*"" --recursive --include ""*"&amp;TEXT(F220+1,"YYYYMMDD")&amp;"*"" &amp; """&amp;walkandungz&amp;""" "&amp;search_path&amp;"\RTDC"&amp;B220&amp;"\"&amp;TEXT(F220+1,"YYYY-MM-DD")</f>
        <v>aws s3 cp s3://rtdc.mdm.uploadarchive.raw/RTDC4043/ "%USERPROFILE%\AppData\Local\Temp\OnboardLogs"\RTDC4043\2017-02-07 --exclude "*" --recursive --include "*20170207*" &amp; "%USERPROFILE%\Documents\GitHub\mrs-test-scripts\Headless Mode &amp; Sideloading\WalkAndUnGZ.bat" "%USERPROFILE%\AppData\Local\Temp\OnboardLogs"\RTDC4043\2017-02-07 &amp; 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</v>
      </c>
      <c r="AF220" s="82" t="str">
        <f>astrogrep_path&amp;" /spath="&amp;search_path&amp;" /stypes=""app*"&amp;B220&amp;"*"&amp;TEXT(I220-utc_offset/24,"YYYYMMDD")&amp;"*"" /stext="" "&amp;TEXT(I220-utc_offset/24,"HH")&amp;search_regexp&amp;""" /e /r /s"</f>
        <v>"C:\Program Files (x86)\AstroGrep\AstroGrep.exe" /spath="%USERPROFILE%\AppData\Local\Temp\OnboardLogs" /stypes="app*4043*20170208*" /stext=" 01:.+((SYSTEM_STATE.+slice.+state.+changed )|(ment ac)|(multiple cpu faults)|(system.+state.+changed )|(\[timeout)|(PRM\|1\|D)|(kpr)|(kdp)|(\|lc)|(penalty))" /e /r /s</v>
      </c>
      <c r="AG220" s="1" t="str">
        <f>IFERROR(IF(VALUE(LEFT(AD220,2))&lt;=2,"EC",IF(OR(VALUE(LEFT(AD220,2))=8,VALUE(LEFT(AD220,2))=18),"NW","Other")),"Other")</f>
        <v>Other</v>
      </c>
      <c r="AH220" s="86" t="str">
        <f t="shared" si="12"/>
        <v>"%USERPROFILE%\Documents\GitHub\eaglep3\Utilities\RefineRTDCRunTimes.py" --tripid 54-07 --locoid 4043 --swversion DE.1.0.8.0 --startMP 300:22448 --initTime 2017-02-07T18:02:25 --startdatetime 2017-02-07T18:10:31 --delay 7 --endMP 300:21647 --enddatetime 2017-02-07T18:10:44 --enforcementcount 0 &gt;&gt;C:\Users\stu\Documents\GitHub\eaglep3-reporting\EC\2017-02-07-refined-times.txt</v>
      </c>
      <c r="AI220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{"issue":{"subject":"","project_id":79,"tracker_id":40,"status_id":1,"priority_id":2,"assigned_to_id":23,"start_date":"2017-02-07","description":"","custom_fields":[{"id":1,"name":"Subdivision","value":"Other"},{"id":4,"name":"Milepost","value":"2.1647"},{"id":17,"name":"Train ID","value":"54-07"},{"id":16,"name":"Locomotive ID","value":"4043"},{"id":130,"name":"Impact","value":""},{"id":150,"name":"Time of Event (Mountain Time)","value":"18:10:44"},{"id":151,"name":"Denver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0" s="48"/>
      <c r="AK220" s="48"/>
      <c r="AL220" s="48"/>
      <c r="AM220" s="158" t="str">
        <f t="shared" si="14"/>
        <v>start /low /b %USERPROFILE%\Documents\GitHub\eaglep3\Utilities\DownloadLogsFromS3.py --loco 4043 --day 2017-02-07</v>
      </c>
      <c r="AN220" s="167" t="str">
        <f>"grep -SE -B400 ""CHR.+\|PRM\|1\|D.+(SWITCH|SIGNAL).+UNKNOWN"" "&amp;search_path&amp;"\RTDC"&amp;B220&amp;"\*"&amp;B220&amp;"*"&amp;TEXT(AVERAGE(F220,I220)-utc_offset/24,"YYYYMMDD")&amp;"*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"%USERPROFILE%\AppData\Local\Temp\OnboardLogs"\RTDC4043\*4043*20170208* | grep -SE "(Enforcement Action)|(\[TIMEOUT)|(CHR.+\|PRM\|1\|D.+(SWITCH|SIGNAL).+UNKNOWN)" - &gt;&gt; 2017-02-07-UncaughtWiMAX.txt</v>
      </c>
    </row>
    <row r="221" spans="1:40" x14ac:dyDescent="0.25">
      <c r="A221" s="33" t="s">
        <v>653</v>
      </c>
      <c r="B221" s="7">
        <v>4015</v>
      </c>
      <c r="C221" s="21" t="s">
        <v>193</v>
      </c>
      <c r="D221" s="21" t="s">
        <v>790</v>
      </c>
      <c r="E221" s="13">
        <v>42773.753148148149</v>
      </c>
      <c r="F221" s="13">
        <v>42773.769594907404</v>
      </c>
      <c r="G221" s="7">
        <v>23</v>
      </c>
      <c r="H221" s="21" t="s">
        <v>791</v>
      </c>
      <c r="I221" s="13">
        <v>42773.785312499997</v>
      </c>
      <c r="J221" s="7">
        <v>0</v>
      </c>
      <c r="K221" s="98" t="str">
        <f>IF(ISEVEN(B221),(B221-1)&amp;"/"&amp;B221,B221&amp;"/"&amp;(B221+1))</f>
        <v>4015/4016</v>
      </c>
      <c r="L221" s="21" t="str">
        <f>VLOOKUP(A221,'Trips&amp;Operators'!$C$1:$G$99999,5,FALSE)</f>
        <v>DUNCAN SHEILA</v>
      </c>
      <c r="M221" s="6">
        <f>I221-F221</f>
        <v>1.5717592592409346E-2</v>
      </c>
      <c r="N221" s="7">
        <f>24*60*SUM($M221:$M221)</f>
        <v>22.633333333069459</v>
      </c>
      <c r="O221" s="7"/>
      <c r="P221" s="7"/>
      <c r="Q221" s="22"/>
      <c r="R221" s="22"/>
      <c r="S221" s="31">
        <f>SUM(U221:U221)/IF(AG221="EC",12,1)</f>
        <v>0</v>
      </c>
      <c r="T221" s="46" t="e">
        <f>IF(ISEVEN(LEFT(AD221,4)),"Southbound","NorthBound")</f>
        <v>#VALUE!</v>
      </c>
      <c r="U221" s="190">
        <f>IF(AG221="EC",COUNTIFS(Variables!$M$2:$M$19,IF(T221="NorthBound","&gt;=","&lt;=")&amp;Y221,Variables!$M$2:$M$19,IF(T221="NorthBound","&lt;=","&gt;=")&amp;Z221),COUNTIFS(Variables!$P$2:$P$19,IF(T221="NorthBound","&gt;=","&lt;=")&amp;Y221,Variables!$P$2:$P$19,IF(T221="NorthBound","&lt;=","&gt;=")&amp;Z221))</f>
        <v>0</v>
      </c>
      <c r="V221" s="191" t="str">
        <f>"https://d0f6bd738d7f1b3e5a7ca70fe4ff75f0.us-east-1.aws.found.io/app/kibana#/discover/Steve-Slow-Train-Analysis-(2080s-and-2083s)?_g="&amp;"(refreshInterval:(display:Off,pause:!f,section:0,value:0),time:(from:'"&amp;TEXT(E221-1/24,"yyyy-MM-DDThh:mm:ss")&amp;utc_offset&amp;"00"&amp;"',mode:absolute,to:'"&amp;TEXT(I221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221&amp;"%22')),sort:!(Time.ISO8601,asc))"</f>
        <v>https://d0f6bd738d7f1b3e5a7ca70fe4ff75f0.us-east-1.aws.found.io/app/kibana#/discover/Steve-Slow-Train-Analysis-(2080s-and-2083s)?_g=(refreshInterval:(display:Off,pause:!f,section:0,value:0),time:(from:'2017-02-07T17:04:32-0700',mode:absolute,to:'2017-02-07T19:50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4015%22')),sort:!(Time.ISO8601,asc))</v>
      </c>
      <c r="W221" s="192" t="str">
        <f>IF(AA221&lt;IF(AG221="EC",23,5.65),"Y","N")</f>
        <v>Y</v>
      </c>
      <c r="X221" s="192" t="e">
        <f>VALUE(LEFT(AD221,4))-VALUE(LEFT(AD220,4))</f>
        <v>#VALUE!</v>
      </c>
      <c r="Y221" s="62">
        <f>RIGHT(D221,LEN(D221)-4)/10000</f>
        <v>2.1738</v>
      </c>
      <c r="Z221" s="62">
        <f>RIGHT(H221,LEN(H221)-4)/10000</f>
        <v>8.8800000000000004E-2</v>
      </c>
      <c r="AA221" s="62">
        <f>ABS(Z221-Y221)</f>
        <v>2.085</v>
      </c>
      <c r="AB221" s="59" t="e">
        <f>VLOOKUP(A221,Enforcements!$C$7:$K$14,8,0)</f>
        <v>#N/A</v>
      </c>
      <c r="AC221" s="55" t="e">
        <f>VLOOKUP(A221,Enforcements!$C$7:$E$14,3,0)</f>
        <v>#N/A</v>
      </c>
      <c r="AD221" s="56" t="str">
        <f>IF(LEN(A221)=6,"0"&amp;A221,A221)</f>
        <v>56-07</v>
      </c>
      <c r="AE221" s="85" t="str">
        <f>"aws s3 cp "&amp;s3_bucket&amp;"/RTDC"&amp;B221&amp;"/ "&amp;search_path&amp;"\RTDC"&amp;B221&amp;"\"&amp;TEXT(F221,"YYYY-MM-DD")&amp;" --exclude ""*"" --recursive --include ""*"&amp;TEXT(F221,"YYYYMMDD")&amp;"*"" &amp; """&amp;walkandungz&amp;""" "&amp;search_path&amp;"\RTDC"&amp;B221&amp;"\"&amp;TEXT(F221,"YYYY-MM-DD")
&amp;" &amp; "&amp;"aws s3 cp "&amp;s3_bucket&amp;"/RTDC"&amp;B221&amp;"/ "&amp;search_path&amp;"\RTDC"&amp;B221&amp;"\"&amp;TEXT(F221+1,"YYYY-MM-DD")&amp;" --exclude ""*"" --recursive --include ""*"&amp;TEXT(F221+1,"YYYYMMDD")&amp;"*"" &amp; """&amp;walkandungz&amp;""" "&amp;search_path&amp;"\RTDC"&amp;B221&amp;"\"&amp;TEXT(F221+1,"YYYY-MM-DD")</f>
        <v>aws s3 cp s3://rtdc.mdm.uploadarchive.raw/RTDC4015/ "%USERPROFILE%\AppData\Local\Temp\OnboardLogs"\RTDC4015\2017-02-07 --exclude "*" --recursive --include "*20170207*" &amp; "%USERPROFILE%\Documents\GitHub\mrs-test-scripts\Headless Mode &amp; Sideloading\WalkAndUnGZ.bat" "%USERPROFILE%\AppData\Local\Temp\OnboardLogs"\RTDC4015\2017-02-07 &amp; aws s3 cp s3://rtdc.mdm.uploadarchive.raw/RTDC4015/ "%USERPROFILE%\AppData\Local\Temp\OnboardLogs"\RTDC4015\2017-02-08 --exclude "*" --recursive --include "*20170208*" &amp; "%USERPROFILE%\Documents\GitHub\mrs-test-scripts\Headless Mode &amp; Sideloading\WalkAndUnGZ.bat" "%USERPROFILE%\AppData\Local\Temp\OnboardLogs"\RTDC4015\2017-02-08</v>
      </c>
      <c r="AF221" s="82" t="str">
        <f>astrogrep_path&amp;" /spath="&amp;search_path&amp;" /stypes=""app*"&amp;B221&amp;"*"&amp;TEXT(I221-utc_offset/24,"YYYYMMDD")&amp;"*"" /stext="" "&amp;TEXT(I221-utc_offset/24,"HH")&amp;search_regexp&amp;""" /e /r /s"</f>
        <v>"C:\Program Files (x86)\AstroGrep\AstroGrep.exe" /spath="%USERPROFILE%\AppData\Local\Temp\OnboardLogs" /stypes="app*4015*20170208*" /stext=" 01:.+((SYSTEM_STATE.+slice.+state.+changed )|(ment ac)|(multiple cpu faults)|(system.+state.+changed )|(\[timeout)|(PRM\|1\|D)|(kpr)|(kdp)|(\|lc)|(penalty))" /e /r /s</v>
      </c>
      <c r="AG221" s="1" t="str">
        <f>IFERROR(IF(VALUE(LEFT(AD221,2))&lt;=2,"EC",IF(OR(VALUE(LEFT(AD221,2))=8,VALUE(LEFT(AD221,2))=18),"NW","Other")),"Other")</f>
        <v>Other</v>
      </c>
      <c r="AH221" s="86" t="str">
        <f t="shared" si="12"/>
        <v>"%USERPROFILE%\Documents\GitHub\eaglep3\Utilities\RefineRTDCRunTimes.py" --tripid 56-07 --locoid 4015 --swversion DE.1.0.8.0 --startMP 300:21738 --initTime 2017-02-07T18:04:32 --startdatetime 2017-02-07T18:28:13 --delay 23 --endMP 204:888 --enddatetime 2017-02-07T18:50:51 --enforcementcount 0 &gt;&gt;C:\Users\stu\Documents\GitHub\eaglep3-reporting\EC\2017-02-07-refined-times.txt</v>
      </c>
      <c r="AI221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{"issue":{"subject":"","project_id":79,"tracker_id":40,"status_id":1,"priority_id":2,"assigned_to_id":23,"start_date":"2017-02-07","description":"","custom_fields":[{"id":1,"name":"Subdivision","value":"Other"},{"id":4,"name":"Milepost","value":"0.0888"},{"id":17,"name":"Train ID","value":"56-07"},{"id":16,"name":"Locomotive ID","value":"4015"},{"id":130,"name":"Impact","value":""},{"id":150,"name":"Time of Event (Mountain Time)","value":"18:50:51"},{"id":151,"name":"Denver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1" s="48"/>
      <c r="AK221" s="48"/>
      <c r="AL221" s="48"/>
      <c r="AM221" s="158" t="str">
        <f t="shared" si="14"/>
        <v>start /low /b %USERPROFILE%\Documents\GitHub\eaglep3\Utilities\DownloadLogsFromS3.py --loco 4015 --day 2017-02-07</v>
      </c>
      <c r="AN221" s="167" t="str">
        <f>"grep -SE -B400 ""CHR.+\|PRM\|1\|D.+(SWITCH|SIGNAL).+UNKNOWN"" "&amp;search_path&amp;"\RTDC"&amp;B221&amp;"\*"&amp;B221&amp;"*"&amp;TEXT(AVERAGE(F221,I221)-utc_offset/24,"YYYYMMDD")&amp;"*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"%USERPROFILE%\AppData\Local\Temp\OnboardLogs"\RTDC4015\*4015*20170208* | grep -SE "(Enforcement Action)|(\[TIMEOUT)|(CHR.+\|PRM\|1\|D.+(SWITCH|SIGNAL).+UNKNOWN)" - &gt;&gt; 2017-02-07-UncaughtWiMAX.txt</v>
      </c>
    </row>
    <row r="222" spans="1:40" x14ac:dyDescent="0.25">
      <c r="A222" s="33" t="s">
        <v>410</v>
      </c>
      <c r="B222" s="7">
        <v>4044</v>
      </c>
      <c r="C222" s="21" t="s">
        <v>438</v>
      </c>
      <c r="D222" s="21" t="s">
        <v>439</v>
      </c>
      <c r="E222" s="13">
        <v>42773.093877314815</v>
      </c>
      <c r="F222" s="13">
        <v>42773.115520833337</v>
      </c>
      <c r="G222" s="7">
        <v>1</v>
      </c>
      <c r="H222" s="21" t="s">
        <v>440</v>
      </c>
      <c r="I222" s="13">
        <v>42773.119988425926</v>
      </c>
      <c r="J222" s="7">
        <v>0</v>
      </c>
      <c r="K222" s="98" t="str">
        <f>IF(ISEVEN(B222),(B222-1)&amp;"/"&amp;B222,B222&amp;"/"&amp;(B222+1))</f>
        <v>4043/4044</v>
      </c>
      <c r="L222" s="21" t="str">
        <f>VLOOKUP(A222,'Trips&amp;Operators'!$C$1:$G$99999,5,FALSE)</f>
        <v>SIMMONS SHYHESHA</v>
      </c>
      <c r="M222" s="6">
        <f>I222-F222</f>
        <v>4.4675925892079249E-3</v>
      </c>
      <c r="N222" s="7">
        <f>24*60*SUM($M222:$M222)</f>
        <v>6.4333333284594119</v>
      </c>
      <c r="O222" s="7"/>
      <c r="P222" s="7"/>
      <c r="Q222" s="22"/>
      <c r="R222" s="22"/>
      <c r="S222" s="31">
        <f>SUM(U222:U222)/IF(AG222="EC",12,1)</f>
        <v>0</v>
      </c>
      <c r="T222" s="46" t="e">
        <f>IF(ISEVEN(LEFT(AD222,4)),"Southbound","NorthBound")</f>
        <v>#VALUE!</v>
      </c>
      <c r="U222" s="190">
        <f>IF(AG222="EC",COUNTIFS(Variables!$M$2:$M$19,IF(T222="NorthBound","&gt;=","&lt;=")&amp;Y222,Variables!$M$2:$M$19,IF(T222="NorthBound","&lt;=","&gt;=")&amp;Z222),COUNTIFS(Variables!$P$2:$P$19,IF(T222="NorthBound","&gt;=","&lt;=")&amp;Y222,Variables!$P$2:$P$19,IF(T222="NorthBound","&lt;=","&gt;=")&amp;Z222))</f>
        <v>0</v>
      </c>
      <c r="V222" s="191" t="str">
        <f>"https://d0f6bd738d7f1b3e5a7ca70fe4ff75f0.us-east-1.aws.found.io/app/kibana#/discover/Steve-Slow-Train-Analysis-(2080s-and-2083s)?_g="&amp;"(refreshInterval:(display:Off,pause:!f,section:0,value:0),time:(from:'"&amp;TEXT(E222-1/24,"yyyy-MM-DDThh:mm:ss")&amp;utc_offset&amp;"00"&amp;"',mode:absolute,to:'"&amp;TEXT(I222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222&amp;"%22')),sort:!(Time.ISO8601,asc))"</f>
        <v>https://d0f6bd738d7f1b3e5a7ca70fe4ff75f0.us-east-1.aws.found.io/app/kibana#/discover/Steve-Slow-Train-Analysis-(2080s-and-2083s)?_g=(refreshInterval:(display:Off,pause:!f,section:0,value:0),time:(from:'2017-02-07T01:15:11-0700',mode:absolute,to:'2017-02-07T03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2" s="192" t="str">
        <f>IF(AA222&lt;IF(AG222="EC",23,5.65),"Y","N")</f>
        <v>Y</v>
      </c>
      <c r="X222" s="192" t="e">
        <f>VALUE(LEFT(AD222,4))-VALUE(LEFT(AD221,4))</f>
        <v>#VALUE!</v>
      </c>
      <c r="Y222" s="62">
        <f>RIGHT(D222,LEN(D222)-4)/10000</f>
        <v>3.9199999999999999E-2</v>
      </c>
      <c r="Z222" s="62">
        <f>RIGHT(H222,LEN(H222)-4)/10000</f>
        <v>2.5089999999999999</v>
      </c>
      <c r="AA222" s="62">
        <f>ABS(Z222-Y222)</f>
        <v>2.4697999999999998</v>
      </c>
      <c r="AB222" s="59" t="e">
        <f>VLOOKUP(A222,Enforcements!$C$7:$K$14,8,0)</f>
        <v>#N/A</v>
      </c>
      <c r="AC222" s="55" t="e">
        <f>VLOOKUP(A222,Enforcements!$C$7:$E$14,3,0)</f>
        <v>#N/A</v>
      </c>
      <c r="AD222" s="56" t="str">
        <f>IF(LEN(A222)=6,"0"&amp;A222,A222)</f>
        <v>59-06</v>
      </c>
      <c r="AE222" s="85" t="str">
        <f>"aws s3 cp "&amp;s3_bucket&amp;"/RTDC"&amp;B222&amp;"/ "&amp;search_path&amp;"\RTDC"&amp;B222&amp;"\"&amp;TEXT(F222,"YYYY-MM-DD")&amp;" --exclude ""*"" --recursive --include ""*"&amp;TEXT(F222,"YYYYMMDD")&amp;"*"" &amp; """&amp;walkandungz&amp;""" "&amp;search_path&amp;"\RTDC"&amp;B222&amp;"\"&amp;TEXT(F222,"YYYY-MM-DD")
&amp;" &amp; "&amp;"aws s3 cp "&amp;s3_bucket&amp;"/RTDC"&amp;B222&amp;"/ "&amp;search_path&amp;"\RTDC"&amp;B222&amp;"\"&amp;TEXT(F222+1,"YYYY-MM-DD")&amp;" --exclude ""*"" --recursive --include ""*"&amp;TEXT(F222+1,"YYYYMMDD")&amp;"*"" &amp; """&amp;walkandungz&amp;""" "&amp;search_path&amp;"\RTDC"&amp;B222&amp;"\"&amp;TEXT(F222+1,"YYYY-MM-DD")</f>
        <v>aws s3 cp s3://rtdc.mdm.uploadarchive.raw/RTDC4044/ "%USERPROFILE%\AppData\Local\Temp\OnboardLogs"\RTDC4044\2017-02-07 --exclude "*" --recursive --include "*20170207*" &amp; "%USERPROFILE%\Documents\GitHub\mrs-test-scripts\Headless Mode &amp; Sideloading\WalkAndUnGZ.bat" "%USERPROFILE%\AppData\Local\Temp\OnboardLogs"\RTDC4044\2017-02-07 &amp; 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</v>
      </c>
      <c r="AF222" s="82" t="str">
        <f>astrogrep_path&amp;" /spath="&amp;search_path&amp;" /stypes=""app*"&amp;B222&amp;"*"&amp;TEXT(I222-utc_offset/24,"YYYYMMDD")&amp;"*"" /stext="" "&amp;TEXT(I222-utc_offset/24,"HH")&amp;search_regexp&amp;""" /e /r /s"</f>
        <v>"C:\Program Files (x86)\AstroGrep\AstroGrep.exe" /spath="%USERPROFILE%\AppData\Local\Temp\OnboardLogs" /stypes="app*4044*20170207*" /stext=" 09:.+((SYSTEM_STATE.+slice.+state.+changed )|(ment ac)|(multiple cpu faults)|(system.+state.+changed )|(\[timeout)|(PRM\|1\|D)|(kpr)|(kdp)|(\|lc)|(penalty))" /e /r /s</v>
      </c>
      <c r="AG222" s="1" t="str">
        <f>IFERROR(IF(VALUE(LEFT(AD222,2))&lt;=2,"EC",IF(OR(VALUE(LEFT(AD222,2))=8,VALUE(LEFT(AD222,2))=18),"NW","Other")),"Other")</f>
        <v>Other</v>
      </c>
      <c r="AH222" s="86" t="str">
        <f t="shared" si="12"/>
        <v>"%USERPROFILE%\Documents\GitHub\eaglep3\Utilities\RefineRTDCRunTimes.py" --tripid 59-06 --locoid 4044 --swversion DE.1.0.9.0 --startMP 204:392 --initTime 2017-02-07T02:15:11 --startdatetime 2017-02-07T02:46:21 --delay 1 --endMP 300:25090 --enddatetime 2017-02-07T02:52:47 --enforcementcount 0 &gt;&gt;C:\Users\stu\Documents\GitHub\eaglep3-reporting\EC\2017-02-07-refined-times.txt</v>
      </c>
      <c r="AI222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{"issue":{"subject":"","project_id":79,"tracker_id":40,"status_id":1,"priority_id":2,"assigned_to_id":23,"start_date":"2017-02-07","description":"","custom_fields":[{"id":1,"name":"Subdivision","value":"Other"},{"id":4,"name":"Milepost","value":"2.509"},{"id":17,"name":"Train ID","value":"59-06"},{"id":16,"name":"Locomotive ID","value":"4044"},{"id":130,"name":"Impact","value":""},{"id":150,"name":"Time of Event (Mountain Time)","value":"02:52:47"},{"id":151,"name":"Denver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2" s="48"/>
      <c r="AK222" s="48"/>
      <c r="AL222" s="48"/>
      <c r="AM222" s="158" t="str">
        <f t="shared" si="14"/>
        <v>start /low /b %USERPROFILE%\Documents\GitHub\eaglep3\Utilities\DownloadLogsFromS3.py --loco 4044 --day 2017-02-07</v>
      </c>
      <c r="AN222" s="167" t="str">
        <f>"grep -SE -B400 ""CHR.+\|PRM\|1\|D.+(SWITCH|SIGNAL).+UNKNOWN"" "&amp;search_path&amp;"\RTDC"&amp;B222&amp;"\*"&amp;B222&amp;"*"&amp;TEXT(AVERAGE(F222,I222)-utc_offset/24,"YYYYMMDD")&amp;"*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"%USERPROFILE%\AppData\Local\Temp\OnboardLogs"\RTDC4044\*4044*20170207* | grep -SE "(Enforcement Action)|(\[TIMEOUT)|(CHR.+\|PRM\|1\|D.+(SWITCH|SIGNAL).+UNKNOWN)" - &gt;&gt; 2017-02-07-UncaughtWiMAX.txt</v>
      </c>
    </row>
    <row r="223" spans="1:40" x14ac:dyDescent="0.25">
      <c r="A223" s="33" t="s">
        <v>410</v>
      </c>
      <c r="B223" s="7">
        <v>4044</v>
      </c>
      <c r="C223" s="21" t="s">
        <v>438</v>
      </c>
      <c r="D223" s="21" t="s">
        <v>287</v>
      </c>
      <c r="E223" s="13">
        <v>42773.135115740741</v>
      </c>
      <c r="F223" s="13">
        <v>42773.165914351855</v>
      </c>
      <c r="G223" s="7">
        <v>1</v>
      </c>
      <c r="H223" s="21" t="s">
        <v>792</v>
      </c>
      <c r="I223" s="13">
        <v>42773.170740740738</v>
      </c>
      <c r="J223" s="7">
        <v>0</v>
      </c>
      <c r="K223" s="98" t="str">
        <f>IF(ISEVEN(B223),(B223-1)&amp;"/"&amp;B223,B223&amp;"/"&amp;(B223+1))</f>
        <v>4043/4044</v>
      </c>
      <c r="L223" s="21" t="str">
        <f>VLOOKUP(A223,'Trips&amp;Operators'!$C$1:$G$99999,5,FALSE)</f>
        <v>SIMMONS SHYHESHA</v>
      </c>
      <c r="M223" s="6">
        <f>I223-F223</f>
        <v>4.8263888820656575E-3</v>
      </c>
      <c r="N223" s="7">
        <f>24*60*SUM($M223:$M223)</f>
        <v>6.9499999901745468</v>
      </c>
      <c r="O223" s="7"/>
      <c r="P223" s="7"/>
      <c r="Q223" s="22"/>
      <c r="R223" s="22"/>
      <c r="S223" s="31">
        <f>SUM(U223:U223)/IF(AG223="EC",12,1)</f>
        <v>0</v>
      </c>
      <c r="T223" s="46" t="e">
        <f>IF(ISEVEN(LEFT(AD223,4)),"Southbound","NorthBound")</f>
        <v>#VALUE!</v>
      </c>
      <c r="U223" s="190">
        <f>IF(AG223="EC",COUNTIFS(Variables!$M$2:$M$19,IF(T223="NorthBound","&gt;=","&lt;=")&amp;Y223,Variables!$M$2:$M$19,IF(T223="NorthBound","&lt;=","&gt;=")&amp;Z223),COUNTIFS(Variables!$P$2:$P$19,IF(T223="NorthBound","&gt;=","&lt;=")&amp;Y223,Variables!$P$2:$P$19,IF(T223="NorthBound","&lt;=","&gt;=")&amp;Z223))</f>
        <v>0</v>
      </c>
      <c r="V223" s="191" t="str">
        <f>"https://d0f6bd738d7f1b3e5a7ca70fe4ff75f0.us-east-1.aws.found.io/app/kibana#/discover/Steve-Slow-Train-Analysis-(2080s-and-2083s)?_g="&amp;"(refreshInterval:(display:Off,pause:!f,section:0,value:0),time:(from:'"&amp;TEXT(E223-1/24,"yyyy-MM-DDThh:mm:ss")&amp;utc_offset&amp;"00"&amp;"',mode:absolute,to:'"&amp;TEXT(I223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223&amp;"%22')),sort:!(Time.ISO8601,asc))"</f>
        <v>https://d0f6bd738d7f1b3e5a7ca70fe4ff75f0.us-east-1.aws.found.io/app/kibana#/discover/Steve-Slow-Train-Analysis-(2080s-and-2083s)?_g=(refreshInterval:(display:Off,pause:!f,section:0,value:0),time:(from:'2017-02-07T02:14:34-0700',mode:absolute,to:'2017-02-07T05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3" s="192" t="str">
        <f>IF(AA223&lt;IF(AG223="EC",23,5.65),"Y","N")</f>
        <v>Y</v>
      </c>
      <c r="X223" s="192" t="e">
        <f>VALUE(LEFT(AD223,4))-VALUE(LEFT(AD222,4))</f>
        <v>#VALUE!</v>
      </c>
      <c r="Y223" s="62">
        <f>RIGHT(D223,LEN(D223)-4)/10000</f>
        <v>4.4600000000000001E-2</v>
      </c>
      <c r="Z223" s="62">
        <f>RIGHT(H223,LEN(H223)-4)/10000</f>
        <v>2.5103</v>
      </c>
      <c r="AA223" s="62">
        <f>ABS(Z223-Y223)</f>
        <v>2.4657</v>
      </c>
      <c r="AB223" s="59" t="e">
        <f>VLOOKUP(A223,Enforcements!$C$7:$K$14,8,0)</f>
        <v>#N/A</v>
      </c>
      <c r="AC223" s="55" t="e">
        <f>VLOOKUP(A223,Enforcements!$C$7:$E$14,3,0)</f>
        <v>#N/A</v>
      </c>
      <c r="AD223" s="56" t="str">
        <f>IF(LEN(A223)=6,"0"&amp;A223,A223)</f>
        <v>59-06</v>
      </c>
      <c r="AE223" s="85" t="str">
        <f>"aws s3 cp "&amp;s3_bucket&amp;"/RTDC"&amp;B223&amp;"/ "&amp;search_path&amp;"\RTDC"&amp;B223&amp;"\"&amp;TEXT(F223,"YYYY-MM-DD")&amp;" --exclude ""*"" --recursive --include ""*"&amp;TEXT(F223,"YYYYMMDD")&amp;"*"" &amp; """&amp;walkandungz&amp;""" "&amp;search_path&amp;"\RTDC"&amp;B223&amp;"\"&amp;TEXT(F223,"YYYY-MM-DD")
&amp;" &amp; "&amp;"aws s3 cp "&amp;s3_bucket&amp;"/RTDC"&amp;B223&amp;"/ "&amp;search_path&amp;"\RTDC"&amp;B223&amp;"\"&amp;TEXT(F223+1,"YYYY-MM-DD")&amp;" --exclude ""*"" --recursive --include ""*"&amp;TEXT(F223+1,"YYYYMMDD")&amp;"*"" &amp; """&amp;walkandungz&amp;""" "&amp;search_path&amp;"\RTDC"&amp;B223&amp;"\"&amp;TEXT(F223+1,"YYYY-MM-DD")</f>
        <v>aws s3 cp s3://rtdc.mdm.uploadarchive.raw/RTDC4044/ "%USERPROFILE%\AppData\Local\Temp\OnboardLogs"\RTDC4044\2017-02-07 --exclude "*" --recursive --include "*20170207*" &amp; "%USERPROFILE%\Documents\GitHub\mrs-test-scripts\Headless Mode &amp; Sideloading\WalkAndUnGZ.bat" "%USERPROFILE%\AppData\Local\Temp\OnboardLogs"\RTDC4044\2017-02-07 &amp; 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</v>
      </c>
      <c r="AF223" s="82" t="str">
        <f>astrogrep_path&amp;" /spath="&amp;search_path&amp;" /stypes=""app*"&amp;B223&amp;"*"&amp;TEXT(I223-utc_offset/24,"YYYYMMDD")&amp;"*"" /stext="" "&amp;TEXT(I223-utc_offset/24,"HH")&amp;search_regexp&amp;""" /e /r /s"</f>
        <v>"C:\Program Files (x86)\AstroGrep\AstroGrep.exe" /spath="%USERPROFILE%\AppData\Local\Temp\OnboardLogs" /stypes="app*4044*20170207*" /stext=" 11:.+((SYSTEM_STATE.+slice.+state.+changed )|(ment ac)|(multiple cpu faults)|(system.+state.+changed )|(\[timeout)|(PRM\|1\|D)|(kpr)|(kdp)|(\|lc)|(penalty))" /e /r /s</v>
      </c>
      <c r="AG223" s="1" t="str">
        <f>IFERROR(IF(VALUE(LEFT(AD223,2))&lt;=2,"EC",IF(OR(VALUE(LEFT(AD223,2))=8,VALUE(LEFT(AD223,2))=18),"NW","Other")),"Other")</f>
        <v>Other</v>
      </c>
      <c r="AH223" s="86" t="str">
        <f t="shared" si="12"/>
        <v>"%USERPROFILE%\Documents\GitHub\eaglep3\Utilities\RefineRTDCRunTimes.py" --tripid 59-06 --locoid 4044 --swversion DE.1.0.9.0 --startMP 204:446 --initTime 2017-02-07T03:14:34 --startdatetime 2017-02-07T03:58:55 --delay 1 --endMP 300:25103 --enddatetime 2017-02-07T04:05:52 --enforcementcount 0 &gt;&gt;C:\Users\stu\Documents\GitHub\eaglep3-reporting\EC\2017-02-07-refined-times.txt</v>
      </c>
      <c r="AI223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{"issue":{"subject":"","project_id":79,"tracker_id":40,"status_id":1,"priority_id":2,"assigned_to_id":23,"start_date":"2017-02-07","description":"","custom_fields":[{"id":1,"name":"Subdivision","value":"Other"},{"id":4,"name":"Milepost","value":"2.5103"},{"id":17,"name":"Train ID","value":"59-06"},{"id":16,"name":"Locomotive ID","value":"4044"},{"id":130,"name":"Impact","value":""},{"id":150,"name":"Time of Event (Mountain Time)","value":"04:05:52"},{"id":151,"name":"Denver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3" s="48"/>
      <c r="AK223" s="48"/>
      <c r="AL223" s="48"/>
      <c r="AM223" s="158" t="str">
        <f t="shared" si="14"/>
        <v>start /low /b %USERPROFILE%\Documents\GitHub\eaglep3\Utilities\DownloadLogsFromS3.py --loco 4044 --day 2017-02-07</v>
      </c>
      <c r="AN223" s="167" t="str">
        <f>"grep -SE -B400 ""CHR.+\|PRM\|1\|D.+(SWITCH|SIGNAL).+UNKNOWN"" "&amp;search_path&amp;"\RTDC"&amp;B223&amp;"\*"&amp;B223&amp;"*"&amp;TEXT(AVERAGE(F223,I223)-utc_offset/24,"YYYYMMDD")&amp;"*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"%USERPROFILE%\AppData\Local\Temp\OnboardLogs"\RTDC4044\*4044*20170207* | grep -SE "(Enforcement Action)|(\[TIMEOUT)|(CHR.+\|PRM\|1\|D.+(SWITCH|SIGNAL).+UNKNOWN)" - &gt;&gt; 2017-02-07-UncaughtWiMAX.txt</v>
      </c>
    </row>
    <row r="224" spans="1:40" x14ac:dyDescent="0.25">
      <c r="A224" s="33" t="s">
        <v>410</v>
      </c>
      <c r="B224" s="7">
        <v>4044</v>
      </c>
      <c r="C224" s="21" t="s">
        <v>438</v>
      </c>
      <c r="D224" s="21" t="s">
        <v>238</v>
      </c>
      <c r="E224" s="13">
        <v>42773.113680555558</v>
      </c>
      <c r="F224" s="13">
        <v>42773.136770833335</v>
      </c>
      <c r="G224" s="7">
        <v>1</v>
      </c>
      <c r="H224" s="21" t="s">
        <v>441</v>
      </c>
      <c r="I224" s="13">
        <v>42773.142199074071</v>
      </c>
      <c r="J224" s="7">
        <v>0</v>
      </c>
      <c r="K224" s="98" t="str">
        <f>IF(ISEVEN(B224),(B224-1)&amp;"/"&amp;B224,B224&amp;"/"&amp;(B224+1))</f>
        <v>4043/4044</v>
      </c>
      <c r="L224" s="21" t="str">
        <f>VLOOKUP(A224,'Trips&amp;Operators'!$C$1:$G$99999,5,FALSE)</f>
        <v>SIMMONS SHYHESHA</v>
      </c>
      <c r="M224" s="6">
        <f>I224-F224</f>
        <v>5.428240736364387E-3</v>
      </c>
      <c r="N224" s="7">
        <f>24*60*SUM($M224:$M224)</f>
        <v>7.8166666603647172</v>
      </c>
      <c r="O224" s="7"/>
      <c r="P224" s="7"/>
      <c r="Q224" s="22"/>
      <c r="R224" s="22"/>
      <c r="S224" s="31">
        <f>SUM(U224:U224)/IF(AG224="EC",12,1)</f>
        <v>0</v>
      </c>
      <c r="T224" s="46" t="e">
        <f>IF(ISEVEN(LEFT(AD224,4)),"Southbound","NorthBound")</f>
        <v>#VALUE!</v>
      </c>
      <c r="U224" s="190">
        <f>IF(AG224="EC",COUNTIFS(Variables!$M$2:$M$19,IF(T224="NorthBound","&gt;=","&lt;=")&amp;Y224,Variables!$M$2:$M$19,IF(T224="NorthBound","&lt;=","&gt;=")&amp;Z224),COUNTIFS(Variables!$P$2:$P$19,IF(T224="NorthBound","&gt;=","&lt;=")&amp;Y224,Variables!$P$2:$P$19,IF(T224="NorthBound","&lt;=","&gt;=")&amp;Z224))</f>
        <v>0</v>
      </c>
      <c r="V224" s="191" t="str">
        <f>"https://d0f6bd738d7f1b3e5a7ca70fe4ff75f0.us-east-1.aws.found.io/app/kibana#/discover/Steve-Slow-Train-Analysis-(2080s-and-2083s)?_g="&amp;"(refreshInterval:(display:Off,pause:!f,section:0,value:0),time:(from:'"&amp;TEXT(E224-1/24,"yyyy-MM-DDThh:mm:ss")&amp;utc_offset&amp;"00"&amp;"',mode:absolute,to:'"&amp;TEXT(I224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224&amp;"%22')),sort:!(Time.ISO8601,asc))"</f>
        <v>https://d0f6bd738d7f1b3e5a7ca70fe4ff75f0.us-east-1.aws.found.io/app/kibana#/discover/Steve-Slow-Train-Analysis-(2080s-and-2083s)?_g=(refreshInterval:(display:Off,pause:!f,section:0,value:0),time:(from:'2017-02-07T01:43:42-0700',mode:absolute,to:'2017-02-07T04:24:46-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4" s="192" t="str">
        <f>IF(AA224&lt;IF(AG224="EC",23,5.65),"Y","N")</f>
        <v>Y</v>
      </c>
      <c r="X224" s="192" t="e">
        <f>VALUE(LEFT(AD224,4))-VALUE(LEFT(AD223,4))</f>
        <v>#VALUE!</v>
      </c>
      <c r="Y224" s="62">
        <f>RIGHT(D224,LEN(D224)-4)/10000</f>
        <v>4.5100000000000001E-2</v>
      </c>
      <c r="Z224" s="62">
        <f>RIGHT(H224,LEN(H224)-4)/10000</f>
        <v>2.5293999999999999</v>
      </c>
      <c r="AA224" s="62">
        <f>ABS(Z224-Y224)</f>
        <v>2.4842999999999997</v>
      </c>
      <c r="AB224" s="59" t="e">
        <f>VLOOKUP(A224,Enforcements!$C$7:$K$14,8,0)</f>
        <v>#N/A</v>
      </c>
      <c r="AC224" s="55" t="e">
        <f>VLOOKUP(A224,Enforcements!$C$7:$E$14,3,0)</f>
        <v>#N/A</v>
      </c>
      <c r="AD224" s="56" t="str">
        <f>IF(LEN(A224)=6,"0"&amp;A224,A224)</f>
        <v>59-06</v>
      </c>
      <c r="AE224" s="85" t="str">
        <f>"aws s3 cp "&amp;s3_bucket&amp;"/RTDC"&amp;B224&amp;"/ "&amp;search_path&amp;"\RTDC"&amp;B224&amp;"\"&amp;TEXT(F224,"YYYY-MM-DD")&amp;" --exclude ""*"" --recursive --include ""*"&amp;TEXT(F224,"YYYYMMDD")&amp;"*"" &amp; """&amp;walkandungz&amp;""" "&amp;search_path&amp;"\RTDC"&amp;B224&amp;"\"&amp;TEXT(F224,"YYYY-MM-DD")
&amp;" &amp; "&amp;"aws s3 cp "&amp;s3_bucket&amp;"/RTDC"&amp;B224&amp;"/ "&amp;search_path&amp;"\RTDC"&amp;B224&amp;"\"&amp;TEXT(F224+1,"YYYY-MM-DD")&amp;" --exclude ""*"" --recursive --include ""*"&amp;TEXT(F224+1,"YYYYMMDD")&amp;"*"" &amp; """&amp;walkandungz&amp;""" "&amp;search_path&amp;"\RTDC"&amp;B224&amp;"\"&amp;TEXT(F224+1,"YYYY-MM-DD")</f>
        <v>aws s3 cp s3://rtdc.mdm.uploadarchive.raw/RTDC4044/ "%USERPROFILE%\AppData\Local\Temp\OnboardLogs"\RTDC4044\2017-02-07 --exclude "*" --recursive --include "*20170207*" &amp; "%USERPROFILE%\Documents\GitHub\mrs-test-scripts\Headless Mode &amp; Sideloading\WalkAndUnGZ.bat" "%USERPROFILE%\AppData\Local\Temp\OnboardLogs"\RTDC4044\2017-02-07 &amp; 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</v>
      </c>
      <c r="AF224" s="82" t="str">
        <f>astrogrep_path&amp;" /spath="&amp;search_path&amp;" /stypes=""app*"&amp;B224&amp;"*"&amp;TEXT(I224-utc_offset/24,"YYYYMMDD")&amp;"*"" /stext="" "&amp;TEXT(I224-utc_offset/24,"HH")&amp;search_regexp&amp;""" /e /r /s"</f>
        <v>"C:\Program Files (x86)\AstroGrep\AstroGrep.exe" /spath="%USERPROFILE%\AppData\Local\Temp\OnboardLogs" /stypes="app*4044*20170207*" /stext=" 10:.+((SYSTEM_STATE.+slice.+state.+changed )|(ment ac)|(multiple cpu faults)|(system.+state.+changed )|(\[timeout)|(PRM\|1\|D)|(kpr)|(kdp)|(\|lc)|(penalty))" /e /r /s</v>
      </c>
      <c r="AG224" s="1" t="str">
        <f>IFERROR(IF(VALUE(LEFT(AD224,2))&lt;=2,"EC",IF(OR(VALUE(LEFT(AD224,2))=8,VALUE(LEFT(AD224,2))=18),"NW","Other")),"Other")</f>
        <v>Other</v>
      </c>
      <c r="AH224" s="86" t="str">
        <f t="shared" si="12"/>
        <v>"%USERPROFILE%\Documents\GitHub\eaglep3\Utilities\RefineRTDCRunTimes.py" --tripid 59-06 --locoid 4044 --swversion DE.1.0.9.0 --startMP 204:451 --initTime 2017-02-07T02:43:42 --startdatetime 2017-02-07T03:16:57 --delay 1 --endMP 300:25294 --enddatetime 2017-02-07T03:24:46 --enforcementcount 0 &gt;&gt;C:\Users\stu\Documents\GitHub\eaglep3-reporting\EC\2017-02-07-refined-times.txt</v>
      </c>
      <c r="AI224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{"issue":{"subject":"","project_id":79,"tracker_id":40,"status_id":1,"priority_id":2,"assigned_to_id":23,"start_date":"2017-02-07","description":"","custom_fields":[{"id":1,"name":"Subdivision","value":"Other"},{"id":4,"name":"Milepost","value":"2.5294"},{"id":17,"name":"Train ID","value":"59-06"},{"id":16,"name":"Locomotive ID","value":"4044"},{"id":130,"name":"Impact","value":""},{"id":150,"name":"Time of Event (Mountain Time)","value":"03:24:46"},{"id":151,"name":"Denver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4" s="48"/>
      <c r="AK224" s="48"/>
      <c r="AL224" s="48"/>
      <c r="AM224" s="158" t="str">
        <f t="shared" si="14"/>
        <v>start /low /b %USERPROFILE%\Documents\GitHub\eaglep3\Utilities\DownloadLogsFromS3.py --loco 4044 --day 2017-02-07</v>
      </c>
      <c r="AN224" s="167" t="str">
        <f>"grep -SE -B400 ""CHR.+\|PRM\|1\|D.+(SWITCH|SIGNAL).+UNKNOWN"" "&amp;search_path&amp;"\RTDC"&amp;B224&amp;"\*"&amp;B224&amp;"*"&amp;TEXT(AVERAGE(F224,I224)-utc_offset/24,"YYYYMMDD")&amp;"*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"%USERPROFILE%\AppData\Local\Temp\OnboardLogs"\RTDC4044\*4044*20170207* | grep -SE "(Enforcement Action)|(\[TIMEOUT)|(CHR.+\|PRM\|1\|D.+(SWITCH|SIGNAL).+UNKNOWN)" - &gt;&gt; 2017-02-07-UncaughtWiMAX.txt</v>
      </c>
    </row>
    <row r="225" spans="1:40" x14ac:dyDescent="0.25">
      <c r="A225" s="33" t="s">
        <v>410</v>
      </c>
      <c r="B225" s="7">
        <v>4044</v>
      </c>
      <c r="C225" s="21" t="s">
        <v>438</v>
      </c>
      <c r="D225" s="21" t="s">
        <v>793</v>
      </c>
      <c r="E225" s="13">
        <v>42773.158738425926</v>
      </c>
      <c r="F225" s="13">
        <v>42773.165914351855</v>
      </c>
      <c r="G225" s="7">
        <v>1</v>
      </c>
      <c r="H225" s="21" t="s">
        <v>794</v>
      </c>
      <c r="I225" s="13">
        <v>42773.170740740738</v>
      </c>
      <c r="J225" s="7">
        <v>0</v>
      </c>
      <c r="K225" s="98" t="str">
        <f>IF(ISEVEN(B225),(B225-1)&amp;"/"&amp;B225,B225&amp;"/"&amp;(B225+1))</f>
        <v>4043/4044</v>
      </c>
      <c r="L225" s="21" t="str">
        <f>VLOOKUP(A225,'Trips&amp;Operators'!$C$1:$G$99999,5,FALSE)</f>
        <v>SIMMONS SHYHESHA</v>
      </c>
      <c r="M225" s="6">
        <f>I225-F225</f>
        <v>4.8263888820656575E-3</v>
      </c>
      <c r="N225" s="7">
        <f>24*60*SUM($M225:$M225)</f>
        <v>6.9499999901745468</v>
      </c>
      <c r="O225" s="7"/>
      <c r="P225" s="7"/>
      <c r="Q225" s="22"/>
      <c r="R225" s="22"/>
      <c r="S225" s="31">
        <f>SUM(U225:U225)/IF(AG225="EC",12,1)</f>
        <v>0</v>
      </c>
      <c r="T225" s="46" t="e">
        <f>IF(ISEVEN(LEFT(AD225,4)),"Southbound","NorthBound")</f>
        <v>#VALUE!</v>
      </c>
      <c r="U225" s="190">
        <f>IF(AG225="EC",COUNTIFS(Variables!$M$2:$M$19,IF(T225="NorthBound","&gt;=","&lt;=")&amp;Y225,Variables!$M$2:$M$19,IF(T225="NorthBound","&lt;=","&gt;=")&amp;Z225),COUNTIFS(Variables!$P$2:$P$19,IF(T225="NorthBound","&gt;=","&lt;=")&amp;Y225,Variables!$P$2:$P$19,IF(T225="NorthBound","&lt;=","&gt;=")&amp;Z225))</f>
        <v>0</v>
      </c>
      <c r="V225" s="191" t="str">
        <f>"https://d0f6bd738d7f1b3e5a7ca70fe4ff75f0.us-east-1.aws.found.io/app/kibana#/discover/Steve-Slow-Train-Analysis-(2080s-and-2083s)?_g="&amp;"(refreshInterval:(display:Off,pause:!f,section:0,value:0),time:(from:'"&amp;TEXT(E225-1/24,"yyyy-MM-DDThh:mm:ss")&amp;utc_offset&amp;"00"&amp;"',mode:absolute,to:'"&amp;TEXT(I225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225&amp;"%22')),sort:!(Time.ISO8601,asc))"</f>
        <v>https://d0f6bd738d7f1b3e5a7ca70fe4ff75f0.us-east-1.aws.found.io/app/kibana#/discover/Steve-Slow-Train-Analysis-(2080s-and-2083s)?_g=(refreshInterval:(display:Off,pause:!f,section:0,value:0),time:(from:'2017-02-07T02:48:35-0700',mode:absolute,to:'2017-02-07T05:05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W225" s="192" t="str">
        <f>IF(AA225&lt;IF(AG225="EC",23,5.65),"Y","N")</f>
        <v>Y</v>
      </c>
      <c r="X225" s="192" t="e">
        <f>VALUE(LEFT(AD225,4))-VALUE(LEFT(AD224,4))</f>
        <v>#VALUE!</v>
      </c>
      <c r="Y225" s="62">
        <f>RIGHT(D225,LEN(D225)-4)/10000</f>
        <v>4.5900000000000003E-2</v>
      </c>
      <c r="Z225" s="62">
        <f>RIGHT(H225,LEN(H225)-4)/10000</f>
        <v>2.3001999999999998</v>
      </c>
      <c r="AA225" s="62">
        <f>ABS(Z225-Y225)</f>
        <v>2.2542999999999997</v>
      </c>
      <c r="AB225" s="59" t="e">
        <f>VLOOKUP(A225,Enforcements!$C$7:$K$14,8,0)</f>
        <v>#N/A</v>
      </c>
      <c r="AC225" s="55" t="e">
        <f>VLOOKUP(A225,Enforcements!$C$7:$E$14,3,0)</f>
        <v>#N/A</v>
      </c>
      <c r="AD225" s="56" t="str">
        <f>IF(LEN(A225)=6,"0"&amp;A225,A225)</f>
        <v>59-06</v>
      </c>
      <c r="AE225" s="85" t="str">
        <f>"aws s3 cp "&amp;s3_bucket&amp;"/RTDC"&amp;B225&amp;"/ "&amp;search_path&amp;"\RTDC"&amp;B225&amp;"\"&amp;TEXT(F225,"YYYY-MM-DD")&amp;" --exclude ""*"" --recursive --include ""*"&amp;TEXT(F225,"YYYYMMDD")&amp;"*"" &amp; """&amp;walkandungz&amp;""" "&amp;search_path&amp;"\RTDC"&amp;B225&amp;"\"&amp;TEXT(F225,"YYYY-MM-DD")
&amp;" &amp; "&amp;"aws s3 cp "&amp;s3_bucket&amp;"/RTDC"&amp;B225&amp;"/ "&amp;search_path&amp;"\RTDC"&amp;B225&amp;"\"&amp;TEXT(F225+1,"YYYY-MM-DD")&amp;" --exclude ""*"" --recursive --include ""*"&amp;TEXT(F225+1,"YYYYMMDD")&amp;"*"" &amp; """&amp;walkandungz&amp;""" "&amp;search_path&amp;"\RTDC"&amp;B225&amp;"\"&amp;TEXT(F225+1,"YYYY-MM-DD")</f>
        <v>aws s3 cp s3://rtdc.mdm.uploadarchive.raw/RTDC4044/ "%USERPROFILE%\AppData\Local\Temp\OnboardLogs"\RTDC4044\2017-02-07 --exclude "*" --recursive --include "*20170207*" &amp; "%USERPROFILE%\Documents\GitHub\mrs-test-scripts\Headless Mode &amp; Sideloading\WalkAndUnGZ.bat" "%USERPROFILE%\AppData\Local\Temp\OnboardLogs"\RTDC4044\2017-02-07 &amp; 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</v>
      </c>
      <c r="AF225" s="82" t="str">
        <f>astrogrep_path&amp;" /spath="&amp;search_path&amp;" /stypes=""app*"&amp;B225&amp;"*"&amp;TEXT(I225-utc_offset/24,"YYYYMMDD")&amp;"*"" /stext="" "&amp;TEXT(I225-utc_offset/24,"HH")&amp;search_regexp&amp;""" /e /r /s"</f>
        <v>"C:\Program Files (x86)\AstroGrep\AstroGrep.exe" /spath="%USERPROFILE%\AppData\Local\Temp\OnboardLogs" /stypes="app*4044*20170207*" /stext=" 11:.+((SYSTEM_STATE.+slice.+state.+changed )|(ment ac)|(multiple cpu faults)|(system.+state.+changed )|(\[timeout)|(PRM\|1\|D)|(kpr)|(kdp)|(\|lc)|(penalty))" /e /r /s</v>
      </c>
      <c r="AG225" s="1" t="str">
        <f>IFERROR(IF(VALUE(LEFT(AD225,2))&lt;=2,"EC",IF(OR(VALUE(LEFT(AD225,2))=8,VALUE(LEFT(AD225,2))=18),"NW","Other")),"Other")</f>
        <v>Other</v>
      </c>
      <c r="AH225" s="86" t="str">
        <f t="shared" si="12"/>
        <v>"%USERPROFILE%\Documents\GitHub\eaglep3\Utilities\RefineRTDCRunTimes.py" --tripid 59-06 --locoid 4044 --swversion DE.1.0.9.0 --startMP 204:459 --initTime 2017-02-07T03:48:35 --startdatetime 2017-02-07T03:58:55 --delay 1 --endMP 300:23002 --enddatetime 2017-02-07T04:05:52 --enforcementcount 0 &gt;&gt;C:\Users\stu\Documents\GitHub\eaglep3-reporting\EC\2017-02-07-refined-times.txt</v>
      </c>
      <c r="AI225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{"issue":{"subject":"","project_id":79,"tracker_id":40,"status_id":1,"priority_id":2,"assigned_to_id":23,"start_date":"2017-02-07","description":"","custom_fields":[{"id":1,"name":"Subdivision","value":"Other"},{"id":4,"name":"Milepost","value":"2.3002"},{"id":17,"name":"Train ID","value":"59-06"},{"id":16,"name":"Locomotive ID","value":"4044"},{"id":130,"name":"Impact","value":""},{"id":150,"name":"Time of Event (Mountain Time)","value":"04:05:52"},{"id":151,"name":"Denver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5" s="48"/>
      <c r="AK225" s="48"/>
      <c r="AL225" s="48"/>
      <c r="AM225" s="158" t="str">
        <f t="shared" si="14"/>
        <v>start /low /b %USERPROFILE%\Documents\GitHub\eaglep3\Utilities\DownloadLogsFromS3.py --loco 4044 --day 2017-02-07</v>
      </c>
      <c r="AN225" s="167" t="str">
        <f>"grep -SE -B400 ""CHR.+\|PRM\|1\|D.+(SWITCH|SIGNAL).+UNKNOWN"" "&amp;search_path&amp;"\RTDC"&amp;B225&amp;"\*"&amp;B225&amp;"*"&amp;TEXT(AVERAGE(F225,I225)-utc_offset/24,"YYYYMMDD")&amp;"*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"%USERPROFILE%\AppData\Local\Temp\OnboardLogs"\RTDC4044\*4044*20170207* | grep -SE "(Enforcement Action)|(\[TIMEOUT)|(CHR.+\|PRM\|1\|D.+(SWITCH|SIGNAL).+UNKNOWN)" - &gt;&gt; 2017-02-07-UncaughtWiMAX.txt</v>
      </c>
    </row>
    <row r="226" spans="1:40" x14ac:dyDescent="0.25">
      <c r="A226" s="33" t="s">
        <v>414</v>
      </c>
      <c r="B226" s="7">
        <v>4043</v>
      </c>
      <c r="C226" s="21" t="s">
        <v>438</v>
      </c>
      <c r="D226" s="21" t="s">
        <v>442</v>
      </c>
      <c r="E226" s="13">
        <v>42773.081956018519</v>
      </c>
      <c r="F226" s="13">
        <v>42773.106828703705</v>
      </c>
      <c r="G226" s="7">
        <v>1</v>
      </c>
      <c r="H226" s="21" t="s">
        <v>443</v>
      </c>
      <c r="I226" s="13">
        <v>42773.111747685187</v>
      </c>
      <c r="J226" s="7">
        <v>0</v>
      </c>
      <c r="K226" s="98" t="str">
        <f>IF(ISEVEN(B226),(B226-1)&amp;"/"&amp;B226,B226&amp;"/"&amp;(B226+1))</f>
        <v>4043/4044</v>
      </c>
      <c r="L226" s="21" t="str">
        <f>VLOOKUP(A226,'Trips&amp;Operators'!$C$1:$G$99999,5,FALSE)</f>
        <v>SIMMONS SHYHESHA</v>
      </c>
      <c r="M226" s="6">
        <f>I226-F226</f>
        <v>4.9189814817509614E-3</v>
      </c>
      <c r="N226" s="7">
        <f>24*60*SUM($M226:$M226)</f>
        <v>7.0833333337213844</v>
      </c>
      <c r="O226" s="7"/>
      <c r="P226" s="7"/>
      <c r="Q226" s="22"/>
      <c r="R226" s="22"/>
      <c r="S226" s="31">
        <f>SUM(U226:U226)/IF(AG226="EC",12,1)</f>
        <v>0</v>
      </c>
      <c r="T226" s="46" t="e">
        <f>IF(ISEVEN(LEFT(AD226,4)),"Southbound","NorthBound")</f>
        <v>#VALUE!</v>
      </c>
      <c r="U226" s="190">
        <f>IF(AG226="EC",COUNTIFS(Variables!$M$2:$M$19,IF(T226="NorthBound","&gt;=","&lt;=")&amp;Y226,Variables!$M$2:$M$19,IF(T226="NorthBound","&lt;=","&gt;=")&amp;Z226),COUNTIFS(Variables!$P$2:$P$19,IF(T226="NorthBound","&gt;=","&lt;=")&amp;Y226,Variables!$P$2:$P$19,IF(T226="NorthBound","&lt;=","&gt;=")&amp;Z226))</f>
        <v>0</v>
      </c>
      <c r="V226" s="191" t="str">
        <f>"https://d0f6bd738d7f1b3e5a7ca70fe4ff75f0.us-east-1.aws.found.io/app/kibana#/discover/Steve-Slow-Train-Analysis-(2080s-and-2083s)?_g="&amp;"(refreshInterval:(display:Off,pause:!f,section:0,value:0),time:(from:'"&amp;TEXT(E226-1/24,"yyyy-MM-DDThh:mm:ss")&amp;utc_offset&amp;"00"&amp;"',mode:absolute,to:'"&amp;TEXT(I226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226&amp;"%22')),sort:!(Time.ISO8601,asc))"</f>
        <v>https://d0f6bd738d7f1b3e5a7ca70fe4ff75f0.us-east-1.aws.found.io/app/kibana#/discover/Steve-Slow-Train-Analysis-(2080s-and-2083s)?_g=(refreshInterval:(display:Off,pause:!f,section:0,value:0),time:(from:'2017-02-07T00:58:01-0700',mode:absolute,to:'2017-02-07T03:40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6" s="192" t="str">
        <f>IF(AA226&lt;IF(AG226="EC",23,5.65),"Y","N")</f>
        <v>Y</v>
      </c>
      <c r="X226" s="192" t="e">
        <f>VALUE(LEFT(AD226,4))-VALUE(LEFT(AD225,4))</f>
        <v>#VALUE!</v>
      </c>
      <c r="Y226" s="62">
        <f>RIGHT(D226,LEN(D226)-4)/10000</f>
        <v>2.4733000000000001</v>
      </c>
      <c r="Z226" s="62">
        <f>RIGHT(H226,LEN(H226)-4)/10000</f>
        <v>9.4999999999999998E-3</v>
      </c>
      <c r="AA226" s="62">
        <f>ABS(Z226-Y226)</f>
        <v>2.4638</v>
      </c>
      <c r="AB226" s="59" t="e">
        <f>VLOOKUP(A226,Enforcements!$C$7:$K$14,8,0)</f>
        <v>#N/A</v>
      </c>
      <c r="AC226" s="55" t="e">
        <f>VLOOKUP(A226,Enforcements!$C$7:$E$14,3,0)</f>
        <v>#N/A</v>
      </c>
      <c r="AD226" s="56" t="str">
        <f>IF(LEN(A226)=6,"0"&amp;A226,A226)</f>
        <v>60-06</v>
      </c>
      <c r="AE226" s="85" t="str">
        <f>"aws s3 cp "&amp;s3_bucket&amp;"/RTDC"&amp;B226&amp;"/ "&amp;search_path&amp;"\RTDC"&amp;B226&amp;"\"&amp;TEXT(F226,"YYYY-MM-DD")&amp;" --exclude ""*"" --recursive --include ""*"&amp;TEXT(F226,"YYYYMMDD")&amp;"*"" &amp; """&amp;walkandungz&amp;""" "&amp;search_path&amp;"\RTDC"&amp;B226&amp;"\"&amp;TEXT(F226,"YYYY-MM-DD")
&amp;" &amp; "&amp;"aws s3 cp "&amp;s3_bucket&amp;"/RTDC"&amp;B226&amp;"/ "&amp;search_path&amp;"\RTDC"&amp;B226&amp;"\"&amp;TEXT(F226+1,"YYYY-MM-DD")&amp;" --exclude ""*"" --recursive --include ""*"&amp;TEXT(F226+1,"YYYYMMDD")&amp;"*"" &amp; """&amp;walkandungz&amp;""" "&amp;search_path&amp;"\RTDC"&amp;B226&amp;"\"&amp;TEXT(F226+1,"YYYY-MM-DD")</f>
        <v>aws s3 cp s3://rtdc.mdm.uploadarchive.raw/RTDC4043/ "%USERPROFILE%\AppData\Local\Temp\OnboardLogs"\RTDC4043\2017-02-07 --exclude "*" --recursive --include "*20170207*" &amp; "%USERPROFILE%\Documents\GitHub\mrs-test-scripts\Headless Mode &amp; Sideloading\WalkAndUnGZ.bat" "%USERPROFILE%\AppData\Local\Temp\OnboardLogs"\RTDC4043\2017-02-07 &amp; 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</v>
      </c>
      <c r="AF226" s="82" t="str">
        <f>astrogrep_path&amp;" /spath="&amp;search_path&amp;" /stypes=""app*"&amp;B226&amp;"*"&amp;TEXT(I226-utc_offset/24,"YYYYMMDD")&amp;"*"" /stext="" "&amp;TEXT(I226-utc_offset/24,"HH")&amp;search_regexp&amp;""" /e /r /s"</f>
        <v>"C:\Program Files (x86)\AstroGrep\AstroGrep.exe" /spath="%USERPROFILE%\AppData\Local\Temp\OnboardLogs" /stypes="app*4043*20170207*" /stext=" 09:.+((SYSTEM_STATE.+slice.+state.+changed )|(ment ac)|(multiple cpu faults)|(system.+state.+changed )|(\[timeout)|(PRM\|1\|D)|(kpr)|(kdp)|(\|lc)|(penalty))" /e /r /s</v>
      </c>
      <c r="AG226" s="1" t="str">
        <f>IFERROR(IF(VALUE(LEFT(AD226,2))&lt;=2,"EC",IF(OR(VALUE(LEFT(AD226,2))=8,VALUE(LEFT(AD226,2))=18),"NW","Other")),"Other")</f>
        <v>Other</v>
      </c>
      <c r="AH226" s="86" t="str">
        <f t="shared" si="12"/>
        <v>"%USERPROFILE%\Documents\GitHub\eaglep3\Utilities\RefineRTDCRunTimes.py" --tripid 60-06 --locoid 4043 --swversion DE.1.0.9.0 --startMP 300:24733 --initTime 2017-02-07T01:58:01 --startdatetime 2017-02-07T02:33:50 --delay 1 --endMP 204:95 --enddatetime 2017-02-07T02:40:55 --enforcementcount 0 &gt;&gt;C:\Users\stu\Documents\GitHub\eaglep3-reporting\EC\2017-02-07-refined-times.txt</v>
      </c>
      <c r="AI226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{"issue":{"subject":"","project_id":79,"tracker_id":40,"status_id":1,"priority_id":2,"assigned_to_id":23,"start_date":"2017-02-07","description":"","custom_fields":[{"id":1,"name":"Subdivision","value":"Other"},{"id":4,"name":"Milepost","value":"0.0095"},{"id":17,"name":"Train ID","value":"60-06"},{"id":16,"name":"Locomotive ID","value":"4043"},{"id":130,"name":"Impact","value":""},{"id":150,"name":"Time of Event (Mountain Time)","value":"02:40:55"},{"id":151,"name":"Denver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6" s="48"/>
      <c r="AK226" s="48"/>
      <c r="AL226" s="48"/>
      <c r="AM226" s="158" t="str">
        <f t="shared" si="14"/>
        <v>start /low /b %USERPROFILE%\Documents\GitHub\eaglep3\Utilities\DownloadLogsFromS3.py --loco 4043 --day 2017-02-07</v>
      </c>
      <c r="AN226" s="167" t="str">
        <f>"grep -SE -B400 ""CHR.+\|PRM\|1\|D.+(SWITCH|SIGNAL).+UNKNOWN"" "&amp;search_path&amp;"\RTDC"&amp;B226&amp;"\*"&amp;B226&amp;"*"&amp;TEXT(AVERAGE(F226,I226)-utc_offset/24,"YYYYMMDD")&amp;"*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"%USERPROFILE%\AppData\Local\Temp\OnboardLogs"\RTDC4043\*4043*20170207* | grep -SE "(Enforcement Action)|(\[TIMEOUT)|(CHR.+\|PRM\|1\|D.+(SWITCH|SIGNAL).+UNKNOWN)" - &gt;&gt; 2017-02-07-UncaughtWiMAX.txt</v>
      </c>
    </row>
    <row r="227" spans="1:40" x14ac:dyDescent="0.25">
      <c r="A227" s="33" t="s">
        <v>414</v>
      </c>
      <c r="B227" s="7">
        <v>4043</v>
      </c>
      <c r="C227" s="21" t="s">
        <v>438</v>
      </c>
      <c r="D227" s="21" t="s">
        <v>444</v>
      </c>
      <c r="E227" s="13">
        <v>42773.104907407411</v>
      </c>
      <c r="F227" s="13">
        <v>42773.128611111111</v>
      </c>
      <c r="G227" s="7">
        <v>1</v>
      </c>
      <c r="H227" s="21" t="s">
        <v>445</v>
      </c>
      <c r="I227" s="13">
        <v>42773.133483796293</v>
      </c>
      <c r="J227" s="7">
        <v>0</v>
      </c>
      <c r="K227" s="98" t="str">
        <f>IF(ISEVEN(B227),(B227-1)&amp;"/"&amp;B227,B227&amp;"/"&amp;(B227+1))</f>
        <v>4043/4044</v>
      </c>
      <c r="L227" s="21" t="str">
        <f>VLOOKUP(A227,'Trips&amp;Operators'!$C$1:$G$99999,5,FALSE)</f>
        <v>SIMMONS SHYHESHA</v>
      </c>
      <c r="M227" s="6">
        <f>I227-F227</f>
        <v>4.8726851819083095E-3</v>
      </c>
      <c r="N227" s="7">
        <f>24*60*SUM($M227:$M227)</f>
        <v>7.0166666619479656</v>
      </c>
      <c r="O227" s="7"/>
      <c r="P227" s="7"/>
      <c r="Q227" s="22"/>
      <c r="R227" s="22"/>
      <c r="S227" s="31">
        <f>SUM(U227:U227)/IF(AG227="EC",12,1)</f>
        <v>0</v>
      </c>
      <c r="T227" s="46" t="e">
        <f>IF(ISEVEN(LEFT(AD227,4)),"Southbound","NorthBound")</f>
        <v>#VALUE!</v>
      </c>
      <c r="U227" s="190">
        <f>IF(AG227="EC",COUNTIFS(Variables!$M$2:$M$19,IF(T227="NorthBound","&gt;=","&lt;=")&amp;Y227,Variables!$M$2:$M$19,IF(T227="NorthBound","&lt;=","&gt;=")&amp;Z227),COUNTIFS(Variables!$P$2:$P$19,IF(T227="NorthBound","&gt;=","&lt;=")&amp;Y227,Variables!$P$2:$P$19,IF(T227="NorthBound","&lt;=","&gt;=")&amp;Z227))</f>
        <v>0</v>
      </c>
      <c r="V227" s="191" t="str">
        <f>"https://d0f6bd738d7f1b3e5a7ca70fe4ff75f0.us-east-1.aws.found.io/app/kibana#/discover/Steve-Slow-Train-Analysis-(2080s-and-2083s)?_g="&amp;"(refreshInterval:(display:Off,pause:!f,section:0,value:0),time:(from:'"&amp;TEXT(E227-1/24,"yyyy-MM-DDThh:mm:ss")&amp;utc_offset&amp;"00"&amp;"',mode:absolute,to:'"&amp;TEXT(I227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227&amp;"%22')),sort:!(Time.ISO8601,asc))"</f>
        <v>https://d0f6bd738d7f1b3e5a7ca70fe4ff75f0.us-east-1.aws.found.io/app/kibana#/discover/Steve-Slow-Train-Analysis-(2080s-and-2083s)?_g=(refreshInterval:(display:Off,pause:!f,section:0,value:0),time:(from:'2017-02-07T01:31:04-0700',mode:absolute,to:'2017-02-07T04:12:13-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7" s="192" t="str">
        <f>IF(AA227&lt;IF(AG227="EC",23,5.65),"Y","N")</f>
        <v>Y</v>
      </c>
      <c r="X227" s="192" t="e">
        <f>VALUE(LEFT(AD227,4))-VALUE(LEFT(AD226,4))</f>
        <v>#VALUE!</v>
      </c>
      <c r="Y227" s="62">
        <f>RIGHT(D227,LEN(D227)-4)/10000</f>
        <v>2.4767000000000001</v>
      </c>
      <c r="Z227" s="62">
        <f>RIGHT(H227,LEN(H227)-4)/10000</f>
        <v>1.5299999999999999E-2</v>
      </c>
      <c r="AA227" s="62">
        <f>ABS(Z227-Y227)</f>
        <v>2.4614000000000003</v>
      </c>
      <c r="AB227" s="59" t="e">
        <f>VLOOKUP(A227,Enforcements!$C$7:$K$14,8,0)</f>
        <v>#N/A</v>
      </c>
      <c r="AC227" s="55" t="e">
        <f>VLOOKUP(A227,Enforcements!$C$7:$E$14,3,0)</f>
        <v>#N/A</v>
      </c>
      <c r="AD227" s="56" t="str">
        <f>IF(LEN(A227)=6,"0"&amp;A227,A227)</f>
        <v>60-06</v>
      </c>
      <c r="AE227" s="85" t="str">
        <f>"aws s3 cp "&amp;s3_bucket&amp;"/RTDC"&amp;B227&amp;"/ "&amp;search_path&amp;"\RTDC"&amp;B227&amp;"\"&amp;TEXT(F227,"YYYY-MM-DD")&amp;" --exclude ""*"" --recursive --include ""*"&amp;TEXT(F227,"YYYYMMDD")&amp;"*"" &amp; """&amp;walkandungz&amp;""" "&amp;search_path&amp;"\RTDC"&amp;B227&amp;"\"&amp;TEXT(F227,"YYYY-MM-DD")
&amp;" &amp; "&amp;"aws s3 cp "&amp;s3_bucket&amp;"/RTDC"&amp;B227&amp;"/ "&amp;search_path&amp;"\RTDC"&amp;B227&amp;"\"&amp;TEXT(F227+1,"YYYY-MM-DD")&amp;" --exclude ""*"" --recursive --include ""*"&amp;TEXT(F227+1,"YYYYMMDD")&amp;"*"" &amp; """&amp;walkandungz&amp;""" "&amp;search_path&amp;"\RTDC"&amp;B227&amp;"\"&amp;TEXT(F227+1,"YYYY-MM-DD")</f>
        <v>aws s3 cp s3://rtdc.mdm.uploadarchive.raw/RTDC4043/ "%USERPROFILE%\AppData\Local\Temp\OnboardLogs"\RTDC4043\2017-02-07 --exclude "*" --recursive --include "*20170207*" &amp; "%USERPROFILE%\Documents\GitHub\mrs-test-scripts\Headless Mode &amp; Sideloading\WalkAndUnGZ.bat" "%USERPROFILE%\AppData\Local\Temp\OnboardLogs"\RTDC4043\2017-02-07 &amp; 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</v>
      </c>
      <c r="AF227" s="82" t="str">
        <f>astrogrep_path&amp;" /spath="&amp;search_path&amp;" /stypes=""app*"&amp;B227&amp;"*"&amp;TEXT(I227-utc_offset/24,"YYYYMMDD")&amp;"*"" /stext="" "&amp;TEXT(I227-utc_offset/24,"HH")&amp;search_regexp&amp;""" /e /r /s"</f>
        <v>"C:\Program Files (x86)\AstroGrep\AstroGrep.exe" /spath="%USERPROFILE%\AppData\Local\Temp\OnboardLogs" /stypes="app*4043*20170207*" /stext=" 10:.+((SYSTEM_STATE.+slice.+state.+changed )|(ment ac)|(multiple cpu faults)|(system.+state.+changed )|(\[timeout)|(PRM\|1\|D)|(kpr)|(kdp)|(\|lc)|(penalty))" /e /r /s</v>
      </c>
      <c r="AG227" s="1" t="str">
        <f>IFERROR(IF(VALUE(LEFT(AD227,2))&lt;=2,"EC",IF(OR(VALUE(LEFT(AD227,2))=8,VALUE(LEFT(AD227,2))=18),"NW","Other")),"Other")</f>
        <v>Other</v>
      </c>
      <c r="AH227" s="86" t="str">
        <f t="shared" si="12"/>
        <v>"%USERPROFILE%\Documents\GitHub\eaglep3\Utilities\RefineRTDCRunTimes.py" --tripid 60-06 --locoid 4043 --swversion DE.1.0.9.0 --startMP 300:24767 --initTime 2017-02-07T02:31:04 --startdatetime 2017-02-07T03:05:12 --delay 1 --endMP 204:153 --enddatetime 2017-02-07T03:12:13 --enforcementcount 0 &gt;&gt;C:\Users\stu\Documents\GitHub\eaglep3-reporting\EC\2017-02-07-refined-times.txt</v>
      </c>
      <c r="AI227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{"issue":{"subject":"","project_id":79,"tracker_id":40,"status_id":1,"priority_id":2,"assigned_to_id":23,"start_date":"2017-02-07","description":"","custom_fields":[{"id":1,"name":"Subdivision","value":"Other"},{"id":4,"name":"Milepost","value":"0.0153"},{"id":17,"name":"Train ID","value":"60-06"},{"id":16,"name":"Locomotive ID","value":"4043"},{"id":130,"name":"Impact","value":""},{"id":150,"name":"Time of Event (Mountain Time)","value":"03:12:13"},{"id":151,"name":"Denver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7" s="48"/>
      <c r="AK227" s="48"/>
      <c r="AL227" s="48"/>
      <c r="AM227" s="158" t="str">
        <f t="shared" si="14"/>
        <v>start /low /b %USERPROFILE%\Documents\GitHub\eaglep3\Utilities\DownloadLogsFromS3.py --loco 4043 --day 2017-02-07</v>
      </c>
      <c r="AN227" s="167" t="str">
        <f>"grep -SE -B400 ""CHR.+\|PRM\|1\|D.+(SWITCH|SIGNAL).+UNKNOWN"" "&amp;search_path&amp;"\RTDC"&amp;B227&amp;"\*"&amp;B227&amp;"*"&amp;TEXT(AVERAGE(F227,I227)-utc_offset/24,"YYYYMMDD")&amp;"*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"%USERPROFILE%\AppData\Local\Temp\OnboardLogs"\RTDC4043\*4043*20170207* | grep -SE "(Enforcement Action)|(\[TIMEOUT)|(CHR.+\|PRM\|1\|D.+(SWITCH|SIGNAL).+UNKNOWN)" - &gt;&gt; 2017-02-07-UncaughtWiMAX.txt</v>
      </c>
    </row>
    <row r="228" spans="1:40" x14ac:dyDescent="0.25">
      <c r="A228" s="33" t="s">
        <v>414</v>
      </c>
      <c r="B228" s="7">
        <v>4043</v>
      </c>
      <c r="C228" s="21" t="s">
        <v>438</v>
      </c>
      <c r="D228" s="21" t="s">
        <v>795</v>
      </c>
      <c r="E228" s="13">
        <v>42773.143611111111</v>
      </c>
      <c r="F228" s="13">
        <v>42773.152465277781</v>
      </c>
      <c r="G228" s="7">
        <v>1</v>
      </c>
      <c r="H228" s="21" t="s">
        <v>796</v>
      </c>
      <c r="I228" s="13">
        <v>42773.157372685186</v>
      </c>
      <c r="J228" s="7">
        <v>0</v>
      </c>
      <c r="K228" s="98" t="str">
        <f>IF(ISEVEN(B228),(B228-1)&amp;"/"&amp;B228,B228&amp;"/"&amp;(B228+1))</f>
        <v>4043/4044</v>
      </c>
      <c r="L228" s="21" t="str">
        <f>VLOOKUP(A228,'Trips&amp;Operators'!$C$1:$G$99999,5,FALSE)</f>
        <v>SIMMONS SHYHESHA</v>
      </c>
      <c r="M228" s="6">
        <f>I228-F228</f>
        <v>4.907407404971309E-3</v>
      </c>
      <c r="N228" s="7">
        <f>24*60*SUM($M228:$M228)</f>
        <v>7.066666663158685</v>
      </c>
      <c r="O228" s="7"/>
      <c r="P228" s="7"/>
      <c r="Q228" s="22"/>
      <c r="R228" s="22"/>
      <c r="S228" s="31">
        <f>SUM(U228:U228)/IF(AG228="EC",12,1)</f>
        <v>0</v>
      </c>
      <c r="T228" s="46" t="e">
        <f>IF(ISEVEN(LEFT(AD228,4)),"Southbound","NorthBound")</f>
        <v>#VALUE!</v>
      </c>
      <c r="U228" s="190">
        <f>IF(AG228="EC",COUNTIFS(Variables!$M$2:$M$19,IF(T228="NorthBound","&gt;=","&lt;=")&amp;Y228,Variables!$M$2:$M$19,IF(T228="NorthBound","&lt;=","&gt;=")&amp;Z228),COUNTIFS(Variables!$P$2:$P$19,IF(T228="NorthBound","&gt;=","&lt;=")&amp;Y228,Variables!$P$2:$P$19,IF(T228="NorthBound","&lt;=","&gt;=")&amp;Z228))</f>
        <v>0</v>
      </c>
      <c r="V228" s="191" t="str">
        <f>"https://d0f6bd738d7f1b3e5a7ca70fe4ff75f0.us-east-1.aws.found.io/app/kibana#/discover/Steve-Slow-Train-Analysis-(2080s-and-2083s)?_g="&amp;"(refreshInterval:(display:Off,pause:!f,section:0,value:0),time:(from:'"&amp;TEXT(E228-1/24,"yyyy-MM-DDThh:mm:ss")&amp;utc_offset&amp;"00"&amp;"',mode:absolute,to:'"&amp;TEXT(I228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228&amp;"%22')),sort:!(Time.ISO8601,asc))"</f>
        <v>https://d0f6bd738d7f1b3e5a7ca70fe4ff75f0.us-east-1.aws.found.io/app/kibana#/discover/Steve-Slow-Train-Analysis-(2080s-and-2083s)?_g=(refreshInterval:(display:Off,pause:!f,section:0,value:0),time:(from:'2017-02-07T02:26:48-0700',mode:absolute,to:'2017-02-07T04:46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8" s="192" t="str">
        <f>IF(AA228&lt;IF(AG228="EC",23,5.65),"Y","N")</f>
        <v>Y</v>
      </c>
      <c r="X228" s="192" t="e">
        <f>VALUE(LEFT(AD228,4))-VALUE(LEFT(AD227,4))</f>
        <v>#VALUE!</v>
      </c>
      <c r="Y228" s="62">
        <f>RIGHT(D228,LEN(D228)-4)/10000</f>
        <v>2.4790000000000001</v>
      </c>
      <c r="Z228" s="62">
        <f>RIGHT(H228,LEN(H228)-4)/10000</f>
        <v>1.55E-2</v>
      </c>
      <c r="AA228" s="62">
        <f>ABS(Z228-Y228)</f>
        <v>2.4635000000000002</v>
      </c>
      <c r="AB228" s="59" t="e">
        <f>VLOOKUP(A228,Enforcements!$C$7:$K$14,8,0)</f>
        <v>#N/A</v>
      </c>
      <c r="AC228" s="55" t="e">
        <f>VLOOKUP(A228,Enforcements!$C$7:$E$14,3,0)</f>
        <v>#N/A</v>
      </c>
      <c r="AD228" s="56" t="str">
        <f>IF(LEN(A228)=6,"0"&amp;A228,A228)</f>
        <v>60-06</v>
      </c>
      <c r="AE228" s="85" t="str">
        <f>"aws s3 cp "&amp;s3_bucket&amp;"/RTDC"&amp;B228&amp;"/ "&amp;search_path&amp;"\RTDC"&amp;B228&amp;"\"&amp;TEXT(F228,"YYYY-MM-DD")&amp;" --exclude ""*"" --recursive --include ""*"&amp;TEXT(F228,"YYYYMMDD")&amp;"*"" &amp; """&amp;walkandungz&amp;""" "&amp;search_path&amp;"\RTDC"&amp;B228&amp;"\"&amp;TEXT(F228,"YYYY-MM-DD")
&amp;" &amp; "&amp;"aws s3 cp "&amp;s3_bucket&amp;"/RTDC"&amp;B228&amp;"/ "&amp;search_path&amp;"\RTDC"&amp;B228&amp;"\"&amp;TEXT(F228+1,"YYYY-MM-DD")&amp;" --exclude ""*"" --recursive --include ""*"&amp;TEXT(F228+1,"YYYYMMDD")&amp;"*"" &amp; """&amp;walkandungz&amp;""" "&amp;search_path&amp;"\RTDC"&amp;B228&amp;"\"&amp;TEXT(F228+1,"YYYY-MM-DD")</f>
        <v>aws s3 cp s3://rtdc.mdm.uploadarchive.raw/RTDC4043/ "%USERPROFILE%\AppData\Local\Temp\OnboardLogs"\RTDC4043\2017-02-07 --exclude "*" --recursive --include "*20170207*" &amp; "%USERPROFILE%\Documents\GitHub\mrs-test-scripts\Headless Mode &amp; Sideloading\WalkAndUnGZ.bat" "%USERPROFILE%\AppData\Local\Temp\OnboardLogs"\RTDC4043\2017-02-07 &amp; 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</v>
      </c>
      <c r="AF228" s="82" t="str">
        <f>astrogrep_path&amp;" /spath="&amp;search_path&amp;" /stypes=""app*"&amp;B228&amp;"*"&amp;TEXT(I228-utc_offset/24,"YYYYMMDD")&amp;"*"" /stext="" "&amp;TEXT(I228-utc_offset/24,"HH")&amp;search_regexp&amp;""" /e /r /s"</f>
        <v>"C:\Program Files (x86)\AstroGrep\AstroGrep.exe" /spath="%USERPROFILE%\AppData\Local\Temp\OnboardLogs" /stypes="app*4043*20170207*" /stext=" 10:.+((SYSTEM_STATE.+slice.+state.+changed )|(ment ac)|(multiple cpu faults)|(system.+state.+changed )|(\[timeout)|(PRM\|1\|D)|(kpr)|(kdp)|(\|lc)|(penalty))" /e /r /s</v>
      </c>
      <c r="AG228" s="1" t="str">
        <f>IFERROR(IF(VALUE(LEFT(AD228,2))&lt;=2,"EC",IF(OR(VALUE(LEFT(AD228,2))=8,VALUE(LEFT(AD228,2))=18),"NW","Other")),"Other")</f>
        <v>Other</v>
      </c>
      <c r="AH228" s="86" t="str">
        <f t="shared" si="12"/>
        <v>"%USERPROFILE%\Documents\GitHub\eaglep3\Utilities\RefineRTDCRunTimes.py" --tripid 60-06 --locoid 4043 --swversion DE.1.0.9.0 --startMP 300:24790 --initTime 2017-02-07T03:26:48 --startdatetime 2017-02-07T03:39:33 --delay 1 --endMP 204:155 --enddatetime 2017-02-07T03:46:37 --enforcementcount 0 &gt;&gt;C:\Users\stu\Documents\GitHub\eaglep3-reporting\EC\2017-02-07-refined-times.txt</v>
      </c>
      <c r="AI228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{"issue":{"subject":"","project_id":79,"tracker_id":40,"status_id":1,"priority_id":2,"assigned_to_id":23,"start_date":"2017-02-07","description":"","custom_fields":[{"id":1,"name":"Subdivision","value":"Other"},{"id":4,"name":"Milepost","value":"0.0155"},{"id":17,"name":"Train ID","value":"60-06"},{"id":16,"name":"Locomotive ID","value":"4043"},{"id":130,"name":"Impact","value":""},{"id":150,"name":"Time of Event (Mountain Time)","value":"03:46:37"},{"id":151,"name":"Denver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8" s="48"/>
      <c r="AK228" s="48"/>
      <c r="AL228" s="48"/>
      <c r="AM228" s="158" t="str">
        <f t="shared" si="14"/>
        <v>start /low /b %USERPROFILE%\Documents\GitHub\eaglep3\Utilities\DownloadLogsFromS3.py --loco 4043 --day 2017-02-07</v>
      </c>
      <c r="AN228" s="167" t="str">
        <f>"grep -SE -B400 ""CHR.+\|PRM\|1\|D.+(SWITCH|SIGNAL).+UNKNOWN"" "&amp;search_path&amp;"\RTDC"&amp;B228&amp;"\*"&amp;B228&amp;"*"&amp;TEXT(AVERAGE(F228,I228)-utc_offset/24,"YYYYMMDD")&amp;"*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"%USERPROFILE%\AppData\Local\Temp\OnboardLogs"\RTDC4043\*4043*20170207* | grep -SE "(Enforcement Action)|(\[TIMEOUT)|(CHR.+\|PRM\|1\|D.+(SWITCH|SIGNAL).+UNKNOWN)" - &gt;&gt; 2017-02-07-UncaughtWiMAX.txt</v>
      </c>
    </row>
    <row r="229" spans="1:40" x14ac:dyDescent="0.25">
      <c r="A229" s="33" t="s">
        <v>414</v>
      </c>
      <c r="B229" s="7">
        <v>4043</v>
      </c>
      <c r="C229" s="21" t="s">
        <v>438</v>
      </c>
      <c r="D229" s="21" t="s">
        <v>797</v>
      </c>
      <c r="E229" s="13">
        <v>42773.12127314815</v>
      </c>
      <c r="F229" s="13">
        <v>42773.152465277781</v>
      </c>
      <c r="G229" s="7">
        <v>4</v>
      </c>
      <c r="H229" s="21" t="s">
        <v>798</v>
      </c>
      <c r="I229" s="13">
        <v>42773.157372685186</v>
      </c>
      <c r="J229" s="7">
        <v>0</v>
      </c>
      <c r="K229" s="98" t="str">
        <f>IF(ISEVEN(B229),(B229-1)&amp;"/"&amp;B229,B229&amp;"/"&amp;(B229+1))</f>
        <v>4043/4044</v>
      </c>
      <c r="L229" s="21" t="str">
        <f>VLOOKUP(A229,'Trips&amp;Operators'!$C$1:$G$99999,5,FALSE)</f>
        <v>SIMMONS SHYHESHA</v>
      </c>
      <c r="M229" s="6">
        <f>I229-F229</f>
        <v>4.907407404971309E-3</v>
      </c>
      <c r="N229" s="7">
        <f>24*60*SUM($M229:$M229)</f>
        <v>7.066666663158685</v>
      </c>
      <c r="O229" s="7"/>
      <c r="P229" s="7"/>
      <c r="Q229" s="22"/>
      <c r="R229" s="22"/>
      <c r="S229" s="31">
        <f>SUM(U229:U229)/IF(AG229="EC",12,1)</f>
        <v>0</v>
      </c>
      <c r="T229" s="46" t="e">
        <f>IF(ISEVEN(LEFT(AD229,4)),"Southbound","NorthBound")</f>
        <v>#VALUE!</v>
      </c>
      <c r="U229" s="190">
        <f>IF(AG229="EC",COUNTIFS(Variables!$M$2:$M$19,IF(T229="NorthBound","&gt;=","&lt;=")&amp;Y229,Variables!$M$2:$M$19,IF(T229="NorthBound","&lt;=","&gt;=")&amp;Z229),COUNTIFS(Variables!$P$2:$P$19,IF(T229="NorthBound","&gt;=","&lt;=")&amp;Y229,Variables!$P$2:$P$19,IF(T229="NorthBound","&lt;=","&gt;=")&amp;Z229))</f>
        <v>0</v>
      </c>
      <c r="V229" s="191" t="str">
        <f>"https://d0f6bd738d7f1b3e5a7ca70fe4ff75f0.us-east-1.aws.found.io/app/kibana#/discover/Steve-Slow-Train-Analysis-(2080s-and-2083s)?_g="&amp;"(refreshInterval:(display:Off,pause:!f,section:0,value:0),time:(from:'"&amp;TEXT(E229-1/24,"yyyy-MM-DDThh:mm:ss")&amp;utc_offset&amp;"00"&amp;"',mode:absolute,to:'"&amp;TEXT(I229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229&amp;"%22')),sort:!(Time.ISO8601,asc))"</f>
        <v>https://d0f6bd738d7f1b3e5a7ca70fe4ff75f0.us-east-1.aws.found.io/app/kibana#/discover/Steve-Slow-Train-Analysis-(2080s-and-2083s)?_g=(refreshInterval:(display:Off,pause:!f,section:0,value:0),time:(from:'2017-02-07T01:54:38-0700',mode:absolute,to:'2017-02-07T04:46:37-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W229" s="192" t="str">
        <f>IF(AA229&lt;IF(AG229="EC",23,5.65),"Y","N")</f>
        <v>Y</v>
      </c>
      <c r="X229" s="192" t="e">
        <f>VALUE(LEFT(AD229,4))-VALUE(LEFT(AD228,4))</f>
        <v>#VALUE!</v>
      </c>
      <c r="Y229" s="62">
        <f>RIGHT(D229,LEN(D229)-4)/10000</f>
        <v>2.4975999999999998</v>
      </c>
      <c r="Z229" s="62">
        <f>RIGHT(H229,LEN(H229)-4)/10000</f>
        <v>1.4200000000000001E-2</v>
      </c>
      <c r="AA229" s="62">
        <f>ABS(Z229-Y229)</f>
        <v>2.4833999999999996</v>
      </c>
      <c r="AB229" s="59" t="e">
        <f>VLOOKUP(A229,Enforcements!$C$7:$K$14,8,0)</f>
        <v>#N/A</v>
      </c>
      <c r="AC229" s="55" t="e">
        <f>VLOOKUP(A229,Enforcements!$C$7:$E$14,3,0)</f>
        <v>#N/A</v>
      </c>
      <c r="AD229" s="56" t="str">
        <f>IF(LEN(A229)=6,"0"&amp;A229,A229)</f>
        <v>60-06</v>
      </c>
      <c r="AE229" s="85" t="str">
        <f>"aws s3 cp "&amp;s3_bucket&amp;"/RTDC"&amp;B229&amp;"/ "&amp;search_path&amp;"\RTDC"&amp;B229&amp;"\"&amp;TEXT(F229,"YYYY-MM-DD")&amp;" --exclude ""*"" --recursive --include ""*"&amp;TEXT(F229,"YYYYMMDD")&amp;"*"" &amp; """&amp;walkandungz&amp;""" "&amp;search_path&amp;"\RTDC"&amp;B229&amp;"\"&amp;TEXT(F229,"YYYY-MM-DD")
&amp;" &amp; "&amp;"aws s3 cp "&amp;s3_bucket&amp;"/RTDC"&amp;B229&amp;"/ "&amp;search_path&amp;"\RTDC"&amp;B229&amp;"\"&amp;TEXT(F229+1,"YYYY-MM-DD")&amp;" --exclude ""*"" --recursive --include ""*"&amp;TEXT(F229+1,"YYYYMMDD")&amp;"*"" &amp; """&amp;walkandungz&amp;""" "&amp;search_path&amp;"\RTDC"&amp;B229&amp;"\"&amp;TEXT(F229+1,"YYYY-MM-DD")</f>
        <v>aws s3 cp s3://rtdc.mdm.uploadarchive.raw/RTDC4043/ "%USERPROFILE%\AppData\Local\Temp\OnboardLogs"\RTDC4043\2017-02-07 --exclude "*" --recursive --include "*20170207*" &amp; "%USERPROFILE%\Documents\GitHub\mrs-test-scripts\Headless Mode &amp; Sideloading\WalkAndUnGZ.bat" "%USERPROFILE%\AppData\Local\Temp\OnboardLogs"\RTDC4043\2017-02-07 &amp; 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</v>
      </c>
      <c r="AF229" s="82" t="str">
        <f>astrogrep_path&amp;" /spath="&amp;search_path&amp;" /stypes=""app*"&amp;B229&amp;"*"&amp;TEXT(I229-utc_offset/24,"YYYYMMDD")&amp;"*"" /stext="" "&amp;TEXT(I229-utc_offset/24,"HH")&amp;search_regexp&amp;""" /e /r /s"</f>
        <v>"C:\Program Files (x86)\AstroGrep\AstroGrep.exe" /spath="%USERPROFILE%\AppData\Local\Temp\OnboardLogs" /stypes="app*4043*20170207*" /stext=" 10:.+((SYSTEM_STATE.+slice.+state.+changed )|(ment ac)|(multiple cpu faults)|(system.+state.+changed )|(\[timeout)|(PRM\|1\|D)|(kpr)|(kdp)|(\|lc)|(penalty))" /e /r /s</v>
      </c>
      <c r="AG229" s="1" t="str">
        <f>IFERROR(IF(VALUE(LEFT(AD229,2))&lt;=2,"EC",IF(OR(VALUE(LEFT(AD229,2))=8,VALUE(LEFT(AD229,2))=18),"NW","Other")),"Other")</f>
        <v>Other</v>
      </c>
      <c r="AH229" s="86" t="str">
        <f t="shared" si="12"/>
        <v>"%USERPROFILE%\Documents\GitHub\eaglep3\Utilities\RefineRTDCRunTimes.py" --tripid 60-06 --locoid 4043 --swversion DE.1.0.9.0 --startMP 300:24976 --initTime 2017-02-07T02:54:38 --startdatetime 2017-02-07T03:39:33 --delay 4 --endMP 204:142 --enddatetime 2017-02-07T03:46:37 --enforcementcount 0 &gt;&gt;C:\Users\stu\Documents\GitHub\eaglep3-reporting\EC\2017-02-07-refined-times.txt</v>
      </c>
      <c r="AI229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{"issue":{"subject":"","project_id":79,"tracker_id":40,"status_id":1,"priority_id":2,"assigned_to_id":23,"start_date":"2017-02-07","description":"","custom_fields":[{"id":1,"name":"Subdivision","value":"Other"},{"id":4,"name":"Milepost","value":"0.0142"},{"id":17,"name":"Train ID","value":"60-06"},{"id":16,"name":"Locomotive ID","value":"4043"},{"id":130,"name":"Impact","value":""},{"id":150,"name":"Time of Event (Mountain Time)","value":"03:46:37"},{"id":151,"name":"Denver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9" s="48"/>
      <c r="AK229" s="48"/>
      <c r="AL229" s="48"/>
      <c r="AM229" s="158" t="str">
        <f t="shared" si="14"/>
        <v>start /low /b %USERPROFILE%\Documents\GitHub\eaglep3\Utilities\DownloadLogsFromS3.py --loco 4043 --day 2017-02-07</v>
      </c>
      <c r="AN229" s="167" t="str">
        <f>"grep -SE -B400 ""CHR.+\|PRM\|1\|D.+(SWITCH|SIGNAL).+UNKNOWN"" "&amp;search_path&amp;"\RTDC"&amp;B229&amp;"\*"&amp;B229&amp;"*"&amp;TEXT(AVERAGE(F229,I229)-utc_offset/24,"YYYYMMDD")&amp;"*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"%USERPROFILE%\AppData\Local\Temp\OnboardLogs"\RTDC4043\*4043*20170207* | grep -SE "(Enforcement Action)|(\[TIMEOUT)|(CHR.+\|PRM\|1\|D.+(SWITCH|SIGNAL).+UNKNOWN)" - &gt;&gt; 2017-02-07-UncaughtWiMAX.txt</v>
      </c>
    </row>
    <row r="230" spans="1:40" x14ac:dyDescent="0.25">
      <c r="A230" s="33" t="s">
        <v>641</v>
      </c>
      <c r="B230" s="7">
        <v>4020</v>
      </c>
      <c r="C230" s="21" t="s">
        <v>193</v>
      </c>
      <c r="D230" s="21" t="s">
        <v>799</v>
      </c>
      <c r="E230" s="13">
        <v>42773.725925925923</v>
      </c>
      <c r="F230" s="13">
        <v>42773.746932870374</v>
      </c>
      <c r="G230" s="7">
        <v>2</v>
      </c>
      <c r="H230" s="21" t="s">
        <v>800</v>
      </c>
      <c r="I230" s="13">
        <v>42773.756388888891</v>
      </c>
      <c r="J230" s="7">
        <v>0</v>
      </c>
      <c r="K230" s="98" t="str">
        <f>IF(ISEVEN(B230),(B230-1)&amp;"/"&amp;B230,B230&amp;"/"&amp;(B230+1))</f>
        <v>4019/4020</v>
      </c>
      <c r="L230" s="21" t="str">
        <f>VLOOKUP(A230,'Trips&amp;Operators'!$C$1:$G$99999,5,FALSE)</f>
        <v>STRICKLAND EVAN</v>
      </c>
      <c r="M230" s="6">
        <f>I230-F230</f>
        <v>9.4560185170848854E-3</v>
      </c>
      <c r="N230" s="7">
        <f>24*60*SUM($M230:$M230)</f>
        <v>13.616666664602235</v>
      </c>
      <c r="O230" s="7"/>
      <c r="P230" s="7"/>
      <c r="Q230" s="22"/>
      <c r="R230" s="22"/>
      <c r="S230" s="31">
        <f>SUM(U230:U230)/IF(AG230="EC",12,1)</f>
        <v>0</v>
      </c>
      <c r="T230" s="46" t="e">
        <f>IF(ISEVEN(LEFT(AD230,4)),"Southbound","NorthBound")</f>
        <v>#VALUE!</v>
      </c>
      <c r="U230" s="190">
        <f>IF(AG230="EC",COUNTIFS(Variables!$M$2:$M$19,IF(T230="NorthBound","&gt;=","&lt;=")&amp;Y230,Variables!$M$2:$M$19,IF(T230="NorthBound","&lt;=","&gt;=")&amp;Z230),COUNTIFS(Variables!$P$2:$P$19,IF(T230="NorthBound","&gt;=","&lt;=")&amp;Y230,Variables!$P$2:$P$19,IF(T230="NorthBound","&lt;=","&gt;=")&amp;Z230))</f>
        <v>0</v>
      </c>
      <c r="V230" s="191" t="str">
        <f>"https://d0f6bd738d7f1b3e5a7ca70fe4ff75f0.us-east-1.aws.found.io/app/kibana#/discover/Steve-Slow-Train-Analysis-(2080s-and-2083s)?_g="&amp;"(refreshInterval:(display:Off,pause:!f,section:0,value:0),time:(from:'"&amp;TEXT(E230-1/24,"yyyy-MM-DDThh:mm:ss")&amp;utc_offset&amp;"00"&amp;"',mode:absolute,to:'"&amp;TEXT(I230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230&amp;"%22')),sort:!(Time.ISO8601,asc))"</f>
        <v>https://d0f6bd738d7f1b3e5a7ca70fe4ff75f0.us-east-1.aws.found.io/app/kibana#/discover/Steve-Slow-Train-Analysis-(2080s-and-2083s)?_g=(refreshInterval:(display:Off,pause:!f,section:0,value:0),time:(from:'2017-02-07T16:25:20-0700',mode:absolute,to:'2017-02-07T19:09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0" s="192" t="str">
        <f>IF(AA230&lt;IF(AG230="EC",23,5.65),"Y","N")</f>
        <v>Y</v>
      </c>
      <c r="X230" s="192" t="e">
        <f>VALUE(LEFT(AD230,4))-VALUE(LEFT(AD229,4))</f>
        <v>#VALUE!</v>
      </c>
      <c r="Y230" s="62">
        <f>RIGHT(D230,LEN(D230)-4)/10000</f>
        <v>0.1467</v>
      </c>
      <c r="Z230" s="62">
        <f>RIGHT(H230,LEN(H230)-4)/10000</f>
        <v>0.14829999999999999</v>
      </c>
      <c r="AA230" s="62">
        <f>ABS(Z230-Y230)</f>
        <v>1.5999999999999903E-3</v>
      </c>
      <c r="AB230" s="59" t="e">
        <f>VLOOKUP(A230,Enforcements!$C$7:$K$14,8,0)</f>
        <v>#N/A</v>
      </c>
      <c r="AC230" s="55" t="e">
        <f>VLOOKUP(A230,Enforcements!$C$7:$E$14,3,0)</f>
        <v>#N/A</v>
      </c>
      <c r="AD230" s="56" t="str">
        <f>IF(LEN(A230)=6,"0"&amp;A230,A230)</f>
        <v>65-07</v>
      </c>
      <c r="AE230" s="85" t="str">
        <f>"aws s3 cp "&amp;s3_bucket&amp;"/RTDC"&amp;B230&amp;"/ "&amp;search_path&amp;"\RTDC"&amp;B230&amp;"\"&amp;TEXT(F230,"YYYY-MM-DD")&amp;" --exclude ""*"" --recursive --include ""*"&amp;TEXT(F230,"YYYYMMDD")&amp;"*"" &amp; """&amp;walkandungz&amp;""" "&amp;search_path&amp;"\RTDC"&amp;B230&amp;"\"&amp;TEXT(F230,"YYYY-MM-DD")
&amp;" &amp; "&amp;"aws s3 cp "&amp;s3_bucket&amp;"/RTDC"&amp;B230&amp;"/ "&amp;search_path&amp;"\RTDC"&amp;B230&amp;"\"&amp;TEXT(F230+1,"YYYY-MM-DD")&amp;" --exclude ""*"" --recursive --include ""*"&amp;TEXT(F230+1,"YYYYMMDD")&amp;"*"" &amp; """&amp;walkandungz&amp;""" "&amp;search_path&amp;"\RTDC"&amp;B230&amp;"\"&amp;TEXT(F230+1,"YYYY-MM-DD")</f>
        <v>aws s3 cp s3://rtdc.mdm.uploadarchive.raw/RTDC4020/ "%USERPROFILE%\AppData\Local\Temp\OnboardLogs"\RTDC4020\2017-02-07 --exclude "*" --recursive --include "*20170207*" &amp; "%USERPROFILE%\Documents\GitHub\mrs-test-scripts\Headless Mode &amp; Sideloading\WalkAndUnGZ.bat" "%USERPROFILE%\AppData\Local\Temp\OnboardLogs"\RTDC4020\2017-02-07 &amp; aws s3 cp s3://rtdc.mdm.uploadarchive.raw/RTDC4020/ "%USERPROFILE%\AppData\Local\Temp\OnboardLogs"\RTDC4020\2017-02-08 --exclude "*" --recursive --include "*20170208*" &amp; "%USERPROFILE%\Documents\GitHub\mrs-test-scripts\Headless Mode &amp; Sideloading\WalkAndUnGZ.bat" "%USERPROFILE%\AppData\Local\Temp\OnboardLogs"\RTDC4020\2017-02-08</v>
      </c>
      <c r="AF230" s="82" t="str">
        <f>astrogrep_path&amp;" /spath="&amp;search_path&amp;" /stypes=""app*"&amp;B230&amp;"*"&amp;TEXT(I230-utc_offset/24,"YYYYMMDD")&amp;"*"" /stext="" "&amp;TEXT(I230-utc_offset/24,"HH")&amp;search_regexp&amp;""" /e /r /s"</f>
        <v>"C:\Program Files (x86)\AstroGrep\AstroGrep.exe" /spath="%USERPROFILE%\AppData\Local\Temp\OnboardLogs" /stypes="app*4020*20170208*" /stext=" 01:.+((SYSTEM_STATE.+slice.+state.+changed )|(ment ac)|(multiple cpu faults)|(system.+state.+changed )|(\[timeout)|(PRM\|1\|D)|(kpr)|(kdp)|(\|lc)|(penalty))" /e /r /s</v>
      </c>
      <c r="AG230" s="1" t="str">
        <f>IFERROR(IF(VALUE(LEFT(AD230,2))&lt;=2,"EC",IF(OR(VALUE(LEFT(AD230,2))=8,VALUE(LEFT(AD230,2))=18),"NW","Other")),"Other")</f>
        <v>Other</v>
      </c>
      <c r="AH230" s="86" t="str">
        <f t="shared" si="12"/>
        <v>"%USERPROFILE%\Documents\GitHub\eaglep3\Utilities\RefineRTDCRunTimes.py" --tripid 65-07 --locoid 4020 --swversion DE.1.0.8.0 --startMP 204:1467 --initTime 2017-02-07T17:25:20 --startdatetime 2017-02-07T17:55:35 --delay 2 --endMP 204:1483 --enddatetime 2017-02-07T18:09:12 --enforcementcount 0 &gt;&gt;C:\Users\stu\Documents\GitHub\eaglep3-reporting\EC\2017-02-07-refined-times.txt</v>
      </c>
      <c r="AI230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{"issue":{"subject":"","project_id":79,"tracker_id":40,"status_id":1,"priority_id":2,"assigned_to_id":23,"start_date":"2017-02-07","description":"","custom_fields":[{"id":1,"name":"Subdivision","value":"Other"},{"id":4,"name":"Milepost","value":"0.1483"},{"id":17,"name":"Train ID","value":"65-07"},{"id":16,"name":"Locomotive ID","value":"4020"},{"id":130,"name":"Impact","value":""},{"id":150,"name":"Time of Event (Mountain Time)","value":"18:09:12"},{"id":151,"name":"Denver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0" s="48"/>
      <c r="AK230" s="48"/>
      <c r="AL230" s="48"/>
      <c r="AM230" s="158" t="str">
        <f t="shared" si="14"/>
        <v>start /low /b %USERPROFILE%\Documents\GitHub\eaglep3\Utilities\DownloadLogsFromS3.py --loco 4020 --day 2017-02-07</v>
      </c>
      <c r="AN230" s="167" t="str">
        <f>"grep -SE -B400 ""CHR.+\|PRM\|1\|D.+(SWITCH|SIGNAL).+UNKNOWN"" "&amp;search_path&amp;"\RTDC"&amp;B230&amp;"\*"&amp;B230&amp;"*"&amp;TEXT(AVERAGE(F230,I230)-utc_offset/24,"YYYYMMDD")&amp;"*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"%USERPROFILE%\AppData\Local\Temp\OnboardLogs"\RTDC4020\*4020*20170208* | grep -SE "(Enforcement Action)|(\[TIMEOUT)|(CHR.+\|PRM\|1\|D.+(SWITCH|SIGNAL).+UNKNOWN)" - &gt;&gt; 2017-02-07-UncaughtWiMAX.txt</v>
      </c>
    </row>
    <row r="231" spans="1:40" x14ac:dyDescent="0.25">
      <c r="A231" s="33" t="s">
        <v>641</v>
      </c>
      <c r="B231" s="7">
        <v>4020</v>
      </c>
      <c r="C231" s="21" t="s">
        <v>193</v>
      </c>
      <c r="D231" s="21" t="s">
        <v>801</v>
      </c>
      <c r="E231" s="13">
        <v>42773.731122685182</v>
      </c>
      <c r="F231" s="13">
        <v>42773.746932870374</v>
      </c>
      <c r="G231" s="7">
        <v>18</v>
      </c>
      <c r="H231" s="21" t="s">
        <v>785</v>
      </c>
      <c r="I231" s="13">
        <v>42773.756388888891</v>
      </c>
      <c r="J231" s="7">
        <v>0</v>
      </c>
      <c r="K231" s="98" t="str">
        <f>IF(ISEVEN(B231),(B231-1)&amp;"/"&amp;B231,B231&amp;"/"&amp;(B231+1))</f>
        <v>4019/4020</v>
      </c>
      <c r="L231" s="21" t="str">
        <f>VLOOKUP(A231,'Trips&amp;Operators'!$C$1:$G$99999,5,FALSE)</f>
        <v>STRICKLAND EVAN</v>
      </c>
      <c r="M231" s="6">
        <f>I231-F231</f>
        <v>9.4560185170848854E-3</v>
      </c>
      <c r="N231" s="7">
        <f>24*60*SUM($M231:$M231)</f>
        <v>13.616666664602235</v>
      </c>
      <c r="O231" s="7"/>
      <c r="P231" s="7"/>
      <c r="Q231" s="22"/>
      <c r="R231" s="22"/>
      <c r="S231" s="31">
        <f>SUM(U231:U231)/IF(AG231="EC",12,1)</f>
        <v>0</v>
      </c>
      <c r="T231" s="46" t="e">
        <f>IF(ISEVEN(LEFT(AD231,4)),"Southbound","NorthBound")</f>
        <v>#VALUE!</v>
      </c>
      <c r="U231" s="190">
        <f>IF(AG231="EC",COUNTIFS(Variables!$M$2:$M$19,IF(T231="NorthBound","&gt;=","&lt;=")&amp;Y231,Variables!$M$2:$M$19,IF(T231="NorthBound","&lt;=","&gt;=")&amp;Z231),COUNTIFS(Variables!$P$2:$P$19,IF(T231="NorthBound","&gt;=","&lt;=")&amp;Y231,Variables!$P$2:$P$19,IF(T231="NorthBound","&lt;=","&gt;=")&amp;Z231))</f>
        <v>0</v>
      </c>
      <c r="V231" s="191" t="str">
        <f>"https://d0f6bd738d7f1b3e5a7ca70fe4ff75f0.us-east-1.aws.found.io/app/kibana#/discover/Steve-Slow-Train-Analysis-(2080s-and-2083s)?_g="&amp;"(refreshInterval:(display:Off,pause:!f,section:0,value:0),time:(from:'"&amp;TEXT(E231-1/24,"yyyy-MM-DDThh:mm:ss")&amp;utc_offset&amp;"00"&amp;"',mode:absolute,to:'"&amp;TEXT(I231+1/24,"yyyy-MM-DDThh:mm:ss")&amp;utc_offset&amp;"00"&amp;"'))&amp;_a=(columns:!('Locomotive+ID','Data.Head+End+Milepost',Data.Speed,'Data.Locomotive+State','Data.Train+ID',"&amp;"'Data.Warning%2FEnforcement+Type','Data.Target+Start+Milepost','Data.Target+Description','Data.Target+Speed',"&amp;"'Data.Enforcement+Train+Speed','Data.Enforcement+Start+Milepost','Data.Target+Type','Data.Enforcement+Direction+of+Travel','Message+ID',"&amp;"'Data.Body+of+Summary+Text','Data.Head+End+Track+name'),filters:!(),index:'emp_*',interval:auto,query:"&amp;"(query_string:(analyze_wildcard:!t,query:'Message%5C+ID:(2083+OR+2080+OR+1041+OR+2003+OR+1051+OR+1043+OR+1053)+AND+%22rtdc.l.rtdc."&amp;B231&amp;"%22')),sort:!(Time.ISO8601,asc))"</f>
        <v>https://d0f6bd738d7f1b3e5a7ca70fe4ff75f0.us-east-1.aws.found.io/app/kibana#/discover/Steve-Slow-Train-Analysis-(2080s-and-2083s)?_g=(refreshInterval:(display:Off,pause:!f,section:0,value:0),time:(from:'2017-02-07T16:32:49-0700',mode:absolute,to:'2017-02-07T19:09:12-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4020%22')),sort:!(Time.ISO8601,asc))</v>
      </c>
      <c r="W231" s="192" t="str">
        <f>IF(AA231&lt;IF(AG231="EC",23,5.65),"Y","N")</f>
        <v>Y</v>
      </c>
      <c r="X231" s="192" t="e">
        <f>VALUE(LEFT(AD231,4))-VALUE(LEFT(AD230,4))</f>
        <v>#VALUE!</v>
      </c>
      <c r="Y231" s="62">
        <f>RIGHT(D231,LEN(D231)-4)/10000</f>
        <v>0.1484</v>
      </c>
      <c r="Z231" s="62">
        <f>RIGHT(H231,LEN(H231)-4)/10000</f>
        <v>2.3304</v>
      </c>
      <c r="AA231" s="62">
        <f>ABS(Z231-Y231)</f>
        <v>2.1819999999999999</v>
      </c>
      <c r="AB231" s="59" t="e">
        <f>VLOOKUP(A231,Enforcements!$C$7:$K$14,8,0)</f>
        <v>#N/A</v>
      </c>
      <c r="AC231" s="55" t="e">
        <f>VLOOKUP(A231,Enforcements!$C$7:$E$14,3,0)</f>
        <v>#N/A</v>
      </c>
      <c r="AD231" s="56" t="str">
        <f>IF(LEN(A231)=6,"0"&amp;A231,A231)</f>
        <v>65-07</v>
      </c>
      <c r="AE231" s="85" t="str">
        <f>"aws s3 cp "&amp;s3_bucket&amp;"/RTDC"&amp;B231&amp;"/ "&amp;search_path&amp;"\RTDC"&amp;B231&amp;"\"&amp;TEXT(F231,"YYYY-MM-DD")&amp;" --exclude ""*"" --recursive --include ""*"&amp;TEXT(F231,"YYYYMMDD")&amp;"*"" &amp; """&amp;walkandungz&amp;""" "&amp;search_path&amp;"\RTDC"&amp;B231&amp;"\"&amp;TEXT(F231,"YYYY-MM-DD")
&amp;" &amp; "&amp;"aws s3 cp "&amp;s3_bucket&amp;"/RTDC"&amp;B231&amp;"/ "&amp;search_path&amp;"\RTDC"&amp;B231&amp;"\"&amp;TEXT(F231+1,"YYYY-MM-DD")&amp;" --exclude ""*"" --recursive --include ""*"&amp;TEXT(F231+1,"YYYYMMDD")&amp;"*"" &amp; """&amp;walkandungz&amp;""" "&amp;search_path&amp;"\RTDC"&amp;B231&amp;"\"&amp;TEXT(F231+1,"YYYY-MM-DD")</f>
        <v>aws s3 cp s3://rtdc.mdm.uploadarchive.raw/RTDC4020/ "%USERPROFILE%\AppData\Local\Temp\OnboardLogs"\RTDC4020\2017-02-07 --exclude "*" --recursive --include "*20170207*" &amp; "%USERPROFILE%\Documents\GitHub\mrs-test-scripts\Headless Mode &amp; Sideloading\WalkAndUnGZ.bat" "%USERPROFILE%\AppData\Local\Temp\OnboardLogs"\RTDC4020\2017-02-07 &amp; aws s3 cp s3://rtdc.mdm.uploadarchive.raw/RTDC4020/ "%USERPROFILE%\AppData\Local\Temp\OnboardLogs"\RTDC4020\2017-02-08 --exclude "*" --recursive --include "*20170208*" &amp; "%USERPROFILE%\Documents\GitHub\mrs-test-scripts\Headless Mode &amp; Sideloading\WalkAndUnGZ.bat" "%USERPROFILE%\AppData\Local\Temp\OnboardLogs"\RTDC4020\2017-02-08</v>
      </c>
      <c r="AF231" s="82" t="str">
        <f>astrogrep_path&amp;" /spath="&amp;search_path&amp;" /stypes=""app*"&amp;B231&amp;"*"&amp;TEXT(I231-utc_offset/24,"YYYYMMDD")&amp;"*"" /stext="" "&amp;TEXT(I231-utc_offset/24,"HH")&amp;search_regexp&amp;""" /e /r /s"</f>
        <v>"C:\Program Files (x86)\AstroGrep\AstroGrep.exe" /spath="%USERPROFILE%\AppData\Local\Temp\OnboardLogs" /stypes="app*4020*20170208*" /stext=" 01:.+((SYSTEM_STATE.+slice.+state.+changed )|(ment ac)|(multiple cpu faults)|(system.+state.+changed )|(\[timeout)|(PRM\|1\|D)|(kpr)|(kdp)|(\|lc)|(penalty))" /e /r /s</v>
      </c>
      <c r="AG231" s="1" t="str">
        <f>IFERROR(IF(VALUE(LEFT(AD231,2))&lt;=2,"EC",IF(OR(VALUE(LEFT(AD231,2))=8,VALUE(LEFT(AD231,2))=18),"NW","Other")),"Other")</f>
        <v>Other</v>
      </c>
      <c r="AH231" s="86" t="str">
        <f t="shared" si="12"/>
        <v>"%USERPROFILE%\Documents\GitHub\eaglep3\Utilities\RefineRTDCRunTimes.py" --tripid 65-07 --locoid 4020 --swversion DE.1.0.8.0 --startMP 204:1484 --initTime 2017-02-07T17:32:49 --startdatetime 2017-02-07T17:55:35 --delay 18 --endMP 300:23304 --enddatetime 2017-02-07T18:09:12 --enforcementcount 0 &gt;&gt;C:\Users\stu\Documents\GitHub\eaglep3-reporting\EC\2017-02-07-refined-times.txt</v>
      </c>
      <c r="AI231" s="108" t="str">
        <f t="shared" si="13"/>
        <v>echo {"issue":{"subject":"","project_id":79,"tracker_id":40,"status_id":1,"priority_id":2,"assigned_to_id":23,"start_date":"2017-02-07","description":"","custom_fields":[{"id":1,"name":"Subdivision","value":"Other"},{"id":4,"name":"Milepost","value":"2.3304"},{"id":17,"name":"Train ID","value":"65-07"},{"id":16,"name":"Locomotive ID","value":"4020"},{"id":130,"name":"Impact","value":""},{"id":150,"name":"Time of Event (Mountain Time)","value":"18:09:12"},{"id":151,"name":"Denver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1" s="48"/>
      <c r="AK231" s="48"/>
      <c r="AL231" s="48"/>
      <c r="AM231" s="158" t="str">
        <f t="shared" si="14"/>
        <v>start /low /b %USERPROFILE%\Documents\GitHub\eaglep3\Utilities\DownloadLogsFromS3.py --loco 4020 --day 2017-02-07</v>
      </c>
      <c r="AN231" s="167" t="str">
        <f>"grep -SE -B400 ""CHR.+\|PRM\|1\|D.+(SWITCH|SIGNAL).+UNKNOWN"" "&amp;search_path&amp;"\RTDC"&amp;B231&amp;"\*"&amp;B231&amp;"*"&amp;TEXT(AVERAGE(F231,I231)-utc_offset/24,"YYYYMMDD")&amp;"* | grep -SE ""(Enforcement Action)|(\[TIMEOUT)|(CHR.+\|PRM\|1\|D.+(SWITCH|SIGNAL).+UNKNOWN)"" - &gt;&gt; "&amp;TEXT(Variables!$A$2,"YYYY-MM-DD")&amp;"-UncaughtWiMAX.txt"</f>
        <v>grep -SE -B400 "CHR.+\|PRM\|1\|D.+(SWITCH|SIGNAL).+UNKNOWN" "%USERPROFILE%\AppData\Local\Temp\OnboardLogs"\RTDC4020\*4020*20170208* | grep -SE "(Enforcement Action)|(\[TIMEOUT)|(CHR.+\|PRM\|1\|D.+(SWITCH|SIGNAL).+UNKNOWN)" - &gt;&gt; 2017-02-07-UncaughtWiMAX.txt</v>
      </c>
    </row>
    <row r="232" spans="1:40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  <c r="AM232"/>
    </row>
    <row r="233" spans="1:40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  <c r="AM233"/>
    </row>
    <row r="234" spans="1:40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  <c r="AM234"/>
    </row>
    <row r="235" spans="1:40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  <c r="AM235"/>
    </row>
    <row r="236" spans="1:40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  <c r="AM236"/>
    </row>
    <row r="237" spans="1:40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S237"/>
      <c r="U237"/>
      <c r="V237"/>
      <c r="W237"/>
      <c r="X237"/>
      <c r="Y237"/>
      <c r="Z237"/>
      <c r="AA237"/>
      <c r="AB237"/>
      <c r="AC237"/>
      <c r="AD237"/>
      <c r="AE237"/>
      <c r="AF237"/>
      <c r="AH237"/>
      <c r="AI237"/>
      <c r="AM237"/>
    </row>
    <row r="238" spans="1:40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S238"/>
      <c r="U238"/>
      <c r="V238"/>
      <c r="W238"/>
      <c r="X238"/>
      <c r="Y238"/>
      <c r="Z238"/>
      <c r="AA238"/>
      <c r="AB238"/>
      <c r="AC238"/>
      <c r="AD238"/>
      <c r="AE238"/>
      <c r="AF238"/>
      <c r="AH238"/>
      <c r="AI238"/>
      <c r="AM238"/>
    </row>
    <row r="239" spans="1:40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S239"/>
      <c r="U239"/>
      <c r="V239"/>
      <c r="W239"/>
      <c r="X239"/>
      <c r="Y239"/>
      <c r="Z239"/>
      <c r="AA239"/>
      <c r="AB239"/>
      <c r="AC239"/>
      <c r="AD239"/>
      <c r="AE239"/>
      <c r="AF239"/>
      <c r="AH239"/>
      <c r="AI239"/>
      <c r="AM239"/>
    </row>
    <row r="240" spans="1:40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S240"/>
      <c r="U240"/>
      <c r="V240"/>
      <c r="W240"/>
      <c r="X240"/>
      <c r="Y240"/>
      <c r="Z240"/>
      <c r="AA240"/>
      <c r="AB240"/>
      <c r="AC240"/>
      <c r="AD240"/>
      <c r="AE240"/>
      <c r="AF240"/>
      <c r="AH240"/>
      <c r="AI240"/>
      <c r="AM240"/>
    </row>
    <row r="241" spans="1:39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S241"/>
      <c r="U241"/>
      <c r="V241"/>
      <c r="W241"/>
      <c r="X241"/>
      <c r="Y241"/>
      <c r="Z241"/>
      <c r="AA241"/>
      <c r="AB241"/>
      <c r="AC241"/>
      <c r="AD241"/>
      <c r="AE241"/>
      <c r="AF241"/>
      <c r="AH241"/>
      <c r="AI241"/>
      <c r="AM241"/>
    </row>
    <row r="242" spans="1:39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S242"/>
      <c r="U242"/>
      <c r="V242"/>
      <c r="W242"/>
      <c r="X242"/>
      <c r="Y242"/>
      <c r="Z242"/>
      <c r="AA242"/>
      <c r="AB242"/>
      <c r="AC242"/>
      <c r="AD242"/>
      <c r="AE242"/>
      <c r="AF242"/>
      <c r="AH242"/>
      <c r="AI242"/>
      <c r="AM242"/>
    </row>
    <row r="243" spans="1:39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S243"/>
      <c r="U243"/>
      <c r="V243"/>
      <c r="W243"/>
      <c r="X243"/>
      <c r="Y243"/>
      <c r="Z243"/>
      <c r="AA243"/>
      <c r="AB243"/>
      <c r="AC243"/>
      <c r="AD243"/>
      <c r="AE243"/>
      <c r="AF243"/>
      <c r="AH243"/>
      <c r="AI243"/>
      <c r="AM243"/>
    </row>
    <row r="244" spans="1:39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S244"/>
      <c r="U244"/>
      <c r="V244"/>
      <c r="W244"/>
      <c r="X244"/>
      <c r="Y244"/>
      <c r="Z244"/>
      <c r="AA244"/>
      <c r="AB244"/>
      <c r="AC244"/>
      <c r="AD244"/>
      <c r="AE244"/>
      <c r="AF244"/>
      <c r="AH244"/>
      <c r="AI244"/>
      <c r="AM244"/>
    </row>
    <row r="245" spans="1:39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S245"/>
      <c r="U245"/>
      <c r="V245"/>
      <c r="W245"/>
      <c r="X245"/>
      <c r="Y245"/>
      <c r="Z245"/>
      <c r="AA245"/>
      <c r="AB245"/>
      <c r="AC245"/>
      <c r="AD245"/>
      <c r="AE245"/>
      <c r="AF245"/>
      <c r="AH245"/>
      <c r="AI245"/>
      <c r="AM245"/>
    </row>
    <row r="246" spans="1:39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S246"/>
      <c r="U246"/>
      <c r="V246"/>
      <c r="W246"/>
      <c r="X246"/>
      <c r="Y246"/>
      <c r="Z246"/>
      <c r="AA246"/>
      <c r="AB246"/>
      <c r="AC246"/>
      <c r="AD246"/>
      <c r="AE246"/>
      <c r="AF246"/>
      <c r="AH246"/>
      <c r="AI246"/>
      <c r="AM246"/>
    </row>
    <row r="247" spans="1:39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S247"/>
      <c r="U247"/>
      <c r="V247"/>
      <c r="W247"/>
      <c r="X247"/>
      <c r="Y247"/>
      <c r="Z247"/>
      <c r="AA247"/>
      <c r="AB247"/>
      <c r="AC247"/>
      <c r="AD247"/>
      <c r="AE247"/>
      <c r="AF247"/>
      <c r="AH247"/>
      <c r="AI247"/>
      <c r="AM247"/>
    </row>
    <row r="248" spans="1:39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S248"/>
      <c r="U248"/>
      <c r="V248"/>
      <c r="W248"/>
      <c r="X248"/>
      <c r="Y248"/>
      <c r="Z248"/>
      <c r="AA248"/>
      <c r="AB248"/>
      <c r="AC248"/>
      <c r="AD248"/>
      <c r="AE248"/>
      <c r="AF248"/>
      <c r="AH248"/>
      <c r="AI248"/>
      <c r="AM248"/>
    </row>
    <row r="249" spans="1:39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S249"/>
      <c r="U249"/>
      <c r="V249"/>
      <c r="W249"/>
      <c r="X249"/>
      <c r="Y249"/>
      <c r="Z249"/>
      <c r="AA249"/>
      <c r="AB249"/>
      <c r="AC249"/>
      <c r="AD249"/>
      <c r="AE249"/>
      <c r="AF249"/>
      <c r="AH249"/>
      <c r="AI249"/>
      <c r="AM249"/>
    </row>
    <row r="250" spans="1:39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S250"/>
      <c r="U250"/>
      <c r="V250"/>
      <c r="W250"/>
      <c r="X250"/>
      <c r="Y250"/>
      <c r="Z250"/>
      <c r="AA250"/>
      <c r="AB250"/>
      <c r="AC250"/>
      <c r="AD250"/>
      <c r="AE250"/>
      <c r="AF250"/>
      <c r="AH250"/>
      <c r="AI250"/>
      <c r="AM250"/>
    </row>
    <row r="251" spans="1:39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S251"/>
      <c r="U251"/>
      <c r="V251"/>
      <c r="W251"/>
      <c r="X251"/>
      <c r="Y251"/>
      <c r="Z251"/>
      <c r="AA251"/>
      <c r="AB251"/>
      <c r="AC251"/>
      <c r="AD251"/>
      <c r="AE251"/>
      <c r="AF251"/>
      <c r="AH251"/>
      <c r="AI251"/>
      <c r="AM251"/>
    </row>
    <row r="252" spans="1:39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S252"/>
      <c r="U252"/>
      <c r="V252"/>
      <c r="W252"/>
      <c r="X252"/>
      <c r="Y252"/>
      <c r="Z252"/>
      <c r="AA252"/>
      <c r="AB252"/>
      <c r="AC252"/>
      <c r="AD252"/>
      <c r="AE252"/>
      <c r="AF252"/>
      <c r="AH252"/>
      <c r="AI252"/>
      <c r="AM252"/>
    </row>
    <row r="253" spans="1:39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S253"/>
      <c r="U253"/>
      <c r="V253"/>
      <c r="W253"/>
      <c r="X253"/>
      <c r="Y253"/>
      <c r="Z253"/>
      <c r="AA253"/>
      <c r="AB253"/>
      <c r="AC253"/>
      <c r="AD253"/>
      <c r="AE253"/>
      <c r="AF253"/>
      <c r="AH253"/>
      <c r="AI253"/>
      <c r="AM253"/>
    </row>
    <row r="254" spans="1:39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S254"/>
      <c r="U254"/>
      <c r="V254"/>
      <c r="W254"/>
      <c r="X254"/>
      <c r="Y254"/>
      <c r="Z254"/>
      <c r="AA254"/>
      <c r="AB254"/>
      <c r="AC254"/>
      <c r="AD254"/>
      <c r="AE254"/>
      <c r="AF254"/>
      <c r="AH254"/>
      <c r="AI254"/>
      <c r="AM254"/>
    </row>
    <row r="255" spans="1:39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S255"/>
      <c r="U255"/>
      <c r="V255"/>
      <c r="W255"/>
      <c r="X255"/>
      <c r="Y255"/>
      <c r="Z255"/>
      <c r="AA255"/>
      <c r="AB255"/>
      <c r="AC255"/>
      <c r="AD255"/>
      <c r="AE255"/>
      <c r="AF255"/>
      <c r="AH255"/>
      <c r="AI255"/>
      <c r="AM255"/>
    </row>
    <row r="256" spans="1:39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S256"/>
      <c r="U256"/>
      <c r="V256"/>
      <c r="W256"/>
      <c r="X256"/>
      <c r="Y256"/>
      <c r="Z256"/>
      <c r="AA256"/>
      <c r="AB256"/>
      <c r="AC256"/>
      <c r="AD256"/>
      <c r="AE256"/>
      <c r="AF256"/>
      <c r="AH256"/>
      <c r="AI256"/>
      <c r="AM256"/>
    </row>
  </sheetData>
  <autoFilter ref="A12:AG233">
    <sortState ref="A13:AG233">
      <sortCondition ref="AG13:AG231"/>
      <sortCondition ref="AD13:AD231"/>
    </sortState>
  </autoFilter>
  <sortState ref="A13:AH200">
    <sortCondition ref="AG13:AG200"/>
    <sortCondition ref="AD13:AD200"/>
  </sortState>
  <mergeCells count="1">
    <mergeCell ref="A11:P11"/>
  </mergeCells>
  <conditionalFormatting sqref="W11:W12 W257:X1048576 W13:X231">
    <cfRule type="cellIs" dxfId="10" priority="356" operator="equal">
      <formula>"Y"</formula>
    </cfRule>
  </conditionalFormatting>
  <conditionalFormatting sqref="X257:X1048576 X13:X231">
    <cfRule type="cellIs" dxfId="9" priority="339" operator="greaterThan">
      <formula>1</formula>
    </cfRule>
  </conditionalFormatting>
  <conditionalFormatting sqref="X257:X1048576 X12:X231">
    <cfRule type="cellIs" dxfId="8" priority="336" operator="equal">
      <formula>0</formula>
    </cfRule>
  </conditionalFormatting>
  <conditionalFormatting sqref="A13:S231">
    <cfRule type="expression" dxfId="7" priority="330" stopIfTrue="1">
      <formula>$P13&gt;0</formula>
    </cfRule>
    <cfRule type="expression" dxfId="6" priority="331" stopIfTrue="1">
      <formula>$O13&gt;0</formula>
    </cfRule>
  </conditionalFormatting>
  <pageMargins left="0.7" right="0.7" top="0.75" bottom="0.75" header="0.3" footer="0.3"/>
  <pageSetup scale="1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32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  <x14:conditionalFormatting xmlns:xm="http://schemas.microsoft.com/office/excel/2006/main">
          <x14:cfRule type="expression" priority="15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A13:S231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AK13:AK231</xm:sqref>
        </x14:dataValidation>
        <x14:dataValidation type="list" allowBlank="1" showInputMessage="1" showErrorMessage="1">
          <x14:formula1>
            <xm:f>'Redmine List Values'!$C$2:$C$15</xm:f>
          </x14:formula1>
          <xm:sqref>AL13:AL231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F60"/>
  <sheetViews>
    <sheetView tabSelected="1" topLeftCell="A2" zoomScaleNormal="100" workbookViewId="0">
      <selection activeCell="P12" sqref="P12:P15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25" customWidth="1"/>
    <col min="5" max="5" width="14.85546875" style="125" customWidth="1"/>
    <col min="6" max="6" width="5.7109375" style="125" customWidth="1"/>
    <col min="7" max="7" width="5.85546875" style="125" customWidth="1"/>
    <col min="8" max="8" width="7.85546875" style="125" customWidth="1"/>
    <col min="9" max="9" width="9" style="125" customWidth="1"/>
    <col min="10" max="10" width="11.5703125" style="125" hidden="1" customWidth="1"/>
    <col min="11" max="11" width="9.140625" style="125" customWidth="1"/>
    <col min="12" max="12" width="7.85546875" style="125" customWidth="1"/>
    <col min="13" max="13" width="7.85546875" style="2" customWidth="1"/>
    <col min="14" max="14" width="14.28515625" style="124" customWidth="1"/>
    <col min="15" max="15" width="5.140625" style="152" customWidth="1"/>
    <col min="16" max="16" width="30.28515625" style="125" customWidth="1"/>
    <col min="17" max="17" width="5" hidden="1" customWidth="1"/>
    <col min="18" max="18" width="5.5703125" style="83" customWidth="1"/>
    <col min="19" max="19" width="5.5703125" style="90" customWidth="1"/>
    <col min="20" max="20" width="6" style="80" customWidth="1"/>
    <col min="21" max="21" width="5.140625" customWidth="1"/>
    <col min="22" max="22" width="18.5703125" style="44" customWidth="1"/>
    <col min="23" max="23" width="5.28515625" customWidth="1"/>
    <col min="24" max="24" width="6.7109375" hidden="1" customWidth="1"/>
    <col min="25" max="26" width="5" customWidth="1"/>
    <col min="27" max="27" width="5.28515625" customWidth="1"/>
    <col min="28" max="28" width="5.5703125" customWidth="1"/>
    <col min="29" max="29" width="5.28515625" style="127" customWidth="1"/>
    <col min="30" max="30" width="6.7109375" customWidth="1"/>
    <col min="31" max="31" width="9.140625" style="158"/>
  </cols>
  <sheetData>
    <row r="1" spans="1:32" s="20" customFormat="1" ht="15.75" hidden="1" thickBot="1" x14ac:dyDescent="0.3">
      <c r="A1" s="8"/>
      <c r="D1" s="125"/>
      <c r="E1" s="125"/>
      <c r="F1" s="125"/>
      <c r="G1" s="125"/>
      <c r="H1" s="125"/>
      <c r="I1" s="125"/>
      <c r="J1" s="125"/>
      <c r="K1" s="125"/>
      <c r="L1" s="125"/>
      <c r="M1" s="2"/>
      <c r="N1" s="124"/>
      <c r="O1" s="152"/>
      <c r="P1" s="125"/>
      <c r="R1" s="83"/>
      <c r="S1" s="90"/>
      <c r="T1" s="80"/>
      <c r="V1" s="44"/>
      <c r="AC1" s="127"/>
      <c r="AE1" s="158"/>
    </row>
    <row r="2" spans="1:32" s="20" customFormat="1" x14ac:dyDescent="0.25">
      <c r="A2" s="8"/>
      <c r="D2" s="125"/>
      <c r="E2" s="125"/>
      <c r="F2" s="125"/>
      <c r="G2" s="125"/>
      <c r="H2" s="125"/>
      <c r="I2" s="125"/>
      <c r="J2" s="125"/>
      <c r="K2" s="125"/>
      <c r="L2" s="136" t="s">
        <v>80</v>
      </c>
      <c r="M2" s="120"/>
      <c r="N2" s="137"/>
      <c r="O2" s="154">
        <f>COUNTIF($O$7:$O$319,"=Y")</f>
        <v>5</v>
      </c>
      <c r="P2" s="122"/>
      <c r="R2" s="83"/>
      <c r="S2" s="90"/>
      <c r="T2" s="80"/>
      <c r="V2" s="44"/>
      <c r="AC2" s="128"/>
      <c r="AE2" s="158"/>
    </row>
    <row r="3" spans="1:32" s="20" customFormat="1" ht="15.75" thickBot="1" x14ac:dyDescent="0.3">
      <c r="A3" s="8"/>
      <c r="D3" s="125"/>
      <c r="E3" s="125"/>
      <c r="F3" s="125"/>
      <c r="G3" s="125"/>
      <c r="H3" s="125"/>
      <c r="I3" s="125"/>
      <c r="J3" s="125"/>
      <c r="K3" s="125"/>
      <c r="L3" s="138" t="s">
        <v>81</v>
      </c>
      <c r="M3" s="121"/>
      <c r="N3" s="139"/>
      <c r="O3" s="155">
        <f>COUNTA($O$7:$O$319)-O2</f>
        <v>33</v>
      </c>
      <c r="P3" s="122"/>
      <c r="R3" s="83"/>
      <c r="S3" s="90"/>
      <c r="T3" s="80"/>
      <c r="V3" s="44"/>
      <c r="AC3" s="128"/>
      <c r="AE3" s="158"/>
    </row>
    <row r="4" spans="1:32" s="20" customFormat="1" x14ac:dyDescent="0.25">
      <c r="A4" s="8"/>
      <c r="D4" s="125"/>
      <c r="E4" s="125"/>
      <c r="F4" s="125"/>
      <c r="G4" s="125"/>
      <c r="H4" s="125"/>
      <c r="I4" s="125"/>
      <c r="J4" s="125"/>
      <c r="K4" s="125"/>
      <c r="L4" s="125"/>
      <c r="M4" s="2"/>
      <c r="N4" s="124"/>
      <c r="O4" s="152"/>
      <c r="P4" s="125"/>
      <c r="R4" s="83"/>
      <c r="S4" s="90"/>
      <c r="T4" s="80"/>
      <c r="V4" s="44"/>
      <c r="AC4" s="128"/>
      <c r="AE4" s="158"/>
    </row>
    <row r="5" spans="1:32" s="10" customFormat="1" ht="15" customHeight="1" x14ac:dyDescent="0.25">
      <c r="A5" s="195" t="str">
        <f>"Eagle P3 Braking Events - "&amp;TEXT(Variables!$A$2,"YYYY-mm-dd")</f>
        <v>Eagle P3 Braking Events - 2017-02-07</v>
      </c>
      <c r="B5" s="195"/>
      <c r="C5" s="195"/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40"/>
      <c r="R5" s="88"/>
      <c r="S5" s="91"/>
      <c r="T5" s="93"/>
      <c r="V5" s="45"/>
      <c r="AC5" s="129"/>
      <c r="AE5" s="160"/>
    </row>
    <row r="6" spans="1:32" s="119" customFormat="1" ht="69.75" customHeight="1" x14ac:dyDescent="0.2">
      <c r="A6" s="109" t="s">
        <v>38</v>
      </c>
      <c r="B6" s="110" t="s">
        <v>37</v>
      </c>
      <c r="C6" s="110" t="s">
        <v>36</v>
      </c>
      <c r="D6" s="126" t="s">
        <v>35</v>
      </c>
      <c r="E6" s="126" t="s">
        <v>34</v>
      </c>
      <c r="F6" s="126" t="s">
        <v>33</v>
      </c>
      <c r="G6" s="126" t="s">
        <v>32</v>
      </c>
      <c r="H6" s="126" t="s">
        <v>31</v>
      </c>
      <c r="I6" s="126" t="s">
        <v>153</v>
      </c>
      <c r="J6" s="126" t="s">
        <v>30</v>
      </c>
      <c r="K6" s="126" t="s">
        <v>29</v>
      </c>
      <c r="L6" s="126" t="s">
        <v>28</v>
      </c>
      <c r="M6" s="111" t="s">
        <v>154</v>
      </c>
      <c r="N6" s="141" t="s">
        <v>47</v>
      </c>
      <c r="O6" s="156" t="s">
        <v>27</v>
      </c>
      <c r="P6" s="126" t="s">
        <v>24</v>
      </c>
      <c r="Q6" s="112"/>
      <c r="R6" s="113" t="s">
        <v>89</v>
      </c>
      <c r="S6" s="114" t="s">
        <v>55</v>
      </c>
      <c r="T6" s="115" t="s">
        <v>88</v>
      </c>
      <c r="U6" s="110" t="s">
        <v>83</v>
      </c>
      <c r="V6" s="116" t="s">
        <v>84</v>
      </c>
      <c r="W6" s="112" t="s">
        <v>96</v>
      </c>
      <c r="X6" s="112" t="s">
        <v>97</v>
      </c>
      <c r="Y6" s="117" t="s">
        <v>147</v>
      </c>
      <c r="Z6" s="118" t="s">
        <v>148</v>
      </c>
      <c r="AA6" s="118" t="s">
        <v>121</v>
      </c>
      <c r="AB6" s="118" t="s">
        <v>149</v>
      </c>
      <c r="AC6" s="130" t="s">
        <v>173</v>
      </c>
      <c r="AD6" s="119" t="s">
        <v>198</v>
      </c>
      <c r="AE6" s="159" t="s">
        <v>214</v>
      </c>
    </row>
    <row r="7" spans="1:32" s="1" customFormat="1" x14ac:dyDescent="0.25">
      <c r="A7" s="32">
        <v>42773.379467592589</v>
      </c>
      <c r="B7" s="30" t="s">
        <v>359</v>
      </c>
      <c r="C7" s="30" t="s">
        <v>469</v>
      </c>
      <c r="D7" s="30" t="s">
        <v>49</v>
      </c>
      <c r="E7" s="30" t="s">
        <v>200</v>
      </c>
      <c r="F7" s="43">
        <v>0</v>
      </c>
      <c r="G7" s="43">
        <v>238</v>
      </c>
      <c r="H7" s="43">
        <v>26859</v>
      </c>
      <c r="I7" s="43">
        <v>27207</v>
      </c>
      <c r="J7" s="30" t="s">
        <v>201</v>
      </c>
      <c r="K7" s="43">
        <v>27053</v>
      </c>
      <c r="L7" s="143" t="s">
        <v>50</v>
      </c>
      <c r="M7" s="144">
        <f>CONVERT((I7-K7)/10000,"mi","ft")*IF(L7="Increasing Mileposts (1)",-1,1)</f>
        <v>-81.311999999999998</v>
      </c>
      <c r="N7" s="145" t="str">
        <f>VLOOKUP(C7,'Trips&amp;Operators'!$C$1:$G$99999,5,FALSE)</f>
        <v>ROCHA YAOTL</v>
      </c>
      <c r="O7" s="157" t="s">
        <v>185</v>
      </c>
      <c r="P7" s="146" t="s">
        <v>462</v>
      </c>
      <c r="Q7" s="30"/>
      <c r="R7" s="89" t="str">
        <f>VLOOKUP(C7,'Train Runs'!$A$13:$AE$9961,31,0)</f>
        <v>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 &amp; aws s3 cp s3://rtdc.mdm.uploadarchive.raw/RTDC4031/ "%USERPROFILE%\AppData\Local\Temp\OnboardLogs"\RTDC4031\2017-02-08 --exclude "*" --recursive --include "*20170208*" &amp; "%USERPROFILE%\Documents\GitHub\mrs-test-scripts\Headless Mode &amp; Sideloading\WalkAndUnGZ.bat" "%USERPROFILE%\AppData\Local\Temp\OnboardLogs"\RTDC4031\2017-02-08</v>
      </c>
      <c r="S7" s="92" t="str">
        <f>VLOOKUP(C7,'Train Runs'!$A$13:$AE$9961,22,0)</f>
        <v>https://d0f6bd738d7f1b3e5a7ca70fe4ff75f0.us-east-1.aws.found.io/app/kibana#/discover/Steve-Slow-Train-Analysis-(2080s-and-2083s)?_g=(refreshInterval:(display:Off,pause:!f,section:0,value:0),time:(from:'2017-02-07T07:57:33-0700',mode:absolute,to:'2017-02-07T10:36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7" s="94" t="str">
        <f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/stypes="*4031*201702071*" /stext=" 16:.+((SYSTEM_STATE.+slice.+state.+changed )|(ment ac)|(multiple cpu faults)|(system.+state.+changed )|(\[timeout)|(PRM\|1\|D)|(kpr)|(kdp)|(\|lc)|(penalty))" /e /r /s</v>
      </c>
      <c r="U7" s="9" t="str">
        <f>MID(B7,13,4)</f>
        <v>4031</v>
      </c>
      <c r="V7" s="32">
        <f>A7-utc_offset/24</f>
        <v>42773.671134259253</v>
      </c>
      <c r="W7" s="46" t="str">
        <f>IFERROR(IF(VALUE(LEFT(IF(LEN(C7)=6,"0"&amp;C7,C7),2))&lt;=2,"EC",IF(OR(VALUE(LEFT(IF(LEN(C7)=6,"0"&amp;C7,C7),2))=8,VALUE(LEFT(IF(LEN(C7)=6,"0"&amp;C7,C7),2))=18),"NW","Other")),"Other")</f>
        <v>EC</v>
      </c>
      <c r="X7" s="46" t="str">
        <f>IF(AND(E7="TRACK WARRANT AUTHORITY",G7&lt;10),"OMIT","KEEP")</f>
        <v>KEEP</v>
      </c>
      <c r="Y7" s="108" t="str">
        <f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arrival","project_id":79,"tracker_id":40,"status_id":1,"priority_id":2,"assigned_to_id":23,"start_date":"2017-02-07","description":"","custom_fields":[{"id":1,"name":"Subdivision","value":"EC"},{"id":4,"name":"Milepost","value":"2.7053"},{"id":17,"name":"Train ID","value":"143-07"},{"id":16,"name":"Locomotive ID","value":"4031"},{"id":130,"name":"Impact","value":""},{"id":150,"name":"Time of Event (Mountain Time)","value":"09:06:26"},{"id":151,"name":"Denver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48"/>
      <c r="AA7" s="48"/>
      <c r="AB7" s="48"/>
      <c r="AC7" s="127" t="str">
        <f>"grep -hSE -A400 ""Enforcement Action"" "&amp;search_path&amp;"\RTDC"&amp;U7&amp;"\*"&amp;U7&amp;"*"&amp;TEXT(A7-utc_offset/24,"YYYYMMDD")&amp;LEFT(TEXT(A7-utc_offset/24,"HH"),1)&amp;"* | grep -SE ""((Enforcement Ac)|(PRM))"" -"</f>
        <v>grep -hSE -A400 "Enforcement Action" "%USERPROFILE%\AppData\Local\Temp\OnboardLogs"\RTDC4031\*4031*201702071*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"&amp;TEXT(Variables!$A$2,"YYYY-MM-DD")&amp;"-SliceDisagreementCheck.txt"</f>
        <v>grep -hSE "Enforcement Action" "%USERPROFILE%\AppData\Local\Temp\OnboardLogs"\RTDC4031\*4031*201702071* &gt;&gt; 2017-02-07-SliceDisagreementCheck.txt</v>
      </c>
      <c r="AE7" s="161" t="str">
        <f>"start /low /b "&amp;dls3logs&amp;" --loco "&amp;U7&amp;" --day "&amp;TEXT(V7,"YYYY-MM-DD")</f>
        <v>start /low /b %USERPROFILE%\Documents\GitHub\eaglep3\Utilities\DownloadLogsFromS3.py --loco 4031 --day 2017-02-07</v>
      </c>
    </row>
    <row r="8" spans="1:32" s="1" customFormat="1" x14ac:dyDescent="0.25">
      <c r="A8" s="32">
        <v>42773.496724537035</v>
      </c>
      <c r="B8" s="30" t="s">
        <v>363</v>
      </c>
      <c r="C8" s="30" t="s">
        <v>473</v>
      </c>
      <c r="D8" s="30" t="s">
        <v>49</v>
      </c>
      <c r="E8" s="30" t="s">
        <v>200</v>
      </c>
      <c r="F8" s="43">
        <v>0</v>
      </c>
      <c r="G8" s="43">
        <v>184</v>
      </c>
      <c r="H8" s="43">
        <v>33305</v>
      </c>
      <c r="I8" s="43">
        <v>33148</v>
      </c>
      <c r="J8" s="30" t="s">
        <v>201</v>
      </c>
      <c r="K8" s="43">
        <v>33257</v>
      </c>
      <c r="L8" s="143" t="s">
        <v>51</v>
      </c>
      <c r="M8" s="144">
        <f>CONVERT((I8-K8)/10000,"mi","ft")*IF(L8="Increasing Mileposts (1)",-1,1)</f>
        <v>-57.552</v>
      </c>
      <c r="N8" s="145" t="str">
        <f>VLOOKUP(C8,'Trips&amp;Operators'!$C$1:$G$99999,5,FALSE)</f>
        <v>BEAM ROSS</v>
      </c>
      <c r="O8" s="157" t="s">
        <v>185</v>
      </c>
      <c r="P8" s="146" t="s">
        <v>462</v>
      </c>
      <c r="Q8" s="30"/>
      <c r="R8" s="89" t="str">
        <f>VLOOKUP(C8,'Train Runs'!$A$13:$AE$9961,31,0)</f>
        <v>aws s3 cp s3://rtdc.mdm.uploadarchive.raw/RTDC4037/ "%USERPROFILE%\AppData\Local\Temp\OnboardLogs"\RTDC4037\2017-02-07 --exclude "*" --recursive --include "*20170207*" &amp; "%USERPROFILE%\Documents\GitHub\mrs-test-scripts\Headless Mode &amp; Sideloading\WalkAndUnGZ.bat" "%USERPROFILE%\AppData\Local\Temp\OnboardLogs"\RTDC4037\2017-02-07 &amp; aws s3 cp s3://rtdc.mdm.uploadarchive.raw/RTDC4037/ "%USERPROFILE%\AppData\Local\Temp\OnboardLogs"\RTDC4037\2017-02-08 --exclude "*" --recursive --include "*20170208*" &amp; "%USERPROFILE%\Documents\GitHub\mrs-test-scripts\Headless Mode &amp; Sideloading\WalkAndUnGZ.bat" "%USERPROFILE%\AppData\Local\Temp\OnboardLogs"\RTDC4037\2017-02-08</v>
      </c>
      <c r="S8" s="92" t="str">
        <f>VLOOKUP(C8,'Train Runs'!$A$13:$AE$9961,22,0)</f>
        <v>https://d0f6bd738d7f1b3e5a7ca70fe4ff75f0.us-east-1.aws.found.io/app/kibana#/discover/Steve-Slow-Train-Analysis-(2080s-and-2083s)?_g=(refreshInterval:(display:Off,pause:!f,section:0,value:0),time:(from:'2017-02-07T10:20:16-0700',mode:absolute,to:'2017-02-07T13:04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8" s="94" t="str">
        <f>astrogrep_path&amp;" /spath="&amp;search_path&amp;" /stypes=""*"&amp;U8&amp;"*"&amp;TEXT(A8-utc_offset/24,"YYYYMMDD")&amp;LEFT(TEXT(A8-utc_offset/24,"HH"),1)&amp;"*"" /stext="" "&amp;TEXT(A8-utc_offset/24,"HH")&amp;search_regexp&amp;""" /e /r /s"</f>
        <v>"C:\Program Files (x86)\AstroGrep\AstroGrep.exe" /spath="%USERPROFILE%\AppData\Local\Temp\OnboardLogs" /stypes="*4037*201702071*" /stext=" 18:.+((SYSTEM_STATE.+slice.+state.+changed )|(ment ac)|(multiple cpu faults)|(system.+state.+changed )|(\[timeout)|(PRM\|1\|D)|(kpr)|(kdp)|(\|lc)|(penalty))" /e /r /s</v>
      </c>
      <c r="U8" s="9" t="str">
        <f>MID(B8,13,4)</f>
        <v>4037</v>
      </c>
      <c r="V8" s="32">
        <f>A8-utc_offset/24</f>
        <v>42773.7883912037</v>
      </c>
      <c r="W8" s="46" t="str">
        <f>IFERROR(IF(VALUE(LEFT(IF(LEN(C8)=6,"0"&amp;C8,C8),2))&lt;=2,"EC",IF(OR(VALUE(LEFT(IF(LEN(C8)=6,"0"&amp;C8,C8),2))=8,VALUE(LEFT(IF(LEN(C8)=6,"0"&amp;C8,C8),2))=18),"NW","Other")),"Other")</f>
        <v>EC</v>
      </c>
      <c r="X8" s="46" t="str">
        <f>IF(AND(E8="TRACK WARRANT AUTHORITY",G8&lt;10),"OMIT","KEEP")</f>
        <v>KEEP</v>
      </c>
      <c r="Y8" s="108" t="str">
        <f>"echo {""issue"":{""subject"":"""&amp;P8&amp;""",""project_id"":79,""tracker_id"":40,""status_id"":"&amp;redmine_status&amp;",""priority_id"":"&amp;redmine_priority&amp;",""assigned_to_id"":"&amp;redmine_assignee&amp;",""start_date"":"""&amp;TEXT(A8,"YYYY-mm-dd")&amp;""",""description"":"""&amp;Z8&amp;""",""custom_fields"":[{""id"":1,""name"":""Subdivision"",""value"":"""&amp;W8&amp;"""},{""id"":4,""name"":""Milepost"",""value"":"""&amp;K8/10000&amp;"""},{""id"":17,""name"":""Train ID"",""value"":"""&amp;C8&amp;"""},{""id"":16,""name"":""Locomotive ID"",""value"":"""&amp;U8&amp;"""},{""id"":130,""name"":""Impact"",""value"":"""&amp;AA8&amp;"""},{""id"":150,""name"":""Time of Event (Mountain Time)"",""value"":"""&amp;TEXT(A8,"hh:mm:ss")&amp;"""},{""id"":151,""name"":""Denver Issue ID"",""value"":"""&amp;"""},{""id"":178,""name"":""Operational Impact"",""value"":"""&amp;redmine_op_impact&amp;"""},{""id"":179,""name"":""Denver Segment Assigned"",""value"":"""&amp;AB8&amp;"""}]}}"&amp;"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arrival","project_id":79,"tracker_id":40,"status_id":1,"priority_id":2,"assigned_to_id":23,"start_date":"2017-02-07","description":"","custom_fields":[{"id":1,"name":"Subdivision","value":"EC"},{"id":4,"name":"Milepost","value":"3.3257"},{"id":17,"name":"Train ID","value":"156-07"},{"id":16,"name":"Locomotive ID","value":"4037"},{"id":130,"name":"Impact","value":""},{"id":150,"name":"Time of Event (Mountain Time)","value":"11:55:17"},{"id":151,"name":"Denver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48"/>
      <c r="AA8" s="48"/>
      <c r="AB8" s="48"/>
      <c r="AC8" s="127" t="str">
        <f>"grep -hSE -A400 ""Enforcement Action"" "&amp;search_path&amp;"\RTDC"&amp;U8&amp;"\*"&amp;U8&amp;"*"&amp;TEXT(A8-utc_offset/24,"YYYYMMDD")&amp;LEFT(TEXT(A8-utc_offset/24,"HH"),1)&amp;"* | grep -SE ""((Enforcement Ac)|(PRM))"" -"</f>
        <v>grep -hSE -A400 "Enforcement Action" "%USERPROFILE%\AppData\Local\Temp\OnboardLogs"\RTDC4037\*4037*201702071*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"&amp;TEXT(Variables!$A$2,"YYYY-MM-DD")&amp;"-SliceDisagreementCheck.txt"</f>
        <v>grep -hSE "Enforcement Action" "%USERPROFILE%\AppData\Local\Temp\OnboardLogs"\RTDC4037\*4037*201702071* &gt;&gt; 2017-02-07-SliceDisagreementCheck.txt</v>
      </c>
      <c r="AE8" s="161" t="str">
        <f>"start /low /b "&amp;dls3logs&amp;" --loco "&amp;U8&amp;" --day "&amp;TEXT(V8,"YYYY-MM-DD")</f>
        <v>start /low /b %USERPROFILE%\Documents\GitHub\eaglep3\Utilities\DownloadLogsFromS3.py --loco 4037 --day 2017-02-07</v>
      </c>
    </row>
    <row r="9" spans="1:32" s="1" customFormat="1" x14ac:dyDescent="0.25">
      <c r="A9" s="32">
        <v>42773.326261574075</v>
      </c>
      <c r="B9" s="30" t="s">
        <v>195</v>
      </c>
      <c r="C9" s="30" t="s">
        <v>467</v>
      </c>
      <c r="D9" s="30" t="s">
        <v>49</v>
      </c>
      <c r="E9" s="30" t="s">
        <v>200</v>
      </c>
      <c r="F9" s="43">
        <v>500</v>
      </c>
      <c r="G9" s="43">
        <v>556</v>
      </c>
      <c r="H9" s="43">
        <v>80061</v>
      </c>
      <c r="I9" s="43">
        <v>64123</v>
      </c>
      <c r="J9" s="30" t="s">
        <v>201</v>
      </c>
      <c r="K9" s="43">
        <v>78469</v>
      </c>
      <c r="L9" s="143" t="s">
        <v>51</v>
      </c>
      <c r="M9" s="144">
        <f>CONVERT((I9-K9)/10000,"mi","ft")*IF(L9="Increasing Mileposts (1)",-1,1)</f>
        <v>-7574.6880000000001</v>
      </c>
      <c r="N9" s="145" t="str">
        <f>VLOOKUP(C9,'Trips&amp;Operators'!$C$1:$G$99999,5,FALSE)</f>
        <v>DAVIS WENDY</v>
      </c>
      <c r="O9" s="157" t="s">
        <v>185</v>
      </c>
      <c r="P9" s="146" t="s">
        <v>462</v>
      </c>
      <c r="Q9" s="30"/>
      <c r="R9" s="89" t="str">
        <f>VLOOKUP(C9,'Train Runs'!$A$13:$AE$9961,31,0)</f>
        <v>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 &amp; aws s3 cp s3://rtdc.mdm.uploadarchive.raw/RTDC4012/ "%USERPROFILE%\AppData\Local\Temp\OnboardLogs"\RTDC4012\2017-02-08 --exclude "*" --recursive --include "*20170208*" &amp; "%USERPROFILE%\Documents\GitHub\mrs-test-scripts\Headless Mode &amp; Sideloading\WalkAndUnGZ.bat" "%USERPROFILE%\AppData\Local\Temp\OnboardLogs"\RTDC4012\2017-02-08</v>
      </c>
      <c r="S9" s="92" t="str">
        <f>VLOOKUP(C9,'Train Runs'!$A$13:$AE$9961,22,0)</f>
        <v>https://d0f6bd738d7f1b3e5a7ca70fe4ff75f0.us-east-1.aws.found.io/app/kibana#/discover/Steve-Slow-Train-Analysis-(2080s-and-2083s)?_g=(refreshInterval:(display:Off,pause:!f,section:0,value:0),time:(from:'2017-02-07T06:23:35-0700',mode:absolute,to:'2017-02-07T09:06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9" s="94" t="str">
        <f>astrogrep_path&amp;" /spath="&amp;search_path&amp;" /stypes=""*"&amp;U9&amp;"*"&amp;TEXT(A9-utc_offset/24,"YYYYMMDD")&amp;LEFT(TEXT(A9-utc_offset/24,"HH"),1)&amp;"*"" /stext="" "&amp;TEXT(A9-utc_offset/24,"HH")&amp;search_regexp&amp;""" /e /r /s"</f>
        <v>"C:\Program Files (x86)\AstroGrep\AstroGrep.exe" /spath="%USERPROFILE%\AppData\Local\Temp\OnboardLogs" /stypes="*4012*201702071*" /stext=" 14:.+((SYSTEM_STATE.+slice.+state.+changed )|(ment ac)|(multiple cpu faults)|(system.+state.+changed )|(\[timeout)|(PRM\|1\|D)|(kpr)|(kdp)|(\|lc)|(penalty))" /e /r /s</v>
      </c>
      <c r="U9" s="9" t="str">
        <f>MID(B9,13,4)</f>
        <v>4012</v>
      </c>
      <c r="V9" s="32">
        <f>A9-utc_offset/24</f>
        <v>42773.617928240739</v>
      </c>
      <c r="W9" s="46" t="str">
        <f>IFERROR(IF(VALUE(LEFT(IF(LEN(C9)=6,"0"&amp;C9,C9),2))&lt;=2,"EC",IF(OR(VALUE(LEFT(IF(LEN(C9)=6,"0"&amp;C9,C9),2))=8,VALUE(LEFT(IF(LEN(C9)=6,"0"&amp;C9,C9),2))=18),"NW","Other")),"Other")</f>
        <v>EC</v>
      </c>
      <c r="X9" s="46" t="str">
        <f>IF(AND(E9="TRACK WARRANT AUTHORITY",G9&lt;10),"OMIT","KEEP")</f>
        <v>KEEP</v>
      </c>
      <c r="Y9" s="108" t="str">
        <f>"echo {""issue"":{""subject"":"""&amp;P9&amp;""",""project_id"":79,""tracker_id"":40,""status_id"":"&amp;redmine_status&amp;",""priority_id"":"&amp;redmine_priority&amp;",""assigned_to_id"":"&amp;redmine_assignee&amp;",""start_date"":"""&amp;TEXT(A9,"YYYY-mm-dd")&amp;""",""description"":"""&amp;Z9&amp;""",""custom_fields"":[{""id"":1,""name"":""Subdivision"",""value"":"""&amp;W9&amp;"""},{""id"":4,""name"":""Milepost"",""value"":"""&amp;K9/10000&amp;"""},{""id"":17,""name"":""Train ID"",""value"":"""&amp;C9&amp;"""},{""id"":16,""name"":""Locomotive ID"",""value"":"""&amp;U9&amp;"""},{""id"":130,""name"":""Impact"",""value"":"""&amp;AA9&amp;"""},{""id"":150,""name"":""Time of Event (Mountain Time)"",""value"":"""&amp;TEXT(A9,"hh:mm:ss")&amp;"""},{""id"":151,""name"":""Denver Issue ID"",""value"":"""&amp;"""},{""id"":178,""name"":""Operational Impact"",""value"":"""&amp;redmine_op_impact&amp;"""},{""id"":179,""name"":""Denver Segment Assigned"",""value"":"""&amp;AB9&amp;"""}]}}"&amp;"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arrival","project_id":79,"tracker_id":40,"status_id":1,"priority_id":2,"assigned_to_id":23,"start_date":"2017-02-07","description":"","custom_fields":[{"id":1,"name":"Subdivision","value":"EC"},{"id":4,"name":"Milepost","value":"7.8469"},{"id":17,"name":"Train ID","value":"124-07"},{"id":16,"name":"Locomotive ID","value":"4012"},{"id":130,"name":"Impact","value":""},{"id":150,"name":"Time of Event (Mountain Time)","value":"07:49:49"},{"id":151,"name":"Denver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48"/>
      <c r="AA9" s="48"/>
      <c r="AB9" s="48"/>
      <c r="AC9" s="127" t="str">
        <f>"grep -hSE -A400 ""Enforcement Action"" "&amp;search_path&amp;"\RTDC"&amp;U9&amp;"\*"&amp;U9&amp;"*"&amp;TEXT(A9-utc_offset/24,"YYYYMMDD")&amp;LEFT(TEXT(A9-utc_offset/24,"HH"),1)&amp;"* | grep -SE ""((Enforcement Ac)|(PRM))"" -"</f>
        <v>grep -hSE -A400 "Enforcement Action" "%USERPROFILE%\AppData\Local\Temp\OnboardLogs"\RTDC4012\*4012*201702071*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"&amp;TEXT(Variables!$A$2,"YYYY-MM-DD")&amp;"-SliceDisagreementCheck.txt"</f>
        <v>grep -hSE "Enforcement Action" "%USERPROFILE%\AppData\Local\Temp\OnboardLogs"\RTDC4012\*4012*201702071* &gt;&gt; 2017-02-07-SliceDisagreementCheck.txt</v>
      </c>
      <c r="AE9" s="161" t="str">
        <f>"start /low /b "&amp;dls3logs&amp;" --loco "&amp;U9&amp;" --day "&amp;TEXT(V9,"YYYY-MM-DD")</f>
        <v>start /low /b %USERPROFILE%\Documents\GitHub\eaglep3\Utilities\DownloadLogsFromS3.py --loco 4012 --day 2017-02-07</v>
      </c>
    </row>
    <row r="10" spans="1:32" s="1" customFormat="1" x14ac:dyDescent="0.25">
      <c r="A10" s="32">
        <v>42773.82099537037</v>
      </c>
      <c r="B10" s="30" t="s">
        <v>229</v>
      </c>
      <c r="C10" s="30" t="s">
        <v>492</v>
      </c>
      <c r="D10" s="30" t="s">
        <v>49</v>
      </c>
      <c r="E10" s="30" t="s">
        <v>218</v>
      </c>
      <c r="F10" s="43">
        <v>300</v>
      </c>
      <c r="G10" s="43">
        <v>459</v>
      </c>
      <c r="H10" s="43">
        <v>23813</v>
      </c>
      <c r="I10" s="43">
        <v>22459</v>
      </c>
      <c r="J10" s="30" t="s">
        <v>219</v>
      </c>
      <c r="K10" s="43">
        <v>21848</v>
      </c>
      <c r="L10" s="143" t="s">
        <v>51</v>
      </c>
      <c r="M10" s="144">
        <f>CONVERT((I10-K10)/10000,"mi","ft")*IF(L10="Increasing Mileposts (1)",-1,1)</f>
        <v>322.608</v>
      </c>
      <c r="N10" s="145" t="str">
        <f>VLOOKUP(C10,'Trips&amp;Operators'!$C$1:$G$99999,5,FALSE)</f>
        <v>STORY SAMANTHA</v>
      </c>
      <c r="O10" s="157" t="s">
        <v>185</v>
      </c>
      <c r="P10" s="146"/>
      <c r="Q10" s="30"/>
      <c r="R10" s="89" t="str">
        <f>VLOOKUP(C10,'Train Runs'!$A$13:$AE$9961,31,0)</f>
        <v>aws s3 cp s3://rtdc.mdm.uploadarchive.raw/RTDC4045/ "%USERPROFILE%\AppData\Local\Temp\OnboardLogs"\RTDC4045\2017-02-07 --exclude "*" --recursive --include "*20170207*" &amp; "%USERPROFILE%\Documents\GitHub\mrs-test-scripts\Headless Mode &amp; Sideloading\WalkAndUnGZ.bat" "%USERPROFILE%\AppData\Local\Temp\OnboardLogs"\RTDC4045\2017-02-07 &amp; aws s3 cp s3://rtdc.mdm.uploadarchive.raw/RTDC4045/ "%USERPROFILE%\AppData\Local\Temp\OnboardLogs"\RTDC4045\2017-02-08 --exclude "*" --recursive --include "*20170208*" &amp; "%USERPROFILE%\Documents\GitHub\mrs-test-scripts\Headless Mode &amp; Sideloading\WalkAndUnGZ.bat" "%USERPROFILE%\AppData\Local\Temp\OnboardLogs"\RTDC4045\2017-02-08</v>
      </c>
      <c r="S10" s="92" t="str">
        <f>VLOOKUP(C10,'Train Runs'!$A$13:$AE$9961,22,0)</f>
        <v>https://d0f6bd738d7f1b3e5a7ca70fe4ff75f0.us-east-1.aws.found.io/app/kibana#/discover/Steve-Slow-Train-Analysis-(2080s-and-2083s)?_g=(refreshInterval:(display:Off,pause:!f,section:0,value:0),time:(from:'2017-02-07T18:03:04-0700',mode:absolute,to:'2017-02-07T20:49:31-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4045%22')),sort:!(Time.ISO8601,asc))</v>
      </c>
      <c r="T10" s="94" t="str">
        <f>astrogrep_path&amp;" /spath="&amp;search_path&amp;" /stypes=""*"&amp;U10&amp;"*"&amp;TEXT(A10-utc_offset/24,"YYYYMMDD")&amp;LEFT(TEXT(A10-utc_offset/24,"HH"),1)&amp;"*"" /stext="" "&amp;TEXT(A10-utc_offset/24,"HH")&amp;search_regexp&amp;""" /e /r /s"</f>
        <v>"C:\Program Files (x86)\AstroGrep\AstroGrep.exe" /spath="%USERPROFILE%\AppData\Local\Temp\OnboardLogs" /stypes="*4045*201702080*" /stext=" 02:.+((SYSTEM_STATE.+slice.+state.+changed )|(ment ac)|(multiple cpu faults)|(system.+state.+changed )|(\[timeout)|(PRM\|1\|D)|(kpr)|(kdp)|(\|lc)|(penalty))" /e /r /s</v>
      </c>
      <c r="U10" s="9" t="str">
        <f>MID(B10,13,4)</f>
        <v>4045</v>
      </c>
      <c r="V10" s="32">
        <f>A10-utc_offset/24</f>
        <v>42774.112662037034</v>
      </c>
      <c r="W10" s="46" t="str">
        <f>IFERROR(IF(VALUE(LEFT(IF(LEN(C10)=6,"0"&amp;C10,C10),2))&lt;=2,"EC",IF(OR(VALUE(LEFT(IF(LEN(C10)=6,"0"&amp;C10,C10),2))=8,VALUE(LEFT(IF(LEN(C10)=6,"0"&amp;C10,C10),2))=18),"NW","Other")),"Other")</f>
        <v>EC</v>
      </c>
      <c r="X10" s="46" t="str">
        <f>IF(AND(E10="TRACK WARRANT AUTHORITY",G10&lt;10),"OMIT","KEEP")</f>
        <v>KEEP</v>
      </c>
      <c r="Y10" s="108" t="str">
        <f>"echo {""issue"":{""subject"":"""&amp;P10&amp;""",""project_id"":79,""tracker_id"":40,""status_id"":"&amp;redmine_status&amp;",""priority_id"":"&amp;redmine_priority&amp;",""assigned_to_id"":"&amp;redmine_assignee&amp;",""start_date"":"""&amp;TEXT(A10,"YYYY-mm-dd")&amp;""",""description"":"""&amp;Z10&amp;""",""custom_fields"":[{""id"":1,""name"":""Subdivision"",""value"":"""&amp;W10&amp;"""},{""id"":4,""name"":""Milepost"",""value"":"""&amp;K10/10000&amp;"""},{""id"":17,""name"":""Train ID"",""value"":"""&amp;C10&amp;"""},{""id"":16,""name"":""Locomotive ID"",""value"":"""&amp;U10&amp;"""},{""id"":130,""name"":""Impact"",""value"":"""&amp;AA10&amp;"""},{""id"":150,""name"":""Time of Event (Mountain Time)"",""value"":"""&amp;TEXT(A10,"hh:mm:ss")&amp;"""},{""id"":151,""name"":""Denver Issue ID"",""value"":"""&amp;"""},{""id"":178,""name"":""Operational Impact"",""value"":"""&amp;redmine_op_impact&amp;"""},{""id"":179,""name"":""Denver Segment Assigned"",""value"":"""&amp;AB10&amp;"""}]}}"&amp;"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{"issue":{"subject":"","project_id":79,"tracker_id":40,"status_id":1,"priority_id":2,"assigned_to_id":23,"start_date":"2017-02-07","description":"","custom_fields":[{"id":1,"name":"Subdivision","value":"EC"},{"id":4,"name":"Milepost","value":"2.1848"},{"id":17,"name":"Train ID","value":"218-07"},{"id":16,"name":"Locomotive ID","value":"4045"},{"id":130,"name":"Impact","value":""},{"id":150,"name":"Time of Event (Mountain Time)","value":"19:42:14"},{"id":151,"name":"Denver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48"/>
      <c r="AA10" s="48"/>
      <c r="AB10" s="48"/>
      <c r="AC10" s="127" t="str">
        <f>"grep -hSE -A400 ""Enforcement Action"" "&amp;search_path&amp;"\RTDC"&amp;U10&amp;"\*"&amp;U10&amp;"*"&amp;TEXT(A10-utc_offset/24,"YYYYMMDD")&amp;LEFT(TEXT(A10-utc_offset/24,"HH"),1)&amp;"* | grep -SE ""((Enforcement Ac)|(PRM))"" -"</f>
        <v>grep -hSE -A400 "Enforcement Action" "%USERPROFILE%\AppData\Local\Temp\OnboardLogs"\RTDC4045\*4045*201702080*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"&amp;TEXT(Variables!$A$2,"YYYY-MM-DD")&amp;"-SliceDisagreementCheck.txt"</f>
        <v>grep -hSE "Enforcement Action" "%USERPROFILE%\AppData\Local\Temp\OnboardLogs"\RTDC4045\*4045*201702080* &gt;&gt; 2017-02-07-SliceDisagreementCheck.txt</v>
      </c>
      <c r="AE10" s="161" t="str">
        <f>"start /low /b "&amp;dls3logs&amp;" --loco "&amp;U10&amp;" --day "&amp;TEXT(V10,"YYYY-MM-DD")</f>
        <v>start /low /b %USERPROFILE%\Documents\GitHub\eaglep3\Utilities\DownloadLogsFromS3.py --loco 4045 --day 2017-02-08</v>
      </c>
    </row>
    <row r="11" spans="1:32" s="1" customFormat="1" x14ac:dyDescent="0.25">
      <c r="A11" s="32">
        <v>42774.070659722223</v>
      </c>
      <c r="B11" s="30" t="s">
        <v>369</v>
      </c>
      <c r="C11" s="30" t="s">
        <v>495</v>
      </c>
      <c r="D11" s="30" t="s">
        <v>49</v>
      </c>
      <c r="E11" s="30" t="s">
        <v>218</v>
      </c>
      <c r="F11" s="43">
        <v>400</v>
      </c>
      <c r="G11" s="43">
        <v>561</v>
      </c>
      <c r="H11" s="43">
        <v>122381</v>
      </c>
      <c r="I11" s="43">
        <v>120397</v>
      </c>
      <c r="J11" s="30" t="s">
        <v>219</v>
      </c>
      <c r="K11" s="43">
        <v>119716</v>
      </c>
      <c r="L11" s="143" t="s">
        <v>51</v>
      </c>
      <c r="M11" s="144">
        <f>CONVERT((I11-K11)/10000,"mi","ft")*IF(L11="Increasing Mileposts (1)",-1,1)</f>
        <v>359.56799999999998</v>
      </c>
      <c r="N11" s="145" t="str">
        <f>VLOOKUP(C11,'Trips&amp;Operators'!$C$1:$G$99999,5,FALSE)</f>
        <v>STAMBAUGH JAMES</v>
      </c>
      <c r="O11" s="157" t="s">
        <v>185</v>
      </c>
      <c r="P11" s="146"/>
      <c r="Q11" s="30"/>
      <c r="R11" s="89" t="str">
        <f>VLOOKUP(C11,'Train Runs'!$A$13:$AE$9961,31,0)</f>
        <v>aws s3 cp s3://rtdc.mdm.uploadarchive.raw/RTDC4039/ "%USERPROFILE%\AppData\Local\Temp\OnboardLogs"\RTDC4039\2017-02-08 --exclude "*" --recursive --include "*20170208*" &amp; "%USERPROFILE%\Documents\GitHub\mrs-test-scripts\Headless Mode &amp; Sideloading\WalkAndUnGZ.bat" "%USERPROFILE%\AppData\Local\Temp\OnboardLogs"\RTDC4039\2017-02-08 &amp; aws s3 cp s3://rtdc.mdm.uploadarchive.raw/RTDC4039/ "%USERPROFILE%\AppData\Local\Temp\OnboardLogs"\RTDC4039\2017-02-09 --exclude "*" --recursive --include "*20170209*" &amp; "%USERPROFILE%\Documents\GitHub\mrs-test-scripts\Headless Mode &amp; Sideloading\WalkAndUnGZ.bat" "%USERPROFILE%\AppData\Local\Temp\OnboardLogs"\RTDC4039\2017-02-09</v>
      </c>
      <c r="S11" s="92" t="str">
        <f>VLOOKUP(C11,'Train Runs'!$A$13:$AE$9961,22,0)</f>
        <v>https://d0f6bd738d7f1b3e5a7ca70fe4ff75f0.us-east-1.aws.found.io/app/kibana#/discover/Steve-Slow-Train-Analysis-(2080s-and-2083s)?_g=(refreshInterval:(display:Off,pause:!f,section:0,value:0),time:(from:'2017-02-08T00:25:05-0700',mode:absolute,to:'2017-02-08T02:58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4039%22')),sort:!(Time.ISO8601,asc))</v>
      </c>
      <c r="T11" s="94" t="str">
        <f>astrogrep_path&amp;" /spath="&amp;search_path&amp;" /stypes=""*"&amp;U11&amp;"*"&amp;TEXT(A11-utc_offset/24,"YYYYMMDD")&amp;LEFT(TEXT(A11-utc_offset/24,"HH"),1)&amp;"*"" /stext="" "&amp;TEXT(A11-utc_offset/24,"HH")&amp;search_regexp&amp;""" /e /r /s"</f>
        <v>"C:\Program Files (x86)\AstroGrep\AstroGrep.exe" /spath="%USERPROFILE%\AppData\Local\Temp\OnboardLogs" /stypes="*4039*201702080*" /stext=" 08:.+((SYSTEM_STATE.+slice.+state.+changed )|(ment ac)|(multiple cpu faults)|(system.+state.+changed )|(\[timeout)|(PRM\|1\|D)|(kpr)|(kdp)|(\|lc)|(penalty))" /e /r /s</v>
      </c>
      <c r="U11" s="9" t="str">
        <f>MID(B11,13,4)</f>
        <v>4039</v>
      </c>
      <c r="V11" s="32">
        <f>A11-utc_offset/24</f>
        <v>42774.362326388888</v>
      </c>
      <c r="W11" s="46" t="str">
        <f>IFERROR(IF(VALUE(LEFT(IF(LEN(C11)=6,"0"&amp;C11,C11),2))&lt;=2,"EC",IF(OR(VALUE(LEFT(IF(LEN(C11)=6,"0"&amp;C11,C11),2))=8,VALUE(LEFT(IF(LEN(C11)=6,"0"&amp;C11,C11),2))=18),"NW","Other")),"Other")</f>
        <v>EC</v>
      </c>
      <c r="X11" s="46" t="str">
        <f>IF(AND(E11="TRACK WARRANT AUTHORITY",G11&lt;10),"OMIT","KEEP")</f>
        <v>KEEP</v>
      </c>
      <c r="Y11" s="108" t="str">
        <f>"echo {""issue"":{""subject"":"""&amp;P11&amp;""",""project_id"":79,""tracker_id"":40,""status_id"":"&amp;redmine_status&amp;",""priority_id"":"&amp;redmine_priority&amp;",""assigned_to_id"":"&amp;redmine_assignee&amp;",""start_date"":"""&amp;TEXT(A11,"YYYY-mm-dd")&amp;""",""description"":"""&amp;Z11&amp;""",""custom_fields"":[{""id"":1,""name"":""Subdivision"",""value"":"""&amp;W11&amp;"""},{""id"":4,""name"":""Milepost"",""value"":"""&amp;K11/10000&amp;"""},{""id"":17,""name"":""Train ID"",""value"":"""&amp;C11&amp;"""},{""id"":16,""name"":""Locomotive ID"",""value"":"""&amp;U11&amp;"""},{""id"":130,""name"":""Impact"",""value"":"""&amp;AA11&amp;"""},{""id"":150,""name"":""Time of Event (Mountain Time)"",""value"":"""&amp;TEXT(A11,"hh:mm:ss")&amp;"""},{""id"":151,""name"":""Denver Issue ID"",""value"":"""&amp;"""},{""id"":178,""name"":""Operational Impact"",""value"":"""&amp;redmine_op_impact&amp;"""},{""id"":179,""name"":""Denver Segment Assigned"",""value"":"""&amp;AB11&amp;"""}]}}"&amp;"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{"issue":{"subject":"","project_id":79,"tracker_id":40,"status_id":1,"priority_id":2,"assigned_to_id":23,"start_date":"2017-02-08","description":"","custom_fields":[{"id":1,"name":"Subdivision","value":"EC"},{"id":4,"name":"Milepost","value":"11.9716"},{"id":17,"name":"Train ID","value":"244-07"},{"id":16,"name":"Locomotive ID","value":"4039"},{"id":130,"name":"Impact","value":""},{"id":150,"name":"Time of Event (Mountain Time)","value":"01:41:45"},{"id":151,"name":"Denver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48"/>
      <c r="AA11" s="48"/>
      <c r="AB11" s="48"/>
      <c r="AC11" s="127" t="str">
        <f>"grep -hSE -A400 ""Enforcement Action"" "&amp;search_path&amp;"\RTDC"&amp;U11&amp;"\*"&amp;U11&amp;"*"&amp;TEXT(A11-utc_offset/24,"YYYYMMDD")&amp;LEFT(TEXT(A11-utc_offset/24,"HH"),1)&amp;"* | grep -SE ""((Enforcement Ac)|(PRM))"" -"</f>
        <v>grep -hSE -A400 "Enforcement Action" "%USERPROFILE%\AppData\Local\Temp\OnboardLogs"\RTDC4039\*4039*201702080*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"&amp;TEXT(Variables!$A$2,"YYYY-MM-DD")&amp;"-SliceDisagreementCheck.txt"</f>
        <v>grep -hSE "Enforcement Action" "%USERPROFILE%\AppData\Local\Temp\OnboardLogs"\RTDC4039\*4039*201702080* &gt;&gt; 2017-02-07-SliceDisagreementCheck.txt</v>
      </c>
      <c r="AE11" s="161" t="str">
        <f>"start /low /b "&amp;dls3logs&amp;" --loco "&amp;U11&amp;" --day "&amp;TEXT(V11,"YYYY-MM-DD")</f>
        <v>start /low /b %USERPROFILE%\Documents\GitHub\eaglep3\Utilities\DownloadLogsFromS3.py --loco 4039 --day 2017-02-08</v>
      </c>
    </row>
    <row r="12" spans="1:32" s="1" customFormat="1" x14ac:dyDescent="0.25">
      <c r="A12" s="32">
        <v>42773.209293981483</v>
      </c>
      <c r="B12" s="30" t="s">
        <v>192</v>
      </c>
      <c r="C12" s="30" t="s">
        <v>465</v>
      </c>
      <c r="D12" s="30" t="s">
        <v>49</v>
      </c>
      <c r="E12" s="30" t="s">
        <v>186</v>
      </c>
      <c r="F12" s="43">
        <v>0</v>
      </c>
      <c r="G12" s="43">
        <v>599</v>
      </c>
      <c r="H12" s="43">
        <v>78832</v>
      </c>
      <c r="I12" s="43">
        <v>81476</v>
      </c>
      <c r="J12" s="30" t="s">
        <v>187</v>
      </c>
      <c r="K12" s="43">
        <v>81738</v>
      </c>
      <c r="L12" s="143" t="s">
        <v>50</v>
      </c>
      <c r="M12" s="144">
        <f>CONVERT((I12-K12)/10000,"mi","ft")*IF(L12="Increasing Mileposts (1)",-1,1)</f>
        <v>138.33600000000001</v>
      </c>
      <c r="N12" s="145" t="str">
        <f>VLOOKUP(C12,'Trips&amp;Operators'!$C$1:$G$99999,5,FALSE)</f>
        <v>DAVIS WENDY</v>
      </c>
      <c r="O12" s="157" t="s">
        <v>220</v>
      </c>
      <c r="P12" s="146" t="s">
        <v>888</v>
      </c>
      <c r="Q12" s="30"/>
      <c r="R12" s="89" t="str">
        <f>VLOOKUP(C12,'Train Runs'!$A$13:$AE$9961,31,0)</f>
        <v>aws s3 cp s3://rtdc.mdm.uploadarchive.raw/RTDC4011/ "%USERPROFILE%\AppData\Local\Temp\OnboardLogs"\RTDC4011\2017-02-07 --exclude "*" --recursive --include "*20170207*" &amp; "%USERPROFILE%\Documents\GitHub\mrs-test-scripts\Headless Mode &amp; Sideloading\WalkAndUnGZ.bat" "%USERPROFILE%\AppData\Local\Temp\OnboardLogs"\RTDC4011\2017-02-07 &amp; aws s3 cp s3://rtdc.mdm.uploadarchive.raw/RTDC4011/ "%USERPROFILE%\AppData\Local\Temp\OnboardLogs"\RTDC4011\2017-02-08 --exclude "*" --recursive --include "*20170208*" &amp; "%USERPROFILE%\Documents\GitHub\mrs-test-scripts\Headless Mode &amp; Sideloading\WalkAndUnGZ.bat" "%USERPROFILE%\AppData\Local\Temp\OnboardLogs"\RTDC4011\2017-02-08</v>
      </c>
      <c r="S12" s="92" t="str">
        <f>VLOOKUP(C12,'Train Runs'!$A$13:$AE$9961,22,0)</f>
        <v>https://d0f6bd738d7f1b3e5a7ca70fe4ff75f0.us-east-1.aws.found.io/app/kibana#/discover/Steve-Slow-Train-Analysis-(2080s-and-2083s)?_g=(refreshInterval:(display:Off,pause:!f,section:0,value:0),time:(from:'2017-02-07T03:42:45-0700',mode:absolute,to:'2017-02-07T06:23:32-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4011%22')),sort:!(Time.ISO8601,asc))</v>
      </c>
      <c r="T12" s="94" t="str">
        <f>astrogrep_path&amp;" /spath="&amp;search_path&amp;" /stypes=""*"&amp;U12&amp;"*"&amp;TEXT(A12-utc_offset/24,"YYYYMMDD")&amp;LEFT(TEXT(A12-utc_offset/24,"HH"),1)&amp;"*"" /stext="" "&amp;TEXT(A12-utc_offset/24,"HH")&amp;search_regexp&amp;""" /e /r /s"</f>
        <v>"C:\Program Files (x86)\AstroGrep\AstroGrep.exe" /spath="%USERPROFILE%\AppData\Local\Temp\OnboardLogs" /stypes="*4011*201702071*" /stext=" 12:.+((SYSTEM_STATE.+slice.+state.+changed )|(ment ac)|(multiple cpu faults)|(system.+state.+changed )|(\[timeout)|(PRM\|1\|D)|(kpr)|(kdp)|(\|lc)|(penalty))" /e /r /s</v>
      </c>
      <c r="U12" s="9" t="str">
        <f>MID(B12,13,4)</f>
        <v>4011</v>
      </c>
      <c r="V12" s="32">
        <f>A12-utc_offset/24</f>
        <v>42773.500960648147</v>
      </c>
      <c r="W12" s="46" t="str">
        <f>IFERROR(IF(VALUE(LEFT(IF(LEN(C12)=6,"0"&amp;C12,C12),2))&lt;=2,"EC",IF(OR(VALUE(LEFT(IF(LEN(C12)=6,"0"&amp;C12,C12),2))=8,VALUE(LEFT(IF(LEN(C12)=6,"0"&amp;C12,C12),2))=18),"NW","Other")),"Other")</f>
        <v>EC</v>
      </c>
      <c r="X12" s="46" t="str">
        <f>IF(AND(E12="TRACK WARRANT AUTHORITY",G12&lt;10),"OMIT","KEEP")</f>
        <v>KEEP</v>
      </c>
      <c r="Y12" s="108" t="str">
        <f>"echo {""issue"":{""subject"":"""&amp;P12&amp;""",""project_id"":79,""tracker_id"":40,""status_id"":"&amp;redmine_status&amp;",""priority_id"":"&amp;redmine_priority&amp;",""assigned_to_id"":"&amp;redmine_assignee&amp;",""start_date"":"""&amp;TEXT(A12,"YYYY-mm-dd")&amp;""",""description"":"""&amp;Z12&amp;""",""custom_fields"":[{""id"":1,""name"":""Subdivision"",""value"":"""&amp;W12&amp;"""},{""id"":4,""name"":""Milepost"",""value"":"""&amp;K12/10000&amp;"""},{""id"":17,""name"":""Train ID"",""value"":"""&amp;C12&amp;"""},{""id"":16,""name"":""Locomotive ID"",""value"":"""&amp;U12&amp;"""},{""id"":130,""name"":""Impact"",""value"":"""&amp;AA12&amp;"""},{""id"":150,""name"":""Time of Event (Mountain Time)"",""value"":"""&amp;TEXT(A12,"hh:mm:ss")&amp;"""},{""id"":151,""name"":""Denver Issue ID"",""value"":"""&amp;"""},{""id"":178,""name"":""Operational Impact"",""value"":"""&amp;redmine_op_impact&amp;"""},{""id"":179,""name"":""Denver Segment Assigned"",""value"":"""&amp;AB12&amp;"""}]}}"&amp;" | curl -X POST -H ""Content-Type: application/json"" -H ""X-Redmine-API-Key: "&amp;redm_api_key&amp;""" "&amp;redm_url&amp;" --data @-"</f>
        <v>echo {"issue":{"subject":"Premature downgrade at EC0816RH 75-1T 1N - false occupancy 81-1T","project_id":79,"tracker_id":40,"status_id":1,"priority_id":2,"assigned_to_id":23,"start_date":"2017-02-07","description":"Just before 05:01:23, EC0816RH 75-1T 1N dropped from 270 to STOP &amp; PROCEED. Another instance of 81-1T false occupation?","custom_fields":[{"id":1,"name":"Subdivision","value":"EC"},{"id":4,"name":"Milepost","value":"8.1738"},{"id":17,"name":"Train ID","value":"109-07"},{"id":16,"name":"Locomotive ID","value":"4011"},{"id":130,"name":"Impact","value":"Enforcement"},{"id":150,"name":"Time of Event (Mountain Time)","value":"05:01:23"},{"id":151,"name":"Denver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2" s="48" t="str">
        <f>"Just before "&amp;TEXT(A12,"HH:MM:SS")&amp;", EC0816RH 75-1T 1N dropped from 270 to STOP &amp; PROCEED. Another instance of 81-1T false occupation?"</f>
        <v>Just before 05:01:23, EC0816RH 75-1T 1N dropped from 270 to STOP &amp; PROCEED. Another instance of 81-1T false occupation?</v>
      </c>
      <c r="AA12" s="48" t="s">
        <v>124</v>
      </c>
      <c r="AB12" s="48" t="s">
        <v>129</v>
      </c>
      <c r="AC12" s="127" t="str">
        <f>"grep -hSE -A400 ""Enforcement Action"" "&amp;search_path&amp;"\RTDC"&amp;U12&amp;"\*"&amp;U12&amp;"*"&amp;TEXT(A12-utc_offset/24,"YYYYMMDD")&amp;LEFT(TEXT(A12-utc_offset/24,"HH"),1)&amp;"* | grep -SE ""((Enforcement Ac)|(PRM))"" -"</f>
        <v>grep -hSE -A400 "Enforcement Action" "%USERPROFILE%\AppData\Local\Temp\OnboardLogs"\RTDC4011\*4011*201702071*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"&amp;TEXT(Variables!$A$2,"YYYY-MM-DD")&amp;"-SliceDisagreementCheck.txt"</f>
        <v>grep -hSE "Enforcement Action" "%USERPROFILE%\AppData\Local\Temp\OnboardLogs"\RTDC4011\*4011*201702071* &gt;&gt; 2017-02-07-SliceDisagreementCheck.txt</v>
      </c>
      <c r="AE12" s="161" t="str">
        <f>"start /low /b "&amp;dls3logs&amp;" --loco "&amp;U12&amp;" --day "&amp;TEXT(V12,"YYYY-MM-DD")</f>
        <v>start /low /b %USERPROFILE%\Documents\GitHub\eaglep3\Utilities\DownloadLogsFromS3.py --loco 4011 --day 2017-02-07</v>
      </c>
    </row>
    <row r="13" spans="1:32" s="1" customFormat="1" x14ac:dyDescent="0.25">
      <c r="A13" s="32">
        <v>42773.396701388891</v>
      </c>
      <c r="B13" s="30" t="s">
        <v>246</v>
      </c>
      <c r="C13" s="30" t="s">
        <v>470</v>
      </c>
      <c r="D13" s="30" t="s">
        <v>49</v>
      </c>
      <c r="E13" s="30" t="s">
        <v>186</v>
      </c>
      <c r="F13" s="43">
        <v>0</v>
      </c>
      <c r="G13" s="43">
        <v>648</v>
      </c>
      <c r="H13" s="43">
        <v>78985</v>
      </c>
      <c r="I13" s="43">
        <v>82019</v>
      </c>
      <c r="J13" s="30" t="s">
        <v>187</v>
      </c>
      <c r="K13" s="43">
        <v>81738</v>
      </c>
      <c r="L13" s="143" t="s">
        <v>50</v>
      </c>
      <c r="M13" s="144">
        <f>CONVERT((I13-K13)/10000,"mi","ft")*IF(L13="Increasing Mileposts (1)",-1,1)</f>
        <v>-148.36799999999999</v>
      </c>
      <c r="N13" s="145" t="str">
        <f>VLOOKUP(C13,'Trips&amp;Operators'!$C$1:$G$99999,5,FALSE)</f>
        <v>MAELZER KURT</v>
      </c>
      <c r="O13" s="157" t="s">
        <v>220</v>
      </c>
      <c r="P13" s="146" t="s">
        <v>888</v>
      </c>
      <c r="Q13" s="30"/>
      <c r="R13" s="89" t="str">
        <f>VLOOKUP(C13,'Train Runs'!$A$13:$AE$9961,31,0)</f>
        <v>aws s3 cp s3://rtdc.mdm.uploadarchive.raw/RTDC4025/ "%USERPROFILE%\AppData\Local\Temp\OnboardLogs"\RTDC4025\2017-02-07 --exclude "*" --recursive --include "*20170207*" &amp; "%USERPROFILE%\Documents\GitHub\mrs-test-scripts\Headless Mode &amp; Sideloading\WalkAndUnGZ.bat" "%USERPROFILE%\AppData\Local\Temp\OnboardLogs"\RTDC4025\2017-02-07 &amp; aws s3 cp s3://rtdc.mdm.uploadarchive.raw/RTDC4025/ "%USERPROFILE%\AppData\Local\Temp\OnboardLogs"\RTDC4025\2017-02-08 --exclude "*" --recursive --include "*20170208*" &amp; "%USERPROFILE%\Documents\GitHub\mrs-test-scripts\Headless Mode &amp; Sideloading\WalkAndUnGZ.bat" "%USERPROFILE%\AppData\Local\Temp\OnboardLogs"\RTDC4025\2017-02-08</v>
      </c>
      <c r="S13" s="92" t="str">
        <f>VLOOKUP(C13,'Train Runs'!$A$13:$AE$9961,22,0)</f>
        <v>https://d0f6bd738d7f1b3e5a7ca70fe4ff75f0.us-east-1.aws.found.io/app/kibana#/discover/Steve-Slow-Train-Analysis-(2080s-and-2083s)?_g=(refreshInterval:(display:Off,pause:!f,section:0,value:0),time:(from:'2017-02-07T08:07:54-0700',mode:absolute,to:'2017-02-07T10:53:22-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3" s="94" t="str">
        <f>astrogrep_path&amp;" /spath="&amp;search_path&amp;" /stypes=""*"&amp;U13&amp;"*"&amp;TEXT(A13-utc_offset/24,"YYYYMMDD")&amp;LEFT(TEXT(A13-utc_offset/24,"HH"),1)&amp;"*"" /stext="" "&amp;TEXT(A13-utc_offset/24,"HH")&amp;search_regexp&amp;""" /e /r /s"</f>
        <v>"C:\Program Files (x86)\AstroGrep\AstroGrep.exe" /spath="%USERPROFILE%\AppData\Local\Temp\OnboardLogs" /stypes="*4025*201702071*" /stext=" 16:.+((SYSTEM_STATE.+slice.+state.+changed )|(ment ac)|(multiple cpu faults)|(system.+state.+changed )|(\[timeout)|(PRM\|1\|D)|(kpr)|(kdp)|(\|lc)|(penalty))" /e /r /s</v>
      </c>
      <c r="U13" s="9" t="str">
        <f>MID(B13,13,4)</f>
        <v>4025</v>
      </c>
      <c r="V13" s="32">
        <f>A13-utc_offset/24</f>
        <v>42773.688368055555</v>
      </c>
      <c r="W13" s="46" t="str">
        <f>IFERROR(IF(VALUE(LEFT(IF(LEN(C13)=6,"0"&amp;C13,C13),2))&lt;=2,"EC",IF(OR(VALUE(LEFT(IF(LEN(C13)=6,"0"&amp;C13,C13),2))=8,VALUE(LEFT(IF(LEN(C13)=6,"0"&amp;C13,C13),2))=18),"NW","Other")),"Other")</f>
        <v>EC</v>
      </c>
      <c r="X13" s="46" t="str">
        <f>IF(AND(E13="TRACK WARRANT AUTHORITY",G13&lt;10),"OMIT","KEEP")</f>
        <v>KEEP</v>
      </c>
      <c r="Y13" s="108" t="str">
        <f>"echo {""issue"":{""subject"":"""&amp;P13&amp;""",""project_id"":79,""tracker_id"":40,""status_id"":"&amp;redmine_status&amp;",""priority_id"":"&amp;redmine_priority&amp;",""assigned_to_id"":"&amp;redmine_assignee&amp;",""start_date"":"""&amp;TEXT(A13,"YYYY-mm-dd")&amp;""",""description"":"""&amp;Z13&amp;""",""custom_fields"":[{""id"":1,""name"":""Subdivision"",""value"":"""&amp;W13&amp;"""},{""id"":4,""name"":""Milepost"",""value"":"""&amp;K13/10000&amp;"""},{""id"":17,""name"":""Train ID"",""value"":"""&amp;C13&amp;"""},{""id"":16,""name"":""Locomotive ID"",""value"":"""&amp;U13&amp;"""},{""id"":130,""name"":""Impact"",""value"":"""&amp;AA13&amp;"""},{""id"":150,""name"":""Time of Event (Mountain Time)"",""value"":"""&amp;TEXT(A13,"hh:mm:ss")&amp;"""},{""id"":151,""name"":""Denver Issue ID"",""value"":"""&amp;"""},{""id"":178,""name"":""Operational Impact"",""value"":"""&amp;redmine_op_impact&amp;"""},{""id"":179,""name"":""Denver Segment Assigned"",""value"":"""&amp;AB13&amp;"""}]}}"&amp;" | curl -X POST -H ""Content-Type: application/json"" -H ""X-Redmine-API-Key: "&amp;redm_api_key&amp;""" "&amp;redm_url&amp;" --data @-"</f>
        <v>echo {"issue":{"subject":"Premature downgrade at EC0816RH 75-1T 1N - false occupancy 81-1T","project_id":79,"tracker_id":40,"status_id":1,"priority_id":2,"assigned_to_id":23,"start_date":"2017-02-07","description":"Just before 09:31:15, EC0816RH 75-1T 1N dropped from 270 to STOP &amp; PROCEED. Another instance of 81-1T false occupation?","custom_fields":[{"id":1,"name":"Subdivision","value":"EC"},{"id":4,"name":"Milepost","value":"8.1738"},{"id":17,"name":"Train ID","value":"145-07"},{"id":16,"name":"Locomotive ID","value":"4025"},{"id":130,"name":"Impact","value":"Enforcement"},{"id":150,"name":"Time of Event (Mountain Time)","value":"09:31:15"},{"id":151,"name":"Denver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3" s="48" t="str">
        <f>"Just before "&amp;TEXT(A13,"HH:MM:SS")&amp;", EC0816RH 75-1T 1N dropped from 270 to STOP &amp; PROCEED. Another instance of 81-1T false occupation?"</f>
        <v>Just before 09:31:15, EC0816RH 75-1T 1N dropped from 270 to STOP &amp; PROCEED. Another instance of 81-1T false occupation?</v>
      </c>
      <c r="AA13" s="48" t="s">
        <v>124</v>
      </c>
      <c r="AB13" s="48" t="s">
        <v>129</v>
      </c>
      <c r="AC13" s="127" t="str">
        <f>"grep -hSE -A400 ""Enforcement Action"" "&amp;search_path&amp;"\RTDC"&amp;U13&amp;"\*"&amp;U13&amp;"*"&amp;TEXT(A13-utc_offset/24,"YYYYMMDD")&amp;LEFT(TEXT(A13-utc_offset/24,"HH"),1)&amp;"* | grep -SE ""((Enforcement Ac)|(PRM))"" -"</f>
        <v>grep -hSE -A400 "Enforcement Action" "%USERPROFILE%\AppData\Local\Temp\OnboardLogs"\RTDC4025\*4025*201702071*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"&amp;TEXT(Variables!$A$2,"YYYY-MM-DD")&amp;"-SliceDisagreementCheck.txt"</f>
        <v>grep -hSE "Enforcement Action" "%USERPROFILE%\AppData\Local\Temp\OnboardLogs"\RTDC4025\*4025*201702071* &gt;&gt; 2017-02-07-SliceDisagreementCheck.txt</v>
      </c>
      <c r="AE13" s="161" t="str">
        <f>"start /low /b "&amp;dls3logs&amp;" --loco "&amp;U13&amp;" --day "&amp;TEXT(V13,"YYYY-MM-DD")</f>
        <v>start /low /b %USERPROFILE%\Documents\GitHub\eaglep3\Utilities\DownloadLogsFromS3.py --loco 4025 --day 2017-02-07</v>
      </c>
    </row>
    <row r="14" spans="1:32" s="1" customFormat="1" x14ac:dyDescent="0.25">
      <c r="A14" s="32">
        <v>42773.44840277778</v>
      </c>
      <c r="B14" s="30" t="s">
        <v>197</v>
      </c>
      <c r="C14" s="30" t="s">
        <v>471</v>
      </c>
      <c r="D14" s="30" t="s">
        <v>49</v>
      </c>
      <c r="E14" s="30" t="s">
        <v>186</v>
      </c>
      <c r="F14" s="43">
        <v>0</v>
      </c>
      <c r="G14" s="43">
        <v>737</v>
      </c>
      <c r="H14" s="43">
        <v>77863</v>
      </c>
      <c r="I14" s="43">
        <v>81228</v>
      </c>
      <c r="J14" s="30" t="s">
        <v>187</v>
      </c>
      <c r="K14" s="43">
        <v>81738</v>
      </c>
      <c r="L14" s="143" t="s">
        <v>50</v>
      </c>
      <c r="M14" s="144">
        <f>CONVERT((I14-K14)/10000,"mi","ft")*IF(L14="Increasing Mileposts (1)",-1,1)</f>
        <v>269.27999999999997</v>
      </c>
      <c r="N14" s="145" t="str">
        <f>VLOOKUP(C14,'Trips&amp;Operators'!$C$1:$G$99999,5,FALSE)</f>
        <v>BEAM ROSS</v>
      </c>
      <c r="O14" s="157" t="s">
        <v>220</v>
      </c>
      <c r="P14" s="146" t="s">
        <v>888</v>
      </c>
      <c r="Q14" s="30"/>
      <c r="R14" s="89" t="str">
        <f>VLOOKUP(C14,'Train Runs'!$A$13:$AE$9961,31,0)</f>
        <v>aws s3 cp s3://rtdc.mdm.uploadarchive.raw/RTDC4038/ "%USERPROFILE%\AppData\Local\Temp\OnboardLogs"\RTDC4038\2017-02-07 --exclude "*" --recursive --include "*20170207*" &amp; "%USERPROFILE%\Documents\GitHub\mrs-test-scripts\Headless Mode &amp; Sideloading\WalkAndUnGZ.bat" "%USERPROFILE%\AppData\Local\Temp\OnboardLogs"\RTDC4038\2017-02-07 &amp; aws s3 cp s3://rtdc.mdm.uploadarchive.raw/RTDC4038/ "%USERPROFILE%\AppData\Local\Temp\OnboardLogs"\RTDC4038\2017-02-08 --exclude "*" --recursive --include "*20170208*" &amp; "%USERPROFILE%\Documents\GitHub\mrs-test-scripts\Headless Mode &amp; Sideloading\WalkAndUnGZ.bat" "%USERPROFILE%\AppData\Local\Temp\OnboardLogs"\RTDC4038\2017-02-08</v>
      </c>
      <c r="S14" s="92" t="str">
        <f>VLOOKUP(C14,'Train Runs'!$A$13:$AE$9961,22,0)</f>
        <v>https://d0f6bd738d7f1b3e5a7ca70fe4ff75f0.us-east-1.aws.found.io/app/kibana#/discover/Steve-Slow-Train-Analysis-(2080s-and-2083s)?_g=(refreshInterval:(display:Off,pause:!f,section:0,value:0),time:(from:'2017-02-07T09:26:58-0700',mode:absolute,to:'2017-02-07T12:05:57-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14" s="94" t="str">
        <f>astrogrep_path&amp;" /spath="&amp;search_path&amp;" /stypes=""*"&amp;U14&amp;"*"&amp;TEXT(A14-utc_offset/24,"YYYYMMDD")&amp;LEFT(TEXT(A14-utc_offset/24,"HH"),1)&amp;"*"" /stext="" "&amp;TEXT(A14-utc_offset/24,"HH")&amp;search_regexp&amp;""" /e /r /s"</f>
        <v>"C:\Program Files (x86)\AstroGrep\AstroGrep.exe" /spath="%USERPROFILE%\AppData\Local\Temp\OnboardLogs" /stypes="*4038*201702071*" /stext=" 17:.+((SYSTEM_STATE.+slice.+state.+changed )|(ment ac)|(multiple cpu faults)|(system.+state.+changed )|(\[timeout)|(PRM\|1\|D)|(kpr)|(kdp)|(\|lc)|(penalty))" /e /r /s</v>
      </c>
      <c r="U14" s="9" t="str">
        <f>MID(B14,13,4)</f>
        <v>4038</v>
      </c>
      <c r="V14" s="32">
        <f>A14-utc_offset/24</f>
        <v>42773.740069444444</v>
      </c>
      <c r="W14" s="46" t="str">
        <f>IFERROR(IF(VALUE(LEFT(IF(LEN(C14)=6,"0"&amp;C14,C14),2))&lt;=2,"EC",IF(OR(VALUE(LEFT(IF(LEN(C14)=6,"0"&amp;C14,C14),2))=8,VALUE(LEFT(IF(LEN(C14)=6,"0"&amp;C14,C14),2))=18),"NW","Other")),"Other")</f>
        <v>EC</v>
      </c>
      <c r="X14" s="46" t="str">
        <f>IF(AND(E14="TRACK WARRANT AUTHORITY",G14&lt;10),"OMIT","KEEP")</f>
        <v>KEEP</v>
      </c>
      <c r="Y14" s="108" t="str">
        <f>"echo {""issue"":{""subject"":"""&amp;P14&amp;""",""project_id"":79,""tracker_id"":40,""status_id"":"&amp;redmine_status&amp;",""priority_id"":"&amp;redmine_priority&amp;",""assigned_to_id"":"&amp;redmine_assignee&amp;",""start_date"":"""&amp;TEXT(A14,"YYYY-mm-dd")&amp;""",""description"":"""&amp;Z14&amp;""",""custom_fields"":[{""id"":1,""name"":""Subdivision"",""value"":"""&amp;W14&amp;"""},{""id"":4,""name"":""Milepost"",""value"":"""&amp;K14/10000&amp;"""},{""id"":17,""name"":""Train ID"",""value"":"""&amp;C14&amp;"""},{""id"":16,""name"":""Locomotive ID"",""value"":"""&amp;U14&amp;"""},{""id"":130,""name"":""Impact"",""value"":"""&amp;AA14&amp;"""},{""id"":150,""name"":""Time of Event (Mountain Time)"",""value"":"""&amp;TEXT(A14,"hh:mm:ss")&amp;"""},{""id"":151,""name"":""Denver Issue ID"",""value"":"""&amp;"""},{""id"":178,""name"":""Operational Impact"",""value"":"""&amp;redmine_op_impact&amp;"""},{""id"":179,""name"":""Denver Segment Assigned"",""value"":"""&amp;AB14&amp;"""}]}}"&amp;" | curl -X POST -H ""Content-Type: application/json"" -H ""X-Redmine-API-Key: "&amp;redm_api_key&amp;""" "&amp;redm_url&amp;" --data @-"</f>
        <v>echo {"issue":{"subject":"Premature downgrade at EC0816RH 75-1T 1N - false occupancy 81-1T","project_id":79,"tracker_id":40,"status_id":1,"priority_id":2,"assigned_to_id":23,"start_date":"2017-02-07","description":"Just before 10:45:42, EC0816RH 75-1T 1N dropped from 270 to STOP &amp; PROCEED. Another instance of 81-1T false occupation?","custom_fields":[{"id":1,"name":"Subdivision","value":"EC"},{"id":4,"name":"Milepost","value":"8.1738"},{"id":17,"name":"Train ID","value":"155-07"},{"id":16,"name":"Locomotive ID","value":"4038"},{"id":130,"name":"Impact","value":"Enforcement"},{"id":150,"name":"Time of Event (Mountain Time)","value":"10:45:42"},{"id":151,"name":"Denver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4" s="48" t="str">
        <f>"Just before "&amp;TEXT(A14,"HH:MM:SS")&amp;", EC0816RH 75-1T 1N dropped from 270 to STOP &amp; PROCEED. Another instance of 81-1T false occupation?"</f>
        <v>Just before 10:45:42, EC0816RH 75-1T 1N dropped from 270 to STOP &amp; PROCEED. Another instance of 81-1T false occupation?</v>
      </c>
      <c r="AA14" s="48" t="s">
        <v>124</v>
      </c>
      <c r="AB14" s="48" t="s">
        <v>129</v>
      </c>
      <c r="AC14" s="127" t="str">
        <f>"grep -hSE -A400 ""Enforcement Action"" "&amp;search_path&amp;"\RTDC"&amp;U14&amp;"\*"&amp;U14&amp;"*"&amp;TEXT(A14-utc_offset/24,"YYYYMMDD")&amp;LEFT(TEXT(A14-utc_offset/24,"HH"),1)&amp;"* | grep -SE ""((Enforcement Ac)|(PRM))"" -"</f>
        <v>grep -hSE -A400 "Enforcement Action" "%USERPROFILE%\AppData\Local\Temp\OnboardLogs"\RTDC4038\*4038*201702071*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"&amp;TEXT(Variables!$A$2,"YYYY-MM-DD")&amp;"-SliceDisagreementCheck.txt"</f>
        <v>grep -hSE "Enforcement Action" "%USERPROFILE%\AppData\Local\Temp\OnboardLogs"\RTDC4038\*4038*201702071* &gt;&gt; 2017-02-07-SliceDisagreementCheck.txt</v>
      </c>
      <c r="AE14" s="161" t="str">
        <f>"start /low /b "&amp;dls3logs&amp;" --loco "&amp;U14&amp;" --day "&amp;TEXT(V14,"YYYY-MM-DD")</f>
        <v>start /low /b %USERPROFILE%\Documents\GitHub\eaglep3\Utilities\DownloadLogsFromS3.py --loco 4038 --day 2017-02-07</v>
      </c>
    </row>
    <row r="15" spans="1:32" x14ac:dyDescent="0.25">
      <c r="A15" s="32">
        <v>42773.761122685188</v>
      </c>
      <c r="B15" s="30" t="s">
        <v>246</v>
      </c>
      <c r="C15" s="30" t="s">
        <v>488</v>
      </c>
      <c r="D15" s="30" t="s">
        <v>49</v>
      </c>
      <c r="E15" s="30" t="s">
        <v>186</v>
      </c>
      <c r="F15" s="43">
        <v>0</v>
      </c>
      <c r="G15" s="43">
        <v>788</v>
      </c>
      <c r="H15" s="43">
        <v>81566</v>
      </c>
      <c r="I15" s="43">
        <v>85159</v>
      </c>
      <c r="J15" s="30" t="s">
        <v>187</v>
      </c>
      <c r="K15" s="43">
        <v>81738</v>
      </c>
      <c r="L15" s="143" t="s">
        <v>50</v>
      </c>
      <c r="M15" s="144">
        <f>CONVERT((I15-K15)/10000,"mi","ft")*IF(L15="Increasing Mileposts (1)",-1,1)</f>
        <v>-1806.288</v>
      </c>
      <c r="N15" s="145" t="str">
        <f>VLOOKUP(C15,'Trips&amp;Operators'!$C$1:$G$99999,5,FALSE)</f>
        <v>BRANNON JEFFREY</v>
      </c>
      <c r="O15" s="157" t="s">
        <v>220</v>
      </c>
      <c r="P15" s="146" t="s">
        <v>888</v>
      </c>
      <c r="Q15" s="30"/>
      <c r="R15" s="89" t="str">
        <f>VLOOKUP(C15,'Train Runs'!$A$13:$AE$9961,31,0)</f>
        <v>aws s3 cp s3://rtdc.mdm.uploadarchive.raw/RTDC4025/ "%USERPROFILE%\AppData\Local\Temp\OnboardLogs"\RTDC4025\2017-02-07 --exclude "*" --recursive --include "*20170207*" &amp; "%USERPROFILE%\Documents\GitHub\mrs-test-scripts\Headless Mode &amp; Sideloading\WalkAndUnGZ.bat" "%USERPROFILE%\AppData\Local\Temp\OnboardLogs"\RTDC4025\2017-02-07 &amp; aws s3 cp s3://rtdc.mdm.uploadarchive.raw/RTDC4025/ "%USERPROFILE%\AppData\Local\Temp\OnboardLogs"\RTDC4025\2017-02-08 --exclude "*" --recursive --include "*20170208*" &amp; "%USERPROFILE%\Documents\GitHub\mrs-test-scripts\Headless Mode &amp; Sideloading\WalkAndUnGZ.bat" "%USERPROFILE%\AppData\Local\Temp\OnboardLogs"\RTDC4025\2017-02-08</v>
      </c>
      <c r="S15" s="92" t="str">
        <f>VLOOKUP(C15,'Train Runs'!$A$13:$AE$9961,22,0)</f>
        <v>https://d0f6bd738d7f1b3e5a7ca70fe4ff75f0.us-east-1.aws.found.io/app/kibana#/discover/Steve-Slow-Train-Analysis-(2080s-and-2083s)?_g=(refreshInterval:(display:Off,pause:!f,section:0,value:0),time:(from:'2017-02-07T16:53:56-0700',mode:absolute,to:'2017-02-07T19:36:10-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4025%22')),sort:!(Time.ISO8601,asc))</v>
      </c>
      <c r="T15" s="94" t="str">
        <f>astrogrep_path&amp;" /spath="&amp;search_path&amp;" /stypes=""*"&amp;U15&amp;"*"&amp;TEXT(A15-utc_offset/24,"YYYYMMDD")&amp;LEFT(TEXT(A15-utc_offset/24,"HH"),1)&amp;"*"" /stext="" "&amp;TEXT(A15-utc_offset/24,"HH")&amp;search_regexp&amp;""" /e /r /s"</f>
        <v>"C:\Program Files (x86)\AstroGrep\AstroGrep.exe" /spath="%USERPROFILE%\AppData\Local\Temp\OnboardLogs" /stypes="*4025*201702080*" /stext=" 01:.+((SYSTEM_STATE.+slice.+state.+changed )|(ment ac)|(multiple cpu faults)|(system.+state.+changed )|(\[timeout)|(PRM\|1\|D)|(kpr)|(kdp)|(\|lc)|(penalty))" /e /r /s</v>
      </c>
      <c r="U15" s="9" t="str">
        <f>MID(B15,13,4)</f>
        <v>4025</v>
      </c>
      <c r="V15" s="32">
        <f>A15-utc_offset/24</f>
        <v>42774.052789351852</v>
      </c>
      <c r="W15" s="46" t="str">
        <f>IFERROR(IF(VALUE(LEFT(IF(LEN(C15)=6,"0"&amp;C15,C15),2))&lt;=2,"EC",IF(OR(VALUE(LEFT(IF(LEN(C15)=6,"0"&amp;C15,C15),2))=8,VALUE(LEFT(IF(LEN(C15)=6,"0"&amp;C15,C15),2))=18),"NW","Other")),"Other")</f>
        <v>EC</v>
      </c>
      <c r="X15" s="46" t="str">
        <f>IF(AND(E15="TRACK WARRANT AUTHORITY",G15&lt;10),"OMIT","KEEP")</f>
        <v>KEEP</v>
      </c>
      <c r="Y15" s="108" t="str">
        <f>"echo {""issue"":{""subject"":"""&amp;P15&amp;""",""project_id"":79,""tracker_id"":40,""status_id"":"&amp;redmine_status&amp;",""priority_id"":"&amp;redmine_priority&amp;",""assigned_to_id"":"&amp;redmine_assignee&amp;",""start_date"":"""&amp;TEXT(A15,"YYYY-mm-dd")&amp;""",""description"":"""&amp;Z15&amp;""",""custom_fields"":[{""id"":1,""name"":""Subdivision"",""value"":"""&amp;W15&amp;"""},{""id"":4,""name"":""Milepost"",""value"":"""&amp;K15/10000&amp;"""},{""id"":17,""name"":""Train ID"",""value"":"""&amp;C15&amp;"""},{""id"":16,""name"":""Locomotive ID"",""value"":"""&amp;U15&amp;"""},{""id"":130,""name"":""Impact"",""value"":"""&amp;AA15&amp;"""},{""id"":150,""name"":""Time of Event (Mountain Time)"",""value"":"""&amp;TEXT(A15,"hh:mm:ss")&amp;"""},{""id"":151,""name"":""Denver Issue ID"",""value"":"""&amp;"""},{""id"":178,""name"":""Operational Impact"",""value"":"""&amp;redmine_op_impact&amp;"""},{""id"":179,""name"":""Denver Segment Assigned"",""value"":"""&amp;AB15&amp;"""}]}}"&amp;" | curl -X POST -H ""Content-Type: application/json"" -H ""X-Redmine-API-Key: "&amp;redm_api_key&amp;""" "&amp;redm_url&amp;" --data @-"</f>
        <v>echo {"issue":{"subject":"Premature downgrade at EC0816RH 75-1T 1N - false occupancy 81-1T","project_id":79,"tracker_id":40,"status_id":1,"priority_id":2,"assigned_to_id":23,"start_date":"2017-02-07","description":"Just before 18:16:01, EC0816RH 75-1T 1N dropped from 270 to STOP &amp; PROCEED. Another instance of 81-1T false occupation?","custom_fields":[{"id":1,"name":"Subdivision","value":"EC"},{"id":4,"name":"Milepost","value":"8.1738"},{"id":17,"name":"Train ID","value":"215-07"},{"id":16,"name":"Locomotive ID","value":"4025"},{"id":130,"name":"Impact","value":"Enforcement"},{"id":150,"name":"Time of Event (Mountain Time)","value":"18:16:01"},{"id":151,"name":"Denver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5" s="48" t="str">
        <f>"Just before "&amp;TEXT(A15,"HH:MM:SS")&amp;", EC0816RH 75-1T 1N dropped from 270 to STOP &amp; PROCEED. Another instance of 81-1T false occupation?"</f>
        <v>Just before 18:16:01, EC0816RH 75-1T 1N dropped from 270 to STOP &amp; PROCEED. Another instance of 81-1T false occupation?</v>
      </c>
      <c r="AA15" s="48" t="s">
        <v>124</v>
      </c>
      <c r="AB15" s="48" t="s">
        <v>129</v>
      </c>
      <c r="AC15" s="127" t="str">
        <f>"grep -hSE -A400 ""Enforcement Action"" "&amp;search_path&amp;"\RTDC"&amp;U15&amp;"\*"&amp;U15&amp;"*"&amp;TEXT(A15-utc_offset/24,"YYYYMMDD")&amp;LEFT(TEXT(A15-utc_offset/24,"HH"),1)&amp;"* | grep -SE ""((Enforcement Ac)|(PRM))"" -"</f>
        <v>grep -hSE -A400 "Enforcement Action" "%USERPROFILE%\AppData\Local\Temp\OnboardLogs"\RTDC4025\*4025*201702080*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"&amp;TEXT(Variables!$A$2,"YYYY-MM-DD")&amp;"-SliceDisagreementCheck.txt"</f>
        <v>grep -hSE "Enforcement Action" "%USERPROFILE%\AppData\Local\Temp\OnboardLogs"\RTDC4025\*4025*201702080* &gt;&gt; 2017-02-07-SliceDisagreementCheck.txt</v>
      </c>
      <c r="AE15" s="161" t="str">
        <f>"start /low /b "&amp;dls3logs&amp;" --loco "&amp;U15&amp;" --day "&amp;TEXT(V15,"YYYY-MM-DD")</f>
        <v>start /low /b %USERPROFILE%\Documents\GitHub\eaglep3\Utilities\DownloadLogsFromS3.py --loco 4025 --day 2017-02-08</v>
      </c>
      <c r="AF15" s="1"/>
    </row>
    <row r="16" spans="1:32" x14ac:dyDescent="0.25">
      <c r="A16" s="32">
        <v>42773.638865740744</v>
      </c>
      <c r="B16" s="30" t="s">
        <v>477</v>
      </c>
      <c r="C16" s="30" t="s">
        <v>478</v>
      </c>
      <c r="D16" s="30" t="s">
        <v>49</v>
      </c>
      <c r="E16" s="30" t="s">
        <v>188</v>
      </c>
      <c r="F16" s="43">
        <v>0</v>
      </c>
      <c r="G16" s="43">
        <v>55</v>
      </c>
      <c r="H16" s="43">
        <v>203</v>
      </c>
      <c r="I16" s="43">
        <v>143</v>
      </c>
      <c r="J16" s="30" t="s">
        <v>189</v>
      </c>
      <c r="K16" s="43">
        <v>1</v>
      </c>
      <c r="L16" s="143" t="s">
        <v>51</v>
      </c>
      <c r="M16" s="144">
        <f>CONVERT((I16-K16)/10000,"mi","ft")*IF(L16="Increasing Mileposts (1)",-1,1)</f>
        <v>74.975999999999999</v>
      </c>
      <c r="N16" s="145" t="str">
        <f>VLOOKUP(C16,'Trips&amp;Operators'!$C$1:$G$99999,5,FALSE)</f>
        <v>BERLING GARY</v>
      </c>
      <c r="O16" s="157" t="s">
        <v>185</v>
      </c>
      <c r="P16" s="146"/>
      <c r="Q16" s="30"/>
      <c r="R16" s="89" t="str">
        <f>VLOOKUP(C16,'Train Runs'!$A$13:$AE$9961,31,0)</f>
        <v>aws s3 cp s3://rtdc.mdm.uploadarchive.raw/RTDC4001/ "%USERPROFILE%\AppData\Local\Temp\OnboardLogs"\RTDC4001\2017-02-07 --exclude "*" --recursive --include "*20170207*" &amp; "%USERPROFILE%\Documents\GitHub\mrs-test-scripts\Headless Mode &amp; Sideloading\WalkAndUnGZ.bat" "%USERPROFILE%\AppData\Local\Temp\OnboardLogs"\RTDC4001\2017-02-07 &amp; aws s3 cp s3://rtdc.mdm.uploadarchive.raw/RTDC4001/ "%USERPROFILE%\AppData\Local\Temp\OnboardLogs"\RTDC4001\2017-02-08 --exclude "*" --recursive --include "*20170208*" &amp; "%USERPROFILE%\Documents\GitHub\mrs-test-scripts\Headless Mode &amp; Sideloading\WalkAndUnGZ.bat" "%USERPROFILE%\AppData\Local\Temp\OnboardLogs"\RTDC4001\2017-02-08</v>
      </c>
      <c r="S16" s="92" t="str">
        <f>VLOOKUP(C16,'Train Runs'!$A$13:$AE$9961,22,0)</f>
        <v>https://d0f6bd738d7f1b3e5a7ca70fe4ff75f0.us-east-1.aws.found.io/app/kibana#/discover/Steve-Slow-Train-Analysis-(2080s-and-2083s)?_g=(refreshInterval:(display:Off,pause:!f,section:0,value:0),time:(from:'2017-02-07T13:31:55-0700',mode:absolute,to:'2017-02-07T16:19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4001%22')),sort:!(Time.ISO8601,asc))</v>
      </c>
      <c r="T16" s="94" t="str">
        <f>astrogrep_path&amp;" /spath="&amp;search_path&amp;" /stypes=""*"&amp;U16&amp;"*"&amp;TEXT(A16-utc_offset/24,"YYYYMMDD")&amp;LEFT(TEXT(A16-utc_offset/24,"HH"),1)&amp;"*"" /stext="" "&amp;TEXT(A16-utc_offset/24,"HH")&amp;search_regexp&amp;""" /e /r /s"</f>
        <v>"C:\Program Files (x86)\AstroGrep\AstroGrep.exe" /spath="%USERPROFILE%\AppData\Local\Temp\OnboardLogs" /stypes="*4001*201702072*" /stext=" 22:.+((SYSTEM_STATE.+slice.+state.+changed )|(ment ac)|(multiple cpu faults)|(system.+state.+changed )|(\[timeout)|(PRM\|1\|D)|(kpr)|(kdp)|(\|lc)|(penalty))" /e /r /s</v>
      </c>
      <c r="U16" s="9" t="str">
        <f>MID(B16,13,4)</f>
        <v>4001</v>
      </c>
      <c r="V16" s="32">
        <f>A16-utc_offset/24</f>
        <v>42773.930532407408</v>
      </c>
      <c r="W16" s="46" t="str">
        <f>IFERROR(IF(VALUE(LEFT(IF(LEN(C16)=6,"0"&amp;C16,C16),2))&lt;=2,"EC",IF(OR(VALUE(LEFT(IF(LEN(C16)=6,"0"&amp;C16,C16),2))=8,VALUE(LEFT(IF(LEN(C16)=6,"0"&amp;C16,C16),2))=18),"NW","Other")),"Other")</f>
        <v>EC</v>
      </c>
      <c r="X16" s="46" t="str">
        <f>IF(AND(E16="TRACK WARRANT AUTHORITY",G16&lt;10),"OMIT","KEEP")</f>
        <v>KEEP</v>
      </c>
      <c r="Y16" s="108" t="str">
        <f>"echo {""issue"":{""subject"":"""&amp;P16&amp;""",""project_id"":79,""tracker_id"":40,""status_id"":"&amp;redmine_status&amp;",""priority_id"":"&amp;redmine_priority&amp;",""assigned_to_id"":"&amp;redmine_assignee&amp;",""start_date"":"""&amp;TEXT(A16,"YYYY-mm-dd")&amp;""",""description"":"""&amp;Z16&amp;""",""custom_fields"":[{""id"":1,""name"":""Subdivision"",""value"":"""&amp;W16&amp;"""},{""id"":4,""name"":""Milepost"",""value"":"""&amp;K16/10000&amp;"""},{""id"":17,""name"":""Train ID"",""value"":"""&amp;C16&amp;"""},{""id"":16,""name"":""Locomotive ID"",""value"":"""&amp;U16&amp;"""},{""id"":130,""name"":""Impact"",""value"":"""&amp;AA16&amp;"""},{""id"":150,""name"":""Time of Event (Mountain Time)"",""value"":"""&amp;TEXT(A16,"hh:mm:ss")&amp;"""},{""id"":151,""name"":""Denver Issue ID"",""value"":"""&amp;"""},{""id"":178,""name"":""Operational Impact"",""value"":"""&amp;redmine_op_impact&amp;"""},{""id"":179,""name"":""Denver Segment Assigned"",""value"":"""&amp;AB16&amp;"""}]}}"&amp;"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{"issue":{"subject":"","project_id":79,"tracker_id":40,"status_id":1,"priority_id":2,"assigned_to_id":23,"start_date":"2017-02-07","description":"","custom_fields":[{"id":1,"name":"Subdivision","value":"EC"},{"id":4,"name":"Milepost","value":"0.0001"},{"id":17,"name":"Train ID","value":"182-07"},{"id":16,"name":"Locomotive ID","value":"4001"},{"id":130,"name":"Impact","value":""},{"id":150,"name":"Time of Event (Mountain Time)","value":"15:19:58"},{"id":151,"name":"Denver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48"/>
      <c r="AA16" s="48"/>
      <c r="AB16" s="48"/>
      <c r="AC16" s="127" t="str">
        <f>"grep -hSE -A400 ""Enforcement Action"" "&amp;search_path&amp;"\RTDC"&amp;U16&amp;"\*"&amp;U16&amp;"*"&amp;TEXT(A16-utc_offset/24,"YYYYMMDD")&amp;LEFT(TEXT(A16-utc_offset/24,"HH"),1)&amp;"* | grep -SE ""((Enforcement Ac)|(PRM))"" -"</f>
        <v>grep -hSE -A400 "Enforcement Action" "%USERPROFILE%\AppData\Local\Temp\OnboardLogs"\RTDC4001\*4001*201702072*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"&amp;TEXT(Variables!$A$2,"YYYY-MM-DD")&amp;"-SliceDisagreementCheck.txt"</f>
        <v>grep -hSE "Enforcement Action" "%USERPROFILE%\AppData\Local\Temp\OnboardLogs"\RTDC4001\*4001*201702072* &gt;&gt; 2017-02-07-SliceDisagreementCheck.txt</v>
      </c>
      <c r="AE16" s="161" t="str">
        <f>"start /low /b "&amp;dls3logs&amp;" --loco "&amp;U16&amp;" --day "&amp;TEXT(V16,"YYYY-MM-DD")</f>
        <v>start /low /b %USERPROFILE%\Documents\GitHub\eaglep3\Utilities\DownloadLogsFromS3.py --loco 4001 --day 2017-02-07</v>
      </c>
      <c r="AF16" s="1"/>
    </row>
    <row r="17" spans="1:32" x14ac:dyDescent="0.25">
      <c r="A17" s="32">
        <v>42773.77579861111</v>
      </c>
      <c r="B17" s="30" t="s">
        <v>195</v>
      </c>
      <c r="C17" s="30" t="s">
        <v>489</v>
      </c>
      <c r="D17" s="30" t="s">
        <v>49</v>
      </c>
      <c r="E17" s="30" t="s">
        <v>188</v>
      </c>
      <c r="F17" s="43">
        <v>0</v>
      </c>
      <c r="G17" s="43">
        <v>70</v>
      </c>
      <c r="H17" s="43">
        <v>243</v>
      </c>
      <c r="I17" s="43">
        <v>191</v>
      </c>
      <c r="J17" s="30" t="s">
        <v>189</v>
      </c>
      <c r="K17" s="43">
        <v>1</v>
      </c>
      <c r="L17" s="143" t="s">
        <v>51</v>
      </c>
      <c r="M17" s="144">
        <f>CONVERT((I17-K17)/10000,"mi","ft")*IF(L17="Increasing Mileposts (1)",-1,1)</f>
        <v>100.32</v>
      </c>
      <c r="N17" s="145" t="str">
        <f>VLOOKUP(C17,'Trips&amp;Operators'!$C$1:$G$99999,5,FALSE)</f>
        <v>CLARK KATHLEEN</v>
      </c>
      <c r="O17" s="157" t="s">
        <v>220</v>
      </c>
      <c r="P17" s="146" t="s">
        <v>463</v>
      </c>
      <c r="Q17" s="30"/>
      <c r="R17" s="89" t="str">
        <f>VLOOKUP(C17,'Train Runs'!$A$13:$AE$9961,31,0)</f>
        <v>aws s3 cp s3://rtdc.mdm.uploadarchive.raw/RTDC4012/ "%USERPROFILE%\AppData\Local\Temp\OnboardLogs"\RTDC4012\2017-02-07 --exclude "*" --recursive --include "*20170207*" &amp; "%USERPROFILE%\Documents\GitHub\mrs-test-scripts\Headless Mode &amp; Sideloading\WalkAndUnGZ.bat" "%USERPROFILE%\AppData\Local\Temp\OnboardLogs"\RTDC4012\2017-02-07 &amp; aws s3 cp s3://rtdc.mdm.uploadarchive.raw/RTDC4012/ "%USERPROFILE%\AppData\Local\Temp\OnboardLogs"\RTDC4012\2017-02-08 --exclude "*" --recursive --include "*20170208*" &amp; "%USERPROFILE%\Documents\GitHub\mrs-test-scripts\Headless Mode &amp; Sideloading\WalkAndUnGZ.bat" "%USERPROFILE%\AppData\Local\Temp\OnboardLogs"\RTDC4012\2017-02-08</v>
      </c>
      <c r="S17" s="92" t="str">
        <f>VLOOKUP(C17,'Train Runs'!$A$13:$AE$9961,22,0)</f>
        <v>https://d0f6bd738d7f1b3e5a7ca70fe4ff75f0.us-east-1.aws.found.io/app/kibana#/discover/Steve-Slow-Train-Analysis-(2080s-and-2083s)?_g=(refreshInterval:(display:Off,pause:!f,section:0,value:0),time:(from:'2017-02-07T16:47:39-0700',mode:absolute,to:'2017-02-07T19:37:09-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4012%22')),sort:!(Time.ISO8601,asc))</v>
      </c>
      <c r="T17" s="94" t="str">
        <f>astrogrep_path&amp;" /spath="&amp;search_path&amp;" /stypes=""*"&amp;U17&amp;"*"&amp;TEXT(A17-utc_offset/24,"YYYYMMDD")&amp;LEFT(TEXT(A17-utc_offset/24,"HH"),1)&amp;"*"" /stext="" "&amp;TEXT(A17-utc_offset/24,"HH")&amp;search_regexp&amp;""" /e /r /s"</f>
        <v>"C:\Program Files (x86)\AstroGrep\AstroGrep.exe" /spath="%USERPROFILE%\AppData\Local\Temp\OnboardLogs" /stypes="*4012*201702080*" /stext=" 01:.+((SYSTEM_STATE.+slice.+state.+changed )|(ment ac)|(multiple cpu faults)|(system.+state.+changed )|(\[timeout)|(PRM\|1\|D)|(kpr)|(kdp)|(\|lc)|(penalty))" /e /r /s</v>
      </c>
      <c r="U17" s="9" t="str">
        <f>MID(B17,13,4)</f>
        <v>4012</v>
      </c>
      <c r="V17" s="32">
        <f>A17-utc_offset/24</f>
        <v>42774.067465277774</v>
      </c>
      <c r="W17" s="46" t="str">
        <f>IFERROR(IF(VALUE(LEFT(IF(LEN(C17)=6,"0"&amp;C17,C17),2))&lt;=2,"EC",IF(OR(VALUE(LEFT(IF(LEN(C17)=6,"0"&amp;C17,C17),2))=8,VALUE(LEFT(IF(LEN(C17)=6,"0"&amp;C17,C17),2))=18),"NW","Other")),"Other")</f>
        <v>EC</v>
      </c>
      <c r="X17" s="46" t="str">
        <f>IF(AND(E17="TRACK WARRANT AUTHORITY",G17&lt;10),"OMIT","KEEP")</f>
        <v>KEEP</v>
      </c>
      <c r="Y17" s="108" t="str">
        <f>"echo {""issue"":{""subject"":"""&amp;P17&amp;""",""project_id"":79,""tracker_id"":40,""status_id"":"&amp;redmine_status&amp;",""priority_id"":"&amp;redmine_priority&amp;",""assigned_to_id"":"&amp;redmine_assignee&amp;",""start_date"":"""&amp;TEXT(A17,"YYYY-mm-dd")&amp;""",""description"":"""&amp;Z17&amp;""",""custom_fields"":[{""id"":1,""name"":""Subdivision"",""value"":"""&amp;W17&amp;"""},{""id"":4,""name"":""Milepost"",""value"":"""&amp;K17/10000&amp;"""},{""id"":17,""name"":""Train ID"",""value"":"""&amp;C17&amp;"""},{""id"":16,""name"":""Locomotive ID"",""value"":"""&amp;U17&amp;"""},{""id"":130,""name"":""Impact"",""value"":"""&amp;AA17&amp;"""},{""id"":150,""name"":""Time of Event (Mountain Time)"",""value"":"""&amp;TEXT(A17,"hh:mm:ss")&amp;"""},{""id"":151,""name"":""Denver Issue ID"",""value"":"""&amp;"""},{""id"":178,""name"":""Operational Impact"",""value"":"""&amp;redmine_op_impact&amp;"""},{""id"":179,""name"":""Denver Segment Assigned"",""value"":"""&amp;AB17&amp;"""}]}}"&amp;" | curl -X POST -H ""Content-Type: application/json"" -H ""X-Redmine-API-Key: "&amp;redm_api_key&amp;""" "&amp;redm_url&amp;" --data @-"</f>
        <v>echo {"issue":{"subject":"Banner w/o braking","project_id":79,"tracker_id":40,"status_id":1,"priority_id":2,"assigned_to_id":23,"start_date":"2017-02-07","description":"","custom_fields":[{"id":1,"name":"Subdivision","value":"EC"},{"id":4,"name":"Milepost","value":"0.0001"},{"id":17,"name":"Train ID","value":"208-07"},{"id":16,"name":"Locomotive ID","value":"4012"},{"id":130,"name":"Impact","value":""},{"id":150,"name":"Time of Event (Mountain Time)","value":"18:37:09"},{"id":151,"name":"Denver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48"/>
      <c r="AA17" s="48"/>
      <c r="AB17" s="48"/>
      <c r="AC17" s="127" t="str">
        <f>"grep -hSE -A400 ""Enforcement Action"" "&amp;search_path&amp;"\RTDC"&amp;U17&amp;"\*"&amp;U17&amp;"*"&amp;TEXT(A17-utc_offset/24,"YYYYMMDD")&amp;LEFT(TEXT(A17-utc_offset/24,"HH"),1)&amp;"* | grep -SE ""((Enforcement Ac)|(PRM))"" -"</f>
        <v>grep -hSE -A400 "Enforcement Action" "%USERPROFILE%\AppData\Local\Temp\OnboardLogs"\RTDC4012\*4012*201702080*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"&amp;TEXT(Variables!$A$2,"YYYY-MM-DD")&amp;"-SliceDisagreementCheck.txt"</f>
        <v>grep -hSE "Enforcement Action" "%USERPROFILE%\AppData\Local\Temp\OnboardLogs"\RTDC4012\*4012*201702080* &gt;&gt; 2017-02-07-SliceDisagreementCheck.txt</v>
      </c>
      <c r="AE17" s="161" t="str">
        <f>"start /low /b "&amp;dls3logs&amp;" --loco "&amp;U17&amp;" --day "&amp;TEXT(V17,"YYYY-MM-DD")</f>
        <v>start /low /b %USERPROFILE%\Documents\GitHub\eaglep3\Utilities\DownloadLogsFromS3.py --loco 4012 --day 2017-02-08</v>
      </c>
      <c r="AF17" s="1"/>
    </row>
    <row r="18" spans="1:32" x14ac:dyDescent="0.25">
      <c r="A18" s="32">
        <v>42773.795925925922</v>
      </c>
      <c r="B18" s="30" t="s">
        <v>363</v>
      </c>
      <c r="C18" s="30" t="s">
        <v>490</v>
      </c>
      <c r="D18" s="30" t="s">
        <v>49</v>
      </c>
      <c r="E18" s="30" t="s">
        <v>188</v>
      </c>
      <c r="F18" s="43">
        <v>0</v>
      </c>
      <c r="G18" s="43">
        <v>31</v>
      </c>
      <c r="H18" s="43">
        <v>72</v>
      </c>
      <c r="I18" s="43">
        <v>48</v>
      </c>
      <c r="J18" s="30" t="s">
        <v>189</v>
      </c>
      <c r="K18" s="43">
        <v>1</v>
      </c>
      <c r="L18" s="143" t="s">
        <v>51</v>
      </c>
      <c r="M18" s="144">
        <f>CONVERT((I18-K18)/10000,"mi","ft")*IF(L18="Increasing Mileposts (1)",-1,1)</f>
        <v>24.815999999999999</v>
      </c>
      <c r="N18" s="145" t="str">
        <f>VLOOKUP(C18,'Trips&amp;Operators'!$C$1:$G$99999,5,FALSE)</f>
        <v>BERLING GARY</v>
      </c>
      <c r="O18" s="157" t="s">
        <v>185</v>
      </c>
      <c r="P18" s="146"/>
      <c r="Q18" s="30"/>
      <c r="R18" s="89" t="str">
        <f>VLOOKUP(C18,'Train Runs'!$A$13:$AE$9961,31,0)</f>
        <v>aws s3 cp s3://rtdc.mdm.uploadarchive.raw/RTDC4037/ "%USERPROFILE%\AppData\Local\Temp\OnboardLogs"\RTDC4037\2017-02-07 --exclude "*" --recursive --include "*20170207*" &amp; "%USERPROFILE%\Documents\GitHub\mrs-test-scripts\Headless Mode &amp; Sideloading\WalkAndUnGZ.bat" "%USERPROFILE%\AppData\Local\Temp\OnboardLogs"\RTDC4037\2017-02-07 &amp; aws s3 cp s3://rtdc.mdm.uploadarchive.raw/RTDC4037/ "%USERPROFILE%\AppData\Local\Temp\OnboardLogs"\RTDC4037\2017-02-08 --exclude "*" --recursive --include "*20170208*" &amp; "%USERPROFILE%\Documents\GitHub\mrs-test-scripts\Headless Mode &amp; Sideloading\WalkAndUnGZ.bat" "%USERPROFILE%\AppData\Local\Temp\OnboardLogs"\RTDC4037\2017-02-08</v>
      </c>
      <c r="S18" s="92" t="str">
        <f>VLOOKUP(C18,'Train Runs'!$A$13:$AE$9961,22,0)</f>
        <v>https://d0f6bd738d7f1b3e5a7ca70fe4ff75f0.us-east-1.aws.found.io/app/kibana#/discover/Steve-Slow-Train-Analysis-(2080s-and-2083s)?_g=(refreshInterval:(display:Off,pause:!f,section:0,value:0),time:(from:'2017-02-07T17:24:41-0700',mode:absolute,to:'2017-02-07T20:06:07-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4037%22')),sort:!(Time.ISO8601,asc))</v>
      </c>
      <c r="T18" s="94" t="str">
        <f>astrogrep_path&amp;" /spath="&amp;search_path&amp;" /stypes=""*"&amp;U18&amp;"*"&amp;TEXT(A18-utc_offset/24,"YYYYMMDD")&amp;LEFT(TEXT(A18-utc_offset/24,"HH"),1)&amp;"*"" /stext="" "&amp;TEXT(A18-utc_offset/24,"HH")&amp;search_regexp&amp;""" /e /r /s"</f>
        <v>"C:\Program Files (x86)\AstroGrep\AstroGrep.exe" /spath="%USERPROFILE%\AppData\Local\Temp\OnboardLogs" /stypes="*4037*201702080*" /stext=" 02:.+((SYSTEM_STATE.+slice.+state.+changed )|(ment ac)|(multiple cpu faults)|(system.+state.+changed )|(\[timeout)|(PRM\|1\|D)|(kpr)|(kdp)|(\|lc)|(penalty))" /e /r /s</v>
      </c>
      <c r="U18" s="9" t="str">
        <f>MID(B18,13,4)</f>
        <v>4037</v>
      </c>
      <c r="V18" s="32">
        <f>A18-utc_offset/24</f>
        <v>42774.087592592587</v>
      </c>
      <c r="W18" s="46" t="str">
        <f>IFERROR(IF(VALUE(LEFT(IF(LEN(C18)=6,"0"&amp;C18,C18),2))&lt;=2,"EC",IF(OR(VALUE(LEFT(IF(LEN(C18)=6,"0"&amp;C18,C18),2))=8,VALUE(LEFT(IF(LEN(C18)=6,"0"&amp;C18,C18),2))=18),"NW","Other")),"Other")</f>
        <v>EC</v>
      </c>
      <c r="X18" s="46" t="str">
        <f>IF(AND(E18="TRACK WARRANT AUTHORITY",G18&lt;10),"OMIT","KEEP")</f>
        <v>KEEP</v>
      </c>
      <c r="Y18" s="108" t="str">
        <f>"echo {""issue"":{""subject"":"""&amp;P18&amp;""",""project_id"":79,""tracker_id"":40,""status_id"":"&amp;redmine_status&amp;",""priority_id"":"&amp;redmine_priority&amp;",""assigned_to_id"":"&amp;redmine_assignee&amp;",""start_date"":"""&amp;TEXT(A18,"YYYY-mm-dd")&amp;""",""description"":"""&amp;Z18&amp;""",""custom_fields"":[{""id"":1,""name"":""Subdivision"",""value"":"""&amp;W18&amp;"""},{""id"":4,""name"":""Milepost"",""value"":"""&amp;K18/10000&amp;"""},{""id"":17,""name"":""Train ID"",""value"":"""&amp;C18&amp;"""},{""id"":16,""name"":""Locomotive ID"",""value"":"""&amp;U18&amp;"""},{""id"":130,""name"":""Impact"",""value"":"""&amp;AA18&amp;"""},{""id"":150,""name"":""Time of Event (Mountain Time)"",""value"":"""&amp;TEXT(A18,"hh:mm:ss")&amp;"""},{""id"":151,""name"":""Denver Issue ID"",""value"":"""&amp;"""},{""id"":178,""name"":""Operational Impact"",""value"":"""&amp;redmine_op_impact&amp;"""},{""id"":179,""name"":""Denver Segment Assigned"",""value"":"""&amp;AB18&amp;"""}]}}"&amp;"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{"issue":{"subject":"","project_id":79,"tracker_id":40,"status_id":1,"priority_id":2,"assigned_to_id":23,"start_date":"2017-02-07","description":"","custom_fields":[{"id":1,"name":"Subdivision","value":"EC"},{"id":4,"name":"Milepost","value":"0.0001"},{"id":17,"name":"Train ID","value":"212-07"},{"id":16,"name":"Locomotive ID","value":"4037"},{"id":130,"name":"Impact","value":""},{"id":150,"name":"Time of Event (Mountain Time)","value":"19:06:08"},{"id":151,"name":"Denver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8" s="48"/>
      <c r="AA18" s="48"/>
      <c r="AB18" s="48"/>
      <c r="AC18" s="127" t="str">
        <f>"grep -hSE -A400 ""Enforcement Action"" "&amp;search_path&amp;"\RTDC"&amp;U18&amp;"\*"&amp;U18&amp;"*"&amp;TEXT(A18-utc_offset/24,"YYYYMMDD")&amp;LEFT(TEXT(A18-utc_offset/24,"HH"),1)&amp;"* | grep -SE ""((Enforcement Ac)|(PRM))"" -"</f>
        <v>grep -hSE -A400 "Enforcement Action" "%USERPROFILE%\AppData\Local\Temp\OnboardLogs"\RTDC4037\*4037*201702080*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"&amp;TEXT(Variables!$A$2,"YYYY-MM-DD")&amp;"-SliceDisagreementCheck.txt"</f>
        <v>grep -hSE "Enforcement Action" "%USERPROFILE%\AppData\Local\Temp\OnboardLogs"\RTDC4037\*4037*201702080* &gt;&gt; 2017-02-07-SliceDisagreementCheck.txt</v>
      </c>
      <c r="AE18" s="161" t="str">
        <f>"start /low /b "&amp;dls3logs&amp;" --loco "&amp;U18&amp;" --day "&amp;TEXT(V18,"YYYY-MM-DD")</f>
        <v>start /low /b %USERPROFILE%\Documents\GitHub\eaglep3\Utilities\DownloadLogsFromS3.py --loco 4037 --day 2017-02-08</v>
      </c>
      <c r="AF18" s="1"/>
    </row>
    <row r="19" spans="1:32" ht="15" customHeight="1" x14ac:dyDescent="0.25">
      <c r="A19" s="32">
        <v>42773.358935185184</v>
      </c>
      <c r="B19" s="30" t="s">
        <v>362</v>
      </c>
      <c r="C19" s="30" t="s">
        <v>468</v>
      </c>
      <c r="D19" s="30" t="s">
        <v>49</v>
      </c>
      <c r="E19" s="30" t="s">
        <v>188</v>
      </c>
      <c r="F19" s="43">
        <v>0</v>
      </c>
      <c r="G19" s="43">
        <v>46</v>
      </c>
      <c r="H19" s="43">
        <v>233312</v>
      </c>
      <c r="I19" s="43">
        <v>233347</v>
      </c>
      <c r="J19" s="30" t="s">
        <v>189</v>
      </c>
      <c r="K19" s="43">
        <v>233491</v>
      </c>
      <c r="L19" s="143" t="s">
        <v>50</v>
      </c>
      <c r="M19" s="144">
        <f>CONVERT((I19-K19)/10000,"mi","ft")*IF(L19="Increasing Mileposts (1)",-1,1)</f>
        <v>76.031999999999996</v>
      </c>
      <c r="N19" s="145" t="str">
        <f>VLOOKUP(C19,'Trips&amp;Operators'!$C$1:$G$99999,5,FALSE)</f>
        <v>BONDS REYNALDO</v>
      </c>
      <c r="O19" s="157" t="s">
        <v>185</v>
      </c>
      <c r="P19" s="146"/>
      <c r="Q19" s="30"/>
      <c r="R19" s="89" t="str">
        <f>VLOOKUP(C19,'Train Runs'!$A$13:$AE$9961,31,0)</f>
        <v>aws s3 cp s3://rtdc.mdm.uploadarchive.raw/RTDC4040/ "%USERPROFILE%\AppData\Local\Temp\OnboardLogs"\RTDC4040\2017-02-07 --exclude "*" --recursive --include "*20170207*" &amp; "%USERPROFILE%\Documents\GitHub\mrs-test-scripts\Headless Mode &amp; Sideloading\WalkAndUnGZ.bat" "%USERPROFILE%\AppData\Local\Temp\OnboardLogs"\RTDC4040\2017-02-07 &amp; aws s3 cp s3://rtdc.mdm.uploadarchive.raw/RTDC4040/ "%USERPROFILE%\AppData\Local\Temp\OnboardLogs"\RTDC4040\2017-02-08 --exclude "*" --recursive --include "*20170208*" &amp; "%USERPROFILE%\Documents\GitHub\mrs-test-scripts\Headless Mode &amp; Sideloading\WalkAndUnGZ.bat" "%USERPROFILE%\AppData\Local\Temp\OnboardLogs"\RTDC4040\2017-02-08</v>
      </c>
      <c r="S19" s="92" t="str">
        <f>VLOOKUP(C19,'Train Runs'!$A$13:$AE$9961,22,0)</f>
        <v>https://d0f6bd738d7f1b3e5a7ca70fe4ff75f0.us-east-1.aws.found.io/app/kibana#/discover/Steve-Slow-Train-Analysis-(2080s-and-2083s)?_g=(refreshInterval:(display:Off,pause:!f,section:0,value:0),time:(from:'2017-02-07T06:56:12-0700',mode:absolute,to:'2017-02-07T09:36:52-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4040%22')),sort:!(Time.ISO8601,asc))</v>
      </c>
      <c r="T19" s="94" t="str">
        <f>astrogrep_path&amp;" /spath="&amp;search_path&amp;" /stypes=""*"&amp;U19&amp;"*"&amp;TEXT(A19-utc_offset/24,"YYYYMMDD")&amp;LEFT(TEXT(A19-utc_offset/24,"HH"),1)&amp;"*"" /stext="" "&amp;TEXT(A19-utc_offset/24,"HH")&amp;search_regexp&amp;""" /e /r /s"</f>
        <v>"C:\Program Files (x86)\AstroGrep\AstroGrep.exe" /spath="%USERPROFILE%\AppData\Local\Temp\OnboardLogs" /stypes="*4040*201702071*" /stext=" 15:.+((SYSTEM_STATE.+slice.+state.+changed )|(ment ac)|(multiple cpu faults)|(system.+state.+changed )|(\[timeout)|(PRM\|1\|D)|(kpr)|(kdp)|(\|lc)|(penalty))" /e /r /s</v>
      </c>
      <c r="U19" s="9" t="str">
        <f>MID(B19,13,4)</f>
        <v>4040</v>
      </c>
      <c r="V19" s="32">
        <f>A19-utc_offset/24</f>
        <v>42773.650601851848</v>
      </c>
      <c r="W19" s="46" t="str">
        <f>IFERROR(IF(VALUE(LEFT(IF(LEN(C19)=6,"0"&amp;C19,C19),2))&lt;=2,"EC",IF(OR(VALUE(LEFT(IF(LEN(C19)=6,"0"&amp;C19,C19),2))=8,VALUE(LEFT(IF(LEN(C19)=6,"0"&amp;C19,C19),2))=18),"NW","Other")),"Other")</f>
        <v>EC</v>
      </c>
      <c r="X19" s="46" t="str">
        <f>IF(AND(E19="TRACK WARRANT AUTHORITY",G19&lt;10),"OMIT","KEEP")</f>
        <v>KEEP</v>
      </c>
      <c r="Y19" s="108" t="str">
        <f>"echo {""issue"":{""subject"":"""&amp;P19&amp;""",""project_id"":79,""tracker_id"":40,""status_id"":"&amp;redmine_status&amp;",""priority_id"":"&amp;redmine_priority&amp;",""assigned_to_id"":"&amp;redmine_assignee&amp;",""start_date"":"""&amp;TEXT(A19,"YYYY-mm-dd")&amp;""",""description"":"""&amp;Z19&amp;""",""custom_fields"":[{""id"":1,""name"":""Subdivision"",""value"":"""&amp;W19&amp;"""},{""id"":4,""name"":""Milepost"",""value"":"""&amp;K19/10000&amp;"""},{""id"":17,""name"":""Train ID"",""value"":"""&amp;C19&amp;"""},{""id"":16,""name"":""Locomotive ID"",""value"":"""&amp;U19&amp;"""},{""id"":130,""name"":""Impact"",""value"":"""&amp;AA19&amp;"""},{""id"":150,""name"":""Time of Event (Mountain Time)"",""value"":"""&amp;TEXT(A19,"hh:mm:ss")&amp;"""},{""id"":151,""name"":""Denver Issue ID"",""value"":"""&amp;"""},{""id"":178,""name"":""Operational Impact"",""value"":"""&amp;redmine_op_impact&amp;"""},{""id"":179,""name"":""Denver Segment Assigned"",""value"":"""&amp;AB19&amp;"""}]}}"&amp;"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{"issue":{"subject":"","project_id":79,"tracker_id":40,"status_id":1,"priority_id":2,"assigned_to_id":23,"start_date":"2017-02-07","description":"","custom_fields":[{"id":1,"name":"Subdivision","value":"EC"},{"id":4,"name":"Milepost","value":"23.3491"},{"id":17,"name":"Train ID","value":"135-07"},{"id":16,"name":"Locomotive ID","value":"4040"},{"id":130,"name":"Impact","value":""},{"id":150,"name":"Time of Event (Mountain Time)","value":"08:36:52"},{"id":151,"name":"Denver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48"/>
      <c r="AA19" s="48"/>
      <c r="AB19" s="48"/>
      <c r="AC19" s="127" t="str">
        <f>"grep -hSE -A400 ""Enforcement Action"" "&amp;search_path&amp;"\RTDC"&amp;U19&amp;"\*"&amp;U19&amp;"*"&amp;TEXT(A19-utc_offset/24,"YYYYMMDD")&amp;LEFT(TEXT(A19-utc_offset/24,"HH"),1)&amp;"* | grep -SE ""((Enforcement Ac)|(PRM))"" -"</f>
        <v>grep -hSE -A400 "Enforcement Action" "%USERPROFILE%\AppData\Local\Temp\OnboardLogs"\RTDC4040\*4040*201702071*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"&amp;TEXT(Variables!$A$2,"YYYY-MM-DD")&amp;"-SliceDisagreementCheck.txt"</f>
        <v>grep -hSE "Enforcement Action" "%USERPROFILE%\AppData\Local\Temp\OnboardLogs"\RTDC4040\*4040*201702071* &gt;&gt; 2017-02-07-SliceDisagreementCheck.txt</v>
      </c>
      <c r="AE19" s="161" t="str">
        <f>"start /low /b "&amp;dls3logs&amp;" --loco "&amp;U19&amp;" --day "&amp;TEXT(V19,"YYYY-MM-DD")</f>
        <v>start /low /b %USERPROFILE%\Documents\GitHub\eaglep3\Utilities\DownloadLogsFromS3.py --loco 4040 --day 2017-02-07</v>
      </c>
      <c r="AF19" s="1"/>
    </row>
    <row r="20" spans="1:32" x14ac:dyDescent="0.25">
      <c r="A20" s="32">
        <v>42773.545775462961</v>
      </c>
      <c r="B20" s="30" t="s">
        <v>359</v>
      </c>
      <c r="C20" s="30" t="s">
        <v>474</v>
      </c>
      <c r="D20" s="30" t="s">
        <v>49</v>
      </c>
      <c r="E20" s="30" t="s">
        <v>188</v>
      </c>
      <c r="F20" s="43">
        <v>0</v>
      </c>
      <c r="G20" s="43">
        <v>56</v>
      </c>
      <c r="H20" s="43">
        <v>233346</v>
      </c>
      <c r="I20" s="43">
        <v>233406</v>
      </c>
      <c r="J20" s="30" t="s">
        <v>189</v>
      </c>
      <c r="K20" s="43">
        <v>233491</v>
      </c>
      <c r="L20" s="143" t="s">
        <v>50</v>
      </c>
      <c r="M20" s="144">
        <f>CONVERT((I20-K20)/10000,"mi","ft")*IF(L20="Increasing Mileposts (1)",-1,1)</f>
        <v>44.88</v>
      </c>
      <c r="N20" s="145" t="str">
        <f>VLOOKUP(C20,'Trips&amp;Operators'!$C$1:$G$99999,5,FALSE)</f>
        <v>HOLCOMB KAMDEN</v>
      </c>
      <c r="O20" s="157" t="s">
        <v>185</v>
      </c>
      <c r="P20" s="146"/>
      <c r="Q20" s="30"/>
      <c r="R20" s="89" t="str">
        <f>VLOOKUP(C20,'Train Runs'!$A$13:$AE$9961,31,0)</f>
        <v>aws s3 cp s3://rtdc.mdm.uploadarchive.raw/RTDC4031/ "%USERPROFILE%\AppData\Local\Temp\OnboardLogs"\RTDC4031\2017-02-07 --exclude "*" --recursive --include "*20170207*" &amp; "%USERPROFILE%\Documents\GitHub\mrs-test-scripts\Headless Mode &amp; Sideloading\WalkAndUnGZ.bat" "%USERPROFILE%\AppData\Local\Temp\OnboardLogs"\RTDC4031\2017-02-07 &amp; aws s3 cp s3://rtdc.mdm.uploadarchive.raw/RTDC4031/ "%USERPROFILE%\AppData\Local\Temp\OnboardLogs"\RTDC4031\2017-02-08 --exclude "*" --recursive --include "*20170208*" &amp; "%USERPROFILE%\Documents\GitHub\mrs-test-scripts\Headless Mode &amp; Sideloading\WalkAndUnGZ.bat" "%USERPROFILE%\AppData\Local\Temp\OnboardLogs"\RTDC4031\2017-02-08</v>
      </c>
      <c r="S20" s="92" t="str">
        <f>VLOOKUP(C20,'Train Runs'!$A$13:$AE$9961,22,0)</f>
        <v>https://d0f6bd738d7f1b3e5a7ca70fe4ff75f0.us-east-1.aws.found.io/app/kibana#/discover/Steve-Slow-Train-Analysis-(2080s-and-2083s)?_g=(refreshInterval:(display:Off,pause:!f,section:0,value:0),time:(from:'2017-02-07T11:23:58-0700',mode:absolute,to:'2017-02-07T14:05:55-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4031%22')),sort:!(Time.ISO8601,asc))</v>
      </c>
      <c r="T20" s="94" t="str">
        <f>astrogrep_path&amp;" /spath="&amp;search_path&amp;" /stypes=""*"&amp;U20&amp;"*"&amp;TEXT(A20-utc_offset/24,"YYYYMMDD")&amp;LEFT(TEXT(A20-utc_offset/24,"HH"),1)&amp;"*"" /stext="" "&amp;TEXT(A20-utc_offset/24,"HH")&amp;search_regexp&amp;""" /e /r /s"</f>
        <v>"C:\Program Files (x86)\AstroGrep\AstroGrep.exe" /spath="%USERPROFILE%\AppData\Local\Temp\OnboardLogs" /stypes="*4031*201702072*" /stext=" 20:.+((SYSTEM_STATE.+slice.+state.+changed )|(ment ac)|(multiple cpu faults)|(system.+state.+changed )|(\[timeout)|(PRM\|1\|D)|(kpr)|(kdp)|(\|lc)|(penalty))" /e /r /s</v>
      </c>
      <c r="U20" s="9" t="str">
        <f>MID(B20,13,4)</f>
        <v>4031</v>
      </c>
      <c r="V20" s="32">
        <f>A20-utc_offset/24</f>
        <v>42773.837442129625</v>
      </c>
      <c r="W20" s="46" t="str">
        <f>IFERROR(IF(VALUE(LEFT(IF(LEN(C20)=6,"0"&amp;C20,C20),2))&lt;=2,"EC",IF(OR(VALUE(LEFT(IF(LEN(C20)=6,"0"&amp;C20,C20),2))=8,VALUE(LEFT(IF(LEN(C20)=6,"0"&amp;C20,C20),2))=18),"NW","Other")),"Other")</f>
        <v>EC</v>
      </c>
      <c r="X20" s="46" t="str">
        <f>IF(AND(E20="TRACK WARRANT AUTHORITY",G20&lt;10),"OMIT","KEEP")</f>
        <v>KEEP</v>
      </c>
      <c r="Y20" s="108" t="str">
        <f>"echo {""issue"":{""subject"":"""&amp;P20&amp;""",""project_id"":79,""tracker_id"":40,""status_id"":"&amp;redmine_status&amp;",""priority_id"":"&amp;redmine_priority&amp;",""assigned_to_id"":"&amp;redmine_assignee&amp;",""start_date"":"""&amp;TEXT(A20,"YYYY-mm-dd")&amp;""",""description"":"""&amp;Z20&amp;""",""custom_fields"":[{""id"":1,""name"":""Subdivision"",""value"":"""&amp;W20&amp;"""},{""id"":4,""name"":""Milepost"",""value"":"""&amp;K20/10000&amp;"""},{""id"":17,""name"":""Train ID"",""value"":"""&amp;C20&amp;"""},{""id"":16,""name"":""Locomotive ID"",""value"":"""&amp;U20&amp;"""},{""id"":130,""name"":""Impact"",""value"":"""&amp;AA20&amp;"""},{""id"":150,""name"":""Time of Event (Mountain Time)"",""value"":"""&amp;TEXT(A20,"hh:mm:ss")&amp;"""},{""id"":151,""name"":""Denver Issue ID"",""value"":"""&amp;"""},{""id"":178,""name"":""Operational Impact"",""value"":"""&amp;redmine_op_impact&amp;"""},{""id"":179,""name"":""Denver Segment Assigned"",""value"":"""&amp;AB20&amp;"""}]}}"&amp;"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{"issue":{"subject":"","project_id":79,"tracker_id":40,"status_id":1,"priority_id":2,"assigned_to_id":23,"start_date":"2017-02-07","description":"","custom_fields":[{"id":1,"name":"Subdivision","value":"EC"},{"id":4,"name":"Milepost","value":"23.3491"},{"id":17,"name":"Train ID","value":"171-07"},{"id":16,"name":"Locomotive ID","value":"4031"},{"id":130,"name":"Impact","value":""},{"id":150,"name":"Time of Event (Mountain Time)","value":"13:05:55"},{"id":151,"name":"Denver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48"/>
      <c r="AA20" s="48"/>
      <c r="AB20" s="48"/>
      <c r="AC20" s="127" t="str">
        <f>"grep -hSE -A400 ""Enforcement Action"" "&amp;search_path&amp;"\RTDC"&amp;U20&amp;"\*"&amp;U20&amp;"*"&amp;TEXT(A20-utc_offset/24,"YYYYMMDD")&amp;LEFT(TEXT(A20-utc_offset/24,"HH"),1)&amp;"* | grep -SE ""((Enforcement Ac)|(PRM))"" -"</f>
        <v>grep -hSE -A400 "Enforcement Action" "%USERPROFILE%\AppData\Local\Temp\OnboardLogs"\RTDC4031\*4031*201702072*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"&amp;TEXT(Variables!$A$2,"YYYY-MM-DD")&amp;"-SliceDisagreementCheck.txt"</f>
        <v>grep -hSE "Enforcement Action" "%USERPROFILE%\AppData\Local\Temp\OnboardLogs"\RTDC4031\*4031*201702072* &gt;&gt; 2017-02-07-SliceDisagreementCheck.txt</v>
      </c>
      <c r="AE20" s="161" t="str">
        <f>"start /low /b "&amp;dls3logs&amp;" --loco "&amp;U20&amp;" --day "&amp;TEXT(V20,"YYYY-MM-DD")</f>
        <v>start /low /b %USERPROFILE%\Documents\GitHub\eaglep3\Utilities\DownloadLogsFromS3.py --loco 4031 --day 2017-02-07</v>
      </c>
      <c r="AF20" s="1"/>
    </row>
    <row r="21" spans="1:32" x14ac:dyDescent="0.25">
      <c r="A21" s="32">
        <v>42773.567013888889</v>
      </c>
      <c r="B21" s="30" t="s">
        <v>228</v>
      </c>
      <c r="C21" s="30" t="s">
        <v>476</v>
      </c>
      <c r="D21" s="30" t="s">
        <v>49</v>
      </c>
      <c r="E21" s="30" t="s">
        <v>188</v>
      </c>
      <c r="F21" s="43">
        <v>0</v>
      </c>
      <c r="G21" s="43">
        <v>53</v>
      </c>
      <c r="H21" s="43">
        <v>233302</v>
      </c>
      <c r="I21" s="43">
        <v>233349</v>
      </c>
      <c r="J21" s="30" t="s">
        <v>189</v>
      </c>
      <c r="K21" s="43">
        <v>233491</v>
      </c>
      <c r="L21" s="143" t="s">
        <v>50</v>
      </c>
      <c r="M21" s="144">
        <f>CONVERT((I21-K21)/10000,"mi","ft")*IF(L21="Increasing Mileposts (1)",-1,1)</f>
        <v>74.975999999999999</v>
      </c>
      <c r="N21" s="145" t="str">
        <f>VLOOKUP(C21,'Trips&amp;Operators'!$C$1:$G$99999,5,FALSE)</f>
        <v>MOSES BRADLEY</v>
      </c>
      <c r="O21" s="157" t="s">
        <v>185</v>
      </c>
      <c r="P21" s="146"/>
      <c r="Q21" s="30"/>
      <c r="R21" s="89" t="str">
        <f>VLOOKUP(C21,'Train Runs'!$A$13:$AE$9961,31,0)</f>
        <v>aws s3 cp s3://rtdc.mdm.uploadarchive.raw/RTDC4046/ "%USERPROFILE%\AppData\Local\Temp\OnboardLogs"\RTDC4046\2017-02-07 --exclude "*" --recursive --include "*20170207*" &amp; "%USERPROFILE%\Documents\GitHub\mrs-test-scripts\Headless Mode &amp; Sideloading\WalkAndUnGZ.bat" "%USERPROFILE%\AppData\Local\Temp\OnboardLogs"\RTDC4046\2017-02-07 &amp; aws s3 cp s3://rtdc.mdm.uploadarchive.raw/RTDC4046/ "%USERPROFILE%\AppData\Local\Temp\OnboardLogs"\RTDC4046\2017-02-08 --exclude "*" --recursive --include "*20170208*" &amp; "%USERPROFILE%\Documents\GitHub\mrs-test-scripts\Headless Mode &amp; Sideloading\WalkAndUnGZ.bat" "%USERPROFILE%\AppData\Local\Temp\OnboardLogs"\RTDC4046\2017-02-08</v>
      </c>
      <c r="S21" s="92" t="str">
        <f>VLOOKUP(C21,'Train Runs'!$A$13:$AE$9961,22,0)</f>
        <v>https://d0f6bd738d7f1b3e5a7ca70fe4ff75f0.us-east-1.aws.found.io/app/kibana#/discover/Steve-Slow-Train-Analysis-(2080s-and-2083s)?_g=(refreshInterval:(display:Off,pause:!f,section:0,value:0),time:(from:'2017-02-07T11:55:31-0700',mode:absolute,to:'2017-02-07T14:36:30-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4046%22')),sort:!(Time.ISO8601,asc))</v>
      </c>
      <c r="T21" s="94" t="str">
        <f>astrogrep_path&amp;" /spath="&amp;search_path&amp;" /stypes=""*"&amp;U21&amp;"*"&amp;TEXT(A21-utc_offset/24,"YYYYMMDD")&amp;LEFT(TEXT(A21-utc_offset/24,"HH"),1)&amp;"*"" /stext="" "&amp;TEXT(A21-utc_offset/24,"HH")&amp;search_regexp&amp;""" /e /r /s"</f>
        <v>"C:\Program Files (x86)\AstroGrep\AstroGrep.exe" /spath="%USERPROFILE%\AppData\Local\Temp\OnboardLogs" /stypes="*4046*201702072*" /stext=" 20:.+((SYSTEM_STATE.+slice.+state.+changed )|(ment ac)|(multiple cpu faults)|(system.+state.+changed )|(\[timeout)|(PRM\|1\|D)|(kpr)|(kdp)|(\|lc)|(penalty))" /e /r /s</v>
      </c>
      <c r="U21" s="9" t="str">
        <f>MID(B21,13,4)</f>
        <v>4046</v>
      </c>
      <c r="V21" s="32">
        <f>A21-utc_offset/24</f>
        <v>42773.858680555553</v>
      </c>
      <c r="W21" s="46" t="str">
        <f>IFERROR(IF(VALUE(LEFT(IF(LEN(C21)=6,"0"&amp;C21,C21),2))&lt;=2,"EC",IF(OR(VALUE(LEFT(IF(LEN(C21)=6,"0"&amp;C21,C21),2))=8,VALUE(LEFT(IF(LEN(C21)=6,"0"&amp;C21,C21),2))=18),"NW","Other")),"Other")</f>
        <v>EC</v>
      </c>
      <c r="X21" s="46" t="str">
        <f>IF(AND(E21="TRACK WARRANT AUTHORITY",G21&lt;10),"OMIT","KEEP")</f>
        <v>KEEP</v>
      </c>
      <c r="Y21" s="108" t="str">
        <f>"echo {""issue"":{""subject"":"""&amp;P21&amp;""",""project_id"":79,""tracker_id"":40,""status_id"":"&amp;redmine_status&amp;",""priority_id"":"&amp;redmine_priority&amp;",""assigned_to_id"":"&amp;redmine_assignee&amp;",""start_date"":"""&amp;TEXT(A21,"YYYY-mm-dd")&amp;""",""description"":"""&amp;Z21&amp;""",""custom_fields"":[{""id"":1,""name"":""Subdivision"",""value"":"""&amp;W21&amp;"""},{""id"":4,""name"":""Milepost"",""value"":"""&amp;K21/10000&amp;"""},{""id"":17,""name"":""Train ID"",""value"":"""&amp;C21&amp;"""},{""id"":16,""name"":""Locomotive ID"",""value"":"""&amp;U21&amp;"""},{""id"":130,""name"":""Impact"",""value"":"""&amp;AA21&amp;"""},{""id"":150,""name"":""Time of Event (Mountain Time)"",""value"":"""&amp;TEXT(A21,"hh:mm:ss")&amp;"""},{""id"":151,""name"":""Denver Issue ID"",""value"":"""&amp;"""},{""id"":178,""name"":""Operational Impact"",""value"":"""&amp;redmine_op_impact&amp;"""},{""id"":179,""name"":""Denver Segment Assigned"",""value"":"""&amp;AB21&amp;"""}]}}"&amp;"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{"issue":{"subject":"","project_id":79,"tracker_id":40,"status_id":1,"priority_id":2,"assigned_to_id":23,"start_date":"2017-02-07","description":"","custom_fields":[{"id":1,"name":"Subdivision","value":"EC"},{"id":4,"name":"Milepost","value":"23.3491"},{"id":17,"name":"Train ID","value":"175-07"},{"id":16,"name":"Locomotive ID","value":"4046"},{"id":130,"name":"Impact","value":""},{"id":150,"name":"Time of Event (Mountain Time)","value":"13:36:30"},{"id":151,"name":"Denver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48"/>
      <c r="AA21" s="48"/>
      <c r="AB21" s="48"/>
      <c r="AC21" s="127" t="str">
        <f>"grep -hSE -A400 ""Enforcement Action"" "&amp;search_path&amp;"\RTDC"&amp;U21&amp;"\*"&amp;U21&amp;"*"&amp;TEXT(A21-utc_offset/24,"YYYYMMDD")&amp;LEFT(TEXT(A21-utc_offset/24,"HH"),1)&amp;"* | grep -SE ""((Enforcement Ac)|(PRM))"" -"</f>
        <v>grep -hSE -A400 "Enforcement Action" "%USERPROFILE%\AppData\Local\Temp\OnboardLogs"\RTDC4046\*4046*201702072*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"&amp;TEXT(Variables!$A$2,"YYYY-MM-DD")&amp;"-SliceDisagreementCheck.txt"</f>
        <v>grep -hSE "Enforcement Action" "%USERPROFILE%\AppData\Local\Temp\OnboardLogs"\RTDC4046\*4046*201702072* &gt;&gt; 2017-02-07-SliceDisagreementCheck.txt</v>
      </c>
      <c r="AE21" s="161" t="str">
        <f>"start /low /b "&amp;dls3logs&amp;" --loco "&amp;U21&amp;" --day "&amp;TEXT(V21,"YYYY-MM-DD")</f>
        <v>start /low /b %USERPROFILE%\Documents\GitHub\eaglep3\Utilities\DownloadLogsFromS3.py --loco 4046 --day 2017-02-07</v>
      </c>
      <c r="AF21" s="1"/>
    </row>
    <row r="22" spans="1:32" x14ac:dyDescent="0.25">
      <c r="A22" s="32">
        <v>42773.75476851852</v>
      </c>
      <c r="B22" s="30" t="s">
        <v>197</v>
      </c>
      <c r="C22" s="30" t="s">
        <v>486</v>
      </c>
      <c r="D22" s="30" t="s">
        <v>49</v>
      </c>
      <c r="E22" s="30" t="s">
        <v>188</v>
      </c>
      <c r="F22" s="43">
        <v>0</v>
      </c>
      <c r="G22" s="43">
        <v>86</v>
      </c>
      <c r="H22" s="43">
        <v>233157</v>
      </c>
      <c r="I22" s="43">
        <v>233259</v>
      </c>
      <c r="J22" s="30" t="s">
        <v>189</v>
      </c>
      <c r="K22" s="43">
        <v>233491</v>
      </c>
      <c r="L22" s="143" t="s">
        <v>50</v>
      </c>
      <c r="M22" s="144">
        <f>CONVERT((I22-K22)/10000,"mi","ft")*IF(L22="Increasing Mileposts (1)",-1,1)</f>
        <v>122.496</v>
      </c>
      <c r="N22" s="145" t="str">
        <f>VLOOKUP(C22,'Trips&amp;Operators'!$C$1:$G$99999,5,FALSE)</f>
        <v>BERLING GARY</v>
      </c>
      <c r="O22" s="157" t="s">
        <v>185</v>
      </c>
      <c r="P22" s="146"/>
      <c r="Q22" s="30"/>
      <c r="R22" s="89" t="str">
        <f>VLOOKUP(C22,'Train Runs'!$A$13:$AE$9961,31,0)</f>
        <v>aws s3 cp s3://rtdc.mdm.uploadarchive.raw/RTDC4038/ "%USERPROFILE%\AppData\Local\Temp\OnboardLogs"\RTDC4038\2017-02-07 --exclude "*" --recursive --include "*20170207*" &amp; "%USERPROFILE%\Documents\GitHub\mrs-test-scripts\Headless Mode &amp; Sideloading\WalkAndUnGZ.bat" "%USERPROFILE%\AppData\Local\Temp\OnboardLogs"\RTDC4038\2017-02-07 &amp; aws s3 cp s3://rtdc.mdm.uploadarchive.raw/RTDC4038/ "%USERPROFILE%\AppData\Local\Temp\OnboardLogs"\RTDC4038\2017-02-08 --exclude "*" --recursive --include "*20170208*" &amp; "%USERPROFILE%\Documents\GitHub\mrs-test-scripts\Headless Mode &amp; Sideloading\WalkAndUnGZ.bat" "%USERPROFILE%\AppData\Local\Temp\OnboardLogs"\RTDC4038\2017-02-08</v>
      </c>
      <c r="S22" s="92" t="str">
        <f>VLOOKUP(C22,'Train Runs'!$A$13:$AE$9961,22,0)</f>
        <v>https://d0f6bd738d7f1b3e5a7ca70fe4ff75f0.us-east-1.aws.found.io/app/kibana#/discover/Steve-Slow-Train-Analysis-(2080s-and-2083s)?_g=(refreshInterval:(display:Off,pause:!f,section:0,value:0),time:(from:'2017-02-07T16:24:03-0700',mode:absolute,to:'2017-02-07T19:06:51-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4038%22')),sort:!(Time.ISO8601,asc))</v>
      </c>
      <c r="T22" s="94" t="str">
        <f>astrogrep_path&amp;" /spath="&amp;search_path&amp;" /stypes=""*"&amp;U22&amp;"*"&amp;TEXT(A22-utc_offset/24,"YYYYMMDD")&amp;LEFT(TEXT(A22-utc_offset/24,"HH"),1)&amp;"*"" /stext="" "&amp;TEXT(A22-utc_offset/24,"HH")&amp;search_regexp&amp;""" /e /r /s"</f>
        <v>"C:\Program Files (x86)\AstroGrep\AstroGrep.exe" /spath="%USERPROFILE%\AppData\Local\Temp\OnboardLogs" /stypes="*4038*201702080*" /stext=" 01:.+((SYSTEM_STATE.+slice.+state.+changed )|(ment ac)|(multiple cpu faults)|(system.+state.+changed )|(\[timeout)|(PRM\|1\|D)|(kpr)|(kdp)|(\|lc)|(penalty))" /e /r /s</v>
      </c>
      <c r="U22" s="9" t="str">
        <f>MID(B22,13,4)</f>
        <v>4038</v>
      </c>
      <c r="V22" s="32">
        <f>A22-utc_offset/24</f>
        <v>42774.046435185184</v>
      </c>
      <c r="W22" s="46" t="str">
        <f>IFERROR(IF(VALUE(LEFT(IF(LEN(C22)=6,"0"&amp;C22,C22),2))&lt;=2,"EC",IF(OR(VALUE(LEFT(IF(LEN(C22)=6,"0"&amp;C22,C22),2))=8,VALUE(LEFT(IF(LEN(C22)=6,"0"&amp;C22,C22),2))=18),"NW","Other")),"Other")</f>
        <v>EC</v>
      </c>
      <c r="X22" s="46" t="str">
        <f>IF(AND(E22="TRACK WARRANT AUTHORITY",G22&lt;10),"OMIT","KEEP")</f>
        <v>KEEP</v>
      </c>
      <c r="Y22" s="108" t="str">
        <f>"echo {""issue"":{""subject"":"""&amp;P22&amp;""",""project_id"":79,""tracker_id"":40,""status_id"":"&amp;redmine_status&amp;",""priority_id"":"&amp;redmine_priority&amp;",""assigned_to_id"":"&amp;redmine_assignee&amp;",""start_date"":"""&amp;TEXT(A22,"YYYY-mm-dd")&amp;""",""description"":"""&amp;Z22&amp;""",""custom_fields"":[{""id"":1,""name"":""Subdivision"",""value"":"""&amp;W22&amp;"""},{""id"":4,""name"":""Milepost"",""value"":"""&amp;K22/10000&amp;"""},{""id"":17,""name"":""Train ID"",""value"":"""&amp;C22&amp;"""},{""id"":16,""name"":""Locomotive ID"",""value"":"""&amp;U22&amp;"""},{""id"":130,""name"":""Impact"",""value"":"""&amp;AA22&amp;"""},{""id"":150,""name"":""Time of Event (Mountain Time)"",""value"":"""&amp;TEXT(A22,"hh:mm:ss")&amp;"""},{""id"":151,""name"":""Denver Issue ID"",""value"":"""&amp;"""},{""id"":178,""name"":""Operational Impact"",""value"":"""&amp;redmine_op_impact&amp;"""},{""id"":179,""name"":""Denver Segment Assigned"",""value"":"""&amp;AB22&amp;"""}]}}"&amp;"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{"issue":{"subject":"","project_id":79,"tracker_id":40,"status_id":1,"priority_id":2,"assigned_to_id":23,"start_date":"2017-02-07","description":"","custom_fields":[{"id":1,"name":"Subdivision","value":"EC"},{"id":4,"name":"Milepost","value":"23.3491"},{"id":17,"name":"Train ID","value":"211-07"},{"id":16,"name":"Locomotive ID","value":"4038"},{"id":130,"name":"Impact","value":""},{"id":150,"name":"Time of Event (Mountain Time)","value":"18:06:52"},{"id":151,"name":"Denver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48"/>
      <c r="AA22" s="48"/>
      <c r="AB22" s="48"/>
      <c r="AC22" s="127" t="str">
        <f>"grep -hSE -A400 ""Enforcement Action"" "&amp;search_path&amp;"\RTDC"&amp;U22&amp;"\*"&amp;U22&amp;"*"&amp;TEXT(A22-utc_offset/24,"YYYYMMDD")&amp;LEFT(TEXT(A22-utc_offset/24,"HH"),1)&amp;"* | grep -SE ""((Enforcement Ac)|(PRM))"" -"</f>
        <v>grep -hSE -A400 "Enforcement Action" "%USERPROFILE%\AppData\Local\Temp\OnboardLogs"\RTDC4038\*4038*201702080*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"&amp;TEXT(Variables!$A$2,"YYYY-MM-DD")&amp;"-SliceDisagreementCheck.txt"</f>
        <v>grep -hSE "Enforcement Action" "%USERPROFILE%\AppData\Local\Temp\OnboardLogs"\RTDC4038\*4038*201702080* &gt;&gt; 2017-02-07-SliceDisagreementCheck.txt</v>
      </c>
      <c r="AE22" s="161" t="str">
        <f>"start /low /b "&amp;dls3logs&amp;" --loco "&amp;U22&amp;" --day "&amp;TEXT(V22,"YYYY-MM-DD")</f>
        <v>start /low /b %USERPROFILE%\Documents\GitHub\eaglep3\Utilities\DownloadLogsFromS3.py --loco 4038 --day 2017-02-08</v>
      </c>
      <c r="AF22" s="1"/>
    </row>
    <row r="23" spans="1:32" x14ac:dyDescent="0.25">
      <c r="A23" s="32">
        <v>42773.934108796297</v>
      </c>
      <c r="B23" s="30" t="s">
        <v>232</v>
      </c>
      <c r="C23" s="30" t="s">
        <v>494</v>
      </c>
      <c r="D23" s="30" t="s">
        <v>98</v>
      </c>
      <c r="E23" s="30" t="s">
        <v>218</v>
      </c>
      <c r="F23" s="43">
        <v>500</v>
      </c>
      <c r="G23" s="43">
        <v>556</v>
      </c>
      <c r="H23" s="43">
        <v>16494</v>
      </c>
      <c r="I23" s="43">
        <v>18323</v>
      </c>
      <c r="J23" s="30" t="s">
        <v>219</v>
      </c>
      <c r="K23" s="43">
        <v>14402</v>
      </c>
      <c r="L23" s="143" t="s">
        <v>50</v>
      </c>
      <c r="M23" s="144">
        <f>CONVERT((I23-K23)/10000,"mi","ft")*IF(L23="Increasing Mileposts (1)",-1,1)</f>
        <v>-2070.288</v>
      </c>
      <c r="N23" s="145" t="str">
        <f>VLOOKUP(C23,'Trips&amp;Operators'!$C$1:$G$99999,5,FALSE)</f>
        <v>HILLS DUSTIN</v>
      </c>
      <c r="O23" s="157" t="s">
        <v>185</v>
      </c>
      <c r="P23" s="146"/>
      <c r="Q23" s="30"/>
      <c r="R23" s="89" t="str">
        <f>VLOOKUP(C23,'Train Runs'!$A$13:$AE$9961,31,0)</f>
        <v>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 &amp; 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</v>
      </c>
      <c r="S23" s="92" t="str">
        <f>VLOOKUP(C23,'Train Runs'!$A$13:$AE$9961,22,0)</f>
        <v>https://d0f6bd738d7f1b3e5a7ca70fe4ff75f0.us-east-1.aws.found.io/app/kibana#/discover/Steve-Slow-Train-Analysis-(2080s-and-2083s)?_g=(refreshInterval:(display:Off,pause:!f,section:0,value:0),time:(from:'2017-02-07T20:57:08-0700',mode:absolute,to:'2017-02-07T23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23" s="94" t="str">
        <f>astrogrep_path&amp;" /spath="&amp;search_path&amp;" /stypes=""*"&amp;U23&amp;"*"&amp;TEXT(A23-utc_offset/24,"YYYYMMDD")&amp;LEFT(TEXT(A23-utc_offset/24,"HH"),1)&amp;"*"" /stext="" "&amp;TEXT(A23-utc_offset/24,"HH")&amp;search_regexp&amp;""" /e /r /s"</f>
        <v>"C:\Program Files (x86)\AstroGrep\AstroGrep.exe" /spath="%USERPROFILE%\AppData\Local\Temp\OnboardLogs" /stypes="*4027*201702080*" /stext=" 05:.+((SYSTEM_STATE.+slice.+state.+changed )|(ment ac)|(multiple cpu faults)|(system.+state.+changed )|(\[timeout)|(PRM\|1\|D)|(kpr)|(kdp)|(\|lc)|(penalty))" /e /r /s</v>
      </c>
      <c r="U23" s="9" t="str">
        <f>MID(B23,13,4)</f>
        <v>4027</v>
      </c>
      <c r="V23" s="32">
        <f>A23-utc_offset/24</f>
        <v>42774.225775462961</v>
      </c>
      <c r="W23" s="46" t="str">
        <f>IFERROR(IF(VALUE(LEFT(IF(LEN(C23)=6,"0"&amp;C23,C23),2))&lt;=2,"EC",IF(OR(VALUE(LEFT(IF(LEN(C23)=6,"0"&amp;C23,C23),2))=8,VALUE(LEFT(IF(LEN(C23)=6,"0"&amp;C23,C23),2))=18),"NW","Other")),"Other")</f>
        <v>NW</v>
      </c>
      <c r="X23" s="46" t="str">
        <f>IF(AND(E23="TRACK WARRANT AUTHORITY",G23&lt;10),"OMIT","KEEP")</f>
        <v>KEEP</v>
      </c>
      <c r="Y23" s="108" t="str">
        <f>"echo {""issue"":{""subject"":"""&amp;P23&amp;""",""project_id"":79,""tracker_id"":40,""status_id"":"&amp;redmine_status&amp;",""priority_id"":"&amp;redmine_priority&amp;",""assigned_to_id"":"&amp;redmine_assignee&amp;",""start_date"":"""&amp;TEXT(A23,"YYYY-mm-dd")&amp;""",""description"":"""&amp;Z23&amp;""",""custom_fields"":[{""id"":1,""name"":""Subdivision"",""value"":"""&amp;W23&amp;"""},{""id"":4,""name"":""Milepost"",""value"":"""&amp;K23/10000&amp;"""},{""id"":17,""name"":""Train ID"",""value"":"""&amp;C23&amp;"""},{""id"":16,""name"":""Locomotive ID"",""value"":"""&amp;U23&amp;"""},{""id"":130,""name"":""Impact"",""value"":"""&amp;AA23&amp;"""},{""id"":150,""name"":""Time of Event (Mountain Time)"",""value"":"""&amp;TEXT(A23,"hh:mm:ss")&amp;"""},{""id"":151,""name"":""Denver Issue ID"",""value"":"""&amp;"""},{""id"":178,""name"":""Operational Impact"",""value"":"""&amp;redmine_op_impact&amp;"""},{""id"":179,""name"":""Denver Segment Assigned"",""value"":"""&amp;AB23&amp;"""}]}}"&amp;"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{"issue":{"subject":"","project_id":79,"tracker_id":40,"status_id":1,"priority_id":2,"assigned_to_id":23,"start_date":"2017-02-07","description":"","custom_fields":[{"id":1,"name":"Subdivision","value":"NW"},{"id":4,"name":"Milepost","value":"1.4402"},{"id":17,"name":"Train ID","value":"847-07"},{"id":16,"name":"Locomotive ID","value":"4027"},{"id":130,"name":"Impact","value":""},{"id":150,"name":"Time of Event (Mountain Time)","value":"22:25:07"},{"id":151,"name":"Denver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48"/>
      <c r="AA23" s="48"/>
      <c r="AB23" s="48"/>
      <c r="AC23" s="127" t="str">
        <f>"grep -hSE -A400 ""Enforcement Action"" "&amp;search_path&amp;"\RTDC"&amp;U23&amp;"\*"&amp;U23&amp;"*"&amp;TEXT(A23-utc_offset/24,"YYYYMMDD")&amp;LEFT(TEXT(A23-utc_offset/24,"HH"),1)&amp;"* | grep -SE ""((Enforcement Ac)|(PRM))"" -"</f>
        <v>grep -hSE -A400 "Enforcement Action" "%USERPROFILE%\AppData\Local\Temp\OnboardLogs"\RTDC4027\*4027*201702080*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"&amp;TEXT(Variables!$A$2,"YYYY-MM-DD")&amp;"-SliceDisagreementCheck.txt"</f>
        <v>grep -hSE "Enforcement Action" "%USERPROFILE%\AppData\Local\Temp\OnboardLogs"\RTDC4027\*4027*201702080* &gt;&gt; 2017-02-07-SliceDisagreementCheck.txt</v>
      </c>
      <c r="AE23" s="161" t="str">
        <f>"start /low /b "&amp;dls3logs&amp;" --loco "&amp;U23&amp;" --day "&amp;TEXT(V23,"YYYY-MM-DD")</f>
        <v>start /low /b %USERPROFILE%\Documents\GitHub\eaglep3\Utilities\DownloadLogsFromS3.py --loco 4027 --day 2017-02-08</v>
      </c>
      <c r="AF23" s="1"/>
    </row>
    <row r="24" spans="1:32" x14ac:dyDescent="0.25">
      <c r="A24" s="32">
        <v>42773.724456018521</v>
      </c>
      <c r="B24" s="30" t="s">
        <v>290</v>
      </c>
      <c r="C24" s="30" t="s">
        <v>485</v>
      </c>
      <c r="D24" s="30" t="s">
        <v>49</v>
      </c>
      <c r="E24" s="30" t="s">
        <v>186</v>
      </c>
      <c r="F24" s="43">
        <v>0</v>
      </c>
      <c r="G24" s="43">
        <v>60</v>
      </c>
      <c r="H24" s="43">
        <v>5039</v>
      </c>
      <c r="I24" s="43">
        <v>4952</v>
      </c>
      <c r="J24" s="30" t="s">
        <v>187</v>
      </c>
      <c r="K24" s="43">
        <v>4790</v>
      </c>
      <c r="L24" s="143" t="s">
        <v>51</v>
      </c>
      <c r="M24" s="144">
        <f>CONVERT((I24-K24)/10000,"mi","ft")*IF(L24="Increasing Mileposts (1)",-1,1)</f>
        <v>85.536000000000001</v>
      </c>
      <c r="N24" s="145" t="str">
        <f>VLOOKUP(C24,'Trips&amp;Operators'!$C$1:$G$99999,5,FALSE)</f>
        <v>HILLS DUSTIN</v>
      </c>
      <c r="O24" s="157" t="s">
        <v>185</v>
      </c>
      <c r="P24" s="146" t="s">
        <v>887</v>
      </c>
      <c r="Q24" s="30"/>
      <c r="R24" s="89" t="str">
        <f>VLOOKUP(C24,'Train Runs'!$A$13:$AE$9961,31,0)</f>
        <v>aws s3 cp s3://rtdc.mdm.uploadarchive.raw/RTDC4052/ "%USERPROFILE%\AppData\Local\Temp\OnboardLogs"\RTDC4052\2017-02-07 --exclude "*" --recursive --include "*20170207*" &amp; "%USERPROFILE%\Documents\GitHub\mrs-test-scripts\Headless Mode &amp; Sideloading\WalkAndUnGZ.bat" "%USERPROFILE%\AppData\Local\Temp\OnboardLogs"\RTDC4052\2017-02-07 &amp; aws s3 cp s3://rtdc.mdm.uploadarchive.raw/RTDC4052/ "%USERPROFILE%\AppData\Local\Temp\OnboardLogs"\RTDC4052\2017-02-08 --exclude "*" --recursive --include "*20170208*" &amp; "%USERPROFILE%\Documents\GitHub\mrs-test-scripts\Headless Mode &amp; Sideloading\WalkAndUnGZ.bat" "%USERPROFILE%\AppData\Local\Temp\OnboardLogs"\RTDC4052\2017-02-08</v>
      </c>
      <c r="S24" s="92" t="str">
        <f>VLOOKUP(C24,'Train Runs'!$A$13:$AE$9961,22,0)</f>
        <v>https://d0f6bd738d7f1b3e5a7ca70fe4ff75f0.us-east-1.aws.found.io/app/kibana#/discover/Steve-Slow-Train-Analysis-(2080s-and-2083s)?_g=(refreshInterval:(display:Off,pause:!f,section:0,value:0),time:(from:'2017-02-07T16:06:57-0700',mode:absolute,to:'2017-02-07T18:25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4" s="94" t="str">
        <f>astrogrep_path&amp;" /spath="&amp;search_path&amp;" /stypes=""*"&amp;U24&amp;"*"&amp;TEXT(A24-utc_offset/24,"YYYYMMDD")&amp;LEFT(TEXT(A24-utc_offset/24,"HH"),1)&amp;"*"" /stext="" "&amp;TEXT(A24-utc_offset/24,"HH")&amp;search_regexp&amp;""" /e /r /s"</f>
        <v>"C:\Program Files (x86)\AstroGrep\AstroGrep.exe" /spath="%USERPROFILE%\AppData\Local\Temp\OnboardLogs" /stypes="*4052*201702080*" /stext=" 00:.+((SYSTEM_STATE.+slice.+state.+changed )|(ment ac)|(multiple cpu faults)|(system.+state.+changed )|(\[timeout)|(PRM\|1\|D)|(kpr)|(kdp)|(\|lc)|(penalty))" /e /r /s</v>
      </c>
      <c r="U24" s="9" t="str">
        <f>MID(B24,13,4)</f>
        <v>4052</v>
      </c>
      <c r="V24" s="32">
        <f>A24-utc_offset/24</f>
        <v>42774.016122685185</v>
      </c>
      <c r="W24" s="46" t="str">
        <f>IFERROR(IF(VALUE(LEFT(IF(LEN(C24)=6,"0"&amp;C24,C24),2))&lt;=2,"EC",IF(OR(VALUE(LEFT(IF(LEN(C24)=6,"0"&amp;C24,C24),2))=8,VALUE(LEFT(IF(LEN(C24)=6,"0"&amp;C24,C24),2))=18),"NW","Other")),"Other")</f>
        <v>NW</v>
      </c>
      <c r="X24" s="46" t="str">
        <f>IF(AND(E24="TRACK WARRANT AUTHORITY",G24&lt;10),"OMIT","KEEP")</f>
        <v>KEEP</v>
      </c>
      <c r="Y24" s="108" t="str">
        <f>"echo {""issue"":{""subject"":"""&amp;P24&amp;""",""project_id"":79,""tracker_id"":40,""status_id"":"&amp;redmine_status&amp;",""priority_id"":"&amp;redmine_priority&amp;",""assigned_to_id"":"&amp;redmine_assignee&amp;",""start_date"":"""&amp;TEXT(A24,"YYYY-mm-dd")&amp;""",""description"":"""&amp;Z24&amp;""",""custom_fields"":[{""id"":1,""name"":""Subdivision"",""value"":"""&amp;W24&amp;"""},{""id"":4,""name"":""Milepost"",""value"":"""&amp;K24/10000&amp;"""},{""id"":17,""name"":""Train ID"",""value"":"""&amp;C24&amp;"""},{""id"":16,""name"":""Locomotive ID"",""value"":"""&amp;U24&amp;"""},{""id"":130,""name"":""Impact"",""value"":"""&amp;AA24&amp;"""},{""id"":150,""name"":""Time of Event (Mountain Time)"",""value"":"""&amp;TEXT(A24,"hh:mm:ss")&amp;"""},{""id"":151,""name"":""Denver Issue ID"",""value"":"""&amp;"""},{""id"":178,""name"":""Operational Impact"",""value"":"""&amp;redmine_op_impact&amp;"""},{""id"":179,""name"":""Denver Segment Assigned"",""value"":"""&amp;AB24&amp;"""}]}}"&amp;" | curl -X POST -H ""Content-Type: application/json"" -H ""X-Redmine-API-Key: "&amp;redm_api_key&amp;""" "&amp;redm_url&amp;" --data @-"</f>
        <v>echo {"issue":{"subject":"DUS 28S STOP","project_id":79,"tracker_id":40,"status_id":1,"priority_id":2,"assigned_to_id":23,"start_date":"2017-02-07","description":"","custom_fields":[{"id":1,"name":"Subdivision","value":"NW"},{"id":4,"name":"Milepost","value":"0.479"},{"id":17,"name":"Train ID","value":"832-07"},{"id":16,"name":"Locomotive ID","value":"4052"},{"id":130,"name":"Impact","value":""},{"id":150,"name":"Time of Event (Mountain Time)","value":"17:23:13"},{"id":151,"name":"Denver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48"/>
      <c r="AA24" s="48"/>
      <c r="AB24" s="48"/>
      <c r="AC24" s="127" t="str">
        <f>"grep -hSE -A400 ""Enforcement Action"" "&amp;search_path&amp;"\RTDC"&amp;U24&amp;"\*"&amp;U24&amp;"*"&amp;TEXT(A24-utc_offset/24,"YYYYMMDD")&amp;LEFT(TEXT(A24-utc_offset/24,"HH"),1)&amp;"* | grep -SE ""((Enforcement Ac)|(PRM))"" -"</f>
        <v>grep -hSE -A400 "Enforcement Action" "%USERPROFILE%\AppData\Local\Temp\OnboardLogs"\RTDC4052\*4052*201702080*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"&amp;TEXT(Variables!$A$2,"YYYY-MM-DD")&amp;"-SliceDisagreementCheck.txt"</f>
        <v>grep -hSE "Enforcement Action" "%USERPROFILE%\AppData\Local\Temp\OnboardLogs"\RTDC4052\*4052*201702080* &gt;&gt; 2017-02-07-SliceDisagreementCheck.txt</v>
      </c>
      <c r="AE24" s="161" t="str">
        <f>"start /low /b "&amp;dls3logs&amp;" --loco "&amp;U24&amp;" --day "&amp;TEXT(V24,"YYYY-MM-DD")</f>
        <v>start /low /b %USERPROFILE%\Documents\GitHub\eaglep3\Utilities\DownloadLogsFromS3.py --loco 4052 --day 2017-02-08</v>
      </c>
      <c r="AF24" s="1"/>
    </row>
    <row r="25" spans="1:32" x14ac:dyDescent="0.25">
      <c r="A25" s="32">
        <v>42773.28833333333</v>
      </c>
      <c r="B25" s="30" t="s">
        <v>231</v>
      </c>
      <c r="C25" s="30" t="s">
        <v>466</v>
      </c>
      <c r="D25" s="30" t="s">
        <v>49</v>
      </c>
      <c r="E25" s="30" t="s">
        <v>188</v>
      </c>
      <c r="F25" s="43">
        <v>0</v>
      </c>
      <c r="G25" s="43">
        <v>156</v>
      </c>
      <c r="H25" s="43">
        <v>1429</v>
      </c>
      <c r="I25" s="43">
        <v>1209</v>
      </c>
      <c r="J25" s="30" t="s">
        <v>189</v>
      </c>
      <c r="K25" s="43">
        <v>575</v>
      </c>
      <c r="L25" s="143" t="s">
        <v>51</v>
      </c>
      <c r="M25" s="144">
        <f>CONVERT((I25-K25)/10000,"mi","ft")*IF(L25="Increasing Mileposts (1)",-1,1)</f>
        <v>334.75200000000001</v>
      </c>
      <c r="N25" s="145" t="str">
        <f>VLOOKUP(C25,'Trips&amp;Operators'!$C$1:$G$99999,5,FALSE)</f>
        <v>BROWN JACOB</v>
      </c>
      <c r="O25" s="157" t="s">
        <v>185</v>
      </c>
      <c r="P25" s="146"/>
      <c r="Q25" s="30"/>
      <c r="R25" s="89" t="str">
        <f>VLOOKUP(C25,'Train Runs'!$A$13:$AE$9961,31,0)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S25" s="92" t="str">
        <f>VLOOKUP(C25,'Train Runs'!$A$13:$AE$9961,22,0)</f>
        <v>https://d0f6bd738d7f1b3e5a7ca70fe4ff75f0.us-east-1.aws.found.io/app/kibana#/discover/Steve-Slow-Train-Analysis-(2080s-and-2083s)?_g=(refreshInterval:(display:Off,pause:!f,section:0,value:0),time:(from:'2017-02-07T05:37:26-0700',mode:absolute,to:'2017-02-07T07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5" s="94" t="str">
        <f>astrogrep_path&amp;" /spath="&amp;search_path&amp;" /stypes=""*"&amp;U25&amp;"*"&amp;TEXT(A25-utc_offset/24,"YYYYMMDD")&amp;LEFT(TEXT(A25-utc_offset/24,"HH"),1)&amp;"*"" /stext="" "&amp;TEXT(A25-utc_offset/24,"HH")&amp;search_regexp&amp;""" /e /r /s"</f>
        <v>"C:\Program Files (x86)\AstroGrep\AstroGrep.exe" /spath="%USERPROFILE%\AppData\Local\Temp\OnboardLogs" /stypes="*4028*201702071*" /stext=" 13:.+((SYSTEM_STATE.+slice.+state.+changed )|(ment ac)|(multiple cpu faults)|(system.+state.+changed )|(\[timeout)|(PRM\|1\|D)|(kpr)|(kdp)|(\|lc)|(penalty))" /e /r /s</v>
      </c>
      <c r="U25" s="9" t="str">
        <f>MID(B25,13,4)</f>
        <v>4028</v>
      </c>
      <c r="V25" s="32">
        <f>A25-utc_offset/24</f>
        <v>42773.579999999994</v>
      </c>
      <c r="W25" s="46" t="str">
        <f>IFERROR(IF(VALUE(LEFT(IF(LEN(C25)=6,"0"&amp;C25,C25),2))&lt;=2,"EC",IF(OR(VALUE(LEFT(IF(LEN(C25)=6,"0"&amp;C25,C25),2))=8,VALUE(LEFT(IF(LEN(C25)=6,"0"&amp;C25,C25),2))=18),"NW","Other")),"Other")</f>
        <v>NW</v>
      </c>
      <c r="X25" s="46" t="str">
        <f>IF(AND(E25="TRACK WARRANT AUTHORITY",G25&lt;10),"OMIT","KEEP")</f>
        <v>KEEP</v>
      </c>
      <c r="Y25" s="108" t="str">
        <f>"echo {""issue"":{""subject"":"""&amp;P25&amp;""",""project_id"":79,""tracker_id"":40,""status_id"":"&amp;redmine_status&amp;",""priority_id"":"&amp;redmine_priority&amp;",""assigned_to_id"":"&amp;redmine_assignee&amp;",""start_date"":"""&amp;TEXT(A25,"YYYY-mm-dd")&amp;""",""description"":"""&amp;Z25&amp;""",""custom_fields"":[{""id"":1,""name"":""Subdivision"",""value"":"""&amp;W25&amp;"""},{""id"":4,""name"":""Milepost"",""value"":"""&amp;K25/10000&amp;"""},{""id"":17,""name"":""Train ID"",""value"":"""&amp;C25&amp;"""},{""id"":16,""name"":""Locomotive ID"",""value"":"""&amp;U25&amp;"""},{""id"":130,""name"":""Impact"",""value"":"""&amp;AA25&amp;"""},{""id"":150,""name"":""Time of Event (Mountain Time)"",""value"":"""&amp;TEXT(A25,"hh:mm:ss")&amp;"""},{""id"":151,""name"":""Denver Issue ID"",""value"":"""&amp;"""},{""id"":178,""name"":""Operational Impact"",""value"":"""&amp;redmine_op_impact&amp;"""},{""id"":179,""name"":""Denver Segment Assigned"",""value"":"""&amp;AB25&amp;"""}]}}"&amp;"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{"issue":{"subject":"","project_id":79,"tracker_id":40,"status_id":1,"priority_id":2,"assigned_to_id":23,"start_date":"2017-02-07","description":"","custom_fields":[{"id":1,"name":"Subdivision","value":"NW"},{"id":4,"name":"Milepost","value":"0.0575"},{"id":17,"name":"Train ID","value":"804-07"},{"id":16,"name":"Locomotive ID","value":"4028"},{"id":130,"name":"Impact","value":""},{"id":150,"name":"Time of Event (Mountain Time)","value":"06:55:12"},{"id":151,"name":"Denver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48"/>
      <c r="AA25" s="48"/>
      <c r="AB25" s="48"/>
      <c r="AC25" s="127" t="str">
        <f>"grep -hSE -A400 ""Enforcement Action"" "&amp;search_path&amp;"\RTDC"&amp;U25&amp;"\*"&amp;U25&amp;"*"&amp;TEXT(A25-utc_offset/24,"YYYYMMDD")&amp;LEFT(TEXT(A25-utc_offset/24,"HH"),1)&amp;"* | grep -SE ""((Enforcement Ac)|(PRM))"" -"</f>
        <v>grep -hSE -A400 "Enforcement Action" "%USERPROFILE%\AppData\Local\Temp\OnboardLogs"\RTDC4028\*4028*201702071*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"&amp;TEXT(Variables!$A$2,"YYYY-MM-DD")&amp;"-SliceDisagreementCheck.txt"</f>
        <v>grep -hSE "Enforcement Action" "%USERPROFILE%\AppData\Local\Temp\OnboardLogs"\RTDC4028\*4028*201702071* &gt;&gt; 2017-02-07-SliceDisagreementCheck.txt</v>
      </c>
      <c r="AE25" s="161" t="str">
        <f>"start /low /b "&amp;dls3logs&amp;" --loco "&amp;U25&amp;" --day "&amp;TEXT(V25,"YYYY-MM-DD")</f>
        <v>start /low /b %USERPROFILE%\Documents\GitHub\eaglep3\Utilities\DownloadLogsFromS3.py --loco 4028 --day 2017-02-07</v>
      </c>
      <c r="AF25" s="1"/>
    </row>
    <row r="26" spans="1:32" x14ac:dyDescent="0.25">
      <c r="A26" s="32">
        <v>42773.288912037038</v>
      </c>
      <c r="B26" s="30" t="s">
        <v>231</v>
      </c>
      <c r="C26" s="30" t="s">
        <v>466</v>
      </c>
      <c r="D26" s="30" t="s">
        <v>49</v>
      </c>
      <c r="E26" s="30" t="s">
        <v>188</v>
      </c>
      <c r="F26" s="43">
        <v>0</v>
      </c>
      <c r="G26" s="43">
        <v>75</v>
      </c>
      <c r="H26" s="43">
        <v>1097</v>
      </c>
      <c r="I26" s="43">
        <v>1041</v>
      </c>
      <c r="J26" s="30" t="s">
        <v>189</v>
      </c>
      <c r="K26" s="43">
        <v>575</v>
      </c>
      <c r="L26" s="143" t="s">
        <v>51</v>
      </c>
      <c r="M26" s="144">
        <f>CONVERT((I26-K26)/10000,"mi","ft")*IF(L26="Increasing Mileposts (1)",-1,1)</f>
        <v>246.048</v>
      </c>
      <c r="N26" s="145" t="str">
        <f>VLOOKUP(C26,'Trips&amp;Operators'!$C$1:$G$99999,5,FALSE)</f>
        <v>BROWN JACOB</v>
      </c>
      <c r="O26" s="157" t="s">
        <v>185</v>
      </c>
      <c r="P26" s="146"/>
      <c r="Q26" s="30"/>
      <c r="R26" s="89" t="str">
        <f>VLOOKUP(C26,'Train Runs'!$A$13:$AE$9961,31,0)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S26" s="92" t="str">
        <f>VLOOKUP(C26,'Train Runs'!$A$13:$AE$9961,22,0)</f>
        <v>https://d0f6bd738d7f1b3e5a7ca70fe4ff75f0.us-east-1.aws.found.io/app/kibana#/discover/Steve-Slow-Train-Analysis-(2080s-and-2083s)?_g=(refreshInterval:(display:Off,pause:!f,section:0,value:0),time:(from:'2017-02-07T05:37:26-0700',mode:absolute,to:'2017-02-07T07:56:02-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6" s="94" t="str">
        <f>astrogrep_path&amp;" /spath="&amp;search_path&amp;" /stypes=""*"&amp;U26&amp;"*"&amp;TEXT(A26-utc_offset/24,"YYYYMMDD")&amp;LEFT(TEXT(A26-utc_offset/24,"HH"),1)&amp;"*"" /stext="" "&amp;TEXT(A26-utc_offset/24,"HH")&amp;search_regexp&amp;""" /e /r /s"</f>
        <v>"C:\Program Files (x86)\AstroGrep\AstroGrep.exe" /spath="%USERPROFILE%\AppData\Local\Temp\OnboardLogs" /stypes="*4028*201702071*" /stext=" 13:.+((SYSTEM_STATE.+slice.+state.+changed )|(ment ac)|(multiple cpu faults)|(system.+state.+changed )|(\[timeout)|(PRM\|1\|D)|(kpr)|(kdp)|(\|lc)|(penalty))" /e /r /s</v>
      </c>
      <c r="U26" s="9" t="str">
        <f>MID(B26,13,4)</f>
        <v>4028</v>
      </c>
      <c r="V26" s="32">
        <f>A26-utc_offset/24</f>
        <v>42773.580578703702</v>
      </c>
      <c r="W26" s="46" t="str">
        <f>IFERROR(IF(VALUE(LEFT(IF(LEN(C26)=6,"0"&amp;C26,C26),2))&lt;=2,"EC",IF(OR(VALUE(LEFT(IF(LEN(C26)=6,"0"&amp;C26,C26),2))=8,VALUE(LEFT(IF(LEN(C26)=6,"0"&amp;C26,C26),2))=18),"NW","Other")),"Other")</f>
        <v>NW</v>
      </c>
      <c r="X26" s="46" t="str">
        <f>IF(AND(E26="TRACK WARRANT AUTHORITY",G26&lt;10),"OMIT","KEEP")</f>
        <v>KEEP</v>
      </c>
      <c r="Y26" s="108" t="str">
        <f>"echo {""issue"":{""subject"":"""&amp;P26&amp;""",""project_id"":79,""tracker_id"":40,""status_id"":"&amp;redmine_status&amp;",""priority_id"":"&amp;redmine_priority&amp;",""assigned_to_id"":"&amp;redmine_assignee&amp;",""start_date"":"""&amp;TEXT(A26,"YYYY-mm-dd")&amp;""",""description"":"""&amp;Z26&amp;""",""custom_fields"":[{""id"":1,""name"":""Subdivision"",""value"":"""&amp;W26&amp;"""},{""id"":4,""name"":""Milepost"",""value"":"""&amp;K26/10000&amp;"""},{""id"":17,""name"":""Train ID"",""value"":"""&amp;C26&amp;"""},{""id"":16,""name"":""Locomotive ID"",""value"":"""&amp;U26&amp;"""},{""id"":130,""name"":""Impact"",""value"":"""&amp;AA26&amp;"""},{""id"":150,""name"":""Time of Event (Mountain Time)"",""value"":"""&amp;TEXT(A26,"hh:mm:ss")&amp;"""},{""id"":151,""name"":""Denver Issue ID"",""value"":"""&amp;"""},{""id"":178,""name"":""Operational Impact"",""value"":"""&amp;redmine_op_impact&amp;"""},{""id"":179,""name"":""Denver Segment Assigned"",""value"":"""&amp;AB26&amp;"""}]}}"&amp;"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{"issue":{"subject":"","project_id":79,"tracker_id":40,"status_id":1,"priority_id":2,"assigned_to_id":23,"start_date":"2017-02-07","description":"","custom_fields":[{"id":1,"name":"Subdivision","value":"NW"},{"id":4,"name":"Milepost","value":"0.0575"},{"id":17,"name":"Train ID","value":"804-07"},{"id":16,"name":"Locomotive ID","value":"4028"},{"id":130,"name":"Impact","value":""},{"id":150,"name":"Time of Event (Mountain Time)","value":"06:56:02"},{"id":151,"name":"Denver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48"/>
      <c r="AA26" s="48"/>
      <c r="AB26" s="48"/>
      <c r="AC26" s="127" t="str">
        <f>"grep -hSE -A400 ""Enforcement Action"" "&amp;search_path&amp;"\RTDC"&amp;U26&amp;"\*"&amp;U26&amp;"*"&amp;TEXT(A26-utc_offset/24,"YYYYMMDD")&amp;LEFT(TEXT(A26-utc_offset/24,"HH"),1)&amp;"* | grep -SE ""((Enforcement Ac)|(PRM))"" -"</f>
        <v>grep -hSE -A400 "Enforcement Action" "%USERPROFILE%\AppData\Local\Temp\OnboardLogs"\RTDC4028\*4028*201702071*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"&amp;TEXT(Variables!$A$2,"YYYY-MM-DD")&amp;"-SliceDisagreementCheck.txt"</f>
        <v>grep -hSE "Enforcement Action" "%USERPROFILE%\AppData\Local\Temp\OnboardLogs"\RTDC4028\*4028*201702071* &gt;&gt; 2017-02-07-SliceDisagreementCheck.txt</v>
      </c>
      <c r="AE26" s="161" t="str">
        <f>"start /low /b "&amp;dls3logs&amp;" --loco "&amp;U26&amp;" --day "&amp;TEXT(V26,"YYYY-MM-DD")</f>
        <v>start /low /b %USERPROFILE%\Documents\GitHub\eaglep3\Utilities\DownloadLogsFromS3.py --loco 4028 --day 2017-02-07</v>
      </c>
      <c r="AF26" s="1"/>
    </row>
    <row r="27" spans="1:32" x14ac:dyDescent="0.25">
      <c r="A27" s="32">
        <v>42773.663391203707</v>
      </c>
      <c r="B27" s="30" t="s">
        <v>231</v>
      </c>
      <c r="C27" s="30" t="s">
        <v>480</v>
      </c>
      <c r="D27" s="30" t="s">
        <v>49</v>
      </c>
      <c r="E27" s="30" t="s">
        <v>188</v>
      </c>
      <c r="F27" s="43">
        <v>0</v>
      </c>
      <c r="G27" s="43">
        <v>38</v>
      </c>
      <c r="H27" s="43">
        <v>710</v>
      </c>
      <c r="I27" s="43">
        <v>645</v>
      </c>
      <c r="J27" s="30" t="s">
        <v>189</v>
      </c>
      <c r="K27" s="43">
        <v>575</v>
      </c>
      <c r="L27" s="143" t="s">
        <v>51</v>
      </c>
      <c r="M27" s="144">
        <f>CONVERT((I27-K27)/10000,"mi","ft")*IF(L27="Increasing Mileposts (1)",-1,1)</f>
        <v>36.96</v>
      </c>
      <c r="N27" s="145" t="str">
        <f>VLOOKUP(C27,'Trips&amp;Operators'!$C$1:$G$99999,5,FALSE)</f>
        <v>LEVIN SCOTT</v>
      </c>
      <c r="O27" s="157" t="s">
        <v>185</v>
      </c>
      <c r="P27" s="146"/>
      <c r="Q27" s="30"/>
      <c r="R27" s="89" t="str">
        <f>VLOOKUP(C27,'Train Runs'!$A$13:$AE$9961,31,0)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S27" s="92" t="str">
        <f>VLOOKUP(C27,'Train Runs'!$A$13:$AE$9961,22,0)</f>
        <v>https://d0f6bd738d7f1b3e5a7ca70fe4ff75f0.us-east-1.aws.found.io/app/kibana#/discover/Steve-Slow-Train-Analysis-(2080s-and-2083s)?_g=(refreshInterval:(display:Off,pause:!f,section:0,value:0),time:(from:'2017-02-07T14:37:05-0700',mode:absolute,to:'2017-02-07T16:55:18-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7" s="94" t="str">
        <f>astrogrep_path&amp;" /spath="&amp;search_path&amp;" /stypes=""*"&amp;U27&amp;"*"&amp;TEXT(A27-utc_offset/24,"YYYYMMDD")&amp;LEFT(TEXT(A27-utc_offset/24,"HH"),1)&amp;"*"" /stext="" "&amp;TEXT(A27-utc_offset/24,"HH")&amp;search_regexp&amp;""" /e /r /s"</f>
        <v>"C:\Program Files (x86)\AstroGrep\AstroGrep.exe" /spath="%USERPROFILE%\AppData\Local\Temp\OnboardLogs" /stypes="*4028*201702072*" /stext=" 22:.+((SYSTEM_STATE.+slice.+state.+changed )|(ment ac)|(multiple cpu faults)|(system.+state.+changed )|(\[timeout)|(PRM\|1\|D)|(kpr)|(kdp)|(\|lc)|(penalty))" /e /r /s</v>
      </c>
      <c r="U27" s="9" t="str">
        <f>MID(B27,13,4)</f>
        <v>4028</v>
      </c>
      <c r="V27" s="32">
        <f>A27-utc_offset/24</f>
        <v>42773.955057870371</v>
      </c>
      <c r="W27" s="46" t="str">
        <f>IFERROR(IF(VALUE(LEFT(IF(LEN(C27)=6,"0"&amp;C27,C27),2))&lt;=2,"EC",IF(OR(VALUE(LEFT(IF(LEN(C27)=6,"0"&amp;C27,C27),2))=8,VALUE(LEFT(IF(LEN(C27)=6,"0"&amp;C27,C27),2))=18),"NW","Other")),"Other")</f>
        <v>NW</v>
      </c>
      <c r="X27" s="46" t="str">
        <f>IF(AND(E27="TRACK WARRANT AUTHORITY",G27&lt;10),"OMIT","KEEP")</f>
        <v>KEEP</v>
      </c>
      <c r="Y27" s="108" t="str">
        <f>"echo {""issue"":{""subject"":"""&amp;P27&amp;""",""project_id"":79,""tracker_id"":40,""status_id"":"&amp;redmine_status&amp;",""priority_id"":"&amp;redmine_priority&amp;",""assigned_to_id"":"&amp;redmine_assignee&amp;",""start_date"":"""&amp;TEXT(A27,"YYYY-mm-dd")&amp;""",""description"":"""&amp;Z27&amp;""",""custom_fields"":[{""id"":1,""name"":""Subdivision"",""value"":"""&amp;W27&amp;"""},{""id"":4,""name"":""Milepost"",""value"":"""&amp;K27/10000&amp;"""},{""id"":17,""name"":""Train ID"",""value"":"""&amp;C27&amp;"""},{""id"":16,""name"":""Locomotive ID"",""value"":"""&amp;U27&amp;"""},{""id"":130,""name"":""Impact"",""value"":"""&amp;AA27&amp;"""},{""id"":150,""name"":""Time of Event (Mountain Time)"",""value"":"""&amp;TEXT(A27,"hh:mm:ss")&amp;"""},{""id"":151,""name"":""Denver Issue ID"",""value"":"""&amp;"""},{""id"":178,""name"":""Operational Impact"",""value"":"""&amp;redmine_op_impact&amp;"""},{""id"":179,""name"":""Denver Segment Assigned"",""value"":"""&amp;AB27&amp;"""}]}}"&amp;"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{"issue":{"subject":"","project_id":79,"tracker_id":40,"status_id":1,"priority_id":2,"assigned_to_id":23,"start_date":"2017-02-07","description":"","custom_fields":[{"id":1,"name":"Subdivision","value":"NW"},{"id":4,"name":"Milepost","value":"0.0575"},{"id":17,"name":"Train ID","value":"826-07"},{"id":16,"name":"Locomotive ID","value":"4028"},{"id":130,"name":"Impact","value":""},{"id":150,"name":"Time of Event (Mountain Time)","value":"15:55:17"},{"id":151,"name":"Denver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48"/>
      <c r="AA27" s="48"/>
      <c r="AB27" s="48"/>
      <c r="AC27" s="127" t="str">
        <f>"grep -hSE -A400 ""Enforcement Action"" "&amp;search_path&amp;"\RTDC"&amp;U27&amp;"\*"&amp;U27&amp;"*"&amp;TEXT(A27-utc_offset/24,"YYYYMMDD")&amp;LEFT(TEXT(A27-utc_offset/24,"HH"),1)&amp;"* | grep -SE ""((Enforcement Ac)|(PRM))"" -"</f>
        <v>grep -hSE -A400 "Enforcement Action" "%USERPROFILE%\AppData\Local\Temp\OnboardLogs"\RTDC4028\*4028*201702072*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"&amp;TEXT(Variables!$A$2,"YYYY-MM-DD")&amp;"-SliceDisagreementCheck.txt"</f>
        <v>grep -hSE "Enforcement Action" "%USERPROFILE%\AppData\Local\Temp\OnboardLogs"\RTDC4028\*4028*201702072* &gt;&gt; 2017-02-07-SliceDisagreementCheck.txt</v>
      </c>
      <c r="AE27" s="161" t="str">
        <f>"start /low /b "&amp;dls3logs&amp;" --loco "&amp;U27&amp;" --day "&amp;TEXT(V27,"YYYY-MM-DD")</f>
        <v>start /low /b %USERPROFILE%\Documents\GitHub\eaglep3\Utilities\DownloadLogsFromS3.py --loco 4028 --day 2017-02-07</v>
      </c>
      <c r="AF27" s="1"/>
    </row>
    <row r="28" spans="1:32" x14ac:dyDescent="0.25">
      <c r="A28" s="32">
        <v>42773.685046296298</v>
      </c>
      <c r="B28" s="30" t="s">
        <v>290</v>
      </c>
      <c r="C28" s="30" t="s">
        <v>482</v>
      </c>
      <c r="D28" s="30" t="s">
        <v>49</v>
      </c>
      <c r="E28" s="30" t="s">
        <v>188</v>
      </c>
      <c r="F28" s="43">
        <v>0</v>
      </c>
      <c r="G28" s="43">
        <v>23</v>
      </c>
      <c r="H28" s="43">
        <v>622</v>
      </c>
      <c r="I28" s="43">
        <v>610</v>
      </c>
      <c r="J28" s="30" t="s">
        <v>189</v>
      </c>
      <c r="K28" s="43">
        <v>575</v>
      </c>
      <c r="L28" s="143" t="s">
        <v>51</v>
      </c>
      <c r="M28" s="144">
        <f>CONVERT((I28-K28)/10000,"mi","ft")*IF(L28="Increasing Mileposts (1)",-1,1)</f>
        <v>18.48</v>
      </c>
      <c r="N28" s="145" t="str">
        <f>VLOOKUP(C28,'Trips&amp;Operators'!$C$1:$G$99999,5,FALSE)</f>
        <v>HILLS DUSTIN</v>
      </c>
      <c r="O28" s="157" t="s">
        <v>185</v>
      </c>
      <c r="P28" s="146"/>
      <c r="Q28" s="30"/>
      <c r="R28" s="89" t="str">
        <f>VLOOKUP(C28,'Train Runs'!$A$13:$AE$9961,31,0)</f>
        <v>aws s3 cp s3://rtdc.mdm.uploadarchive.raw/RTDC4052/ "%USERPROFILE%\AppData\Local\Temp\OnboardLogs"\RTDC4052\2017-02-07 --exclude "*" --recursive --include "*20170207*" &amp; "%USERPROFILE%\Documents\GitHub\mrs-test-scripts\Headless Mode &amp; Sideloading\WalkAndUnGZ.bat" "%USERPROFILE%\AppData\Local\Temp\OnboardLogs"\RTDC4052\2017-02-07 &amp; aws s3 cp s3://rtdc.mdm.uploadarchive.raw/RTDC4052/ "%USERPROFILE%\AppData\Local\Temp\OnboardLogs"\RTDC4052\2017-02-08 --exclude "*" --recursive --include "*20170208*" &amp; "%USERPROFILE%\Documents\GitHub\mrs-test-scripts\Headless Mode &amp; Sideloading\WalkAndUnGZ.bat" "%USERPROFILE%\AppData\Local\Temp\OnboardLogs"\RTDC4052\2017-02-08</v>
      </c>
      <c r="S28" s="92" t="str">
        <f>VLOOKUP(C28,'Train Runs'!$A$13:$AE$9961,22,0)</f>
        <v>https://d0f6bd738d7f1b3e5a7ca70fe4ff75f0.us-east-1.aws.found.io/app/kibana#/discover/Steve-Slow-Train-Analysis-(2080s-and-2083s)?_g=(refreshInterval:(display:Off,pause:!f,section:0,value:0),time:(from:'2017-02-07T15:11:33-0700',mode:absolute,to:'2017-02-07T17:26:28-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28" s="94" t="str">
        <f>astrogrep_path&amp;" /spath="&amp;search_path&amp;" /stypes=""*"&amp;U28&amp;"*"&amp;TEXT(A28-utc_offset/24,"YYYYMMDD")&amp;LEFT(TEXT(A28-utc_offset/24,"HH"),1)&amp;"*"" /stext="" "&amp;TEXT(A28-utc_offset/24,"HH")&amp;search_regexp&amp;""" /e /r /s"</f>
        <v>"C:\Program Files (x86)\AstroGrep\AstroGrep.exe" /spath="%USERPROFILE%\AppData\Local\Temp\OnboardLogs" /stypes="*4052*201702072*" /stext=" 23:.+((SYSTEM_STATE.+slice.+state.+changed )|(ment ac)|(multiple cpu faults)|(system.+state.+changed )|(\[timeout)|(PRM\|1\|D)|(kpr)|(kdp)|(\|lc)|(penalty))" /e /r /s</v>
      </c>
      <c r="U28" s="9" t="str">
        <f>MID(B28,13,4)</f>
        <v>4052</v>
      </c>
      <c r="V28" s="32">
        <f>A28-utc_offset/24</f>
        <v>42773.976712962962</v>
      </c>
      <c r="W28" s="46" t="str">
        <f>IFERROR(IF(VALUE(LEFT(IF(LEN(C28)=6,"0"&amp;C28,C28),2))&lt;=2,"EC",IF(OR(VALUE(LEFT(IF(LEN(C28)=6,"0"&amp;C28,C28),2))=8,VALUE(LEFT(IF(LEN(C28)=6,"0"&amp;C28,C28),2))=18),"NW","Other")),"Other")</f>
        <v>NW</v>
      </c>
      <c r="X28" s="46" t="str">
        <f>IF(AND(E28="TRACK WARRANT AUTHORITY",G28&lt;10),"OMIT","KEEP")</f>
        <v>KEEP</v>
      </c>
      <c r="Y28" s="108" t="str">
        <f>"echo {""issue"":{""subject"":"""&amp;P28&amp;""",""project_id"":79,""tracker_id"":40,""status_id"":"&amp;redmine_status&amp;",""priority_id"":"&amp;redmine_priority&amp;",""assigned_to_id"":"&amp;redmine_assignee&amp;",""start_date"":"""&amp;TEXT(A28,"YYYY-mm-dd")&amp;""",""description"":"""&amp;Z28&amp;""",""custom_fields"":[{""id"":1,""name"":""Subdivision"",""value"":"""&amp;W28&amp;"""},{""id"":4,""name"":""Milepost"",""value"":"""&amp;K28/10000&amp;"""},{""id"":17,""name"":""Train ID"",""value"":"""&amp;C28&amp;"""},{""id"":16,""name"":""Locomotive ID"",""value"":"""&amp;U28&amp;"""},{""id"":130,""name"":""Impact"",""value"":"""&amp;AA28&amp;"""},{""id"":150,""name"":""Time of Event (Mountain Time)"",""value"":"""&amp;TEXT(A28,"hh:mm:ss")&amp;"""},{""id"":151,""name"":""Denver Issue ID"",""value"":"""&amp;"""},{""id"":178,""name"":""Operational Impact"",""value"":"""&amp;redmine_op_impact&amp;"""},{""id"":179,""name"":""Denver Segment Assigned"",""value"":"""&amp;AB28&amp;"""}]}}"&amp;"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{"issue":{"subject":"","project_id":79,"tracker_id":40,"status_id":1,"priority_id":2,"assigned_to_id":23,"start_date":"2017-02-07","description":"","custom_fields":[{"id":1,"name":"Subdivision","value":"NW"},{"id":4,"name":"Milepost","value":"0.0575"},{"id":17,"name":"Train ID","value":"828-07"},{"id":16,"name":"Locomotive ID","value":"4052"},{"id":130,"name":"Impact","value":""},{"id":150,"name":"Time of Event (Mountain Time)","value":"16:26:28"},{"id":151,"name":"Denver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48"/>
      <c r="AA28" s="48"/>
      <c r="AB28" s="48"/>
      <c r="AC28" s="127" t="str">
        <f>"grep -hSE -A400 ""Enforcement Action"" "&amp;search_path&amp;"\RTDC"&amp;U28&amp;"\*"&amp;U28&amp;"*"&amp;TEXT(A28-utc_offset/24,"YYYYMMDD")&amp;LEFT(TEXT(A28-utc_offset/24,"HH"),1)&amp;"* | grep -SE ""((Enforcement Ac)|(PRM))"" -"</f>
        <v>grep -hSE -A400 "Enforcement Action" "%USERPROFILE%\AppData\Local\Temp\OnboardLogs"\RTDC4052\*4052*201702072*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"&amp;TEXT(Variables!$A$2,"YYYY-MM-DD")&amp;"-SliceDisagreementCheck.txt"</f>
        <v>grep -hSE "Enforcement Action" "%USERPROFILE%\AppData\Local\Temp\OnboardLogs"\RTDC4052\*4052*201702072* &gt;&gt; 2017-02-07-SliceDisagreementCheck.txt</v>
      </c>
      <c r="AE28" s="161" t="str">
        <f>"start /low /b "&amp;dls3logs&amp;" --loco "&amp;U28&amp;" --day "&amp;TEXT(V28,"YYYY-MM-DD")</f>
        <v>start /low /b %USERPROFILE%\Documents\GitHub\eaglep3\Utilities\DownloadLogsFromS3.py --loco 4052 --day 2017-02-07</v>
      </c>
      <c r="AF28" s="1"/>
    </row>
    <row r="29" spans="1:32" x14ac:dyDescent="0.25">
      <c r="A29" s="32">
        <v>42773.705810185187</v>
      </c>
      <c r="B29" s="30" t="s">
        <v>231</v>
      </c>
      <c r="C29" s="30" t="s">
        <v>483</v>
      </c>
      <c r="D29" s="30" t="s">
        <v>49</v>
      </c>
      <c r="E29" s="30" t="s">
        <v>188</v>
      </c>
      <c r="F29" s="43">
        <v>0</v>
      </c>
      <c r="G29" s="43">
        <v>36</v>
      </c>
      <c r="H29" s="43">
        <v>708</v>
      </c>
      <c r="I29" s="43">
        <v>687</v>
      </c>
      <c r="J29" s="30" t="s">
        <v>189</v>
      </c>
      <c r="K29" s="43">
        <v>575</v>
      </c>
      <c r="L29" s="143" t="s">
        <v>51</v>
      </c>
      <c r="M29" s="144">
        <f>CONVERT((I29-K29)/10000,"mi","ft")*IF(L29="Increasing Mileposts (1)",-1,1)</f>
        <v>59.136000000000003</v>
      </c>
      <c r="N29" s="145" t="str">
        <f>VLOOKUP(C29,'Trips&amp;Operators'!$C$1:$G$99999,5,FALSE)</f>
        <v>STEWART MICHAEL</v>
      </c>
      <c r="O29" s="157" t="s">
        <v>185</v>
      </c>
      <c r="P29" s="146"/>
      <c r="Q29" s="30"/>
      <c r="R29" s="89" t="str">
        <f>VLOOKUP(C29,'Train Runs'!$A$13:$AE$9961,31,0)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S29" s="92" t="str">
        <f>VLOOKUP(C29,'Train Runs'!$A$13:$AE$9961,22,0)</f>
        <v>https://d0f6bd738d7f1b3e5a7ca70fe4ff75f0.us-east-1.aws.found.io/app/kibana#/discover/Steve-Slow-Train-Analysis-(2080s-and-2083s)?_g=(refreshInterval:(display:Off,pause:!f,section:0,value:0),time:(from:'2017-02-07T15:37:36-0700',mode:absolute,to:'2017-02-07T17:56:23-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29" s="94" t="str">
        <f>astrogrep_path&amp;" /spath="&amp;search_path&amp;" /stypes=""*"&amp;U29&amp;"*"&amp;TEXT(A29-utc_offset/24,"YYYYMMDD")&amp;LEFT(TEXT(A29-utc_offset/24,"HH"),1)&amp;"*"" /stext="" "&amp;TEXT(A29-utc_offset/24,"HH")&amp;search_regexp&amp;""" /e /r /s"</f>
        <v>"C:\Program Files (x86)\AstroGrep\AstroGrep.exe" /spath="%USERPROFILE%\AppData\Local\Temp\OnboardLogs" /stypes="*4028*201702072*" /stext=" 23:.+((SYSTEM_STATE.+slice.+state.+changed )|(ment ac)|(multiple cpu faults)|(system.+state.+changed )|(\[timeout)|(PRM\|1\|D)|(kpr)|(kdp)|(\|lc)|(penalty))" /e /r /s</v>
      </c>
      <c r="U29" s="9" t="str">
        <f>MID(B29,13,4)</f>
        <v>4028</v>
      </c>
      <c r="V29" s="32">
        <f>A29-utc_offset/24</f>
        <v>42773.997476851851</v>
      </c>
      <c r="W29" s="46" t="str">
        <f>IFERROR(IF(VALUE(LEFT(IF(LEN(C29)=6,"0"&amp;C29,C29),2))&lt;=2,"EC",IF(OR(VALUE(LEFT(IF(LEN(C29)=6,"0"&amp;C29,C29),2))=8,VALUE(LEFT(IF(LEN(C29)=6,"0"&amp;C29,C29),2))=18),"NW","Other")),"Other")</f>
        <v>NW</v>
      </c>
      <c r="X29" s="46" t="str">
        <f>IF(AND(E29="TRACK WARRANT AUTHORITY",G29&lt;10),"OMIT","KEEP")</f>
        <v>KEEP</v>
      </c>
      <c r="Y29" s="108" t="str">
        <f>"echo {""issue"":{""subject"":"""&amp;P29&amp;""",""project_id"":79,""tracker_id"":40,""status_id"":"&amp;redmine_status&amp;",""priority_id"":"&amp;redmine_priority&amp;",""assigned_to_id"":"&amp;redmine_assignee&amp;",""start_date"":"""&amp;TEXT(A29,"YYYY-mm-dd")&amp;""",""description"":"""&amp;Z29&amp;""",""custom_fields"":[{""id"":1,""name"":""Subdivision"",""value"":"""&amp;W29&amp;"""},{""id"":4,""name"":""Milepost"",""value"":"""&amp;K29/10000&amp;"""},{""id"":17,""name"":""Train ID"",""value"":"""&amp;C29&amp;"""},{""id"":16,""name"":""Locomotive ID"",""value"":"""&amp;U29&amp;"""},{""id"":130,""name"":""Impact"",""value"":"""&amp;AA29&amp;"""},{""id"":150,""name"":""Time of Event (Mountain Time)"",""value"":"""&amp;TEXT(A29,"hh:mm:ss")&amp;"""},{""id"":151,""name"":""Denver Issue ID"",""value"":"""&amp;"""},{""id"":178,""name"":""Operational Impact"",""value"":"""&amp;redmine_op_impact&amp;"""},{""id"":179,""name"":""Denver Segment Assigned"",""value"":"""&amp;AB29&amp;"""}]}}"&amp;"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{"issue":{"subject":"","project_id":79,"tracker_id":40,"status_id":1,"priority_id":2,"assigned_to_id":23,"start_date":"2017-02-07","description":"","custom_fields":[{"id":1,"name":"Subdivision","value":"NW"},{"id":4,"name":"Milepost","value":"0.0575"},{"id":17,"name":"Train ID","value":"830-07"},{"id":16,"name":"Locomotive ID","value":"4028"},{"id":130,"name":"Impact","value":""},{"id":150,"name":"Time of Event (Mountain Time)","value":"16:56:22"},{"id":151,"name":"Denver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48"/>
      <c r="AA29" s="48"/>
      <c r="AB29" s="48"/>
      <c r="AC29" s="127" t="str">
        <f>"grep -hSE -A400 ""Enforcement Action"" "&amp;search_path&amp;"\RTDC"&amp;U29&amp;"\*"&amp;U29&amp;"*"&amp;TEXT(A29-utc_offset/24,"YYYYMMDD")&amp;LEFT(TEXT(A29-utc_offset/24,"HH"),1)&amp;"* | grep -SE ""((Enforcement Ac)|(PRM))"" -"</f>
        <v>grep -hSE -A400 "Enforcement Action" "%USERPROFILE%\AppData\Local\Temp\OnboardLogs"\RTDC4028\*4028*201702072*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"&amp;TEXT(Variables!$A$2,"YYYY-MM-DD")&amp;"-SliceDisagreementCheck.txt"</f>
        <v>grep -hSE "Enforcement Action" "%USERPROFILE%\AppData\Local\Temp\OnboardLogs"\RTDC4028\*4028*201702072* &gt;&gt; 2017-02-07-SliceDisagreementCheck.txt</v>
      </c>
      <c r="AE29" s="161" t="str">
        <f>"start /low /b "&amp;dls3logs&amp;" --loco "&amp;U29&amp;" --day "&amp;TEXT(V29,"YYYY-MM-DD")</f>
        <v>start /low /b %USERPROFILE%\Documents\GitHub\eaglep3\Utilities\DownloadLogsFromS3.py --loco 4028 --day 2017-02-07</v>
      </c>
      <c r="AF29" s="1"/>
    </row>
    <row r="30" spans="1:32" x14ac:dyDescent="0.25">
      <c r="A30" s="32">
        <v>42773.726168981484</v>
      </c>
      <c r="B30" s="30" t="s">
        <v>290</v>
      </c>
      <c r="C30" s="30" t="s">
        <v>485</v>
      </c>
      <c r="D30" s="30" t="s">
        <v>49</v>
      </c>
      <c r="E30" s="30" t="s">
        <v>188</v>
      </c>
      <c r="F30" s="43">
        <v>0</v>
      </c>
      <c r="G30" s="43">
        <v>39</v>
      </c>
      <c r="H30" s="43">
        <v>675</v>
      </c>
      <c r="I30" s="43">
        <v>626</v>
      </c>
      <c r="J30" s="30" t="s">
        <v>189</v>
      </c>
      <c r="K30" s="43">
        <v>575</v>
      </c>
      <c r="L30" s="143" t="s">
        <v>51</v>
      </c>
      <c r="M30" s="144">
        <f>CONVERT((I30-K30)/10000,"mi","ft")*IF(L30="Increasing Mileposts (1)",-1,1)</f>
        <v>26.928000000000001</v>
      </c>
      <c r="N30" s="145" t="str">
        <f>VLOOKUP(C30,'Trips&amp;Operators'!$C$1:$G$99999,5,FALSE)</f>
        <v>HILLS DUSTIN</v>
      </c>
      <c r="O30" s="157" t="s">
        <v>185</v>
      </c>
      <c r="P30" s="146"/>
      <c r="Q30" s="30"/>
      <c r="R30" s="89" t="str">
        <f>VLOOKUP(C30,'Train Runs'!$A$13:$AE$9961,31,0)</f>
        <v>aws s3 cp s3://rtdc.mdm.uploadarchive.raw/RTDC4052/ "%USERPROFILE%\AppData\Local\Temp\OnboardLogs"\RTDC4052\2017-02-07 --exclude "*" --recursive --include "*20170207*" &amp; "%USERPROFILE%\Documents\GitHub\mrs-test-scripts\Headless Mode &amp; Sideloading\WalkAndUnGZ.bat" "%USERPROFILE%\AppData\Local\Temp\OnboardLogs"\RTDC4052\2017-02-07 &amp; aws s3 cp s3://rtdc.mdm.uploadarchive.raw/RTDC4052/ "%USERPROFILE%\AppData\Local\Temp\OnboardLogs"\RTDC4052\2017-02-08 --exclude "*" --recursive --include "*20170208*" &amp; "%USERPROFILE%\Documents\GitHub\mrs-test-scripts\Headless Mode &amp; Sideloading\WalkAndUnGZ.bat" "%USERPROFILE%\AppData\Local\Temp\OnboardLogs"\RTDC4052\2017-02-08</v>
      </c>
      <c r="S30" s="92" t="str">
        <f>VLOOKUP(C30,'Train Runs'!$A$13:$AE$9961,22,0)</f>
        <v>https://d0f6bd738d7f1b3e5a7ca70fe4ff75f0.us-east-1.aws.found.io/app/kibana#/discover/Steve-Slow-Train-Analysis-(2080s-and-2083s)?_g=(refreshInterval:(display:Off,pause:!f,section:0,value:0),time:(from:'2017-02-07T16:06:57-0700',mode:absolute,to:'2017-02-07T18:25:41-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30" s="94" t="str">
        <f>astrogrep_path&amp;" /spath="&amp;search_path&amp;" /stypes=""*"&amp;U30&amp;"*"&amp;TEXT(A30-utc_offset/24,"YYYYMMDD")&amp;LEFT(TEXT(A30-utc_offset/24,"HH"),1)&amp;"*"" /stext="" "&amp;TEXT(A30-utc_offset/24,"HH")&amp;search_regexp&amp;""" /e /r /s"</f>
        <v>"C:\Program Files (x86)\AstroGrep\AstroGrep.exe" /spath="%USERPROFILE%\AppData\Local\Temp\OnboardLogs" /stypes="*4052*201702080*" /stext=" 00:.+((SYSTEM_STATE.+slice.+state.+changed )|(ment ac)|(multiple cpu faults)|(system.+state.+changed )|(\[timeout)|(PRM\|1\|D)|(kpr)|(kdp)|(\|lc)|(penalty))" /e /r /s</v>
      </c>
      <c r="U30" s="9" t="str">
        <f>MID(B30,13,4)</f>
        <v>4052</v>
      </c>
      <c r="V30" s="32">
        <f>A30-utc_offset/24</f>
        <v>42774.017835648148</v>
      </c>
      <c r="W30" s="46" t="str">
        <f>IFERROR(IF(VALUE(LEFT(IF(LEN(C30)=6,"0"&amp;C30,C30),2))&lt;=2,"EC",IF(OR(VALUE(LEFT(IF(LEN(C30)=6,"0"&amp;C30,C30),2))=8,VALUE(LEFT(IF(LEN(C30)=6,"0"&amp;C30,C30),2))=18),"NW","Other")),"Other")</f>
        <v>NW</v>
      </c>
      <c r="X30" s="46" t="str">
        <f>IF(AND(E30="TRACK WARRANT AUTHORITY",G30&lt;10),"OMIT","KEEP")</f>
        <v>KEEP</v>
      </c>
      <c r="Y30" s="108" t="str">
        <f>"echo {""issue"":{""subject"":"""&amp;P30&amp;""",""project_id"":79,""tracker_id"":40,""status_id"":"&amp;redmine_status&amp;",""priority_id"":"&amp;redmine_priority&amp;",""assigned_to_id"":"&amp;redmine_assignee&amp;",""start_date"":"""&amp;TEXT(A30,"YYYY-mm-dd")&amp;""",""description"":"""&amp;Z30&amp;""",""custom_fields"":[{""id"":1,""name"":""Subdivision"",""value"":"""&amp;W30&amp;"""},{""id"":4,""name"":""Milepost"",""value"":"""&amp;K30/10000&amp;"""},{""id"":17,""name"":""Train ID"",""value"":"""&amp;C30&amp;"""},{""id"":16,""name"":""Locomotive ID"",""value"":"""&amp;U30&amp;"""},{""id"":130,""name"":""Impact"",""value"":"""&amp;AA30&amp;"""},{""id"":150,""name"":""Time of Event (Mountain Time)"",""value"":"""&amp;TEXT(A30,"hh:mm:ss")&amp;"""},{""id"":151,""name"":""Denver Issue ID"",""value"":"""&amp;"""},{""id"":178,""name"":""Operational Impact"",""value"":"""&amp;redmine_op_impact&amp;"""},{""id"":179,""name"":""Denver Segment Assigned"",""value"":"""&amp;AB30&amp;"""}]}}"&amp;"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{"issue":{"subject":"","project_id":79,"tracker_id":40,"status_id":1,"priority_id":2,"assigned_to_id":23,"start_date":"2017-02-07","description":"","custom_fields":[{"id":1,"name":"Subdivision","value":"NW"},{"id":4,"name":"Milepost","value":"0.0575"},{"id":17,"name":"Train ID","value":"832-07"},{"id":16,"name":"Locomotive ID","value":"4052"},{"id":130,"name":"Impact","value":""},{"id":150,"name":"Time of Event (Mountain Time)","value":"17:25:41"},{"id":151,"name":"Denver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48"/>
      <c r="AA30" s="48"/>
      <c r="AB30" s="48"/>
      <c r="AC30" s="127" t="str">
        <f>"grep -hSE -A400 ""Enforcement Action"" "&amp;search_path&amp;"\RTDC"&amp;U30&amp;"\*"&amp;U30&amp;"*"&amp;TEXT(A30-utc_offset/24,"YYYYMMDD")&amp;LEFT(TEXT(A30-utc_offset/24,"HH"),1)&amp;"* | grep -SE ""((Enforcement Ac)|(PRM))"" -"</f>
        <v>grep -hSE -A400 "Enforcement Action" "%USERPROFILE%\AppData\Local\Temp\OnboardLogs"\RTDC4052\*4052*201702080*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"&amp;TEXT(Variables!$A$2,"YYYY-MM-DD")&amp;"-SliceDisagreementCheck.txt"</f>
        <v>grep -hSE "Enforcement Action" "%USERPROFILE%\AppData\Local\Temp\OnboardLogs"\RTDC4052\*4052*201702080* &gt;&gt; 2017-02-07-SliceDisagreementCheck.txt</v>
      </c>
      <c r="AE30" s="161" t="str">
        <f>"start /low /b "&amp;dls3logs&amp;" --loco "&amp;U30&amp;" --day "&amp;TEXT(V30,"YYYY-MM-DD")</f>
        <v>start /low /b %USERPROFILE%\Documents\GitHub\eaglep3\Utilities\DownloadLogsFromS3.py --loco 4052 --day 2017-02-08</v>
      </c>
      <c r="AF30" s="1"/>
    </row>
    <row r="31" spans="1:32" x14ac:dyDescent="0.25">
      <c r="A31" s="32">
        <v>42773.829826388886</v>
      </c>
      <c r="B31" s="30" t="s">
        <v>231</v>
      </c>
      <c r="C31" s="30" t="s">
        <v>493</v>
      </c>
      <c r="D31" s="30" t="s">
        <v>49</v>
      </c>
      <c r="E31" s="30" t="s">
        <v>188</v>
      </c>
      <c r="F31" s="43">
        <v>0</v>
      </c>
      <c r="G31" s="43">
        <v>29</v>
      </c>
      <c r="H31" s="43">
        <v>656</v>
      </c>
      <c r="I31" s="43">
        <v>635</v>
      </c>
      <c r="J31" s="30" t="s">
        <v>189</v>
      </c>
      <c r="K31" s="43">
        <v>575</v>
      </c>
      <c r="L31" s="143" t="s">
        <v>51</v>
      </c>
      <c r="M31" s="144">
        <f>CONVERT((I31-K31)/10000,"mi","ft")*IF(L31="Increasing Mileposts (1)",-1,1)</f>
        <v>31.68</v>
      </c>
      <c r="N31" s="145" t="str">
        <f>VLOOKUP(C31,'Trips&amp;Operators'!$C$1:$G$99999,5,FALSE)</f>
        <v>LEVIN SCOTT</v>
      </c>
      <c r="O31" s="157" t="s">
        <v>185</v>
      </c>
      <c r="P31" s="146"/>
      <c r="Q31" s="30"/>
      <c r="R31" s="89" t="str">
        <f>VLOOKUP(C31,'Train Runs'!$A$13:$AE$9961,31,0)</f>
        <v>aws s3 cp s3://rtdc.mdm.uploadarchive.raw/RTDC4028/ "%USERPROFILE%\AppData\Local\Temp\OnboardLogs"\RTDC4028\2017-02-07 --exclude "*" --recursive --include "*20170207*" &amp; "%USERPROFILE%\Documents\GitHub\mrs-test-scripts\Headless Mode &amp; Sideloading\WalkAndUnGZ.bat" "%USERPROFILE%\AppData\Local\Temp\OnboardLogs"\RTDC4028\2017-02-07 &amp; aws s3 cp s3://rtdc.mdm.uploadarchive.raw/RTDC4028/ "%USERPROFILE%\AppData\Local\Temp\OnboardLogs"\RTDC4028\2017-02-08 --exclude "*" --recursive --include "*20170208*" &amp; "%USERPROFILE%\Documents\GitHub\mrs-test-scripts\Headless Mode &amp; Sideloading\WalkAndUnGZ.bat" "%USERPROFILE%\AppData\Local\Temp\OnboardLogs"\RTDC4028\2017-02-08</v>
      </c>
      <c r="S31" s="92" t="str">
        <f>VLOOKUP(C31,'Train Runs'!$A$13:$AE$9961,22,0)</f>
        <v>https://d0f6bd738d7f1b3e5a7ca70fe4ff75f0.us-east-1.aws.found.io/app/kibana#/discover/Steve-Slow-Train-Analysis-(2080s-and-2083s)?_g=(refreshInterval:(display:Off,pause:!f,section:0,value:0),time:(from:'2017-02-07T18:36:16-0700',mode:absolute,to:'2017-02-07T20:54:58-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4028%22')),sort:!(Time.ISO8601,asc))</v>
      </c>
      <c r="T31" s="94" t="str">
        <f>astrogrep_path&amp;" /spath="&amp;search_path&amp;" /stypes=""*"&amp;U31&amp;"*"&amp;TEXT(A31-utc_offset/24,"YYYYMMDD")&amp;LEFT(TEXT(A31-utc_offset/24,"HH"),1)&amp;"*"" /stext="" "&amp;TEXT(A31-utc_offset/24,"HH")&amp;search_regexp&amp;""" /e /r /s"</f>
        <v>"C:\Program Files (x86)\AstroGrep\AstroGrep.exe" /spath="%USERPROFILE%\AppData\Local\Temp\OnboardLogs" /stypes="*4028*201702080*" /stext=" 02:.+((SYSTEM_STATE.+slice.+state.+changed )|(ment ac)|(multiple cpu faults)|(system.+state.+changed )|(\[timeout)|(PRM\|1\|D)|(kpr)|(kdp)|(\|lc)|(penalty))" /e /r /s</v>
      </c>
      <c r="U31" s="9" t="str">
        <f>MID(B31,13,4)</f>
        <v>4028</v>
      </c>
      <c r="V31" s="32">
        <f>A31-utc_offset/24</f>
        <v>42774.121493055551</v>
      </c>
      <c r="W31" s="46" t="str">
        <f>IFERROR(IF(VALUE(LEFT(IF(LEN(C31)=6,"0"&amp;C31,C31),2))&lt;=2,"EC",IF(OR(VALUE(LEFT(IF(LEN(C31)=6,"0"&amp;C31,C31),2))=8,VALUE(LEFT(IF(LEN(C31)=6,"0"&amp;C31,C31),2))=18),"NW","Other")),"Other")</f>
        <v>NW</v>
      </c>
      <c r="X31" s="46" t="str">
        <f>IF(AND(E31="TRACK WARRANT AUTHORITY",G31&lt;10),"OMIT","KEEP")</f>
        <v>KEEP</v>
      </c>
      <c r="Y31" s="108" t="str">
        <f>"echo {""issue"":{""subject"":"""&amp;P31&amp;""",""project_id"":79,""tracker_id"":40,""status_id"":"&amp;redmine_status&amp;",""priority_id"":"&amp;redmine_priority&amp;",""assigned_to_id"":"&amp;redmine_assignee&amp;",""start_date"":"""&amp;TEXT(A31,"YYYY-mm-dd")&amp;""",""description"":"""&amp;Z31&amp;""",""custom_fields"":[{""id"":1,""name"":""Subdivision"",""value"":"""&amp;W31&amp;"""},{""id"":4,""name"":""Milepost"",""value"":"""&amp;K31/10000&amp;"""},{""id"":17,""name"":""Train ID"",""value"":"""&amp;C31&amp;"""},{""id"":16,""name"":""Locomotive ID"",""value"":"""&amp;U31&amp;"""},{""id"":130,""name"":""Impact"",""value"":"""&amp;AA31&amp;"""},{""id"":150,""name"":""Time of Event (Mountain Time)"",""value"":"""&amp;TEXT(A31,"hh:mm:ss")&amp;"""},{""id"":151,""name"":""Denver Issue ID"",""value"":"""&amp;"""},{""id"":178,""name"":""Operational Impact"",""value"":"""&amp;redmine_op_impact&amp;"""},{""id"":179,""name"":""Denver Segment Assigned"",""value"":"""&amp;AB31&amp;"""}]}}"&amp;"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{"issue":{"subject":"","project_id":79,"tracker_id":40,"status_id":1,"priority_id":2,"assigned_to_id":23,"start_date":"2017-02-07","description":"","custom_fields":[{"id":1,"name":"Subdivision","value":"NW"},{"id":4,"name":"Milepost","value":"0.0575"},{"id":17,"name":"Train ID","value":"840-07"},{"id":16,"name":"Locomotive ID","value":"4028"},{"id":130,"name":"Impact","value":""},{"id":150,"name":"Time of Event (Mountain Time)","value":"19:54:57"},{"id":151,"name":"Denver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48"/>
      <c r="AA31" s="48"/>
      <c r="AB31" s="48"/>
      <c r="AC31" s="127" t="str">
        <f>"grep -hSE -A400 ""Enforcement Action"" "&amp;search_path&amp;"\RTDC"&amp;U31&amp;"\*"&amp;U31&amp;"*"&amp;TEXT(A31-utc_offset/24,"YYYYMMDD")&amp;LEFT(TEXT(A31-utc_offset/24,"HH"),1)&amp;"* | grep -SE ""((Enforcement Ac)|(PRM))"" -"</f>
        <v>grep -hSE -A400 "Enforcement Action" "%USERPROFILE%\AppData\Local\Temp\OnboardLogs"\RTDC4028\*4028*201702080*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"&amp;TEXT(Variables!$A$2,"YYYY-MM-DD")&amp;"-SliceDisagreementCheck.txt"</f>
        <v>grep -hSE "Enforcement Action" "%USERPROFILE%\AppData\Local\Temp\OnboardLogs"\RTDC4028\*4028*201702080* &gt;&gt; 2017-02-07-SliceDisagreementCheck.txt</v>
      </c>
      <c r="AE31" s="161" t="str">
        <f>"start /low /b "&amp;dls3logs&amp;" --loco "&amp;U31&amp;" --day "&amp;TEXT(V31,"YYYY-MM-DD")</f>
        <v>start /low /b %USERPROFILE%\Documents\GitHub\eaglep3\Utilities\DownloadLogsFromS3.py --loco 4028 --day 2017-02-08</v>
      </c>
      <c r="AF31" s="1"/>
    </row>
    <row r="32" spans="1:32" x14ac:dyDescent="0.25">
      <c r="A32" s="32">
        <v>42773.482592592591</v>
      </c>
      <c r="B32" s="30" t="s">
        <v>232</v>
      </c>
      <c r="C32" s="30" t="s">
        <v>472</v>
      </c>
      <c r="D32" s="30" t="s">
        <v>49</v>
      </c>
      <c r="E32" s="30" t="s">
        <v>188</v>
      </c>
      <c r="F32" s="43">
        <v>0</v>
      </c>
      <c r="G32" s="43">
        <v>86</v>
      </c>
      <c r="H32" s="43">
        <v>58777</v>
      </c>
      <c r="I32" s="43">
        <v>58882</v>
      </c>
      <c r="J32" s="30" t="s">
        <v>189</v>
      </c>
      <c r="K32" s="43">
        <v>59048</v>
      </c>
      <c r="L32" s="143" t="s">
        <v>50</v>
      </c>
      <c r="M32" s="144">
        <f>CONVERT((I32-K32)/10000,"mi","ft")*IF(L32="Increasing Mileposts (1)",-1,1)</f>
        <v>87.647999999999996</v>
      </c>
      <c r="N32" s="145" t="str">
        <f>VLOOKUP(C32,'Trips&amp;Operators'!$C$1:$G$99999,5,FALSE)</f>
        <v>BROWN JACOB</v>
      </c>
      <c r="O32" s="157" t="s">
        <v>185</v>
      </c>
      <c r="P32" s="146"/>
      <c r="Q32" s="30"/>
      <c r="R32" s="89" t="str">
        <f>VLOOKUP(C32,'Train Runs'!$A$13:$AE$9961,31,0)</f>
        <v>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 &amp; 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</v>
      </c>
      <c r="S32" s="92" t="str">
        <f>VLOOKUP(C32,'Train Runs'!$A$13:$AE$9961,22,0)</f>
        <v>https://d0f6bd738d7f1b3e5a7ca70fe4ff75f0.us-east-1.aws.found.io/app/kibana#/discover/Steve-Slow-Train-Analysis-(2080s-and-2083s)?_g=(refreshInterval:(display:Off,pause:!f,section:0,value:0),time:(from:'2017-02-07T10:11:40-0700',mode:absolute,to:'2017-02-07T12:34:56-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2" s="94" t="str">
        <f>astrogrep_path&amp;" /spath="&amp;search_path&amp;" /stypes=""*"&amp;U32&amp;"*"&amp;TEXT(A32-utc_offset/24,"YYYYMMDD")&amp;LEFT(TEXT(A32-utc_offset/24,"HH"),1)&amp;"*"" /stext="" "&amp;TEXT(A32-utc_offset/24,"HH")&amp;search_regexp&amp;""" /e /r /s"</f>
        <v>"C:\Program Files (x86)\AstroGrep\AstroGrep.exe" /spath="%USERPROFILE%\AppData\Local\Temp\OnboardLogs" /stypes="*4027*201702071*" /stext=" 18:.+((SYSTEM_STATE.+slice.+state.+changed )|(ment ac)|(multiple cpu faults)|(system.+state.+changed )|(\[timeout)|(PRM\|1\|D)|(kpr)|(kdp)|(\|lc)|(penalty))" /e /r /s</v>
      </c>
      <c r="U32" s="9" t="str">
        <f>MID(B32,13,4)</f>
        <v>4027</v>
      </c>
      <c r="V32" s="32">
        <f>A32-utc_offset/24</f>
        <v>42773.774259259255</v>
      </c>
      <c r="W32" s="46" t="str">
        <f>IFERROR(IF(VALUE(LEFT(IF(LEN(C32)=6,"0"&amp;C32,C32),2))&lt;=2,"EC",IF(OR(VALUE(LEFT(IF(LEN(C32)=6,"0"&amp;C32,C32),2))=8,VALUE(LEFT(IF(LEN(C32)=6,"0"&amp;C32,C32),2))=18),"NW","Other")),"Other")</f>
        <v>NW</v>
      </c>
      <c r="X32" s="46" t="str">
        <f>IF(AND(E32="TRACK WARRANT AUTHORITY",G32&lt;10),"OMIT","KEEP")</f>
        <v>KEEP</v>
      </c>
      <c r="Y32" s="108" t="str">
        <f>"echo {""issue"":{""subject"":"""&amp;P32&amp;""",""project_id"":79,""tracker_id"":40,""status_id"":"&amp;redmine_status&amp;",""priority_id"":"&amp;redmine_priority&amp;",""assigned_to_id"":"&amp;redmine_assignee&amp;",""start_date"":"""&amp;TEXT(A32,"YYYY-mm-dd")&amp;""",""description"":"""&amp;Z32&amp;""",""custom_fields"":[{""id"":1,""name"":""Subdivision"",""value"":"""&amp;W32&amp;"""},{""id"":4,""name"":""Milepost"",""value"":"""&amp;K32/10000&amp;"""},{""id"":17,""name"":""Train ID"",""value"":"""&amp;C32&amp;"""},{""id"":16,""name"":""Locomotive ID"",""value"":"""&amp;U32&amp;"""},{""id"":130,""name"":""Impact"",""value"":"""&amp;AA32&amp;"""},{""id"":150,""name"":""Time of Event (Mountain Time)"",""value"":"""&amp;TEXT(A32,"hh:mm:ss")&amp;"""},{""id"":151,""name"":""Denver Issue ID"",""value"":"""&amp;"""},{""id"":178,""name"":""Operational Impact"",""value"":"""&amp;redmine_op_impact&amp;"""},{""id"":179,""name"":""Denver Segment Assigned"",""value"":"""&amp;AB32&amp;"""}]}}"&amp;"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{"issue":{"subject":"","project_id":79,"tracker_id":40,"status_id":1,"priority_id":2,"assigned_to_id":23,"start_date":"2017-02-07","description":"","custom_fields":[{"id":1,"name":"Subdivision","value":"NW"},{"id":4,"name":"Milepost","value":"5.9048"},{"id":17,"name":"Train ID","value":"817-07"},{"id":16,"name":"Locomotive ID","value":"4027"},{"id":130,"name":"Impact","value":""},{"id":150,"name":"Time of Event (Mountain Time)","value":"11:34:56"},{"id":151,"name":"Denver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48"/>
      <c r="AA32" s="48"/>
      <c r="AB32" s="48"/>
      <c r="AC32" s="127" t="str">
        <f>"grep -hSE -A400 ""Enforcement Action"" "&amp;search_path&amp;"\RTDC"&amp;U32&amp;"\*"&amp;U32&amp;"*"&amp;TEXT(A32-utc_offset/24,"YYYYMMDD")&amp;LEFT(TEXT(A32-utc_offset/24,"HH"),1)&amp;"* | grep -SE ""((Enforcement Ac)|(PRM))"" -"</f>
        <v>grep -hSE -A400 "Enforcement Action" "%USERPROFILE%\AppData\Local\Temp\OnboardLogs"\RTDC4027\*4027*201702071*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"&amp;TEXT(Variables!$A$2,"YYYY-MM-DD")&amp;"-SliceDisagreementCheck.txt"</f>
        <v>grep -hSE "Enforcement Action" "%USERPROFILE%\AppData\Local\Temp\OnboardLogs"\RTDC4027\*4027*201702071* &gt;&gt; 2017-02-07-SliceDisagreementCheck.txt</v>
      </c>
      <c r="AE32" s="161" t="str">
        <f>"start /low /b "&amp;dls3logs&amp;" --loco "&amp;U32&amp;" --day "&amp;TEXT(V32,"YYYY-MM-DD")</f>
        <v>start /low /b %USERPROFILE%\Documents\GitHub\eaglep3\Utilities\DownloadLogsFromS3.py --loco 4027 --day 2017-02-07</v>
      </c>
      <c r="AF32" s="1"/>
    </row>
    <row r="33" spans="1:32" x14ac:dyDescent="0.25">
      <c r="A33" s="32">
        <v>42773.673634259256</v>
      </c>
      <c r="B33" s="30" t="s">
        <v>289</v>
      </c>
      <c r="C33" s="30" t="s">
        <v>481</v>
      </c>
      <c r="D33" s="30" t="s">
        <v>49</v>
      </c>
      <c r="E33" s="30" t="s">
        <v>188</v>
      </c>
      <c r="F33" s="43">
        <v>0</v>
      </c>
      <c r="G33" s="43">
        <v>17</v>
      </c>
      <c r="H33" s="43">
        <v>59029</v>
      </c>
      <c r="I33" s="43">
        <v>59037</v>
      </c>
      <c r="J33" s="30" t="s">
        <v>189</v>
      </c>
      <c r="K33" s="43">
        <v>59048</v>
      </c>
      <c r="L33" s="143" t="s">
        <v>50</v>
      </c>
      <c r="M33" s="144">
        <f>CONVERT((I33-K33)/10000,"mi","ft")*IF(L33="Increasing Mileposts (1)",-1,1)</f>
        <v>5.8079999999999998</v>
      </c>
      <c r="N33" s="145" t="str">
        <f>VLOOKUP(C33,'Trips&amp;Operators'!$C$1:$G$99999,5,FALSE)</f>
        <v>HILLS DUSTIN</v>
      </c>
      <c r="O33" s="157" t="s">
        <v>185</v>
      </c>
      <c r="P33" s="146"/>
      <c r="Q33" s="30"/>
      <c r="R33" s="89" t="str">
        <f>VLOOKUP(C33,'Train Runs'!$A$13:$AE$9961,31,0)</f>
        <v>aws s3 cp s3://rtdc.mdm.uploadarchive.raw/RTDC4051/ "%USERPROFILE%\AppData\Local\Temp\OnboardLogs"\RTDC4051\2017-02-07 --exclude "*" --recursive --include "*20170207*" &amp; "%USERPROFILE%\Documents\GitHub\mrs-test-scripts\Headless Mode &amp; Sideloading\WalkAndUnGZ.bat" "%USERPROFILE%\AppData\Local\Temp\OnboardLogs"\RTDC4051\2017-02-07 &amp; 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</v>
      </c>
      <c r="S33" s="92" t="str">
        <f>VLOOKUP(C33,'Train Runs'!$A$13:$AE$9961,22,0)</f>
        <v>https://d0f6bd738d7f1b3e5a7ca70fe4ff75f0.us-east-1.aws.found.io/app/kibana#/discover/Steve-Slow-Train-Analysis-(2080s-and-2083s)?_g=(refreshInterval:(display:Off,pause:!f,section:0,value:0),time:(from:'2017-02-07T14:38:24-0700',mode:absolute,to:'2017-02-07T17:09:53-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3" s="94" t="str">
        <f>astrogrep_path&amp;" /spath="&amp;search_path&amp;" /stypes=""*"&amp;U33&amp;"*"&amp;TEXT(A33-utc_offset/24,"YYYYMMDD")&amp;LEFT(TEXT(A33-utc_offset/24,"HH"),1)&amp;"*"" /stext="" "&amp;TEXT(A33-utc_offset/24,"HH")&amp;search_regexp&amp;""" /e /r /s"</f>
        <v>"C:\Program Files (x86)\AstroGrep\AstroGrep.exe" /spath="%USERPROFILE%\AppData\Local\Temp\OnboardLogs" /stypes="*4051*201702072*" /stext=" 23:.+((SYSTEM_STATE.+slice.+state.+changed )|(ment ac)|(multiple cpu faults)|(system.+state.+changed )|(\[timeout)|(PRM\|1\|D)|(kpr)|(kdp)|(\|lc)|(penalty))" /e /r /s</v>
      </c>
      <c r="U33" s="9" t="str">
        <f>MID(B33,13,4)</f>
        <v>4051</v>
      </c>
      <c r="V33" s="32">
        <f>A33-utc_offset/24</f>
        <v>42773.96530092592</v>
      </c>
      <c r="W33" s="46" t="str">
        <f>IFERROR(IF(VALUE(LEFT(IF(LEN(C33)=6,"0"&amp;C33,C33),2))&lt;=2,"EC",IF(OR(VALUE(LEFT(IF(LEN(C33)=6,"0"&amp;C33,C33),2))=8,VALUE(LEFT(IF(LEN(C33)=6,"0"&amp;C33,C33),2))=18),"NW","Other")),"Other")</f>
        <v>NW</v>
      </c>
      <c r="X33" s="46" t="str">
        <f>IF(AND(E33="TRACK WARRANT AUTHORITY",G33&lt;10),"OMIT","KEEP")</f>
        <v>KEEP</v>
      </c>
      <c r="Y33" s="108" t="str">
        <f>"echo {""issue"":{""subject"":"""&amp;P33&amp;""",""project_id"":79,""tracker_id"":40,""status_id"":"&amp;redmine_status&amp;",""priority_id"":"&amp;redmine_priority&amp;",""assigned_to_id"":"&amp;redmine_assignee&amp;",""start_date"":"""&amp;TEXT(A33,"YYYY-mm-dd")&amp;""",""description"":"""&amp;Z33&amp;""",""custom_fields"":[{""id"":1,""name"":""Subdivision"",""value"":"""&amp;W33&amp;"""},{""id"":4,""name"":""Milepost"",""value"":"""&amp;K33/10000&amp;"""},{""id"":17,""name"":""Train ID"",""value"":"""&amp;C33&amp;"""},{""id"":16,""name"":""Locomotive ID"",""value"":"""&amp;U33&amp;"""},{""id"":130,""name"":""Impact"",""value"":"""&amp;AA33&amp;"""},{""id"":150,""name"":""Time of Event (Mountain Time)"",""value"":"""&amp;TEXT(A33,"hh:mm:ss")&amp;"""},{""id"":151,""name"":""Denver Issue ID"",""value"":"""&amp;"""},{""id"":178,""name"":""Operational Impact"",""value"":"""&amp;redmine_op_impact&amp;"""},{""id"":179,""name"":""Denver Segment Assigned"",""value"":"""&amp;AB33&amp;"""}]}}"&amp;"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{"issue":{"subject":"","project_id":79,"tracker_id":40,"status_id":1,"priority_id":2,"assigned_to_id":23,"start_date":"2017-02-07","description":"","custom_fields":[{"id":1,"name":"Subdivision","value":"NW"},{"id":4,"name":"Milepost","value":"5.9048"},{"id":17,"name":"Train ID","value":"827-07"},{"id":16,"name":"Locomotive ID","value":"4051"},{"id":130,"name":"Impact","value":""},{"id":150,"name":"Time of Event (Mountain Time)","value":"16:10:02"},{"id":151,"name":"Denver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48"/>
      <c r="AA33" s="48"/>
      <c r="AB33" s="48"/>
      <c r="AC33" s="127" t="str">
        <f>"grep -hSE -A400 ""Enforcement Action"" "&amp;search_path&amp;"\RTDC"&amp;U33&amp;"\*"&amp;U33&amp;"*"&amp;TEXT(A33-utc_offset/24,"YYYYMMDD")&amp;LEFT(TEXT(A33-utc_offset/24,"HH"),1)&amp;"* | grep -SE ""((Enforcement Ac)|(PRM))"" -"</f>
        <v>grep -hSE -A400 "Enforcement Action" "%USERPROFILE%\AppData\Local\Temp\OnboardLogs"\RTDC4051\*4051*201702072*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"&amp;TEXT(Variables!$A$2,"YYYY-MM-DD")&amp;"-SliceDisagreementCheck.txt"</f>
        <v>grep -hSE "Enforcement Action" "%USERPROFILE%\AppData\Local\Temp\OnboardLogs"\RTDC4051\*4051*201702072* &gt;&gt; 2017-02-07-SliceDisagreementCheck.txt</v>
      </c>
      <c r="AE33" s="161" t="str">
        <f>"start /low /b "&amp;dls3logs&amp;" --loco "&amp;U33&amp;" --day "&amp;TEXT(V33,"YYYY-MM-DD")</f>
        <v>start /low /b %USERPROFILE%\Documents\GitHub\eaglep3\Utilities\DownloadLogsFromS3.py --loco 4051 --day 2017-02-07</v>
      </c>
      <c r="AF33" s="1"/>
    </row>
    <row r="34" spans="1:32" x14ac:dyDescent="0.25">
      <c r="A34" s="32">
        <v>42773.711423611108</v>
      </c>
      <c r="B34" s="30" t="s">
        <v>289</v>
      </c>
      <c r="C34" s="30" t="s">
        <v>484</v>
      </c>
      <c r="D34" s="30" t="s">
        <v>49</v>
      </c>
      <c r="E34" s="30" t="s">
        <v>188</v>
      </c>
      <c r="F34" s="43">
        <v>0</v>
      </c>
      <c r="G34" s="43">
        <v>78</v>
      </c>
      <c r="H34" s="43">
        <v>58784</v>
      </c>
      <c r="I34" s="43">
        <v>58877</v>
      </c>
      <c r="J34" s="30" t="s">
        <v>189</v>
      </c>
      <c r="K34" s="43">
        <v>59048</v>
      </c>
      <c r="L34" s="143" t="s">
        <v>50</v>
      </c>
      <c r="M34" s="144">
        <f>CONVERT((I34-K34)/10000,"mi","ft")*IF(L34="Increasing Mileposts (1)",-1,1)</f>
        <v>90.287999999999997</v>
      </c>
      <c r="N34" s="145" t="str">
        <f>VLOOKUP(C34,'Trips&amp;Operators'!$C$1:$G$99999,5,FALSE)</f>
        <v>HILLS DUSTIN</v>
      </c>
      <c r="O34" s="157" t="s">
        <v>185</v>
      </c>
      <c r="P34" s="146"/>
      <c r="Q34" s="30"/>
      <c r="R34" s="89" t="str">
        <f>VLOOKUP(C34,'Train Runs'!$A$13:$AE$9961,31,0)</f>
        <v>aws s3 cp s3://rtdc.mdm.uploadarchive.raw/RTDC4051/ "%USERPROFILE%\AppData\Local\Temp\OnboardLogs"\RTDC4051\2017-02-07 --exclude "*" --recursive --include "*20170207*" &amp; "%USERPROFILE%\Documents\GitHub\mrs-test-scripts\Headless Mode &amp; Sideloading\WalkAndUnGZ.bat" "%USERPROFILE%\AppData\Local\Temp\OnboardLogs"\RTDC4051\2017-02-07 &amp; 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</v>
      </c>
      <c r="S34" s="92" t="str">
        <f>VLOOKUP(C34,'Train Runs'!$A$13:$AE$9961,22,0)</f>
        <v>https://d0f6bd738d7f1b3e5a7ca70fe4ff75f0.us-east-1.aws.found.io/app/kibana#/discover/Steve-Slow-Train-Analysis-(2080s-and-2083s)?_g=(refreshInterval:(display:Off,pause:!f,section:0,value:0),time:(from:'2017-02-07T15:27:54-0700',mode:absolute,to:'2017-02-07T18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4" s="94" t="str">
        <f>astrogrep_path&amp;" /spath="&amp;search_path&amp;" /stypes=""*"&amp;U34&amp;"*"&amp;TEXT(A34-utc_offset/24,"YYYYMMDD")&amp;LEFT(TEXT(A34-utc_offset/24,"HH"),1)&amp;"*"" /stext="" "&amp;TEXT(A34-utc_offset/24,"HH")&amp;search_regexp&amp;""" /e /r /s"</f>
        <v>"C:\Program Files (x86)\AstroGrep\AstroGrep.exe" /spath="%USERPROFILE%\AppData\Local\Temp\OnboardLogs" /stypes="*4051*201702080*" /stext=" 00:.+((SYSTEM_STATE.+slice.+state.+changed )|(ment ac)|(multiple cpu faults)|(system.+state.+changed )|(\[timeout)|(PRM\|1\|D)|(kpr)|(kdp)|(\|lc)|(penalty))" /e /r /s</v>
      </c>
      <c r="U34" s="9" t="str">
        <f>MID(B34,13,4)</f>
        <v>4051</v>
      </c>
      <c r="V34" s="32">
        <f>A34-utc_offset/24</f>
        <v>42774.003090277773</v>
      </c>
      <c r="W34" s="46" t="str">
        <f>IFERROR(IF(VALUE(LEFT(IF(LEN(C34)=6,"0"&amp;C34,C34),2))&lt;=2,"EC",IF(OR(VALUE(LEFT(IF(LEN(C34)=6,"0"&amp;C34,C34),2))=8,VALUE(LEFT(IF(LEN(C34)=6,"0"&amp;C34,C34),2))=18),"NW","Other")),"Other")</f>
        <v>NW</v>
      </c>
      <c r="X34" s="46" t="str">
        <f>IF(AND(E34="TRACK WARRANT AUTHORITY",G34&lt;10),"OMIT","KEEP")</f>
        <v>KEEP</v>
      </c>
      <c r="Y34" s="108" t="str">
        <f>"echo {""issue"":{""subject"":"""&amp;P34&amp;""",""project_id"":79,""tracker_id"":40,""status_id"":"&amp;redmine_status&amp;",""priority_id"":"&amp;redmine_priority&amp;",""assigned_to_id"":"&amp;redmine_assignee&amp;",""start_date"":"""&amp;TEXT(A34,"YYYY-mm-dd")&amp;""",""description"":"""&amp;Z34&amp;""",""custom_fields"":[{""id"":1,""name"":""Subdivision"",""value"":"""&amp;W34&amp;"""},{""id"":4,""name"":""Milepost"",""value"":"""&amp;K34/10000&amp;"""},{""id"":17,""name"":""Train ID"",""value"":"""&amp;C34&amp;"""},{""id"":16,""name"":""Locomotive ID"",""value"":"""&amp;U34&amp;"""},{""id"":130,""name"":""Impact"",""value"":"""&amp;AA34&amp;"""},{""id"":150,""name"":""Time of Event (Mountain Time)"",""value"":"""&amp;TEXT(A34,"hh:mm:ss")&amp;"""},{""id"":151,""name"":""Denver Issue ID"",""value"":"""&amp;"""},{""id"":178,""name"":""Operational Impact"",""value"":"""&amp;redmine_op_impact&amp;"""},{""id"":179,""name"":""Denver Segment Assigned"",""value"":"""&amp;AB34&amp;"""}]}}"&amp;"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{"issue":{"subject":"","project_id":79,"tracker_id":40,"status_id":1,"priority_id":2,"assigned_to_id":23,"start_date":"2017-02-07","description":"","custom_fields":[{"id":1,"name":"Subdivision","value":"NW"},{"id":4,"name":"Milepost","value":"5.9048"},{"id":17,"name":"Train ID","value":"831-07"},{"id":16,"name":"Locomotive ID","value":"4051"},{"id":130,"name":"Impact","value":""},{"id":150,"name":"Time of Event (Mountain Time)","value":"17:04:27"},{"id":151,"name":"Denver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48"/>
      <c r="AA34" s="48"/>
      <c r="AB34" s="48"/>
      <c r="AC34" s="127" t="str">
        <f>"grep -hSE -A400 ""Enforcement Action"" "&amp;search_path&amp;"\RTDC"&amp;U34&amp;"\*"&amp;U34&amp;"*"&amp;TEXT(A34-utc_offset/24,"YYYYMMDD")&amp;LEFT(TEXT(A34-utc_offset/24,"HH"),1)&amp;"* | grep -SE ""((Enforcement Ac)|(PRM))"" -"</f>
        <v>grep -hSE -A400 "Enforcement Action" "%USERPROFILE%\AppData\Local\Temp\OnboardLogs"\RTDC4051\*4051*201702080*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"&amp;TEXT(Variables!$A$2,"YYYY-MM-DD")&amp;"-SliceDisagreementCheck.txt"</f>
        <v>grep -hSE "Enforcement Action" "%USERPROFILE%\AppData\Local\Temp\OnboardLogs"\RTDC4051\*4051*201702080* &gt;&gt; 2017-02-07-SliceDisagreementCheck.txt</v>
      </c>
      <c r="AE34" s="161" t="str">
        <f>"start /low /b "&amp;dls3logs&amp;" --loco "&amp;U34&amp;" --day "&amp;TEXT(V34,"YYYY-MM-DD")</f>
        <v>start /low /b %USERPROFILE%\Documents\GitHub\eaglep3\Utilities\DownloadLogsFromS3.py --loco 4051 --day 2017-02-08</v>
      </c>
      <c r="AF34" s="1"/>
    </row>
    <row r="35" spans="1:32" x14ac:dyDescent="0.25">
      <c r="A35" s="32">
        <v>42773.712094907409</v>
      </c>
      <c r="B35" s="30" t="s">
        <v>289</v>
      </c>
      <c r="C35" s="30" t="s">
        <v>484</v>
      </c>
      <c r="D35" s="30" t="s">
        <v>49</v>
      </c>
      <c r="E35" s="30" t="s">
        <v>188</v>
      </c>
      <c r="F35" s="43">
        <v>0</v>
      </c>
      <c r="G35" s="43">
        <v>9</v>
      </c>
      <c r="H35" s="43">
        <v>59033</v>
      </c>
      <c r="I35" s="43">
        <v>59037</v>
      </c>
      <c r="J35" s="30" t="s">
        <v>189</v>
      </c>
      <c r="K35" s="43">
        <v>59048</v>
      </c>
      <c r="L35" s="143" t="s">
        <v>50</v>
      </c>
      <c r="M35" s="144">
        <f>CONVERT((I35-K35)/10000,"mi","ft")*IF(L35="Increasing Mileposts (1)",-1,1)</f>
        <v>5.8079999999999998</v>
      </c>
      <c r="N35" s="145" t="str">
        <f>VLOOKUP(C35,'Trips&amp;Operators'!$C$1:$G$99999,5,FALSE)</f>
        <v>HILLS DUSTIN</v>
      </c>
      <c r="O35" s="157" t="s">
        <v>185</v>
      </c>
      <c r="P35" s="146"/>
      <c r="Q35" s="30"/>
      <c r="R35" s="89" t="str">
        <f>VLOOKUP(C35,'Train Runs'!$A$13:$AE$9961,31,0)</f>
        <v>aws s3 cp s3://rtdc.mdm.uploadarchive.raw/RTDC4051/ "%USERPROFILE%\AppData\Local\Temp\OnboardLogs"\RTDC4051\2017-02-07 --exclude "*" --recursive --include "*20170207*" &amp; "%USERPROFILE%\Documents\GitHub\mrs-test-scripts\Headless Mode &amp; Sideloading\WalkAndUnGZ.bat" "%USERPROFILE%\AppData\Local\Temp\OnboardLogs"\RTDC4051\2017-02-07 &amp; 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</v>
      </c>
      <c r="S35" s="92" t="str">
        <f>VLOOKUP(C35,'Train Runs'!$A$13:$AE$9961,22,0)</f>
        <v>https://d0f6bd738d7f1b3e5a7ca70fe4ff75f0.us-east-1.aws.found.io/app/kibana#/discover/Steve-Slow-Train-Analysis-(2080s-and-2083s)?_g=(refreshInterval:(display:Off,pause:!f,section:0,value:0),time:(from:'2017-02-07T15:27:54-0700',mode:absolute,to:'2017-02-07T18:05:24-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5" s="94" t="str">
        <f>astrogrep_path&amp;" /spath="&amp;search_path&amp;" /stypes=""*"&amp;U35&amp;"*"&amp;TEXT(A35-utc_offset/24,"YYYYMMDD")&amp;LEFT(TEXT(A35-utc_offset/24,"HH"),1)&amp;"*"" /stext="" "&amp;TEXT(A35-utc_offset/24,"HH")&amp;search_regexp&amp;""" /e /r /s"</f>
        <v>"C:\Program Files (x86)\AstroGrep\AstroGrep.exe" /spath="%USERPROFILE%\AppData\Local\Temp\OnboardLogs" /stypes="*4051*201702080*" /stext=" 00:.+((SYSTEM_STATE.+slice.+state.+changed )|(ment ac)|(multiple cpu faults)|(system.+state.+changed )|(\[timeout)|(PRM\|1\|D)|(kpr)|(kdp)|(\|lc)|(penalty))" /e /r /s</v>
      </c>
      <c r="U35" s="9" t="str">
        <f>MID(B35,13,4)</f>
        <v>4051</v>
      </c>
      <c r="V35" s="32">
        <f>A35-utc_offset/24</f>
        <v>42774.003761574073</v>
      </c>
      <c r="W35" s="46" t="str">
        <f>IFERROR(IF(VALUE(LEFT(IF(LEN(C35)=6,"0"&amp;C35,C35),2))&lt;=2,"EC",IF(OR(VALUE(LEFT(IF(LEN(C35)=6,"0"&amp;C35,C35),2))=8,VALUE(LEFT(IF(LEN(C35)=6,"0"&amp;C35,C35),2))=18),"NW","Other")),"Other")</f>
        <v>NW</v>
      </c>
      <c r="X35" s="46" t="str">
        <f>IF(AND(E35="TRACK WARRANT AUTHORITY",G35&lt;10),"OMIT","KEEP")</f>
        <v>OMIT</v>
      </c>
      <c r="Y35" s="108" t="str">
        <f>"echo {""issue"":{""subject"":"""&amp;P35&amp;""",""project_id"":79,""tracker_id"":40,""status_id"":"&amp;redmine_status&amp;",""priority_id"":"&amp;redmine_priority&amp;",""assigned_to_id"":"&amp;redmine_assignee&amp;",""start_date"":"""&amp;TEXT(A35,"YYYY-mm-dd")&amp;""",""description"":"""&amp;Z35&amp;""",""custom_fields"":[{""id"":1,""name"":""Subdivision"",""value"":"""&amp;W35&amp;"""},{""id"":4,""name"":""Milepost"",""value"":"""&amp;K35/10000&amp;"""},{""id"":17,""name"":""Train ID"",""value"":"""&amp;C35&amp;"""},{""id"":16,""name"":""Locomotive ID"",""value"":"""&amp;U35&amp;"""},{""id"":130,""name"":""Impact"",""value"":"""&amp;AA35&amp;"""},{""id"":150,""name"":""Time of Event (Mountain Time)"",""value"":"""&amp;TEXT(A35,"hh:mm:ss")&amp;"""},{""id"":151,""name"":""Denver Issue ID"",""value"":"""&amp;"""},{""id"":178,""name"":""Operational Impact"",""value"":"""&amp;redmine_op_impact&amp;"""},{""id"":179,""name"":""Denver Segment Assigned"",""value"":"""&amp;AB35&amp;"""}]}}"&amp;"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{"issue":{"subject":"","project_id":79,"tracker_id":40,"status_id":1,"priority_id":2,"assigned_to_id":23,"start_date":"2017-02-07","description":"","custom_fields":[{"id":1,"name":"Subdivision","value":"NW"},{"id":4,"name":"Milepost","value":"5.9048"},{"id":17,"name":"Train ID","value":"831-07"},{"id":16,"name":"Locomotive ID","value":"4051"},{"id":130,"name":"Impact","value":""},{"id":150,"name":"Time of Event (Mountain Time)","value":"17:05:25"},{"id":151,"name":"Denver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48"/>
      <c r="AA35" s="48"/>
      <c r="AB35" s="48"/>
      <c r="AC35" s="127" t="str">
        <f>"grep -hSE -A400 ""Enforcement Action"" "&amp;search_path&amp;"\RTDC"&amp;U35&amp;"\*"&amp;U35&amp;"*"&amp;TEXT(A35-utc_offset/24,"YYYYMMDD")&amp;LEFT(TEXT(A35-utc_offset/24,"HH"),1)&amp;"* | grep -SE ""((Enforcement Ac)|(PRM))"" -"</f>
        <v>grep -hSE -A400 "Enforcement Action" "%USERPROFILE%\AppData\Local\Temp\OnboardLogs"\RTDC4051\*4051*201702080*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"&amp;TEXT(Variables!$A$2,"YYYY-MM-DD")&amp;"-SliceDisagreementCheck.txt"</f>
        <v>grep -hSE "Enforcement Action" "%USERPROFILE%\AppData\Local\Temp\OnboardLogs"\RTDC4051\*4051*201702080* &gt;&gt; 2017-02-07-SliceDisagreementCheck.txt</v>
      </c>
      <c r="AE35" s="161" t="str">
        <f>"start /low /b "&amp;dls3logs&amp;" --loco "&amp;U35&amp;" --day "&amp;TEXT(V35,"YYYY-MM-DD")</f>
        <v>start /low /b %USERPROFILE%\Documents\GitHub\eaglep3\Utilities\DownloadLogsFromS3.py --loco 4051 --day 2017-02-08</v>
      </c>
      <c r="AF35" s="1"/>
    </row>
    <row r="36" spans="1:32" x14ac:dyDescent="0.25">
      <c r="A36" s="32">
        <v>42773.795937499999</v>
      </c>
      <c r="B36" s="30" t="s">
        <v>289</v>
      </c>
      <c r="C36" s="30" t="s">
        <v>491</v>
      </c>
      <c r="D36" s="30" t="s">
        <v>49</v>
      </c>
      <c r="E36" s="30" t="s">
        <v>188</v>
      </c>
      <c r="F36" s="43">
        <v>0</v>
      </c>
      <c r="G36" s="43">
        <v>88</v>
      </c>
      <c r="H36" s="43">
        <v>58779</v>
      </c>
      <c r="I36" s="43">
        <v>58867</v>
      </c>
      <c r="J36" s="30" t="s">
        <v>189</v>
      </c>
      <c r="K36" s="43">
        <v>59048</v>
      </c>
      <c r="L36" s="143" t="s">
        <v>50</v>
      </c>
      <c r="M36" s="144">
        <f>CONVERT((I36-K36)/10000,"mi","ft")*IF(L36="Increasing Mileposts (1)",-1,1)</f>
        <v>95.567999999999998</v>
      </c>
      <c r="N36" s="145" t="str">
        <f>VLOOKUP(C36,'Trips&amp;Operators'!$C$1:$G$99999,5,FALSE)</f>
        <v>HILLS DUSTIN</v>
      </c>
      <c r="O36" s="157" t="s">
        <v>185</v>
      </c>
      <c r="P36" s="146"/>
      <c r="Q36" s="30"/>
      <c r="R36" s="89" t="str">
        <f>VLOOKUP(C36,'Train Runs'!$A$13:$AE$9961,31,0)</f>
        <v>aws s3 cp s3://rtdc.mdm.uploadarchive.raw/RTDC4051/ "%USERPROFILE%\AppData\Local\Temp\OnboardLogs"\RTDC4051\2017-02-07 --exclude "*" --recursive --include "*20170207*" &amp; "%USERPROFILE%\Documents\GitHub\mrs-test-scripts\Headless Mode &amp; Sideloading\WalkAndUnGZ.bat" "%USERPROFILE%\AppData\Local\Temp\OnboardLogs"\RTDC4051\2017-02-07 &amp; 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</v>
      </c>
      <c r="S36" s="92" t="str">
        <f>VLOOKUP(C36,'Train Runs'!$A$13:$AE$9961,22,0)</f>
        <v>https://d0f6bd738d7f1b3e5a7ca70fe4ff75f0.us-east-1.aws.found.io/app/kibana#/discover/Steve-Slow-Train-Analysis-(2080s-and-2083s)?_g=(refreshInterval:(display:Off,pause:!f,section:0,value:0),time:(from:'2017-02-07T17:27:05-0700',mode:absolute,to:'2017-02-07T20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6" s="94" t="str">
        <f>astrogrep_path&amp;" /spath="&amp;search_path&amp;" /stypes=""*"&amp;U36&amp;"*"&amp;TEXT(A36-utc_offset/24,"YYYYMMDD")&amp;LEFT(TEXT(A36-utc_offset/24,"HH"),1)&amp;"*"" /stext="" "&amp;TEXT(A36-utc_offset/24,"HH")&amp;search_regexp&amp;""" /e /r /s"</f>
        <v>"C:\Program Files (x86)\AstroGrep\AstroGrep.exe" /spath="%USERPROFILE%\AppData\Local\Temp\OnboardLogs" /stypes="*4051*201702080*" /stext=" 02:.+((SYSTEM_STATE.+slice.+state.+changed )|(ment ac)|(multiple cpu faults)|(system.+state.+changed )|(\[timeout)|(PRM\|1\|D)|(kpr)|(kdp)|(\|lc)|(penalty))" /e /r /s</v>
      </c>
      <c r="U36" s="9" t="str">
        <f>MID(B36,13,4)</f>
        <v>4051</v>
      </c>
      <c r="V36" s="32">
        <f>A36-utc_offset/24</f>
        <v>42774.087604166663</v>
      </c>
      <c r="W36" s="46" t="str">
        <f>IFERROR(IF(VALUE(LEFT(IF(LEN(C36)=6,"0"&amp;C36,C36),2))&lt;=2,"EC",IF(OR(VALUE(LEFT(IF(LEN(C36)=6,"0"&amp;C36,C36),2))=8,VALUE(LEFT(IF(LEN(C36)=6,"0"&amp;C36,C36),2))=18),"NW","Other")),"Other")</f>
        <v>NW</v>
      </c>
      <c r="X36" s="46" t="str">
        <f>IF(AND(E36="TRACK WARRANT AUTHORITY",G36&lt;10),"OMIT","KEEP")</f>
        <v>KEEP</v>
      </c>
      <c r="Y36" s="108" t="str">
        <f>"echo {""issue"":{""subject"":"""&amp;P36&amp;""",""project_id"":79,""tracker_id"":40,""status_id"":"&amp;redmine_status&amp;",""priority_id"":"&amp;redmine_priority&amp;",""assigned_to_id"":"&amp;redmine_assignee&amp;",""start_date"":"""&amp;TEXT(A36,"YYYY-mm-dd")&amp;""",""description"":"""&amp;Z36&amp;""",""custom_fields"":[{""id"":1,""name"":""Subdivision"",""value"":"""&amp;W36&amp;"""},{""id"":4,""name"":""Milepost"",""value"":"""&amp;K36/10000&amp;"""},{""id"":17,""name"":""Train ID"",""value"":"""&amp;C36&amp;"""},{""id"":16,""name"":""Locomotive ID"",""value"":"""&amp;U36&amp;"""},{""id"":130,""name"":""Impact"",""value"":"""&amp;AA36&amp;"""},{""id"":150,""name"":""Time of Event (Mountain Time)"",""value"":"""&amp;TEXT(A36,"hh:mm:ss")&amp;"""},{""id"":151,""name"":""Denver Issue ID"",""value"":"""&amp;"""},{""id"":178,""name"":""Operational Impact"",""value"":"""&amp;redmine_op_impact&amp;"""},{""id"":179,""name"":""Denver Segment Assigned"",""value"":"""&amp;AB36&amp;"""}]}}"&amp;"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{"issue":{"subject":"","project_id":79,"tracker_id":40,"status_id":1,"priority_id":2,"assigned_to_id":23,"start_date":"2017-02-07","description":"","custom_fields":[{"id":1,"name":"Subdivision","value":"NW"},{"id":4,"name":"Milepost","value":"5.9048"},{"id":17,"name":"Train ID","value":"839-07"},{"id":16,"name":"Locomotive ID","value":"4051"},{"id":130,"name":"Impact","value":""},{"id":150,"name":"Time of Event (Mountain Time)","value":"19:06:09"},{"id":151,"name":"Denver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48"/>
      <c r="AA36" s="48"/>
      <c r="AB36" s="48"/>
      <c r="AC36" s="127" t="str">
        <f>"grep -hSE -A400 ""Enforcement Action"" "&amp;search_path&amp;"\RTDC"&amp;U36&amp;"\*"&amp;U36&amp;"*"&amp;TEXT(A36-utc_offset/24,"YYYYMMDD")&amp;LEFT(TEXT(A36-utc_offset/24,"HH"),1)&amp;"* | grep -SE ""((Enforcement Ac)|(PRM))"" -"</f>
        <v>grep -hSE -A400 "Enforcement Action" "%USERPROFILE%\AppData\Local\Temp\OnboardLogs"\RTDC4051\*4051*201702080*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"&amp;TEXT(Variables!$A$2,"YYYY-MM-DD")&amp;"-SliceDisagreementCheck.txt"</f>
        <v>grep -hSE "Enforcement Action" "%USERPROFILE%\AppData\Local\Temp\OnboardLogs"\RTDC4051\*4051*201702080* &gt;&gt; 2017-02-07-SliceDisagreementCheck.txt</v>
      </c>
      <c r="AE36" s="161" t="str">
        <f>"start /low /b "&amp;dls3logs&amp;" --loco "&amp;U36&amp;" --day "&amp;TEXT(V36,"YYYY-MM-DD")</f>
        <v>start /low /b %USERPROFILE%\Documents\GitHub\eaglep3\Utilities\DownloadLogsFromS3.py --loco 4051 --day 2017-02-08</v>
      </c>
      <c r="AF36" s="1"/>
    </row>
    <row r="37" spans="1:32" x14ac:dyDescent="0.25">
      <c r="A37" s="32">
        <v>42773.796365740738</v>
      </c>
      <c r="B37" s="30" t="s">
        <v>289</v>
      </c>
      <c r="C37" s="30" t="s">
        <v>491</v>
      </c>
      <c r="D37" s="30" t="s">
        <v>49</v>
      </c>
      <c r="E37" s="30" t="s">
        <v>188</v>
      </c>
      <c r="F37" s="43">
        <v>0</v>
      </c>
      <c r="G37" s="43">
        <v>17</v>
      </c>
      <c r="H37" s="43">
        <v>59005</v>
      </c>
      <c r="I37" s="43">
        <v>59010</v>
      </c>
      <c r="J37" s="30" t="s">
        <v>189</v>
      </c>
      <c r="K37" s="43">
        <v>59048</v>
      </c>
      <c r="L37" s="143" t="s">
        <v>50</v>
      </c>
      <c r="M37" s="144">
        <f>CONVERT((I37-K37)/10000,"mi","ft")*IF(L37="Increasing Mileposts (1)",-1,1)</f>
        <v>20.064</v>
      </c>
      <c r="N37" s="145" t="str">
        <f>VLOOKUP(C37,'Trips&amp;Operators'!$C$1:$G$99999,5,FALSE)</f>
        <v>HILLS DUSTIN</v>
      </c>
      <c r="O37" s="157" t="s">
        <v>185</v>
      </c>
      <c r="P37" s="146"/>
      <c r="Q37" s="30"/>
      <c r="R37" s="89" t="str">
        <f>VLOOKUP(C37,'Train Runs'!$A$13:$AE$9961,31,0)</f>
        <v>aws s3 cp s3://rtdc.mdm.uploadarchive.raw/RTDC4051/ "%USERPROFILE%\AppData\Local\Temp\OnboardLogs"\RTDC4051\2017-02-07 --exclude "*" --recursive --include "*20170207*" &amp; "%USERPROFILE%\Documents\GitHub\mrs-test-scripts\Headless Mode &amp; Sideloading\WalkAndUnGZ.bat" "%USERPROFILE%\AppData\Local\Temp\OnboardLogs"\RTDC4051\2017-02-07 &amp; 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</v>
      </c>
      <c r="S37" s="92" t="str">
        <f>VLOOKUP(C37,'Train Runs'!$A$13:$AE$9961,22,0)</f>
        <v>https://d0f6bd738d7f1b3e5a7ca70fe4ff75f0.us-east-1.aws.found.io/app/kibana#/discover/Steve-Slow-Train-Analysis-(2080s-and-2083s)?_g=(refreshInterval:(display:Off,pause:!f,section:0,value:0),time:(from:'2017-02-07T17:27:05-0700',mode:absolute,to:'2017-02-07T20:06:08-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37" s="94" t="str">
        <f>astrogrep_path&amp;" /spath="&amp;search_path&amp;" /stypes=""*"&amp;U37&amp;"*"&amp;TEXT(A37-utc_offset/24,"YYYYMMDD")&amp;LEFT(TEXT(A37-utc_offset/24,"HH"),1)&amp;"*"" /stext="" "&amp;TEXT(A37-utc_offset/24,"HH")&amp;search_regexp&amp;""" /e /r /s"</f>
        <v>"C:\Program Files (x86)\AstroGrep\AstroGrep.exe" /spath="%USERPROFILE%\AppData\Local\Temp\OnboardLogs" /stypes="*4051*201702080*" /stext=" 02:.+((SYSTEM_STATE.+slice.+state.+changed )|(ment ac)|(multiple cpu faults)|(system.+state.+changed )|(\[timeout)|(PRM\|1\|D)|(kpr)|(kdp)|(\|lc)|(penalty))" /e /r /s</v>
      </c>
      <c r="U37" s="9" t="str">
        <f>MID(B37,13,4)</f>
        <v>4051</v>
      </c>
      <c r="V37" s="32">
        <f>A37-utc_offset/24</f>
        <v>42774.088032407402</v>
      </c>
      <c r="W37" s="46" t="str">
        <f>IFERROR(IF(VALUE(LEFT(IF(LEN(C37)=6,"0"&amp;C37,C37),2))&lt;=2,"EC",IF(OR(VALUE(LEFT(IF(LEN(C37)=6,"0"&amp;C37,C37),2))=8,VALUE(LEFT(IF(LEN(C37)=6,"0"&amp;C37,C37),2))=18),"NW","Other")),"Other")</f>
        <v>NW</v>
      </c>
      <c r="X37" s="46" t="str">
        <f>IF(AND(E37="TRACK WARRANT AUTHORITY",G37&lt;10),"OMIT","KEEP")</f>
        <v>KEEP</v>
      </c>
      <c r="Y37" s="108" t="str">
        <f>"echo {""issue"":{""subject"":"""&amp;P37&amp;""",""project_id"":79,""tracker_id"":40,""status_id"":"&amp;redmine_status&amp;",""priority_id"":"&amp;redmine_priority&amp;",""assigned_to_id"":"&amp;redmine_assignee&amp;",""start_date"":"""&amp;TEXT(A37,"YYYY-mm-dd")&amp;""",""description"":"""&amp;Z37&amp;""",""custom_fields"":[{""id"":1,""name"":""Subdivision"",""value"":"""&amp;W37&amp;"""},{""id"":4,""name"":""Milepost"",""value"":"""&amp;K37/10000&amp;"""},{""id"":17,""name"":""Train ID"",""value"":"""&amp;C37&amp;"""},{""id"":16,""name"":""Locomotive ID"",""value"":"""&amp;U37&amp;"""},{""id"":130,""name"":""Impact"",""value"":"""&amp;AA37&amp;"""},{""id"":150,""name"":""Time of Event (Mountain Time)"",""value"":"""&amp;TEXT(A37,"hh:mm:ss")&amp;"""},{""id"":151,""name"":""Denver Issue ID"",""value"":"""&amp;"""},{""id"":178,""name"":""Operational Impact"",""value"":"""&amp;redmine_op_impact&amp;"""},{""id"":179,""name"":""Denver Segment Assigned"",""value"":"""&amp;AB37&amp;"""}]}}"&amp;"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{"issue":{"subject":"","project_id":79,"tracker_id":40,"status_id":1,"priority_id":2,"assigned_to_id":23,"start_date":"2017-02-07","description":"","custom_fields":[{"id":1,"name":"Subdivision","value":"NW"},{"id":4,"name":"Milepost","value":"5.9048"},{"id":17,"name":"Train ID","value":"839-07"},{"id":16,"name":"Locomotive ID","value":"4051"},{"id":130,"name":"Impact","value":""},{"id":150,"name":"Time of Event (Mountain Time)","value":"19:06:46"},{"id":151,"name":"Denver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48"/>
      <c r="AA37" s="48"/>
      <c r="AB37" s="48"/>
      <c r="AC37" s="127" t="str">
        <f>"grep -hSE -A400 ""Enforcement Action"" "&amp;search_path&amp;"\RTDC"&amp;U37&amp;"\*"&amp;U37&amp;"*"&amp;TEXT(A37-utc_offset/24,"YYYYMMDD")&amp;LEFT(TEXT(A37-utc_offset/24,"HH"),1)&amp;"* | grep -SE ""((Enforcement Ac)|(PRM))"" -"</f>
        <v>grep -hSE -A400 "Enforcement Action" "%USERPROFILE%\AppData\Local\Temp\OnboardLogs"\RTDC4051\*4051*201702080*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"&amp;TEXT(Variables!$A$2,"YYYY-MM-DD")&amp;"-SliceDisagreementCheck.txt"</f>
        <v>grep -hSE "Enforcement Action" "%USERPROFILE%\AppData\Local\Temp\OnboardLogs"\RTDC4051\*4051*201702080* &gt;&gt; 2017-02-07-SliceDisagreementCheck.txt</v>
      </c>
      <c r="AE37" s="161" t="str">
        <f>"start /low /b "&amp;dls3logs&amp;" --loco "&amp;U37&amp;" --day "&amp;TEXT(V37,"YYYY-MM-DD")</f>
        <v>start /low /b %USERPROFILE%\Documents\GitHub\eaglep3\Utilities\DownloadLogsFromS3.py --loco 4051 --day 2017-02-08</v>
      </c>
      <c r="AF37" s="1"/>
    </row>
    <row r="38" spans="1:32" x14ac:dyDescent="0.25">
      <c r="A38" s="32">
        <v>42773.941261574073</v>
      </c>
      <c r="B38" s="30" t="s">
        <v>232</v>
      </c>
      <c r="C38" s="30" t="s">
        <v>494</v>
      </c>
      <c r="D38" s="30" t="s">
        <v>49</v>
      </c>
      <c r="E38" s="30" t="s">
        <v>188</v>
      </c>
      <c r="F38" s="43">
        <v>0</v>
      </c>
      <c r="G38" s="43">
        <v>62</v>
      </c>
      <c r="H38" s="43">
        <v>58897</v>
      </c>
      <c r="I38" s="43">
        <v>58973</v>
      </c>
      <c r="J38" s="30" t="s">
        <v>189</v>
      </c>
      <c r="K38" s="43">
        <v>59058</v>
      </c>
      <c r="L38" s="143" t="s">
        <v>50</v>
      </c>
      <c r="M38" s="144">
        <f>CONVERT((I38-K38)/10000,"mi","ft")*IF(L38="Increasing Mileposts (1)",-1,1)</f>
        <v>44.88</v>
      </c>
      <c r="N38" s="145" t="str">
        <f>VLOOKUP(C38,'Trips&amp;Operators'!$C$1:$G$99999,5,FALSE)</f>
        <v>HILLS DUSTIN</v>
      </c>
      <c r="O38" s="157" t="s">
        <v>185</v>
      </c>
      <c r="P38" s="146"/>
      <c r="Q38" s="30"/>
      <c r="R38" s="89" t="str">
        <f>VLOOKUP(C38,'Train Runs'!$A$13:$AE$9961,31,0)</f>
        <v>aws s3 cp s3://rtdc.mdm.uploadarchive.raw/RTDC4027/ "%USERPROFILE%\AppData\Local\Temp\OnboardLogs"\RTDC4027\2017-02-07 --exclude "*" --recursive --include "*20170207*" &amp; "%USERPROFILE%\Documents\GitHub\mrs-test-scripts\Headless Mode &amp; Sideloading\WalkAndUnGZ.bat" "%USERPROFILE%\AppData\Local\Temp\OnboardLogs"\RTDC4027\2017-02-07 &amp; aws s3 cp s3://rtdc.mdm.uploadarchive.raw/RTDC4027/ "%USERPROFILE%\AppData\Local\Temp\OnboardLogs"\RTDC4027\2017-02-08 --exclude "*" --recursive --include "*20170208*" &amp; "%USERPROFILE%\Documents\GitHub\mrs-test-scripts\Headless Mode &amp; Sideloading\WalkAndUnGZ.bat" "%USERPROFILE%\AppData\Local\Temp\OnboardLogs"\RTDC4027\2017-02-08</v>
      </c>
      <c r="S38" s="92" t="str">
        <f>VLOOKUP(C38,'Train Runs'!$A$13:$AE$9961,22,0)</f>
        <v>https://d0f6bd738d7f1b3e5a7ca70fe4ff75f0.us-east-1.aws.found.io/app/kibana#/discover/Steve-Slow-Train-Analysis-(2080s-and-2083s)?_g=(refreshInterval:(display:Off,pause:!f,section:0,value:0),time:(from:'2017-02-07T20:57:08-0700',mode:absolute,to:'2017-02-07T23:35:25-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4027%22')),sort:!(Time.ISO8601,asc))</v>
      </c>
      <c r="T38" s="94" t="str">
        <f>astrogrep_path&amp;" /spath="&amp;search_path&amp;" /stypes=""*"&amp;U38&amp;"*"&amp;TEXT(A38-utc_offset/24,"YYYYMMDD")&amp;LEFT(TEXT(A38-utc_offset/24,"HH"),1)&amp;"*"" /stext="" "&amp;TEXT(A38-utc_offset/24,"HH")&amp;search_regexp&amp;""" /e /r /s"</f>
        <v>"C:\Program Files (x86)\AstroGrep\AstroGrep.exe" /spath="%USERPROFILE%\AppData\Local\Temp\OnboardLogs" /stypes="*4027*201702080*" /stext=" 05:.+((SYSTEM_STATE.+slice.+state.+changed )|(ment ac)|(multiple cpu faults)|(system.+state.+changed )|(\[timeout)|(PRM\|1\|D)|(kpr)|(kdp)|(\|lc)|(penalty))" /e /r /s</v>
      </c>
      <c r="U38" s="9" t="str">
        <f>MID(B38,13,4)</f>
        <v>4027</v>
      </c>
      <c r="V38" s="32">
        <f>A38-utc_offset/24</f>
        <v>42774.232928240737</v>
      </c>
      <c r="W38" s="46" t="str">
        <f>IFERROR(IF(VALUE(LEFT(IF(LEN(C38)=6,"0"&amp;C38,C38),2))&lt;=2,"EC",IF(OR(VALUE(LEFT(IF(LEN(C38)=6,"0"&amp;C38,C38),2))=8,VALUE(LEFT(IF(LEN(C38)=6,"0"&amp;C38,C38),2))=18),"NW","Other")),"Other")</f>
        <v>NW</v>
      </c>
      <c r="X38" s="46" t="str">
        <f>IF(AND(E38="TRACK WARRANT AUTHORITY",G38&lt;10),"OMIT","KEEP")</f>
        <v>KEEP</v>
      </c>
      <c r="Y38" s="108" t="str">
        <f>"echo {""issue"":{""subject"":"""&amp;P38&amp;""",""project_id"":79,""tracker_id"":40,""status_id"":"&amp;redmine_status&amp;",""priority_id"":"&amp;redmine_priority&amp;",""assigned_to_id"":"&amp;redmine_assignee&amp;",""start_date"":"""&amp;TEXT(A38,"YYYY-mm-dd")&amp;""",""description"":"""&amp;Z38&amp;""",""custom_fields"":[{""id"":1,""name"":""Subdivision"",""value"":"""&amp;W38&amp;"""},{""id"":4,""name"":""Milepost"",""value"":"""&amp;K38/10000&amp;"""},{""id"":17,""name"":""Train ID"",""value"":"""&amp;C38&amp;"""},{""id"":16,""name"":""Locomotive ID"",""value"":"""&amp;U38&amp;"""},{""id"":130,""name"":""Impact"",""value"":"""&amp;AA38&amp;"""},{""id"":150,""name"":""Time of Event (Mountain Time)"",""value"":"""&amp;TEXT(A38,"hh:mm:ss")&amp;"""},{""id"":151,""name"":""Denver Issue ID"",""value"":"""&amp;"""},{""id"":178,""name"":""Operational Impact"",""value"":"""&amp;redmine_op_impact&amp;"""},{""id"":179,""name"":""Denver Segment Assigned"",""value"":"""&amp;AB38&amp;"""}]}}"&amp;"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{"issue":{"subject":"","project_id":79,"tracker_id":40,"status_id":1,"priority_id":2,"assigned_to_id":23,"start_date":"2017-02-07","description":"","custom_fields":[{"id":1,"name":"Subdivision","value":"NW"},{"id":4,"name":"Milepost","value":"5.9058"},{"id":17,"name":"Train ID","value":"847-07"},{"id":16,"name":"Locomotive ID","value":"4027"},{"id":130,"name":"Impact","value":""},{"id":150,"name":"Time of Event (Mountain Time)","value":"22:35:25"},{"id":151,"name":"Denver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48"/>
      <c r="AA38" s="48"/>
      <c r="AB38" s="48"/>
      <c r="AC38" s="127" t="str">
        <f>"grep -hSE -A400 ""Enforcement Action"" "&amp;search_path&amp;"\RTDC"&amp;U38&amp;"\*"&amp;U38&amp;"*"&amp;TEXT(A38-utc_offset/24,"YYYYMMDD")&amp;LEFT(TEXT(A38-utc_offset/24,"HH"),1)&amp;"* | grep -SE ""((Enforcement Ac)|(PRM))"" -"</f>
        <v>grep -hSE -A400 "Enforcement Action" "%USERPROFILE%\AppData\Local\Temp\OnboardLogs"\RTDC4027\*4027*201702080*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"&amp;TEXT(Variables!$A$2,"YYYY-MM-DD")&amp;"-SliceDisagreementCheck.txt"</f>
        <v>grep -hSE "Enforcement Action" "%USERPROFILE%\AppData\Local\Temp\OnboardLogs"\RTDC4027\*4027*201702080* &gt;&gt; 2017-02-07-SliceDisagreementCheck.txt</v>
      </c>
      <c r="AE38" s="161" t="str">
        <f>"start /low /b "&amp;dls3logs&amp;" --loco "&amp;U38&amp;" --day "&amp;TEXT(V38,"YYYY-MM-DD")</f>
        <v>start /low /b %USERPROFILE%\Documents\GitHub\eaglep3\Utilities\DownloadLogsFromS3.py --loco 4027 --day 2017-02-08</v>
      </c>
      <c r="AF38" s="1"/>
    </row>
    <row r="39" spans="1:32" x14ac:dyDescent="0.25">
      <c r="A39" s="32">
        <v>42773.138981481483</v>
      </c>
      <c r="B39" s="30" t="s">
        <v>409</v>
      </c>
      <c r="C39" s="30" t="s">
        <v>410</v>
      </c>
      <c r="D39" s="30" t="s">
        <v>49</v>
      </c>
      <c r="E39" s="30" t="s">
        <v>200</v>
      </c>
      <c r="F39" s="43">
        <v>360</v>
      </c>
      <c r="G39" s="43">
        <v>426</v>
      </c>
      <c r="H39" s="43">
        <v>10136</v>
      </c>
      <c r="I39" s="43">
        <v>11178</v>
      </c>
      <c r="J39" s="30" t="s">
        <v>201</v>
      </c>
      <c r="K39" s="43">
        <v>10716</v>
      </c>
      <c r="L39" s="143" t="s">
        <v>50</v>
      </c>
      <c r="M39" s="144">
        <f>CONVERT((I39-K39)/10000,"mi","ft")*IF(L39="Increasing Mileposts (1)",-1,1)</f>
        <v>-243.93600000000001</v>
      </c>
      <c r="N39" s="145" t="str">
        <f>VLOOKUP(C39,'Trips&amp;Operators'!$C$1:$G$99999,5,FALSE)</f>
        <v>SIMMONS SHYHESHA</v>
      </c>
      <c r="O39" s="157" t="s">
        <v>185</v>
      </c>
      <c r="P39" s="146"/>
      <c r="Q39" s="30"/>
      <c r="R39" s="89" t="str">
        <f>VLOOKUP(C39,'Train Runs'!$A$13:$AE$9961,31,0)</f>
        <v>aws s3 cp s3://rtdc.mdm.uploadarchive.raw/RTDC4044/ "%USERPROFILE%\AppData\Local\Temp\OnboardLogs"\RTDC4044\2017-02-07 --exclude "*" --recursive --include "*20170207*" &amp; "%USERPROFILE%\Documents\GitHub\mrs-test-scripts\Headless Mode &amp; Sideloading\WalkAndUnGZ.bat" "%USERPROFILE%\AppData\Local\Temp\OnboardLogs"\RTDC4044\2017-02-07 &amp; aws s3 cp s3://rtdc.mdm.uploadarchive.raw/RTDC4044/ "%USERPROFILE%\AppData\Local\Temp\OnboardLogs"\RTDC4044\2017-02-08 --exclude "*" --recursive --include "*20170208*" &amp; "%USERPROFILE%\Documents\GitHub\mrs-test-scripts\Headless Mode &amp; Sideloading\WalkAndUnGZ.bat" "%USERPROFILE%\AppData\Local\Temp\OnboardLogs"\RTDC4044\2017-02-08</v>
      </c>
      <c r="S39" s="92" t="str">
        <f>VLOOKUP(C39,'Train Runs'!$A$13:$AE$9961,22,0)</f>
        <v>https://d0f6bd738d7f1b3e5a7ca70fe4ff75f0.us-east-1.aws.found.io/app/kibana#/discover/Steve-Slow-Train-Analysis-(2080s-and-2083s)?_g=(refreshInterval:(display:Off,pause:!f,section:0,value:0),time:(from:'2017-02-07T01:15:11-0700',mode:absolute,to:'2017-02-07T03:52:47-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4044%22')),sort:!(Time.ISO8601,asc))</v>
      </c>
      <c r="T39" s="94" t="str">
        <f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/stypes="*4044*201702071*" /stext=" 10:.+((SYSTEM_STATE.+slice.+state.+changed )|(ment ac)|(multiple cpu faults)|(system.+state.+changed )|(\[timeout)|(PRM\|1\|D)|(kpr)|(kdp)|(\|lc)|(penalty))" /e /r /s</v>
      </c>
      <c r="U39" s="9" t="str">
        <f>MID(B39,13,4)</f>
        <v>4044</v>
      </c>
      <c r="V39" s="32">
        <f>A39-utc_offset/24</f>
        <v>42773.430648148147</v>
      </c>
      <c r="W39" s="46" t="str">
        <f>IFERROR(IF(VALUE(LEFT(IF(LEN(C39)=6,"0"&amp;C39,C39),2))&lt;=2,"EC",IF(OR(VALUE(LEFT(IF(LEN(C39)=6,"0"&amp;C39,C39),2))=8,VALUE(LEFT(IF(LEN(C39)=6,"0"&amp;C39,C39),2))=18),"NW","Other")),"Other")</f>
        <v>Other</v>
      </c>
      <c r="X39" s="46" t="str">
        <f>IF(AND(E39="TRACK WARRANT AUTHORITY",G39&lt;10),"OMIT","KEEP")</f>
        <v>KEEP</v>
      </c>
      <c r="Y39" s="108" t="str">
        <f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{"issue":{"subject":"","project_id":79,"tracker_id":40,"status_id":1,"priority_id":2,"assigned_to_id":23,"start_date":"2017-02-07","description":"","custom_fields":[{"id":1,"name":"Subdivision","value":"Other"},{"id":4,"name":"Milepost","value":"1.0716"},{"id":17,"name":"Train ID","value":"59-06"},{"id":16,"name":"Locomotive ID","value":"4044"},{"id":130,"name":"Impact","value":""},{"id":150,"name":"Time of Event (Mountain Time)","value":"03:20:08"},{"id":151,"name":"Denver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48"/>
      <c r="AA39" s="48"/>
      <c r="AB39" s="48"/>
      <c r="AC39" s="127" t="str">
        <f>"grep -hSE -A400 ""Enforcement Action"" "&amp;search_path&amp;"\RTDC"&amp;U39&amp;"\*"&amp;U39&amp;"*"&amp;TEXT(A39-utc_offset/24,"YYYYMMDD")&amp;LEFT(TEXT(A39-utc_offset/24,"HH"),1)&amp;"* | grep -SE ""((Enforcement Ac)|(PRM))"" -"</f>
        <v>grep -hSE -A400 "Enforcement Action" "%USERPROFILE%\AppData\Local\Temp\OnboardLogs"\RTDC4044\*4044*201702071*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"&amp;TEXT(Variables!$A$2,"YYYY-MM-DD")&amp;"-SliceDisagreementCheck.txt"</f>
        <v>grep -hSE "Enforcement Action" "%USERPROFILE%\AppData\Local\Temp\OnboardLogs"\RTDC4044\*4044*201702071* &gt;&gt; 2017-02-07-SliceDisagreementCheck.txt</v>
      </c>
      <c r="AE39" s="161" t="str">
        <f>"start /low /b "&amp;dls3logs&amp;" --loco "&amp;U39&amp;" --day "&amp;TEXT(V39,"YYYY-MM-DD")</f>
        <v>start /low /b %USERPROFILE%\Documents\GitHub\eaglep3\Utilities\DownloadLogsFromS3.py --loco 4044 --day 2017-02-07</v>
      </c>
      <c r="AF39" s="1"/>
    </row>
    <row r="40" spans="1:32" x14ac:dyDescent="0.25">
      <c r="A40" s="32">
        <v>42773.757453703707</v>
      </c>
      <c r="B40" s="30" t="s">
        <v>262</v>
      </c>
      <c r="C40" s="30" t="s">
        <v>487</v>
      </c>
      <c r="D40" s="30" t="s">
        <v>98</v>
      </c>
      <c r="E40" s="30" t="s">
        <v>186</v>
      </c>
      <c r="F40" s="43">
        <v>0</v>
      </c>
      <c r="G40" s="43">
        <v>171</v>
      </c>
      <c r="H40" s="43">
        <v>21757</v>
      </c>
      <c r="I40" s="43">
        <v>21606</v>
      </c>
      <c r="J40" s="30" t="s">
        <v>187</v>
      </c>
      <c r="K40" s="43">
        <v>22888</v>
      </c>
      <c r="L40" s="143" t="s">
        <v>51</v>
      </c>
      <c r="M40" s="144">
        <f>CONVERT((I40-K40)/10000,"mi","ft")*IF(L40="Increasing Mileposts (1)",-1,1)</f>
        <v>-676.89600000000007</v>
      </c>
      <c r="N40" s="145" t="str">
        <f>VLOOKUP(C40,'Trips&amp;Operators'!$C$1:$G$99999,5,FALSE)</f>
        <v>STAMBAUGH JAMES</v>
      </c>
      <c r="O40" s="157" t="s">
        <v>185</v>
      </c>
      <c r="P40" s="146"/>
      <c r="Q40" s="30"/>
      <c r="R40" s="89" t="str">
        <f>VLOOKUP(C40,'Train Runs'!$A$13:$AE$9961,31,0)</f>
        <v>aws s3 cp s3://rtdc.mdm.uploadarchive.raw/RTDC4043/ "%USERPROFILE%\AppData\Local\Temp\OnboardLogs"\RTDC4043\2017-02-07 --exclude "*" --recursive --include "*20170207*" &amp; "%USERPROFILE%\Documents\GitHub\mrs-test-scripts\Headless Mode &amp; Sideloading\WalkAndUnGZ.bat" "%USERPROFILE%\AppData\Local\Temp\OnboardLogs"\RTDC4043\2017-02-07 &amp; aws s3 cp s3://rtdc.mdm.uploadarchive.raw/RTDC4043/ "%USERPROFILE%\AppData\Local\Temp\OnboardLogs"\RTDC4043\2017-02-08 --exclude "*" --recursive --include "*20170208*" &amp; "%USERPROFILE%\Documents\GitHub\mrs-test-scripts\Headless Mode &amp; Sideloading\WalkAndUnGZ.bat" "%USERPROFILE%\AppData\Local\Temp\OnboardLogs"\RTDC4043\2017-02-08</v>
      </c>
      <c r="S40" s="92" t="str">
        <f>VLOOKUP(C40,'Train Runs'!$A$13:$AE$9961,22,0)</f>
        <v>https://d0f6bd738d7f1b3e5a7ca70fe4ff75f0.us-east-1.aws.found.io/app/kibana#/discover/Steve-Slow-Train-Analysis-(2080s-and-2083s)?_g=(refreshInterval:(display:Off,pause:!f,section:0,value:0),time:(from:'2017-02-07T17:02:25-0700',mode:absolute,to:'2017-02-07T19:10:44-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4043%22')),sort:!(Time.ISO8601,asc))</v>
      </c>
      <c r="T40" s="94" t="str">
        <f>astrogrep_path&amp;" /spath="&amp;search_path&amp;" /stypes=""*"&amp;U40&amp;"*"&amp;TEXT(A40-utc_offset/24,"YYYYMMDD")&amp;LEFT(TEXT(A40-utc_offset/24,"HH"),1)&amp;"*"" /stext="" "&amp;TEXT(A40-utc_offset/24,"HH")&amp;search_regexp&amp;""" /e /r /s"</f>
        <v>"C:\Program Files (x86)\AstroGrep\AstroGrep.exe" /spath="%USERPROFILE%\AppData\Local\Temp\OnboardLogs" /stypes="*4043*201702080*" /stext=" 01:.+((SYSTEM_STATE.+slice.+state.+changed )|(ment ac)|(multiple cpu faults)|(system.+state.+changed )|(\[timeout)|(PRM\|1\|D)|(kpr)|(kdp)|(\|lc)|(penalty))" /e /r /s</v>
      </c>
      <c r="U40" s="9" t="str">
        <f>MID(B40,13,4)</f>
        <v>4043</v>
      </c>
      <c r="V40" s="32">
        <f>A40-utc_offset/24</f>
        <v>42774.049120370371</v>
      </c>
      <c r="W40" s="46" t="str">
        <f>IFERROR(IF(VALUE(LEFT(IF(LEN(C40)=6,"0"&amp;C40,C40),2))&lt;=2,"EC",IF(OR(VALUE(LEFT(IF(LEN(C40)=6,"0"&amp;C40,C40),2))=8,VALUE(LEFT(IF(LEN(C40)=6,"0"&amp;C40,C40),2))=18),"NW","Other")),"Other")</f>
        <v>Other</v>
      </c>
      <c r="X40" s="46" t="str">
        <f>IF(AND(E40="TRACK WARRANT AUTHORITY",G40&lt;10),"OMIT","KEEP")</f>
        <v>KEEP</v>
      </c>
      <c r="Y40" s="108" t="str">
        <f>"echo {""issue"":{""subject"":"""&amp;P40&amp;""",""project_id"":79,""tracker_id"":40,""status_id"":"&amp;redmine_status&amp;",""priority_id"":"&amp;redmine_priority&amp;",""assigned_to_id"":"&amp;redmine_assignee&amp;",""start_date"":"""&amp;TEXT(A40,"YYYY-mm-dd")&amp;""",""description"":"""&amp;Z40&amp;""",""custom_fields"":[{""id"":1,""name"":""Subdivision"",""value"":"""&amp;W40&amp;"""},{""id"":4,""name"":""Milepost"",""value"":"""&amp;K40/10000&amp;"""},{""id"":17,""name"":""Train ID"",""value"":"""&amp;C40&amp;"""},{""id"":16,""name"":""Locomotive ID"",""value"":"""&amp;U40&amp;"""},{""id"":130,""name"":""Impact"",""value"":"""&amp;AA40&amp;"""},{""id"":150,""name"":""Time of Event (Mountain Time)"",""value"":"""&amp;TEXT(A40,"hh:mm:ss")&amp;"""},{""id"":151,""name"":""Denver Issue ID"",""value"":"""&amp;"""},{""id"":178,""name"":""Operational Impact"",""value"":"""&amp;redmine_op_impact&amp;"""},{""id"":179,""name"":""Denver Segment Assigned"",""value"":"""&amp;AB40&amp;"""}]}}"&amp;"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{"issue":{"subject":"","project_id":79,"tracker_id":40,"status_id":1,"priority_id":2,"assigned_to_id":23,"start_date":"2017-02-07","description":"","custom_fields":[{"id":1,"name":"Subdivision","value":"Other"},{"id":4,"name":"Milepost","value":"2.2888"},{"id":17,"name":"Train ID","value":"54-07"},{"id":16,"name":"Locomotive ID","value":"4043"},{"id":130,"name":"Impact","value":""},{"id":150,"name":"Time of Event (Mountain Time)","value":"18:10:44"},{"id":151,"name":"Denver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48"/>
      <c r="AA40" s="48"/>
      <c r="AB40" s="48"/>
      <c r="AC40" s="127" t="str">
        <f>"grep -hSE -A400 ""Enforcement Action"" "&amp;search_path&amp;"\RTDC"&amp;U40&amp;"\*"&amp;U40&amp;"*"&amp;TEXT(A40-utc_offset/24,"YYYYMMDD")&amp;LEFT(TEXT(A40-utc_offset/24,"HH"),1)&amp;"* | grep -SE ""((Enforcement Ac)|(PRM))"" -"</f>
        <v>grep -hSE -A400 "Enforcement Action" "%USERPROFILE%\AppData\Local\Temp\OnboardLogs"\RTDC4043\*4043*201702080*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"&amp;TEXT(Variables!$A$2,"YYYY-MM-DD")&amp;"-SliceDisagreementCheck.txt"</f>
        <v>grep -hSE "Enforcement Action" "%USERPROFILE%\AppData\Local\Temp\OnboardLogs"\RTDC4043\*4043*201702080* &gt;&gt; 2017-02-07-SliceDisagreementCheck.txt</v>
      </c>
      <c r="AE40" s="161" t="str">
        <f>"start /low /b "&amp;dls3logs&amp;" --loco "&amp;U40&amp;" --day "&amp;TEXT(V40,"YYYY-MM-DD")</f>
        <v>start /low /b %USERPROFILE%\Documents\GitHub\eaglep3\Utilities\DownloadLogsFromS3.py --loco 4043 --day 2017-02-08</v>
      </c>
      <c r="AF40" s="1"/>
    </row>
    <row r="41" spans="1:32" x14ac:dyDescent="0.25">
      <c r="A41" s="32">
        <v>42773.650034722225</v>
      </c>
      <c r="B41" s="30" t="s">
        <v>290</v>
      </c>
      <c r="C41" s="30" t="s">
        <v>479</v>
      </c>
      <c r="D41" s="30" t="s">
        <v>49</v>
      </c>
      <c r="E41" s="30" t="s">
        <v>188</v>
      </c>
      <c r="F41" s="43">
        <v>0</v>
      </c>
      <c r="G41" s="43">
        <v>49</v>
      </c>
      <c r="H41" s="43">
        <v>708</v>
      </c>
      <c r="I41" s="43">
        <v>668</v>
      </c>
      <c r="J41" s="30" t="s">
        <v>189</v>
      </c>
      <c r="K41" s="43">
        <v>575</v>
      </c>
      <c r="L41" s="143" t="s">
        <v>51</v>
      </c>
      <c r="M41" s="144">
        <f>CONVERT((I41-K41)/10000,"mi","ft")*IF(L41="Increasing Mileposts (1)",-1,1)</f>
        <v>49.103999999999999</v>
      </c>
      <c r="N41" s="145" t="str">
        <f>VLOOKUP(C41,'Trips&amp;Operators'!$C$1:$G$99999,5,FALSE)</f>
        <v>HILLS DUSTIN</v>
      </c>
      <c r="O41" s="157" t="s">
        <v>185</v>
      </c>
      <c r="P41" s="146"/>
      <c r="Q41" s="30"/>
      <c r="R41" s="89" t="str">
        <f>VLOOKUP(C41,'Train Runs'!$A$13:$AE$9961,31,0)</f>
        <v>aws s3 cp s3://rtdc.mdm.uploadarchive.raw/RTDC4052/ "%USERPROFILE%\AppData\Local\Temp\OnboardLogs"\RTDC4052\2017-02-07 --exclude "*" --recursive --include "*20170207*" &amp; "%USERPROFILE%\Documents\GitHub\mrs-test-scripts\Headless Mode &amp; Sideloading\WalkAndUnGZ.bat" "%USERPROFILE%\AppData\Local\Temp\OnboardLogs"\RTDC4052\2017-02-07 &amp; aws s3 cp s3://rtdc.mdm.uploadarchive.raw/RTDC4052/ "%USERPROFILE%\AppData\Local\Temp\OnboardLogs"\RTDC4052\2017-02-08 --exclude "*" --recursive --include "*20170208*" &amp; "%USERPROFILE%\Documents\GitHub\mrs-test-scripts\Headless Mode &amp; Sideloading\WalkAndUnGZ.bat" "%USERPROFILE%\AppData\Local\Temp\OnboardLogs"\RTDC4052\2017-02-08</v>
      </c>
      <c r="S41" s="92" t="str">
        <f>VLOOKUP(C41,'Train Runs'!$A$13:$AE$9961,22,0)</f>
        <v>https://d0f6bd738d7f1b3e5a7ca70fe4ff75f0.us-east-1.aws.found.io/app/kibana#/discover/Steve-Slow-Train-Analysis-(2080s-and-2083s)?_g=(refreshInterval:(display:Off,pause:!f,section:0,value:0),time:(from:'2017-02-07T14:25:43-0700',mode:absolute,to:'2017-02-07T16:36:03-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4052%22')),sort:!(Time.ISO8601,asc))</v>
      </c>
      <c r="T41" s="94" t="str">
        <f>astrogrep_path&amp;" /spath="&amp;search_path&amp;" /stypes=""*"&amp;U41&amp;"*"&amp;TEXT(A41-utc_offset/24,"YYYYMMDD")&amp;LEFT(TEXT(A41-utc_offset/24,"HH"),1)&amp;"*"" /stext="" "&amp;TEXT(A41-utc_offset/24,"HH")&amp;search_regexp&amp;""" /e /r /s"</f>
        <v>"C:\Program Files (x86)\AstroGrep\AstroGrep.exe" /spath="%USERPROFILE%\AppData\Local\Temp\OnboardLogs" /stypes="*4052*201702072*" /stext=" 22:.+((SYSTEM_STATE.+slice.+state.+changed )|(ment ac)|(multiple cpu faults)|(system.+state.+changed )|(\[timeout)|(PRM\|1\|D)|(kpr)|(kdp)|(\|lc)|(penalty))" /e /r /s</v>
      </c>
      <c r="U41" s="9" t="str">
        <f>MID(B41,13,4)</f>
        <v>4052</v>
      </c>
      <c r="V41" s="32">
        <f>A41-utc_offset/24</f>
        <v>42773.941701388889</v>
      </c>
      <c r="W41" s="46" t="str">
        <f>IFERROR(IF(VALUE(LEFT(IF(LEN(C41)=6,"0"&amp;C41,C41),2))&lt;=2,"EC",IF(OR(VALUE(LEFT(IF(LEN(C41)=6,"0"&amp;C41,C41),2))=8,VALUE(LEFT(IF(LEN(C41)=6,"0"&amp;C41,C41),2))=18),"NW","Other")),"Other")</f>
        <v>Other</v>
      </c>
      <c r="X41" s="46" t="str">
        <f>IF(AND(E41="TRACK WARRANT AUTHORITY",G41&lt;10),"OMIT","KEEP")</f>
        <v>KEEP</v>
      </c>
      <c r="Y41" s="108" t="str">
        <f>"echo {""issue"":{""subject"":"""&amp;P41&amp;""",""project_id"":79,""tracker_id"":40,""status_id"":"&amp;redmine_status&amp;",""priority_id"":"&amp;redmine_priority&amp;",""assigned_to_id"":"&amp;redmine_assignee&amp;",""start_date"":"""&amp;TEXT(A41,"YYYY-mm-dd")&amp;""",""description"":"""&amp;Z41&amp;""",""custom_fields"":[{""id"":1,""name"":""Subdivision"",""value"":"""&amp;W41&amp;"""},{""id"":4,""name"":""Milepost"",""value"":"""&amp;K41/10000&amp;"""},{""id"":17,""name"":""Train ID"",""value"":"""&amp;C41&amp;"""},{""id"":16,""name"":""Locomotive ID"",""value"":"""&amp;U41&amp;"""},{""id"":130,""name"":""Impact"",""value"":"""&amp;AA41&amp;"""},{""id"":150,""name"":""Time of Event (Mountain Time)"",""value"":"""&amp;TEXT(A41,"hh:mm:ss")&amp;"""},{""id"":151,""name"":""Denver Issue ID"",""value"":"""&amp;"""},{""id"":178,""name"":""Operational Impact"",""value"":"""&amp;redmine_op_impact&amp;"""},{""id"":179,""name"":""Denver Segment Assigned"",""value"":"""&amp;AB41&amp;"""}]}}"&amp;"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{"issue":{"subject":"","project_id":79,"tracker_id":40,"status_id":1,"priority_id":2,"assigned_to_id":23,"start_date":"2017-02-07","description":"","custom_fields":[{"id":1,"name":"Subdivision","value":"Other"},{"id":4,"name":"Milepost","value":"0.0575"},{"id":17,"name":"Train ID","value":"904-07"},{"id":16,"name":"Locomotive ID","value":"4052"},{"id":130,"name":"Impact","value":""},{"id":150,"name":"Time of Event (Mountain Time)","value":"15:36:03"},{"id":151,"name":"Denver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48"/>
      <c r="AA41" s="48"/>
      <c r="AB41" s="48"/>
      <c r="AC41" s="127" t="str">
        <f>"grep -hSE -A400 ""Enforcement Action"" "&amp;search_path&amp;"\RTDC"&amp;U41&amp;"\*"&amp;U41&amp;"*"&amp;TEXT(A41-utc_offset/24,"YYYYMMDD")&amp;LEFT(TEXT(A41-utc_offset/24,"HH"),1)&amp;"* | grep -SE ""((Enforcement Ac)|(PRM))"" -"</f>
        <v>grep -hSE -A400 "Enforcement Action" "%USERPROFILE%\AppData\Local\Temp\OnboardLogs"\RTDC4052\*4052*201702072*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"&amp;TEXT(Variables!$A$2,"YYYY-MM-DD")&amp;"-SliceDisagreementCheck.txt"</f>
        <v>grep -hSE "Enforcement Action" "%USERPROFILE%\AppData\Local\Temp\OnboardLogs"\RTDC4052\*4052*201702072* &gt;&gt; 2017-02-07-SliceDisagreementCheck.txt</v>
      </c>
      <c r="AE41" s="161" t="str">
        <f>"start /low /b "&amp;dls3logs&amp;" --loco "&amp;U41&amp;" --day "&amp;TEXT(V41,"YYYY-MM-DD")</f>
        <v>start /low /b %USERPROFILE%\Documents\GitHub\eaglep3\Utilities\DownloadLogsFromS3.py --loco 4052 --day 2017-02-07</v>
      </c>
      <c r="AF41" s="1"/>
    </row>
    <row r="42" spans="1:32" x14ac:dyDescent="0.25">
      <c r="A42" s="32">
        <v>42773.206238425926</v>
      </c>
      <c r="B42" s="30" t="s">
        <v>289</v>
      </c>
      <c r="C42" s="30" t="s">
        <v>464</v>
      </c>
      <c r="D42" s="30" t="s">
        <v>49</v>
      </c>
      <c r="E42" s="30" t="s">
        <v>188</v>
      </c>
      <c r="F42" s="43">
        <v>0</v>
      </c>
      <c r="G42" s="43">
        <v>31</v>
      </c>
      <c r="H42" s="43">
        <v>58975</v>
      </c>
      <c r="I42" s="43">
        <v>58995</v>
      </c>
      <c r="J42" s="30" t="s">
        <v>189</v>
      </c>
      <c r="K42" s="43">
        <v>59048</v>
      </c>
      <c r="L42" s="143" t="s">
        <v>50</v>
      </c>
      <c r="M42" s="144">
        <f>CONVERT((I42-K42)/10000,"mi","ft")*IF(L42="Increasing Mileposts (1)",-1,1)</f>
        <v>27.984000000000002</v>
      </c>
      <c r="N42" s="145" t="str">
        <f>VLOOKUP(C42,'Trips&amp;Operators'!$C$1:$G$99999,5,FALSE)</f>
        <v>BEAM ROSS</v>
      </c>
      <c r="O42" s="157" t="s">
        <v>185</v>
      </c>
      <c r="P42" s="146"/>
      <c r="Q42" s="30"/>
      <c r="R42" s="89" t="str">
        <f>VLOOKUP(C42,'Train Runs'!$A$13:$AE$9961,31,0)</f>
        <v>aws s3 cp s3://rtdc.mdm.uploadarchive.raw/RTDC4051/ "%USERPROFILE%\AppData\Local\Temp\OnboardLogs"\RTDC4051\2017-02-07 --exclude "*" --recursive --include "*20170207*" &amp; "%USERPROFILE%\Documents\GitHub\mrs-test-scripts\Headless Mode &amp; Sideloading\WalkAndUnGZ.bat" "%USERPROFILE%\AppData\Local\Temp\OnboardLogs"\RTDC4051\2017-02-07 &amp; aws s3 cp s3://rtdc.mdm.uploadarchive.raw/RTDC4051/ "%USERPROFILE%\AppData\Local\Temp\OnboardLogs"\RTDC4051\2017-02-08 --exclude "*" --recursive --include "*20170208*" &amp; "%USERPROFILE%\Documents\GitHub\mrs-test-scripts\Headless Mode &amp; Sideloading\WalkAndUnGZ.bat" "%USERPROFILE%\AppData\Local\Temp\OnboardLogs"\RTDC4051\2017-02-08</v>
      </c>
      <c r="S42" s="92" t="str">
        <f>VLOOKUP(C42,'Train Runs'!$A$13:$AE$9961,22,0)</f>
        <v>https://d0f6bd738d7f1b3e5a7ca70fe4ff75f0.us-east-1.aws.found.io/app/kibana#/discover/Steve-Slow-Train-Analysis-(2080s-and-2083s)?_g=(refreshInterval:(display:Off,pause:!f,section:0,value:0),time:(from:'2017-02-07T03:44:22-0700',mode:absolute,to:'2017-02-07T05:56:59-0700'))&amp;_a=(columns:!('Locomotive+ID','Data.Head+End+Milepost',Data.Speed,'Data.Locomotive+State','Data.Train+ID','Data.Warning%2FEnforcement+Type','Data.Target+Start+Milepost','Data.Target+Description','Data.Target+Speed','Data.Enforcement+Train+Speed','Data.Enforcement+Start+Milepost','Data.Target+Type','Data.Enforcement+Direction+of+Travel','Message+ID','Data.Body+of+Summary+Text','Data.Head+End+Track+name'),filters:!(),index:'emp_*',interval:auto,query:(query_string:(analyze_wildcard:!t,query:'Message%5C+ID:(2083+OR+2080+OR+1041+OR+2003+OR+1051+OR+1043+OR+1053)+AND+%22rtdc.l.rtdc.4051%22')),sort:!(Time.ISO8601,asc))</v>
      </c>
      <c r="T42" s="94" t="str">
        <f>astrogrep_path&amp;" /spath="&amp;search_path&amp;" /stypes=""*"&amp;U42&amp;"*"&amp;TEXT(A42-utc_offset/24,"YYYYMMDD")&amp;LEFT(TEXT(A42-utc_offset/24,"HH"),1)&amp;"*"" /stext="" "&amp;TEXT(A42-utc_offset/24,"HH")&amp;search_regexp&amp;""" /e /r /s"</f>
        <v>"C:\Program Files (x86)\AstroGrep\AstroGrep.exe" /spath="%USERPROFILE%\AppData\Local\Temp\OnboardLogs" /stypes="*4051*201702071*" /stext=" 11:.+((SYSTEM_STATE.+slice.+state.+changed )|(ment ac)|(multiple cpu faults)|(system.+state.+changed )|(\[timeout)|(PRM\|1\|D)|(kpr)|(kdp)|(\|lc)|(penalty))" /e /r /s</v>
      </c>
      <c r="U42" s="9" t="str">
        <f>MID(B42,13,4)</f>
        <v>4051</v>
      </c>
      <c r="V42" s="32">
        <f>A42-utc_offset/24</f>
        <v>42773.49790509259</v>
      </c>
      <c r="W42" s="46" t="str">
        <f>IFERROR(IF(VALUE(LEFT(IF(LEN(C42)=6,"0"&amp;C42,C42),2))&lt;=2,"EC",IF(OR(VALUE(LEFT(IF(LEN(C42)=6,"0"&amp;C42,C42),2))=8,VALUE(LEFT(IF(LEN(C42)=6,"0"&amp;C42,C42),2))=18),"NW","Other")),"Other")</f>
        <v>Other</v>
      </c>
      <c r="X42" s="46" t="str">
        <f>IF(AND(E42="TRACK WARRANT AUTHORITY",G42&lt;10),"OMIT","KEEP")</f>
        <v>KEEP</v>
      </c>
      <c r="Y42" s="108" t="str">
        <f>"echo {""issue"":{""subject"":"""&amp;P42&amp;""",""project_id"":79,""tracker_id"":40,""status_id"":"&amp;redmine_status&amp;",""priority_id"":"&amp;redmine_priority&amp;",""assigned_to_id"":"&amp;redmine_assignee&amp;",""start_date"":"""&amp;TEXT(A42,"YYYY-mm-dd")&amp;""",""description"":"""&amp;Z42&amp;""",""custom_fields"":[{""id"":1,""name"":""Subdivision"",""value"":"""&amp;W42&amp;"""},{""id"":4,""name"":""Milepost"",""value"":"""&amp;K42/10000&amp;"""},{""id"":17,""name"":""Train ID"",""value"":"""&amp;C42&amp;"""},{""id"":16,""name"":""Locomotive ID"",""value"":"""&amp;U42&amp;"""},{""id"":130,""name"":""Impact"",""value"":"""&amp;AA42&amp;"""},{""id"":150,""name"":""Time of Event (Mountain Time)"",""value"":"""&amp;TEXT(A42,"hh:mm:ss")&amp;"""},{""id"":151,""name"":""Denver Issue ID"",""value"":"""&amp;"""},{""id"":178,""name"":""Operational Impact"",""value"":"""&amp;redmine_op_impact&amp;"""},{""id"":179,""name"":""Denver Segment Assigned"",""value"":"""&amp;AB42&amp;"""}]}}"&amp;"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{"issue":{"subject":"","project_id":79,"tracker_id":40,"status_id":1,"priority_id":2,"assigned_to_id":23,"start_date":"2017-02-07","description":"","custom_fields":[{"id":1,"name":"Subdivision","value":"Other"},{"id":4,"name":"Milepost","value":"5.9048"},{"id":17,"name":"Train ID","value":"901-07"},{"id":16,"name":"Locomotive ID","value":"4051"},{"id":130,"name":"Impact","value":""},{"id":150,"name":"Time of Event (Mountain Time)","value":"04:56:59"},{"id":151,"name":"Denver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48"/>
      <c r="AA42" s="48"/>
      <c r="AB42" s="48"/>
      <c r="AC42" s="127" t="str">
        <f>"grep -hSE -A400 ""Enforcement Action"" "&amp;search_path&amp;"\RTDC"&amp;U42&amp;"\*"&amp;U42&amp;"*"&amp;TEXT(A42-utc_offset/24,"YYYYMMDD")&amp;LEFT(TEXT(A42-utc_offset/24,"HH"),1)&amp;"* | grep -SE ""((Enforcement Ac)|(PRM))"" -"</f>
        <v>grep -hSE -A400 "Enforcement Action" "%USERPROFILE%\AppData\Local\Temp\OnboardLogs"\RTDC4051\*4051*201702071*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"&amp;TEXT(Variables!$A$2,"YYYY-MM-DD")&amp;"-SliceDisagreementCheck.txt"</f>
        <v>grep -hSE "Enforcement Action" "%USERPROFILE%\AppData\Local\Temp\OnboardLogs"\RTDC4051\*4051*201702071* &gt;&gt; 2017-02-07-SliceDisagreementCheck.txt</v>
      </c>
      <c r="AE42" s="161" t="str">
        <f>"start /low /b "&amp;dls3logs&amp;" --loco "&amp;U42&amp;" --day "&amp;TEXT(V42,"YYYY-MM-DD")</f>
        <v>start /low /b %USERPROFILE%\Documents\GitHub\eaglep3\Utilities\DownloadLogsFromS3.py --loco 4051 --day 2017-02-07</v>
      </c>
      <c r="AF42" s="1"/>
    </row>
    <row r="43" spans="1:32" x14ac:dyDescent="0.25">
      <c r="A43" s="32">
        <v>42773.557974537034</v>
      </c>
      <c r="B43" s="30" t="s">
        <v>246</v>
      </c>
      <c r="C43" s="30" t="s">
        <v>475</v>
      </c>
      <c r="D43" s="30" t="s">
        <v>49</v>
      </c>
      <c r="E43" s="30" t="s">
        <v>188</v>
      </c>
      <c r="F43" s="43">
        <v>0</v>
      </c>
      <c r="G43" s="43">
        <v>109</v>
      </c>
      <c r="H43" s="43">
        <v>232804</v>
      </c>
      <c r="I43" s="43">
        <v>232936</v>
      </c>
      <c r="J43" s="30" t="s">
        <v>189</v>
      </c>
      <c r="K43" s="43">
        <v>233491</v>
      </c>
      <c r="L43" s="143" t="s">
        <v>50</v>
      </c>
      <c r="M43" s="144">
        <f>CONVERT((I43-K43)/10000,"mi","ft")*IF(L43="Increasing Mileposts (1)",-1,1)</f>
        <v>293.04000000000002</v>
      </c>
      <c r="N43" s="145" t="e">
        <f>VLOOKUP(C43,'Trips&amp;Operators'!$C$1:$G$99999,5,FALSE)</f>
        <v>#N/A</v>
      </c>
      <c r="O43" s="157" t="s">
        <v>185</v>
      </c>
      <c r="P43" s="146"/>
      <c r="Q43" s="30"/>
      <c r="R43" s="89" t="e">
        <f>VLOOKUP(C43,'Train Runs'!$A$13:$AE$9961,31,0)</f>
        <v>#N/A</v>
      </c>
      <c r="S43" s="92" t="e">
        <f>VLOOKUP(C43,'Train Runs'!$A$13:$AE$9961,22,0)</f>
        <v>#N/A</v>
      </c>
      <c r="T43" s="94" t="str">
        <f>astrogrep_path&amp;" /spath="&amp;search_path&amp;" /stypes=""*"&amp;U43&amp;"*"&amp;TEXT(A43-utc_offset/24,"YYYYMMDD")&amp;LEFT(TEXT(A43-utc_offset/24,"HH"),1)&amp;"*"" /stext="" "&amp;TEXT(A43-utc_offset/24,"HH")&amp;search_regexp&amp;""" /e /r /s"</f>
        <v>"C:\Program Files (x86)\AstroGrep\AstroGrep.exe" /spath="%USERPROFILE%\AppData\Local\Temp\OnboardLogs" /stypes="*4025*201702072*" /stext=" 20:.+((SYSTEM_STATE.+slice.+state.+changed )|(ment ac)|(multiple cpu faults)|(system.+state.+changed )|(\[timeout)|(PRM\|1\|D)|(kpr)|(kdp)|(\|lc)|(penalty))" /e /r /s</v>
      </c>
      <c r="U43" s="9" t="str">
        <f>MID(B43,13,4)</f>
        <v>4025</v>
      </c>
      <c r="V43" s="32">
        <f>A43-utc_offset/24</f>
        <v>42773.849641203698</v>
      </c>
      <c r="W43" s="46" t="str">
        <f>IFERROR(IF(VALUE(LEFT(IF(LEN(C43)=6,"0"&amp;C43,C43),2))&lt;=2,"EC",IF(OR(VALUE(LEFT(IF(LEN(C43)=6,"0"&amp;C43,C43),2))=8,VALUE(LEFT(IF(LEN(C43)=6,"0"&amp;C43,C43),2))=18),"NW","Other")),"Other")</f>
        <v>Other</v>
      </c>
      <c r="X43" s="46" t="str">
        <f>IF(AND(E43="TRACK WARRANT AUTHORITY",G43&lt;10),"OMIT","KEEP")</f>
        <v>KEEP</v>
      </c>
      <c r="Y43" s="108" t="str">
        <f>"echo {""issue"":{""subject"":"""&amp;P43&amp;""",""project_id"":79,""tracker_id"":40,""status_id"":"&amp;redmine_status&amp;",""priority_id"":"&amp;redmine_priority&amp;",""assigned_to_id"":"&amp;redmine_assignee&amp;",""start_date"":"""&amp;TEXT(A43,"YYYY-mm-dd")&amp;""",""description"":"""&amp;Z43&amp;""",""custom_fields"":[{""id"":1,""name"":""Subdivision"",""value"":"""&amp;W43&amp;"""},{""id"":4,""name"":""Milepost"",""value"":"""&amp;K43/10000&amp;"""},{""id"":17,""name"":""Train ID"",""value"":"""&amp;C43&amp;"""},{""id"":16,""name"":""Locomotive ID"",""value"":"""&amp;U43&amp;"""},{""id"":130,""name"":""Impact"",""value"":"""&amp;AA43&amp;"""},{""id"":150,""name"":""Time of Event (Mountain Time)"",""value"":"""&amp;TEXT(A43,"hh:mm:ss")&amp;"""},{""id"":151,""name"":""Denver Issue ID"",""value"":"""&amp;"""},{""id"":178,""name"":""Operational Impact"",""value"":"""&amp;redmine_op_impact&amp;"""},{""id"":179,""name"":""Denver Segment Assigned"",""value"":"""&amp;AB43&amp;"""}]}}"&amp;"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{"issue":{"subject":"","project_id":79,"tracker_id":40,"status_id":1,"priority_id":2,"assigned_to_id":23,"start_date":"2017-02-07","description":"","custom_fields":[{"id":1,"name":"Subdivision","value":"Other"},{"id":4,"name":"Milepost","value":"23.3491"},{"id":17,"name":"Train ID","value":"UNKNOWN"},{"id":16,"name":"Locomotive ID","value":"4025"},{"id":130,"name":"Impact","value":""},{"id":150,"name":"Time of Event (Mountain Time)","value":"13:23:29"},{"id":151,"name":"Denver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48"/>
      <c r="AA43" s="48"/>
      <c r="AB43" s="48"/>
      <c r="AC43" s="127" t="str">
        <f>"grep -hSE -A400 ""Enforcement Action"" "&amp;search_path&amp;"\RTDC"&amp;U43&amp;"\*"&amp;U43&amp;"*"&amp;TEXT(A43-utc_offset/24,"YYYYMMDD")&amp;LEFT(TEXT(A43-utc_offset/24,"HH"),1)&amp;"* | grep -SE ""((Enforcement Ac)|(PRM))"" -"</f>
        <v>grep -hSE -A400 "Enforcement Action" "%USERPROFILE%\AppData\Local\Temp\OnboardLogs"\RTDC4025\*4025*201702072*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"&amp;TEXT(Variables!$A$2,"YYYY-MM-DD")&amp;"-SliceDisagreementCheck.txt"</f>
        <v>grep -hSE "Enforcement Action" "%USERPROFILE%\AppData\Local\Temp\OnboardLogs"\RTDC4025\*4025*201702072* &gt;&gt; 2017-02-07-SliceDisagreementCheck.txt</v>
      </c>
      <c r="AE43" s="161" t="str">
        <f>"start /low /b "&amp;dls3logs&amp;" --loco "&amp;U43&amp;" --day "&amp;TEXT(V43,"YYYY-MM-DD")</f>
        <v>start /low /b %USERPROFILE%\Documents\GitHub\eaglep3\Utilities\DownloadLogsFromS3.py --loco 4025 --day 2017-02-07</v>
      </c>
      <c r="AF43" s="1"/>
    </row>
    <row r="44" spans="1:32" x14ac:dyDescent="0.25">
      <c r="A44" s="32">
        <v>42773.558368055557</v>
      </c>
      <c r="B44" s="30" t="s">
        <v>246</v>
      </c>
      <c r="C44" s="30" t="s">
        <v>475</v>
      </c>
      <c r="D44" s="30" t="s">
        <v>49</v>
      </c>
      <c r="E44" s="30" t="s">
        <v>188</v>
      </c>
      <c r="F44" s="43">
        <v>0</v>
      </c>
      <c r="G44" s="43">
        <v>61</v>
      </c>
      <c r="H44" s="43">
        <v>233028</v>
      </c>
      <c r="I44" s="43">
        <v>233069</v>
      </c>
      <c r="J44" s="30" t="s">
        <v>189</v>
      </c>
      <c r="K44" s="43">
        <v>233491</v>
      </c>
      <c r="L44" s="143" t="s">
        <v>50</v>
      </c>
      <c r="M44" s="144">
        <f>CONVERT((I44-K44)/10000,"mi","ft")*IF(L44="Increasing Mileposts (1)",-1,1)</f>
        <v>222.816</v>
      </c>
      <c r="N44" s="145" t="e">
        <f>VLOOKUP(C44,'Trips&amp;Operators'!$C$1:$G$99999,5,FALSE)</f>
        <v>#N/A</v>
      </c>
      <c r="O44" s="157" t="s">
        <v>185</v>
      </c>
      <c r="P44" s="146"/>
      <c r="Q44" s="30"/>
      <c r="R44" s="89" t="e">
        <f>VLOOKUP(C44,'Train Runs'!$A$13:$AE$9961,31,0)</f>
        <v>#N/A</v>
      </c>
      <c r="S44" s="92" t="e">
        <f>VLOOKUP(C44,'Train Runs'!$A$13:$AE$9961,22,0)</f>
        <v>#N/A</v>
      </c>
      <c r="T44" s="94" t="str">
        <f>astrogrep_path&amp;" /spath="&amp;search_path&amp;" /stypes=""*"&amp;U44&amp;"*"&amp;TEXT(A44-utc_offset/24,"YYYYMMDD")&amp;LEFT(TEXT(A44-utc_offset/24,"HH"),1)&amp;"*"" /stext="" "&amp;TEXT(A44-utc_offset/24,"HH")&amp;search_regexp&amp;""" /e /r /s"</f>
        <v>"C:\Program Files (x86)\AstroGrep\AstroGrep.exe" /spath="%USERPROFILE%\AppData\Local\Temp\OnboardLogs" /stypes="*4025*201702072*" /stext=" 20:.+((SYSTEM_STATE.+slice.+state.+changed )|(ment ac)|(multiple cpu faults)|(system.+state.+changed )|(\[timeout)|(PRM\|1\|D)|(kpr)|(kdp)|(\|lc)|(penalty))" /e /r /s</v>
      </c>
      <c r="U44" s="9" t="str">
        <f>MID(B44,13,4)</f>
        <v>4025</v>
      </c>
      <c r="V44" s="32">
        <f>A44-utc_offset/24</f>
        <v>42773.850034722222</v>
      </c>
      <c r="W44" s="46" t="str">
        <f>IFERROR(IF(VALUE(LEFT(IF(LEN(C44)=6,"0"&amp;C44,C44),2))&lt;=2,"EC",IF(OR(VALUE(LEFT(IF(LEN(C44)=6,"0"&amp;C44,C44),2))=8,VALUE(LEFT(IF(LEN(C44)=6,"0"&amp;C44,C44),2))=18),"NW","Other")),"Other")</f>
        <v>Other</v>
      </c>
      <c r="X44" s="46" t="str">
        <f>IF(AND(E44="TRACK WARRANT AUTHORITY",G44&lt;10),"OMIT","KEEP")</f>
        <v>KEEP</v>
      </c>
      <c r="Y44" s="108" t="str">
        <f>"echo {""issue"":{""subject"":"""&amp;P44&amp;""",""project_id"":79,""tracker_id"":40,""status_id"":"&amp;redmine_status&amp;",""priority_id"":"&amp;redmine_priority&amp;",""assigned_to_id"":"&amp;redmine_assignee&amp;",""start_date"":"""&amp;TEXT(A44,"YYYY-mm-dd")&amp;""",""description"":"""&amp;Z44&amp;""",""custom_fields"":[{""id"":1,""name"":""Subdivision"",""value"":"""&amp;W44&amp;"""},{""id"":4,""name"":""Milepost"",""value"":"""&amp;K44/10000&amp;"""},{""id"":17,""name"":""Train ID"",""value"":"""&amp;C44&amp;"""},{""id"":16,""name"":""Locomotive ID"",""value"":"""&amp;U44&amp;"""},{""id"":130,""name"":""Impact"",""value"":"""&amp;AA44&amp;"""},{""id"":150,""name"":""Time of Event (Mountain Time)"",""value"":"""&amp;TEXT(A44,"hh:mm:ss")&amp;"""},{""id"":151,""name"":""Denver Issue ID"",""value"":"""&amp;"""},{""id"":178,""name"":""Operational Impact"",""value"":"""&amp;redmine_op_impact&amp;"""},{""id"":179,""name"":""Denver Segment Assigned"",""value"":"""&amp;AB44&amp;"""}]}}"&amp;"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{"issue":{"subject":"","project_id":79,"tracker_id":40,"status_id":1,"priority_id":2,"assigned_to_id":23,"start_date":"2017-02-07","description":"","custom_fields":[{"id":1,"name":"Subdivision","value":"Other"},{"id":4,"name":"Milepost","value":"23.3491"},{"id":17,"name":"Train ID","value":"UNKNOWN"},{"id":16,"name":"Locomotive ID","value":"4025"},{"id":130,"name":"Impact","value":""},{"id":150,"name":"Time of Event (Mountain Time)","value":"13:24:03"},{"id":151,"name":"Denver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48"/>
      <c r="AA44" s="48"/>
      <c r="AB44" s="48"/>
      <c r="AC44" s="127" t="str">
        <f>"grep -hSE -A400 ""Enforcement Action"" "&amp;search_path&amp;"\RTDC"&amp;U44&amp;"\*"&amp;U44&amp;"*"&amp;TEXT(A44-utc_offset/24,"YYYYMMDD")&amp;LEFT(TEXT(A44-utc_offset/24,"HH"),1)&amp;"* | grep -SE ""((Enforcement Ac)|(PRM))"" -"</f>
        <v>grep -hSE -A400 "Enforcement Action" "%USERPROFILE%\AppData\Local\Temp\OnboardLogs"\RTDC4025\*4025*201702072*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"&amp;TEXT(Variables!$A$2,"YYYY-MM-DD")&amp;"-SliceDisagreementCheck.txt"</f>
        <v>grep -hSE "Enforcement Action" "%USERPROFILE%\AppData\Local\Temp\OnboardLogs"\RTDC4025\*4025*201702072* &gt;&gt; 2017-02-07-SliceDisagreementCheck.txt</v>
      </c>
      <c r="AE44" s="161" t="str">
        <f>"start /low /b "&amp;dls3logs&amp;" --loco "&amp;U44&amp;" --day "&amp;TEXT(V44,"YYYY-MM-DD")</f>
        <v>start /low /b %USERPROFILE%\Documents\GitHub\eaglep3\Utilities\DownloadLogsFromS3.py --loco 4025 --day 2017-02-07</v>
      </c>
      <c r="AF44" s="1"/>
    </row>
    <row r="45" spans="1:32" x14ac:dyDescent="0.25">
      <c r="A45"/>
      <c r="D45"/>
      <c r="E45"/>
      <c r="F45"/>
      <c r="G45"/>
      <c r="H45"/>
      <c r="I45"/>
      <c r="J45"/>
      <c r="K45"/>
      <c r="L45"/>
      <c r="M45"/>
      <c r="N45"/>
      <c r="O45"/>
      <c r="P45"/>
      <c r="R45"/>
      <c r="S45"/>
      <c r="T45"/>
      <c r="V45"/>
      <c r="AC45"/>
      <c r="AE45"/>
    </row>
    <row r="46" spans="1:32" x14ac:dyDescent="0.25">
      <c r="A46"/>
      <c r="D46"/>
      <c r="E46"/>
      <c r="F46"/>
      <c r="G46"/>
      <c r="H46"/>
      <c r="I46"/>
      <c r="J46"/>
      <c r="K46"/>
      <c r="L46"/>
      <c r="M46"/>
      <c r="N46"/>
      <c r="O46"/>
      <c r="P46"/>
      <c r="R46"/>
      <c r="S46"/>
      <c r="T46"/>
      <c r="V46"/>
      <c r="AC46"/>
      <c r="AE46"/>
    </row>
    <row r="47" spans="1:32" x14ac:dyDescent="0.25">
      <c r="A47"/>
      <c r="D47"/>
      <c r="E47"/>
      <c r="F47"/>
      <c r="G47"/>
      <c r="H47"/>
      <c r="I47"/>
      <c r="J47"/>
      <c r="K47"/>
      <c r="L47"/>
      <c r="M47"/>
      <c r="N47"/>
      <c r="O47"/>
      <c r="P47"/>
      <c r="R47"/>
      <c r="S47"/>
      <c r="T47"/>
      <c r="V47"/>
      <c r="AC47"/>
      <c r="AE47"/>
    </row>
    <row r="48" spans="1:32" x14ac:dyDescent="0.25">
      <c r="A48"/>
      <c r="D48"/>
      <c r="E48"/>
      <c r="F48"/>
      <c r="G48"/>
      <c r="H48"/>
      <c r="I48"/>
      <c r="J48"/>
      <c r="K48"/>
      <c r="L48"/>
      <c r="M48"/>
      <c r="N48"/>
      <c r="O48"/>
      <c r="P48"/>
      <c r="R48"/>
      <c r="S48"/>
      <c r="T48"/>
      <c r="V48"/>
      <c r="AC48"/>
      <c r="AE48"/>
    </row>
    <row r="49" spans="1:31" x14ac:dyDescent="0.25">
      <c r="A49"/>
      <c r="D49"/>
      <c r="E49"/>
      <c r="F49"/>
      <c r="G49"/>
      <c r="H49"/>
      <c r="I49"/>
      <c r="J49"/>
      <c r="K49"/>
      <c r="L49"/>
      <c r="M49"/>
      <c r="N49"/>
      <c r="O49"/>
      <c r="P49"/>
      <c r="R49"/>
      <c r="S49"/>
      <c r="T49"/>
      <c r="V49"/>
      <c r="AC49"/>
      <c r="AE49"/>
    </row>
    <row r="50" spans="1:31" x14ac:dyDescent="0.25">
      <c r="A50"/>
      <c r="D50"/>
      <c r="E50"/>
      <c r="F50"/>
      <c r="G50"/>
      <c r="H50"/>
      <c r="I50"/>
      <c r="J50"/>
      <c r="K50"/>
      <c r="L50"/>
      <c r="M50"/>
      <c r="N50"/>
      <c r="O50"/>
      <c r="P50"/>
      <c r="R50"/>
      <c r="S50"/>
      <c r="T50"/>
      <c r="V50"/>
      <c r="AC50"/>
      <c r="AE50"/>
    </row>
    <row r="51" spans="1:31" x14ac:dyDescent="0.25">
      <c r="A51"/>
      <c r="D51"/>
      <c r="E51"/>
      <c r="F51"/>
      <c r="G51"/>
      <c r="H51"/>
      <c r="I51"/>
      <c r="J51"/>
      <c r="K51"/>
      <c r="L51"/>
      <c r="M51"/>
      <c r="N51"/>
      <c r="O51"/>
      <c r="P51"/>
      <c r="R51"/>
      <c r="S51"/>
      <c r="T51"/>
      <c r="V51"/>
      <c r="AC51"/>
      <c r="AE51"/>
    </row>
    <row r="52" spans="1:31" x14ac:dyDescent="0.25">
      <c r="A52"/>
      <c r="D52"/>
      <c r="E52"/>
      <c r="F52"/>
      <c r="G52"/>
      <c r="H52"/>
      <c r="I52"/>
      <c r="J52"/>
      <c r="K52"/>
      <c r="L52"/>
      <c r="M52"/>
      <c r="N52"/>
      <c r="O52"/>
      <c r="P52"/>
      <c r="R52"/>
      <c r="S52"/>
      <c r="T52"/>
      <c r="V52"/>
      <c r="AC52"/>
      <c r="AE52"/>
    </row>
    <row r="53" spans="1:31" x14ac:dyDescent="0.25">
      <c r="A53"/>
      <c r="D53"/>
      <c r="E53"/>
      <c r="F53"/>
      <c r="G53"/>
      <c r="H53"/>
      <c r="I53"/>
      <c r="J53"/>
      <c r="K53"/>
      <c r="L53"/>
      <c r="M53"/>
      <c r="N53"/>
      <c r="O53"/>
      <c r="P53"/>
      <c r="R53"/>
      <c r="S53"/>
      <c r="T53"/>
      <c r="V53"/>
      <c r="AC53"/>
      <c r="AE53"/>
    </row>
    <row r="54" spans="1:31" x14ac:dyDescent="0.25">
      <c r="A54"/>
      <c r="D54"/>
      <c r="E54"/>
      <c r="F54"/>
      <c r="G54"/>
      <c r="H54"/>
      <c r="I54"/>
      <c r="J54"/>
      <c r="K54"/>
      <c r="L54"/>
      <c r="M54"/>
      <c r="N54"/>
      <c r="O54"/>
      <c r="P54"/>
      <c r="R54"/>
      <c r="S54"/>
      <c r="T54"/>
      <c r="V54"/>
      <c r="AC54"/>
      <c r="AE54"/>
    </row>
    <row r="55" spans="1:31" x14ac:dyDescent="0.25">
      <c r="A55"/>
      <c r="D55"/>
      <c r="E55"/>
      <c r="F55"/>
      <c r="G55"/>
      <c r="H55"/>
      <c r="I55"/>
      <c r="J55"/>
      <c r="K55"/>
      <c r="L55"/>
      <c r="M55"/>
      <c r="N55"/>
      <c r="O55"/>
      <c r="P55"/>
      <c r="R55"/>
      <c r="S55"/>
      <c r="T55"/>
      <c r="V55"/>
      <c r="AC55"/>
      <c r="AE55"/>
    </row>
    <row r="56" spans="1:31" x14ac:dyDescent="0.25">
      <c r="A56"/>
      <c r="D56"/>
      <c r="E56"/>
      <c r="F56"/>
      <c r="G56"/>
      <c r="H56"/>
      <c r="I56"/>
      <c r="J56"/>
      <c r="K56"/>
      <c r="L56"/>
      <c r="M56"/>
      <c r="N56"/>
      <c r="O56"/>
      <c r="P56"/>
      <c r="R56"/>
      <c r="S56"/>
      <c r="T56"/>
      <c r="V56"/>
      <c r="AC56"/>
      <c r="AE56"/>
    </row>
    <row r="57" spans="1:31" x14ac:dyDescent="0.25">
      <c r="A57"/>
      <c r="D57"/>
      <c r="E57"/>
      <c r="F57"/>
      <c r="G57"/>
      <c r="H57"/>
      <c r="I57"/>
      <c r="J57"/>
      <c r="K57"/>
      <c r="L57"/>
      <c r="M57"/>
      <c r="N57"/>
      <c r="O57"/>
      <c r="P57"/>
      <c r="R57"/>
      <c r="S57"/>
      <c r="T57"/>
      <c r="V57"/>
      <c r="AC57"/>
      <c r="AE57"/>
    </row>
    <row r="58" spans="1:31" x14ac:dyDescent="0.25">
      <c r="A58"/>
      <c r="D58"/>
      <c r="E58"/>
      <c r="F58"/>
      <c r="G58"/>
      <c r="H58"/>
      <c r="I58"/>
      <c r="J58"/>
      <c r="K58"/>
      <c r="L58"/>
      <c r="M58"/>
      <c r="N58"/>
      <c r="O58"/>
      <c r="P58"/>
      <c r="R58"/>
      <c r="S58"/>
      <c r="T58"/>
      <c r="V58"/>
      <c r="AC58"/>
      <c r="AE58"/>
    </row>
    <row r="59" spans="1:31" x14ac:dyDescent="0.25">
      <c r="A59"/>
      <c r="D59"/>
      <c r="E59"/>
      <c r="F59"/>
      <c r="G59"/>
      <c r="H59"/>
      <c r="I59"/>
      <c r="J59"/>
      <c r="K59"/>
      <c r="L59"/>
      <c r="M59"/>
      <c r="N59"/>
      <c r="O59"/>
      <c r="P59"/>
      <c r="R59"/>
      <c r="S59"/>
      <c r="T59"/>
      <c r="V59"/>
      <c r="AC59"/>
      <c r="AE59"/>
    </row>
    <row r="60" spans="1:31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  <c r="AE60"/>
    </row>
  </sheetData>
  <autoFilter ref="A6:AC33">
    <sortState ref="A7:AC44">
      <sortCondition ref="V6:V33"/>
    </sortState>
  </autoFilter>
  <sortState ref="A7:AE44">
    <sortCondition ref="W7:W44"/>
    <sortCondition ref="E7:E44"/>
    <sortCondition ref="K7:K44"/>
    <sortCondition ref="C7:C44"/>
    <sortCondition ref="F7:F44"/>
  </sortState>
  <mergeCells count="1">
    <mergeCell ref="A5:O5"/>
  </mergeCells>
  <conditionalFormatting sqref="O6:P6 R6 O61:O1048576 O7:O44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44">
    <cfRule type="expression" dxfId="1" priority="20">
      <formula>$O7="Y"</formula>
    </cfRule>
  </conditionalFormatting>
  <pageMargins left="0.7" right="0.7" top="0.75" bottom="0.75" header="0.3" footer="0.3"/>
  <pageSetup scale="24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AA7:AA44</xm:sqref>
        </x14:dataValidation>
        <x14:dataValidation type="list" allowBlank="1" showInputMessage="1" showErrorMessage="1">
          <x14:formula1>
            <xm:f>'Redmine List Values'!$C$2:$C$15</xm:f>
          </x14:formula1>
          <xm:sqref>AB7:AB44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20"/>
  <sheetViews>
    <sheetView workbookViewId="0"/>
  </sheetViews>
  <sheetFormatPr defaultRowHeight="15" x14ac:dyDescent="0.25"/>
  <cols>
    <col min="1" max="1" width="9.140625" style="171"/>
    <col min="2" max="2" width="9.140625" style="2" customWidth="1"/>
    <col min="3" max="3" width="8" style="97" bestFit="1" customWidth="1"/>
    <col min="4" max="4" width="9.85546875" style="15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0" s="20" customFormat="1" x14ac:dyDescent="0.25">
      <c r="A1" s="171"/>
      <c r="B1" s="196" t="str">
        <f>"Trips that did not appear in PTC Data "&amp;TEXT(Variables!$A$2,"YYYY-mm-dd")</f>
        <v>Trips that did not appear in PTC Data 2017-02-07</v>
      </c>
      <c r="C1" s="196"/>
      <c r="D1" s="196"/>
      <c r="E1" s="196"/>
      <c r="F1" s="196"/>
    </row>
    <row r="2" spans="1:10" s="23" customFormat="1" ht="45" x14ac:dyDescent="0.25">
      <c r="A2" s="194" t="s">
        <v>152</v>
      </c>
      <c r="B2" s="99" t="s">
        <v>58</v>
      </c>
      <c r="C2" s="96" t="s">
        <v>59</v>
      </c>
      <c r="D2" s="168" t="s">
        <v>60</v>
      </c>
      <c r="E2" s="23" t="s">
        <v>56</v>
      </c>
      <c r="F2" s="23" t="s">
        <v>57</v>
      </c>
      <c r="G2" s="23" t="s">
        <v>61</v>
      </c>
      <c r="H2" s="28" t="s">
        <v>62</v>
      </c>
      <c r="I2" s="28" t="s">
        <v>104</v>
      </c>
    </row>
    <row r="3" spans="1:10" x14ac:dyDescent="0.25">
      <c r="A3" s="190">
        <v>240</v>
      </c>
      <c r="B3" s="43" t="str">
        <f>A3&amp;"-"&amp;IF(DAY(Variables!$A$2)&lt;10,0,"")&amp;DAY(Variables!$A$2)</f>
        <v>240-07</v>
      </c>
      <c r="C3" s="147"/>
      <c r="D3" s="169"/>
      <c r="E3" s="30" t="s">
        <v>394</v>
      </c>
      <c r="F3" s="21" t="str">
        <f>VLOOKUP(B3,'Trips&amp;Operators'!$C$2:$E$10000,3,FALSE)</f>
        <v>SAFIEF</v>
      </c>
      <c r="G3" s="21" t="str">
        <f>VLOOKUP(B3,'Trips&amp;Operators'!$C$1:$F$10000,4,FALSE)</f>
        <v>AEIMEN</v>
      </c>
      <c r="H3" s="29" t="str">
        <f>VLOOKUP(B3,'Trips&amp;Operators'!$C$1:$H$10000,5,FALSE)</f>
        <v>SAFIEF AEIMEN</v>
      </c>
      <c r="I3" s="46" t="str">
        <f t="shared" ref="I3:I49" si="0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3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22240-07%22)),sort:!(Time.ISO8601,asc))</v>
      </c>
      <c r="J3" s="30" t="str">
        <f>VLOOKUP(B3,'Train Runs'!$A$13:$A$99958,1,FALSE)</f>
        <v>240-07</v>
      </c>
    </row>
    <row r="4" spans="1:10" x14ac:dyDescent="0.25">
      <c r="A4" s="190"/>
      <c r="B4" s="43" t="str">
        <f>A4&amp;"-"&amp;IF(DAY(Variables!$A$2)&lt;10,0,"")&amp;DAY(Variables!$A$2)</f>
        <v>-07</v>
      </c>
      <c r="C4" s="147"/>
      <c r="D4" s="169"/>
      <c r="E4" s="30"/>
      <c r="F4" s="21" t="e">
        <f>VLOOKUP(B4,'Trips&amp;Operators'!$C$2:$E$10000,3,FALSE)</f>
        <v>#N/A</v>
      </c>
      <c r="G4" s="21" t="e">
        <f>VLOOKUP(B4,'Trips&amp;Operators'!$C$1:$F$10000,4,FALSE)</f>
        <v>#N/A</v>
      </c>
      <c r="H4" s="29" t="e">
        <f>VLOOKUP(B4,'Trips&amp;Operators'!$C$1:$H$10000,5,FALSE)</f>
        <v>#N/A</v>
      </c>
      <c r="I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" s="30" t="e">
        <f>VLOOKUP(B4,'Train Runs'!$A$13:$A$99958,1,FALSE)</f>
        <v>#N/A</v>
      </c>
    </row>
    <row r="5" spans="1:10" x14ac:dyDescent="0.25">
      <c r="A5" s="190"/>
      <c r="B5" s="43" t="str">
        <f>A5&amp;"-"&amp;IF(DAY(Variables!$A$2)&lt;10,0,"")&amp;DAY(Variables!$A$2)</f>
        <v>-07</v>
      </c>
      <c r="C5" s="147"/>
      <c r="D5" s="169"/>
      <c r="E5" s="30"/>
      <c r="F5" s="21" t="e">
        <f>VLOOKUP(B5,'Trips&amp;Operators'!$C$2:$E$10000,3,FALSE)</f>
        <v>#N/A</v>
      </c>
      <c r="G5" s="21" t="e">
        <f>VLOOKUP(B5,'Trips&amp;Operators'!$C$1:$F$10000,4,FALSE)</f>
        <v>#N/A</v>
      </c>
      <c r="H5" s="29" t="e">
        <f>VLOOKUP(B5,'Trips&amp;Operators'!$C$1:$H$10000,5,FALSE)</f>
        <v>#N/A</v>
      </c>
      <c r="I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" s="30" t="e">
        <f>VLOOKUP(B5,'Train Runs'!$A$13:$A$99958,1,FALSE)</f>
        <v>#N/A</v>
      </c>
    </row>
    <row r="6" spans="1:10" x14ac:dyDescent="0.25">
      <c r="A6" s="190"/>
      <c r="B6" s="43" t="str">
        <f>A6&amp;"-"&amp;IF(DAY(Variables!$A$2)&lt;10,0,"")&amp;DAY(Variables!$A$2)</f>
        <v>-07</v>
      </c>
      <c r="C6" s="147"/>
      <c r="D6" s="169"/>
      <c r="E6" s="30"/>
      <c r="F6" s="21" t="e">
        <f>VLOOKUP(B6,'Trips&amp;Operators'!$C$2:$E$10000,3,FALSE)</f>
        <v>#N/A</v>
      </c>
      <c r="G6" s="21" t="e">
        <f>VLOOKUP(B6,'Trips&amp;Operators'!$C$1:$F$10000,4,FALSE)</f>
        <v>#N/A</v>
      </c>
      <c r="H6" s="29" t="e">
        <f>VLOOKUP(B6,'Trips&amp;Operators'!$C$1:$H$10000,5,FALSE)</f>
        <v>#N/A</v>
      </c>
      <c r="I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" s="30" t="e">
        <f>VLOOKUP(B6,'Train Runs'!$A$13:$A$99958,1,FALSE)</f>
        <v>#N/A</v>
      </c>
    </row>
    <row r="7" spans="1:10" x14ac:dyDescent="0.25">
      <c r="A7" s="190"/>
      <c r="B7" s="43" t="str">
        <f>A7&amp;"-"&amp;IF(DAY(Variables!$A$2)&lt;10,0,"")&amp;DAY(Variables!$A$2)</f>
        <v>-07</v>
      </c>
      <c r="C7" s="147"/>
      <c r="D7" s="169"/>
      <c r="E7" s="30"/>
      <c r="F7" s="21" t="e">
        <f>VLOOKUP(B7,'Trips&amp;Operators'!$C$2:$E$10000,3,FALSE)</f>
        <v>#N/A</v>
      </c>
      <c r="G7" s="21" t="e">
        <f>VLOOKUP(B7,'Trips&amp;Operators'!$C$1:$F$10000,4,FALSE)</f>
        <v>#N/A</v>
      </c>
      <c r="H7" s="29" t="e">
        <f>VLOOKUP(B7,'Trips&amp;Operators'!$C$1:$H$10000,5,FALSE)</f>
        <v>#N/A</v>
      </c>
      <c r="I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" s="30" t="e">
        <f>VLOOKUP(B7,'Train Runs'!$A$13:$A$99958,1,FALSE)</f>
        <v>#N/A</v>
      </c>
    </row>
    <row r="8" spans="1:10" x14ac:dyDescent="0.25">
      <c r="A8" s="190"/>
      <c r="B8" s="43" t="str">
        <f>A8&amp;"-"&amp;IF(DAY(Variables!$A$2)&lt;10,0,"")&amp;DAY(Variables!$A$2)</f>
        <v>-07</v>
      </c>
      <c r="C8" s="147"/>
      <c r="D8" s="169"/>
      <c r="E8" s="30"/>
      <c r="F8" s="21" t="e">
        <f>VLOOKUP(B8,'Trips&amp;Operators'!$C$2:$E$10000,3,FALSE)</f>
        <v>#N/A</v>
      </c>
      <c r="G8" s="21" t="e">
        <f>VLOOKUP(B8,'Trips&amp;Operators'!$C$1:$F$10000,4,FALSE)</f>
        <v>#N/A</v>
      </c>
      <c r="H8" s="29" t="e">
        <f>VLOOKUP(B8,'Trips&amp;Operators'!$C$1:$H$10000,5,FALSE)</f>
        <v>#N/A</v>
      </c>
      <c r="I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" s="30" t="e">
        <f>VLOOKUP(B8,'Train Runs'!$A$13:$A$99958,1,FALSE)</f>
        <v>#N/A</v>
      </c>
    </row>
    <row r="9" spans="1:10" x14ac:dyDescent="0.25">
      <c r="A9" s="190"/>
      <c r="B9" s="43" t="str">
        <f>A9&amp;"-"&amp;IF(DAY(Variables!$A$2)&lt;10,0,"")&amp;DAY(Variables!$A$2)</f>
        <v>-07</v>
      </c>
      <c r="C9" s="147"/>
      <c r="D9" s="169"/>
      <c r="E9" s="30"/>
      <c r="F9" s="21" t="e">
        <f>VLOOKUP(B9,'Trips&amp;Operators'!$C$2:$E$10000,3,FALSE)</f>
        <v>#N/A</v>
      </c>
      <c r="G9" s="21" t="e">
        <f>VLOOKUP(B9,'Trips&amp;Operators'!$C$1:$F$10000,4,FALSE)</f>
        <v>#N/A</v>
      </c>
      <c r="H9" s="29" t="e">
        <f>VLOOKUP(B9,'Trips&amp;Operators'!$C$1:$H$10000,5,FALSE)</f>
        <v>#N/A</v>
      </c>
      <c r="I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" s="30" t="e">
        <f>VLOOKUP(B9,'Train Runs'!$A$13:$A$99958,1,FALSE)</f>
        <v>#N/A</v>
      </c>
    </row>
    <row r="10" spans="1:10" x14ac:dyDescent="0.25">
      <c r="A10" s="190"/>
      <c r="B10" s="43" t="str">
        <f>A10&amp;"-"&amp;IF(DAY(Variables!$A$2)&lt;10,0,"")&amp;DAY(Variables!$A$2)</f>
        <v>-07</v>
      </c>
      <c r="C10" s="147"/>
      <c r="D10" s="169"/>
      <c r="E10" s="30"/>
      <c r="F10" s="21" t="e">
        <f>VLOOKUP(B10,'Trips&amp;Operators'!$C$2:$E$10000,3,FALSE)</f>
        <v>#N/A</v>
      </c>
      <c r="G10" s="21" t="e">
        <f>VLOOKUP(B10,'Trips&amp;Operators'!$C$1:$F$10000,4,FALSE)</f>
        <v>#N/A</v>
      </c>
      <c r="H10" s="29" t="e">
        <f>VLOOKUP(B10,'Trips&amp;Operators'!$C$1:$H$10000,5,FALSE)</f>
        <v>#N/A</v>
      </c>
      <c r="I1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" s="30" t="e">
        <f>VLOOKUP(B10,'Train Runs'!$A$13:$A$99958,1,FALSE)</f>
        <v>#N/A</v>
      </c>
    </row>
    <row r="11" spans="1:10" x14ac:dyDescent="0.25">
      <c r="A11" s="190"/>
      <c r="B11" s="43" t="str">
        <f>A11&amp;"-"&amp;IF(DAY(Variables!$A$2)&lt;10,0,"")&amp;DAY(Variables!$A$2)</f>
        <v>-07</v>
      </c>
      <c r="C11" s="147"/>
      <c r="D11" s="169"/>
      <c r="E11" s="30"/>
      <c r="F11" s="21" t="e">
        <f>VLOOKUP(B11,'Trips&amp;Operators'!$C$2:$E$10000,3,FALSE)</f>
        <v>#N/A</v>
      </c>
      <c r="G11" s="21" t="e">
        <f>VLOOKUP(B11,'Trips&amp;Operators'!$C$1:$F$10000,4,FALSE)</f>
        <v>#N/A</v>
      </c>
      <c r="H11" s="29" t="e">
        <f>VLOOKUP(B11,'Trips&amp;Operators'!$C$1:$H$10000,5,FALSE)</f>
        <v>#N/A</v>
      </c>
      <c r="I1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" s="30" t="e">
        <f>VLOOKUP(B11,'Train Runs'!$A$13:$A$99958,1,FALSE)</f>
        <v>#N/A</v>
      </c>
    </row>
    <row r="12" spans="1:10" x14ac:dyDescent="0.25">
      <c r="A12" s="190"/>
      <c r="B12" s="43" t="str">
        <f>A12&amp;"-"&amp;IF(DAY(Variables!$A$2)&lt;10,0,"")&amp;DAY(Variables!$A$2)</f>
        <v>-07</v>
      </c>
      <c r="C12" s="147"/>
      <c r="D12" s="169"/>
      <c r="E12" s="30"/>
      <c r="F12" s="21" t="e">
        <f>VLOOKUP(B12,'Trips&amp;Operators'!$C$2:$E$10000,3,FALSE)</f>
        <v>#N/A</v>
      </c>
      <c r="G12" s="21" t="e">
        <f>VLOOKUP(B12,'Trips&amp;Operators'!$C$1:$F$10000,4,FALSE)</f>
        <v>#N/A</v>
      </c>
      <c r="H12" s="29" t="e">
        <f>VLOOKUP(B12,'Trips&amp;Operators'!$C$1:$H$10000,5,FALSE)</f>
        <v>#N/A</v>
      </c>
      <c r="I1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2" s="30" t="e">
        <f>VLOOKUP(B12,'Train Runs'!$A$13:$A$99958,1,FALSE)</f>
        <v>#N/A</v>
      </c>
    </row>
    <row r="13" spans="1:10" x14ac:dyDescent="0.25">
      <c r="A13" s="190"/>
      <c r="B13" s="43" t="str">
        <f>A13&amp;"-"&amp;IF(DAY(Variables!$A$2)&lt;10,0,"")&amp;DAY(Variables!$A$2)</f>
        <v>-07</v>
      </c>
      <c r="C13" s="147"/>
      <c r="D13" s="169"/>
      <c r="E13" s="30"/>
      <c r="F13" s="21" t="e">
        <f>VLOOKUP(B13,'Trips&amp;Operators'!$C$2:$E$10000,3,FALSE)</f>
        <v>#N/A</v>
      </c>
      <c r="G13" s="21" t="e">
        <f>VLOOKUP(B13,'Trips&amp;Operators'!$C$1:$F$10000,4,FALSE)</f>
        <v>#N/A</v>
      </c>
      <c r="H13" s="29" t="e">
        <f>VLOOKUP(B13,'Trips&amp;Operators'!$C$1:$H$10000,5,FALSE)</f>
        <v>#N/A</v>
      </c>
      <c r="I1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3" s="30" t="e">
        <f>VLOOKUP(B13,'Train Runs'!$A$13:$A$99958,1,FALSE)</f>
        <v>#N/A</v>
      </c>
    </row>
    <row r="14" spans="1:10" x14ac:dyDescent="0.25">
      <c r="A14" s="190"/>
      <c r="B14" s="43" t="str">
        <f>A14&amp;"-"&amp;IF(DAY(Variables!$A$2)&lt;10,0,"")&amp;DAY(Variables!$A$2)</f>
        <v>-07</v>
      </c>
      <c r="C14" s="147"/>
      <c r="D14" s="169"/>
      <c r="E14" s="30"/>
      <c r="F14" s="21" t="e">
        <f>VLOOKUP(B14,'Trips&amp;Operators'!$C$2:$E$10000,3,FALSE)</f>
        <v>#N/A</v>
      </c>
      <c r="G14" s="21" t="e">
        <f>VLOOKUP(B14,'Trips&amp;Operators'!$C$1:$F$10000,4,FALSE)</f>
        <v>#N/A</v>
      </c>
      <c r="H14" s="29" t="e">
        <f>VLOOKUP(B14,'Trips&amp;Operators'!$C$1:$H$10000,5,FALSE)</f>
        <v>#N/A</v>
      </c>
      <c r="I1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4" s="30" t="e">
        <f>VLOOKUP(B14,'Train Runs'!$A$13:$A$99958,1,FALSE)</f>
        <v>#N/A</v>
      </c>
    </row>
    <row r="15" spans="1:10" x14ac:dyDescent="0.25">
      <c r="A15" s="190"/>
      <c r="B15" s="43" t="str">
        <f>A15&amp;"-"&amp;IF(DAY(Variables!$A$2)&lt;10,0,"")&amp;DAY(Variables!$A$2)</f>
        <v>-07</v>
      </c>
      <c r="C15" s="147"/>
      <c r="D15" s="169"/>
      <c r="E15" s="30"/>
      <c r="F15" s="21" t="e">
        <f>VLOOKUP(B15,'Trips&amp;Operators'!$C$2:$E$10000,3,FALSE)</f>
        <v>#N/A</v>
      </c>
      <c r="G15" s="21" t="e">
        <f>VLOOKUP(B15,'Trips&amp;Operators'!$C$1:$F$10000,4,FALSE)</f>
        <v>#N/A</v>
      </c>
      <c r="H15" s="29" t="e">
        <f>VLOOKUP(B15,'Trips&amp;Operators'!$C$1:$H$10000,5,FALSE)</f>
        <v>#N/A</v>
      </c>
      <c r="I1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5" s="30" t="e">
        <f>VLOOKUP(B15,'Train Runs'!$A$13:$A$99958,1,FALSE)</f>
        <v>#N/A</v>
      </c>
    </row>
    <row r="16" spans="1:10" x14ac:dyDescent="0.25">
      <c r="A16" s="190"/>
      <c r="B16" s="43" t="str">
        <f>A16&amp;"-"&amp;IF(DAY(Variables!$A$2)&lt;10,0,"")&amp;DAY(Variables!$A$2)</f>
        <v>-07</v>
      </c>
      <c r="C16" s="147"/>
      <c r="D16" s="169"/>
      <c r="E16" s="30"/>
      <c r="F16" s="21" t="e">
        <f>VLOOKUP(B16,'Trips&amp;Operators'!$C$2:$E$10000,3,FALSE)</f>
        <v>#N/A</v>
      </c>
      <c r="G16" s="21" t="e">
        <f>VLOOKUP(B16,'Trips&amp;Operators'!$C$1:$F$10000,4,FALSE)</f>
        <v>#N/A</v>
      </c>
      <c r="H16" s="29" t="e">
        <f>VLOOKUP(B16,'Trips&amp;Operators'!$C$1:$H$10000,5,FALSE)</f>
        <v>#N/A</v>
      </c>
      <c r="I1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6" s="30" t="e">
        <f>VLOOKUP(B16,'Train Runs'!$A$13:$A$99958,1,FALSE)</f>
        <v>#N/A</v>
      </c>
    </row>
    <row r="17" spans="1:10" x14ac:dyDescent="0.25">
      <c r="A17" s="190"/>
      <c r="B17" s="43" t="str">
        <f>A17&amp;"-"&amp;IF(DAY(Variables!$A$2)&lt;10,0,"")&amp;DAY(Variables!$A$2)</f>
        <v>-07</v>
      </c>
      <c r="C17" s="147"/>
      <c r="D17" s="169"/>
      <c r="E17" s="30"/>
      <c r="F17" s="21" t="e">
        <f>VLOOKUP(B17,'Trips&amp;Operators'!$C$2:$E$10000,3,FALSE)</f>
        <v>#N/A</v>
      </c>
      <c r="G17" s="21" t="e">
        <f>VLOOKUP(B17,'Trips&amp;Operators'!$C$1:$F$10000,4,FALSE)</f>
        <v>#N/A</v>
      </c>
      <c r="H17" s="29" t="e">
        <f>VLOOKUP(B17,'Trips&amp;Operators'!$C$1:$H$10000,5,FALSE)</f>
        <v>#N/A</v>
      </c>
      <c r="I1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7" s="30" t="e">
        <f>VLOOKUP(B17,'Train Runs'!$A$13:$A$99958,1,FALSE)</f>
        <v>#N/A</v>
      </c>
    </row>
    <row r="18" spans="1:10" x14ac:dyDescent="0.25">
      <c r="A18" s="190"/>
      <c r="B18" s="43" t="str">
        <f>A18&amp;"-"&amp;IF(DAY(Variables!$A$2)&lt;10,0,"")&amp;DAY(Variables!$A$2)</f>
        <v>-07</v>
      </c>
      <c r="C18" s="147"/>
      <c r="D18" s="169"/>
      <c r="E18" s="30"/>
      <c r="F18" s="21" t="e">
        <f>VLOOKUP(B18,'Trips&amp;Operators'!$C$2:$E$10000,3,FALSE)</f>
        <v>#N/A</v>
      </c>
      <c r="G18" s="21" t="e">
        <f>VLOOKUP(B18,'Trips&amp;Operators'!$C$1:$F$10000,4,FALSE)</f>
        <v>#N/A</v>
      </c>
      <c r="H18" s="29" t="e">
        <f>VLOOKUP(B18,'Trips&amp;Operators'!$C$1:$H$10000,5,FALSE)</f>
        <v>#N/A</v>
      </c>
      <c r="I1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8" s="30" t="e">
        <f>VLOOKUP(B18,'Train Runs'!$A$13:$A$99958,1,FALSE)</f>
        <v>#N/A</v>
      </c>
    </row>
    <row r="19" spans="1:10" x14ac:dyDescent="0.25">
      <c r="A19" s="190"/>
      <c r="B19" s="43" t="str">
        <f>A19&amp;"-"&amp;IF(DAY(Variables!$A$2)&lt;10,0,"")&amp;DAY(Variables!$A$2)</f>
        <v>-07</v>
      </c>
      <c r="C19" s="147"/>
      <c r="D19" s="169"/>
      <c r="E19" s="30"/>
      <c r="F19" s="21" t="e">
        <f>VLOOKUP(B19,'Trips&amp;Operators'!$C$2:$E$10000,3,FALSE)</f>
        <v>#N/A</v>
      </c>
      <c r="G19" s="21" t="e">
        <f>VLOOKUP(B19,'Trips&amp;Operators'!$C$1:$F$10000,4,FALSE)</f>
        <v>#N/A</v>
      </c>
      <c r="H19" s="29" t="e">
        <f>VLOOKUP(B19,'Trips&amp;Operators'!$C$1:$H$10000,5,FALSE)</f>
        <v>#N/A</v>
      </c>
      <c r="I1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9" s="30" t="e">
        <f>VLOOKUP(B19,'Train Runs'!$A$13:$A$99958,1,FALSE)</f>
        <v>#N/A</v>
      </c>
    </row>
    <row r="20" spans="1:10" x14ac:dyDescent="0.25">
      <c r="A20" s="190"/>
      <c r="B20" s="43" t="str">
        <f>A20&amp;"-"&amp;IF(DAY(Variables!$A$2)&lt;10,0,"")&amp;DAY(Variables!$A$2)</f>
        <v>-07</v>
      </c>
      <c r="C20" s="147"/>
      <c r="D20" s="169"/>
      <c r="E20" s="30"/>
      <c r="F20" s="21" t="e">
        <f>VLOOKUP(B20,'Trips&amp;Operators'!$C$2:$E$10000,3,FALSE)</f>
        <v>#N/A</v>
      </c>
      <c r="G20" s="21" t="e">
        <f>VLOOKUP(B20,'Trips&amp;Operators'!$C$1:$F$10000,4,FALSE)</f>
        <v>#N/A</v>
      </c>
      <c r="H20" s="29" t="e">
        <f>VLOOKUP(B20,'Trips&amp;Operators'!$C$1:$H$10000,5,FALSE)</f>
        <v>#N/A</v>
      </c>
      <c r="I2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0" s="30" t="e">
        <f>VLOOKUP(B20,'Train Runs'!$A$13:$A$99958,1,FALSE)</f>
        <v>#N/A</v>
      </c>
    </row>
    <row r="21" spans="1:10" x14ac:dyDescent="0.25">
      <c r="A21" s="190"/>
      <c r="B21" s="43" t="str">
        <f>A21&amp;"-"&amp;IF(DAY(Variables!$A$2)&lt;10,0,"")&amp;DAY(Variables!$A$2)</f>
        <v>-07</v>
      </c>
      <c r="C21" s="147"/>
      <c r="D21" s="169"/>
      <c r="E21" s="30"/>
      <c r="F21" s="21" t="e">
        <f>VLOOKUP(B21,'Trips&amp;Operators'!$C$2:$E$10000,3,FALSE)</f>
        <v>#N/A</v>
      </c>
      <c r="G21" s="21" t="e">
        <f>VLOOKUP(B21,'Trips&amp;Operators'!$C$1:$F$10000,4,FALSE)</f>
        <v>#N/A</v>
      </c>
      <c r="H21" s="29" t="e">
        <f>VLOOKUP(B21,'Trips&amp;Operators'!$C$1:$H$10000,5,FALSE)</f>
        <v>#N/A</v>
      </c>
      <c r="I2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1" s="30" t="e">
        <f>VLOOKUP(B21,'Train Runs'!$A$13:$A$99958,1,FALSE)</f>
        <v>#N/A</v>
      </c>
    </row>
    <row r="22" spans="1:10" x14ac:dyDescent="0.25">
      <c r="A22" s="190"/>
      <c r="B22" s="43" t="str">
        <f>A22&amp;"-"&amp;IF(DAY(Variables!$A$2)&lt;10,0,"")&amp;DAY(Variables!$A$2)</f>
        <v>-07</v>
      </c>
      <c r="C22" s="147"/>
      <c r="D22" s="169"/>
      <c r="E22" s="30"/>
      <c r="F22" s="21" t="e">
        <f>VLOOKUP(B22,'Trips&amp;Operators'!$C$2:$E$10000,3,FALSE)</f>
        <v>#N/A</v>
      </c>
      <c r="G22" s="21" t="e">
        <f>VLOOKUP(B22,'Trips&amp;Operators'!$C$1:$F$10000,4,FALSE)</f>
        <v>#N/A</v>
      </c>
      <c r="H22" s="29" t="e">
        <f>VLOOKUP(B22,'Trips&amp;Operators'!$C$1:$H$10000,5,FALSE)</f>
        <v>#N/A</v>
      </c>
      <c r="I2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2" s="30" t="e">
        <f>VLOOKUP(B22,'Train Runs'!$A$13:$A$99958,1,FALSE)</f>
        <v>#N/A</v>
      </c>
    </row>
    <row r="23" spans="1:10" x14ac:dyDescent="0.25">
      <c r="A23" s="190"/>
      <c r="B23" s="43" t="str">
        <f>A23&amp;"-"&amp;IF(DAY(Variables!$A$2)&lt;10,0,"")&amp;DAY(Variables!$A$2)</f>
        <v>-07</v>
      </c>
      <c r="C23" s="147"/>
      <c r="D23" s="169"/>
      <c r="E23" s="30"/>
      <c r="F23" s="21" t="e">
        <f>VLOOKUP(B23,'Trips&amp;Operators'!$C$2:$E$10000,3,FALSE)</f>
        <v>#N/A</v>
      </c>
      <c r="G23" s="21" t="e">
        <f>VLOOKUP(B23,'Trips&amp;Operators'!$C$1:$F$10000,4,FALSE)</f>
        <v>#N/A</v>
      </c>
      <c r="H23" s="29" t="e">
        <f>VLOOKUP(B23,'Trips&amp;Operators'!$C$1:$H$10000,5,FALSE)</f>
        <v>#N/A</v>
      </c>
      <c r="I2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3" s="30" t="e">
        <f>VLOOKUP(B23,'Train Runs'!$A$13:$A$99958,1,FALSE)</f>
        <v>#N/A</v>
      </c>
    </row>
    <row r="24" spans="1:10" x14ac:dyDescent="0.25">
      <c r="A24" s="190"/>
      <c r="B24" s="43" t="str">
        <f>A24&amp;"-"&amp;IF(DAY(Variables!$A$2)&lt;10,0,"")&amp;DAY(Variables!$A$2)</f>
        <v>-07</v>
      </c>
      <c r="C24" s="147"/>
      <c r="D24" s="169"/>
      <c r="E24" s="30"/>
      <c r="F24" s="21" t="e">
        <f>VLOOKUP(B24,'Trips&amp;Operators'!$C$2:$E$10000,3,FALSE)</f>
        <v>#N/A</v>
      </c>
      <c r="G24" s="21" t="e">
        <f>VLOOKUP(B24,'Trips&amp;Operators'!$C$1:$F$10000,4,FALSE)</f>
        <v>#N/A</v>
      </c>
      <c r="H24" s="29" t="e">
        <f>VLOOKUP(B24,'Trips&amp;Operators'!$C$1:$H$10000,5,FALSE)</f>
        <v>#N/A</v>
      </c>
      <c r="I2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4" s="30" t="e">
        <f>VLOOKUP(B24,'Train Runs'!$A$13:$A$99958,1,FALSE)</f>
        <v>#N/A</v>
      </c>
    </row>
    <row r="25" spans="1:10" x14ac:dyDescent="0.25">
      <c r="A25" s="190"/>
      <c r="B25" s="43" t="str">
        <f>A25&amp;"-"&amp;IF(DAY(Variables!$A$2)&lt;10,0,"")&amp;DAY(Variables!$A$2)</f>
        <v>-07</v>
      </c>
      <c r="C25" s="147"/>
      <c r="D25" s="169"/>
      <c r="E25" s="30"/>
      <c r="F25" s="21" t="e">
        <f>VLOOKUP(B25,'Trips&amp;Operators'!$C$2:$E$10000,3,FALSE)</f>
        <v>#N/A</v>
      </c>
      <c r="G25" s="21" t="e">
        <f>VLOOKUP(B25,'Trips&amp;Operators'!$C$1:$F$10000,4,FALSE)</f>
        <v>#N/A</v>
      </c>
      <c r="H25" s="29" t="e">
        <f>VLOOKUP(B25,'Trips&amp;Operators'!$C$1:$H$10000,5,FALSE)</f>
        <v>#N/A</v>
      </c>
      <c r="I2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5" s="30" t="e">
        <f>VLOOKUP(B25,'Train Runs'!$A$13:$A$99958,1,FALSE)</f>
        <v>#N/A</v>
      </c>
    </row>
    <row r="26" spans="1:10" x14ac:dyDescent="0.25">
      <c r="A26" s="190"/>
      <c r="B26" s="43" t="str">
        <f>A26&amp;"-"&amp;IF(DAY(Variables!$A$2)&lt;10,0,"")&amp;DAY(Variables!$A$2)</f>
        <v>-07</v>
      </c>
      <c r="C26" s="147"/>
      <c r="D26" s="169"/>
      <c r="E26" s="30"/>
      <c r="F26" s="21" t="e">
        <f>VLOOKUP(B26,'Trips&amp;Operators'!$C$2:$E$10000,3,FALSE)</f>
        <v>#N/A</v>
      </c>
      <c r="G26" s="21" t="e">
        <f>VLOOKUP(B26,'Trips&amp;Operators'!$C$1:$F$10000,4,FALSE)</f>
        <v>#N/A</v>
      </c>
      <c r="H26" s="29" t="e">
        <f>VLOOKUP(B26,'Trips&amp;Operators'!$C$1:$H$10000,5,FALSE)</f>
        <v>#N/A</v>
      </c>
      <c r="I2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6" s="30" t="e">
        <f>VLOOKUP(B26,'Train Runs'!$A$13:$A$99958,1,FALSE)</f>
        <v>#N/A</v>
      </c>
    </row>
    <row r="27" spans="1:10" x14ac:dyDescent="0.25">
      <c r="A27" s="190"/>
      <c r="B27" s="43" t="str">
        <f>A27&amp;"-"&amp;IF(DAY(Variables!$A$2)&lt;10,0,"")&amp;DAY(Variables!$A$2)</f>
        <v>-07</v>
      </c>
      <c r="C27" s="147"/>
      <c r="D27" s="169"/>
      <c r="E27" s="30"/>
      <c r="F27" s="21" t="e">
        <f>VLOOKUP(B27,'Trips&amp;Operators'!$C$2:$E$10000,3,FALSE)</f>
        <v>#N/A</v>
      </c>
      <c r="G27" s="21" t="e">
        <f>VLOOKUP(B27,'Trips&amp;Operators'!$C$1:$F$10000,4,FALSE)</f>
        <v>#N/A</v>
      </c>
      <c r="H27" s="29" t="e">
        <f>VLOOKUP(B27,'Trips&amp;Operators'!$C$1:$H$10000,5,FALSE)</f>
        <v>#N/A</v>
      </c>
      <c r="I2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7" s="30" t="e">
        <f>VLOOKUP(B27,'Train Runs'!$A$13:$A$99958,1,FALSE)</f>
        <v>#N/A</v>
      </c>
    </row>
    <row r="28" spans="1:10" x14ac:dyDescent="0.25">
      <c r="A28" s="190"/>
      <c r="B28" s="43" t="str">
        <f>A28&amp;"-"&amp;IF(DAY(Variables!$A$2)&lt;10,0,"")&amp;DAY(Variables!$A$2)</f>
        <v>-07</v>
      </c>
      <c r="C28" s="147"/>
      <c r="D28" s="169"/>
      <c r="E28" s="30"/>
      <c r="F28" s="21" t="e">
        <f>VLOOKUP(B28,'Trips&amp;Operators'!$C$2:$E$10000,3,FALSE)</f>
        <v>#N/A</v>
      </c>
      <c r="G28" s="21" t="e">
        <f>VLOOKUP(B28,'Trips&amp;Operators'!$C$1:$F$10000,4,FALSE)</f>
        <v>#N/A</v>
      </c>
      <c r="H28" s="29" t="e">
        <f>VLOOKUP(B28,'Trips&amp;Operators'!$C$1:$H$10000,5,FALSE)</f>
        <v>#N/A</v>
      </c>
      <c r="I2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8" s="30" t="e">
        <f>VLOOKUP(B28,'Train Runs'!$A$13:$A$99958,1,FALSE)</f>
        <v>#N/A</v>
      </c>
    </row>
    <row r="29" spans="1:10" x14ac:dyDescent="0.25">
      <c r="A29" s="190"/>
      <c r="B29" s="43" t="str">
        <f>A29&amp;"-"&amp;IF(DAY(Variables!$A$2)&lt;10,0,"")&amp;DAY(Variables!$A$2)</f>
        <v>-07</v>
      </c>
      <c r="C29" s="147"/>
      <c r="D29" s="169"/>
      <c r="E29" s="30"/>
      <c r="F29" s="21" t="e">
        <f>VLOOKUP(B29,'Trips&amp;Operators'!$C$2:$E$10000,3,FALSE)</f>
        <v>#N/A</v>
      </c>
      <c r="G29" s="21" t="e">
        <f>VLOOKUP(B29,'Trips&amp;Operators'!$C$1:$F$10000,4,FALSE)</f>
        <v>#N/A</v>
      </c>
      <c r="H29" s="29" t="e">
        <f>VLOOKUP(B29,'Trips&amp;Operators'!$C$1:$H$10000,5,FALSE)</f>
        <v>#N/A</v>
      </c>
      <c r="I2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29" s="30" t="e">
        <f>VLOOKUP(B29,'Train Runs'!$A$13:$A$99958,1,FALSE)</f>
        <v>#N/A</v>
      </c>
    </row>
    <row r="30" spans="1:10" x14ac:dyDescent="0.25">
      <c r="A30" s="190"/>
      <c r="B30" s="43" t="str">
        <f>A30&amp;"-"&amp;IF(DAY(Variables!$A$2)&lt;10,0,"")&amp;DAY(Variables!$A$2)</f>
        <v>-07</v>
      </c>
      <c r="C30" s="147"/>
      <c r="D30" s="169"/>
      <c r="E30" s="30"/>
      <c r="F30" s="21" t="e">
        <f>VLOOKUP(B30,'Trips&amp;Operators'!$C$2:$E$10000,3,FALSE)</f>
        <v>#N/A</v>
      </c>
      <c r="G30" s="21" t="e">
        <f>VLOOKUP(B30,'Trips&amp;Operators'!$C$1:$F$10000,4,FALSE)</f>
        <v>#N/A</v>
      </c>
      <c r="H30" s="29" t="e">
        <f>VLOOKUP(B30,'Trips&amp;Operators'!$C$1:$H$10000,5,FALSE)</f>
        <v>#N/A</v>
      </c>
      <c r="I3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0" s="30" t="e">
        <f>VLOOKUP(B30,'Train Runs'!$A$13:$A$99958,1,FALSE)</f>
        <v>#N/A</v>
      </c>
    </row>
    <row r="31" spans="1:10" x14ac:dyDescent="0.25">
      <c r="A31" s="190"/>
      <c r="B31" s="43" t="str">
        <f>A31&amp;"-"&amp;IF(DAY(Variables!$A$2)&lt;10,0,"")&amp;DAY(Variables!$A$2)</f>
        <v>-07</v>
      </c>
      <c r="C31" s="147"/>
      <c r="D31" s="169"/>
      <c r="E31" s="30"/>
      <c r="F31" s="21" t="e">
        <f>VLOOKUP(B31,'Trips&amp;Operators'!$C$2:$E$10000,3,FALSE)</f>
        <v>#N/A</v>
      </c>
      <c r="G31" s="21" t="e">
        <f>VLOOKUP(B31,'Trips&amp;Operators'!$C$1:$F$10000,4,FALSE)</f>
        <v>#N/A</v>
      </c>
      <c r="H31" s="29" t="e">
        <f>VLOOKUP(B31,'Trips&amp;Operators'!$C$1:$H$10000,5,FALSE)</f>
        <v>#N/A</v>
      </c>
      <c r="I3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1" s="30" t="e">
        <f>VLOOKUP(B31,'Train Runs'!$A$13:$A$99958,1,FALSE)</f>
        <v>#N/A</v>
      </c>
    </row>
    <row r="32" spans="1:10" x14ac:dyDescent="0.25">
      <c r="A32" s="190"/>
      <c r="B32" s="43" t="str">
        <f>A32&amp;"-"&amp;IF(DAY(Variables!$A$2)&lt;10,0,"")&amp;DAY(Variables!$A$2)</f>
        <v>-07</v>
      </c>
      <c r="C32" s="147"/>
      <c r="D32" s="169"/>
      <c r="E32" s="30"/>
      <c r="F32" s="21" t="e">
        <f>VLOOKUP(B32,'Trips&amp;Operators'!$C$2:$E$10000,3,FALSE)</f>
        <v>#N/A</v>
      </c>
      <c r="G32" s="21" t="e">
        <f>VLOOKUP(B32,'Trips&amp;Operators'!$C$1:$F$10000,4,FALSE)</f>
        <v>#N/A</v>
      </c>
      <c r="H32" s="29" t="e">
        <f>VLOOKUP(B32,'Trips&amp;Operators'!$C$1:$H$10000,5,FALSE)</f>
        <v>#N/A</v>
      </c>
      <c r="I3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2" s="30" t="e">
        <f>VLOOKUP(B32,'Train Runs'!$A$13:$A$99958,1,FALSE)</f>
        <v>#N/A</v>
      </c>
    </row>
    <row r="33" spans="1:10" x14ac:dyDescent="0.25">
      <c r="A33" s="190"/>
      <c r="B33" s="43" t="str">
        <f>A33&amp;"-"&amp;IF(DAY(Variables!$A$2)&lt;10,0,"")&amp;DAY(Variables!$A$2)</f>
        <v>-07</v>
      </c>
      <c r="C33" s="147"/>
      <c r="D33" s="169"/>
      <c r="E33" s="30"/>
      <c r="F33" s="21" t="e">
        <f>VLOOKUP(B33,'Trips&amp;Operators'!$C$2:$E$10000,3,FALSE)</f>
        <v>#N/A</v>
      </c>
      <c r="G33" s="21" t="e">
        <f>VLOOKUP(B33,'Trips&amp;Operators'!$C$1:$F$10000,4,FALSE)</f>
        <v>#N/A</v>
      </c>
      <c r="H33" s="29" t="e">
        <f>VLOOKUP(B33,'Trips&amp;Operators'!$C$1:$H$10000,5,FALSE)</f>
        <v>#N/A</v>
      </c>
      <c r="I3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3" s="30" t="e">
        <f>VLOOKUP(B33,'Train Runs'!$A$13:$A$99958,1,FALSE)</f>
        <v>#N/A</v>
      </c>
    </row>
    <row r="34" spans="1:10" x14ac:dyDescent="0.25">
      <c r="A34" s="190"/>
      <c r="B34" s="43" t="str">
        <f>A34&amp;"-"&amp;IF(DAY(Variables!$A$2)&lt;10,0,"")&amp;DAY(Variables!$A$2)</f>
        <v>-07</v>
      </c>
      <c r="C34" s="147"/>
      <c r="D34" s="169"/>
      <c r="E34" s="30"/>
      <c r="F34" s="21" t="e">
        <f>VLOOKUP(B34,'Trips&amp;Operators'!$C$2:$E$10000,3,FALSE)</f>
        <v>#N/A</v>
      </c>
      <c r="G34" s="21" t="e">
        <f>VLOOKUP(B34,'Trips&amp;Operators'!$C$1:$F$10000,4,FALSE)</f>
        <v>#N/A</v>
      </c>
      <c r="H34" s="29" t="e">
        <f>VLOOKUP(B34,'Trips&amp;Operators'!$C$1:$H$10000,5,FALSE)</f>
        <v>#N/A</v>
      </c>
      <c r="I3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4" s="30" t="e">
        <f>VLOOKUP(B34,'Train Runs'!$A$13:$A$99958,1,FALSE)</f>
        <v>#N/A</v>
      </c>
    </row>
    <row r="35" spans="1:10" x14ac:dyDescent="0.25">
      <c r="A35" s="190"/>
      <c r="B35" s="43" t="str">
        <f>A35&amp;"-"&amp;IF(DAY(Variables!$A$2)&lt;10,0,"")&amp;DAY(Variables!$A$2)</f>
        <v>-07</v>
      </c>
      <c r="C35" s="147"/>
      <c r="D35" s="169"/>
      <c r="E35" s="30"/>
      <c r="F35" s="21" t="e">
        <f>VLOOKUP(B35,'Trips&amp;Operators'!$C$2:$E$10000,3,FALSE)</f>
        <v>#N/A</v>
      </c>
      <c r="G35" s="21" t="e">
        <f>VLOOKUP(B35,'Trips&amp;Operators'!$C$1:$F$10000,4,FALSE)</f>
        <v>#N/A</v>
      </c>
      <c r="H35" s="29" t="e">
        <f>VLOOKUP(B35,'Trips&amp;Operators'!$C$1:$H$10000,5,FALSE)</f>
        <v>#N/A</v>
      </c>
      <c r="I3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5" s="30" t="e">
        <f>VLOOKUP(B35,'Train Runs'!$A$13:$A$99958,1,FALSE)</f>
        <v>#N/A</v>
      </c>
    </row>
    <row r="36" spans="1:10" x14ac:dyDescent="0.25">
      <c r="A36" s="190"/>
      <c r="B36" s="43" t="str">
        <f>A36&amp;"-"&amp;IF(DAY(Variables!$A$2)&lt;10,0,"")&amp;DAY(Variables!$A$2)</f>
        <v>-07</v>
      </c>
      <c r="C36" s="147"/>
      <c r="D36" s="169"/>
      <c r="E36" s="30"/>
      <c r="F36" s="21" t="e">
        <f>VLOOKUP(B36,'Trips&amp;Operators'!$C$2:$E$10000,3,FALSE)</f>
        <v>#N/A</v>
      </c>
      <c r="G36" s="21" t="e">
        <f>VLOOKUP(B36,'Trips&amp;Operators'!$C$1:$F$10000,4,FALSE)</f>
        <v>#N/A</v>
      </c>
      <c r="H36" s="29" t="e">
        <f>VLOOKUP(B36,'Trips&amp;Operators'!$C$1:$H$10000,5,FALSE)</f>
        <v>#N/A</v>
      </c>
      <c r="I3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6" s="30" t="e">
        <f>VLOOKUP(B36,'Train Runs'!$A$13:$A$99958,1,FALSE)</f>
        <v>#N/A</v>
      </c>
    </row>
    <row r="37" spans="1:10" x14ac:dyDescent="0.25">
      <c r="A37" s="190"/>
      <c r="B37" s="43" t="str">
        <f>A37&amp;"-"&amp;IF(DAY(Variables!$A$2)&lt;10,0,"")&amp;DAY(Variables!$A$2)</f>
        <v>-07</v>
      </c>
      <c r="C37" s="147"/>
      <c r="D37" s="169"/>
      <c r="E37" s="30"/>
      <c r="F37" s="21" t="e">
        <f>VLOOKUP(B37,'Trips&amp;Operators'!$C$2:$E$10000,3,FALSE)</f>
        <v>#N/A</v>
      </c>
      <c r="G37" s="21" t="e">
        <f>VLOOKUP(B37,'Trips&amp;Operators'!$C$1:$F$10000,4,FALSE)</f>
        <v>#N/A</v>
      </c>
      <c r="H37" s="29" t="e">
        <f>VLOOKUP(B37,'Trips&amp;Operators'!$C$1:$H$10000,5,FALSE)</f>
        <v>#N/A</v>
      </c>
      <c r="I3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7" s="30" t="e">
        <f>VLOOKUP(B37,'Train Runs'!$A$13:$A$99958,1,FALSE)</f>
        <v>#N/A</v>
      </c>
    </row>
    <row r="38" spans="1:10" x14ac:dyDescent="0.25">
      <c r="A38" s="190"/>
      <c r="B38" s="43" t="str">
        <f>A38&amp;"-"&amp;IF(DAY(Variables!$A$2)&lt;10,0,"")&amp;DAY(Variables!$A$2)</f>
        <v>-07</v>
      </c>
      <c r="C38" s="147"/>
      <c r="D38" s="169"/>
      <c r="E38" s="30"/>
      <c r="F38" s="21" t="e">
        <f>VLOOKUP(B38,'Trips&amp;Operators'!$C$2:$E$10000,3,FALSE)</f>
        <v>#N/A</v>
      </c>
      <c r="G38" s="21" t="e">
        <f>VLOOKUP(B38,'Trips&amp;Operators'!$C$1:$F$10000,4,FALSE)</f>
        <v>#N/A</v>
      </c>
      <c r="H38" s="29" t="e">
        <f>VLOOKUP(B38,'Trips&amp;Operators'!$C$1:$H$10000,5,FALSE)</f>
        <v>#N/A</v>
      </c>
      <c r="I3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8" s="30" t="e">
        <f>VLOOKUP(B38,'Train Runs'!$A$13:$A$99958,1,FALSE)</f>
        <v>#N/A</v>
      </c>
    </row>
    <row r="39" spans="1:10" x14ac:dyDescent="0.25">
      <c r="A39" s="190"/>
      <c r="B39" s="43" t="str">
        <f>A39&amp;"-"&amp;IF(DAY(Variables!$A$2)&lt;10,0,"")&amp;DAY(Variables!$A$2)</f>
        <v>-07</v>
      </c>
      <c r="C39" s="147"/>
      <c r="D39" s="169"/>
      <c r="E39" s="30"/>
      <c r="F39" s="21" t="e">
        <f>VLOOKUP(B39,'Trips&amp;Operators'!$C$2:$E$10000,3,FALSE)</f>
        <v>#N/A</v>
      </c>
      <c r="G39" s="21" t="e">
        <f>VLOOKUP(B39,'Trips&amp;Operators'!$C$1:$F$10000,4,FALSE)</f>
        <v>#N/A</v>
      </c>
      <c r="H39" s="29" t="e">
        <f>VLOOKUP(B39,'Trips&amp;Operators'!$C$1:$H$10000,5,FALSE)</f>
        <v>#N/A</v>
      </c>
      <c r="I3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39" s="30" t="e">
        <f>VLOOKUP(B39,'Train Runs'!$A$13:$A$99958,1,FALSE)</f>
        <v>#N/A</v>
      </c>
    </row>
    <row r="40" spans="1:10" x14ac:dyDescent="0.25">
      <c r="A40" s="190"/>
      <c r="B40" s="43" t="str">
        <f>A40&amp;"-"&amp;IF(DAY(Variables!$A$2)&lt;10,0,"")&amp;DAY(Variables!$A$2)</f>
        <v>-07</v>
      </c>
      <c r="C40" s="147"/>
      <c r="D40" s="169"/>
      <c r="E40" s="30"/>
      <c r="F40" s="21" t="e">
        <f>VLOOKUP(B40,'Trips&amp;Operators'!$C$2:$E$10000,3,FALSE)</f>
        <v>#N/A</v>
      </c>
      <c r="G40" s="21" t="e">
        <f>VLOOKUP(B40,'Trips&amp;Operators'!$C$1:$F$10000,4,FALSE)</f>
        <v>#N/A</v>
      </c>
      <c r="H40" s="29" t="e">
        <f>VLOOKUP(B40,'Trips&amp;Operators'!$C$1:$H$10000,5,FALSE)</f>
        <v>#N/A</v>
      </c>
      <c r="I40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0" s="30" t="e">
        <f>VLOOKUP(B40,'Train Runs'!$A$13:$A$99958,1,FALSE)</f>
        <v>#N/A</v>
      </c>
    </row>
    <row r="41" spans="1:10" x14ac:dyDescent="0.25">
      <c r="A41" s="190"/>
      <c r="B41" s="43" t="str">
        <f>A41&amp;"-"&amp;IF(DAY(Variables!$A$2)&lt;10,0,"")&amp;DAY(Variables!$A$2)</f>
        <v>-07</v>
      </c>
      <c r="C41" s="147"/>
      <c r="D41" s="169"/>
      <c r="E41" s="30"/>
      <c r="F41" s="21" t="e">
        <f>VLOOKUP(B41,'Trips&amp;Operators'!$C$2:$E$10000,3,FALSE)</f>
        <v>#N/A</v>
      </c>
      <c r="G41" s="21" t="e">
        <f>VLOOKUP(B41,'Trips&amp;Operators'!$C$1:$F$10000,4,FALSE)</f>
        <v>#N/A</v>
      </c>
      <c r="H41" s="29" t="e">
        <f>VLOOKUP(B41,'Trips&amp;Operators'!$C$1:$H$10000,5,FALSE)</f>
        <v>#N/A</v>
      </c>
      <c r="I41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1" s="30" t="e">
        <f>VLOOKUP(B41,'Train Runs'!$A$13:$A$99958,1,FALSE)</f>
        <v>#N/A</v>
      </c>
    </row>
    <row r="42" spans="1:10" x14ac:dyDescent="0.25">
      <c r="A42" s="190"/>
      <c r="B42" s="43" t="str">
        <f>A42&amp;"-"&amp;IF(DAY(Variables!$A$2)&lt;10,0,"")&amp;DAY(Variables!$A$2)</f>
        <v>-07</v>
      </c>
      <c r="C42" s="147"/>
      <c r="D42" s="169"/>
      <c r="E42" s="30"/>
      <c r="F42" s="21" t="e">
        <f>VLOOKUP(B42,'Trips&amp;Operators'!$C$2:$E$10000,3,FALSE)</f>
        <v>#N/A</v>
      </c>
      <c r="G42" s="21" t="e">
        <f>VLOOKUP(B42,'Trips&amp;Operators'!$C$1:$F$10000,4,FALSE)</f>
        <v>#N/A</v>
      </c>
      <c r="H42" s="29" t="e">
        <f>VLOOKUP(B42,'Trips&amp;Operators'!$C$1:$H$10000,5,FALSE)</f>
        <v>#N/A</v>
      </c>
      <c r="I42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2" s="30" t="e">
        <f>VLOOKUP(B42,'Train Runs'!$A$13:$A$99958,1,FALSE)</f>
        <v>#N/A</v>
      </c>
    </row>
    <row r="43" spans="1:10" x14ac:dyDescent="0.25">
      <c r="A43" s="190"/>
      <c r="B43" s="43" t="str">
        <f>A43&amp;"-"&amp;IF(DAY(Variables!$A$2)&lt;10,0,"")&amp;DAY(Variables!$A$2)</f>
        <v>-07</v>
      </c>
      <c r="C43" s="147"/>
      <c r="D43" s="169"/>
      <c r="E43" s="30"/>
      <c r="F43" s="21" t="e">
        <f>VLOOKUP(B43,'Trips&amp;Operators'!$C$2:$E$10000,3,FALSE)</f>
        <v>#N/A</v>
      </c>
      <c r="G43" s="21" t="e">
        <f>VLOOKUP(B43,'Trips&amp;Operators'!$C$1:$F$10000,4,FALSE)</f>
        <v>#N/A</v>
      </c>
      <c r="H43" s="29" t="e">
        <f>VLOOKUP(B43,'Trips&amp;Operators'!$C$1:$H$10000,5,FALSE)</f>
        <v>#N/A</v>
      </c>
      <c r="I43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3" s="30" t="e">
        <f>VLOOKUP(B43,'Train Runs'!$A$13:$A$99958,1,FALSE)</f>
        <v>#N/A</v>
      </c>
    </row>
    <row r="44" spans="1:10" x14ac:dyDescent="0.25">
      <c r="A44" s="190"/>
      <c r="B44" s="43" t="str">
        <f>A44&amp;"-"&amp;IF(DAY(Variables!$A$2)&lt;10,0,"")&amp;DAY(Variables!$A$2)</f>
        <v>-07</v>
      </c>
      <c r="C44" s="147"/>
      <c r="D44" s="169"/>
      <c r="E44" s="30"/>
      <c r="F44" s="21" t="e">
        <f>VLOOKUP(B44,'Trips&amp;Operators'!$C$2:$E$10000,3,FALSE)</f>
        <v>#N/A</v>
      </c>
      <c r="G44" s="21" t="e">
        <f>VLOOKUP(B44,'Trips&amp;Operators'!$C$1:$F$10000,4,FALSE)</f>
        <v>#N/A</v>
      </c>
      <c r="H44" s="29" t="e">
        <f>VLOOKUP(B44,'Trips&amp;Operators'!$C$1:$H$10000,5,FALSE)</f>
        <v>#N/A</v>
      </c>
      <c r="I44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4" s="30" t="e">
        <f>VLOOKUP(B44,'Train Runs'!$A$13:$A$99958,1,FALSE)</f>
        <v>#N/A</v>
      </c>
    </row>
    <row r="45" spans="1:10" x14ac:dyDescent="0.25">
      <c r="A45" s="190"/>
      <c r="B45" s="43" t="str">
        <f>A45&amp;"-"&amp;IF(DAY(Variables!$A$2)&lt;10,0,"")&amp;DAY(Variables!$A$2)</f>
        <v>-07</v>
      </c>
      <c r="C45" s="147"/>
      <c r="D45" s="169"/>
      <c r="E45" s="30"/>
      <c r="F45" s="21" t="e">
        <f>VLOOKUP(B45,'Trips&amp;Operators'!$C$2:$E$10000,3,FALSE)</f>
        <v>#N/A</v>
      </c>
      <c r="G45" s="21" t="e">
        <f>VLOOKUP(B45,'Trips&amp;Operators'!$C$1:$F$10000,4,FALSE)</f>
        <v>#N/A</v>
      </c>
      <c r="H45" s="29" t="e">
        <f>VLOOKUP(B45,'Trips&amp;Operators'!$C$1:$H$10000,5,FALSE)</f>
        <v>#N/A</v>
      </c>
      <c r="I45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5" s="30" t="e">
        <f>VLOOKUP(B45,'Train Runs'!$A$13:$A$99958,1,FALSE)</f>
        <v>#N/A</v>
      </c>
    </row>
    <row r="46" spans="1:10" x14ac:dyDescent="0.25">
      <c r="A46" s="190"/>
      <c r="B46" s="43" t="str">
        <f>A46&amp;"-"&amp;IF(DAY(Variables!$A$2)&lt;10,0,"")&amp;DAY(Variables!$A$2)</f>
        <v>-07</v>
      </c>
      <c r="C46" s="147"/>
      <c r="D46" s="169"/>
      <c r="E46" s="30"/>
      <c r="F46" s="21" t="e">
        <f>VLOOKUP(B46,'Trips&amp;Operators'!$C$2:$E$10000,3,FALSE)</f>
        <v>#N/A</v>
      </c>
      <c r="G46" s="21" t="e">
        <f>VLOOKUP(B46,'Trips&amp;Operators'!$C$1:$F$10000,4,FALSE)</f>
        <v>#N/A</v>
      </c>
      <c r="H46" s="29" t="e">
        <f>VLOOKUP(B46,'Trips&amp;Operators'!$C$1:$H$10000,5,FALSE)</f>
        <v>#N/A</v>
      </c>
      <c r="I46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6" s="30" t="e">
        <f>VLOOKUP(B46,'Train Runs'!$A$13:$A$99958,1,FALSE)</f>
        <v>#N/A</v>
      </c>
    </row>
    <row r="47" spans="1:10" x14ac:dyDescent="0.25">
      <c r="A47" s="190"/>
      <c r="B47" s="43" t="str">
        <f>A47&amp;"-"&amp;IF(DAY(Variables!$A$2)&lt;10,0,"")&amp;DAY(Variables!$A$2)</f>
        <v>-07</v>
      </c>
      <c r="C47" s="147"/>
      <c r="D47" s="169"/>
      <c r="E47" s="30"/>
      <c r="F47" s="21" t="e">
        <f>VLOOKUP(B47,'Trips&amp;Operators'!$C$2:$E$10000,3,FALSE)</f>
        <v>#N/A</v>
      </c>
      <c r="G47" s="21" t="e">
        <f>VLOOKUP(B47,'Trips&amp;Operators'!$C$1:$F$10000,4,FALSE)</f>
        <v>#N/A</v>
      </c>
      <c r="H47" s="29" t="e">
        <f>VLOOKUP(B47,'Trips&amp;Operators'!$C$1:$H$10000,5,FALSE)</f>
        <v>#N/A</v>
      </c>
      <c r="I47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7" s="30" t="e">
        <f>VLOOKUP(B47,'Train Runs'!$A$13:$A$99958,1,FALSE)</f>
        <v>#N/A</v>
      </c>
    </row>
    <row r="48" spans="1:10" x14ac:dyDescent="0.25">
      <c r="A48" s="190"/>
      <c r="B48" s="43" t="str">
        <f>A48&amp;"-"&amp;IF(DAY(Variables!$A$2)&lt;10,0,"")&amp;DAY(Variables!$A$2)</f>
        <v>-07</v>
      </c>
      <c r="C48" s="147"/>
      <c r="D48" s="169"/>
      <c r="E48" s="30"/>
      <c r="F48" s="21" t="e">
        <f>VLOOKUP(B48,'Trips&amp;Operators'!$C$2:$E$10000,3,FALSE)</f>
        <v>#N/A</v>
      </c>
      <c r="G48" s="21" t="e">
        <f>VLOOKUP(B48,'Trips&amp;Operators'!$C$1:$F$10000,4,FALSE)</f>
        <v>#N/A</v>
      </c>
      <c r="H48" s="29" t="e">
        <f>VLOOKUP(B48,'Trips&amp;Operators'!$C$1:$H$10000,5,FALSE)</f>
        <v>#N/A</v>
      </c>
      <c r="I48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8" s="30" t="e">
        <f>VLOOKUP(B48,'Train Runs'!$A$13:$A$99958,1,FALSE)</f>
        <v>#N/A</v>
      </c>
    </row>
    <row r="49" spans="1:10" x14ac:dyDescent="0.25">
      <c r="A49" s="190"/>
      <c r="B49" s="43" t="str">
        <f>A49&amp;"-"&amp;IF(DAY(Variables!$A$2)&lt;10,0,"")&amp;DAY(Variables!$A$2)</f>
        <v>-07</v>
      </c>
      <c r="C49" s="147"/>
      <c r="D49" s="169"/>
      <c r="E49" s="30"/>
      <c r="F49" s="21" t="e">
        <f>VLOOKUP(B49,'Trips&amp;Operators'!$C$2:$E$10000,3,FALSE)</f>
        <v>#N/A</v>
      </c>
      <c r="G49" s="21" t="e">
        <f>VLOOKUP(B49,'Trips&amp;Operators'!$C$1:$F$10000,4,FALSE)</f>
        <v>#N/A</v>
      </c>
      <c r="H49" s="29" t="e">
        <f>VLOOKUP(B49,'Trips&amp;Operators'!$C$1:$H$10000,5,FALSE)</f>
        <v>#N/A</v>
      </c>
      <c r="I49" s="46" t="str">
        <f t="shared" si="0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49" s="30" t="e">
        <f>VLOOKUP(B49,'Train Runs'!$A$13:$A$99958,1,FALSE)</f>
        <v>#N/A</v>
      </c>
    </row>
    <row r="50" spans="1:10" x14ac:dyDescent="0.25">
      <c r="A50" s="190"/>
      <c r="B50" s="43" t="str">
        <f>A50&amp;"-"&amp;IF(DAY(Variables!$A$2)&lt;10,0,"")&amp;DAY(Variables!$A$2)</f>
        <v>-07</v>
      </c>
      <c r="C50" s="147"/>
      <c r="D50" s="169"/>
      <c r="E50" s="30"/>
      <c r="F50" s="21" t="e">
        <f>VLOOKUP(B50,'Trips&amp;Operators'!$C$2:$E$10000,3,FALSE)</f>
        <v>#N/A</v>
      </c>
      <c r="G50" s="21" t="e">
        <f>VLOOKUP(B50,'Trips&amp;Operators'!$C$1:$F$10000,4,FALSE)</f>
        <v>#N/A</v>
      </c>
      <c r="H50" s="29" t="e">
        <f>VLOOKUP(B50,'Trips&amp;Operators'!$C$1:$H$10000,5,FALSE)</f>
        <v>#N/A</v>
      </c>
      <c r="I50" s="46" t="str">
        <f t="shared" ref="I50:I113" si="1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50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0" s="30" t="e">
        <f>VLOOKUP(B50,'Train Runs'!$A$13:$A$99958,1,FALSE)</f>
        <v>#N/A</v>
      </c>
    </row>
    <row r="51" spans="1:10" x14ac:dyDescent="0.25">
      <c r="A51" s="190"/>
      <c r="B51" s="43" t="str">
        <f>A51&amp;"-"&amp;IF(DAY(Variables!$A$2)&lt;10,0,"")&amp;DAY(Variables!$A$2)</f>
        <v>-07</v>
      </c>
      <c r="C51" s="147"/>
      <c r="D51" s="169"/>
      <c r="E51" s="30"/>
      <c r="F51" s="21" t="e">
        <f>VLOOKUP(B51,'Trips&amp;Operators'!$C$2:$E$10000,3,FALSE)</f>
        <v>#N/A</v>
      </c>
      <c r="G51" s="21" t="e">
        <f>VLOOKUP(B51,'Trips&amp;Operators'!$C$1:$F$10000,4,FALSE)</f>
        <v>#N/A</v>
      </c>
      <c r="H51" s="29" t="e">
        <f>VLOOKUP(B51,'Trips&amp;Operators'!$C$1:$H$10000,5,FALSE)</f>
        <v>#N/A</v>
      </c>
      <c r="I5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1" s="30" t="e">
        <f>VLOOKUP(B51,'Train Runs'!$A$13:$A$99958,1,FALSE)</f>
        <v>#N/A</v>
      </c>
    </row>
    <row r="52" spans="1:10" x14ac:dyDescent="0.25">
      <c r="A52" s="190"/>
      <c r="B52" s="43" t="str">
        <f>A52&amp;"-"&amp;IF(DAY(Variables!$A$2)&lt;10,0,"")&amp;DAY(Variables!$A$2)</f>
        <v>-07</v>
      </c>
      <c r="C52" s="147"/>
      <c r="D52" s="169"/>
      <c r="E52" s="30"/>
      <c r="F52" s="21" t="e">
        <f>VLOOKUP(B52,'Trips&amp;Operators'!$C$2:$E$10000,3,FALSE)</f>
        <v>#N/A</v>
      </c>
      <c r="G52" s="21" t="e">
        <f>VLOOKUP(B52,'Trips&amp;Operators'!$C$1:$F$10000,4,FALSE)</f>
        <v>#N/A</v>
      </c>
      <c r="H52" s="29" t="e">
        <f>VLOOKUP(B52,'Trips&amp;Operators'!$C$1:$H$10000,5,FALSE)</f>
        <v>#N/A</v>
      </c>
      <c r="I5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2" s="30" t="e">
        <f>VLOOKUP(B52,'Train Runs'!$A$13:$A$99958,1,FALSE)</f>
        <v>#N/A</v>
      </c>
    </row>
    <row r="53" spans="1:10" x14ac:dyDescent="0.25">
      <c r="A53" s="190"/>
      <c r="B53" s="43" t="str">
        <f>A53&amp;"-"&amp;IF(DAY(Variables!$A$2)&lt;10,0,"")&amp;DAY(Variables!$A$2)</f>
        <v>-07</v>
      </c>
      <c r="C53" s="147"/>
      <c r="D53" s="169"/>
      <c r="E53" s="30"/>
      <c r="F53" s="21" t="e">
        <f>VLOOKUP(B53,'Trips&amp;Operators'!$C$2:$E$10000,3,FALSE)</f>
        <v>#N/A</v>
      </c>
      <c r="G53" s="21" t="e">
        <f>VLOOKUP(B53,'Trips&amp;Operators'!$C$1:$F$10000,4,FALSE)</f>
        <v>#N/A</v>
      </c>
      <c r="H53" s="29" t="e">
        <f>VLOOKUP(B53,'Trips&amp;Operators'!$C$1:$H$10000,5,FALSE)</f>
        <v>#N/A</v>
      </c>
      <c r="I5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3" s="30" t="e">
        <f>VLOOKUP(B53,'Train Runs'!$A$13:$A$99958,1,FALSE)</f>
        <v>#N/A</v>
      </c>
    </row>
    <row r="54" spans="1:10" x14ac:dyDescent="0.25">
      <c r="A54" s="190"/>
      <c r="B54" s="43" t="str">
        <f>A54&amp;"-"&amp;IF(DAY(Variables!$A$2)&lt;10,0,"")&amp;DAY(Variables!$A$2)</f>
        <v>-07</v>
      </c>
      <c r="C54" s="147"/>
      <c r="D54" s="169"/>
      <c r="E54" s="30"/>
      <c r="F54" s="21" t="e">
        <f>VLOOKUP(B54,'Trips&amp;Operators'!$C$2:$E$10000,3,FALSE)</f>
        <v>#N/A</v>
      </c>
      <c r="G54" s="21" t="e">
        <f>VLOOKUP(B54,'Trips&amp;Operators'!$C$1:$F$10000,4,FALSE)</f>
        <v>#N/A</v>
      </c>
      <c r="H54" s="29" t="e">
        <f>VLOOKUP(B54,'Trips&amp;Operators'!$C$1:$H$10000,5,FALSE)</f>
        <v>#N/A</v>
      </c>
      <c r="I5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4" s="30" t="e">
        <f>VLOOKUP(B54,'Train Runs'!$A$13:$A$99958,1,FALSE)</f>
        <v>#N/A</v>
      </c>
    </row>
    <row r="55" spans="1:10" x14ac:dyDescent="0.25">
      <c r="A55" s="190"/>
      <c r="B55" s="43" t="str">
        <f>A55&amp;"-"&amp;IF(DAY(Variables!$A$2)&lt;10,0,"")&amp;DAY(Variables!$A$2)</f>
        <v>-07</v>
      </c>
      <c r="C55" s="147"/>
      <c r="D55" s="169"/>
      <c r="E55" s="30"/>
      <c r="F55" s="21" t="e">
        <f>VLOOKUP(B55,'Trips&amp;Operators'!$C$2:$E$10000,3,FALSE)</f>
        <v>#N/A</v>
      </c>
      <c r="G55" s="21" t="e">
        <f>VLOOKUP(B55,'Trips&amp;Operators'!$C$1:$F$10000,4,FALSE)</f>
        <v>#N/A</v>
      </c>
      <c r="H55" s="29" t="e">
        <f>VLOOKUP(B55,'Trips&amp;Operators'!$C$1:$H$10000,5,FALSE)</f>
        <v>#N/A</v>
      </c>
      <c r="I5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5" s="30" t="e">
        <f>VLOOKUP(B55,'Train Runs'!$A$13:$A$99958,1,FALSE)</f>
        <v>#N/A</v>
      </c>
    </row>
    <row r="56" spans="1:10" x14ac:dyDescent="0.25">
      <c r="A56" s="190"/>
      <c r="B56" s="43" t="str">
        <f>A56&amp;"-"&amp;IF(DAY(Variables!$A$2)&lt;10,0,"")&amp;DAY(Variables!$A$2)</f>
        <v>-07</v>
      </c>
      <c r="C56" s="147"/>
      <c r="D56" s="169"/>
      <c r="E56" s="30"/>
      <c r="F56" s="21" t="e">
        <f>VLOOKUP(B56,'Trips&amp;Operators'!$C$2:$E$10000,3,FALSE)</f>
        <v>#N/A</v>
      </c>
      <c r="G56" s="21" t="e">
        <f>VLOOKUP(B56,'Trips&amp;Operators'!$C$1:$F$10000,4,FALSE)</f>
        <v>#N/A</v>
      </c>
      <c r="H56" s="29" t="e">
        <f>VLOOKUP(B56,'Trips&amp;Operators'!$C$1:$H$10000,5,FALSE)</f>
        <v>#N/A</v>
      </c>
      <c r="I5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6" s="30" t="e">
        <f>VLOOKUP(B56,'Train Runs'!$A$13:$A$99958,1,FALSE)</f>
        <v>#N/A</v>
      </c>
    </row>
    <row r="57" spans="1:10" x14ac:dyDescent="0.25">
      <c r="A57" s="190"/>
      <c r="B57" s="43" t="str">
        <f>A57&amp;"-"&amp;IF(DAY(Variables!$A$2)&lt;10,0,"")&amp;DAY(Variables!$A$2)</f>
        <v>-07</v>
      </c>
      <c r="C57" s="147"/>
      <c r="D57" s="169"/>
      <c r="E57" s="30"/>
      <c r="F57" s="21" t="e">
        <f>VLOOKUP(B57,'Trips&amp;Operators'!$C$2:$E$10000,3,FALSE)</f>
        <v>#N/A</v>
      </c>
      <c r="G57" s="21" t="e">
        <f>VLOOKUP(B57,'Trips&amp;Operators'!$C$1:$F$10000,4,FALSE)</f>
        <v>#N/A</v>
      </c>
      <c r="H57" s="29" t="e">
        <f>VLOOKUP(B57,'Trips&amp;Operators'!$C$1:$H$10000,5,FALSE)</f>
        <v>#N/A</v>
      </c>
      <c r="I5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7" s="30" t="e">
        <f>VLOOKUP(B57,'Train Runs'!$A$13:$A$99958,1,FALSE)</f>
        <v>#N/A</v>
      </c>
    </row>
    <row r="58" spans="1:10" x14ac:dyDescent="0.25">
      <c r="A58" s="190"/>
      <c r="B58" s="43" t="str">
        <f>A58&amp;"-"&amp;IF(DAY(Variables!$A$2)&lt;10,0,"")&amp;DAY(Variables!$A$2)</f>
        <v>-07</v>
      </c>
      <c r="C58" s="147"/>
      <c r="D58" s="169"/>
      <c r="E58" s="30"/>
      <c r="F58" s="21" t="e">
        <f>VLOOKUP(B58,'Trips&amp;Operators'!$C$2:$E$10000,3,FALSE)</f>
        <v>#N/A</v>
      </c>
      <c r="G58" s="21" t="e">
        <f>VLOOKUP(B58,'Trips&amp;Operators'!$C$1:$F$10000,4,FALSE)</f>
        <v>#N/A</v>
      </c>
      <c r="H58" s="29" t="e">
        <f>VLOOKUP(B58,'Trips&amp;Operators'!$C$1:$H$10000,5,FALSE)</f>
        <v>#N/A</v>
      </c>
      <c r="I5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8" s="30" t="e">
        <f>VLOOKUP(B58,'Train Runs'!$A$13:$A$99958,1,FALSE)</f>
        <v>#N/A</v>
      </c>
    </row>
    <row r="59" spans="1:10" x14ac:dyDescent="0.25">
      <c r="A59" s="190"/>
      <c r="B59" s="43" t="str">
        <f>A59&amp;"-"&amp;IF(DAY(Variables!$A$2)&lt;10,0,"")&amp;DAY(Variables!$A$2)</f>
        <v>-07</v>
      </c>
      <c r="C59" s="147"/>
      <c r="D59" s="169"/>
      <c r="E59" s="30"/>
      <c r="F59" s="21" t="e">
        <f>VLOOKUP(B59,'Trips&amp;Operators'!$C$2:$E$10000,3,FALSE)</f>
        <v>#N/A</v>
      </c>
      <c r="G59" s="21" t="e">
        <f>VLOOKUP(B59,'Trips&amp;Operators'!$C$1:$F$10000,4,FALSE)</f>
        <v>#N/A</v>
      </c>
      <c r="H59" s="29" t="e">
        <f>VLOOKUP(B59,'Trips&amp;Operators'!$C$1:$H$10000,5,FALSE)</f>
        <v>#N/A</v>
      </c>
      <c r="I5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59" s="30" t="e">
        <f>VLOOKUP(B59,'Train Runs'!$A$13:$A$99958,1,FALSE)</f>
        <v>#N/A</v>
      </c>
    </row>
    <row r="60" spans="1:10" x14ac:dyDescent="0.25">
      <c r="A60" s="190"/>
      <c r="B60" s="43" t="str">
        <f>A60&amp;"-"&amp;IF(DAY(Variables!$A$2)&lt;10,0,"")&amp;DAY(Variables!$A$2)</f>
        <v>-07</v>
      </c>
      <c r="C60" s="147"/>
      <c r="D60" s="169"/>
      <c r="E60" s="30"/>
      <c r="F60" s="21" t="e">
        <f>VLOOKUP(B60,'Trips&amp;Operators'!$C$2:$E$10000,3,FALSE)</f>
        <v>#N/A</v>
      </c>
      <c r="G60" s="21" t="e">
        <f>VLOOKUP(B60,'Trips&amp;Operators'!$C$1:$F$10000,4,FALSE)</f>
        <v>#N/A</v>
      </c>
      <c r="H60" s="29" t="e">
        <f>VLOOKUP(B60,'Trips&amp;Operators'!$C$1:$H$10000,5,FALSE)</f>
        <v>#N/A</v>
      </c>
      <c r="I6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0" s="30" t="e">
        <f>VLOOKUP(B60,'Train Runs'!$A$13:$A$99958,1,FALSE)</f>
        <v>#N/A</v>
      </c>
    </row>
    <row r="61" spans="1:10" x14ac:dyDescent="0.25">
      <c r="A61" s="190"/>
      <c r="B61" s="43" t="str">
        <f>A61&amp;"-"&amp;IF(DAY(Variables!$A$2)&lt;10,0,"")&amp;DAY(Variables!$A$2)</f>
        <v>-07</v>
      </c>
      <c r="C61" s="147"/>
      <c r="D61" s="169"/>
      <c r="E61" s="30"/>
      <c r="F61" s="21" t="e">
        <f>VLOOKUP(B61,'Trips&amp;Operators'!$C$2:$E$10000,3,FALSE)</f>
        <v>#N/A</v>
      </c>
      <c r="G61" s="21" t="e">
        <f>VLOOKUP(B61,'Trips&amp;Operators'!$C$1:$F$10000,4,FALSE)</f>
        <v>#N/A</v>
      </c>
      <c r="H61" s="29" t="e">
        <f>VLOOKUP(B61,'Trips&amp;Operators'!$C$1:$H$10000,5,FALSE)</f>
        <v>#N/A</v>
      </c>
      <c r="I6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1" s="30" t="e">
        <f>VLOOKUP(B61,'Train Runs'!$A$13:$A$99958,1,FALSE)</f>
        <v>#N/A</v>
      </c>
    </row>
    <row r="62" spans="1:10" x14ac:dyDescent="0.25">
      <c r="A62" s="190"/>
      <c r="B62" s="43" t="str">
        <f>A62&amp;"-"&amp;IF(DAY(Variables!$A$2)&lt;10,0,"")&amp;DAY(Variables!$A$2)</f>
        <v>-07</v>
      </c>
      <c r="C62" s="147"/>
      <c r="D62" s="169"/>
      <c r="E62" s="30"/>
      <c r="F62" s="21" t="e">
        <f>VLOOKUP(B62,'Trips&amp;Operators'!$C$2:$E$10000,3,FALSE)</f>
        <v>#N/A</v>
      </c>
      <c r="G62" s="21" t="e">
        <f>VLOOKUP(B62,'Trips&amp;Operators'!$C$1:$F$10000,4,FALSE)</f>
        <v>#N/A</v>
      </c>
      <c r="H62" s="29" t="e">
        <f>VLOOKUP(B62,'Trips&amp;Operators'!$C$1:$H$10000,5,FALSE)</f>
        <v>#N/A</v>
      </c>
      <c r="I6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2" s="30" t="e">
        <f>VLOOKUP(B62,'Train Runs'!$A$13:$A$99958,1,FALSE)</f>
        <v>#N/A</v>
      </c>
    </row>
    <row r="63" spans="1:10" x14ac:dyDescent="0.25">
      <c r="A63" s="190"/>
      <c r="B63" s="43" t="str">
        <f>A63&amp;"-"&amp;IF(DAY(Variables!$A$2)&lt;10,0,"")&amp;DAY(Variables!$A$2)</f>
        <v>-07</v>
      </c>
      <c r="C63" s="147"/>
      <c r="D63" s="169"/>
      <c r="E63" s="30"/>
      <c r="F63" s="21" t="e">
        <f>VLOOKUP(B63,'Trips&amp;Operators'!$C$2:$E$10000,3,FALSE)</f>
        <v>#N/A</v>
      </c>
      <c r="G63" s="21" t="e">
        <f>VLOOKUP(B63,'Trips&amp;Operators'!$C$1:$F$10000,4,FALSE)</f>
        <v>#N/A</v>
      </c>
      <c r="H63" s="29" t="e">
        <f>VLOOKUP(B63,'Trips&amp;Operators'!$C$1:$H$10000,5,FALSE)</f>
        <v>#N/A</v>
      </c>
      <c r="I6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3" s="30" t="e">
        <f>VLOOKUP(B63,'Train Runs'!$A$13:$A$99958,1,FALSE)</f>
        <v>#N/A</v>
      </c>
    </row>
    <row r="64" spans="1:10" x14ac:dyDescent="0.25">
      <c r="A64" s="190"/>
      <c r="B64" s="43" t="str">
        <f>A64&amp;"-"&amp;IF(DAY(Variables!$A$2)&lt;10,0,"")&amp;DAY(Variables!$A$2)</f>
        <v>-07</v>
      </c>
      <c r="C64" s="147"/>
      <c r="D64" s="169"/>
      <c r="E64" s="30"/>
      <c r="F64" s="21" t="e">
        <f>VLOOKUP(B64,'Trips&amp;Operators'!$C$2:$E$10000,3,FALSE)</f>
        <v>#N/A</v>
      </c>
      <c r="G64" s="21" t="e">
        <f>VLOOKUP(B64,'Trips&amp;Operators'!$C$1:$F$10000,4,FALSE)</f>
        <v>#N/A</v>
      </c>
      <c r="H64" s="29" t="e">
        <f>VLOOKUP(B64,'Trips&amp;Operators'!$C$1:$H$10000,5,FALSE)</f>
        <v>#N/A</v>
      </c>
      <c r="I6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4" s="30" t="e">
        <f>VLOOKUP(B64,'Train Runs'!$A$13:$A$99958,1,FALSE)</f>
        <v>#N/A</v>
      </c>
    </row>
    <row r="65" spans="1:10" x14ac:dyDescent="0.25">
      <c r="A65" s="190"/>
      <c r="B65" s="43" t="str">
        <f>A65&amp;"-"&amp;IF(DAY(Variables!$A$2)&lt;10,0,"")&amp;DAY(Variables!$A$2)</f>
        <v>-07</v>
      </c>
      <c r="C65" s="147"/>
      <c r="D65" s="169"/>
      <c r="E65" s="30"/>
      <c r="F65" s="21" t="e">
        <f>VLOOKUP(B65,'Trips&amp;Operators'!$C$2:$E$10000,3,FALSE)</f>
        <v>#N/A</v>
      </c>
      <c r="G65" s="21" t="e">
        <f>VLOOKUP(B65,'Trips&amp;Operators'!$C$1:$F$10000,4,FALSE)</f>
        <v>#N/A</v>
      </c>
      <c r="H65" s="29" t="e">
        <f>VLOOKUP(B65,'Trips&amp;Operators'!$C$1:$H$10000,5,FALSE)</f>
        <v>#N/A</v>
      </c>
      <c r="I6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5" s="30" t="e">
        <f>VLOOKUP(B65,'Train Runs'!$A$13:$A$99958,1,FALSE)</f>
        <v>#N/A</v>
      </c>
    </row>
    <row r="66" spans="1:10" x14ac:dyDescent="0.25">
      <c r="A66" s="190"/>
      <c r="B66" s="43" t="str">
        <f>A66&amp;"-"&amp;IF(DAY(Variables!$A$2)&lt;10,0,"")&amp;DAY(Variables!$A$2)</f>
        <v>-07</v>
      </c>
      <c r="C66" s="147"/>
      <c r="D66" s="169"/>
      <c r="E66" s="30"/>
      <c r="F66" s="21" t="e">
        <f>VLOOKUP(B66,'Trips&amp;Operators'!$C$2:$E$10000,3,FALSE)</f>
        <v>#N/A</v>
      </c>
      <c r="G66" s="21" t="e">
        <f>VLOOKUP(B66,'Trips&amp;Operators'!$C$1:$F$10000,4,FALSE)</f>
        <v>#N/A</v>
      </c>
      <c r="H66" s="29" t="e">
        <f>VLOOKUP(B66,'Trips&amp;Operators'!$C$1:$H$10000,5,FALSE)</f>
        <v>#N/A</v>
      </c>
      <c r="I6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6" s="30" t="e">
        <f>VLOOKUP(B66,'Train Runs'!$A$13:$A$99958,1,FALSE)</f>
        <v>#N/A</v>
      </c>
    </row>
    <row r="67" spans="1:10" x14ac:dyDescent="0.25">
      <c r="A67" s="190"/>
      <c r="B67" s="43" t="str">
        <f>A67&amp;"-"&amp;IF(DAY(Variables!$A$2)&lt;10,0,"")&amp;DAY(Variables!$A$2)</f>
        <v>-07</v>
      </c>
      <c r="C67" s="147"/>
      <c r="D67" s="169"/>
      <c r="E67" s="30"/>
      <c r="F67" s="21" t="e">
        <f>VLOOKUP(B67,'Trips&amp;Operators'!$C$2:$E$10000,3,FALSE)</f>
        <v>#N/A</v>
      </c>
      <c r="G67" s="21" t="e">
        <f>VLOOKUP(B67,'Trips&amp;Operators'!$C$1:$F$10000,4,FALSE)</f>
        <v>#N/A</v>
      </c>
      <c r="H67" s="29" t="e">
        <f>VLOOKUP(B67,'Trips&amp;Operators'!$C$1:$H$10000,5,FALSE)</f>
        <v>#N/A</v>
      </c>
      <c r="I6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7" s="30" t="e">
        <f>VLOOKUP(B67,'Train Runs'!$A$13:$A$99958,1,FALSE)</f>
        <v>#N/A</v>
      </c>
    </row>
    <row r="68" spans="1:10" x14ac:dyDescent="0.25">
      <c r="A68" s="190"/>
      <c r="B68" s="43" t="str">
        <f>A68&amp;"-"&amp;IF(DAY(Variables!$A$2)&lt;10,0,"")&amp;DAY(Variables!$A$2)</f>
        <v>-07</v>
      </c>
      <c r="C68" s="147"/>
      <c r="D68" s="169"/>
      <c r="E68" s="30"/>
      <c r="F68" s="21" t="e">
        <f>VLOOKUP(B68,'Trips&amp;Operators'!$C$2:$E$10000,3,FALSE)</f>
        <v>#N/A</v>
      </c>
      <c r="G68" s="21" t="e">
        <f>VLOOKUP(B68,'Trips&amp;Operators'!$C$1:$F$10000,4,FALSE)</f>
        <v>#N/A</v>
      </c>
      <c r="H68" s="29" t="e">
        <f>VLOOKUP(B68,'Trips&amp;Operators'!$C$1:$H$10000,5,FALSE)</f>
        <v>#N/A</v>
      </c>
      <c r="I6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8" s="30" t="e">
        <f>VLOOKUP(B68,'Train Runs'!$A$13:$A$99958,1,FALSE)</f>
        <v>#N/A</v>
      </c>
    </row>
    <row r="69" spans="1:10" x14ac:dyDescent="0.25">
      <c r="A69" s="190"/>
      <c r="B69" s="43" t="str">
        <f>A69&amp;"-"&amp;IF(DAY(Variables!$A$2)&lt;10,0,"")&amp;DAY(Variables!$A$2)</f>
        <v>-07</v>
      </c>
      <c r="C69" s="147"/>
      <c r="D69" s="169"/>
      <c r="E69" s="30"/>
      <c r="F69" s="21" t="e">
        <f>VLOOKUP(B69,'Trips&amp;Operators'!$C$2:$E$10000,3,FALSE)</f>
        <v>#N/A</v>
      </c>
      <c r="G69" s="21" t="e">
        <f>VLOOKUP(B69,'Trips&amp;Operators'!$C$1:$F$10000,4,FALSE)</f>
        <v>#N/A</v>
      </c>
      <c r="H69" s="29" t="e">
        <f>VLOOKUP(B69,'Trips&amp;Operators'!$C$1:$H$10000,5,FALSE)</f>
        <v>#N/A</v>
      </c>
      <c r="I6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69" s="30" t="e">
        <f>VLOOKUP(B69,'Train Runs'!$A$13:$A$99958,1,FALSE)</f>
        <v>#N/A</v>
      </c>
    </row>
    <row r="70" spans="1:10" x14ac:dyDescent="0.25">
      <c r="A70" s="190"/>
      <c r="B70" s="43" t="str">
        <f>A70&amp;"-"&amp;IF(DAY(Variables!$A$2)&lt;10,0,"")&amp;DAY(Variables!$A$2)</f>
        <v>-07</v>
      </c>
      <c r="C70" s="147"/>
      <c r="D70" s="169"/>
      <c r="E70" s="30"/>
      <c r="F70" s="21" t="e">
        <f>VLOOKUP(B70,'Trips&amp;Operators'!$C$2:$E$10000,3,FALSE)</f>
        <v>#N/A</v>
      </c>
      <c r="G70" s="21" t="e">
        <f>VLOOKUP(B70,'Trips&amp;Operators'!$C$1:$F$10000,4,FALSE)</f>
        <v>#N/A</v>
      </c>
      <c r="H70" s="29" t="e">
        <f>VLOOKUP(B70,'Trips&amp;Operators'!$C$1:$H$10000,5,FALSE)</f>
        <v>#N/A</v>
      </c>
      <c r="I7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0" s="30" t="e">
        <f>VLOOKUP(B70,'Train Runs'!$A$13:$A$99958,1,FALSE)</f>
        <v>#N/A</v>
      </c>
    </row>
    <row r="71" spans="1:10" x14ac:dyDescent="0.25">
      <c r="A71" s="190"/>
      <c r="B71" s="43" t="str">
        <f>A71&amp;"-"&amp;IF(DAY(Variables!$A$2)&lt;10,0,"")&amp;DAY(Variables!$A$2)</f>
        <v>-07</v>
      </c>
      <c r="C71" s="147"/>
      <c r="D71" s="169"/>
      <c r="E71" s="30"/>
      <c r="F71" s="21" t="e">
        <f>VLOOKUP(B71,'Trips&amp;Operators'!$C$2:$E$10000,3,FALSE)</f>
        <v>#N/A</v>
      </c>
      <c r="G71" s="21" t="e">
        <f>VLOOKUP(B71,'Trips&amp;Operators'!$C$1:$F$10000,4,FALSE)</f>
        <v>#N/A</v>
      </c>
      <c r="H71" s="29" t="e">
        <f>VLOOKUP(B71,'Trips&amp;Operators'!$C$1:$H$10000,5,FALSE)</f>
        <v>#N/A</v>
      </c>
      <c r="I7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1" s="30" t="e">
        <f>VLOOKUP(B71,'Train Runs'!$A$13:$A$99958,1,FALSE)</f>
        <v>#N/A</v>
      </c>
    </row>
    <row r="72" spans="1:10" x14ac:dyDescent="0.25">
      <c r="A72" s="190"/>
      <c r="B72" s="43" t="str">
        <f>A72&amp;"-"&amp;IF(DAY(Variables!$A$2)&lt;10,0,"")&amp;DAY(Variables!$A$2)</f>
        <v>-07</v>
      </c>
      <c r="C72" s="147"/>
      <c r="D72" s="169"/>
      <c r="E72" s="30"/>
      <c r="F72" s="21" t="e">
        <f>VLOOKUP(B72,'Trips&amp;Operators'!$C$2:$E$10000,3,FALSE)</f>
        <v>#N/A</v>
      </c>
      <c r="G72" s="21" t="e">
        <f>VLOOKUP(B72,'Trips&amp;Operators'!$C$1:$F$10000,4,FALSE)</f>
        <v>#N/A</v>
      </c>
      <c r="H72" s="29" t="e">
        <f>VLOOKUP(B72,'Trips&amp;Operators'!$C$1:$H$10000,5,FALSE)</f>
        <v>#N/A</v>
      </c>
      <c r="I7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2" s="30" t="e">
        <f>VLOOKUP(B72,'Train Runs'!$A$13:$A$99958,1,FALSE)</f>
        <v>#N/A</v>
      </c>
    </row>
    <row r="73" spans="1:10" x14ac:dyDescent="0.25">
      <c r="A73" s="190"/>
      <c r="B73" s="43" t="str">
        <f>A73&amp;"-"&amp;IF(DAY(Variables!$A$2)&lt;10,0,"")&amp;DAY(Variables!$A$2)</f>
        <v>-07</v>
      </c>
      <c r="C73" s="147"/>
      <c r="D73" s="169"/>
      <c r="E73" s="30"/>
      <c r="F73" s="21" t="e">
        <f>VLOOKUP(B73,'Trips&amp;Operators'!$C$2:$E$10000,3,FALSE)</f>
        <v>#N/A</v>
      </c>
      <c r="G73" s="21" t="e">
        <f>VLOOKUP(B73,'Trips&amp;Operators'!$C$1:$F$10000,4,FALSE)</f>
        <v>#N/A</v>
      </c>
      <c r="H73" s="29" t="e">
        <f>VLOOKUP(B73,'Trips&amp;Operators'!$C$1:$H$10000,5,FALSE)</f>
        <v>#N/A</v>
      </c>
      <c r="I7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3" s="30" t="e">
        <f>VLOOKUP(B73,'Train Runs'!$A$13:$A$99958,1,FALSE)</f>
        <v>#N/A</v>
      </c>
    </row>
    <row r="74" spans="1:10" x14ac:dyDescent="0.25">
      <c r="A74" s="190"/>
      <c r="B74" s="43" t="str">
        <f>A74&amp;"-"&amp;IF(DAY(Variables!$A$2)&lt;10,0,"")&amp;DAY(Variables!$A$2)</f>
        <v>-07</v>
      </c>
      <c r="C74" s="147"/>
      <c r="D74" s="169"/>
      <c r="E74" s="30"/>
      <c r="F74" s="21" t="e">
        <f>VLOOKUP(B74,'Trips&amp;Operators'!$C$2:$E$10000,3,FALSE)</f>
        <v>#N/A</v>
      </c>
      <c r="G74" s="21" t="e">
        <f>VLOOKUP(B74,'Trips&amp;Operators'!$C$1:$F$10000,4,FALSE)</f>
        <v>#N/A</v>
      </c>
      <c r="H74" s="29" t="e">
        <f>VLOOKUP(B74,'Trips&amp;Operators'!$C$1:$H$10000,5,FALSE)</f>
        <v>#N/A</v>
      </c>
      <c r="I7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4" s="30" t="e">
        <f>VLOOKUP(B74,'Train Runs'!$A$13:$A$99958,1,FALSE)</f>
        <v>#N/A</v>
      </c>
    </row>
    <row r="75" spans="1:10" x14ac:dyDescent="0.25">
      <c r="A75" s="190"/>
      <c r="B75" s="43" t="str">
        <f>A75&amp;"-"&amp;IF(DAY(Variables!$A$2)&lt;10,0,"")&amp;DAY(Variables!$A$2)</f>
        <v>-07</v>
      </c>
      <c r="C75" s="147"/>
      <c r="D75" s="169"/>
      <c r="E75" s="30"/>
      <c r="F75" s="21" t="e">
        <f>VLOOKUP(B75,'Trips&amp;Operators'!$C$2:$E$10000,3,FALSE)</f>
        <v>#N/A</v>
      </c>
      <c r="G75" s="21" t="e">
        <f>VLOOKUP(B75,'Trips&amp;Operators'!$C$1:$F$10000,4,FALSE)</f>
        <v>#N/A</v>
      </c>
      <c r="H75" s="29" t="e">
        <f>VLOOKUP(B75,'Trips&amp;Operators'!$C$1:$H$10000,5,FALSE)</f>
        <v>#N/A</v>
      </c>
      <c r="I7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5" s="30" t="e">
        <f>VLOOKUP(B75,'Train Runs'!$A$13:$A$99958,1,FALSE)</f>
        <v>#N/A</v>
      </c>
    </row>
    <row r="76" spans="1:10" x14ac:dyDescent="0.25">
      <c r="A76" s="190"/>
      <c r="B76" s="43" t="str">
        <f>A76&amp;"-"&amp;IF(DAY(Variables!$A$2)&lt;10,0,"")&amp;DAY(Variables!$A$2)</f>
        <v>-07</v>
      </c>
      <c r="C76" s="147"/>
      <c r="D76" s="169"/>
      <c r="E76" s="30"/>
      <c r="F76" s="21" t="e">
        <f>VLOOKUP(B76,'Trips&amp;Operators'!$C$2:$E$10000,3,FALSE)</f>
        <v>#N/A</v>
      </c>
      <c r="G76" s="21" t="e">
        <f>VLOOKUP(B76,'Trips&amp;Operators'!$C$1:$F$10000,4,FALSE)</f>
        <v>#N/A</v>
      </c>
      <c r="H76" s="29" t="e">
        <f>VLOOKUP(B76,'Trips&amp;Operators'!$C$1:$H$10000,5,FALSE)</f>
        <v>#N/A</v>
      </c>
      <c r="I7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6" s="30" t="e">
        <f>VLOOKUP(B76,'Train Runs'!$A$13:$A$99958,1,FALSE)</f>
        <v>#N/A</v>
      </c>
    </row>
    <row r="77" spans="1:10" x14ac:dyDescent="0.25">
      <c r="A77" s="190"/>
      <c r="B77" s="43" t="str">
        <f>A77&amp;"-"&amp;IF(DAY(Variables!$A$2)&lt;10,0,"")&amp;DAY(Variables!$A$2)</f>
        <v>-07</v>
      </c>
      <c r="C77" s="147"/>
      <c r="D77" s="169"/>
      <c r="E77" s="30"/>
      <c r="F77" s="21" t="e">
        <f>VLOOKUP(B77,'Trips&amp;Operators'!$C$2:$E$10000,3,FALSE)</f>
        <v>#N/A</v>
      </c>
      <c r="G77" s="21" t="e">
        <f>VLOOKUP(B77,'Trips&amp;Operators'!$C$1:$F$10000,4,FALSE)</f>
        <v>#N/A</v>
      </c>
      <c r="H77" s="29" t="e">
        <f>VLOOKUP(B77,'Trips&amp;Operators'!$C$1:$H$10000,5,FALSE)</f>
        <v>#N/A</v>
      </c>
      <c r="I7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7" s="30" t="e">
        <f>VLOOKUP(B77,'Train Runs'!$A$13:$A$99958,1,FALSE)</f>
        <v>#N/A</v>
      </c>
    </row>
    <row r="78" spans="1:10" x14ac:dyDescent="0.25">
      <c r="A78" s="190"/>
      <c r="B78" s="43" t="str">
        <f>A78&amp;"-"&amp;IF(DAY(Variables!$A$2)&lt;10,0,"")&amp;DAY(Variables!$A$2)</f>
        <v>-07</v>
      </c>
      <c r="C78" s="147"/>
      <c r="D78" s="169"/>
      <c r="E78" s="30"/>
      <c r="F78" s="21" t="e">
        <f>VLOOKUP(B78,'Trips&amp;Operators'!$C$2:$E$10000,3,FALSE)</f>
        <v>#N/A</v>
      </c>
      <c r="G78" s="21" t="e">
        <f>VLOOKUP(B78,'Trips&amp;Operators'!$C$1:$F$10000,4,FALSE)</f>
        <v>#N/A</v>
      </c>
      <c r="H78" s="29" t="e">
        <f>VLOOKUP(B78,'Trips&amp;Operators'!$C$1:$H$10000,5,FALSE)</f>
        <v>#N/A</v>
      </c>
      <c r="I7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8" s="30" t="e">
        <f>VLOOKUP(B78,'Train Runs'!$A$13:$A$99958,1,FALSE)</f>
        <v>#N/A</v>
      </c>
    </row>
    <row r="79" spans="1:10" x14ac:dyDescent="0.25">
      <c r="A79" s="190"/>
      <c r="B79" s="43" t="str">
        <f>A79&amp;"-"&amp;IF(DAY(Variables!$A$2)&lt;10,0,"")&amp;DAY(Variables!$A$2)</f>
        <v>-07</v>
      </c>
      <c r="C79" s="147"/>
      <c r="D79" s="169"/>
      <c r="E79" s="30"/>
      <c r="F79" s="21" t="e">
        <f>VLOOKUP(B79,'Trips&amp;Operators'!$C$2:$E$10000,3,FALSE)</f>
        <v>#N/A</v>
      </c>
      <c r="G79" s="21" t="e">
        <f>VLOOKUP(B79,'Trips&amp;Operators'!$C$1:$F$10000,4,FALSE)</f>
        <v>#N/A</v>
      </c>
      <c r="H79" s="29" t="e">
        <f>VLOOKUP(B79,'Trips&amp;Operators'!$C$1:$H$10000,5,FALSE)</f>
        <v>#N/A</v>
      </c>
      <c r="I7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79" s="30" t="e">
        <f>VLOOKUP(B79,'Train Runs'!$A$13:$A$99958,1,FALSE)</f>
        <v>#N/A</v>
      </c>
    </row>
    <row r="80" spans="1:10" x14ac:dyDescent="0.25">
      <c r="A80" s="190"/>
      <c r="B80" s="43" t="str">
        <f>A80&amp;"-"&amp;IF(DAY(Variables!$A$2)&lt;10,0,"")&amp;DAY(Variables!$A$2)</f>
        <v>-07</v>
      </c>
      <c r="C80" s="147"/>
      <c r="D80" s="169"/>
      <c r="E80" s="30"/>
      <c r="F80" s="21" t="e">
        <f>VLOOKUP(B80,'Trips&amp;Operators'!$C$2:$E$10000,3,FALSE)</f>
        <v>#N/A</v>
      </c>
      <c r="G80" s="21" t="e">
        <f>VLOOKUP(B80,'Trips&amp;Operators'!$C$1:$F$10000,4,FALSE)</f>
        <v>#N/A</v>
      </c>
      <c r="H80" s="29" t="e">
        <f>VLOOKUP(B80,'Trips&amp;Operators'!$C$1:$H$10000,5,FALSE)</f>
        <v>#N/A</v>
      </c>
      <c r="I8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0" s="30" t="e">
        <f>VLOOKUP(B80,'Train Runs'!$A$13:$A$99958,1,FALSE)</f>
        <v>#N/A</v>
      </c>
    </row>
    <row r="81" spans="1:10" x14ac:dyDescent="0.25">
      <c r="A81" s="190"/>
      <c r="B81" s="43" t="str">
        <f>A81&amp;"-"&amp;IF(DAY(Variables!$A$2)&lt;10,0,"")&amp;DAY(Variables!$A$2)</f>
        <v>-07</v>
      </c>
      <c r="C81" s="147"/>
      <c r="D81" s="169"/>
      <c r="E81" s="30"/>
      <c r="F81" s="21" t="e">
        <f>VLOOKUP(B81,'Trips&amp;Operators'!$C$2:$E$10000,3,FALSE)</f>
        <v>#N/A</v>
      </c>
      <c r="G81" s="21" t="e">
        <f>VLOOKUP(B81,'Trips&amp;Operators'!$C$1:$F$10000,4,FALSE)</f>
        <v>#N/A</v>
      </c>
      <c r="H81" s="29" t="e">
        <f>VLOOKUP(B81,'Trips&amp;Operators'!$C$1:$H$10000,5,FALSE)</f>
        <v>#N/A</v>
      </c>
      <c r="I8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1" s="30" t="e">
        <f>VLOOKUP(B81,'Train Runs'!$A$13:$A$99958,1,FALSE)</f>
        <v>#N/A</v>
      </c>
    </row>
    <row r="82" spans="1:10" x14ac:dyDescent="0.25">
      <c r="A82" s="190"/>
      <c r="B82" s="43" t="str">
        <f>A82&amp;"-"&amp;IF(DAY(Variables!$A$2)&lt;10,0,"")&amp;DAY(Variables!$A$2)</f>
        <v>-07</v>
      </c>
      <c r="C82" s="147"/>
      <c r="D82" s="169"/>
      <c r="E82" s="30"/>
      <c r="F82" s="21" t="e">
        <f>VLOOKUP(B82,'Trips&amp;Operators'!$C$2:$E$10000,3,FALSE)</f>
        <v>#N/A</v>
      </c>
      <c r="G82" s="21" t="e">
        <f>VLOOKUP(B82,'Trips&amp;Operators'!$C$1:$F$10000,4,FALSE)</f>
        <v>#N/A</v>
      </c>
      <c r="H82" s="29" t="e">
        <f>VLOOKUP(B82,'Trips&amp;Operators'!$C$1:$H$10000,5,FALSE)</f>
        <v>#N/A</v>
      </c>
      <c r="I8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2" s="30" t="e">
        <f>VLOOKUP(B82,'Train Runs'!$A$13:$A$99958,1,FALSE)</f>
        <v>#N/A</v>
      </c>
    </row>
    <row r="83" spans="1:10" x14ac:dyDescent="0.25">
      <c r="A83" s="190"/>
      <c r="B83" s="43" t="str">
        <f>A83&amp;"-"&amp;IF(DAY(Variables!$A$2)&lt;10,0,"")&amp;DAY(Variables!$A$2)</f>
        <v>-07</v>
      </c>
      <c r="C83" s="147"/>
      <c r="D83" s="169"/>
      <c r="E83" s="30"/>
      <c r="F83" s="21" t="e">
        <f>VLOOKUP(B83,'Trips&amp;Operators'!$C$2:$E$10000,3,FALSE)</f>
        <v>#N/A</v>
      </c>
      <c r="G83" s="21" t="e">
        <f>VLOOKUP(B83,'Trips&amp;Operators'!$C$1:$F$10000,4,FALSE)</f>
        <v>#N/A</v>
      </c>
      <c r="H83" s="29" t="e">
        <f>VLOOKUP(B83,'Trips&amp;Operators'!$C$1:$H$10000,5,FALSE)</f>
        <v>#N/A</v>
      </c>
      <c r="I8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3" s="30" t="e">
        <f>VLOOKUP(B83,'Train Runs'!$A$13:$A$99958,1,FALSE)</f>
        <v>#N/A</v>
      </c>
    </row>
    <row r="84" spans="1:10" x14ac:dyDescent="0.25">
      <c r="A84" s="190"/>
      <c r="B84" s="43" t="str">
        <f>A84&amp;"-"&amp;IF(DAY(Variables!$A$2)&lt;10,0,"")&amp;DAY(Variables!$A$2)</f>
        <v>-07</v>
      </c>
      <c r="C84" s="147"/>
      <c r="D84" s="169"/>
      <c r="E84" s="30"/>
      <c r="F84" s="21" t="e">
        <f>VLOOKUP(B84,'Trips&amp;Operators'!$C$2:$E$10000,3,FALSE)</f>
        <v>#N/A</v>
      </c>
      <c r="G84" s="21" t="e">
        <f>VLOOKUP(B84,'Trips&amp;Operators'!$C$1:$F$10000,4,FALSE)</f>
        <v>#N/A</v>
      </c>
      <c r="H84" s="29" t="e">
        <f>VLOOKUP(B84,'Trips&amp;Operators'!$C$1:$H$10000,5,FALSE)</f>
        <v>#N/A</v>
      </c>
      <c r="I8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4" s="30" t="e">
        <f>VLOOKUP(B84,'Train Runs'!$A$13:$A$99958,1,FALSE)</f>
        <v>#N/A</v>
      </c>
    </row>
    <row r="85" spans="1:10" x14ac:dyDescent="0.25">
      <c r="A85" s="190"/>
      <c r="B85" s="43" t="str">
        <f>A85&amp;"-"&amp;IF(DAY(Variables!$A$2)&lt;10,0,"")&amp;DAY(Variables!$A$2)</f>
        <v>-07</v>
      </c>
      <c r="C85" s="147"/>
      <c r="D85" s="169"/>
      <c r="E85" s="30"/>
      <c r="F85" s="21" t="e">
        <f>VLOOKUP(B85,'Trips&amp;Operators'!$C$2:$E$10000,3,FALSE)</f>
        <v>#N/A</v>
      </c>
      <c r="G85" s="21" t="e">
        <f>VLOOKUP(B85,'Trips&amp;Operators'!$C$1:$F$10000,4,FALSE)</f>
        <v>#N/A</v>
      </c>
      <c r="H85" s="29" t="e">
        <f>VLOOKUP(B85,'Trips&amp;Operators'!$C$1:$H$10000,5,FALSE)</f>
        <v>#N/A</v>
      </c>
      <c r="I8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5" s="30" t="e">
        <f>VLOOKUP(B85,'Train Runs'!$A$13:$A$99958,1,FALSE)</f>
        <v>#N/A</v>
      </c>
    </row>
    <row r="86" spans="1:10" x14ac:dyDescent="0.25">
      <c r="A86" s="190"/>
      <c r="B86" s="43" t="str">
        <f>A86&amp;"-"&amp;IF(DAY(Variables!$A$2)&lt;10,0,"")&amp;DAY(Variables!$A$2)</f>
        <v>-07</v>
      </c>
      <c r="C86" s="147"/>
      <c r="D86" s="169"/>
      <c r="E86" s="30"/>
      <c r="F86" s="21" t="e">
        <f>VLOOKUP(B86,'Trips&amp;Operators'!$C$2:$E$10000,3,FALSE)</f>
        <v>#N/A</v>
      </c>
      <c r="G86" s="21" t="e">
        <f>VLOOKUP(B86,'Trips&amp;Operators'!$C$1:$F$10000,4,FALSE)</f>
        <v>#N/A</v>
      </c>
      <c r="H86" s="29" t="e">
        <f>VLOOKUP(B86,'Trips&amp;Operators'!$C$1:$H$10000,5,FALSE)</f>
        <v>#N/A</v>
      </c>
      <c r="I8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6" s="30" t="e">
        <f>VLOOKUP(B86,'Train Runs'!$A$13:$A$99958,1,FALSE)</f>
        <v>#N/A</v>
      </c>
    </row>
    <row r="87" spans="1:10" x14ac:dyDescent="0.25">
      <c r="A87" s="190"/>
      <c r="B87" s="43" t="str">
        <f>A87&amp;"-"&amp;IF(DAY(Variables!$A$2)&lt;10,0,"")&amp;DAY(Variables!$A$2)</f>
        <v>-07</v>
      </c>
      <c r="C87" s="147"/>
      <c r="D87" s="169"/>
      <c r="E87" s="30"/>
      <c r="F87" s="21" t="e">
        <f>VLOOKUP(B87,'Trips&amp;Operators'!$C$2:$E$10000,3,FALSE)</f>
        <v>#N/A</v>
      </c>
      <c r="G87" s="21" t="e">
        <f>VLOOKUP(B87,'Trips&amp;Operators'!$C$1:$F$10000,4,FALSE)</f>
        <v>#N/A</v>
      </c>
      <c r="H87" s="29" t="e">
        <f>VLOOKUP(B87,'Trips&amp;Operators'!$C$1:$H$10000,5,FALSE)</f>
        <v>#N/A</v>
      </c>
      <c r="I8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7" s="30" t="e">
        <f>VLOOKUP(B87,'Train Runs'!$A$13:$A$99958,1,FALSE)</f>
        <v>#N/A</v>
      </c>
    </row>
    <row r="88" spans="1:10" x14ac:dyDescent="0.25">
      <c r="A88" s="190"/>
      <c r="B88" s="43" t="str">
        <f>A88&amp;"-"&amp;IF(DAY(Variables!$A$2)&lt;10,0,"")&amp;DAY(Variables!$A$2)</f>
        <v>-07</v>
      </c>
      <c r="C88" s="147"/>
      <c r="D88" s="169"/>
      <c r="E88" s="30"/>
      <c r="F88" s="21" t="e">
        <f>VLOOKUP(B88,'Trips&amp;Operators'!$C$2:$E$10000,3,FALSE)</f>
        <v>#N/A</v>
      </c>
      <c r="G88" s="21" t="e">
        <f>VLOOKUP(B88,'Trips&amp;Operators'!$C$1:$F$10000,4,FALSE)</f>
        <v>#N/A</v>
      </c>
      <c r="H88" s="29" t="e">
        <f>VLOOKUP(B88,'Trips&amp;Operators'!$C$1:$H$10000,5,FALSE)</f>
        <v>#N/A</v>
      </c>
      <c r="I8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8" s="30" t="e">
        <f>VLOOKUP(B88,'Train Runs'!$A$13:$A$99958,1,FALSE)</f>
        <v>#N/A</v>
      </c>
    </row>
    <row r="89" spans="1:10" x14ac:dyDescent="0.25">
      <c r="A89" s="190"/>
      <c r="B89" s="43" t="str">
        <f>A89&amp;"-"&amp;IF(DAY(Variables!$A$2)&lt;10,0,"")&amp;DAY(Variables!$A$2)</f>
        <v>-07</v>
      </c>
      <c r="C89" s="147"/>
      <c r="D89" s="169"/>
      <c r="E89" s="30"/>
      <c r="F89" s="21" t="e">
        <f>VLOOKUP(B89,'Trips&amp;Operators'!$C$2:$E$10000,3,FALSE)</f>
        <v>#N/A</v>
      </c>
      <c r="G89" s="21" t="e">
        <f>VLOOKUP(B89,'Trips&amp;Operators'!$C$1:$F$10000,4,FALSE)</f>
        <v>#N/A</v>
      </c>
      <c r="H89" s="29" t="e">
        <f>VLOOKUP(B89,'Trips&amp;Operators'!$C$1:$H$10000,5,FALSE)</f>
        <v>#N/A</v>
      </c>
      <c r="I8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89" s="30" t="e">
        <f>VLOOKUP(B89,'Train Runs'!$A$13:$A$99958,1,FALSE)</f>
        <v>#N/A</v>
      </c>
    </row>
    <row r="90" spans="1:10" x14ac:dyDescent="0.25">
      <c r="A90" s="190"/>
      <c r="B90" s="43" t="str">
        <f>A90&amp;"-"&amp;IF(DAY(Variables!$A$2)&lt;10,0,"")&amp;DAY(Variables!$A$2)</f>
        <v>-07</v>
      </c>
      <c r="C90" s="147"/>
      <c r="D90" s="169"/>
      <c r="E90" s="30"/>
      <c r="F90" s="21" t="e">
        <f>VLOOKUP(B90,'Trips&amp;Operators'!$C$2:$E$10000,3,FALSE)</f>
        <v>#N/A</v>
      </c>
      <c r="G90" s="21" t="e">
        <f>VLOOKUP(B90,'Trips&amp;Operators'!$C$1:$F$10000,4,FALSE)</f>
        <v>#N/A</v>
      </c>
      <c r="H90" s="29" t="e">
        <f>VLOOKUP(B90,'Trips&amp;Operators'!$C$1:$H$10000,5,FALSE)</f>
        <v>#N/A</v>
      </c>
      <c r="I9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0" s="30" t="e">
        <f>VLOOKUP(B90,'Train Runs'!$A$13:$A$99958,1,FALSE)</f>
        <v>#N/A</v>
      </c>
    </row>
    <row r="91" spans="1:10" x14ac:dyDescent="0.25">
      <c r="A91" s="190"/>
      <c r="B91" s="43" t="str">
        <f>A91&amp;"-"&amp;IF(DAY(Variables!$A$2)&lt;10,0,"")&amp;DAY(Variables!$A$2)</f>
        <v>-07</v>
      </c>
      <c r="C91" s="147"/>
      <c r="D91" s="169"/>
      <c r="E91" s="30"/>
      <c r="F91" s="21" t="e">
        <f>VLOOKUP(B91,'Trips&amp;Operators'!$C$2:$E$10000,3,FALSE)</f>
        <v>#N/A</v>
      </c>
      <c r="G91" s="21" t="e">
        <f>VLOOKUP(B91,'Trips&amp;Operators'!$C$1:$F$10000,4,FALSE)</f>
        <v>#N/A</v>
      </c>
      <c r="H91" s="29" t="e">
        <f>VLOOKUP(B91,'Trips&amp;Operators'!$C$1:$H$10000,5,FALSE)</f>
        <v>#N/A</v>
      </c>
      <c r="I9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1" s="30" t="e">
        <f>VLOOKUP(B91,'Train Runs'!$A$13:$A$99958,1,FALSE)</f>
        <v>#N/A</v>
      </c>
    </row>
    <row r="92" spans="1:10" x14ac:dyDescent="0.25">
      <c r="A92" s="190"/>
      <c r="B92" s="43" t="str">
        <f>A92&amp;"-"&amp;IF(DAY(Variables!$A$2)&lt;10,0,"")&amp;DAY(Variables!$A$2)</f>
        <v>-07</v>
      </c>
      <c r="C92" s="147"/>
      <c r="D92" s="169"/>
      <c r="E92" s="30"/>
      <c r="F92" s="21" t="e">
        <f>VLOOKUP(B92,'Trips&amp;Operators'!$C$2:$E$10000,3,FALSE)</f>
        <v>#N/A</v>
      </c>
      <c r="G92" s="21" t="e">
        <f>VLOOKUP(B92,'Trips&amp;Operators'!$C$1:$F$10000,4,FALSE)</f>
        <v>#N/A</v>
      </c>
      <c r="H92" s="29" t="e">
        <f>VLOOKUP(B92,'Trips&amp;Operators'!$C$1:$H$10000,5,FALSE)</f>
        <v>#N/A</v>
      </c>
      <c r="I9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2" s="30" t="e">
        <f>VLOOKUP(B92,'Train Runs'!$A$13:$A$99958,1,FALSE)</f>
        <v>#N/A</v>
      </c>
    </row>
    <row r="93" spans="1:10" x14ac:dyDescent="0.25">
      <c r="A93" s="190"/>
      <c r="B93" s="43" t="str">
        <f>A93&amp;"-"&amp;IF(DAY(Variables!$A$2)&lt;10,0,"")&amp;DAY(Variables!$A$2)</f>
        <v>-07</v>
      </c>
      <c r="C93" s="147"/>
      <c r="D93" s="169"/>
      <c r="E93" s="30"/>
      <c r="F93" s="21" t="e">
        <f>VLOOKUP(B93,'Trips&amp;Operators'!$C$2:$E$10000,3,FALSE)</f>
        <v>#N/A</v>
      </c>
      <c r="G93" s="21" t="e">
        <f>VLOOKUP(B93,'Trips&amp;Operators'!$C$1:$F$10000,4,FALSE)</f>
        <v>#N/A</v>
      </c>
      <c r="H93" s="29" t="e">
        <f>VLOOKUP(B93,'Trips&amp;Operators'!$C$1:$H$10000,5,FALSE)</f>
        <v>#N/A</v>
      </c>
      <c r="I9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3" s="30" t="e">
        <f>VLOOKUP(B93,'Train Runs'!$A$13:$A$99958,1,FALSE)</f>
        <v>#N/A</v>
      </c>
    </row>
    <row r="94" spans="1:10" x14ac:dyDescent="0.25">
      <c r="A94" s="190"/>
      <c r="B94" s="43" t="str">
        <f>A94&amp;"-"&amp;IF(DAY(Variables!$A$2)&lt;10,0,"")&amp;DAY(Variables!$A$2)</f>
        <v>-07</v>
      </c>
      <c r="C94" s="147"/>
      <c r="D94" s="169"/>
      <c r="E94" s="30"/>
      <c r="F94" s="21" t="e">
        <f>VLOOKUP(B94,'Trips&amp;Operators'!$C$2:$E$10000,3,FALSE)</f>
        <v>#N/A</v>
      </c>
      <c r="G94" s="21" t="e">
        <f>VLOOKUP(B94,'Trips&amp;Operators'!$C$1:$F$10000,4,FALSE)</f>
        <v>#N/A</v>
      </c>
      <c r="H94" s="29" t="e">
        <f>VLOOKUP(B94,'Trips&amp;Operators'!$C$1:$H$10000,5,FALSE)</f>
        <v>#N/A</v>
      </c>
      <c r="I9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4" s="30" t="e">
        <f>VLOOKUP(B94,'Train Runs'!$A$13:$A$99958,1,FALSE)</f>
        <v>#N/A</v>
      </c>
    </row>
    <row r="95" spans="1:10" x14ac:dyDescent="0.25">
      <c r="A95" s="190"/>
      <c r="B95" s="43" t="str">
        <f>A95&amp;"-"&amp;IF(DAY(Variables!$A$2)&lt;10,0,"")&amp;DAY(Variables!$A$2)</f>
        <v>-07</v>
      </c>
      <c r="C95" s="147"/>
      <c r="D95" s="169"/>
      <c r="E95" s="30"/>
      <c r="F95" s="21" t="e">
        <f>VLOOKUP(B95,'Trips&amp;Operators'!$C$2:$E$10000,3,FALSE)</f>
        <v>#N/A</v>
      </c>
      <c r="G95" s="21" t="e">
        <f>VLOOKUP(B95,'Trips&amp;Operators'!$C$1:$F$10000,4,FALSE)</f>
        <v>#N/A</v>
      </c>
      <c r="H95" s="29" t="e">
        <f>VLOOKUP(B95,'Trips&amp;Operators'!$C$1:$H$10000,5,FALSE)</f>
        <v>#N/A</v>
      </c>
      <c r="I9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5" s="30" t="e">
        <f>VLOOKUP(B95,'Train Runs'!$A$13:$A$99958,1,FALSE)</f>
        <v>#N/A</v>
      </c>
    </row>
    <row r="96" spans="1:10" x14ac:dyDescent="0.25">
      <c r="A96" s="190"/>
      <c r="B96" s="43" t="str">
        <f>A96&amp;"-"&amp;IF(DAY(Variables!$A$2)&lt;10,0,"")&amp;DAY(Variables!$A$2)</f>
        <v>-07</v>
      </c>
      <c r="C96" s="147"/>
      <c r="D96" s="169"/>
      <c r="E96" s="30"/>
      <c r="F96" s="21" t="e">
        <f>VLOOKUP(B96,'Trips&amp;Operators'!$C$2:$E$10000,3,FALSE)</f>
        <v>#N/A</v>
      </c>
      <c r="G96" s="21" t="e">
        <f>VLOOKUP(B96,'Trips&amp;Operators'!$C$1:$F$10000,4,FALSE)</f>
        <v>#N/A</v>
      </c>
      <c r="H96" s="29" t="e">
        <f>VLOOKUP(B96,'Trips&amp;Operators'!$C$1:$H$10000,5,FALSE)</f>
        <v>#N/A</v>
      </c>
      <c r="I9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6" s="30" t="e">
        <f>VLOOKUP(B96,'Train Runs'!$A$13:$A$99958,1,FALSE)</f>
        <v>#N/A</v>
      </c>
    </row>
    <row r="97" spans="1:10" x14ac:dyDescent="0.25">
      <c r="A97" s="190"/>
      <c r="B97" s="43" t="str">
        <f>A97&amp;"-"&amp;IF(DAY(Variables!$A$2)&lt;10,0,"")&amp;DAY(Variables!$A$2)</f>
        <v>-07</v>
      </c>
      <c r="C97" s="147"/>
      <c r="D97" s="169"/>
      <c r="E97" s="30"/>
      <c r="F97" s="21" t="e">
        <f>VLOOKUP(B97,'Trips&amp;Operators'!$C$2:$E$10000,3,FALSE)</f>
        <v>#N/A</v>
      </c>
      <c r="G97" s="21" t="e">
        <f>VLOOKUP(B97,'Trips&amp;Operators'!$C$1:$F$10000,4,FALSE)</f>
        <v>#N/A</v>
      </c>
      <c r="H97" s="29" t="e">
        <f>VLOOKUP(B97,'Trips&amp;Operators'!$C$1:$H$10000,5,FALSE)</f>
        <v>#N/A</v>
      </c>
      <c r="I9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7" s="30" t="e">
        <f>VLOOKUP(B97,'Train Runs'!$A$13:$A$99958,1,FALSE)</f>
        <v>#N/A</v>
      </c>
    </row>
    <row r="98" spans="1:10" x14ac:dyDescent="0.25">
      <c r="A98" s="190"/>
      <c r="B98" s="43" t="str">
        <f>A98&amp;"-"&amp;IF(DAY(Variables!$A$2)&lt;10,0,"")&amp;DAY(Variables!$A$2)</f>
        <v>-07</v>
      </c>
      <c r="C98" s="147"/>
      <c r="D98" s="169"/>
      <c r="E98" s="30"/>
      <c r="F98" s="21" t="e">
        <f>VLOOKUP(B98,'Trips&amp;Operators'!$C$2:$E$10000,3,FALSE)</f>
        <v>#N/A</v>
      </c>
      <c r="G98" s="21" t="e">
        <f>VLOOKUP(B98,'Trips&amp;Operators'!$C$1:$F$10000,4,FALSE)</f>
        <v>#N/A</v>
      </c>
      <c r="H98" s="29" t="e">
        <f>VLOOKUP(B98,'Trips&amp;Operators'!$C$1:$H$10000,5,FALSE)</f>
        <v>#N/A</v>
      </c>
      <c r="I9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8" s="30" t="e">
        <f>VLOOKUP(B98,'Train Runs'!$A$13:$A$99958,1,FALSE)</f>
        <v>#N/A</v>
      </c>
    </row>
    <row r="99" spans="1:10" x14ac:dyDescent="0.25">
      <c r="A99" s="190"/>
      <c r="B99" s="43" t="str">
        <f>A99&amp;"-"&amp;IF(DAY(Variables!$A$2)&lt;10,0,"")&amp;DAY(Variables!$A$2)</f>
        <v>-07</v>
      </c>
      <c r="C99" s="147"/>
      <c r="D99" s="169"/>
      <c r="E99" s="30"/>
      <c r="F99" s="21" t="e">
        <f>VLOOKUP(B99,'Trips&amp;Operators'!$C$2:$E$10000,3,FALSE)</f>
        <v>#N/A</v>
      </c>
      <c r="G99" s="21" t="e">
        <f>VLOOKUP(B99,'Trips&amp;Operators'!$C$1:$F$10000,4,FALSE)</f>
        <v>#N/A</v>
      </c>
      <c r="H99" s="29" t="e">
        <f>VLOOKUP(B99,'Trips&amp;Operators'!$C$1:$H$10000,5,FALSE)</f>
        <v>#N/A</v>
      </c>
      <c r="I9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99" s="30" t="e">
        <f>VLOOKUP(B99,'Train Runs'!$A$13:$A$99958,1,FALSE)</f>
        <v>#N/A</v>
      </c>
    </row>
    <row r="100" spans="1:10" x14ac:dyDescent="0.25">
      <c r="A100" s="190"/>
      <c r="B100" s="43" t="str">
        <f>A100&amp;"-"&amp;IF(DAY(Variables!$A$2)&lt;10,0,"")&amp;DAY(Variables!$A$2)</f>
        <v>-07</v>
      </c>
      <c r="C100" s="147"/>
      <c r="D100" s="169"/>
      <c r="E100" s="30"/>
      <c r="F100" s="21" t="e">
        <f>VLOOKUP(B100,'Trips&amp;Operators'!$C$2:$E$10000,3,FALSE)</f>
        <v>#N/A</v>
      </c>
      <c r="G100" s="21" t="e">
        <f>VLOOKUP(B100,'Trips&amp;Operators'!$C$1:$F$10000,4,FALSE)</f>
        <v>#N/A</v>
      </c>
      <c r="H100" s="29" t="e">
        <f>VLOOKUP(B100,'Trips&amp;Operators'!$C$1:$H$10000,5,FALSE)</f>
        <v>#N/A</v>
      </c>
      <c r="I10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0" s="30" t="e">
        <f>VLOOKUP(B100,'Train Runs'!$A$13:$A$99958,1,FALSE)</f>
        <v>#N/A</v>
      </c>
    </row>
    <row r="101" spans="1:10" x14ac:dyDescent="0.25">
      <c r="A101" s="190"/>
      <c r="B101" s="43" t="str">
        <f>A101&amp;"-"&amp;IF(DAY(Variables!$A$2)&lt;10,0,"")&amp;DAY(Variables!$A$2)</f>
        <v>-07</v>
      </c>
      <c r="C101" s="147"/>
      <c r="D101" s="169"/>
      <c r="E101" s="30"/>
      <c r="F101" s="21" t="e">
        <f>VLOOKUP(B101,'Trips&amp;Operators'!$C$2:$E$10000,3,FALSE)</f>
        <v>#N/A</v>
      </c>
      <c r="G101" s="21" t="e">
        <f>VLOOKUP(B101,'Trips&amp;Operators'!$C$1:$F$10000,4,FALSE)</f>
        <v>#N/A</v>
      </c>
      <c r="H101" s="29" t="e">
        <f>VLOOKUP(B101,'Trips&amp;Operators'!$C$1:$H$10000,5,FALSE)</f>
        <v>#N/A</v>
      </c>
      <c r="I10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1" s="30" t="e">
        <f>VLOOKUP(B101,'Train Runs'!$A$13:$A$99958,1,FALSE)</f>
        <v>#N/A</v>
      </c>
    </row>
    <row r="102" spans="1:10" x14ac:dyDescent="0.25">
      <c r="A102" s="190"/>
      <c r="B102" s="43" t="str">
        <f>A102&amp;"-"&amp;IF(DAY(Variables!$A$2)&lt;10,0,"")&amp;DAY(Variables!$A$2)</f>
        <v>-07</v>
      </c>
      <c r="C102" s="147"/>
      <c r="D102" s="169"/>
      <c r="E102" s="30"/>
      <c r="F102" s="21" t="e">
        <f>VLOOKUP(B102,'Trips&amp;Operators'!$C$2:$E$10000,3,FALSE)</f>
        <v>#N/A</v>
      </c>
      <c r="G102" s="21" t="e">
        <f>VLOOKUP(B102,'Trips&amp;Operators'!$C$1:$F$10000,4,FALSE)</f>
        <v>#N/A</v>
      </c>
      <c r="H102" s="29" t="e">
        <f>VLOOKUP(B102,'Trips&amp;Operators'!$C$1:$H$10000,5,FALSE)</f>
        <v>#N/A</v>
      </c>
      <c r="I10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2" s="30" t="e">
        <f>VLOOKUP(B102,'Train Runs'!$A$13:$A$99958,1,FALSE)</f>
        <v>#N/A</v>
      </c>
    </row>
    <row r="103" spans="1:10" x14ac:dyDescent="0.25">
      <c r="A103" s="190"/>
      <c r="B103" s="43" t="str">
        <f>A103&amp;"-"&amp;IF(DAY(Variables!$A$2)&lt;10,0,"")&amp;DAY(Variables!$A$2)</f>
        <v>-07</v>
      </c>
      <c r="C103" s="147"/>
      <c r="D103" s="169"/>
      <c r="E103" s="30"/>
      <c r="F103" s="21" t="e">
        <f>VLOOKUP(B103,'Trips&amp;Operators'!$C$2:$E$10000,3,FALSE)</f>
        <v>#N/A</v>
      </c>
      <c r="G103" s="21" t="e">
        <f>VLOOKUP(B103,'Trips&amp;Operators'!$C$1:$F$10000,4,FALSE)</f>
        <v>#N/A</v>
      </c>
      <c r="H103" s="29" t="e">
        <f>VLOOKUP(B103,'Trips&amp;Operators'!$C$1:$H$10000,5,FALSE)</f>
        <v>#N/A</v>
      </c>
      <c r="I10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3" s="30" t="e">
        <f>VLOOKUP(B103,'Train Runs'!$A$13:$A$99958,1,FALSE)</f>
        <v>#N/A</v>
      </c>
    </row>
    <row r="104" spans="1:10" x14ac:dyDescent="0.25">
      <c r="A104" s="190"/>
      <c r="B104" s="43" t="str">
        <f>A104&amp;"-"&amp;IF(DAY(Variables!$A$2)&lt;10,0,"")&amp;DAY(Variables!$A$2)</f>
        <v>-07</v>
      </c>
      <c r="C104" s="147"/>
      <c r="D104" s="169"/>
      <c r="E104" s="30"/>
      <c r="F104" s="21" t="e">
        <f>VLOOKUP(B104,'Trips&amp;Operators'!$C$2:$E$10000,3,FALSE)</f>
        <v>#N/A</v>
      </c>
      <c r="G104" s="21" t="e">
        <f>VLOOKUP(B104,'Trips&amp;Operators'!$C$1:$F$10000,4,FALSE)</f>
        <v>#N/A</v>
      </c>
      <c r="H104" s="29" t="e">
        <f>VLOOKUP(B104,'Trips&amp;Operators'!$C$1:$H$10000,5,FALSE)</f>
        <v>#N/A</v>
      </c>
      <c r="I104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4" s="30" t="e">
        <f>VLOOKUP(B104,'Train Runs'!$A$13:$A$99958,1,FALSE)</f>
        <v>#N/A</v>
      </c>
    </row>
    <row r="105" spans="1:10" x14ac:dyDescent="0.25">
      <c r="A105" s="190"/>
      <c r="B105" s="43" t="str">
        <f>A105&amp;"-"&amp;IF(DAY(Variables!$A$2)&lt;10,0,"")&amp;DAY(Variables!$A$2)</f>
        <v>-07</v>
      </c>
      <c r="C105" s="147"/>
      <c r="D105" s="169"/>
      <c r="E105" s="30"/>
      <c r="F105" s="21" t="e">
        <f>VLOOKUP(B105,'Trips&amp;Operators'!$C$2:$E$10000,3,FALSE)</f>
        <v>#N/A</v>
      </c>
      <c r="G105" s="21" t="e">
        <f>VLOOKUP(B105,'Trips&amp;Operators'!$C$1:$F$10000,4,FALSE)</f>
        <v>#N/A</v>
      </c>
      <c r="H105" s="29" t="e">
        <f>VLOOKUP(B105,'Trips&amp;Operators'!$C$1:$H$10000,5,FALSE)</f>
        <v>#N/A</v>
      </c>
      <c r="I105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5" s="30" t="e">
        <f>VLOOKUP(B105,'Train Runs'!$A$13:$A$99958,1,FALSE)</f>
        <v>#N/A</v>
      </c>
    </row>
    <row r="106" spans="1:10" x14ac:dyDescent="0.25">
      <c r="A106" s="190"/>
      <c r="B106" s="43" t="str">
        <f>A106&amp;"-"&amp;IF(DAY(Variables!$A$2)&lt;10,0,"")&amp;DAY(Variables!$A$2)</f>
        <v>-07</v>
      </c>
      <c r="C106" s="147"/>
      <c r="D106" s="169"/>
      <c r="E106" s="30"/>
      <c r="F106" s="21" t="e">
        <f>VLOOKUP(B106,'Trips&amp;Operators'!$C$2:$E$10000,3,FALSE)</f>
        <v>#N/A</v>
      </c>
      <c r="G106" s="21" t="e">
        <f>VLOOKUP(B106,'Trips&amp;Operators'!$C$1:$F$10000,4,FALSE)</f>
        <v>#N/A</v>
      </c>
      <c r="H106" s="29" t="e">
        <f>VLOOKUP(B106,'Trips&amp;Operators'!$C$1:$H$10000,5,FALSE)</f>
        <v>#N/A</v>
      </c>
      <c r="I106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6" s="30" t="e">
        <f>VLOOKUP(B106,'Train Runs'!$A$13:$A$99958,1,FALSE)</f>
        <v>#N/A</v>
      </c>
    </row>
    <row r="107" spans="1:10" x14ac:dyDescent="0.25">
      <c r="A107" s="190"/>
      <c r="B107" s="43" t="str">
        <f>A107&amp;"-"&amp;IF(DAY(Variables!$A$2)&lt;10,0,"")&amp;DAY(Variables!$A$2)</f>
        <v>-07</v>
      </c>
      <c r="C107" s="147"/>
      <c r="D107" s="169"/>
      <c r="E107" s="30"/>
      <c r="F107" s="21" t="e">
        <f>VLOOKUP(B107,'Trips&amp;Operators'!$C$2:$E$10000,3,FALSE)</f>
        <v>#N/A</v>
      </c>
      <c r="G107" s="21" t="e">
        <f>VLOOKUP(B107,'Trips&amp;Operators'!$C$1:$F$10000,4,FALSE)</f>
        <v>#N/A</v>
      </c>
      <c r="H107" s="29" t="e">
        <f>VLOOKUP(B107,'Trips&amp;Operators'!$C$1:$H$10000,5,FALSE)</f>
        <v>#N/A</v>
      </c>
      <c r="I107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7" s="30" t="e">
        <f>VLOOKUP(B107,'Train Runs'!$A$13:$A$99958,1,FALSE)</f>
        <v>#N/A</v>
      </c>
    </row>
    <row r="108" spans="1:10" x14ac:dyDescent="0.25">
      <c r="A108" s="190"/>
      <c r="B108" s="43" t="str">
        <f>A108&amp;"-"&amp;IF(DAY(Variables!$A$2)&lt;10,0,"")&amp;DAY(Variables!$A$2)</f>
        <v>-07</v>
      </c>
      <c r="C108" s="147"/>
      <c r="D108" s="169"/>
      <c r="E108" s="30"/>
      <c r="F108" s="21" t="e">
        <f>VLOOKUP(B108,'Trips&amp;Operators'!$C$2:$E$10000,3,FALSE)</f>
        <v>#N/A</v>
      </c>
      <c r="G108" s="21" t="e">
        <f>VLOOKUP(B108,'Trips&amp;Operators'!$C$1:$F$10000,4,FALSE)</f>
        <v>#N/A</v>
      </c>
      <c r="H108" s="29" t="e">
        <f>VLOOKUP(B108,'Trips&amp;Operators'!$C$1:$H$10000,5,FALSE)</f>
        <v>#N/A</v>
      </c>
      <c r="I108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8" s="30" t="e">
        <f>VLOOKUP(B108,'Train Runs'!$A$13:$A$99958,1,FALSE)</f>
        <v>#N/A</v>
      </c>
    </row>
    <row r="109" spans="1:10" x14ac:dyDescent="0.25">
      <c r="A109" s="190"/>
      <c r="B109" s="43" t="str">
        <f>A109&amp;"-"&amp;IF(DAY(Variables!$A$2)&lt;10,0,"")&amp;DAY(Variables!$A$2)</f>
        <v>-07</v>
      </c>
      <c r="C109" s="147"/>
      <c r="D109" s="169"/>
      <c r="E109" s="30"/>
      <c r="F109" s="21" t="e">
        <f>VLOOKUP(B109,'Trips&amp;Operators'!$C$2:$E$10000,3,FALSE)</f>
        <v>#N/A</v>
      </c>
      <c r="G109" s="21" t="e">
        <f>VLOOKUP(B109,'Trips&amp;Operators'!$C$1:$F$10000,4,FALSE)</f>
        <v>#N/A</v>
      </c>
      <c r="H109" s="29" t="e">
        <f>VLOOKUP(B109,'Trips&amp;Operators'!$C$1:$H$10000,5,FALSE)</f>
        <v>#N/A</v>
      </c>
      <c r="I109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09" s="30" t="e">
        <f>VLOOKUP(B109,'Train Runs'!$A$13:$A$99958,1,FALSE)</f>
        <v>#N/A</v>
      </c>
    </row>
    <row r="110" spans="1:10" x14ac:dyDescent="0.25">
      <c r="A110" s="190"/>
      <c r="B110" s="43" t="str">
        <f>A110&amp;"-"&amp;IF(DAY(Variables!$A$2)&lt;10,0,"")&amp;DAY(Variables!$A$2)</f>
        <v>-07</v>
      </c>
      <c r="C110" s="147"/>
      <c r="D110" s="169"/>
      <c r="E110" s="30"/>
      <c r="F110" s="21" t="e">
        <f>VLOOKUP(B110,'Trips&amp;Operators'!$C$2:$E$10000,3,FALSE)</f>
        <v>#N/A</v>
      </c>
      <c r="G110" s="21" t="e">
        <f>VLOOKUP(B110,'Trips&amp;Operators'!$C$1:$F$10000,4,FALSE)</f>
        <v>#N/A</v>
      </c>
      <c r="H110" s="29" t="e">
        <f>VLOOKUP(B110,'Trips&amp;Operators'!$C$1:$H$10000,5,FALSE)</f>
        <v>#N/A</v>
      </c>
      <c r="I110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0" s="30" t="e">
        <f>VLOOKUP(B110,'Train Runs'!$A$13:$A$99958,1,FALSE)</f>
        <v>#N/A</v>
      </c>
    </row>
    <row r="111" spans="1:10" x14ac:dyDescent="0.25">
      <c r="A111" s="190"/>
      <c r="B111" s="43" t="str">
        <f>A111&amp;"-"&amp;IF(DAY(Variables!$A$2)&lt;10,0,"")&amp;DAY(Variables!$A$2)</f>
        <v>-07</v>
      </c>
      <c r="C111" s="147"/>
      <c r="D111" s="169"/>
      <c r="E111" s="30"/>
      <c r="F111" s="21" t="e">
        <f>VLOOKUP(B111,'Trips&amp;Operators'!$C$2:$E$10000,3,FALSE)</f>
        <v>#N/A</v>
      </c>
      <c r="G111" s="21" t="e">
        <f>VLOOKUP(B111,'Trips&amp;Operators'!$C$1:$F$10000,4,FALSE)</f>
        <v>#N/A</v>
      </c>
      <c r="H111" s="29" t="e">
        <f>VLOOKUP(B111,'Trips&amp;Operators'!$C$1:$H$10000,5,FALSE)</f>
        <v>#N/A</v>
      </c>
      <c r="I111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1" s="30" t="e">
        <f>VLOOKUP(B111,'Train Runs'!$A$13:$A$99958,1,FALSE)</f>
        <v>#N/A</v>
      </c>
    </row>
    <row r="112" spans="1:10" x14ac:dyDescent="0.25">
      <c r="A112" s="190"/>
      <c r="B112" s="43" t="str">
        <f>A112&amp;"-"&amp;IF(DAY(Variables!$A$2)&lt;10,0,"")&amp;DAY(Variables!$A$2)</f>
        <v>-07</v>
      </c>
      <c r="C112" s="147"/>
      <c r="D112" s="169"/>
      <c r="E112" s="30"/>
      <c r="F112" s="21" t="e">
        <f>VLOOKUP(B112,'Trips&amp;Operators'!$C$2:$E$10000,3,FALSE)</f>
        <v>#N/A</v>
      </c>
      <c r="G112" s="21" t="e">
        <f>VLOOKUP(B112,'Trips&amp;Operators'!$C$1:$F$10000,4,FALSE)</f>
        <v>#N/A</v>
      </c>
      <c r="H112" s="29" t="e">
        <f>VLOOKUP(B112,'Trips&amp;Operators'!$C$1:$H$10000,5,FALSE)</f>
        <v>#N/A</v>
      </c>
      <c r="I112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2" s="30" t="e">
        <f>VLOOKUP(B112,'Train Runs'!$A$13:$A$99958,1,FALSE)</f>
        <v>#N/A</v>
      </c>
    </row>
    <row r="113" spans="1:10" x14ac:dyDescent="0.25">
      <c r="A113" s="190"/>
      <c r="B113" s="43" t="str">
        <f>A113&amp;"-"&amp;IF(DAY(Variables!$A$2)&lt;10,0,"")&amp;DAY(Variables!$A$2)</f>
        <v>-07</v>
      </c>
      <c r="C113" s="147"/>
      <c r="D113" s="169"/>
      <c r="E113" s="30"/>
      <c r="F113" s="21" t="e">
        <f>VLOOKUP(B113,'Trips&amp;Operators'!$C$2:$E$10000,3,FALSE)</f>
        <v>#N/A</v>
      </c>
      <c r="G113" s="21" t="e">
        <f>VLOOKUP(B113,'Trips&amp;Operators'!$C$1:$F$10000,4,FALSE)</f>
        <v>#N/A</v>
      </c>
      <c r="H113" s="29" t="e">
        <f>VLOOKUP(B113,'Trips&amp;Operators'!$C$1:$H$10000,5,FALSE)</f>
        <v>#N/A</v>
      </c>
      <c r="I113" s="46" t="str">
        <f t="shared" si="1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3" s="30" t="e">
        <f>VLOOKUP(B113,'Train Runs'!$A$13:$A$99958,1,FALSE)</f>
        <v>#N/A</v>
      </c>
    </row>
    <row r="114" spans="1:10" x14ac:dyDescent="0.25">
      <c r="A114" s="190"/>
      <c r="B114" s="43" t="str">
        <f>A114&amp;"-"&amp;IF(DAY(Variables!$A$2)&lt;10,0,"")&amp;DAY(Variables!$A$2)</f>
        <v>-07</v>
      </c>
      <c r="C114" s="147"/>
      <c r="D114" s="169"/>
      <c r="E114" s="30"/>
      <c r="F114" s="21" t="e">
        <f>VLOOKUP(B114,'Trips&amp;Operators'!$C$2:$E$10000,3,FALSE)</f>
        <v>#N/A</v>
      </c>
      <c r="G114" s="21" t="e">
        <f>VLOOKUP(B114,'Trips&amp;Operators'!$C$1:$F$10000,4,FALSE)</f>
        <v>#N/A</v>
      </c>
      <c r="H114" s="29" t="e">
        <f>VLOOKUP(B114,'Trips&amp;Operators'!$C$1:$H$10000,5,FALSE)</f>
        <v>#N/A</v>
      </c>
      <c r="I114" s="46" t="str">
        <f t="shared" ref="I114:I120" si="2">"https://d0f6bd738d7f1b3e5a7ca70fe4ff75f0.us-east-1.aws.found.io/app/kibana#/discover/Steve-Slow-Train-Analysis-(2080s-and-2083s)?_g="&amp;"(refreshInterval:(display:Off,pause:!f,section:0,value:0),time:(from:now-7d,mode:quick,to:now))&amp;_a=(columns:!('Locomotive%20ID','Data.Train%20ID','Message%20ID'),filters:!(),"&amp;"index:'emp_*',interval:auto,query:(query_string:(analyze_wildcard:!t,query:%22"&amp;B114&amp;"%22)),sort:!(Time.ISO8601,asc))"</f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4" s="30" t="e">
        <f>VLOOKUP(B114,'Train Runs'!$A$13:$A$99958,1,FALSE)</f>
        <v>#N/A</v>
      </c>
    </row>
    <row r="115" spans="1:10" x14ac:dyDescent="0.25">
      <c r="A115" s="190"/>
      <c r="B115" s="43" t="str">
        <f>A115&amp;"-"&amp;IF(DAY(Variables!$A$2)&lt;10,0,"")&amp;DAY(Variables!$A$2)</f>
        <v>-07</v>
      </c>
      <c r="C115" s="147"/>
      <c r="D115" s="169"/>
      <c r="E115" s="30"/>
      <c r="F115" s="21" t="e">
        <f>VLOOKUP(B115,'Trips&amp;Operators'!$C$2:$E$10000,3,FALSE)</f>
        <v>#N/A</v>
      </c>
      <c r="G115" s="21" t="e">
        <f>VLOOKUP(B115,'Trips&amp;Operators'!$C$1:$F$10000,4,FALSE)</f>
        <v>#N/A</v>
      </c>
      <c r="H115" s="29" t="e">
        <f>VLOOKUP(B115,'Trips&amp;Operators'!$C$1:$H$10000,5,FALSE)</f>
        <v>#N/A</v>
      </c>
      <c r="I115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5" s="30" t="e">
        <f>VLOOKUP(B115,'Train Runs'!$A$13:$A$99958,1,FALSE)</f>
        <v>#N/A</v>
      </c>
    </row>
    <row r="116" spans="1:10" x14ac:dyDescent="0.25">
      <c r="A116" s="190"/>
      <c r="B116" s="43" t="str">
        <f>A116&amp;"-"&amp;IF(DAY(Variables!$A$2)&lt;10,0,"")&amp;DAY(Variables!$A$2)</f>
        <v>-07</v>
      </c>
      <c r="C116" s="147"/>
      <c r="D116" s="169"/>
      <c r="E116" s="30"/>
      <c r="F116" s="21" t="e">
        <f>VLOOKUP(B116,'Trips&amp;Operators'!$C$2:$E$10000,3,FALSE)</f>
        <v>#N/A</v>
      </c>
      <c r="G116" s="21" t="e">
        <f>VLOOKUP(B116,'Trips&amp;Operators'!$C$1:$F$10000,4,FALSE)</f>
        <v>#N/A</v>
      </c>
      <c r="H116" s="29" t="e">
        <f>VLOOKUP(B116,'Trips&amp;Operators'!$C$1:$H$10000,5,FALSE)</f>
        <v>#N/A</v>
      </c>
      <c r="I116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6" s="30" t="e">
        <f>VLOOKUP(B116,'Train Runs'!$A$13:$A$99958,1,FALSE)</f>
        <v>#N/A</v>
      </c>
    </row>
    <row r="117" spans="1:10" x14ac:dyDescent="0.25">
      <c r="A117" s="190"/>
      <c r="B117" s="43" t="str">
        <f>A117&amp;"-"&amp;IF(DAY(Variables!$A$2)&lt;10,0,"")&amp;DAY(Variables!$A$2)</f>
        <v>-07</v>
      </c>
      <c r="C117" s="147"/>
      <c r="D117" s="169"/>
      <c r="E117" s="30"/>
      <c r="F117" s="21" t="e">
        <f>VLOOKUP(B117,'Trips&amp;Operators'!$C$2:$E$10000,3,FALSE)</f>
        <v>#N/A</v>
      </c>
      <c r="G117" s="21" t="e">
        <f>VLOOKUP(B117,'Trips&amp;Operators'!$C$1:$F$10000,4,FALSE)</f>
        <v>#N/A</v>
      </c>
      <c r="H117" s="29" t="e">
        <f>VLOOKUP(B117,'Trips&amp;Operators'!$C$1:$H$10000,5,FALSE)</f>
        <v>#N/A</v>
      </c>
      <c r="I117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7" s="30" t="e">
        <f>VLOOKUP(B117,'Train Runs'!$A$13:$A$99958,1,FALSE)</f>
        <v>#N/A</v>
      </c>
    </row>
    <row r="118" spans="1:10" x14ac:dyDescent="0.25">
      <c r="A118" s="190"/>
      <c r="B118" s="43" t="str">
        <f>A118&amp;"-"&amp;IF(DAY(Variables!$A$2)&lt;10,0,"")&amp;DAY(Variables!$A$2)</f>
        <v>-07</v>
      </c>
      <c r="C118" s="147"/>
      <c r="D118" s="169"/>
      <c r="E118" s="30"/>
      <c r="F118" s="21" t="e">
        <f>VLOOKUP(B118,'Trips&amp;Operators'!$C$2:$E$10000,3,FALSE)</f>
        <v>#N/A</v>
      </c>
      <c r="G118" s="21" t="e">
        <f>VLOOKUP(B118,'Trips&amp;Operators'!$C$1:$F$10000,4,FALSE)</f>
        <v>#N/A</v>
      </c>
      <c r="H118" s="29" t="e">
        <f>VLOOKUP(B118,'Trips&amp;Operators'!$C$1:$H$10000,5,FALSE)</f>
        <v>#N/A</v>
      </c>
      <c r="I118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8" s="30" t="e">
        <f>VLOOKUP(B118,'Train Runs'!$A$13:$A$99958,1,FALSE)</f>
        <v>#N/A</v>
      </c>
    </row>
    <row r="119" spans="1:10" x14ac:dyDescent="0.25">
      <c r="A119" s="190"/>
      <c r="B119" s="43" t="str">
        <f>A119&amp;"-"&amp;IF(DAY(Variables!$A$2)&lt;10,0,"")&amp;DAY(Variables!$A$2)</f>
        <v>-07</v>
      </c>
      <c r="C119" s="147"/>
      <c r="D119" s="169"/>
      <c r="E119" s="30"/>
      <c r="F119" s="21" t="e">
        <f>VLOOKUP(B119,'Trips&amp;Operators'!$C$2:$E$10000,3,FALSE)</f>
        <v>#N/A</v>
      </c>
      <c r="G119" s="21" t="e">
        <f>VLOOKUP(B119,'Trips&amp;Operators'!$C$1:$F$10000,4,FALSE)</f>
        <v>#N/A</v>
      </c>
      <c r="H119" s="29" t="e">
        <f>VLOOKUP(B119,'Trips&amp;Operators'!$C$1:$H$10000,5,FALSE)</f>
        <v>#N/A</v>
      </c>
      <c r="I119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19" s="30" t="e">
        <f>VLOOKUP(B119,'Train Runs'!$A$13:$A$99958,1,FALSE)</f>
        <v>#N/A</v>
      </c>
    </row>
    <row r="120" spans="1:10" x14ac:dyDescent="0.25">
      <c r="A120" s="190"/>
      <c r="B120" s="43" t="str">
        <f>A120&amp;"-"&amp;IF(DAY(Variables!$A$2)&lt;10,0,"")&amp;DAY(Variables!$A$2)</f>
        <v>-07</v>
      </c>
      <c r="C120" s="147"/>
      <c r="D120" s="169"/>
      <c r="E120" s="30"/>
      <c r="F120" s="21" t="e">
        <f>VLOOKUP(B120,'Trips&amp;Operators'!$C$2:$E$10000,3,FALSE)</f>
        <v>#N/A</v>
      </c>
      <c r="G120" s="21" t="e">
        <f>VLOOKUP(B120,'Trips&amp;Operators'!$C$1:$F$10000,4,FALSE)</f>
        <v>#N/A</v>
      </c>
      <c r="H120" s="29" t="e">
        <f>VLOOKUP(B120,'Trips&amp;Operators'!$C$1:$H$10000,5,FALSE)</f>
        <v>#N/A</v>
      </c>
      <c r="I120" s="46" t="str">
        <f t="shared" si="2"/>
        <v>https://d0f6bd738d7f1b3e5a7ca70fe4ff75f0.us-east-1.aws.found.io/app/kibana#/discover/Steve-Slow-Train-Analysis-(2080s-and-2083s)?_g=(refreshInterval:(display:Off,pause:!f,section:0,value:0),time:(from:now-7d,mode:quick,to:now))&amp;_a=(columns:!('Locomotive%20ID','Data.Train%20ID','Message%20ID'),filters:!(),index:'emp_*',interval:auto,query:(query_string:(analyze_wildcard:!t,query:%22-07%22)),sort:!(Time.ISO8601,asc))</v>
      </c>
      <c r="J120" s="30" t="e">
        <f>VLOOKUP(B120,'Train Runs'!$A$13:$A$99958,1,FALSE)</f>
        <v>#N/A</v>
      </c>
    </row>
  </sheetData>
  <autoFilter ref="A2:J120"/>
  <mergeCells count="1">
    <mergeCell ref="B1:F1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topLeftCell="A218" workbookViewId="0">
      <selection sqref="A1:F234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50" customWidth="1"/>
    <col min="5" max="5" width="19.7109375" bestFit="1" customWidth="1"/>
    <col min="6" max="6" width="17" style="20" bestFit="1" customWidth="1"/>
    <col min="7" max="7" width="18.28515625" style="8" bestFit="1" customWidth="1"/>
  </cols>
  <sheetData>
    <row r="1" spans="1:7" s="20" customFormat="1" x14ac:dyDescent="0.25">
      <c r="A1" s="8" t="s">
        <v>174</v>
      </c>
      <c r="B1" s="20" t="s">
        <v>175</v>
      </c>
      <c r="C1" s="20" t="s">
        <v>0</v>
      </c>
      <c r="D1" s="150" t="s">
        <v>176</v>
      </c>
      <c r="E1" s="20" t="s">
        <v>177</v>
      </c>
      <c r="F1" s="20" t="s">
        <v>204</v>
      </c>
      <c r="G1" s="8" t="s">
        <v>203</v>
      </c>
    </row>
    <row r="2" spans="1:7" x14ac:dyDescent="0.25">
      <c r="A2" s="8">
        <v>42773.037060185183</v>
      </c>
      <c r="B2" s="20" t="s">
        <v>336</v>
      </c>
      <c r="C2" s="20" t="s">
        <v>411</v>
      </c>
      <c r="D2" s="150">
        <v>2000000</v>
      </c>
      <c r="E2" s="20" t="s">
        <v>263</v>
      </c>
      <c r="F2" s="20" t="s">
        <v>202</v>
      </c>
      <c r="G2" s="8" t="str">
        <f>E2&amp;" "&amp;F2</f>
        <v>STAMBAUGH JAMES</v>
      </c>
    </row>
    <row r="3" spans="1:7" x14ac:dyDescent="0.25">
      <c r="A3" s="8">
        <v>42773.044374999998</v>
      </c>
      <c r="B3" s="20" t="s">
        <v>409</v>
      </c>
      <c r="C3" s="20" t="s">
        <v>410</v>
      </c>
      <c r="D3" s="150">
        <v>2710000</v>
      </c>
      <c r="E3" s="20" t="s">
        <v>341</v>
      </c>
      <c r="F3" s="20" t="s">
        <v>342</v>
      </c>
      <c r="G3" s="8" t="str">
        <f t="shared" ref="G3:G66" si="0">E3&amp;" "&amp;F3</f>
        <v>SIMMONS SHYHESHA</v>
      </c>
    </row>
    <row r="4" spans="1:7" x14ac:dyDescent="0.25">
      <c r="A4" s="8">
        <v>42773.047384259262</v>
      </c>
      <c r="B4" s="20" t="s">
        <v>316</v>
      </c>
      <c r="C4" s="20" t="s">
        <v>412</v>
      </c>
      <c r="D4" s="150">
        <v>2230000</v>
      </c>
      <c r="E4" s="20" t="s">
        <v>338</v>
      </c>
      <c r="F4" s="20" t="s">
        <v>206</v>
      </c>
      <c r="G4" s="8" t="str">
        <f t="shared" si="0"/>
        <v>SMITH MICHAEL</v>
      </c>
    </row>
    <row r="5" spans="1:7" x14ac:dyDescent="0.25">
      <c r="A5" s="8">
        <v>42773.051516203705</v>
      </c>
      <c r="B5" s="20" t="s">
        <v>276</v>
      </c>
      <c r="C5" s="20" t="s">
        <v>413</v>
      </c>
      <c r="D5" s="150">
        <v>1740000</v>
      </c>
      <c r="E5" s="20" t="s">
        <v>240</v>
      </c>
      <c r="F5" s="20" t="s">
        <v>241</v>
      </c>
      <c r="G5" s="8" t="str">
        <f t="shared" si="0"/>
        <v>STORY SAMANTHA</v>
      </c>
    </row>
    <row r="6" spans="1:7" x14ac:dyDescent="0.25">
      <c r="A6" s="8">
        <v>42773.058715277781</v>
      </c>
      <c r="B6" s="20" t="s">
        <v>262</v>
      </c>
      <c r="C6" s="20" t="s">
        <v>414</v>
      </c>
      <c r="D6" s="150">
        <v>2710000</v>
      </c>
      <c r="E6" s="20" t="s">
        <v>341</v>
      </c>
      <c r="F6" s="20" t="s">
        <v>342</v>
      </c>
      <c r="G6" s="8" t="str">
        <f t="shared" si="0"/>
        <v>SIMMONS SHYHESHA</v>
      </c>
    </row>
    <row r="7" spans="1:7" x14ac:dyDescent="0.25">
      <c r="A7" s="8">
        <v>42773.068032407406</v>
      </c>
      <c r="B7" s="20" t="s">
        <v>395</v>
      </c>
      <c r="C7" s="20" t="s">
        <v>415</v>
      </c>
      <c r="D7" s="150">
        <v>2000000</v>
      </c>
      <c r="E7" s="20" t="s">
        <v>263</v>
      </c>
      <c r="F7" s="20" t="s">
        <v>202</v>
      </c>
      <c r="G7" s="8" t="str">
        <f t="shared" si="0"/>
        <v>STAMBAUGH JAMES</v>
      </c>
    </row>
    <row r="8" spans="1:7" x14ac:dyDescent="0.25">
      <c r="A8" s="8">
        <v>42773.068391203706</v>
      </c>
      <c r="B8" s="20" t="s">
        <v>409</v>
      </c>
      <c r="C8" s="20" t="s">
        <v>410</v>
      </c>
      <c r="D8" s="150">
        <v>2710000</v>
      </c>
      <c r="E8" s="20" t="s">
        <v>341</v>
      </c>
      <c r="F8" s="20" t="s">
        <v>342</v>
      </c>
      <c r="G8" s="8" t="str">
        <f t="shared" si="0"/>
        <v>SIMMONS SHYHESHA</v>
      </c>
    </row>
    <row r="9" spans="1:7" ht="15.75" thickBot="1" x14ac:dyDescent="0.3">
      <c r="A9" s="24">
        <v>42773.082175925927</v>
      </c>
      <c r="B9" s="20" t="s">
        <v>262</v>
      </c>
      <c r="C9" s="20" t="s">
        <v>414</v>
      </c>
      <c r="D9" s="150">
        <v>2710000</v>
      </c>
      <c r="E9" s="20" t="s">
        <v>341</v>
      </c>
      <c r="F9" s="20" t="s">
        <v>342</v>
      </c>
      <c r="G9" s="8" t="str">
        <f t="shared" si="0"/>
        <v>SIMMONS SHYHESHA</v>
      </c>
    </row>
    <row r="10" spans="1:7" x14ac:dyDescent="0.25">
      <c r="A10" s="8">
        <v>42773.088877314818</v>
      </c>
      <c r="B10" s="20" t="s">
        <v>275</v>
      </c>
      <c r="C10" s="20" t="s">
        <v>416</v>
      </c>
      <c r="D10" s="150">
        <v>1740000</v>
      </c>
      <c r="E10" s="20" t="s">
        <v>240</v>
      </c>
      <c r="F10" s="20" t="s">
        <v>241</v>
      </c>
      <c r="G10" s="8" t="str">
        <f t="shared" si="0"/>
        <v>STORY SAMANTHA</v>
      </c>
    </row>
    <row r="11" spans="1:7" x14ac:dyDescent="0.25">
      <c r="A11" s="8">
        <v>42773.094236111108</v>
      </c>
      <c r="B11" s="20" t="s">
        <v>409</v>
      </c>
      <c r="C11" s="20" t="s">
        <v>410</v>
      </c>
      <c r="D11" s="150">
        <v>2710000</v>
      </c>
      <c r="E11" s="20" t="s">
        <v>341</v>
      </c>
      <c r="F11" s="20" t="s">
        <v>342</v>
      </c>
      <c r="G11" s="8" t="str">
        <f t="shared" si="0"/>
        <v>SIMMONS SHYHESHA</v>
      </c>
    </row>
    <row r="12" spans="1:7" x14ac:dyDescent="0.25">
      <c r="A12" s="8">
        <v>42773.105312500003</v>
      </c>
      <c r="B12" s="20" t="s">
        <v>262</v>
      </c>
      <c r="C12" s="20" t="s">
        <v>414</v>
      </c>
      <c r="D12" s="150">
        <v>2710000</v>
      </c>
      <c r="E12" s="20" t="s">
        <v>341</v>
      </c>
      <c r="F12" s="20" t="s">
        <v>342</v>
      </c>
      <c r="G12" s="8" t="str">
        <f t="shared" si="0"/>
        <v>SIMMONS SHYHESHA</v>
      </c>
    </row>
    <row r="13" spans="1:7" x14ac:dyDescent="0.25">
      <c r="A13" s="8">
        <v>42773.113969907405</v>
      </c>
      <c r="B13" s="20" t="s">
        <v>409</v>
      </c>
      <c r="C13" s="20" t="s">
        <v>410</v>
      </c>
      <c r="D13" s="150">
        <v>2710000</v>
      </c>
      <c r="E13" s="20" t="s">
        <v>341</v>
      </c>
      <c r="F13" s="20" t="s">
        <v>342</v>
      </c>
      <c r="G13" s="8" t="str">
        <f t="shared" si="0"/>
        <v>SIMMONS SHYHESHA</v>
      </c>
    </row>
    <row r="14" spans="1:7" x14ac:dyDescent="0.25">
      <c r="A14" s="8">
        <v>42773.121666666666</v>
      </c>
      <c r="B14" s="20" t="s">
        <v>262</v>
      </c>
      <c r="C14" s="20" t="s">
        <v>414</v>
      </c>
      <c r="D14" s="150">
        <v>2710000</v>
      </c>
      <c r="E14" s="20" t="s">
        <v>341</v>
      </c>
      <c r="F14" s="20" t="s">
        <v>342</v>
      </c>
      <c r="G14" s="8" t="str">
        <f t="shared" si="0"/>
        <v>SIMMONS SHYHESHA</v>
      </c>
    </row>
    <row r="15" spans="1:7" x14ac:dyDescent="0.25">
      <c r="A15" s="8">
        <v>42773.121666666666</v>
      </c>
      <c r="B15" s="20" t="s">
        <v>363</v>
      </c>
      <c r="C15" s="20" t="s">
        <v>496</v>
      </c>
      <c r="D15" s="150">
        <v>2110000</v>
      </c>
      <c r="E15" s="20" t="s">
        <v>497</v>
      </c>
      <c r="F15" s="20" t="s">
        <v>498</v>
      </c>
      <c r="G15" s="8" t="str">
        <f t="shared" si="0"/>
        <v>OUN ZACK</v>
      </c>
    </row>
    <row r="16" spans="1:7" x14ac:dyDescent="0.25">
      <c r="A16" s="8">
        <v>42773.133275462962</v>
      </c>
      <c r="B16" s="20" t="s">
        <v>237</v>
      </c>
      <c r="C16" s="20" t="s">
        <v>499</v>
      </c>
      <c r="D16" s="150">
        <v>2110000</v>
      </c>
      <c r="E16" s="20" t="s">
        <v>497</v>
      </c>
      <c r="F16" s="20" t="s">
        <v>498</v>
      </c>
      <c r="G16" s="8" t="str">
        <f t="shared" si="0"/>
        <v>OUN ZACK</v>
      </c>
    </row>
    <row r="17" spans="1:7" x14ac:dyDescent="0.25">
      <c r="A17" s="8">
        <v>42773.135324074072</v>
      </c>
      <c r="B17" s="20" t="s">
        <v>409</v>
      </c>
      <c r="C17" s="20" t="s">
        <v>410</v>
      </c>
      <c r="D17" s="150">
        <v>2710000</v>
      </c>
      <c r="E17" s="20" t="s">
        <v>341</v>
      </c>
      <c r="F17" s="20" t="s">
        <v>342</v>
      </c>
      <c r="G17" s="8" t="str">
        <f t="shared" si="0"/>
        <v>SIMMONS SHYHESHA</v>
      </c>
    </row>
    <row r="18" spans="1:7" x14ac:dyDescent="0.25">
      <c r="A18" s="8">
        <v>42773.144270833334</v>
      </c>
      <c r="B18" s="20" t="s">
        <v>262</v>
      </c>
      <c r="C18" s="20" t="s">
        <v>414</v>
      </c>
      <c r="D18" s="150">
        <v>2710000</v>
      </c>
      <c r="E18" s="20" t="s">
        <v>341</v>
      </c>
      <c r="F18" s="20" t="s">
        <v>342</v>
      </c>
      <c r="G18" s="8" t="str">
        <f t="shared" si="0"/>
        <v>SIMMONS SHYHESHA</v>
      </c>
    </row>
    <row r="19" spans="1:7" x14ac:dyDescent="0.25">
      <c r="A19" s="8">
        <v>42773.145543981482</v>
      </c>
      <c r="B19" s="20" t="s">
        <v>223</v>
      </c>
      <c r="C19" s="20" t="s">
        <v>500</v>
      </c>
      <c r="D19" s="150">
        <v>2010000</v>
      </c>
      <c r="E19" s="20" t="s">
        <v>501</v>
      </c>
      <c r="F19" s="20" t="s">
        <v>502</v>
      </c>
      <c r="G19" s="8" t="str">
        <f t="shared" si="0"/>
        <v>MAELZER KURT</v>
      </c>
    </row>
    <row r="20" spans="1:7" x14ac:dyDescent="0.25">
      <c r="A20" s="8">
        <v>42773.154699074075</v>
      </c>
      <c r="B20" s="20" t="s">
        <v>359</v>
      </c>
      <c r="C20" s="20" t="s">
        <v>503</v>
      </c>
      <c r="D20" s="150">
        <v>2010000</v>
      </c>
      <c r="E20" s="20" t="s">
        <v>501</v>
      </c>
      <c r="F20" s="20" t="s">
        <v>502</v>
      </c>
      <c r="G20" s="8" t="str">
        <f t="shared" si="0"/>
        <v>MAELZER KURT</v>
      </c>
    </row>
    <row r="21" spans="1:7" x14ac:dyDescent="0.25">
      <c r="A21" s="8">
        <v>42773.157546296294</v>
      </c>
      <c r="B21" s="20" t="s">
        <v>477</v>
      </c>
      <c r="C21" s="20" t="s">
        <v>504</v>
      </c>
      <c r="D21" s="150">
        <v>1230000</v>
      </c>
      <c r="E21" s="20" t="s">
        <v>396</v>
      </c>
      <c r="F21" s="20" t="s">
        <v>397</v>
      </c>
      <c r="G21" s="8" t="str">
        <f t="shared" si="0"/>
        <v>YANAI IAN</v>
      </c>
    </row>
    <row r="22" spans="1:7" x14ac:dyDescent="0.25">
      <c r="A22" s="26">
        <v>42773.159085648149</v>
      </c>
      <c r="B22" s="20" t="s">
        <v>409</v>
      </c>
      <c r="C22" s="20" t="s">
        <v>410</v>
      </c>
      <c r="D22" s="150">
        <v>2710000</v>
      </c>
      <c r="E22" s="20" t="s">
        <v>341</v>
      </c>
      <c r="F22" s="20" t="s">
        <v>342</v>
      </c>
      <c r="G22" s="8" t="str">
        <f t="shared" si="0"/>
        <v>SIMMONS SHYHESHA</v>
      </c>
    </row>
    <row r="23" spans="1:7" x14ac:dyDescent="0.25">
      <c r="A23" s="8">
        <v>42773.167013888888</v>
      </c>
      <c r="B23" s="20" t="s">
        <v>228</v>
      </c>
      <c r="C23" s="20" t="s">
        <v>505</v>
      </c>
      <c r="D23" s="150">
        <v>1230000</v>
      </c>
      <c r="E23" s="20" t="s">
        <v>396</v>
      </c>
      <c r="F23" s="20" t="s">
        <v>397</v>
      </c>
      <c r="G23" s="8" t="str">
        <f t="shared" si="0"/>
        <v>YANAI IAN</v>
      </c>
    </row>
    <row r="24" spans="1:7" x14ac:dyDescent="0.25">
      <c r="A24" s="8">
        <v>42773.169722222221</v>
      </c>
      <c r="B24" s="20" t="s">
        <v>363</v>
      </c>
      <c r="C24" s="20" t="s">
        <v>506</v>
      </c>
      <c r="D24" s="150">
        <v>2110000</v>
      </c>
      <c r="E24" s="20" t="s">
        <v>497</v>
      </c>
      <c r="F24" s="20" t="s">
        <v>498</v>
      </c>
      <c r="G24" s="8" t="str">
        <f t="shared" si="0"/>
        <v>OUN ZACK</v>
      </c>
    </row>
    <row r="25" spans="1:7" x14ac:dyDescent="0.25">
      <c r="A25" s="8">
        <v>42773.183495370373</v>
      </c>
      <c r="B25" s="20" t="s">
        <v>362</v>
      </c>
      <c r="C25" s="20" t="s">
        <v>507</v>
      </c>
      <c r="D25" s="150">
        <v>940000</v>
      </c>
      <c r="E25" s="20" t="s">
        <v>508</v>
      </c>
      <c r="F25" s="20" t="s">
        <v>509</v>
      </c>
      <c r="G25" s="8" t="str">
        <f t="shared" si="0"/>
        <v>BONDS REYNALDO</v>
      </c>
    </row>
    <row r="26" spans="1:7" x14ac:dyDescent="0.25">
      <c r="A26" s="8">
        <v>42773.187534722223</v>
      </c>
      <c r="B26" s="20" t="s">
        <v>223</v>
      </c>
      <c r="C26" s="20" t="s">
        <v>510</v>
      </c>
      <c r="D26" s="150">
        <v>2010000</v>
      </c>
      <c r="E26" s="20" t="s">
        <v>501</v>
      </c>
      <c r="F26" s="20" t="s">
        <v>502</v>
      </c>
      <c r="G26" s="8" t="str">
        <f t="shared" si="0"/>
        <v>MAELZER KURT</v>
      </c>
    </row>
    <row r="27" spans="1:7" x14ac:dyDescent="0.25">
      <c r="A27" s="8">
        <v>42773.196805555555</v>
      </c>
      <c r="B27" s="20" t="s">
        <v>192</v>
      </c>
      <c r="C27" s="20" t="s">
        <v>465</v>
      </c>
      <c r="D27" s="150">
        <v>1990000</v>
      </c>
      <c r="E27" s="20" t="s">
        <v>364</v>
      </c>
      <c r="F27" s="20" t="s">
        <v>365</v>
      </c>
      <c r="G27" s="8" t="str">
        <f t="shared" si="0"/>
        <v>DAVIS WENDY</v>
      </c>
    </row>
    <row r="28" spans="1:7" x14ac:dyDescent="0.25">
      <c r="A28" s="8">
        <v>42773.197847222225</v>
      </c>
      <c r="B28" s="20" t="s">
        <v>289</v>
      </c>
      <c r="C28" s="20" t="s">
        <v>464</v>
      </c>
      <c r="D28" s="150">
        <v>1340000</v>
      </c>
      <c r="E28" s="20" t="s">
        <v>511</v>
      </c>
      <c r="F28" s="20" t="s">
        <v>512</v>
      </c>
      <c r="G28" s="8" t="str">
        <f t="shared" si="0"/>
        <v>BEAM ROSS</v>
      </c>
    </row>
    <row r="29" spans="1:7" x14ac:dyDescent="0.25">
      <c r="A29" s="8">
        <v>42773.207326388889</v>
      </c>
      <c r="B29" s="20" t="s">
        <v>237</v>
      </c>
      <c r="C29" s="20" t="s">
        <v>513</v>
      </c>
      <c r="D29" s="150">
        <v>890000</v>
      </c>
      <c r="E29" s="20" t="s">
        <v>514</v>
      </c>
      <c r="F29" s="20" t="s">
        <v>515</v>
      </c>
      <c r="G29" s="8" t="str">
        <f t="shared" si="0"/>
        <v>LOZA FIDEL</v>
      </c>
    </row>
    <row r="30" spans="1:7" x14ac:dyDescent="0.25">
      <c r="A30" s="8">
        <v>42773.208414351851</v>
      </c>
      <c r="B30" s="20" t="s">
        <v>290</v>
      </c>
      <c r="C30" s="20" t="s">
        <v>516</v>
      </c>
      <c r="D30" s="150">
        <v>1340000</v>
      </c>
      <c r="E30" s="20" t="s">
        <v>511</v>
      </c>
      <c r="F30" s="20" t="s">
        <v>512</v>
      </c>
      <c r="G30" s="8" t="str">
        <f t="shared" si="0"/>
        <v>BEAM ROSS</v>
      </c>
    </row>
    <row r="31" spans="1:7" x14ac:dyDescent="0.25">
      <c r="A31" s="8">
        <v>42773.212256944447</v>
      </c>
      <c r="B31" s="20" t="s">
        <v>477</v>
      </c>
      <c r="C31" s="20" t="s">
        <v>517</v>
      </c>
      <c r="D31" s="150">
        <v>1230000</v>
      </c>
      <c r="E31" s="20" t="s">
        <v>396</v>
      </c>
      <c r="F31" s="20" t="s">
        <v>397</v>
      </c>
      <c r="G31" s="8" t="str">
        <f t="shared" si="0"/>
        <v>YANAI IAN</v>
      </c>
    </row>
    <row r="32" spans="1:7" x14ac:dyDescent="0.25">
      <c r="A32" s="8">
        <v>42773.212268518517</v>
      </c>
      <c r="B32" s="20" t="s">
        <v>197</v>
      </c>
      <c r="C32" s="20" t="s">
        <v>518</v>
      </c>
      <c r="D32" s="150">
        <v>2110000</v>
      </c>
      <c r="E32" s="20" t="s">
        <v>497</v>
      </c>
      <c r="F32" s="20" t="s">
        <v>498</v>
      </c>
      <c r="G32" s="8" t="str">
        <f t="shared" si="0"/>
        <v>OUN ZACK</v>
      </c>
    </row>
    <row r="33" spans="1:7" x14ac:dyDescent="0.25">
      <c r="A33" s="8">
        <v>42773.220034722224</v>
      </c>
      <c r="B33" s="20" t="s">
        <v>369</v>
      </c>
      <c r="C33" s="20" t="s">
        <v>519</v>
      </c>
      <c r="D33" s="150">
        <v>940000</v>
      </c>
      <c r="E33" s="20" t="s">
        <v>508</v>
      </c>
      <c r="F33" s="20" t="s">
        <v>509</v>
      </c>
      <c r="G33" s="8" t="str">
        <f t="shared" si="0"/>
        <v>BONDS REYNALDO</v>
      </c>
    </row>
    <row r="34" spans="1:7" x14ac:dyDescent="0.25">
      <c r="A34" s="8">
        <v>42773.225752314815</v>
      </c>
      <c r="B34" s="20" t="s">
        <v>246</v>
      </c>
      <c r="C34" s="20" t="s">
        <v>520</v>
      </c>
      <c r="D34" s="150">
        <v>2010000</v>
      </c>
      <c r="E34" s="20" t="s">
        <v>501</v>
      </c>
      <c r="F34" s="20" t="s">
        <v>502</v>
      </c>
      <c r="G34" s="8" t="str">
        <f t="shared" si="0"/>
        <v>MAELZER KURT</v>
      </c>
    </row>
    <row r="35" spans="1:7" x14ac:dyDescent="0.25">
      <c r="A35" s="8">
        <v>42773.226087962961</v>
      </c>
      <c r="B35" s="20" t="s">
        <v>359</v>
      </c>
      <c r="C35" s="20" t="s">
        <v>521</v>
      </c>
      <c r="D35" s="150">
        <v>900000</v>
      </c>
      <c r="E35" s="20" t="s">
        <v>400</v>
      </c>
      <c r="F35" s="20" t="s">
        <v>401</v>
      </c>
      <c r="G35" s="8" t="str">
        <f t="shared" si="0"/>
        <v>ROCHA YAOTL</v>
      </c>
    </row>
    <row r="36" spans="1:7" x14ac:dyDescent="0.25">
      <c r="A36" s="8">
        <v>42773.233969907407</v>
      </c>
      <c r="B36" s="20" t="s">
        <v>195</v>
      </c>
      <c r="C36" s="20" t="s">
        <v>522</v>
      </c>
      <c r="D36" s="150">
        <v>1990000</v>
      </c>
      <c r="E36" s="20" t="s">
        <v>364</v>
      </c>
      <c r="F36" s="20" t="s">
        <v>365</v>
      </c>
      <c r="G36" s="8" t="str">
        <f t="shared" si="0"/>
        <v>DAVIS WENDY</v>
      </c>
    </row>
    <row r="37" spans="1:7" x14ac:dyDescent="0.25">
      <c r="A37" s="8">
        <v>42773.240046296298</v>
      </c>
      <c r="B37" s="20" t="s">
        <v>289</v>
      </c>
      <c r="C37" s="20" t="s">
        <v>523</v>
      </c>
      <c r="D37" s="150">
        <v>1340000</v>
      </c>
      <c r="E37" s="20" t="s">
        <v>511</v>
      </c>
      <c r="F37" s="20" t="s">
        <v>512</v>
      </c>
      <c r="G37" s="8" t="str">
        <f t="shared" si="0"/>
        <v>BEAM ROSS</v>
      </c>
    </row>
    <row r="38" spans="1:7" x14ac:dyDescent="0.25">
      <c r="A38" s="8">
        <v>42773.243703703702</v>
      </c>
      <c r="B38" s="20" t="s">
        <v>213</v>
      </c>
      <c r="C38" s="20" t="s">
        <v>524</v>
      </c>
      <c r="D38" s="150">
        <v>890000</v>
      </c>
      <c r="E38" s="20" t="s">
        <v>514</v>
      </c>
      <c r="F38" s="20" t="s">
        <v>515</v>
      </c>
      <c r="G38" s="8" t="str">
        <f t="shared" si="0"/>
        <v>LOZA FIDEL</v>
      </c>
    </row>
    <row r="39" spans="1:7" x14ac:dyDescent="0.25">
      <c r="A39" s="8">
        <v>42773.24628472222</v>
      </c>
      <c r="B39" s="20" t="s">
        <v>228</v>
      </c>
      <c r="C39" s="20" t="s">
        <v>525</v>
      </c>
      <c r="D39" s="150">
        <v>1230000</v>
      </c>
      <c r="E39" s="20" t="s">
        <v>396</v>
      </c>
      <c r="F39" s="20" t="s">
        <v>397</v>
      </c>
      <c r="G39" s="8" t="str">
        <f t="shared" si="0"/>
        <v>YANAI IAN</v>
      </c>
    </row>
    <row r="40" spans="1:7" x14ac:dyDescent="0.25">
      <c r="A40" s="8">
        <v>42773.251909722225</v>
      </c>
      <c r="B40" s="25" t="s">
        <v>363</v>
      </c>
      <c r="C40" s="20" t="s">
        <v>526</v>
      </c>
      <c r="D40" s="150">
        <v>2110000</v>
      </c>
      <c r="E40" s="20" t="s">
        <v>497</v>
      </c>
      <c r="F40" s="20" t="s">
        <v>498</v>
      </c>
      <c r="G40" s="8" t="str">
        <f t="shared" si="0"/>
        <v>OUN ZACK</v>
      </c>
    </row>
    <row r="41" spans="1:7" x14ac:dyDescent="0.25">
      <c r="A41" s="8">
        <v>42773.253287037034</v>
      </c>
      <c r="B41" s="20" t="s">
        <v>231</v>
      </c>
      <c r="C41" s="20" t="s">
        <v>527</v>
      </c>
      <c r="D41" s="150">
        <v>2270000</v>
      </c>
      <c r="E41" s="20" t="s">
        <v>244</v>
      </c>
      <c r="F41" s="20" t="s">
        <v>245</v>
      </c>
      <c r="G41" s="8" t="str">
        <f t="shared" si="0"/>
        <v>BROWN JACOB</v>
      </c>
    </row>
    <row r="42" spans="1:7" x14ac:dyDescent="0.25">
      <c r="A42" s="8">
        <v>42773.254166666666</v>
      </c>
      <c r="B42" s="20" t="s">
        <v>290</v>
      </c>
      <c r="C42" s="20" t="s">
        <v>528</v>
      </c>
      <c r="D42" s="150">
        <v>1340000</v>
      </c>
      <c r="E42" s="20" t="s">
        <v>511</v>
      </c>
      <c r="F42" s="20" t="s">
        <v>512</v>
      </c>
      <c r="G42" s="8" t="str">
        <f t="shared" si="0"/>
        <v>BEAM ROSS</v>
      </c>
    </row>
    <row r="43" spans="1:7" x14ac:dyDescent="0.25">
      <c r="A43" s="8">
        <v>42773.256701388891</v>
      </c>
      <c r="B43" s="20" t="s">
        <v>362</v>
      </c>
      <c r="C43" s="20" t="s">
        <v>529</v>
      </c>
      <c r="D43" s="150">
        <v>940000</v>
      </c>
      <c r="E43" s="20" t="s">
        <v>508</v>
      </c>
      <c r="F43" s="20" t="s">
        <v>509</v>
      </c>
      <c r="G43" s="8" t="str">
        <f t="shared" si="0"/>
        <v>BONDS REYNALDO</v>
      </c>
    </row>
    <row r="44" spans="1:7" x14ac:dyDescent="0.25">
      <c r="A44" s="8">
        <v>42773.261828703704</v>
      </c>
      <c r="B44" s="20" t="s">
        <v>232</v>
      </c>
      <c r="C44" s="20" t="s">
        <v>530</v>
      </c>
      <c r="D44" s="150">
        <v>2270000</v>
      </c>
      <c r="E44" s="20" t="s">
        <v>244</v>
      </c>
      <c r="F44" s="20" t="s">
        <v>245</v>
      </c>
      <c r="G44" s="8" t="str">
        <f t="shared" si="0"/>
        <v>BROWN JACOB</v>
      </c>
    </row>
    <row r="45" spans="1:7" x14ac:dyDescent="0.25">
      <c r="A45" s="8">
        <v>42773.267314814817</v>
      </c>
      <c r="B45" s="20" t="s">
        <v>368</v>
      </c>
      <c r="C45" s="20" t="s">
        <v>531</v>
      </c>
      <c r="D45" s="150">
        <v>900000</v>
      </c>
      <c r="E45" s="20" t="s">
        <v>400</v>
      </c>
      <c r="F45" s="20" t="s">
        <v>401</v>
      </c>
      <c r="G45" s="8" t="str">
        <f t="shared" si="0"/>
        <v>ROCHA YAOTL</v>
      </c>
    </row>
    <row r="46" spans="1:7" x14ac:dyDescent="0.25">
      <c r="A46" s="8">
        <v>42773.268148148149</v>
      </c>
      <c r="B46" s="20" t="s">
        <v>192</v>
      </c>
      <c r="C46" s="20" t="s">
        <v>532</v>
      </c>
      <c r="D46" s="150">
        <v>1990000</v>
      </c>
      <c r="E46" s="20" t="s">
        <v>364</v>
      </c>
      <c r="F46" s="20" t="s">
        <v>365</v>
      </c>
      <c r="G46" s="8" t="str">
        <f t="shared" si="0"/>
        <v>DAVIS WENDY</v>
      </c>
    </row>
    <row r="47" spans="1:7" x14ac:dyDescent="0.25">
      <c r="A47" s="8">
        <v>42773.275219907409</v>
      </c>
      <c r="B47" s="20" t="s">
        <v>223</v>
      </c>
      <c r="C47" s="20" t="s">
        <v>533</v>
      </c>
      <c r="D47" s="150">
        <v>2010000</v>
      </c>
      <c r="E47" s="20" t="s">
        <v>501</v>
      </c>
      <c r="F47" s="20" t="s">
        <v>502</v>
      </c>
      <c r="G47" s="8" t="str">
        <f t="shared" si="0"/>
        <v>MAELZER KURT</v>
      </c>
    </row>
    <row r="48" spans="1:7" x14ac:dyDescent="0.25">
      <c r="A48" s="8">
        <v>42773.276400462964</v>
      </c>
      <c r="B48" s="20" t="s">
        <v>231</v>
      </c>
      <c r="C48" s="20" t="s">
        <v>466</v>
      </c>
      <c r="D48" s="150">
        <v>2270000</v>
      </c>
      <c r="E48" s="20" t="s">
        <v>244</v>
      </c>
      <c r="F48" s="20" t="s">
        <v>245</v>
      </c>
      <c r="G48" s="8" t="str">
        <f t="shared" si="0"/>
        <v>BROWN JACOB</v>
      </c>
    </row>
    <row r="49" spans="1:7" x14ac:dyDescent="0.25">
      <c r="A49" s="8">
        <v>42773.277650462966</v>
      </c>
      <c r="B49" s="20" t="s">
        <v>229</v>
      </c>
      <c r="C49" s="20" t="s">
        <v>534</v>
      </c>
      <c r="D49" s="150">
        <v>1230000</v>
      </c>
      <c r="E49" s="20" t="s">
        <v>396</v>
      </c>
      <c r="F49" s="20" t="s">
        <v>397</v>
      </c>
      <c r="G49" s="8" t="str">
        <f t="shared" si="0"/>
        <v>YANAI IAN</v>
      </c>
    </row>
    <row r="50" spans="1:7" x14ac:dyDescent="0.25">
      <c r="A50" s="8">
        <v>42773.280555555553</v>
      </c>
      <c r="B50" s="20" t="s">
        <v>535</v>
      </c>
      <c r="C50" s="20" t="s">
        <v>536</v>
      </c>
      <c r="D50" s="150">
        <v>890000</v>
      </c>
      <c r="E50" s="20" t="s">
        <v>514</v>
      </c>
      <c r="F50" s="20" t="s">
        <v>515</v>
      </c>
      <c r="G50" s="8" t="str">
        <f t="shared" si="0"/>
        <v>LOZA FIDEL</v>
      </c>
    </row>
    <row r="51" spans="1:7" x14ac:dyDescent="0.25">
      <c r="A51" s="8">
        <v>42773.282222222224</v>
      </c>
      <c r="B51" s="20" t="s">
        <v>289</v>
      </c>
      <c r="C51" s="20" t="s">
        <v>537</v>
      </c>
      <c r="D51" s="150">
        <v>1340000</v>
      </c>
      <c r="E51" s="20" t="s">
        <v>511</v>
      </c>
      <c r="F51" s="20" t="s">
        <v>512</v>
      </c>
      <c r="G51" s="8" t="str">
        <f t="shared" si="0"/>
        <v>BEAM ROSS</v>
      </c>
    </row>
    <row r="52" spans="1:7" x14ac:dyDescent="0.25">
      <c r="A52" s="8">
        <v>42773.282685185186</v>
      </c>
      <c r="B52" s="20" t="s">
        <v>535</v>
      </c>
      <c r="C52" s="20" t="s">
        <v>536</v>
      </c>
      <c r="D52" s="150">
        <v>890000</v>
      </c>
      <c r="E52" s="20" t="s">
        <v>514</v>
      </c>
      <c r="F52" s="20" t="s">
        <v>515</v>
      </c>
      <c r="G52" s="8" t="str">
        <f t="shared" si="0"/>
        <v>LOZA FIDEL</v>
      </c>
    </row>
    <row r="53" spans="1:7" x14ac:dyDescent="0.25">
      <c r="A53" s="8">
        <v>42773.283935185187</v>
      </c>
      <c r="B53" s="20" t="s">
        <v>535</v>
      </c>
      <c r="C53" s="20" t="s">
        <v>536</v>
      </c>
      <c r="D53" s="150">
        <v>890000</v>
      </c>
      <c r="E53" s="20" t="s">
        <v>514</v>
      </c>
      <c r="F53" s="20" t="s">
        <v>515</v>
      </c>
      <c r="G53" s="8" t="str">
        <f t="shared" si="0"/>
        <v>LOZA FIDEL</v>
      </c>
    </row>
    <row r="54" spans="1:7" x14ac:dyDescent="0.25">
      <c r="A54" s="8">
        <v>42773.287106481483</v>
      </c>
      <c r="B54" s="20" t="s">
        <v>197</v>
      </c>
      <c r="C54" s="20" t="s">
        <v>538</v>
      </c>
      <c r="D54" s="150">
        <v>2110000</v>
      </c>
      <c r="E54" s="20" t="s">
        <v>497</v>
      </c>
      <c r="F54" s="20" t="s">
        <v>498</v>
      </c>
      <c r="G54" s="8" t="str">
        <f t="shared" si="0"/>
        <v>OUN ZACK</v>
      </c>
    </row>
    <row r="55" spans="1:7" x14ac:dyDescent="0.25">
      <c r="A55" s="8">
        <v>42773.295439814814</v>
      </c>
      <c r="B55" s="20" t="s">
        <v>290</v>
      </c>
      <c r="C55" s="20" t="s">
        <v>539</v>
      </c>
      <c r="D55" s="150">
        <v>1340000</v>
      </c>
      <c r="E55" s="20" t="s">
        <v>511</v>
      </c>
      <c r="F55" s="20" t="s">
        <v>512</v>
      </c>
      <c r="G55" s="8" t="str">
        <f t="shared" si="0"/>
        <v>BEAM ROSS</v>
      </c>
    </row>
    <row r="56" spans="1:7" x14ac:dyDescent="0.25">
      <c r="A56" s="8">
        <v>42773.297997685186</v>
      </c>
      <c r="B56" s="20" t="s">
        <v>369</v>
      </c>
      <c r="C56" s="20" t="s">
        <v>540</v>
      </c>
      <c r="D56" s="150">
        <v>940000</v>
      </c>
      <c r="E56" s="20" t="s">
        <v>508</v>
      </c>
      <c r="F56" s="20" t="s">
        <v>509</v>
      </c>
      <c r="G56" s="8" t="str">
        <f t="shared" si="0"/>
        <v>BONDS REYNALDO</v>
      </c>
    </row>
    <row r="57" spans="1:7" x14ac:dyDescent="0.25">
      <c r="A57" s="8">
        <v>42773.29996527778</v>
      </c>
      <c r="B57" s="20" t="s">
        <v>359</v>
      </c>
      <c r="C57" s="20" t="s">
        <v>541</v>
      </c>
      <c r="D57" s="150">
        <v>900000</v>
      </c>
      <c r="E57" s="20" t="s">
        <v>400</v>
      </c>
      <c r="F57" s="20" t="s">
        <v>401</v>
      </c>
      <c r="G57" s="8" t="str">
        <f t="shared" si="0"/>
        <v>ROCHA YAOTL</v>
      </c>
    </row>
    <row r="58" spans="1:7" x14ac:dyDescent="0.25">
      <c r="A58" s="8">
        <v>42773.303229166668</v>
      </c>
      <c r="B58" s="20" t="s">
        <v>232</v>
      </c>
      <c r="C58" s="20" t="s">
        <v>542</v>
      </c>
      <c r="D58" s="150">
        <v>2270000</v>
      </c>
      <c r="E58" s="20" t="s">
        <v>244</v>
      </c>
      <c r="F58" s="20" t="s">
        <v>245</v>
      </c>
      <c r="G58" s="8" t="str">
        <f t="shared" si="0"/>
        <v>BROWN JACOB</v>
      </c>
    </row>
    <row r="59" spans="1:7" x14ac:dyDescent="0.25">
      <c r="A59" s="8">
        <v>42773.308356481481</v>
      </c>
      <c r="B59" s="20" t="s">
        <v>195</v>
      </c>
      <c r="C59" s="20" t="s">
        <v>467</v>
      </c>
      <c r="D59" s="150">
        <v>1990000</v>
      </c>
      <c r="E59" s="20" t="s">
        <v>364</v>
      </c>
      <c r="F59" s="20" t="s">
        <v>365</v>
      </c>
      <c r="G59" s="8" t="str">
        <f t="shared" si="0"/>
        <v>DAVIS WENDY</v>
      </c>
    </row>
    <row r="60" spans="1:7" x14ac:dyDescent="0.25">
      <c r="A60" s="8">
        <v>42773.309803240743</v>
      </c>
      <c r="B60" s="20" t="s">
        <v>246</v>
      </c>
      <c r="C60" s="20" t="s">
        <v>543</v>
      </c>
      <c r="D60" s="150">
        <v>2010000</v>
      </c>
      <c r="E60" s="20" t="s">
        <v>501</v>
      </c>
      <c r="F60" s="20" t="s">
        <v>502</v>
      </c>
      <c r="G60" s="8" t="str">
        <f t="shared" si="0"/>
        <v>MAELZER KURT</v>
      </c>
    </row>
    <row r="61" spans="1:7" x14ac:dyDescent="0.25">
      <c r="A61" s="8">
        <v>42773.317280092589</v>
      </c>
      <c r="B61" s="20" t="s">
        <v>231</v>
      </c>
      <c r="C61" s="20" t="s">
        <v>544</v>
      </c>
      <c r="D61" s="150">
        <v>2270000</v>
      </c>
      <c r="E61" s="20" t="s">
        <v>244</v>
      </c>
      <c r="F61" s="20" t="s">
        <v>245</v>
      </c>
      <c r="G61" s="8" t="str">
        <f t="shared" si="0"/>
        <v>BROWN JACOB</v>
      </c>
    </row>
    <row r="62" spans="1:7" x14ac:dyDescent="0.25">
      <c r="A62" s="8">
        <v>42773.317314814813</v>
      </c>
      <c r="B62" s="20" t="s">
        <v>237</v>
      </c>
      <c r="C62" s="20" t="s">
        <v>545</v>
      </c>
      <c r="D62" s="150">
        <v>1090000</v>
      </c>
      <c r="E62" s="20" t="s">
        <v>402</v>
      </c>
      <c r="F62" s="20" t="s">
        <v>206</v>
      </c>
      <c r="G62" s="8" t="str">
        <f t="shared" si="0"/>
        <v>SPECTOR MICHAEL</v>
      </c>
    </row>
    <row r="63" spans="1:7" x14ac:dyDescent="0.25">
      <c r="A63" s="8">
        <v>42773.317731481482</v>
      </c>
      <c r="B63" s="20" t="s">
        <v>477</v>
      </c>
      <c r="C63" s="20" t="s">
        <v>546</v>
      </c>
      <c r="D63" s="150">
        <v>890000</v>
      </c>
      <c r="E63" s="20" t="s">
        <v>514</v>
      </c>
      <c r="F63" s="20" t="s">
        <v>515</v>
      </c>
      <c r="G63" s="8" t="str">
        <f t="shared" si="0"/>
        <v>LOZA FIDEL</v>
      </c>
    </row>
    <row r="64" spans="1:7" x14ac:dyDescent="0.25">
      <c r="A64" s="26">
        <v>42773.318993055553</v>
      </c>
      <c r="B64" s="20" t="s">
        <v>228</v>
      </c>
      <c r="C64" s="20" t="s">
        <v>547</v>
      </c>
      <c r="D64" s="150">
        <v>1110000</v>
      </c>
      <c r="E64" s="20" t="s">
        <v>398</v>
      </c>
      <c r="F64" s="20" t="s">
        <v>399</v>
      </c>
      <c r="G64" s="8" t="str">
        <f t="shared" si="0"/>
        <v>STARKS ANGELINA</v>
      </c>
    </row>
    <row r="65" spans="1:7" x14ac:dyDescent="0.25">
      <c r="A65" s="8">
        <v>42773.324467592596</v>
      </c>
      <c r="B65" s="20" t="s">
        <v>289</v>
      </c>
      <c r="C65" s="20" t="s">
        <v>548</v>
      </c>
      <c r="D65" s="150">
        <v>1340000</v>
      </c>
      <c r="E65" s="20" t="s">
        <v>511</v>
      </c>
      <c r="F65" s="20" t="s">
        <v>512</v>
      </c>
      <c r="G65" s="8" t="str">
        <f t="shared" si="0"/>
        <v>BEAM ROSS</v>
      </c>
    </row>
    <row r="66" spans="1:7" x14ac:dyDescent="0.25">
      <c r="A66" s="8">
        <v>42773.326435185183</v>
      </c>
      <c r="B66" s="20" t="s">
        <v>363</v>
      </c>
      <c r="C66" s="20" t="s">
        <v>549</v>
      </c>
      <c r="D66" s="150">
        <v>2110000</v>
      </c>
      <c r="E66" s="20" t="s">
        <v>497</v>
      </c>
      <c r="F66" s="20" t="s">
        <v>498</v>
      </c>
      <c r="G66" s="8" t="str">
        <f t="shared" si="0"/>
        <v>OUN ZACK</v>
      </c>
    </row>
    <row r="67" spans="1:7" x14ac:dyDescent="0.25">
      <c r="A67" s="8">
        <v>42773.331307870372</v>
      </c>
      <c r="B67" s="20" t="s">
        <v>362</v>
      </c>
      <c r="C67" s="20" t="s">
        <v>468</v>
      </c>
      <c r="D67" s="150">
        <v>940000</v>
      </c>
      <c r="E67" s="20" t="s">
        <v>508</v>
      </c>
      <c r="F67" s="20" t="s">
        <v>509</v>
      </c>
      <c r="G67" s="8" t="str">
        <f t="shared" ref="G67:G130" si="1">E67&amp;" "&amp;F67</f>
        <v>BONDS REYNALDO</v>
      </c>
    </row>
    <row r="68" spans="1:7" x14ac:dyDescent="0.25">
      <c r="A68" s="8">
        <v>42773.337743055556</v>
      </c>
      <c r="B68" s="20" t="s">
        <v>290</v>
      </c>
      <c r="C68" s="20" t="s">
        <v>550</v>
      </c>
      <c r="D68" s="150">
        <v>1340000</v>
      </c>
      <c r="E68" s="20" t="s">
        <v>511</v>
      </c>
      <c r="F68" s="20" t="s">
        <v>512</v>
      </c>
      <c r="G68" s="8" t="str">
        <f t="shared" si="1"/>
        <v>BEAM ROSS</v>
      </c>
    </row>
    <row r="69" spans="1:7" x14ac:dyDescent="0.25">
      <c r="A69" s="8">
        <v>42773.34003472222</v>
      </c>
      <c r="B69" s="20" t="s">
        <v>192</v>
      </c>
      <c r="C69" s="20" t="s">
        <v>551</v>
      </c>
      <c r="D69" s="150">
        <v>1990000</v>
      </c>
      <c r="E69" s="20" t="s">
        <v>364</v>
      </c>
      <c r="F69" s="20" t="s">
        <v>365</v>
      </c>
      <c r="G69" s="8" t="str">
        <f t="shared" si="1"/>
        <v>DAVIS WENDY</v>
      </c>
    </row>
    <row r="70" spans="1:7" x14ac:dyDescent="0.25">
      <c r="A70" s="8">
        <v>42773.340648148151</v>
      </c>
      <c r="B70" s="20" t="s">
        <v>368</v>
      </c>
      <c r="C70" s="20" t="s">
        <v>552</v>
      </c>
      <c r="D70" s="150">
        <v>900000</v>
      </c>
      <c r="E70" s="20" t="s">
        <v>400</v>
      </c>
      <c r="F70" s="20" t="s">
        <v>401</v>
      </c>
      <c r="G70" s="8" t="str">
        <f t="shared" si="1"/>
        <v>ROCHA YAOTL</v>
      </c>
    </row>
    <row r="71" spans="1:7" x14ac:dyDescent="0.25">
      <c r="A71" s="8">
        <v>42773.342037037037</v>
      </c>
      <c r="B71" s="20" t="s">
        <v>336</v>
      </c>
      <c r="C71" s="20" t="s">
        <v>553</v>
      </c>
      <c r="D71" s="150">
        <v>1090000</v>
      </c>
      <c r="E71" s="20" t="s">
        <v>402</v>
      </c>
      <c r="F71" s="20" t="s">
        <v>206</v>
      </c>
      <c r="G71" s="8" t="str">
        <f t="shared" si="1"/>
        <v>SPECTOR MICHAEL</v>
      </c>
    </row>
    <row r="72" spans="1:7" x14ac:dyDescent="0.25">
      <c r="A72" s="8">
        <v>42773.344155092593</v>
      </c>
      <c r="B72" s="20" t="s">
        <v>232</v>
      </c>
      <c r="C72" s="20" t="s">
        <v>554</v>
      </c>
      <c r="D72" s="150">
        <v>2270000</v>
      </c>
      <c r="E72" s="20" t="s">
        <v>244</v>
      </c>
      <c r="F72" s="20" t="s">
        <v>245</v>
      </c>
      <c r="G72" s="8" t="str">
        <f t="shared" si="1"/>
        <v>BROWN JACOB</v>
      </c>
    </row>
    <row r="73" spans="1:7" x14ac:dyDescent="0.25">
      <c r="A73" s="8">
        <v>42773.345590277779</v>
      </c>
      <c r="B73" s="20" t="s">
        <v>223</v>
      </c>
      <c r="C73" s="20" t="s">
        <v>555</v>
      </c>
      <c r="D73" s="150">
        <v>2010000</v>
      </c>
      <c r="E73" s="20" t="s">
        <v>501</v>
      </c>
      <c r="F73" s="20" t="s">
        <v>502</v>
      </c>
      <c r="G73" s="8" t="str">
        <f t="shared" si="1"/>
        <v>MAELZER KURT</v>
      </c>
    </row>
    <row r="74" spans="1:7" x14ac:dyDescent="0.25">
      <c r="A74" s="8">
        <v>42773.350428240738</v>
      </c>
      <c r="B74" s="20" t="s">
        <v>535</v>
      </c>
      <c r="C74" s="20" t="s">
        <v>556</v>
      </c>
      <c r="D74" s="150">
        <v>890000</v>
      </c>
      <c r="E74" s="20" t="s">
        <v>514</v>
      </c>
      <c r="F74" s="20" t="s">
        <v>515</v>
      </c>
      <c r="G74" s="8" t="str">
        <f t="shared" si="1"/>
        <v>LOZA FIDEL</v>
      </c>
    </row>
    <row r="75" spans="1:7" x14ac:dyDescent="0.25">
      <c r="A75" s="8">
        <v>42773.352812500001</v>
      </c>
      <c r="B75" s="20" t="s">
        <v>289</v>
      </c>
      <c r="C75" s="20" t="s">
        <v>557</v>
      </c>
      <c r="D75" s="150">
        <v>1340000</v>
      </c>
      <c r="E75" s="20" t="s">
        <v>511</v>
      </c>
      <c r="F75" s="20" t="s">
        <v>512</v>
      </c>
      <c r="G75" s="8" t="str">
        <f t="shared" si="1"/>
        <v>BEAM ROSS</v>
      </c>
    </row>
    <row r="76" spans="1:7" x14ac:dyDescent="0.25">
      <c r="A76" s="8">
        <v>42773.358819444446</v>
      </c>
      <c r="B76" s="20" t="s">
        <v>231</v>
      </c>
      <c r="C76" s="20" t="s">
        <v>558</v>
      </c>
      <c r="D76" s="150">
        <v>2270000</v>
      </c>
      <c r="E76" s="20" t="s">
        <v>244</v>
      </c>
      <c r="F76" s="20" t="s">
        <v>245</v>
      </c>
      <c r="G76" s="8" t="str">
        <f t="shared" si="1"/>
        <v>BROWN JACOB</v>
      </c>
    </row>
    <row r="77" spans="1:7" x14ac:dyDescent="0.25">
      <c r="A77" s="8">
        <v>42773.359270833331</v>
      </c>
      <c r="B77" s="20" t="s">
        <v>197</v>
      </c>
      <c r="C77" s="20" t="s">
        <v>559</v>
      </c>
      <c r="D77" s="150">
        <v>2110000</v>
      </c>
      <c r="E77" s="20" t="s">
        <v>497</v>
      </c>
      <c r="F77" s="20" t="s">
        <v>498</v>
      </c>
      <c r="G77" s="8" t="str">
        <f t="shared" si="1"/>
        <v>OUN ZACK</v>
      </c>
    </row>
    <row r="78" spans="1:7" x14ac:dyDescent="0.25">
      <c r="A78" s="8">
        <v>42773.359629629631</v>
      </c>
      <c r="B78" s="20" t="s">
        <v>229</v>
      </c>
      <c r="C78" s="20" t="s">
        <v>560</v>
      </c>
      <c r="D78" s="150">
        <v>1110000</v>
      </c>
      <c r="E78" s="20" t="s">
        <v>398</v>
      </c>
      <c r="F78" s="20" t="s">
        <v>399</v>
      </c>
      <c r="G78" s="8" t="str">
        <f t="shared" si="1"/>
        <v>STARKS ANGELINA</v>
      </c>
    </row>
    <row r="79" spans="1:7" x14ac:dyDescent="0.25">
      <c r="A79" s="8">
        <v>42773.36928240741</v>
      </c>
      <c r="B79" s="20" t="s">
        <v>369</v>
      </c>
      <c r="C79" s="20" t="s">
        <v>561</v>
      </c>
      <c r="D79" s="150">
        <v>940000</v>
      </c>
      <c r="E79" s="20" t="s">
        <v>508</v>
      </c>
      <c r="F79" s="20" t="s">
        <v>509</v>
      </c>
      <c r="G79" s="8" t="str">
        <f t="shared" si="1"/>
        <v>BONDS REYNALDO</v>
      </c>
    </row>
    <row r="80" spans="1:7" x14ac:dyDescent="0.25">
      <c r="A80" s="8">
        <v>42773.373680555553</v>
      </c>
      <c r="B80" s="20" t="s">
        <v>359</v>
      </c>
      <c r="C80" s="20" t="s">
        <v>469</v>
      </c>
      <c r="D80" s="150">
        <v>900000</v>
      </c>
      <c r="E80" s="20" t="s">
        <v>400</v>
      </c>
      <c r="F80" s="20" t="s">
        <v>401</v>
      </c>
      <c r="G80" s="8" t="str">
        <f t="shared" si="1"/>
        <v>ROCHA YAOTL</v>
      </c>
    </row>
    <row r="81" spans="1:7" x14ac:dyDescent="0.25">
      <c r="A81" s="8">
        <v>42773.380856481483</v>
      </c>
      <c r="B81" s="20" t="s">
        <v>246</v>
      </c>
      <c r="C81" s="20" t="s">
        <v>470</v>
      </c>
      <c r="D81" s="150">
        <v>2010000</v>
      </c>
      <c r="E81" s="20" t="s">
        <v>501</v>
      </c>
      <c r="F81" s="20" t="s">
        <v>502</v>
      </c>
      <c r="G81" s="8" t="str">
        <f t="shared" si="1"/>
        <v>MAELZER KURT</v>
      </c>
    </row>
    <row r="82" spans="1:7" x14ac:dyDescent="0.25">
      <c r="A82" s="8">
        <v>42773.381851851853</v>
      </c>
      <c r="B82" s="20" t="s">
        <v>195</v>
      </c>
      <c r="C82" s="20" t="s">
        <v>562</v>
      </c>
      <c r="D82" s="150">
        <v>1990000</v>
      </c>
      <c r="E82" s="20" t="s">
        <v>364</v>
      </c>
      <c r="F82" s="20" t="s">
        <v>365</v>
      </c>
      <c r="G82" s="8" t="str">
        <f t="shared" si="1"/>
        <v>DAVIS WENDY</v>
      </c>
    </row>
    <row r="83" spans="1:7" x14ac:dyDescent="0.25">
      <c r="A83" s="8">
        <v>42773.387349537035</v>
      </c>
      <c r="B83" s="20" t="s">
        <v>232</v>
      </c>
      <c r="C83" s="20" t="s">
        <v>563</v>
      </c>
      <c r="D83" s="150">
        <v>2270000</v>
      </c>
      <c r="E83" s="20" t="s">
        <v>244</v>
      </c>
      <c r="F83" s="20" t="s">
        <v>245</v>
      </c>
      <c r="G83" s="8" t="str">
        <f t="shared" si="1"/>
        <v>BROWN JACOB</v>
      </c>
    </row>
    <row r="84" spans="1:7" x14ac:dyDescent="0.25">
      <c r="A84" s="8">
        <v>42773.390289351853</v>
      </c>
      <c r="B84" s="20" t="s">
        <v>477</v>
      </c>
      <c r="C84" s="20" t="s">
        <v>564</v>
      </c>
      <c r="D84" s="150">
        <v>890000</v>
      </c>
      <c r="E84" s="20" t="s">
        <v>514</v>
      </c>
      <c r="F84" s="20" t="s">
        <v>515</v>
      </c>
      <c r="G84" s="8" t="str">
        <f t="shared" si="1"/>
        <v>LOZA FIDEL</v>
      </c>
    </row>
    <row r="85" spans="1:7" x14ac:dyDescent="0.25">
      <c r="A85" s="8">
        <v>42773.392326388886</v>
      </c>
      <c r="B85" s="20" t="s">
        <v>228</v>
      </c>
      <c r="C85" s="20" t="s">
        <v>565</v>
      </c>
      <c r="D85" s="150">
        <v>1110000</v>
      </c>
      <c r="E85" s="20" t="s">
        <v>398</v>
      </c>
      <c r="F85" s="20" t="s">
        <v>399</v>
      </c>
      <c r="G85" s="8" t="str">
        <f t="shared" si="1"/>
        <v>STARKS ANGELINA</v>
      </c>
    </row>
    <row r="86" spans="1:7" x14ac:dyDescent="0.25">
      <c r="A86" s="8">
        <v>42773.399270833332</v>
      </c>
      <c r="B86" s="20" t="s">
        <v>363</v>
      </c>
      <c r="C86" s="20" t="s">
        <v>566</v>
      </c>
      <c r="D86" s="150">
        <v>2110000</v>
      </c>
      <c r="E86" s="20" t="s">
        <v>497</v>
      </c>
      <c r="F86" s="20" t="s">
        <v>498</v>
      </c>
      <c r="G86" s="8" t="str">
        <f t="shared" si="1"/>
        <v>OUN ZACK</v>
      </c>
    </row>
    <row r="87" spans="1:7" x14ac:dyDescent="0.25">
      <c r="A87" s="8">
        <v>42773.400104166663</v>
      </c>
      <c r="B87" s="20" t="s">
        <v>231</v>
      </c>
      <c r="C87" s="20" t="s">
        <v>567</v>
      </c>
      <c r="D87" s="150">
        <v>2270000</v>
      </c>
      <c r="E87" s="20" t="s">
        <v>244</v>
      </c>
      <c r="F87" s="20" t="s">
        <v>245</v>
      </c>
      <c r="G87" s="8" t="str">
        <f t="shared" si="1"/>
        <v>BROWN JACOB</v>
      </c>
    </row>
    <row r="88" spans="1:7" x14ac:dyDescent="0.25">
      <c r="A88" s="8">
        <v>42773.401678240742</v>
      </c>
      <c r="B88" s="20" t="s">
        <v>362</v>
      </c>
      <c r="C88" s="20" t="s">
        <v>568</v>
      </c>
      <c r="D88" s="150">
        <v>940000</v>
      </c>
      <c r="E88" s="20" t="s">
        <v>508</v>
      </c>
      <c r="F88" s="20" t="s">
        <v>509</v>
      </c>
      <c r="G88" s="8" t="str">
        <f t="shared" si="1"/>
        <v>BONDS REYNALDO</v>
      </c>
    </row>
    <row r="89" spans="1:7" x14ac:dyDescent="0.25">
      <c r="A89" s="8">
        <v>42773.412858796299</v>
      </c>
      <c r="B89" s="20" t="s">
        <v>368</v>
      </c>
      <c r="C89" s="20" t="s">
        <v>569</v>
      </c>
      <c r="D89" s="150">
        <v>900000</v>
      </c>
      <c r="E89" s="20" t="s">
        <v>400</v>
      </c>
      <c r="F89" s="20" t="s">
        <v>401</v>
      </c>
      <c r="G89" s="8" t="str">
        <f t="shared" si="1"/>
        <v>ROCHA YAOTL</v>
      </c>
    </row>
    <row r="90" spans="1:7" x14ac:dyDescent="0.25">
      <c r="A90" s="8">
        <v>42773.414768518516</v>
      </c>
      <c r="B90" s="20" t="s">
        <v>192</v>
      </c>
      <c r="C90" s="20" t="s">
        <v>570</v>
      </c>
      <c r="D90" s="150">
        <v>1990000</v>
      </c>
      <c r="E90" s="20" t="s">
        <v>364</v>
      </c>
      <c r="F90" s="20" t="s">
        <v>365</v>
      </c>
      <c r="G90" s="8" t="str">
        <f t="shared" si="1"/>
        <v>DAVIS WENDY</v>
      </c>
    </row>
    <row r="91" spans="1:7" x14ac:dyDescent="0.25">
      <c r="A91" s="8">
        <v>42773.416898148149</v>
      </c>
      <c r="B91" s="20" t="s">
        <v>223</v>
      </c>
      <c r="C91" s="20" t="s">
        <v>571</v>
      </c>
      <c r="D91" s="150">
        <v>2010000</v>
      </c>
      <c r="E91" s="20" t="s">
        <v>501</v>
      </c>
      <c r="F91" s="20" t="s">
        <v>502</v>
      </c>
      <c r="G91" s="8" t="str">
        <f t="shared" si="1"/>
        <v>MAELZER KURT</v>
      </c>
    </row>
    <row r="92" spans="1:7" x14ac:dyDescent="0.25">
      <c r="A92" s="8">
        <v>42773.423877314817</v>
      </c>
      <c r="B92" s="20" t="s">
        <v>535</v>
      </c>
      <c r="C92" s="20" t="s">
        <v>572</v>
      </c>
      <c r="D92" s="150">
        <v>890000</v>
      </c>
      <c r="E92" s="20" t="s">
        <v>514</v>
      </c>
      <c r="F92" s="20" t="s">
        <v>515</v>
      </c>
      <c r="G92" s="8" t="str">
        <f t="shared" si="1"/>
        <v>LOZA FIDEL</v>
      </c>
    </row>
    <row r="93" spans="1:7" x14ac:dyDescent="0.25">
      <c r="A93" s="8">
        <v>42773.429583333331</v>
      </c>
      <c r="B93" s="20" t="s">
        <v>232</v>
      </c>
      <c r="C93" s="20" t="s">
        <v>573</v>
      </c>
      <c r="D93" s="150">
        <v>2270000</v>
      </c>
      <c r="E93" s="20" t="s">
        <v>244</v>
      </c>
      <c r="F93" s="20" t="s">
        <v>245</v>
      </c>
      <c r="G93" s="8" t="str">
        <f t="shared" si="1"/>
        <v>BROWN JACOB</v>
      </c>
    </row>
    <row r="94" spans="1:7" x14ac:dyDescent="0.25">
      <c r="A94" s="8">
        <v>42773.432743055557</v>
      </c>
      <c r="B94" s="20" t="s">
        <v>229</v>
      </c>
      <c r="C94" s="20" t="s">
        <v>574</v>
      </c>
      <c r="D94" s="150">
        <v>1110000</v>
      </c>
      <c r="E94" s="20" t="s">
        <v>398</v>
      </c>
      <c r="F94" s="20" t="s">
        <v>399</v>
      </c>
      <c r="G94" s="8" t="str">
        <f t="shared" si="1"/>
        <v>STARKS ANGELINA</v>
      </c>
    </row>
    <row r="95" spans="1:7" x14ac:dyDescent="0.25">
      <c r="A95" s="8">
        <v>42773.435763888891</v>
      </c>
      <c r="B95" s="20" t="s">
        <v>197</v>
      </c>
      <c r="C95" s="20" t="s">
        <v>471</v>
      </c>
      <c r="D95" s="150">
        <v>1340000</v>
      </c>
      <c r="E95" s="20" t="s">
        <v>511</v>
      </c>
      <c r="F95" s="20" t="s">
        <v>512</v>
      </c>
      <c r="G95" s="8" t="str">
        <f t="shared" si="1"/>
        <v>BEAM ROSS</v>
      </c>
    </row>
    <row r="96" spans="1:7" x14ac:dyDescent="0.25">
      <c r="A96" s="8">
        <v>42773.440740740742</v>
      </c>
      <c r="B96" s="20" t="s">
        <v>369</v>
      </c>
      <c r="C96" s="20" t="s">
        <v>575</v>
      </c>
      <c r="D96" s="150">
        <v>940000</v>
      </c>
      <c r="E96" s="20" t="s">
        <v>508</v>
      </c>
      <c r="F96" s="20" t="s">
        <v>509</v>
      </c>
      <c r="G96" s="8" t="str">
        <f t="shared" si="1"/>
        <v>BONDS REYNALDO</v>
      </c>
    </row>
    <row r="97" spans="1:7" x14ac:dyDescent="0.25">
      <c r="A97" s="8">
        <v>42773.44222222222</v>
      </c>
      <c r="B97" s="20" t="s">
        <v>231</v>
      </c>
      <c r="C97" s="20" t="s">
        <v>576</v>
      </c>
      <c r="D97" s="150">
        <v>2270000</v>
      </c>
      <c r="E97" s="20" t="s">
        <v>244</v>
      </c>
      <c r="F97" s="20" t="s">
        <v>245</v>
      </c>
      <c r="G97" s="8" t="str">
        <f t="shared" si="1"/>
        <v>BROWN JACOB</v>
      </c>
    </row>
    <row r="98" spans="1:7" x14ac:dyDescent="0.25">
      <c r="A98" s="8">
        <v>42773.446793981479</v>
      </c>
      <c r="B98" s="20" t="s">
        <v>359</v>
      </c>
      <c r="C98" s="20" t="s">
        <v>577</v>
      </c>
      <c r="D98" s="150">
        <v>900000</v>
      </c>
      <c r="E98" s="20" t="s">
        <v>400</v>
      </c>
      <c r="F98" s="20" t="s">
        <v>401</v>
      </c>
      <c r="G98" s="8" t="str">
        <f t="shared" si="1"/>
        <v>ROCHA YAOTL</v>
      </c>
    </row>
    <row r="99" spans="1:7" x14ac:dyDescent="0.25">
      <c r="A99" s="8">
        <v>42773.453043981484</v>
      </c>
      <c r="B99" s="20" t="s">
        <v>195</v>
      </c>
      <c r="C99" s="20" t="s">
        <v>578</v>
      </c>
      <c r="D99" s="150">
        <v>1990000</v>
      </c>
      <c r="E99" s="20" t="s">
        <v>364</v>
      </c>
      <c r="F99" s="20" t="s">
        <v>365</v>
      </c>
      <c r="G99" s="8" t="str">
        <f t="shared" si="1"/>
        <v>DAVIS WENDY</v>
      </c>
    </row>
    <row r="100" spans="1:7" x14ac:dyDescent="0.25">
      <c r="A100" s="8">
        <v>42773.45553240741</v>
      </c>
      <c r="B100" s="20" t="s">
        <v>246</v>
      </c>
      <c r="C100" s="20" t="s">
        <v>579</v>
      </c>
      <c r="D100" s="150">
        <v>920000</v>
      </c>
      <c r="E100" s="20" t="s">
        <v>364</v>
      </c>
      <c r="F100" s="20" t="s">
        <v>206</v>
      </c>
      <c r="G100" s="8" t="str">
        <f t="shared" si="1"/>
        <v>DAVIS MICHAEL</v>
      </c>
    </row>
    <row r="101" spans="1:7" x14ac:dyDescent="0.25">
      <c r="A101" s="8">
        <v>42773.463506944441</v>
      </c>
      <c r="B101" s="20" t="s">
        <v>477</v>
      </c>
      <c r="C101" s="20" t="s">
        <v>580</v>
      </c>
      <c r="D101" s="150">
        <v>890000</v>
      </c>
      <c r="E101" s="20" t="s">
        <v>514</v>
      </c>
      <c r="F101" s="20" t="s">
        <v>515</v>
      </c>
      <c r="G101" s="8" t="str">
        <f t="shared" si="1"/>
        <v>LOZA FIDEL</v>
      </c>
    </row>
    <row r="102" spans="1:7" x14ac:dyDescent="0.25">
      <c r="A102" s="8">
        <v>42773.464953703704</v>
      </c>
      <c r="B102" s="20" t="s">
        <v>228</v>
      </c>
      <c r="C102" s="20" t="s">
        <v>581</v>
      </c>
      <c r="D102" s="150">
        <v>2040000</v>
      </c>
      <c r="E102" s="20" t="s">
        <v>403</v>
      </c>
      <c r="F102" s="20" t="s">
        <v>404</v>
      </c>
      <c r="G102" s="8" t="str">
        <f t="shared" si="1"/>
        <v>MOSES BRADLEY</v>
      </c>
    </row>
    <row r="103" spans="1:7" x14ac:dyDescent="0.25">
      <c r="A103" s="8">
        <v>42773.467048611114</v>
      </c>
      <c r="B103" s="20" t="s">
        <v>232</v>
      </c>
      <c r="C103" s="20" t="s">
        <v>472</v>
      </c>
      <c r="D103" s="150">
        <v>2270000</v>
      </c>
      <c r="E103" s="20" t="s">
        <v>244</v>
      </c>
      <c r="F103" s="20" t="s">
        <v>245</v>
      </c>
      <c r="G103" s="8" t="str">
        <f t="shared" si="1"/>
        <v>BROWN JACOB</v>
      </c>
    </row>
    <row r="104" spans="1:7" x14ac:dyDescent="0.25">
      <c r="A104" s="8">
        <v>42773.472881944443</v>
      </c>
      <c r="B104" s="20" t="s">
        <v>363</v>
      </c>
      <c r="C104" s="20" t="s">
        <v>473</v>
      </c>
      <c r="D104" s="150">
        <v>1340000</v>
      </c>
      <c r="E104" s="20" t="s">
        <v>511</v>
      </c>
      <c r="F104" s="20" t="s">
        <v>512</v>
      </c>
      <c r="G104" s="8" t="str">
        <f t="shared" si="1"/>
        <v>BEAM ROSS</v>
      </c>
    </row>
    <row r="105" spans="1:7" x14ac:dyDescent="0.25">
      <c r="A105" s="8">
        <v>42773.476377314815</v>
      </c>
      <c r="B105" s="20" t="s">
        <v>362</v>
      </c>
      <c r="C105" s="20" t="s">
        <v>582</v>
      </c>
      <c r="D105" s="150">
        <v>1180000</v>
      </c>
      <c r="E105" s="20" t="s">
        <v>407</v>
      </c>
      <c r="F105" s="20" t="s">
        <v>408</v>
      </c>
      <c r="G105" s="8" t="str">
        <f t="shared" si="1"/>
        <v>LEVERE CRAIG</v>
      </c>
    </row>
    <row r="106" spans="1:7" x14ac:dyDescent="0.25">
      <c r="A106" s="8">
        <v>42773.484502314815</v>
      </c>
      <c r="B106" s="20" t="s">
        <v>231</v>
      </c>
      <c r="C106" s="20" t="s">
        <v>583</v>
      </c>
      <c r="D106" s="150">
        <v>2270000</v>
      </c>
      <c r="E106" s="20" t="s">
        <v>244</v>
      </c>
      <c r="F106" s="20" t="s">
        <v>245</v>
      </c>
      <c r="G106" s="8" t="str">
        <f t="shared" si="1"/>
        <v>BROWN JACOB</v>
      </c>
    </row>
    <row r="107" spans="1:7" x14ac:dyDescent="0.25">
      <c r="A107" s="8">
        <v>42773.485937500001</v>
      </c>
      <c r="B107" s="20" t="s">
        <v>368</v>
      </c>
      <c r="C107" s="20" t="s">
        <v>584</v>
      </c>
      <c r="D107" s="150">
        <v>900000</v>
      </c>
      <c r="E107" s="20" t="s">
        <v>400</v>
      </c>
      <c r="F107" s="20" t="s">
        <v>401</v>
      </c>
      <c r="G107" s="8" t="str">
        <f t="shared" si="1"/>
        <v>ROCHA YAOTL</v>
      </c>
    </row>
    <row r="108" spans="1:7" x14ac:dyDescent="0.25">
      <c r="A108" s="8">
        <v>42773.486493055556</v>
      </c>
      <c r="B108" s="20" t="s">
        <v>192</v>
      </c>
      <c r="C108" s="20" t="s">
        <v>585</v>
      </c>
      <c r="D108" s="150">
        <v>1360000</v>
      </c>
      <c r="E108" s="20" t="s">
        <v>268</v>
      </c>
      <c r="F108" s="20" t="s">
        <v>269</v>
      </c>
      <c r="G108" s="8" t="str">
        <f t="shared" si="1"/>
        <v>SANTIZO D. EDY</v>
      </c>
    </row>
    <row r="109" spans="1:7" x14ac:dyDescent="0.25">
      <c r="A109" s="8">
        <v>42773.495682870373</v>
      </c>
      <c r="B109" s="20" t="s">
        <v>535</v>
      </c>
      <c r="C109" s="20" t="s">
        <v>586</v>
      </c>
      <c r="D109" s="150">
        <v>2350000</v>
      </c>
      <c r="E109" s="20" t="s">
        <v>366</v>
      </c>
      <c r="F109" s="20" t="s">
        <v>367</v>
      </c>
      <c r="G109" s="8" t="str">
        <f t="shared" si="1"/>
        <v>BERLING GARY</v>
      </c>
    </row>
    <row r="110" spans="1:7" x14ac:dyDescent="0.25">
      <c r="A110" s="8">
        <v>42773.496319444443</v>
      </c>
      <c r="B110" s="20" t="s">
        <v>223</v>
      </c>
      <c r="C110" s="20" t="s">
        <v>587</v>
      </c>
      <c r="D110" s="150">
        <v>920000</v>
      </c>
      <c r="E110" s="20" t="s">
        <v>364</v>
      </c>
      <c r="F110" s="20" t="s">
        <v>206</v>
      </c>
      <c r="G110" s="8" t="str">
        <f t="shared" si="1"/>
        <v>DAVIS MICHAEL</v>
      </c>
    </row>
    <row r="111" spans="1:7" x14ac:dyDescent="0.25">
      <c r="A111" s="8">
        <v>42773.503599537034</v>
      </c>
      <c r="B111" s="20" t="s">
        <v>229</v>
      </c>
      <c r="C111" s="20" t="s">
        <v>588</v>
      </c>
      <c r="D111" s="150">
        <v>2040000</v>
      </c>
      <c r="E111" s="20" t="s">
        <v>403</v>
      </c>
      <c r="F111" s="20" t="s">
        <v>404</v>
      </c>
      <c r="G111" s="8" t="str">
        <f t="shared" si="1"/>
        <v>MOSES BRADLEY</v>
      </c>
    </row>
    <row r="112" spans="1:7" x14ac:dyDescent="0.25">
      <c r="A112" s="8">
        <v>42773.506307870368</v>
      </c>
      <c r="B112" s="20" t="s">
        <v>197</v>
      </c>
      <c r="C112" s="20" t="s">
        <v>589</v>
      </c>
      <c r="D112" s="150">
        <v>2470000</v>
      </c>
      <c r="E112" s="20" t="s">
        <v>370</v>
      </c>
      <c r="F112" s="20" t="s">
        <v>371</v>
      </c>
      <c r="G112" s="8" t="str">
        <f t="shared" si="1"/>
        <v>ROMERO CHAD</v>
      </c>
    </row>
    <row r="113" spans="1:7" x14ac:dyDescent="0.25">
      <c r="A113" s="8">
        <v>42773.508356481485</v>
      </c>
      <c r="B113" s="20" t="s">
        <v>232</v>
      </c>
      <c r="C113" s="20" t="s">
        <v>590</v>
      </c>
      <c r="D113" s="150">
        <v>2270000</v>
      </c>
      <c r="E113" s="20" t="s">
        <v>244</v>
      </c>
      <c r="F113" s="20" t="s">
        <v>245</v>
      </c>
      <c r="G113" s="8" t="str">
        <f t="shared" si="1"/>
        <v>BROWN JACOB</v>
      </c>
    </row>
    <row r="114" spans="1:7" x14ac:dyDescent="0.25">
      <c r="A114" s="8">
        <v>42773.512361111112</v>
      </c>
      <c r="B114" s="20" t="s">
        <v>369</v>
      </c>
      <c r="C114" s="20" t="s">
        <v>591</v>
      </c>
      <c r="D114" s="150">
        <v>1180000</v>
      </c>
      <c r="E114" s="20" t="s">
        <v>407</v>
      </c>
      <c r="F114" s="20" t="s">
        <v>408</v>
      </c>
      <c r="G114" s="8" t="str">
        <f t="shared" si="1"/>
        <v>LEVERE CRAIG</v>
      </c>
    </row>
    <row r="115" spans="1:7" x14ac:dyDescent="0.25">
      <c r="A115" s="8">
        <v>42773.516469907408</v>
      </c>
      <c r="B115" s="20" t="s">
        <v>195</v>
      </c>
      <c r="C115" s="20" t="s">
        <v>592</v>
      </c>
      <c r="D115" s="150">
        <v>1360000</v>
      </c>
      <c r="E115" s="20" t="s">
        <v>268</v>
      </c>
      <c r="F115" s="20" t="s">
        <v>269</v>
      </c>
      <c r="G115" s="8" t="str">
        <f t="shared" si="1"/>
        <v>SANTIZO D. EDY</v>
      </c>
    </row>
    <row r="116" spans="1:7" x14ac:dyDescent="0.25">
      <c r="A116" s="8">
        <v>42773.517905092594</v>
      </c>
      <c r="B116" s="20" t="s">
        <v>359</v>
      </c>
      <c r="C116" s="20" t="s">
        <v>474</v>
      </c>
      <c r="D116" s="150">
        <v>2420000</v>
      </c>
      <c r="E116" s="20" t="s">
        <v>593</v>
      </c>
      <c r="F116" s="20" t="s">
        <v>594</v>
      </c>
      <c r="G116" s="8" t="str">
        <f t="shared" si="1"/>
        <v>HOLCOMB KAMDEN</v>
      </c>
    </row>
    <row r="117" spans="1:7" x14ac:dyDescent="0.25">
      <c r="A117" s="8">
        <v>42773.526018518518</v>
      </c>
      <c r="B117" s="20" t="s">
        <v>231</v>
      </c>
      <c r="C117" s="20" t="s">
        <v>595</v>
      </c>
      <c r="D117" s="150">
        <v>2270000</v>
      </c>
      <c r="E117" s="20" t="s">
        <v>244</v>
      </c>
      <c r="F117" s="20" t="s">
        <v>245</v>
      </c>
      <c r="G117" s="8" t="str">
        <f t="shared" si="1"/>
        <v>BROWN JACOB</v>
      </c>
    </row>
    <row r="118" spans="1:7" x14ac:dyDescent="0.25">
      <c r="A118" s="8">
        <v>42773.528182870374</v>
      </c>
      <c r="B118" s="20" t="s">
        <v>246</v>
      </c>
      <c r="C118" s="20" t="s">
        <v>596</v>
      </c>
      <c r="D118" s="150">
        <v>920000</v>
      </c>
      <c r="E118" s="20" t="s">
        <v>364</v>
      </c>
      <c r="F118" s="20" t="s">
        <v>206</v>
      </c>
      <c r="G118" s="8" t="str">
        <f t="shared" si="1"/>
        <v>DAVIS MICHAEL</v>
      </c>
    </row>
    <row r="119" spans="1:7" x14ac:dyDescent="0.25">
      <c r="A119" s="8">
        <v>42773.5312962963</v>
      </c>
      <c r="B119" s="20" t="s">
        <v>477</v>
      </c>
      <c r="C119" s="20" t="s">
        <v>597</v>
      </c>
      <c r="D119" s="150">
        <v>2350000</v>
      </c>
      <c r="E119" s="20" t="s">
        <v>366</v>
      </c>
      <c r="F119" s="20" t="s">
        <v>367</v>
      </c>
      <c r="G119" s="8" t="str">
        <f t="shared" si="1"/>
        <v>BERLING GARY</v>
      </c>
    </row>
    <row r="120" spans="1:7" x14ac:dyDescent="0.25">
      <c r="A120" s="8">
        <v>42773.537303240744</v>
      </c>
      <c r="B120" s="20" t="s">
        <v>363</v>
      </c>
      <c r="C120" s="20" t="s">
        <v>598</v>
      </c>
      <c r="D120" s="150">
        <v>2470000</v>
      </c>
      <c r="E120" s="20" t="s">
        <v>370</v>
      </c>
      <c r="F120" s="20" t="s">
        <v>371</v>
      </c>
      <c r="G120" s="8" t="str">
        <f t="shared" si="1"/>
        <v>ROMERO CHAD</v>
      </c>
    </row>
    <row r="121" spans="1:7" x14ac:dyDescent="0.25">
      <c r="A121" s="8">
        <v>42773.538912037038</v>
      </c>
      <c r="B121" s="20" t="s">
        <v>228</v>
      </c>
      <c r="C121" s="20" t="s">
        <v>476</v>
      </c>
      <c r="D121" s="150">
        <v>2040000</v>
      </c>
      <c r="E121" s="20" t="s">
        <v>403</v>
      </c>
      <c r="F121" s="20" t="s">
        <v>404</v>
      </c>
      <c r="G121" s="8" t="str">
        <f t="shared" si="1"/>
        <v>MOSES BRADLEY</v>
      </c>
    </row>
    <row r="122" spans="1:7" x14ac:dyDescent="0.25">
      <c r="A122" s="8">
        <v>42773.547951388886</v>
      </c>
      <c r="B122" s="25" t="s">
        <v>362</v>
      </c>
      <c r="C122" s="20" t="s">
        <v>599</v>
      </c>
      <c r="D122" s="150">
        <v>1180000</v>
      </c>
      <c r="E122" s="20" t="s">
        <v>407</v>
      </c>
      <c r="F122" s="20" t="s">
        <v>408</v>
      </c>
      <c r="G122" s="8" t="str">
        <f t="shared" si="1"/>
        <v>LEVERE CRAIG</v>
      </c>
    </row>
    <row r="123" spans="1:7" x14ac:dyDescent="0.25">
      <c r="A123" s="8">
        <v>42773.549930555557</v>
      </c>
      <c r="B123" s="20" t="s">
        <v>232</v>
      </c>
      <c r="C123" s="20" t="s">
        <v>600</v>
      </c>
      <c r="D123" s="150">
        <v>1300000</v>
      </c>
      <c r="E123" s="20" t="s">
        <v>373</v>
      </c>
      <c r="F123" s="20" t="s">
        <v>374</v>
      </c>
      <c r="G123" s="8" t="str">
        <f t="shared" si="1"/>
        <v>LEVIN SCOTT</v>
      </c>
    </row>
    <row r="124" spans="1:7" x14ac:dyDescent="0.25">
      <c r="A124" s="8">
        <v>42773.553287037037</v>
      </c>
      <c r="B124" s="20" t="s">
        <v>368</v>
      </c>
      <c r="C124" s="20" t="s">
        <v>601</v>
      </c>
      <c r="D124" s="150">
        <v>2420000</v>
      </c>
      <c r="E124" s="20" t="s">
        <v>593</v>
      </c>
      <c r="F124" s="20" t="s">
        <v>594</v>
      </c>
      <c r="G124" s="8" t="str">
        <f t="shared" si="1"/>
        <v>HOLCOMB KAMDEN</v>
      </c>
    </row>
    <row r="125" spans="1:7" x14ac:dyDescent="0.25">
      <c r="A125" s="8">
        <v>42773.557002314818</v>
      </c>
      <c r="B125" s="20" t="s">
        <v>192</v>
      </c>
      <c r="C125" s="20" t="s">
        <v>602</v>
      </c>
      <c r="D125" s="150">
        <v>930000</v>
      </c>
      <c r="E125" s="20" t="s">
        <v>405</v>
      </c>
      <c r="F125" s="20" t="s">
        <v>406</v>
      </c>
      <c r="G125" s="8" t="str">
        <f t="shared" si="1"/>
        <v>CLARK KATHLEEN</v>
      </c>
    </row>
    <row r="126" spans="1:7" x14ac:dyDescent="0.25">
      <c r="A126" s="8">
        <v>42773.56722222222</v>
      </c>
      <c r="B126" s="20" t="s">
        <v>231</v>
      </c>
      <c r="C126" s="20" t="s">
        <v>603</v>
      </c>
      <c r="D126" s="150">
        <v>1300000</v>
      </c>
      <c r="E126" s="20" t="s">
        <v>373</v>
      </c>
      <c r="F126" s="20" t="s">
        <v>374</v>
      </c>
      <c r="G126" s="8" t="str">
        <f t="shared" si="1"/>
        <v>LEVIN SCOTT</v>
      </c>
    </row>
    <row r="127" spans="1:7" x14ac:dyDescent="0.25">
      <c r="A127" s="8">
        <v>42773.568784722222</v>
      </c>
      <c r="B127" s="20" t="s">
        <v>535</v>
      </c>
      <c r="C127" s="20" t="s">
        <v>604</v>
      </c>
      <c r="D127" s="150">
        <v>2350000</v>
      </c>
      <c r="E127" s="20" t="s">
        <v>366</v>
      </c>
      <c r="F127" s="20" t="s">
        <v>367</v>
      </c>
      <c r="G127" s="8" t="str">
        <f t="shared" si="1"/>
        <v>BERLING GARY</v>
      </c>
    </row>
    <row r="128" spans="1:7" x14ac:dyDescent="0.25">
      <c r="A128" s="8">
        <v>42773.569386574076</v>
      </c>
      <c r="B128" s="20" t="s">
        <v>223</v>
      </c>
      <c r="C128" s="20" t="s">
        <v>605</v>
      </c>
      <c r="D128" s="150">
        <v>920000</v>
      </c>
      <c r="E128" s="20" t="s">
        <v>364</v>
      </c>
      <c r="F128" s="20" t="s">
        <v>206</v>
      </c>
      <c r="G128" s="8" t="str">
        <f t="shared" si="1"/>
        <v>DAVIS MICHAEL</v>
      </c>
    </row>
    <row r="129" spans="1:7" x14ac:dyDescent="0.25">
      <c r="A129" s="8">
        <v>42773.575150462966</v>
      </c>
      <c r="B129" s="20" t="s">
        <v>229</v>
      </c>
      <c r="C129" s="20" t="s">
        <v>606</v>
      </c>
      <c r="D129" s="150">
        <v>2040000</v>
      </c>
      <c r="E129" s="20" t="s">
        <v>403</v>
      </c>
      <c r="F129" s="20" t="s">
        <v>404</v>
      </c>
      <c r="G129" s="8" t="str">
        <f t="shared" si="1"/>
        <v>MOSES BRADLEY</v>
      </c>
    </row>
    <row r="130" spans="1:7" x14ac:dyDescent="0.25">
      <c r="A130" s="8">
        <v>42773.577916666669</v>
      </c>
      <c r="B130" s="20" t="s">
        <v>197</v>
      </c>
      <c r="C130" s="20" t="s">
        <v>607</v>
      </c>
      <c r="D130" s="150">
        <v>2470000</v>
      </c>
      <c r="E130" s="20" t="s">
        <v>370</v>
      </c>
      <c r="F130" s="20" t="s">
        <v>371</v>
      </c>
      <c r="G130" s="8" t="str">
        <f t="shared" si="1"/>
        <v>ROMERO CHAD</v>
      </c>
    </row>
    <row r="131" spans="1:7" x14ac:dyDescent="0.25">
      <c r="A131" s="8">
        <v>42773.585104166668</v>
      </c>
      <c r="B131" s="20" t="s">
        <v>369</v>
      </c>
      <c r="C131" s="20" t="s">
        <v>608</v>
      </c>
      <c r="D131" s="150">
        <v>1180000</v>
      </c>
      <c r="E131" s="20" t="s">
        <v>407</v>
      </c>
      <c r="F131" s="20" t="s">
        <v>408</v>
      </c>
      <c r="G131" s="8" t="str">
        <f t="shared" ref="G131:G194" si="2">E131&amp;" "&amp;F131</f>
        <v>LEVERE CRAIG</v>
      </c>
    </row>
    <row r="132" spans="1:7" x14ac:dyDescent="0.25">
      <c r="A132" s="8">
        <v>42773.589004629626</v>
      </c>
      <c r="B132" s="20" t="s">
        <v>359</v>
      </c>
      <c r="C132" s="20" t="s">
        <v>609</v>
      </c>
      <c r="D132" s="150">
        <v>1190000</v>
      </c>
      <c r="E132" s="20" t="s">
        <v>610</v>
      </c>
      <c r="F132" s="20" t="s">
        <v>611</v>
      </c>
      <c r="G132" s="8" t="str">
        <f t="shared" si="2"/>
        <v>BRANNON JEFFREY</v>
      </c>
    </row>
    <row r="133" spans="1:7" x14ac:dyDescent="0.25">
      <c r="A133" s="8">
        <v>42773.591180555559</v>
      </c>
      <c r="B133" s="20" t="s">
        <v>232</v>
      </c>
      <c r="C133" s="20" t="s">
        <v>612</v>
      </c>
      <c r="D133" s="150">
        <v>1300000</v>
      </c>
      <c r="E133" s="20" t="s">
        <v>373</v>
      </c>
      <c r="F133" s="20" t="s">
        <v>374</v>
      </c>
      <c r="G133" s="8" t="str">
        <f t="shared" si="2"/>
        <v>LEVIN SCOTT</v>
      </c>
    </row>
    <row r="134" spans="1:7" x14ac:dyDescent="0.25">
      <c r="A134" s="8">
        <v>42773.59684027778</v>
      </c>
      <c r="B134" s="20" t="s">
        <v>195</v>
      </c>
      <c r="C134" s="20" t="s">
        <v>613</v>
      </c>
      <c r="D134" s="150">
        <v>930000</v>
      </c>
      <c r="E134" s="20" t="s">
        <v>405</v>
      </c>
      <c r="F134" s="20" t="s">
        <v>406</v>
      </c>
      <c r="G134" s="8" t="str">
        <f t="shared" si="2"/>
        <v>CLARK KATHLEEN</v>
      </c>
    </row>
    <row r="135" spans="1:7" x14ac:dyDescent="0.25">
      <c r="A135" s="8">
        <v>42773.601435185185</v>
      </c>
      <c r="B135" s="20" t="s">
        <v>246</v>
      </c>
      <c r="C135" s="20" t="s">
        <v>614</v>
      </c>
      <c r="D135" s="150">
        <v>920000</v>
      </c>
      <c r="E135" s="20" t="s">
        <v>364</v>
      </c>
      <c r="F135" s="20" t="s">
        <v>206</v>
      </c>
      <c r="G135" s="8" t="str">
        <f t="shared" si="2"/>
        <v>DAVIS MICHAEL</v>
      </c>
    </row>
    <row r="136" spans="1:7" x14ac:dyDescent="0.25">
      <c r="A136" s="8">
        <v>42773.606122685182</v>
      </c>
      <c r="B136" s="20" t="s">
        <v>477</v>
      </c>
      <c r="C136" s="20" t="s">
        <v>478</v>
      </c>
      <c r="D136" s="150">
        <v>2350000</v>
      </c>
      <c r="E136" s="20" t="s">
        <v>366</v>
      </c>
      <c r="F136" s="20" t="s">
        <v>367</v>
      </c>
      <c r="G136" s="8" t="str">
        <f t="shared" si="2"/>
        <v>BERLING GARY</v>
      </c>
    </row>
    <row r="137" spans="1:7" x14ac:dyDescent="0.25">
      <c r="A137" s="8">
        <v>42773.609386574077</v>
      </c>
      <c r="B137" s="20" t="s">
        <v>231</v>
      </c>
      <c r="C137" s="20" t="s">
        <v>615</v>
      </c>
      <c r="D137" s="150">
        <v>1300000</v>
      </c>
      <c r="E137" s="20" t="s">
        <v>373</v>
      </c>
      <c r="F137" s="20" t="s">
        <v>374</v>
      </c>
      <c r="G137" s="8" t="str">
        <f t="shared" si="2"/>
        <v>LEVIN SCOTT</v>
      </c>
    </row>
    <row r="138" spans="1:7" x14ac:dyDescent="0.25">
      <c r="A138" s="8">
        <v>42773.610046296293</v>
      </c>
      <c r="B138" s="20" t="s">
        <v>228</v>
      </c>
      <c r="C138" s="20" t="s">
        <v>616</v>
      </c>
      <c r="D138" s="150">
        <v>2040000</v>
      </c>
      <c r="E138" s="20" t="s">
        <v>403</v>
      </c>
      <c r="F138" s="20" t="s">
        <v>404</v>
      </c>
      <c r="G138" s="8" t="str">
        <f t="shared" si="2"/>
        <v>MOSES BRADLEY</v>
      </c>
    </row>
    <row r="139" spans="1:7" x14ac:dyDescent="0.25">
      <c r="A139" s="8">
        <v>42773.610069444447</v>
      </c>
      <c r="B139" s="20" t="s">
        <v>363</v>
      </c>
      <c r="C139" s="20" t="s">
        <v>617</v>
      </c>
      <c r="D139" s="150">
        <v>2470000</v>
      </c>
      <c r="E139" s="20" t="s">
        <v>370</v>
      </c>
      <c r="F139" s="20" t="s">
        <v>371</v>
      </c>
      <c r="G139" s="8" t="str">
        <f t="shared" si="2"/>
        <v>ROMERO CHAD</v>
      </c>
    </row>
    <row r="140" spans="1:7" x14ac:dyDescent="0.25">
      <c r="A140" s="8">
        <v>42773.621944444443</v>
      </c>
      <c r="B140" s="20" t="s">
        <v>362</v>
      </c>
      <c r="C140" s="20" t="s">
        <v>618</v>
      </c>
      <c r="D140" s="150">
        <v>1180000</v>
      </c>
      <c r="E140" s="20" t="s">
        <v>407</v>
      </c>
      <c r="F140" s="20" t="s">
        <v>408</v>
      </c>
      <c r="G140" s="8" t="str">
        <f t="shared" si="2"/>
        <v>LEVERE CRAIG</v>
      </c>
    </row>
    <row r="141" spans="1:7" x14ac:dyDescent="0.25">
      <c r="A141" s="8">
        <v>42773.630011574074</v>
      </c>
      <c r="B141" s="20" t="s">
        <v>368</v>
      </c>
      <c r="C141" s="20" t="s">
        <v>619</v>
      </c>
      <c r="D141" s="150">
        <v>1190000</v>
      </c>
      <c r="E141" s="20" t="s">
        <v>610</v>
      </c>
      <c r="F141" s="20" t="s">
        <v>611</v>
      </c>
      <c r="G141" s="8" t="str">
        <f t="shared" si="2"/>
        <v>BRANNON JEFFREY</v>
      </c>
    </row>
    <row r="142" spans="1:7" x14ac:dyDescent="0.25">
      <c r="A142" s="8">
        <v>42773.630960648145</v>
      </c>
      <c r="B142" s="20" t="s">
        <v>192</v>
      </c>
      <c r="C142" s="20" t="s">
        <v>620</v>
      </c>
      <c r="D142" s="150">
        <v>930000</v>
      </c>
      <c r="E142" s="20" t="s">
        <v>405</v>
      </c>
      <c r="F142" s="20" t="s">
        <v>406</v>
      </c>
      <c r="G142" s="8" t="str">
        <f t="shared" si="2"/>
        <v>CLARK KATHLEEN</v>
      </c>
    </row>
    <row r="143" spans="1:7" x14ac:dyDescent="0.25">
      <c r="A143" s="8">
        <v>42773.635891203703</v>
      </c>
      <c r="B143" s="20" t="s">
        <v>232</v>
      </c>
      <c r="C143" s="20" t="s">
        <v>621</v>
      </c>
      <c r="D143" s="150">
        <v>1300000</v>
      </c>
      <c r="E143" s="20" t="s">
        <v>373</v>
      </c>
      <c r="F143" s="20" t="s">
        <v>374</v>
      </c>
      <c r="G143" s="8" t="str">
        <f t="shared" si="2"/>
        <v>LEVIN SCOTT</v>
      </c>
    </row>
    <row r="144" spans="1:7" x14ac:dyDescent="0.25">
      <c r="A144" s="8">
        <v>42773.640520833331</v>
      </c>
      <c r="B144" s="20" t="s">
        <v>223</v>
      </c>
      <c r="C144" s="20" t="s">
        <v>622</v>
      </c>
      <c r="D144" s="150">
        <v>920000</v>
      </c>
      <c r="E144" s="20" t="s">
        <v>364</v>
      </c>
      <c r="F144" s="20" t="s">
        <v>206</v>
      </c>
      <c r="G144" s="8" t="str">
        <f t="shared" si="2"/>
        <v>DAVIS MICHAEL</v>
      </c>
    </row>
    <row r="145" spans="1:7" x14ac:dyDescent="0.25">
      <c r="A145" s="8">
        <v>42773.642638888887</v>
      </c>
      <c r="B145" s="20" t="s">
        <v>535</v>
      </c>
      <c r="C145" s="20" t="s">
        <v>623</v>
      </c>
      <c r="D145" s="150">
        <v>2350000</v>
      </c>
      <c r="E145" s="20" t="s">
        <v>366</v>
      </c>
      <c r="F145" s="20" t="s">
        <v>367</v>
      </c>
      <c r="G145" s="8" t="str">
        <f t="shared" si="2"/>
        <v>BERLING GARY</v>
      </c>
    </row>
    <row r="146" spans="1:7" x14ac:dyDescent="0.25">
      <c r="A146" s="8">
        <v>42773.64366898148</v>
      </c>
      <c r="B146" s="20" t="s">
        <v>290</v>
      </c>
      <c r="C146" s="20" t="s">
        <v>479</v>
      </c>
      <c r="D146" s="150">
        <v>2220000</v>
      </c>
      <c r="E146" s="20" t="s">
        <v>226</v>
      </c>
      <c r="F146" s="20" t="s">
        <v>227</v>
      </c>
      <c r="G146" s="8" t="str">
        <f t="shared" si="2"/>
        <v>HILLS DUSTIN</v>
      </c>
    </row>
    <row r="147" spans="1:7" x14ac:dyDescent="0.25">
      <c r="A147" s="8">
        <v>42773.64984953704</v>
      </c>
      <c r="B147" s="20" t="s">
        <v>229</v>
      </c>
      <c r="C147" s="20" t="s">
        <v>624</v>
      </c>
      <c r="D147" s="150">
        <v>2040000</v>
      </c>
      <c r="E147" s="20" t="s">
        <v>403</v>
      </c>
      <c r="F147" s="20" t="s">
        <v>404</v>
      </c>
      <c r="G147" s="8" t="str">
        <f t="shared" si="2"/>
        <v>MOSES BRADLEY</v>
      </c>
    </row>
    <row r="148" spans="1:7" x14ac:dyDescent="0.25">
      <c r="A148" s="8">
        <v>42773.651134259257</v>
      </c>
      <c r="B148" s="20" t="s">
        <v>231</v>
      </c>
      <c r="C148" s="20" t="s">
        <v>480</v>
      </c>
      <c r="D148" s="150">
        <v>1300000</v>
      </c>
      <c r="E148" s="20" t="s">
        <v>373</v>
      </c>
      <c r="F148" s="20" t="s">
        <v>374</v>
      </c>
      <c r="G148" s="8" t="str">
        <f t="shared" si="2"/>
        <v>LEVIN SCOTT</v>
      </c>
    </row>
    <row r="149" spans="1:7" x14ac:dyDescent="0.25">
      <c r="A149" s="8">
        <v>42773.652256944442</v>
      </c>
      <c r="B149" s="20" t="s">
        <v>197</v>
      </c>
      <c r="C149" s="20" t="s">
        <v>625</v>
      </c>
      <c r="D149" s="150">
        <v>2470000</v>
      </c>
      <c r="E149" s="20" t="s">
        <v>370</v>
      </c>
      <c r="F149" s="20" t="s">
        <v>371</v>
      </c>
      <c r="G149" s="8" t="str">
        <f t="shared" si="2"/>
        <v>ROMERO CHAD</v>
      </c>
    </row>
    <row r="150" spans="1:7" x14ac:dyDescent="0.25">
      <c r="A150" s="8">
        <v>42773.652442129627</v>
      </c>
      <c r="B150" s="20" t="s">
        <v>289</v>
      </c>
      <c r="C150" s="20" t="s">
        <v>481</v>
      </c>
      <c r="D150" s="150">
        <v>2220000</v>
      </c>
      <c r="E150" s="20" t="s">
        <v>226</v>
      </c>
      <c r="F150" s="20" t="s">
        <v>227</v>
      </c>
      <c r="G150" s="8" t="str">
        <f t="shared" si="2"/>
        <v>HILLS DUSTIN</v>
      </c>
    </row>
    <row r="151" spans="1:7" x14ac:dyDescent="0.25">
      <c r="A151" s="8">
        <v>42773.659432870372</v>
      </c>
      <c r="B151" s="20" t="s">
        <v>369</v>
      </c>
      <c r="C151" s="20" t="s">
        <v>626</v>
      </c>
      <c r="D151" s="150">
        <v>1180000</v>
      </c>
      <c r="E151" s="20" t="s">
        <v>407</v>
      </c>
      <c r="F151" s="20" t="s">
        <v>408</v>
      </c>
      <c r="G151" s="8" t="str">
        <f t="shared" si="2"/>
        <v>LEVERE CRAIG</v>
      </c>
    </row>
    <row r="152" spans="1:7" x14ac:dyDescent="0.25">
      <c r="A152" s="8">
        <v>42773.659895833334</v>
      </c>
      <c r="B152" s="20" t="s">
        <v>359</v>
      </c>
      <c r="C152" s="20" t="s">
        <v>627</v>
      </c>
      <c r="D152" s="150">
        <v>1190000</v>
      </c>
      <c r="E152" s="20" t="s">
        <v>610</v>
      </c>
      <c r="F152" s="20" t="s">
        <v>611</v>
      </c>
      <c r="G152" s="8" t="str">
        <f t="shared" si="2"/>
        <v>BRANNON JEFFREY</v>
      </c>
    </row>
    <row r="153" spans="1:7" x14ac:dyDescent="0.25">
      <c r="A153" s="8">
        <v>42773.66920138889</v>
      </c>
      <c r="B153" s="20" t="s">
        <v>195</v>
      </c>
      <c r="C153" s="20" t="s">
        <v>628</v>
      </c>
      <c r="D153" s="150">
        <v>930000</v>
      </c>
      <c r="E153" s="20" t="s">
        <v>405</v>
      </c>
      <c r="F153" s="20" t="s">
        <v>406</v>
      </c>
      <c r="G153" s="8" t="str">
        <f t="shared" si="2"/>
        <v>CLARK KATHLEEN</v>
      </c>
    </row>
    <row r="154" spans="1:7" x14ac:dyDescent="0.25">
      <c r="A154" s="8">
        <v>42773.671516203707</v>
      </c>
      <c r="B154" s="20" t="s">
        <v>232</v>
      </c>
      <c r="C154" s="20" t="s">
        <v>629</v>
      </c>
      <c r="D154" s="150">
        <v>880000</v>
      </c>
      <c r="E154" s="20" t="s">
        <v>372</v>
      </c>
      <c r="F154" s="20" t="s">
        <v>206</v>
      </c>
      <c r="G154" s="8" t="str">
        <f t="shared" si="2"/>
        <v>STEWART MICHAEL</v>
      </c>
    </row>
    <row r="155" spans="1:7" x14ac:dyDescent="0.25">
      <c r="A155" s="8">
        <v>42773.674780092595</v>
      </c>
      <c r="B155" s="20" t="s">
        <v>246</v>
      </c>
      <c r="C155" s="20" t="s">
        <v>630</v>
      </c>
      <c r="D155" s="150">
        <v>920000</v>
      </c>
      <c r="E155" s="20" t="s">
        <v>364</v>
      </c>
      <c r="F155" s="20" t="s">
        <v>206</v>
      </c>
      <c r="G155" s="8" t="str">
        <f t="shared" si="2"/>
        <v>DAVIS MICHAEL</v>
      </c>
    </row>
    <row r="156" spans="1:7" x14ac:dyDescent="0.25">
      <c r="A156" s="8">
        <v>42773.675011574072</v>
      </c>
      <c r="B156" s="20" t="s">
        <v>290</v>
      </c>
      <c r="C156" s="20" t="s">
        <v>482</v>
      </c>
      <c r="D156" s="150">
        <v>2220000</v>
      </c>
      <c r="E156" s="20" t="s">
        <v>226</v>
      </c>
      <c r="F156" s="20" t="s">
        <v>227</v>
      </c>
      <c r="G156" s="8" t="str">
        <f t="shared" si="2"/>
        <v>HILLS DUSTIN</v>
      </c>
    </row>
    <row r="157" spans="1:7" x14ac:dyDescent="0.25">
      <c r="A157" s="8">
        <v>42773.679791666669</v>
      </c>
      <c r="B157" s="20" t="s">
        <v>477</v>
      </c>
      <c r="C157" s="20" t="s">
        <v>631</v>
      </c>
      <c r="D157" s="150">
        <v>2350000</v>
      </c>
      <c r="E157" s="20" t="s">
        <v>366</v>
      </c>
      <c r="F157" s="20" t="s">
        <v>367</v>
      </c>
      <c r="G157" s="8" t="str">
        <f t="shared" si="2"/>
        <v>BERLING GARY</v>
      </c>
    </row>
    <row r="158" spans="1:7" x14ac:dyDescent="0.25">
      <c r="A158" s="8">
        <v>42773.684039351851</v>
      </c>
      <c r="B158" s="20" t="s">
        <v>363</v>
      </c>
      <c r="C158" s="20" t="s">
        <v>632</v>
      </c>
      <c r="D158" s="150">
        <v>2470000</v>
      </c>
      <c r="E158" s="20" t="s">
        <v>370</v>
      </c>
      <c r="F158" s="20" t="s">
        <v>371</v>
      </c>
      <c r="G158" s="8" t="str">
        <f t="shared" si="2"/>
        <v>ROMERO CHAD</v>
      </c>
    </row>
    <row r="159" spans="1:7" x14ac:dyDescent="0.25">
      <c r="A159" s="8">
        <v>42773.684340277781</v>
      </c>
      <c r="B159" s="20" t="s">
        <v>228</v>
      </c>
      <c r="C159" s="20" t="s">
        <v>633</v>
      </c>
      <c r="D159" s="150">
        <v>2040000</v>
      </c>
      <c r="E159" s="20" t="s">
        <v>403</v>
      </c>
      <c r="F159" s="20" t="s">
        <v>404</v>
      </c>
      <c r="G159" s="8" t="str">
        <f t="shared" si="2"/>
        <v>MOSES BRADLEY</v>
      </c>
    </row>
    <row r="160" spans="1:7" x14ac:dyDescent="0.25">
      <c r="A160" s="8">
        <v>42773.686527777776</v>
      </c>
      <c r="B160" s="20" t="s">
        <v>289</v>
      </c>
      <c r="C160" s="20" t="s">
        <v>484</v>
      </c>
      <c r="D160" s="150">
        <v>2220000</v>
      </c>
      <c r="E160" s="20" t="s">
        <v>226</v>
      </c>
      <c r="F160" s="20" t="s">
        <v>227</v>
      </c>
      <c r="G160" s="8" t="str">
        <f t="shared" si="2"/>
        <v>HILLS DUSTIN</v>
      </c>
    </row>
    <row r="161" spans="1:7" x14ac:dyDescent="0.25">
      <c r="A161" s="8">
        <v>42773.693368055552</v>
      </c>
      <c r="B161" s="20" t="s">
        <v>368</v>
      </c>
      <c r="C161" s="20" t="s">
        <v>634</v>
      </c>
      <c r="D161" s="150">
        <v>1190000</v>
      </c>
      <c r="E161" s="20" t="s">
        <v>610</v>
      </c>
      <c r="F161" s="20" t="s">
        <v>611</v>
      </c>
      <c r="G161" s="8" t="str">
        <f t="shared" si="2"/>
        <v>BRANNON JEFFREY</v>
      </c>
    </row>
    <row r="162" spans="1:7" x14ac:dyDescent="0.25">
      <c r="A162" s="8">
        <v>42773.693541666667</v>
      </c>
      <c r="B162" s="20" t="s">
        <v>362</v>
      </c>
      <c r="C162" s="20" t="s">
        <v>635</v>
      </c>
      <c r="D162" s="150">
        <v>1180000</v>
      </c>
      <c r="E162" s="20" t="s">
        <v>407</v>
      </c>
      <c r="F162" s="20" t="s">
        <v>408</v>
      </c>
      <c r="G162" s="8" t="str">
        <f t="shared" si="2"/>
        <v>LEVERE CRAIG</v>
      </c>
    </row>
    <row r="163" spans="1:7" x14ac:dyDescent="0.25">
      <c r="A163" s="8">
        <v>42773.694085648145</v>
      </c>
      <c r="B163" s="20" t="s">
        <v>231</v>
      </c>
      <c r="C163" s="20" t="s">
        <v>483</v>
      </c>
      <c r="D163" s="150">
        <v>880000</v>
      </c>
      <c r="E163" s="20" t="s">
        <v>372</v>
      </c>
      <c r="F163" s="20" t="s">
        <v>206</v>
      </c>
      <c r="G163" s="8" t="str">
        <f t="shared" si="2"/>
        <v>STEWART MICHAEL</v>
      </c>
    </row>
    <row r="164" spans="1:7" x14ac:dyDescent="0.25">
      <c r="A164" s="8">
        <v>42773.704791666663</v>
      </c>
      <c r="B164" s="20" t="s">
        <v>192</v>
      </c>
      <c r="C164" s="20" t="s">
        <v>636</v>
      </c>
      <c r="D164" s="150">
        <v>930000</v>
      </c>
      <c r="E164" s="20" t="s">
        <v>405</v>
      </c>
      <c r="F164" s="20" t="s">
        <v>406</v>
      </c>
      <c r="G164" s="8" t="str">
        <f t="shared" si="2"/>
        <v>CLARK KATHLEEN</v>
      </c>
    </row>
    <row r="165" spans="1:7" x14ac:dyDescent="0.25">
      <c r="A165" s="8">
        <v>42773.713587962964</v>
      </c>
      <c r="B165" s="20" t="s">
        <v>290</v>
      </c>
      <c r="C165" s="20" t="s">
        <v>485</v>
      </c>
      <c r="D165" s="150">
        <v>2220000</v>
      </c>
      <c r="E165" s="20" t="s">
        <v>226</v>
      </c>
      <c r="F165" s="20" t="s">
        <v>227</v>
      </c>
      <c r="G165" s="8" t="str">
        <f t="shared" si="2"/>
        <v>HILLS DUSTIN</v>
      </c>
    </row>
    <row r="166" spans="1:7" x14ac:dyDescent="0.25">
      <c r="A166" s="8">
        <v>42773.714282407411</v>
      </c>
      <c r="B166" s="20" t="s">
        <v>223</v>
      </c>
      <c r="C166" s="20" t="s">
        <v>637</v>
      </c>
      <c r="D166" s="150">
        <v>920000</v>
      </c>
      <c r="E166" s="20" t="s">
        <v>364</v>
      </c>
      <c r="F166" s="20" t="s">
        <v>206</v>
      </c>
      <c r="G166" s="8" t="str">
        <f t="shared" si="2"/>
        <v>DAVIS MICHAEL</v>
      </c>
    </row>
    <row r="167" spans="1:7" x14ac:dyDescent="0.25">
      <c r="A167" s="8">
        <v>42773.717245370368</v>
      </c>
      <c r="B167" s="20" t="s">
        <v>535</v>
      </c>
      <c r="C167" s="20" t="s">
        <v>638</v>
      </c>
      <c r="D167" s="150">
        <v>1800000</v>
      </c>
      <c r="E167" s="20" t="s">
        <v>277</v>
      </c>
      <c r="F167" s="20" t="s">
        <v>278</v>
      </c>
      <c r="G167" s="8" t="str">
        <f t="shared" si="2"/>
        <v>CHANDLER KELVIN</v>
      </c>
    </row>
    <row r="168" spans="1:7" x14ac:dyDescent="0.25">
      <c r="A168" s="8">
        <v>42773.719166666669</v>
      </c>
      <c r="B168" s="20" t="s">
        <v>232</v>
      </c>
      <c r="C168" s="20" t="s">
        <v>639</v>
      </c>
      <c r="D168" s="150">
        <v>1300000</v>
      </c>
      <c r="E168" s="20" t="s">
        <v>373</v>
      </c>
      <c r="F168" s="20" t="s">
        <v>374</v>
      </c>
      <c r="G168" s="8" t="str">
        <f t="shared" si="2"/>
        <v>LEVIN SCOTT</v>
      </c>
    </row>
    <row r="169" spans="1:7" x14ac:dyDescent="0.25">
      <c r="A169" s="8">
        <v>42773.721377314818</v>
      </c>
      <c r="B169" s="20" t="s">
        <v>229</v>
      </c>
      <c r="C169" s="20" t="s">
        <v>640</v>
      </c>
      <c r="D169" s="150">
        <v>2040000</v>
      </c>
      <c r="E169" s="20" t="s">
        <v>403</v>
      </c>
      <c r="F169" s="20" t="s">
        <v>404</v>
      </c>
      <c r="G169" s="8" t="str">
        <f t="shared" si="2"/>
        <v>MOSES BRADLEY</v>
      </c>
    </row>
    <row r="170" spans="1:7" x14ac:dyDescent="0.25">
      <c r="A170" s="8">
        <v>42773.726018518515</v>
      </c>
      <c r="B170" s="20" t="s">
        <v>197</v>
      </c>
      <c r="C170" s="20" t="s">
        <v>486</v>
      </c>
      <c r="D170" s="150">
        <v>2350000</v>
      </c>
      <c r="E170" s="20" t="s">
        <v>366</v>
      </c>
      <c r="F170" s="20" t="s">
        <v>367</v>
      </c>
      <c r="G170" s="8" t="str">
        <f t="shared" si="2"/>
        <v>BERLING GARY</v>
      </c>
    </row>
    <row r="171" spans="1:7" x14ac:dyDescent="0.25">
      <c r="A171" s="8">
        <v>42773.726863425924</v>
      </c>
      <c r="B171" s="20" t="s">
        <v>395</v>
      </c>
      <c r="C171" s="20" t="s">
        <v>641</v>
      </c>
      <c r="D171" s="150">
        <v>1760000</v>
      </c>
      <c r="E171" s="20" t="s">
        <v>642</v>
      </c>
      <c r="F171" s="20" t="s">
        <v>643</v>
      </c>
      <c r="G171" s="8" t="str">
        <f t="shared" si="2"/>
        <v>STRICKLAND EVAN</v>
      </c>
    </row>
    <row r="172" spans="1:7" x14ac:dyDescent="0.25">
      <c r="A172" s="8">
        <v>42773.727951388886</v>
      </c>
      <c r="B172" s="20" t="s">
        <v>289</v>
      </c>
      <c r="C172" s="20" t="s">
        <v>644</v>
      </c>
      <c r="D172" s="150">
        <v>2220000</v>
      </c>
      <c r="E172" s="20" t="s">
        <v>226</v>
      </c>
      <c r="F172" s="20" t="s">
        <v>227</v>
      </c>
      <c r="G172" s="8" t="str">
        <f t="shared" si="2"/>
        <v>HILLS DUSTIN</v>
      </c>
    </row>
    <row r="173" spans="1:7" x14ac:dyDescent="0.25">
      <c r="A173" s="8">
        <v>42773.729791666665</v>
      </c>
      <c r="B173" s="20" t="s">
        <v>369</v>
      </c>
      <c r="C173" s="20" t="s">
        <v>645</v>
      </c>
      <c r="D173" s="150">
        <v>1180000</v>
      </c>
      <c r="E173" s="20" t="s">
        <v>407</v>
      </c>
      <c r="F173" s="20" t="s">
        <v>408</v>
      </c>
      <c r="G173" s="8" t="str">
        <f t="shared" si="2"/>
        <v>LEVERE CRAIG</v>
      </c>
    </row>
    <row r="174" spans="1:7" x14ac:dyDescent="0.25">
      <c r="A174" s="8">
        <v>42773.731770833336</v>
      </c>
      <c r="B174" s="20" t="s">
        <v>395</v>
      </c>
      <c r="C174" s="20" t="s">
        <v>641</v>
      </c>
      <c r="D174" s="150">
        <v>2420000</v>
      </c>
      <c r="E174" s="20" t="s">
        <v>593</v>
      </c>
      <c r="F174" s="20" t="s">
        <v>594</v>
      </c>
      <c r="G174" s="8" t="str">
        <f t="shared" si="2"/>
        <v>HOLCOMB KAMDEN</v>
      </c>
    </row>
    <row r="175" spans="1:7" x14ac:dyDescent="0.25">
      <c r="A175" s="8">
        <v>42773.734525462962</v>
      </c>
      <c r="B175" s="20" t="s">
        <v>231</v>
      </c>
      <c r="C175" s="20" t="s">
        <v>646</v>
      </c>
      <c r="D175" s="150">
        <v>1300000</v>
      </c>
      <c r="E175" s="20" t="s">
        <v>373</v>
      </c>
      <c r="F175" s="20" t="s">
        <v>374</v>
      </c>
      <c r="G175" s="8" t="str">
        <f t="shared" si="2"/>
        <v>LEVIN SCOTT</v>
      </c>
    </row>
    <row r="176" spans="1:7" x14ac:dyDescent="0.25">
      <c r="A176" s="8">
        <v>42773.736516203702</v>
      </c>
      <c r="B176" s="20" t="s">
        <v>359</v>
      </c>
      <c r="C176" s="20" t="s">
        <v>647</v>
      </c>
      <c r="D176" s="150">
        <v>2630000</v>
      </c>
      <c r="E176" s="20" t="s">
        <v>360</v>
      </c>
      <c r="F176" s="20" t="s">
        <v>361</v>
      </c>
      <c r="G176" s="8" t="str">
        <f t="shared" si="2"/>
        <v>SAFIEF AEIMEN</v>
      </c>
    </row>
    <row r="177" spans="1:7" x14ac:dyDescent="0.25">
      <c r="A177" s="8">
        <v>42773.741712962961</v>
      </c>
      <c r="B177" s="20" t="s">
        <v>195</v>
      </c>
      <c r="C177" s="20" t="s">
        <v>489</v>
      </c>
      <c r="D177" s="150">
        <v>930000</v>
      </c>
      <c r="E177" s="20" t="s">
        <v>405</v>
      </c>
      <c r="F177" s="20" t="s">
        <v>406</v>
      </c>
      <c r="G177" s="8" t="str">
        <f t="shared" si="2"/>
        <v>CLARK KATHLEEN</v>
      </c>
    </row>
    <row r="178" spans="1:7" x14ac:dyDescent="0.25">
      <c r="A178" s="8">
        <v>42773.746215277781</v>
      </c>
      <c r="B178" s="20" t="s">
        <v>246</v>
      </c>
      <c r="C178" s="20" t="s">
        <v>488</v>
      </c>
      <c r="D178" s="150">
        <v>1190000</v>
      </c>
      <c r="E178" s="20" t="s">
        <v>610</v>
      </c>
      <c r="F178" s="20" t="s">
        <v>611</v>
      </c>
      <c r="G178" s="8" t="str">
        <f t="shared" si="2"/>
        <v>BRANNON JEFFREY</v>
      </c>
    </row>
    <row r="179" spans="1:7" x14ac:dyDescent="0.25">
      <c r="A179" s="8">
        <v>42773.75104166667</v>
      </c>
      <c r="B179" s="20" t="s">
        <v>262</v>
      </c>
      <c r="C179" s="20" t="s">
        <v>487</v>
      </c>
      <c r="D179" s="150">
        <v>2000000</v>
      </c>
      <c r="E179" s="20" t="s">
        <v>263</v>
      </c>
      <c r="F179" s="20" t="s">
        <v>202</v>
      </c>
      <c r="G179" s="8" t="str">
        <f t="shared" si="2"/>
        <v>STAMBAUGH JAMES</v>
      </c>
    </row>
    <row r="180" spans="1:7" x14ac:dyDescent="0.25">
      <c r="A180" s="8">
        <v>42773.752314814818</v>
      </c>
      <c r="B180" s="20" t="s">
        <v>262</v>
      </c>
      <c r="C180" s="20" t="s">
        <v>487</v>
      </c>
      <c r="D180" s="150">
        <v>2000000</v>
      </c>
      <c r="E180" s="20" t="s">
        <v>263</v>
      </c>
      <c r="F180" s="20" t="s">
        <v>202</v>
      </c>
      <c r="G180" s="8" t="str">
        <f t="shared" si="2"/>
        <v>STAMBAUGH JAMES</v>
      </c>
    </row>
    <row r="181" spans="1:7" x14ac:dyDescent="0.25">
      <c r="A181" s="8">
        <v>42773.755046296297</v>
      </c>
      <c r="B181" s="20" t="s">
        <v>477</v>
      </c>
      <c r="C181" s="20" t="s">
        <v>648</v>
      </c>
      <c r="D181" s="150">
        <v>1800000</v>
      </c>
      <c r="E181" s="20" t="s">
        <v>277</v>
      </c>
      <c r="F181" s="20" t="s">
        <v>278</v>
      </c>
      <c r="G181" s="8" t="str">
        <f t="shared" si="2"/>
        <v>CHANDLER KELVIN</v>
      </c>
    </row>
    <row r="182" spans="1:7" x14ac:dyDescent="0.25">
      <c r="A182" s="8">
        <v>42773.755416666667</v>
      </c>
      <c r="B182" s="20" t="s">
        <v>290</v>
      </c>
      <c r="C182" s="20" t="s">
        <v>649</v>
      </c>
      <c r="D182" s="150">
        <v>2220000</v>
      </c>
      <c r="E182" s="20" t="s">
        <v>226</v>
      </c>
      <c r="F182" s="20" t="s">
        <v>227</v>
      </c>
      <c r="G182" s="8" t="str">
        <f t="shared" si="2"/>
        <v>HILLS DUSTIN</v>
      </c>
    </row>
    <row r="183" spans="1:7" x14ac:dyDescent="0.25">
      <c r="A183" s="8">
        <v>42773.757939814815</v>
      </c>
      <c r="B183" s="20" t="s">
        <v>232</v>
      </c>
      <c r="C183" s="20" t="s">
        <v>650</v>
      </c>
      <c r="D183" s="150">
        <v>1300000</v>
      </c>
      <c r="E183" s="20" t="s">
        <v>373</v>
      </c>
      <c r="F183" s="20" t="s">
        <v>374</v>
      </c>
      <c r="G183" s="8" t="str">
        <f t="shared" si="2"/>
        <v>LEVIN SCOTT</v>
      </c>
    </row>
    <row r="184" spans="1:7" x14ac:dyDescent="0.25">
      <c r="A184" s="8">
        <v>42773.758703703701</v>
      </c>
      <c r="B184" s="20" t="s">
        <v>228</v>
      </c>
      <c r="C184" s="20" t="s">
        <v>651</v>
      </c>
      <c r="D184" s="150">
        <v>1740000</v>
      </c>
      <c r="E184" s="20" t="s">
        <v>240</v>
      </c>
      <c r="F184" s="20" t="s">
        <v>241</v>
      </c>
      <c r="G184" s="8" t="str">
        <f t="shared" si="2"/>
        <v>STORY SAMANTHA</v>
      </c>
    </row>
    <row r="185" spans="1:7" x14ac:dyDescent="0.25">
      <c r="A185" s="8">
        <v>42773.767743055556</v>
      </c>
      <c r="B185" s="20" t="s">
        <v>363</v>
      </c>
      <c r="C185" s="20" t="s">
        <v>490</v>
      </c>
      <c r="D185" s="150">
        <v>2350000</v>
      </c>
      <c r="E185" s="20" t="s">
        <v>366</v>
      </c>
      <c r="F185" s="20" t="s">
        <v>367</v>
      </c>
      <c r="G185" s="8" t="str">
        <f t="shared" si="2"/>
        <v>BERLING GARY</v>
      </c>
    </row>
    <row r="186" spans="1:7" x14ac:dyDescent="0.25">
      <c r="A186" s="8">
        <v>42773.768159722225</v>
      </c>
      <c r="B186" s="20" t="s">
        <v>362</v>
      </c>
      <c r="C186" s="20" t="s">
        <v>652</v>
      </c>
      <c r="D186" s="150">
        <v>2000000</v>
      </c>
      <c r="E186" s="20" t="s">
        <v>263</v>
      </c>
      <c r="F186" s="20" t="s">
        <v>202</v>
      </c>
      <c r="G186" s="8" t="str">
        <f t="shared" si="2"/>
        <v>STAMBAUGH JAMES</v>
      </c>
    </row>
    <row r="187" spans="1:7" x14ac:dyDescent="0.25">
      <c r="A187" s="8">
        <v>42773.768657407411</v>
      </c>
      <c r="B187" s="20" t="s">
        <v>236</v>
      </c>
      <c r="C187" s="20" t="s">
        <v>653</v>
      </c>
      <c r="D187" s="150">
        <v>2680000</v>
      </c>
      <c r="E187" s="20" t="s">
        <v>654</v>
      </c>
      <c r="F187" s="20" t="s">
        <v>655</v>
      </c>
      <c r="G187" s="8" t="str">
        <f t="shared" si="2"/>
        <v>DUNCAN SHEILA</v>
      </c>
    </row>
    <row r="188" spans="1:7" x14ac:dyDescent="0.25">
      <c r="A188" s="8">
        <v>42773.769583333335</v>
      </c>
      <c r="B188" s="20" t="s">
        <v>289</v>
      </c>
      <c r="C188" s="20" t="s">
        <v>491</v>
      </c>
      <c r="D188" s="150">
        <v>2220000</v>
      </c>
      <c r="E188" s="20" t="s">
        <v>226</v>
      </c>
      <c r="F188" s="20" t="s">
        <v>227</v>
      </c>
      <c r="G188" s="8" t="str">
        <f t="shared" si="2"/>
        <v>HILLS DUSTIN</v>
      </c>
    </row>
    <row r="189" spans="1:7" x14ac:dyDescent="0.25">
      <c r="A189" s="8">
        <v>42773.770312499997</v>
      </c>
      <c r="B189" s="20" t="s">
        <v>368</v>
      </c>
      <c r="C189" s="20" t="s">
        <v>656</v>
      </c>
      <c r="D189" s="150">
        <v>2630000</v>
      </c>
      <c r="E189" s="20" t="s">
        <v>360</v>
      </c>
      <c r="F189" s="20" t="s">
        <v>361</v>
      </c>
      <c r="G189" s="8" t="str">
        <f t="shared" si="2"/>
        <v>SAFIEF AEIMEN</v>
      </c>
    </row>
    <row r="190" spans="1:7" x14ac:dyDescent="0.25">
      <c r="A190" s="8">
        <v>42773.775381944448</v>
      </c>
      <c r="B190" s="20" t="s">
        <v>409</v>
      </c>
      <c r="C190" s="20" t="s">
        <v>657</v>
      </c>
      <c r="D190" s="150">
        <v>1180000</v>
      </c>
      <c r="E190" s="20" t="s">
        <v>407</v>
      </c>
      <c r="F190" s="20" t="s">
        <v>408</v>
      </c>
      <c r="G190" s="8" t="str">
        <f t="shared" si="2"/>
        <v>LEVERE CRAIG</v>
      </c>
    </row>
    <row r="191" spans="1:7" x14ac:dyDescent="0.25">
      <c r="A191" s="8">
        <v>42773.775439814817</v>
      </c>
      <c r="B191" s="20" t="s">
        <v>231</v>
      </c>
      <c r="C191" s="20" t="s">
        <v>658</v>
      </c>
      <c r="D191" s="150">
        <v>1300000</v>
      </c>
      <c r="E191" s="20" t="s">
        <v>373</v>
      </c>
      <c r="F191" s="20" t="s">
        <v>374</v>
      </c>
      <c r="G191" s="8" t="str">
        <f t="shared" si="2"/>
        <v>LEVIN SCOTT</v>
      </c>
    </row>
    <row r="192" spans="1:7" x14ac:dyDescent="0.25">
      <c r="A192" s="8">
        <v>42773.778182870374</v>
      </c>
      <c r="B192" s="20" t="s">
        <v>192</v>
      </c>
      <c r="C192" s="20" t="s">
        <v>659</v>
      </c>
      <c r="D192" s="150">
        <v>930000</v>
      </c>
      <c r="E192" s="20" t="s">
        <v>405</v>
      </c>
      <c r="F192" s="20" t="s">
        <v>406</v>
      </c>
      <c r="G192" s="8" t="str">
        <f t="shared" si="2"/>
        <v>CLARK KATHLEEN</v>
      </c>
    </row>
    <row r="193" spans="1:7" x14ac:dyDescent="0.25">
      <c r="A193" s="8">
        <v>42773.786990740744</v>
      </c>
      <c r="B193" s="20" t="s">
        <v>223</v>
      </c>
      <c r="C193" s="20" t="s">
        <v>660</v>
      </c>
      <c r="D193" s="150">
        <v>1190000</v>
      </c>
      <c r="E193" s="20" t="s">
        <v>610</v>
      </c>
      <c r="F193" s="20" t="s">
        <v>611</v>
      </c>
      <c r="G193" s="8" t="str">
        <f t="shared" si="2"/>
        <v>BRANNON JEFFREY</v>
      </c>
    </row>
    <row r="194" spans="1:7" x14ac:dyDescent="0.25">
      <c r="A194" s="8">
        <v>42773.79047453704</v>
      </c>
      <c r="B194" s="20" t="s">
        <v>195</v>
      </c>
      <c r="C194" s="20" t="s">
        <v>659</v>
      </c>
      <c r="D194" s="150">
        <v>930000</v>
      </c>
      <c r="E194" s="20" t="s">
        <v>405</v>
      </c>
      <c r="F194" s="20" t="s">
        <v>406</v>
      </c>
      <c r="G194" s="8" t="str">
        <f t="shared" si="2"/>
        <v>CLARK KATHLEEN</v>
      </c>
    </row>
    <row r="195" spans="1:7" x14ac:dyDescent="0.25">
      <c r="A195" s="8">
        <v>42773.791273148148</v>
      </c>
      <c r="B195" s="20" t="s">
        <v>310</v>
      </c>
      <c r="C195" s="20" t="s">
        <v>661</v>
      </c>
      <c r="D195" s="150">
        <v>1800000</v>
      </c>
      <c r="E195" s="20" t="s">
        <v>277</v>
      </c>
      <c r="F195" s="20" t="s">
        <v>278</v>
      </c>
      <c r="G195" s="8" t="str">
        <f t="shared" ref="G195:G258" si="3">E195&amp;" "&amp;F195</f>
        <v>CHANDLER KELVIN</v>
      </c>
    </row>
    <row r="196" spans="1:7" x14ac:dyDescent="0.25">
      <c r="A196" s="8">
        <v>42773.792384259257</v>
      </c>
      <c r="B196" s="20" t="s">
        <v>192</v>
      </c>
      <c r="C196" s="20" t="s">
        <v>659</v>
      </c>
      <c r="D196" s="150">
        <v>930000</v>
      </c>
      <c r="E196" s="20" t="s">
        <v>405</v>
      </c>
      <c r="F196" s="20" t="s">
        <v>406</v>
      </c>
      <c r="G196" s="8" t="str">
        <f t="shared" si="3"/>
        <v>CLARK KATHLEEN</v>
      </c>
    </row>
    <row r="197" spans="1:7" x14ac:dyDescent="0.25">
      <c r="A197" s="8">
        <v>42773.794571759259</v>
      </c>
      <c r="B197" s="20" t="s">
        <v>229</v>
      </c>
      <c r="C197" s="20" t="s">
        <v>492</v>
      </c>
      <c r="D197" s="150">
        <v>1740000</v>
      </c>
      <c r="E197" s="20" t="s">
        <v>240</v>
      </c>
      <c r="F197" s="20" t="s">
        <v>241</v>
      </c>
      <c r="G197" s="8" t="str">
        <f t="shared" si="3"/>
        <v>STORY SAMANTHA</v>
      </c>
    </row>
    <row r="198" spans="1:7" x14ac:dyDescent="0.25">
      <c r="A198" s="8">
        <v>42773.797847222224</v>
      </c>
      <c r="B198" s="20" t="s">
        <v>290</v>
      </c>
      <c r="C198" s="20" t="s">
        <v>662</v>
      </c>
      <c r="D198" s="150">
        <v>2220000</v>
      </c>
      <c r="E198" s="20" t="s">
        <v>226</v>
      </c>
      <c r="F198" s="20" t="s">
        <v>227</v>
      </c>
      <c r="G198" s="8" t="str">
        <f t="shared" si="3"/>
        <v>HILLS DUSTIN</v>
      </c>
    </row>
    <row r="199" spans="1:7" x14ac:dyDescent="0.25">
      <c r="A199" s="8">
        <v>42773.799409722225</v>
      </c>
      <c r="B199" s="20" t="s">
        <v>369</v>
      </c>
      <c r="C199" s="20" t="s">
        <v>663</v>
      </c>
      <c r="D199" s="150">
        <v>2000000</v>
      </c>
      <c r="E199" s="20" t="s">
        <v>263</v>
      </c>
      <c r="F199" s="20" t="s">
        <v>202</v>
      </c>
      <c r="G199" s="8" t="str">
        <f t="shared" si="3"/>
        <v>STAMBAUGH JAMES</v>
      </c>
    </row>
    <row r="200" spans="1:7" x14ac:dyDescent="0.25">
      <c r="A200" s="8">
        <v>42773.799502314818</v>
      </c>
      <c r="B200" s="20" t="s">
        <v>197</v>
      </c>
      <c r="C200" s="20" t="s">
        <v>664</v>
      </c>
      <c r="D200" s="150">
        <v>2350000</v>
      </c>
      <c r="E200" s="20" t="s">
        <v>366</v>
      </c>
      <c r="F200" s="20" t="s">
        <v>367</v>
      </c>
      <c r="G200" s="8" t="str">
        <f t="shared" si="3"/>
        <v>BERLING GARY</v>
      </c>
    </row>
    <row r="201" spans="1:7" x14ac:dyDescent="0.25">
      <c r="A201" s="8">
        <v>42773.804189814815</v>
      </c>
      <c r="B201" s="20" t="s">
        <v>232</v>
      </c>
      <c r="C201" s="20" t="s">
        <v>665</v>
      </c>
      <c r="D201" s="150">
        <v>1300000</v>
      </c>
      <c r="E201" s="20" t="s">
        <v>373</v>
      </c>
      <c r="F201" s="20" t="s">
        <v>374</v>
      </c>
      <c r="G201" s="8" t="str">
        <f t="shared" si="3"/>
        <v>LEVIN SCOTT</v>
      </c>
    </row>
    <row r="202" spans="1:7" x14ac:dyDescent="0.25">
      <c r="A202" s="26">
        <v>42773.808541666665</v>
      </c>
      <c r="B202" s="20" t="s">
        <v>359</v>
      </c>
      <c r="C202" s="20" t="s">
        <v>666</v>
      </c>
      <c r="D202" s="150">
        <v>2630000</v>
      </c>
      <c r="E202" s="20" t="s">
        <v>360</v>
      </c>
      <c r="F202" s="20" t="s">
        <v>361</v>
      </c>
      <c r="G202" s="8" t="str">
        <f t="shared" si="3"/>
        <v>SAFIEF AEIMEN</v>
      </c>
    </row>
    <row r="203" spans="1:7" x14ac:dyDescent="0.25">
      <c r="A203" s="8">
        <v>42773.816493055558</v>
      </c>
      <c r="B203" s="20" t="s">
        <v>246</v>
      </c>
      <c r="C203" s="20" t="s">
        <v>667</v>
      </c>
      <c r="D203" s="150">
        <v>1190000</v>
      </c>
      <c r="E203" s="20" t="s">
        <v>610</v>
      </c>
      <c r="F203" s="20" t="s">
        <v>611</v>
      </c>
      <c r="G203" s="8" t="str">
        <f t="shared" si="3"/>
        <v>BRANNON JEFFREY</v>
      </c>
    </row>
    <row r="204" spans="1:7" x14ac:dyDescent="0.25">
      <c r="A204" s="8">
        <v>42773.81722222222</v>
      </c>
      <c r="B204" s="20" t="s">
        <v>231</v>
      </c>
      <c r="C204" s="20" t="s">
        <v>493</v>
      </c>
      <c r="D204" s="150">
        <v>1300000</v>
      </c>
      <c r="E204" s="20" t="s">
        <v>373</v>
      </c>
      <c r="F204" s="20" t="s">
        <v>374</v>
      </c>
      <c r="G204" s="8" t="str">
        <f t="shared" si="3"/>
        <v>LEVIN SCOTT</v>
      </c>
    </row>
    <row r="205" spans="1:7" x14ac:dyDescent="0.25">
      <c r="A205" s="8">
        <v>42773.8280787037</v>
      </c>
      <c r="B205" s="20" t="s">
        <v>236</v>
      </c>
      <c r="C205" s="20" t="s">
        <v>668</v>
      </c>
      <c r="D205" s="150">
        <v>1800000</v>
      </c>
      <c r="E205" s="20" t="s">
        <v>277</v>
      </c>
      <c r="F205" s="20" t="s">
        <v>278</v>
      </c>
      <c r="G205" s="8" t="str">
        <f t="shared" si="3"/>
        <v>CHANDLER KELVIN</v>
      </c>
    </row>
    <row r="206" spans="1:7" x14ac:dyDescent="0.25">
      <c r="A206" s="8">
        <v>42773.829108796293</v>
      </c>
      <c r="B206" s="20" t="s">
        <v>228</v>
      </c>
      <c r="C206" s="20" t="s">
        <v>669</v>
      </c>
      <c r="D206" s="150">
        <v>1740000</v>
      </c>
      <c r="E206" s="20" t="s">
        <v>240</v>
      </c>
      <c r="F206" s="20" t="s">
        <v>241</v>
      </c>
      <c r="G206" s="8" t="str">
        <f t="shared" si="3"/>
        <v>STORY SAMANTHA</v>
      </c>
    </row>
    <row r="207" spans="1:7" x14ac:dyDescent="0.25">
      <c r="A207" s="8">
        <v>42773.837847222225</v>
      </c>
      <c r="B207" s="20" t="s">
        <v>362</v>
      </c>
      <c r="C207" s="20" t="s">
        <v>670</v>
      </c>
      <c r="D207" s="150">
        <v>2000000</v>
      </c>
      <c r="E207" s="20" t="s">
        <v>263</v>
      </c>
      <c r="F207" s="20" t="s">
        <v>202</v>
      </c>
      <c r="G207" s="8" t="str">
        <f t="shared" si="3"/>
        <v>STAMBAUGH JAMES</v>
      </c>
    </row>
    <row r="208" spans="1:7" x14ac:dyDescent="0.25">
      <c r="A208" s="8">
        <v>42773.843842592592</v>
      </c>
      <c r="B208" s="20" t="s">
        <v>368</v>
      </c>
      <c r="C208" s="20" t="s">
        <v>671</v>
      </c>
      <c r="D208" s="150">
        <v>2630000</v>
      </c>
      <c r="E208" s="20" t="s">
        <v>360</v>
      </c>
      <c r="F208" s="20" t="s">
        <v>361</v>
      </c>
      <c r="G208" s="8" t="str">
        <f t="shared" si="3"/>
        <v>SAFIEF AEIMEN</v>
      </c>
    </row>
    <row r="209" spans="1:7" x14ac:dyDescent="0.25">
      <c r="A209" s="8">
        <v>42773.845266203702</v>
      </c>
      <c r="B209" s="20" t="s">
        <v>232</v>
      </c>
      <c r="C209" s="20" t="s">
        <v>672</v>
      </c>
      <c r="D209" s="150">
        <v>1300000</v>
      </c>
      <c r="E209" s="20" t="s">
        <v>373</v>
      </c>
      <c r="F209" s="20" t="s">
        <v>374</v>
      </c>
      <c r="G209" s="8" t="str">
        <f t="shared" si="3"/>
        <v>LEVIN SCOTT</v>
      </c>
    </row>
    <row r="210" spans="1:7" x14ac:dyDescent="0.25">
      <c r="A210" s="8">
        <v>42773.858437499999</v>
      </c>
      <c r="B210" s="20" t="s">
        <v>231</v>
      </c>
      <c r="C210" s="20" t="s">
        <v>673</v>
      </c>
      <c r="D210" s="150">
        <v>1300000</v>
      </c>
      <c r="E210" s="20" t="s">
        <v>373</v>
      </c>
      <c r="F210" s="20" t="s">
        <v>374</v>
      </c>
      <c r="G210" s="8" t="str">
        <f t="shared" si="3"/>
        <v>LEVIN SCOTT</v>
      </c>
    </row>
    <row r="211" spans="1:7" x14ac:dyDescent="0.25">
      <c r="A211" s="8">
        <v>42773.865034722221</v>
      </c>
      <c r="B211" s="20" t="s">
        <v>229</v>
      </c>
      <c r="C211" s="20" t="s">
        <v>674</v>
      </c>
      <c r="D211" s="150">
        <v>1740000</v>
      </c>
      <c r="E211" s="20" t="s">
        <v>240</v>
      </c>
      <c r="F211" s="20" t="s">
        <v>241</v>
      </c>
      <c r="G211" s="8" t="str">
        <f t="shared" si="3"/>
        <v>STORY SAMANTHA</v>
      </c>
    </row>
    <row r="212" spans="1:7" x14ac:dyDescent="0.25">
      <c r="A212" s="8">
        <v>42773.871874999997</v>
      </c>
      <c r="B212" s="20" t="s">
        <v>310</v>
      </c>
      <c r="C212" s="20" t="s">
        <v>675</v>
      </c>
      <c r="D212" s="150">
        <v>1800000</v>
      </c>
      <c r="E212" s="20" t="s">
        <v>277</v>
      </c>
      <c r="F212" s="20" t="s">
        <v>278</v>
      </c>
      <c r="G212" s="8" t="str">
        <f t="shared" si="3"/>
        <v>CHANDLER KELVIN</v>
      </c>
    </row>
    <row r="213" spans="1:7" x14ac:dyDescent="0.25">
      <c r="A213" s="8">
        <v>42773.876944444448</v>
      </c>
      <c r="B213" s="20" t="s">
        <v>232</v>
      </c>
      <c r="C213" s="20" t="s">
        <v>676</v>
      </c>
      <c r="D213" s="150">
        <v>2220000</v>
      </c>
      <c r="E213" s="20" t="s">
        <v>226</v>
      </c>
      <c r="F213" s="20" t="s">
        <v>227</v>
      </c>
      <c r="G213" s="8" t="str">
        <f t="shared" si="3"/>
        <v>HILLS DUSTIN</v>
      </c>
    </row>
    <row r="214" spans="1:7" x14ac:dyDescent="0.25">
      <c r="A214" s="8">
        <v>42773.882013888891</v>
      </c>
      <c r="B214" s="20" t="s">
        <v>359</v>
      </c>
      <c r="C214" s="20" t="s">
        <v>677</v>
      </c>
      <c r="D214" s="150">
        <v>2630000</v>
      </c>
      <c r="E214" s="20" t="s">
        <v>360</v>
      </c>
      <c r="F214" s="20" t="s">
        <v>361</v>
      </c>
      <c r="G214" s="8" t="str">
        <f t="shared" si="3"/>
        <v>SAFIEF AEIMEN</v>
      </c>
    </row>
    <row r="215" spans="1:7" x14ac:dyDescent="0.25">
      <c r="A215" s="8">
        <v>42773.890277777777</v>
      </c>
      <c r="B215" s="20" t="s">
        <v>369</v>
      </c>
      <c r="C215" s="20" t="s">
        <v>678</v>
      </c>
      <c r="D215" s="150">
        <v>2000000</v>
      </c>
      <c r="E215" s="20" t="s">
        <v>263</v>
      </c>
      <c r="F215" s="20" t="s">
        <v>202</v>
      </c>
      <c r="G215" s="8" t="str">
        <f t="shared" si="3"/>
        <v>STAMBAUGH JAMES</v>
      </c>
    </row>
    <row r="216" spans="1:7" x14ac:dyDescent="0.25">
      <c r="A216" s="8">
        <v>42773.902303240742</v>
      </c>
      <c r="B216" s="20" t="s">
        <v>231</v>
      </c>
      <c r="C216" s="20" t="s">
        <v>679</v>
      </c>
      <c r="D216" s="150">
        <v>2220000</v>
      </c>
      <c r="E216" s="20" t="s">
        <v>226</v>
      </c>
      <c r="F216" s="20" t="s">
        <v>227</v>
      </c>
      <c r="G216" s="8" t="str">
        <f t="shared" si="3"/>
        <v>HILLS DUSTIN</v>
      </c>
    </row>
    <row r="217" spans="1:7" x14ac:dyDescent="0.25">
      <c r="A217" s="8">
        <v>42773.911539351851</v>
      </c>
      <c r="B217" s="20" t="s">
        <v>228</v>
      </c>
      <c r="C217" s="20" t="s">
        <v>680</v>
      </c>
      <c r="D217" s="150">
        <v>1740000</v>
      </c>
      <c r="E217" s="20" t="s">
        <v>240</v>
      </c>
      <c r="F217" s="20" t="s">
        <v>241</v>
      </c>
      <c r="G217" s="8" t="str">
        <f t="shared" si="3"/>
        <v>STORY SAMANTHA</v>
      </c>
    </row>
    <row r="218" spans="1:7" x14ac:dyDescent="0.25">
      <c r="A218" s="8">
        <v>42773.911990740744</v>
      </c>
      <c r="B218" s="20" t="s">
        <v>236</v>
      </c>
      <c r="C218" s="20" t="s">
        <v>681</v>
      </c>
      <c r="D218" s="150">
        <v>1800000</v>
      </c>
      <c r="E218" s="20" t="s">
        <v>277</v>
      </c>
      <c r="F218" s="20" t="s">
        <v>278</v>
      </c>
      <c r="G218" s="8" t="str">
        <f t="shared" si="3"/>
        <v>CHANDLER KELVIN</v>
      </c>
    </row>
    <row r="219" spans="1:7" x14ac:dyDescent="0.25">
      <c r="A219" s="8">
        <v>42773.915729166663</v>
      </c>
      <c r="B219" s="20" t="s">
        <v>232</v>
      </c>
      <c r="C219" s="20" t="s">
        <v>494</v>
      </c>
      <c r="D219" s="150">
        <v>2220000</v>
      </c>
      <c r="E219" s="20" t="s">
        <v>226</v>
      </c>
      <c r="F219" s="20" t="s">
        <v>227</v>
      </c>
      <c r="G219" s="8" t="str">
        <f t="shared" si="3"/>
        <v>HILLS DUSTIN</v>
      </c>
    </row>
    <row r="220" spans="1:7" x14ac:dyDescent="0.25">
      <c r="A220" s="8">
        <v>42773.920960648145</v>
      </c>
      <c r="B220" s="20" t="s">
        <v>362</v>
      </c>
      <c r="C220" s="20" t="s">
        <v>682</v>
      </c>
      <c r="D220" s="150">
        <v>2000000</v>
      </c>
      <c r="E220" s="20" t="s">
        <v>263</v>
      </c>
      <c r="F220" s="20" t="s">
        <v>202</v>
      </c>
      <c r="G220" s="8" t="str">
        <f t="shared" si="3"/>
        <v>STAMBAUGH JAMES</v>
      </c>
    </row>
    <row r="221" spans="1:7" x14ac:dyDescent="0.25">
      <c r="A221" s="8">
        <v>42773.924895833334</v>
      </c>
      <c r="B221" s="20" t="s">
        <v>368</v>
      </c>
      <c r="C221" s="20" t="s">
        <v>683</v>
      </c>
      <c r="D221" s="150">
        <v>2630000</v>
      </c>
      <c r="E221" s="20" t="s">
        <v>360</v>
      </c>
      <c r="F221" s="20" t="s">
        <v>361</v>
      </c>
      <c r="G221" s="8" t="str">
        <f t="shared" si="3"/>
        <v>SAFIEF AEIMEN</v>
      </c>
    </row>
    <row r="222" spans="1:7" x14ac:dyDescent="0.25">
      <c r="A222" s="8">
        <v>42773.942569444444</v>
      </c>
      <c r="B222" s="20" t="s">
        <v>231</v>
      </c>
      <c r="C222" s="20" t="s">
        <v>684</v>
      </c>
      <c r="D222" s="150">
        <v>2220000</v>
      </c>
      <c r="E222" s="20" t="s">
        <v>226</v>
      </c>
      <c r="F222" s="20" t="s">
        <v>227</v>
      </c>
      <c r="G222" s="8" t="str">
        <f t="shared" si="3"/>
        <v>HILLS DUSTIN</v>
      </c>
    </row>
    <row r="223" spans="1:7" x14ac:dyDescent="0.25">
      <c r="A223" s="8">
        <v>42773.948009259257</v>
      </c>
      <c r="B223" s="20" t="s">
        <v>229</v>
      </c>
      <c r="C223" s="20" t="s">
        <v>685</v>
      </c>
      <c r="D223" s="150">
        <v>1740000</v>
      </c>
      <c r="E223" s="20" t="s">
        <v>240</v>
      </c>
      <c r="F223" s="20" t="s">
        <v>241</v>
      </c>
      <c r="G223" s="8" t="str">
        <f t="shared" si="3"/>
        <v>STORY SAMANTHA</v>
      </c>
    </row>
    <row r="224" spans="1:7" x14ac:dyDescent="0.25">
      <c r="A224" s="8">
        <v>42773.955520833333</v>
      </c>
      <c r="B224" t="s">
        <v>310</v>
      </c>
      <c r="C224" t="s">
        <v>686</v>
      </c>
      <c r="D224" s="150">
        <v>1800000</v>
      </c>
      <c r="E224" t="s">
        <v>277</v>
      </c>
      <c r="F224" s="20" t="s">
        <v>278</v>
      </c>
      <c r="G224" s="8" t="str">
        <f t="shared" si="3"/>
        <v>CHANDLER KELVIN</v>
      </c>
    </row>
    <row r="225" spans="1:7" x14ac:dyDescent="0.25">
      <c r="A225" s="8">
        <v>42773.968634259261</v>
      </c>
      <c r="B225" t="s">
        <v>359</v>
      </c>
      <c r="C225" t="s">
        <v>687</v>
      </c>
      <c r="D225" s="150">
        <v>2630000</v>
      </c>
      <c r="E225" t="s">
        <v>360</v>
      </c>
      <c r="F225" s="20" t="s">
        <v>361</v>
      </c>
      <c r="G225" s="8" t="str">
        <f t="shared" si="3"/>
        <v>SAFIEF AEIMEN</v>
      </c>
    </row>
    <row r="226" spans="1:7" x14ac:dyDescent="0.25">
      <c r="A226" s="8">
        <v>42773.976111111115</v>
      </c>
      <c r="B226" t="s">
        <v>369</v>
      </c>
      <c r="C226" t="s">
        <v>688</v>
      </c>
      <c r="D226" s="150">
        <v>2000000</v>
      </c>
      <c r="E226" t="s">
        <v>263</v>
      </c>
      <c r="F226" s="20" t="s">
        <v>202</v>
      </c>
      <c r="G226" s="8" t="str">
        <f t="shared" si="3"/>
        <v>STAMBAUGH JAMES</v>
      </c>
    </row>
    <row r="227" spans="1:7" x14ac:dyDescent="0.25">
      <c r="A227" s="8">
        <v>42773.991412037038</v>
      </c>
      <c r="B227" t="s">
        <v>236</v>
      </c>
      <c r="C227" t="s">
        <v>689</v>
      </c>
      <c r="D227" s="150">
        <v>1800000</v>
      </c>
      <c r="E227" t="s">
        <v>277</v>
      </c>
      <c r="F227" s="20" t="s">
        <v>278</v>
      </c>
      <c r="G227" s="8" t="str">
        <f t="shared" si="3"/>
        <v>CHANDLER KELVIN</v>
      </c>
    </row>
    <row r="228" spans="1:7" x14ac:dyDescent="0.25">
      <c r="A228" s="8">
        <v>42773.997233796297</v>
      </c>
      <c r="B228" t="s">
        <v>228</v>
      </c>
      <c r="C228" t="s">
        <v>690</v>
      </c>
      <c r="D228" s="150">
        <v>1740000</v>
      </c>
      <c r="E228" t="s">
        <v>240</v>
      </c>
      <c r="F228" s="20" t="s">
        <v>241</v>
      </c>
      <c r="G228" s="8" t="str">
        <f t="shared" si="3"/>
        <v>STORY SAMANTHA</v>
      </c>
    </row>
    <row r="229" spans="1:7" x14ac:dyDescent="0.25">
      <c r="A229" s="8">
        <v>42774.006076388891</v>
      </c>
      <c r="B229" t="s">
        <v>362</v>
      </c>
      <c r="C229" t="s">
        <v>691</v>
      </c>
      <c r="D229" s="150">
        <v>2000000</v>
      </c>
      <c r="E229" t="s">
        <v>263</v>
      </c>
      <c r="F229" s="20" t="s">
        <v>202</v>
      </c>
      <c r="G229" s="8" t="str">
        <f t="shared" si="3"/>
        <v>STAMBAUGH JAMES</v>
      </c>
    </row>
    <row r="230" spans="1:7" x14ac:dyDescent="0.25">
      <c r="A230" s="8">
        <v>42774.010520833333</v>
      </c>
      <c r="B230" t="s">
        <v>368</v>
      </c>
      <c r="C230" t="s">
        <v>692</v>
      </c>
      <c r="D230" s="150">
        <v>2630000</v>
      </c>
      <c r="E230" t="s">
        <v>360</v>
      </c>
      <c r="F230" s="20" t="s">
        <v>361</v>
      </c>
      <c r="G230" s="8" t="str">
        <f t="shared" si="3"/>
        <v>SAFIEF AEIMEN</v>
      </c>
    </row>
    <row r="231" spans="1:7" x14ac:dyDescent="0.25">
      <c r="A231" s="8">
        <v>42774.031064814815</v>
      </c>
      <c r="B231" t="s">
        <v>229</v>
      </c>
      <c r="C231" t="s">
        <v>693</v>
      </c>
      <c r="D231" s="150">
        <v>1740000</v>
      </c>
      <c r="E231" t="s">
        <v>240</v>
      </c>
      <c r="F231" s="20" t="s">
        <v>241</v>
      </c>
      <c r="G231" s="8" t="str">
        <f t="shared" si="3"/>
        <v>STORY SAMANTHA</v>
      </c>
    </row>
    <row r="232" spans="1:7" x14ac:dyDescent="0.25">
      <c r="A232" s="8">
        <v>42774.03429398148</v>
      </c>
      <c r="B232" t="s">
        <v>535</v>
      </c>
      <c r="C232" t="s">
        <v>694</v>
      </c>
      <c r="D232" s="150">
        <v>1800000</v>
      </c>
      <c r="E232" t="s">
        <v>277</v>
      </c>
      <c r="F232" s="20" t="s">
        <v>278</v>
      </c>
      <c r="G232" s="8" t="str">
        <f t="shared" si="3"/>
        <v>CHANDLER KELVIN</v>
      </c>
    </row>
    <row r="233" spans="1:7" x14ac:dyDescent="0.25">
      <c r="A233" s="8">
        <v>42774.047974537039</v>
      </c>
      <c r="B233" t="s">
        <v>359</v>
      </c>
      <c r="C233" t="s">
        <v>695</v>
      </c>
      <c r="D233" s="150">
        <v>2630000</v>
      </c>
      <c r="E233" t="s">
        <v>360</v>
      </c>
      <c r="F233" s="20" t="s">
        <v>361</v>
      </c>
      <c r="G233" s="8" t="str">
        <f t="shared" si="3"/>
        <v>SAFIEF AEIMEN</v>
      </c>
    </row>
    <row r="234" spans="1:7" x14ac:dyDescent="0.25">
      <c r="A234" s="8">
        <v>42774.059432870374</v>
      </c>
      <c r="B234" t="s">
        <v>369</v>
      </c>
      <c r="C234" t="s">
        <v>495</v>
      </c>
      <c r="D234" s="150">
        <v>2000000</v>
      </c>
      <c r="E234" t="s">
        <v>263</v>
      </c>
      <c r="F234" s="20" t="s">
        <v>202</v>
      </c>
      <c r="G234" s="8" t="str">
        <f t="shared" si="3"/>
        <v>STAMBAUGH JAMES</v>
      </c>
    </row>
    <row r="235" spans="1:7" x14ac:dyDescent="0.25">
      <c r="A235" s="8">
        <v>42769.048842592594</v>
      </c>
      <c r="B235" t="s">
        <v>310</v>
      </c>
      <c r="C235" t="s">
        <v>344</v>
      </c>
      <c r="D235" s="150">
        <v>1810000</v>
      </c>
      <c r="E235" t="s">
        <v>209</v>
      </c>
      <c r="F235" s="20" t="s">
        <v>202</v>
      </c>
      <c r="G235" s="8" t="str">
        <f t="shared" si="3"/>
        <v>NEWELL JAMES</v>
      </c>
    </row>
    <row r="236" spans="1:7" x14ac:dyDescent="0.25">
      <c r="A236" s="8">
        <v>42769.05</v>
      </c>
      <c r="B236" t="s">
        <v>290</v>
      </c>
      <c r="C236" t="s">
        <v>345</v>
      </c>
      <c r="D236" s="150">
        <v>2220000</v>
      </c>
      <c r="E236" t="s">
        <v>226</v>
      </c>
      <c r="F236" s="20" t="s">
        <v>227</v>
      </c>
      <c r="G236" s="8" t="str">
        <f t="shared" si="3"/>
        <v>HILLS DUSTIN</v>
      </c>
    </row>
    <row r="237" spans="1:7" x14ac:dyDescent="0.25">
      <c r="A237" s="8">
        <v>42769.054016203707</v>
      </c>
      <c r="B237" t="s">
        <v>325</v>
      </c>
      <c r="C237" t="s">
        <v>343</v>
      </c>
      <c r="D237" s="150">
        <v>2710000</v>
      </c>
      <c r="E237" t="s">
        <v>341</v>
      </c>
      <c r="F237" s="20" t="s">
        <v>342</v>
      </c>
      <c r="G237" s="8" t="str">
        <f t="shared" si="3"/>
        <v>SIMMONS SHYHESHA</v>
      </c>
    </row>
    <row r="238" spans="1:7" x14ac:dyDescent="0.25">
      <c r="A238" s="8">
        <v>42769.068425925929</v>
      </c>
      <c r="B238" t="s">
        <v>192</v>
      </c>
      <c r="C238" t="s">
        <v>346</v>
      </c>
      <c r="D238" s="150">
        <v>2560000</v>
      </c>
      <c r="E238" t="s">
        <v>339</v>
      </c>
      <c r="F238" s="20" t="s">
        <v>340</v>
      </c>
      <c r="G238" s="8" t="str">
        <f t="shared" si="3"/>
        <v>MACDONALD THOMAS</v>
      </c>
    </row>
    <row r="239" spans="1:7" x14ac:dyDescent="0.25">
      <c r="A239" s="8">
        <v>42769.087592592594</v>
      </c>
      <c r="B239" t="s">
        <v>289</v>
      </c>
      <c r="C239" t="s">
        <v>347</v>
      </c>
      <c r="D239" s="150">
        <v>2220000</v>
      </c>
      <c r="E239" t="s">
        <v>226</v>
      </c>
      <c r="F239" s="20" t="s">
        <v>227</v>
      </c>
      <c r="G239" s="8" t="str">
        <f t="shared" si="3"/>
        <v>HILLS DUSTIN</v>
      </c>
    </row>
    <row r="240" spans="1:7" x14ac:dyDescent="0.25">
      <c r="A240" s="8">
        <v>42769.104016203702</v>
      </c>
      <c r="B240" t="s">
        <v>326</v>
      </c>
      <c r="C240" t="s">
        <v>337</v>
      </c>
      <c r="D240" s="150">
        <v>2710000</v>
      </c>
      <c r="E240" t="s">
        <v>341</v>
      </c>
      <c r="F240" s="20" t="s">
        <v>342</v>
      </c>
      <c r="G240" s="8" t="str">
        <f t="shared" si="3"/>
        <v>SIMMONS SHYHESHA</v>
      </c>
    </row>
    <row r="241" spans="1:7" x14ac:dyDescent="0.25">
      <c r="A241" s="8">
        <v>42768.067361111112</v>
      </c>
      <c r="B241" t="s">
        <v>197</v>
      </c>
      <c r="C241" t="s">
        <v>327</v>
      </c>
      <c r="D241" s="150">
        <v>1740000</v>
      </c>
      <c r="E241" t="s">
        <v>240</v>
      </c>
      <c r="F241" s="20" t="s">
        <v>241</v>
      </c>
      <c r="G241" s="8" t="str">
        <f t="shared" si="3"/>
        <v>STORY SAMANTHA</v>
      </c>
    </row>
    <row r="242" spans="1:7" x14ac:dyDescent="0.25">
      <c r="A242" s="8">
        <v>42768.078194444446</v>
      </c>
      <c r="B242" t="s">
        <v>280</v>
      </c>
      <c r="C242" t="s">
        <v>328</v>
      </c>
      <c r="D242" s="150">
        <v>2270000</v>
      </c>
      <c r="E242" t="s">
        <v>244</v>
      </c>
      <c r="F242" s="20" t="s">
        <v>245</v>
      </c>
      <c r="G242" s="8" t="str">
        <f t="shared" si="3"/>
        <v>BROWN JACOB</v>
      </c>
    </row>
    <row r="243" spans="1:7" x14ac:dyDescent="0.25">
      <c r="A243" s="8">
        <v>42768.095821759256</v>
      </c>
      <c r="B243" t="s">
        <v>228</v>
      </c>
      <c r="C243" t="s">
        <v>329</v>
      </c>
      <c r="D243" s="150">
        <v>2540000</v>
      </c>
      <c r="E243" t="s">
        <v>233</v>
      </c>
      <c r="F243" s="20" t="s">
        <v>234</v>
      </c>
      <c r="G243" s="8" t="str">
        <f t="shared" si="3"/>
        <v>MCREYNOLDS KYLE</v>
      </c>
    </row>
    <row r="244" spans="1:7" x14ac:dyDescent="0.25">
      <c r="A244" s="8">
        <v>42761.974421296298</v>
      </c>
      <c r="B244" t="s">
        <v>289</v>
      </c>
      <c r="C244" t="s">
        <v>293</v>
      </c>
      <c r="D244" s="150">
        <v>1810000</v>
      </c>
      <c r="E244" t="s">
        <v>209</v>
      </c>
      <c r="F244" s="20" t="s">
        <v>202</v>
      </c>
      <c r="G244" s="8" t="str">
        <f t="shared" si="3"/>
        <v>NEWELL JAMES</v>
      </c>
    </row>
    <row r="245" spans="1:7" x14ac:dyDescent="0.25">
      <c r="A245" s="8">
        <v>42761.993668981479</v>
      </c>
      <c r="B245" t="s">
        <v>275</v>
      </c>
      <c r="C245" t="s">
        <v>291</v>
      </c>
      <c r="D245" s="150">
        <v>2270000</v>
      </c>
      <c r="E245" t="s">
        <v>244</v>
      </c>
      <c r="F245" s="20" t="s">
        <v>245</v>
      </c>
      <c r="G245" s="8" t="str">
        <f t="shared" si="3"/>
        <v>BROWN JACOB</v>
      </c>
    </row>
    <row r="246" spans="1:7" x14ac:dyDescent="0.25">
      <c r="A246" s="8">
        <v>42761.994988425926</v>
      </c>
      <c r="B246" t="s">
        <v>229</v>
      </c>
      <c r="C246" t="s">
        <v>294</v>
      </c>
      <c r="D246" s="150">
        <v>1800000</v>
      </c>
      <c r="E246" t="s">
        <v>277</v>
      </c>
      <c r="F246" s="20" t="s">
        <v>278</v>
      </c>
      <c r="G246" s="8" t="str">
        <f t="shared" si="3"/>
        <v>CHANDLER KELVIN</v>
      </c>
    </row>
    <row r="247" spans="1:7" x14ac:dyDescent="0.25">
      <c r="A247" s="8">
        <v>42762.010069444441</v>
      </c>
      <c r="B247" t="s">
        <v>280</v>
      </c>
      <c r="C247" t="s">
        <v>295</v>
      </c>
      <c r="D247" s="150">
        <v>2220000</v>
      </c>
      <c r="E247" t="s">
        <v>226</v>
      </c>
      <c r="F247" s="20" t="s">
        <v>227</v>
      </c>
      <c r="G247" s="8" t="str">
        <f t="shared" si="3"/>
        <v>HILLS DUSTIN</v>
      </c>
    </row>
    <row r="248" spans="1:7" x14ac:dyDescent="0.25">
      <c r="A248" s="8">
        <v>42762.016180555554</v>
      </c>
      <c r="B248" t="s">
        <v>290</v>
      </c>
      <c r="C248" t="s">
        <v>296</v>
      </c>
      <c r="D248" s="150">
        <v>1810000</v>
      </c>
      <c r="E248" t="s">
        <v>209</v>
      </c>
      <c r="F248" s="20" t="s">
        <v>202</v>
      </c>
      <c r="G248" s="8" t="str">
        <f t="shared" si="3"/>
        <v>NEWELL JAMES</v>
      </c>
    </row>
    <row r="249" spans="1:7" x14ac:dyDescent="0.25">
      <c r="A249" s="8">
        <v>42762.02784722222</v>
      </c>
      <c r="B249" t="s">
        <v>228</v>
      </c>
      <c r="C249" t="s">
        <v>297</v>
      </c>
      <c r="D249" s="150">
        <v>1800000</v>
      </c>
      <c r="E249" t="s">
        <v>277</v>
      </c>
      <c r="F249" s="20" t="s">
        <v>278</v>
      </c>
      <c r="G249" s="8" t="str">
        <f t="shared" si="3"/>
        <v>CHANDLER KELVIN</v>
      </c>
    </row>
    <row r="250" spans="1:7" x14ac:dyDescent="0.25">
      <c r="A250" s="8">
        <v>42762.032488425924</v>
      </c>
      <c r="B250" t="s">
        <v>276</v>
      </c>
      <c r="C250" t="s">
        <v>292</v>
      </c>
      <c r="D250" s="150">
        <v>2270000</v>
      </c>
      <c r="E250" t="s">
        <v>244</v>
      </c>
      <c r="F250" s="20" t="s">
        <v>245</v>
      </c>
      <c r="G250" s="8" t="str">
        <f t="shared" si="3"/>
        <v>BROWN JACOB</v>
      </c>
    </row>
    <row r="251" spans="1:7" x14ac:dyDescent="0.25">
      <c r="A251" s="8">
        <v>42762.046157407407</v>
      </c>
      <c r="B251" t="s">
        <v>289</v>
      </c>
      <c r="C251" t="s">
        <v>298</v>
      </c>
      <c r="D251" s="150">
        <v>1810000</v>
      </c>
      <c r="E251" t="s">
        <v>209</v>
      </c>
      <c r="F251" s="20" t="s">
        <v>202</v>
      </c>
      <c r="G251" s="8" t="str">
        <f t="shared" si="3"/>
        <v>NEWELL JAMES</v>
      </c>
    </row>
    <row r="252" spans="1:7" x14ac:dyDescent="0.25">
      <c r="A252" s="8">
        <v>42762.050347222219</v>
      </c>
      <c r="B252" t="s">
        <v>279</v>
      </c>
      <c r="C252" t="s">
        <v>299</v>
      </c>
      <c r="D252" s="150">
        <v>2220000</v>
      </c>
      <c r="E252" t="s">
        <v>226</v>
      </c>
      <c r="F252" s="20" t="s">
        <v>227</v>
      </c>
      <c r="G252" s="8" t="str">
        <f t="shared" si="3"/>
        <v>HILLS DUSTIN</v>
      </c>
    </row>
    <row r="253" spans="1:7" x14ac:dyDescent="0.25">
      <c r="A253" s="8">
        <v>42762.064432870371</v>
      </c>
      <c r="B253" t="s">
        <v>279</v>
      </c>
      <c r="C253" t="s">
        <v>299</v>
      </c>
      <c r="D253" s="150">
        <v>2220000</v>
      </c>
      <c r="E253" t="s">
        <v>226</v>
      </c>
      <c r="F253" s="20" t="s">
        <v>227</v>
      </c>
      <c r="G253" s="8" t="str">
        <f t="shared" si="3"/>
        <v>HILLS DUSTIN</v>
      </c>
    </row>
    <row r="254" spans="1:7" x14ac:dyDescent="0.25">
      <c r="A254" s="8">
        <v>42762.072662037041</v>
      </c>
      <c r="B254" t="s">
        <v>275</v>
      </c>
      <c r="C254" t="s">
        <v>300</v>
      </c>
      <c r="D254" s="150">
        <v>2270000</v>
      </c>
      <c r="E254" t="s">
        <v>244</v>
      </c>
      <c r="F254" s="20" t="s">
        <v>245</v>
      </c>
      <c r="G254" s="8" t="str">
        <f t="shared" si="3"/>
        <v>BROWN JACOB</v>
      </c>
    </row>
    <row r="255" spans="1:7" x14ac:dyDescent="0.25">
      <c r="A255" s="8">
        <v>42762.095057870371</v>
      </c>
      <c r="B255" t="s">
        <v>280</v>
      </c>
      <c r="C255" t="s">
        <v>301</v>
      </c>
      <c r="D255" s="150">
        <v>2220000</v>
      </c>
      <c r="E255" t="s">
        <v>226</v>
      </c>
      <c r="F255" s="20" t="s">
        <v>227</v>
      </c>
      <c r="G255" s="8" t="str">
        <f t="shared" si="3"/>
        <v>HILLS DUSTIN</v>
      </c>
    </row>
    <row r="256" spans="1:7" x14ac:dyDescent="0.25">
      <c r="A256" s="8">
        <v>42756.050243055557</v>
      </c>
      <c r="B256" t="s">
        <v>213</v>
      </c>
      <c r="C256" t="s">
        <v>264</v>
      </c>
      <c r="D256" s="150">
        <v>2220000</v>
      </c>
      <c r="E256" t="s">
        <v>226</v>
      </c>
      <c r="F256" s="20" t="s">
        <v>227</v>
      </c>
      <c r="G256" s="8" t="str">
        <f t="shared" si="3"/>
        <v>HILLS DUSTIN</v>
      </c>
    </row>
    <row r="257" spans="1:7" x14ac:dyDescent="0.25">
      <c r="A257" s="8">
        <v>42756.067199074074</v>
      </c>
      <c r="B257" t="s">
        <v>197</v>
      </c>
      <c r="C257" t="s">
        <v>265</v>
      </c>
      <c r="D257" s="150">
        <v>2000000</v>
      </c>
      <c r="E257" t="s">
        <v>263</v>
      </c>
      <c r="F257" s="20" t="s">
        <v>202</v>
      </c>
      <c r="G257" s="8" t="str">
        <f t="shared" si="3"/>
        <v>STAMBAUGH JAMES</v>
      </c>
    </row>
    <row r="258" spans="1:7" x14ac:dyDescent="0.25">
      <c r="A258" s="8">
        <v>42756.088101851848</v>
      </c>
      <c r="B258" t="s">
        <v>237</v>
      </c>
      <c r="C258" t="s">
        <v>266</v>
      </c>
      <c r="D258" s="150">
        <v>2220000</v>
      </c>
      <c r="E258" t="s">
        <v>226</v>
      </c>
      <c r="F258" s="20" t="s">
        <v>227</v>
      </c>
      <c r="G258" s="8" t="str">
        <f t="shared" si="3"/>
        <v>HILLS DUSTIN</v>
      </c>
    </row>
    <row r="259" spans="1:7" x14ac:dyDescent="0.25">
      <c r="A259" s="8">
        <v>42756.114201388889</v>
      </c>
      <c r="B259" t="s">
        <v>262</v>
      </c>
      <c r="C259" t="s">
        <v>267</v>
      </c>
      <c r="D259" s="150">
        <v>1360000</v>
      </c>
      <c r="E259" t="s">
        <v>268</v>
      </c>
      <c r="F259" s="20" t="s">
        <v>269</v>
      </c>
      <c r="G259" s="8" t="str">
        <f t="shared" ref="G259:G322" si="4">E259&amp;" "&amp;F259</f>
        <v>SANTIZO D. EDY</v>
      </c>
    </row>
    <row r="260" spans="1:7" x14ac:dyDescent="0.25">
      <c r="A260" s="8">
        <v>42754.05332175926</v>
      </c>
      <c r="B260" t="s">
        <v>246</v>
      </c>
      <c r="C260" t="s">
        <v>252</v>
      </c>
      <c r="D260" s="150">
        <v>2450000</v>
      </c>
      <c r="E260" t="s">
        <v>248</v>
      </c>
      <c r="F260" s="20" t="s">
        <v>249</v>
      </c>
      <c r="G260" s="8" t="str">
        <f t="shared" si="4"/>
        <v>NELSON ARIANE</v>
      </c>
    </row>
    <row r="261" spans="1:7" x14ac:dyDescent="0.25">
      <c r="A261" s="8">
        <v>42754.057476851849</v>
      </c>
      <c r="B261" t="s">
        <v>231</v>
      </c>
      <c r="C261" t="s">
        <v>259</v>
      </c>
      <c r="D261" s="150">
        <v>1810000</v>
      </c>
      <c r="E261" t="s">
        <v>209</v>
      </c>
      <c r="F261" s="20" t="s">
        <v>202</v>
      </c>
      <c r="G261" s="8" t="str">
        <f t="shared" si="4"/>
        <v>NEWELL JAMES</v>
      </c>
    </row>
    <row r="262" spans="1:7" x14ac:dyDescent="0.25">
      <c r="A262" s="8">
        <v>42754.060081018521</v>
      </c>
      <c r="B262" t="s">
        <v>253</v>
      </c>
      <c r="C262" t="s">
        <v>257</v>
      </c>
      <c r="D262" s="150">
        <v>2670000</v>
      </c>
      <c r="E262" t="s">
        <v>255</v>
      </c>
      <c r="F262" s="20" t="s">
        <v>256</v>
      </c>
      <c r="G262" s="8" t="str">
        <f t="shared" si="4"/>
        <v>COMELLA JUSTIN</v>
      </c>
    </row>
    <row r="263" spans="1:7" x14ac:dyDescent="0.25">
      <c r="A263" s="8">
        <v>42754.060555555552</v>
      </c>
      <c r="B263" t="s">
        <v>228</v>
      </c>
      <c r="C263" t="s">
        <v>251</v>
      </c>
      <c r="D263" s="150">
        <v>2540000</v>
      </c>
      <c r="E263" t="s">
        <v>233</v>
      </c>
      <c r="F263" s="20" t="s">
        <v>234</v>
      </c>
      <c r="G263" s="8" t="str">
        <f t="shared" si="4"/>
        <v>MCREYNOLDS KYLE</v>
      </c>
    </row>
    <row r="264" spans="1:7" x14ac:dyDescent="0.25">
      <c r="A264" s="8">
        <v>42754.068148148152</v>
      </c>
      <c r="B264" t="s">
        <v>223</v>
      </c>
      <c r="C264" t="s">
        <v>247</v>
      </c>
      <c r="D264" s="150">
        <v>2450000</v>
      </c>
      <c r="E264" t="s">
        <v>248</v>
      </c>
      <c r="F264" s="20" t="s">
        <v>249</v>
      </c>
      <c r="G264" s="8" t="str">
        <f t="shared" si="4"/>
        <v>NELSON ARIANE</v>
      </c>
    </row>
    <row r="265" spans="1:7" x14ac:dyDescent="0.25">
      <c r="A265" s="8">
        <v>42754.069988425923</v>
      </c>
      <c r="B265" t="s">
        <v>243</v>
      </c>
      <c r="C265" t="s">
        <v>260</v>
      </c>
      <c r="D265" s="150">
        <v>2270000</v>
      </c>
      <c r="E265" t="s">
        <v>244</v>
      </c>
      <c r="F265" s="20" t="s">
        <v>245</v>
      </c>
      <c r="G265" s="8" t="str">
        <f t="shared" si="4"/>
        <v>BROWN JACOB</v>
      </c>
    </row>
    <row r="266" spans="1:7" x14ac:dyDescent="0.25">
      <c r="A266" s="8">
        <v>42754.070185185185</v>
      </c>
      <c r="B266" t="s">
        <v>229</v>
      </c>
      <c r="C266" t="s">
        <v>250</v>
      </c>
      <c r="D266" s="150">
        <v>2540000</v>
      </c>
      <c r="E266" t="s">
        <v>233</v>
      </c>
      <c r="F266" s="20" t="s">
        <v>234</v>
      </c>
      <c r="G266" s="8" t="str">
        <f t="shared" si="4"/>
        <v>MCREYNOLDS KYLE</v>
      </c>
    </row>
    <row r="267" spans="1:7" x14ac:dyDescent="0.25">
      <c r="A267" s="8">
        <v>42754.077326388891</v>
      </c>
      <c r="B267" t="s">
        <v>246</v>
      </c>
      <c r="C267" t="s">
        <v>252</v>
      </c>
      <c r="D267" s="150">
        <v>2450000</v>
      </c>
      <c r="E267" t="s">
        <v>248</v>
      </c>
      <c r="F267" s="20" t="s">
        <v>249</v>
      </c>
      <c r="G267" s="8" t="str">
        <f t="shared" si="4"/>
        <v>NELSON ARIANE</v>
      </c>
    </row>
    <row r="268" spans="1:7" x14ac:dyDescent="0.25">
      <c r="A268" s="8">
        <v>42754.08556712963</v>
      </c>
      <c r="B268" t="s">
        <v>243</v>
      </c>
      <c r="C268" t="s">
        <v>260</v>
      </c>
      <c r="D268" s="150">
        <v>2270000</v>
      </c>
      <c r="E268" t="s">
        <v>244</v>
      </c>
      <c r="F268" s="20" t="s">
        <v>245</v>
      </c>
      <c r="G268" s="8" t="str">
        <f t="shared" si="4"/>
        <v>BROWN JACOB</v>
      </c>
    </row>
    <row r="269" spans="1:7" x14ac:dyDescent="0.25">
      <c r="A269" s="8">
        <v>42754.092013888891</v>
      </c>
      <c r="B269" t="s">
        <v>228</v>
      </c>
      <c r="C269" t="s">
        <v>251</v>
      </c>
      <c r="D269" s="150">
        <v>2540000</v>
      </c>
      <c r="E269" t="s">
        <v>233</v>
      </c>
      <c r="F269" s="20" t="s">
        <v>234</v>
      </c>
      <c r="G269" s="8" t="str">
        <f t="shared" si="4"/>
        <v>MCREYNOLDS KYLE</v>
      </c>
    </row>
    <row r="270" spans="1:7" x14ac:dyDescent="0.25">
      <c r="A270" s="8">
        <v>42754.093356481484</v>
      </c>
      <c r="B270" t="s">
        <v>232</v>
      </c>
      <c r="C270" t="s">
        <v>261</v>
      </c>
      <c r="D270" s="150">
        <v>1810000</v>
      </c>
      <c r="E270" t="s">
        <v>209</v>
      </c>
      <c r="F270" s="20" t="s">
        <v>202</v>
      </c>
      <c r="G270" s="8" t="str">
        <f t="shared" si="4"/>
        <v>NEWELL JAMES</v>
      </c>
    </row>
    <row r="271" spans="1:7" x14ac:dyDescent="0.25">
      <c r="A271" s="8">
        <v>42754.098680555559</v>
      </c>
      <c r="B271" t="s">
        <v>258</v>
      </c>
      <c r="C271" t="s">
        <v>254</v>
      </c>
      <c r="D271" s="150">
        <v>2670000</v>
      </c>
      <c r="E271" t="s">
        <v>255</v>
      </c>
      <c r="F271" s="20" t="s">
        <v>256</v>
      </c>
      <c r="G271" s="8" t="str">
        <f t="shared" si="4"/>
        <v>COMELLA JUSTIN</v>
      </c>
    </row>
    <row r="272" spans="1:7" x14ac:dyDescent="0.25">
      <c r="A272" s="8">
        <v>42754.108900462961</v>
      </c>
      <c r="B272" t="s">
        <v>223</v>
      </c>
      <c r="C272" t="s">
        <v>247</v>
      </c>
      <c r="D272" s="150">
        <v>2450000</v>
      </c>
      <c r="E272" t="s">
        <v>248</v>
      </c>
      <c r="F272" s="20" t="s">
        <v>249</v>
      </c>
      <c r="G272" s="8" t="str">
        <f t="shared" si="4"/>
        <v>NELSON ARIANE</v>
      </c>
    </row>
    <row r="273" spans="1:7" x14ac:dyDescent="0.25">
      <c r="A273" s="8">
        <v>42754.109803240739</v>
      </c>
      <c r="B273" t="s">
        <v>229</v>
      </c>
      <c r="C273" t="s">
        <v>250</v>
      </c>
      <c r="D273" s="150">
        <v>2540000</v>
      </c>
      <c r="E273" t="s">
        <v>233</v>
      </c>
      <c r="F273" s="20" t="s">
        <v>234</v>
      </c>
      <c r="G273" s="8" t="str">
        <f t="shared" si="4"/>
        <v>MCREYNOLDS KYLE</v>
      </c>
    </row>
    <row r="274" spans="1:7" x14ac:dyDescent="0.25">
      <c r="F274" s="20">
        <f t="shared" ref="F274:F281" si="5">B274</f>
        <v>0</v>
      </c>
      <c r="G274" s="8" t="str">
        <f t="shared" si="4"/>
        <v xml:space="preserve"> 0</v>
      </c>
    </row>
    <row r="275" spans="1:7" x14ac:dyDescent="0.25">
      <c r="F275" s="20">
        <f t="shared" si="5"/>
        <v>0</v>
      </c>
      <c r="G275" s="8" t="str">
        <f t="shared" si="4"/>
        <v xml:space="preserve"> 0</v>
      </c>
    </row>
    <row r="276" spans="1:7" x14ac:dyDescent="0.25">
      <c r="F276" s="20">
        <f t="shared" si="5"/>
        <v>0</v>
      </c>
      <c r="G276" s="8" t="str">
        <f t="shared" si="4"/>
        <v xml:space="preserve"> 0</v>
      </c>
    </row>
    <row r="277" spans="1:7" x14ac:dyDescent="0.25">
      <c r="F277" s="20">
        <f t="shared" si="5"/>
        <v>0</v>
      </c>
      <c r="G277" s="8" t="str">
        <f t="shared" si="4"/>
        <v xml:space="preserve"> 0</v>
      </c>
    </row>
    <row r="278" spans="1:7" x14ac:dyDescent="0.25">
      <c r="F278" s="20">
        <f t="shared" si="5"/>
        <v>0</v>
      </c>
      <c r="G278" s="8" t="str">
        <f t="shared" si="4"/>
        <v xml:space="preserve"> 0</v>
      </c>
    </row>
    <row r="279" spans="1:7" x14ac:dyDescent="0.25">
      <c r="F279" s="20">
        <f t="shared" si="5"/>
        <v>0</v>
      </c>
      <c r="G279" s="8" t="str">
        <f t="shared" si="4"/>
        <v xml:space="preserve"> 0</v>
      </c>
    </row>
    <row r="280" spans="1:7" x14ac:dyDescent="0.25">
      <c r="F280" s="20">
        <f t="shared" si="5"/>
        <v>0</v>
      </c>
      <c r="G280" s="8" t="str">
        <f t="shared" si="4"/>
        <v xml:space="preserve"> 0</v>
      </c>
    </row>
    <row r="281" spans="1:7" x14ac:dyDescent="0.25">
      <c r="F281" s="20">
        <f t="shared" si="5"/>
        <v>0</v>
      </c>
      <c r="G281" s="8" t="str">
        <f t="shared" si="4"/>
        <v xml:space="preserve"> 0</v>
      </c>
    </row>
    <row r="282" spans="1:7" x14ac:dyDescent="0.25">
      <c r="F282" s="20">
        <f t="shared" ref="F282:F345" si="6">B282</f>
        <v>0</v>
      </c>
      <c r="G282" s="8" t="str">
        <f t="shared" si="4"/>
        <v xml:space="preserve"> 0</v>
      </c>
    </row>
    <row r="283" spans="1:7" x14ac:dyDescent="0.25">
      <c r="F283" s="20">
        <f t="shared" si="6"/>
        <v>0</v>
      </c>
      <c r="G283" s="8" t="str">
        <f t="shared" si="4"/>
        <v xml:space="preserve"> 0</v>
      </c>
    </row>
    <row r="284" spans="1:7" x14ac:dyDescent="0.25">
      <c r="F284" s="20">
        <f t="shared" si="6"/>
        <v>0</v>
      </c>
      <c r="G284" s="8" t="str">
        <f t="shared" si="4"/>
        <v xml:space="preserve"> 0</v>
      </c>
    </row>
    <row r="285" spans="1:7" x14ac:dyDescent="0.25">
      <c r="F285" s="20">
        <f t="shared" si="6"/>
        <v>0</v>
      </c>
      <c r="G285" s="8" t="str">
        <f t="shared" si="4"/>
        <v xml:space="preserve"> 0</v>
      </c>
    </row>
    <row r="286" spans="1:7" x14ac:dyDescent="0.25">
      <c r="F286" s="20">
        <f t="shared" si="6"/>
        <v>0</v>
      </c>
      <c r="G286" s="8" t="str">
        <f t="shared" si="4"/>
        <v xml:space="preserve"> 0</v>
      </c>
    </row>
    <row r="287" spans="1:7" x14ac:dyDescent="0.25">
      <c r="F287" s="20">
        <f t="shared" si="6"/>
        <v>0</v>
      </c>
      <c r="G287" s="8" t="str">
        <f t="shared" si="4"/>
        <v xml:space="preserve"> 0</v>
      </c>
    </row>
    <row r="288" spans="1:7" x14ac:dyDescent="0.25">
      <c r="F288" s="20">
        <f t="shared" si="6"/>
        <v>0</v>
      </c>
      <c r="G288" s="8" t="str">
        <f t="shared" si="4"/>
        <v xml:space="preserve"> 0</v>
      </c>
    </row>
    <row r="289" spans="6:7" x14ac:dyDescent="0.25">
      <c r="F289" s="20">
        <f t="shared" si="6"/>
        <v>0</v>
      </c>
      <c r="G289" s="8" t="str">
        <f t="shared" si="4"/>
        <v xml:space="preserve"> 0</v>
      </c>
    </row>
    <row r="290" spans="6:7" x14ac:dyDescent="0.25">
      <c r="F290" s="20">
        <f t="shared" si="6"/>
        <v>0</v>
      </c>
      <c r="G290" s="8" t="str">
        <f t="shared" si="4"/>
        <v xml:space="preserve"> 0</v>
      </c>
    </row>
    <row r="291" spans="6:7" x14ac:dyDescent="0.25">
      <c r="F291" s="20">
        <f t="shared" si="6"/>
        <v>0</v>
      </c>
      <c r="G291" s="8" t="str">
        <f t="shared" si="4"/>
        <v xml:space="preserve"> 0</v>
      </c>
    </row>
    <row r="292" spans="6:7" x14ac:dyDescent="0.25">
      <c r="F292" s="20">
        <f t="shared" si="6"/>
        <v>0</v>
      </c>
      <c r="G292" s="8" t="str">
        <f t="shared" si="4"/>
        <v xml:space="preserve"> 0</v>
      </c>
    </row>
    <row r="293" spans="6:7" x14ac:dyDescent="0.25">
      <c r="F293" s="20">
        <f t="shared" si="6"/>
        <v>0</v>
      </c>
      <c r="G293" s="8" t="str">
        <f t="shared" si="4"/>
        <v xml:space="preserve"> 0</v>
      </c>
    </row>
    <row r="294" spans="6:7" x14ac:dyDescent="0.25">
      <c r="F294" s="20">
        <f t="shared" si="6"/>
        <v>0</v>
      </c>
      <c r="G294" s="8" t="str">
        <f t="shared" si="4"/>
        <v xml:space="preserve"> 0</v>
      </c>
    </row>
    <row r="295" spans="6:7" x14ac:dyDescent="0.25">
      <c r="F295" s="20">
        <f t="shared" si="6"/>
        <v>0</v>
      </c>
      <c r="G295" s="8" t="str">
        <f t="shared" si="4"/>
        <v xml:space="preserve"> 0</v>
      </c>
    </row>
    <row r="296" spans="6:7" x14ac:dyDescent="0.25">
      <c r="F296" s="20">
        <f t="shared" si="6"/>
        <v>0</v>
      </c>
      <c r="G296" s="8" t="str">
        <f t="shared" si="4"/>
        <v xml:space="preserve"> 0</v>
      </c>
    </row>
    <row r="297" spans="6:7" x14ac:dyDescent="0.25">
      <c r="F297" s="20">
        <f t="shared" si="6"/>
        <v>0</v>
      </c>
      <c r="G297" s="8" t="str">
        <f t="shared" si="4"/>
        <v xml:space="preserve"> 0</v>
      </c>
    </row>
    <row r="298" spans="6:7" x14ac:dyDescent="0.25">
      <c r="F298" s="20">
        <f t="shared" si="6"/>
        <v>0</v>
      </c>
      <c r="G298" s="8" t="str">
        <f t="shared" si="4"/>
        <v xml:space="preserve"> 0</v>
      </c>
    </row>
    <row r="299" spans="6:7" x14ac:dyDescent="0.25">
      <c r="F299" s="20">
        <f t="shared" si="6"/>
        <v>0</v>
      </c>
      <c r="G299" s="8" t="str">
        <f t="shared" si="4"/>
        <v xml:space="preserve"> 0</v>
      </c>
    </row>
    <row r="300" spans="6:7" x14ac:dyDescent="0.25">
      <c r="F300" s="20">
        <f t="shared" si="6"/>
        <v>0</v>
      </c>
      <c r="G300" s="8" t="str">
        <f t="shared" si="4"/>
        <v xml:space="preserve"> 0</v>
      </c>
    </row>
    <row r="301" spans="6:7" x14ac:dyDescent="0.25">
      <c r="F301" s="20">
        <f t="shared" si="6"/>
        <v>0</v>
      </c>
      <c r="G301" s="8" t="str">
        <f t="shared" si="4"/>
        <v xml:space="preserve"> 0</v>
      </c>
    </row>
    <row r="302" spans="6:7" x14ac:dyDescent="0.25">
      <c r="F302" s="20">
        <f t="shared" si="6"/>
        <v>0</v>
      </c>
      <c r="G302" s="8" t="str">
        <f t="shared" si="4"/>
        <v xml:space="preserve"> 0</v>
      </c>
    </row>
    <row r="303" spans="6:7" x14ac:dyDescent="0.25">
      <c r="F303" s="20">
        <f t="shared" si="6"/>
        <v>0</v>
      </c>
      <c r="G303" s="8" t="str">
        <f t="shared" si="4"/>
        <v xml:space="preserve"> 0</v>
      </c>
    </row>
    <row r="304" spans="6:7" x14ac:dyDescent="0.25">
      <c r="F304" s="20">
        <f t="shared" si="6"/>
        <v>0</v>
      </c>
      <c r="G304" s="8" t="str">
        <f t="shared" si="4"/>
        <v xml:space="preserve"> 0</v>
      </c>
    </row>
    <row r="305" spans="6:7" x14ac:dyDescent="0.25">
      <c r="F305" s="20">
        <f t="shared" si="6"/>
        <v>0</v>
      </c>
      <c r="G305" s="8" t="str">
        <f t="shared" si="4"/>
        <v xml:space="preserve"> 0</v>
      </c>
    </row>
    <row r="306" spans="6:7" x14ac:dyDescent="0.25">
      <c r="F306" s="20">
        <f t="shared" si="6"/>
        <v>0</v>
      </c>
      <c r="G306" s="8" t="str">
        <f t="shared" si="4"/>
        <v xml:space="preserve"> 0</v>
      </c>
    </row>
    <row r="307" spans="6:7" x14ac:dyDescent="0.25">
      <c r="F307" s="20">
        <f t="shared" si="6"/>
        <v>0</v>
      </c>
      <c r="G307" s="8" t="str">
        <f t="shared" si="4"/>
        <v xml:space="preserve"> 0</v>
      </c>
    </row>
    <row r="308" spans="6:7" x14ac:dyDescent="0.25">
      <c r="F308" s="20">
        <f t="shared" si="6"/>
        <v>0</v>
      </c>
      <c r="G308" s="8" t="str">
        <f t="shared" si="4"/>
        <v xml:space="preserve"> 0</v>
      </c>
    </row>
    <row r="309" spans="6:7" x14ac:dyDescent="0.25">
      <c r="F309" s="20">
        <f t="shared" si="6"/>
        <v>0</v>
      </c>
      <c r="G309" s="8" t="str">
        <f t="shared" si="4"/>
        <v xml:space="preserve"> 0</v>
      </c>
    </row>
    <row r="310" spans="6:7" x14ac:dyDescent="0.25">
      <c r="F310" s="20">
        <f t="shared" si="6"/>
        <v>0</v>
      </c>
      <c r="G310" s="8" t="str">
        <f t="shared" si="4"/>
        <v xml:space="preserve"> 0</v>
      </c>
    </row>
    <row r="311" spans="6:7" x14ac:dyDescent="0.25">
      <c r="F311" s="20">
        <f t="shared" si="6"/>
        <v>0</v>
      </c>
      <c r="G311" s="8" t="str">
        <f t="shared" si="4"/>
        <v xml:space="preserve"> 0</v>
      </c>
    </row>
    <row r="312" spans="6:7" x14ac:dyDescent="0.25">
      <c r="F312" s="20">
        <f t="shared" si="6"/>
        <v>0</v>
      </c>
      <c r="G312" s="8" t="str">
        <f t="shared" si="4"/>
        <v xml:space="preserve"> 0</v>
      </c>
    </row>
    <row r="313" spans="6:7" x14ac:dyDescent="0.25">
      <c r="F313" s="20">
        <f t="shared" si="6"/>
        <v>0</v>
      </c>
      <c r="G313" s="8" t="str">
        <f t="shared" si="4"/>
        <v xml:space="preserve"> 0</v>
      </c>
    </row>
    <row r="314" spans="6:7" x14ac:dyDescent="0.25">
      <c r="F314" s="20">
        <f t="shared" si="6"/>
        <v>0</v>
      </c>
      <c r="G314" s="8" t="str">
        <f t="shared" si="4"/>
        <v xml:space="preserve"> 0</v>
      </c>
    </row>
    <row r="315" spans="6:7" x14ac:dyDescent="0.25">
      <c r="F315" s="20">
        <f t="shared" si="6"/>
        <v>0</v>
      </c>
      <c r="G315" s="8" t="str">
        <f t="shared" si="4"/>
        <v xml:space="preserve"> 0</v>
      </c>
    </row>
    <row r="316" spans="6:7" x14ac:dyDescent="0.25">
      <c r="F316" s="20">
        <f t="shared" si="6"/>
        <v>0</v>
      </c>
      <c r="G316" s="8" t="str">
        <f t="shared" si="4"/>
        <v xml:space="preserve"> 0</v>
      </c>
    </row>
    <row r="317" spans="6:7" x14ac:dyDescent="0.25">
      <c r="F317" s="20">
        <f t="shared" si="6"/>
        <v>0</v>
      </c>
      <c r="G317" s="8" t="str">
        <f t="shared" si="4"/>
        <v xml:space="preserve"> 0</v>
      </c>
    </row>
    <row r="318" spans="6:7" x14ac:dyDescent="0.25">
      <c r="F318" s="20">
        <f t="shared" si="6"/>
        <v>0</v>
      </c>
      <c r="G318" s="8" t="str">
        <f t="shared" si="4"/>
        <v xml:space="preserve"> 0</v>
      </c>
    </row>
    <row r="319" spans="6:7" x14ac:dyDescent="0.25">
      <c r="F319" s="20">
        <f t="shared" si="6"/>
        <v>0</v>
      </c>
      <c r="G319" s="8" t="str">
        <f t="shared" si="4"/>
        <v xml:space="preserve"> 0</v>
      </c>
    </row>
    <row r="320" spans="6:7" x14ac:dyDescent="0.25">
      <c r="F320" s="20">
        <f t="shared" si="6"/>
        <v>0</v>
      </c>
      <c r="G320" s="8" t="str">
        <f t="shared" si="4"/>
        <v xml:space="preserve"> 0</v>
      </c>
    </row>
    <row r="321" spans="6:7" x14ac:dyDescent="0.25">
      <c r="F321" s="20">
        <f t="shared" si="6"/>
        <v>0</v>
      </c>
      <c r="G321" s="8" t="str">
        <f t="shared" si="4"/>
        <v xml:space="preserve"> 0</v>
      </c>
    </row>
    <row r="322" spans="6:7" x14ac:dyDescent="0.25">
      <c r="F322" s="20">
        <f t="shared" si="6"/>
        <v>0</v>
      </c>
      <c r="G322" s="8" t="str">
        <f t="shared" si="4"/>
        <v xml:space="preserve"> 0</v>
      </c>
    </row>
    <row r="323" spans="6:7" x14ac:dyDescent="0.25">
      <c r="F323" s="20">
        <f t="shared" si="6"/>
        <v>0</v>
      </c>
      <c r="G323" s="8" t="str">
        <f t="shared" ref="G323:G386" si="7">E323&amp;" "&amp;F323</f>
        <v xml:space="preserve"> 0</v>
      </c>
    </row>
    <row r="324" spans="6:7" x14ac:dyDescent="0.25">
      <c r="F324" s="20">
        <f t="shared" si="6"/>
        <v>0</v>
      </c>
      <c r="G324" s="8" t="str">
        <f t="shared" si="7"/>
        <v xml:space="preserve"> 0</v>
      </c>
    </row>
    <row r="325" spans="6:7" x14ac:dyDescent="0.25">
      <c r="F325" s="20">
        <f t="shared" si="6"/>
        <v>0</v>
      </c>
      <c r="G325" s="8" t="str">
        <f t="shared" si="7"/>
        <v xml:space="preserve"> 0</v>
      </c>
    </row>
    <row r="326" spans="6:7" x14ac:dyDescent="0.25">
      <c r="F326" s="20">
        <f t="shared" si="6"/>
        <v>0</v>
      </c>
      <c r="G326" s="8" t="str">
        <f t="shared" si="7"/>
        <v xml:space="preserve"> 0</v>
      </c>
    </row>
    <row r="327" spans="6:7" x14ac:dyDescent="0.25">
      <c r="F327" s="20">
        <f t="shared" si="6"/>
        <v>0</v>
      </c>
      <c r="G327" s="8" t="str">
        <f t="shared" si="7"/>
        <v xml:space="preserve"> 0</v>
      </c>
    </row>
    <row r="328" spans="6:7" x14ac:dyDescent="0.25">
      <c r="F328" s="20">
        <f t="shared" si="6"/>
        <v>0</v>
      </c>
      <c r="G328" s="8" t="str">
        <f t="shared" si="7"/>
        <v xml:space="preserve"> 0</v>
      </c>
    </row>
    <row r="329" spans="6:7" x14ac:dyDescent="0.25">
      <c r="F329" s="20">
        <f t="shared" si="6"/>
        <v>0</v>
      </c>
      <c r="G329" s="8" t="str">
        <f t="shared" si="7"/>
        <v xml:space="preserve"> 0</v>
      </c>
    </row>
    <row r="330" spans="6:7" x14ac:dyDescent="0.25">
      <c r="F330" s="20">
        <f t="shared" si="6"/>
        <v>0</v>
      </c>
      <c r="G330" s="8" t="str">
        <f t="shared" si="7"/>
        <v xml:space="preserve"> 0</v>
      </c>
    </row>
    <row r="331" spans="6:7" x14ac:dyDescent="0.25">
      <c r="F331" s="20">
        <f t="shared" si="6"/>
        <v>0</v>
      </c>
      <c r="G331" s="8" t="str">
        <f t="shared" si="7"/>
        <v xml:space="preserve"> 0</v>
      </c>
    </row>
    <row r="332" spans="6:7" x14ac:dyDescent="0.25">
      <c r="F332" s="20">
        <f t="shared" si="6"/>
        <v>0</v>
      </c>
      <c r="G332" s="8" t="str">
        <f t="shared" si="7"/>
        <v xml:space="preserve"> 0</v>
      </c>
    </row>
    <row r="333" spans="6:7" x14ac:dyDescent="0.25">
      <c r="F333" s="20">
        <f t="shared" si="6"/>
        <v>0</v>
      </c>
      <c r="G333" s="8" t="str">
        <f t="shared" si="7"/>
        <v xml:space="preserve"> 0</v>
      </c>
    </row>
    <row r="334" spans="6:7" x14ac:dyDescent="0.25">
      <c r="F334" s="20">
        <f t="shared" si="6"/>
        <v>0</v>
      </c>
      <c r="G334" s="8" t="str">
        <f t="shared" si="7"/>
        <v xml:space="preserve"> 0</v>
      </c>
    </row>
    <row r="335" spans="6:7" x14ac:dyDescent="0.25">
      <c r="F335" s="20">
        <f t="shared" si="6"/>
        <v>0</v>
      </c>
      <c r="G335" s="8" t="str">
        <f t="shared" si="7"/>
        <v xml:space="preserve"> 0</v>
      </c>
    </row>
    <row r="336" spans="6:7" x14ac:dyDescent="0.25">
      <c r="F336" s="20">
        <f t="shared" si="6"/>
        <v>0</v>
      </c>
      <c r="G336" s="8" t="str">
        <f t="shared" si="7"/>
        <v xml:space="preserve"> 0</v>
      </c>
    </row>
    <row r="337" spans="6:7" x14ac:dyDescent="0.25">
      <c r="F337" s="20">
        <f t="shared" si="6"/>
        <v>0</v>
      </c>
      <c r="G337" s="8" t="str">
        <f t="shared" si="7"/>
        <v xml:space="preserve"> 0</v>
      </c>
    </row>
    <row r="338" spans="6:7" x14ac:dyDescent="0.25">
      <c r="F338" s="20">
        <f t="shared" si="6"/>
        <v>0</v>
      </c>
      <c r="G338" s="8" t="str">
        <f t="shared" si="7"/>
        <v xml:space="preserve"> 0</v>
      </c>
    </row>
    <row r="339" spans="6:7" x14ac:dyDescent="0.25">
      <c r="F339" s="20">
        <f t="shared" si="6"/>
        <v>0</v>
      </c>
      <c r="G339" s="8" t="str">
        <f t="shared" si="7"/>
        <v xml:space="preserve"> 0</v>
      </c>
    </row>
    <row r="340" spans="6:7" x14ac:dyDescent="0.25">
      <c r="F340" s="20">
        <f t="shared" si="6"/>
        <v>0</v>
      </c>
      <c r="G340" s="8" t="str">
        <f t="shared" si="7"/>
        <v xml:space="preserve"> 0</v>
      </c>
    </row>
    <row r="341" spans="6:7" x14ac:dyDescent="0.25">
      <c r="F341" s="20">
        <f t="shared" si="6"/>
        <v>0</v>
      </c>
      <c r="G341" s="8" t="str">
        <f t="shared" si="7"/>
        <v xml:space="preserve"> 0</v>
      </c>
    </row>
    <row r="342" spans="6:7" x14ac:dyDescent="0.25">
      <c r="F342" s="20">
        <f t="shared" si="6"/>
        <v>0</v>
      </c>
      <c r="G342" s="8" t="str">
        <f t="shared" si="7"/>
        <v xml:space="preserve"> 0</v>
      </c>
    </row>
    <row r="343" spans="6:7" x14ac:dyDescent="0.25">
      <c r="F343" s="20">
        <f t="shared" si="6"/>
        <v>0</v>
      </c>
      <c r="G343" s="8" t="str">
        <f t="shared" si="7"/>
        <v xml:space="preserve"> 0</v>
      </c>
    </row>
    <row r="344" spans="6:7" x14ac:dyDescent="0.25">
      <c r="F344" s="20">
        <f t="shared" si="6"/>
        <v>0</v>
      </c>
      <c r="G344" s="8" t="str">
        <f t="shared" si="7"/>
        <v xml:space="preserve"> 0</v>
      </c>
    </row>
    <row r="345" spans="6:7" x14ac:dyDescent="0.25">
      <c r="F345" s="20">
        <f t="shared" si="6"/>
        <v>0</v>
      </c>
      <c r="G345" s="8" t="str">
        <f t="shared" si="7"/>
        <v xml:space="preserve"> 0</v>
      </c>
    </row>
    <row r="346" spans="6:7" x14ac:dyDescent="0.25">
      <c r="F346" s="20">
        <f t="shared" ref="F346:F409" si="8">B346</f>
        <v>0</v>
      </c>
      <c r="G346" s="8" t="str">
        <f t="shared" si="7"/>
        <v xml:space="preserve"> 0</v>
      </c>
    </row>
    <row r="347" spans="6:7" x14ac:dyDescent="0.25">
      <c r="F347" s="20">
        <f t="shared" si="8"/>
        <v>0</v>
      </c>
      <c r="G347" s="8" t="str">
        <f t="shared" si="7"/>
        <v xml:space="preserve"> 0</v>
      </c>
    </row>
    <row r="348" spans="6:7" x14ac:dyDescent="0.25">
      <c r="F348" s="20">
        <f t="shared" si="8"/>
        <v>0</v>
      </c>
      <c r="G348" s="8" t="str">
        <f t="shared" si="7"/>
        <v xml:space="preserve"> 0</v>
      </c>
    </row>
    <row r="349" spans="6:7" x14ac:dyDescent="0.25">
      <c r="F349" s="20">
        <f t="shared" si="8"/>
        <v>0</v>
      </c>
      <c r="G349" s="8" t="str">
        <f t="shared" si="7"/>
        <v xml:space="preserve"> 0</v>
      </c>
    </row>
    <row r="350" spans="6:7" x14ac:dyDescent="0.25">
      <c r="F350" s="20">
        <f t="shared" si="8"/>
        <v>0</v>
      </c>
      <c r="G350" s="8" t="str">
        <f t="shared" si="7"/>
        <v xml:space="preserve"> 0</v>
      </c>
    </row>
    <row r="351" spans="6:7" x14ac:dyDescent="0.25">
      <c r="F351" s="20">
        <f t="shared" si="8"/>
        <v>0</v>
      </c>
      <c r="G351" s="8" t="str">
        <f t="shared" si="7"/>
        <v xml:space="preserve"> 0</v>
      </c>
    </row>
    <row r="352" spans="6:7" x14ac:dyDescent="0.25">
      <c r="F352" s="20">
        <f t="shared" si="8"/>
        <v>0</v>
      </c>
      <c r="G352" s="8" t="str">
        <f t="shared" si="7"/>
        <v xml:space="preserve"> 0</v>
      </c>
    </row>
    <row r="353" spans="6:7" x14ac:dyDescent="0.25">
      <c r="F353" s="20">
        <f t="shared" si="8"/>
        <v>0</v>
      </c>
      <c r="G353" s="8" t="str">
        <f t="shared" si="7"/>
        <v xml:space="preserve"> 0</v>
      </c>
    </row>
    <row r="354" spans="6:7" x14ac:dyDescent="0.25">
      <c r="F354" s="20">
        <f t="shared" si="8"/>
        <v>0</v>
      </c>
      <c r="G354" s="8" t="str">
        <f t="shared" si="7"/>
        <v xml:space="preserve"> 0</v>
      </c>
    </row>
    <row r="355" spans="6:7" x14ac:dyDescent="0.25">
      <c r="F355" s="20">
        <f t="shared" si="8"/>
        <v>0</v>
      </c>
      <c r="G355" s="8" t="str">
        <f t="shared" si="7"/>
        <v xml:space="preserve"> 0</v>
      </c>
    </row>
    <row r="356" spans="6:7" x14ac:dyDescent="0.25">
      <c r="F356" s="20">
        <f t="shared" si="8"/>
        <v>0</v>
      </c>
      <c r="G356" s="8" t="str">
        <f t="shared" si="7"/>
        <v xml:space="preserve"> 0</v>
      </c>
    </row>
    <row r="357" spans="6:7" x14ac:dyDescent="0.25">
      <c r="F357" s="20">
        <f t="shared" si="8"/>
        <v>0</v>
      </c>
      <c r="G357" s="8" t="str">
        <f t="shared" si="7"/>
        <v xml:space="preserve"> 0</v>
      </c>
    </row>
    <row r="358" spans="6:7" x14ac:dyDescent="0.25">
      <c r="F358" s="20">
        <f t="shared" si="8"/>
        <v>0</v>
      </c>
      <c r="G358" s="8" t="str">
        <f t="shared" si="7"/>
        <v xml:space="preserve"> 0</v>
      </c>
    </row>
    <row r="359" spans="6:7" x14ac:dyDescent="0.25">
      <c r="F359" s="20">
        <f t="shared" si="8"/>
        <v>0</v>
      </c>
      <c r="G359" s="8" t="str">
        <f t="shared" si="7"/>
        <v xml:space="preserve"> 0</v>
      </c>
    </row>
    <row r="360" spans="6:7" x14ac:dyDescent="0.25">
      <c r="F360" s="20">
        <f t="shared" si="8"/>
        <v>0</v>
      </c>
      <c r="G360" s="8" t="str">
        <f t="shared" si="7"/>
        <v xml:space="preserve"> 0</v>
      </c>
    </row>
    <row r="361" spans="6:7" x14ac:dyDescent="0.25">
      <c r="F361" s="20">
        <f t="shared" si="8"/>
        <v>0</v>
      </c>
      <c r="G361" s="8" t="str">
        <f t="shared" si="7"/>
        <v xml:space="preserve"> 0</v>
      </c>
    </row>
    <row r="362" spans="6:7" x14ac:dyDescent="0.25">
      <c r="F362" s="20">
        <f t="shared" si="8"/>
        <v>0</v>
      </c>
      <c r="G362" s="8" t="str">
        <f t="shared" si="7"/>
        <v xml:space="preserve"> 0</v>
      </c>
    </row>
    <row r="363" spans="6:7" x14ac:dyDescent="0.25">
      <c r="F363" s="20">
        <f t="shared" si="8"/>
        <v>0</v>
      </c>
      <c r="G363" s="8" t="str">
        <f t="shared" si="7"/>
        <v xml:space="preserve"> 0</v>
      </c>
    </row>
    <row r="364" spans="6:7" x14ac:dyDescent="0.25">
      <c r="F364" s="20">
        <f t="shared" si="8"/>
        <v>0</v>
      </c>
      <c r="G364" s="8" t="str">
        <f t="shared" si="7"/>
        <v xml:space="preserve"> 0</v>
      </c>
    </row>
    <row r="365" spans="6:7" x14ac:dyDescent="0.25">
      <c r="F365" s="20">
        <f t="shared" si="8"/>
        <v>0</v>
      </c>
      <c r="G365" s="8" t="str">
        <f t="shared" si="7"/>
        <v xml:space="preserve"> 0</v>
      </c>
    </row>
    <row r="366" spans="6:7" x14ac:dyDescent="0.25">
      <c r="F366" s="20">
        <f t="shared" si="8"/>
        <v>0</v>
      </c>
      <c r="G366" s="8" t="str">
        <f t="shared" si="7"/>
        <v xml:space="preserve"> 0</v>
      </c>
    </row>
    <row r="367" spans="6:7" x14ac:dyDescent="0.25">
      <c r="F367" s="20">
        <f t="shared" si="8"/>
        <v>0</v>
      </c>
      <c r="G367" s="8" t="str">
        <f t="shared" si="7"/>
        <v xml:space="preserve"> 0</v>
      </c>
    </row>
    <row r="368" spans="6:7" x14ac:dyDescent="0.25">
      <c r="F368" s="20">
        <f t="shared" si="8"/>
        <v>0</v>
      </c>
      <c r="G368" s="8" t="str">
        <f t="shared" si="7"/>
        <v xml:space="preserve"> 0</v>
      </c>
    </row>
    <row r="369" spans="6:7" x14ac:dyDescent="0.25">
      <c r="F369" s="20">
        <f t="shared" si="8"/>
        <v>0</v>
      </c>
      <c r="G369" s="8" t="str">
        <f t="shared" si="7"/>
        <v xml:space="preserve"> 0</v>
      </c>
    </row>
    <row r="370" spans="6:7" x14ac:dyDescent="0.25">
      <c r="F370" s="20">
        <f t="shared" si="8"/>
        <v>0</v>
      </c>
      <c r="G370" s="8" t="str">
        <f t="shared" si="7"/>
        <v xml:space="preserve"> 0</v>
      </c>
    </row>
    <row r="371" spans="6:7" x14ac:dyDescent="0.25">
      <c r="F371" s="20">
        <f t="shared" si="8"/>
        <v>0</v>
      </c>
      <c r="G371" s="8" t="str">
        <f t="shared" si="7"/>
        <v xml:space="preserve"> 0</v>
      </c>
    </row>
    <row r="372" spans="6:7" x14ac:dyDescent="0.25">
      <c r="F372" s="20">
        <f t="shared" si="8"/>
        <v>0</v>
      </c>
      <c r="G372" s="8" t="str">
        <f t="shared" si="7"/>
        <v xml:space="preserve"> 0</v>
      </c>
    </row>
    <row r="373" spans="6:7" x14ac:dyDescent="0.25">
      <c r="F373" s="20">
        <f t="shared" si="8"/>
        <v>0</v>
      </c>
      <c r="G373" s="8" t="str">
        <f t="shared" si="7"/>
        <v xml:space="preserve"> 0</v>
      </c>
    </row>
    <row r="374" spans="6:7" x14ac:dyDescent="0.25">
      <c r="F374" s="20">
        <f t="shared" si="8"/>
        <v>0</v>
      </c>
      <c r="G374" s="8" t="str">
        <f t="shared" si="7"/>
        <v xml:space="preserve"> 0</v>
      </c>
    </row>
    <row r="375" spans="6:7" x14ac:dyDescent="0.25">
      <c r="F375" s="20">
        <f t="shared" si="8"/>
        <v>0</v>
      </c>
      <c r="G375" s="8" t="str">
        <f t="shared" si="7"/>
        <v xml:space="preserve"> 0</v>
      </c>
    </row>
    <row r="376" spans="6:7" x14ac:dyDescent="0.25">
      <c r="F376" s="20">
        <f t="shared" si="8"/>
        <v>0</v>
      </c>
      <c r="G376" s="8" t="str">
        <f t="shared" si="7"/>
        <v xml:space="preserve"> 0</v>
      </c>
    </row>
    <row r="377" spans="6:7" x14ac:dyDescent="0.25">
      <c r="F377" s="20">
        <f t="shared" si="8"/>
        <v>0</v>
      </c>
      <c r="G377" s="8" t="str">
        <f t="shared" si="7"/>
        <v xml:space="preserve"> 0</v>
      </c>
    </row>
    <row r="378" spans="6:7" x14ac:dyDescent="0.25">
      <c r="F378" s="20">
        <f t="shared" si="8"/>
        <v>0</v>
      </c>
      <c r="G378" s="8" t="str">
        <f t="shared" si="7"/>
        <v xml:space="preserve"> 0</v>
      </c>
    </row>
    <row r="379" spans="6:7" x14ac:dyDescent="0.25">
      <c r="F379" s="20">
        <f t="shared" si="8"/>
        <v>0</v>
      </c>
      <c r="G379" s="8" t="str">
        <f t="shared" si="7"/>
        <v xml:space="preserve"> 0</v>
      </c>
    </row>
    <row r="380" spans="6:7" x14ac:dyDescent="0.25">
      <c r="F380" s="20">
        <f t="shared" si="8"/>
        <v>0</v>
      </c>
      <c r="G380" s="8" t="str">
        <f t="shared" si="7"/>
        <v xml:space="preserve"> 0</v>
      </c>
    </row>
    <row r="381" spans="6:7" x14ac:dyDescent="0.25">
      <c r="F381" s="20">
        <f t="shared" si="8"/>
        <v>0</v>
      </c>
      <c r="G381" s="8" t="str">
        <f t="shared" si="7"/>
        <v xml:space="preserve"> 0</v>
      </c>
    </row>
    <row r="382" spans="6:7" x14ac:dyDescent="0.25">
      <c r="F382" s="20">
        <f t="shared" si="8"/>
        <v>0</v>
      </c>
      <c r="G382" s="8" t="str">
        <f t="shared" si="7"/>
        <v xml:space="preserve"> 0</v>
      </c>
    </row>
    <row r="383" spans="6:7" x14ac:dyDescent="0.25">
      <c r="F383" s="20">
        <f t="shared" si="8"/>
        <v>0</v>
      </c>
      <c r="G383" s="8" t="str">
        <f t="shared" si="7"/>
        <v xml:space="preserve"> 0</v>
      </c>
    </row>
    <row r="384" spans="6:7" x14ac:dyDescent="0.25">
      <c r="F384" s="20">
        <f t="shared" si="8"/>
        <v>0</v>
      </c>
      <c r="G384" s="8" t="str">
        <f t="shared" si="7"/>
        <v xml:space="preserve"> 0</v>
      </c>
    </row>
    <row r="385" spans="6:7" x14ac:dyDescent="0.25">
      <c r="F385" s="20">
        <f t="shared" si="8"/>
        <v>0</v>
      </c>
      <c r="G385" s="8" t="str">
        <f t="shared" si="7"/>
        <v xml:space="preserve"> 0</v>
      </c>
    </row>
    <row r="386" spans="6:7" x14ac:dyDescent="0.25">
      <c r="F386" s="20">
        <f t="shared" si="8"/>
        <v>0</v>
      </c>
      <c r="G386" s="8" t="str">
        <f t="shared" si="7"/>
        <v xml:space="preserve"> 0</v>
      </c>
    </row>
    <row r="387" spans="6:7" x14ac:dyDescent="0.25">
      <c r="F387" s="20">
        <f t="shared" si="8"/>
        <v>0</v>
      </c>
      <c r="G387" s="8" t="str">
        <f t="shared" ref="G387:G450" si="9">E387&amp;" "&amp;F387</f>
        <v xml:space="preserve"> 0</v>
      </c>
    </row>
    <row r="388" spans="6:7" x14ac:dyDescent="0.25">
      <c r="F388" s="20">
        <f t="shared" si="8"/>
        <v>0</v>
      </c>
      <c r="G388" s="8" t="str">
        <f t="shared" si="9"/>
        <v xml:space="preserve"> 0</v>
      </c>
    </row>
    <row r="389" spans="6:7" x14ac:dyDescent="0.25">
      <c r="F389" s="20">
        <f t="shared" si="8"/>
        <v>0</v>
      </c>
      <c r="G389" s="8" t="str">
        <f t="shared" si="9"/>
        <v xml:space="preserve"> 0</v>
      </c>
    </row>
    <row r="390" spans="6:7" x14ac:dyDescent="0.25">
      <c r="F390" s="20">
        <f t="shared" si="8"/>
        <v>0</v>
      </c>
      <c r="G390" s="8" t="str">
        <f t="shared" si="9"/>
        <v xml:space="preserve"> 0</v>
      </c>
    </row>
    <row r="391" spans="6:7" x14ac:dyDescent="0.25">
      <c r="F391" s="20">
        <f t="shared" si="8"/>
        <v>0</v>
      </c>
      <c r="G391" s="8" t="str">
        <f t="shared" si="9"/>
        <v xml:space="preserve"> 0</v>
      </c>
    </row>
    <row r="392" spans="6:7" x14ac:dyDescent="0.25">
      <c r="F392" s="20">
        <f t="shared" si="8"/>
        <v>0</v>
      </c>
      <c r="G392" s="8" t="str">
        <f t="shared" si="9"/>
        <v xml:space="preserve"> 0</v>
      </c>
    </row>
    <row r="393" spans="6:7" x14ac:dyDescent="0.25">
      <c r="F393" s="20">
        <f t="shared" si="8"/>
        <v>0</v>
      </c>
      <c r="G393" s="8" t="str">
        <f t="shared" si="9"/>
        <v xml:space="preserve"> 0</v>
      </c>
    </row>
    <row r="394" spans="6:7" x14ac:dyDescent="0.25">
      <c r="F394" s="20">
        <f t="shared" si="8"/>
        <v>0</v>
      </c>
      <c r="G394" s="8" t="str">
        <f t="shared" si="9"/>
        <v xml:space="preserve"> 0</v>
      </c>
    </row>
    <row r="395" spans="6:7" x14ac:dyDescent="0.25">
      <c r="F395" s="20">
        <f t="shared" si="8"/>
        <v>0</v>
      </c>
      <c r="G395" s="8" t="str">
        <f t="shared" si="9"/>
        <v xml:space="preserve"> 0</v>
      </c>
    </row>
    <row r="396" spans="6:7" x14ac:dyDescent="0.25">
      <c r="F396" s="20">
        <f t="shared" si="8"/>
        <v>0</v>
      </c>
      <c r="G396" s="8" t="str">
        <f t="shared" si="9"/>
        <v xml:space="preserve"> 0</v>
      </c>
    </row>
    <row r="397" spans="6:7" x14ac:dyDescent="0.25">
      <c r="F397" s="20">
        <f t="shared" si="8"/>
        <v>0</v>
      </c>
      <c r="G397" s="8" t="str">
        <f t="shared" si="9"/>
        <v xml:space="preserve"> 0</v>
      </c>
    </row>
    <row r="398" spans="6:7" x14ac:dyDescent="0.25">
      <c r="F398" s="20">
        <f t="shared" si="8"/>
        <v>0</v>
      </c>
      <c r="G398" s="8" t="str">
        <f t="shared" si="9"/>
        <v xml:space="preserve"> 0</v>
      </c>
    </row>
    <row r="399" spans="6:7" x14ac:dyDescent="0.25">
      <c r="F399" s="20">
        <f t="shared" si="8"/>
        <v>0</v>
      </c>
      <c r="G399" s="8" t="str">
        <f t="shared" si="9"/>
        <v xml:space="preserve"> 0</v>
      </c>
    </row>
    <row r="400" spans="6:7" x14ac:dyDescent="0.25">
      <c r="F400" s="20">
        <f t="shared" si="8"/>
        <v>0</v>
      </c>
      <c r="G400" s="8" t="str">
        <f t="shared" si="9"/>
        <v xml:space="preserve"> 0</v>
      </c>
    </row>
    <row r="401" spans="6:7" x14ac:dyDescent="0.25">
      <c r="F401" s="20">
        <f t="shared" si="8"/>
        <v>0</v>
      </c>
      <c r="G401" s="8" t="str">
        <f t="shared" si="9"/>
        <v xml:space="preserve"> 0</v>
      </c>
    </row>
    <row r="402" spans="6:7" x14ac:dyDescent="0.25">
      <c r="F402" s="20">
        <f t="shared" si="8"/>
        <v>0</v>
      </c>
      <c r="G402" s="8" t="str">
        <f t="shared" si="9"/>
        <v xml:space="preserve"> 0</v>
      </c>
    </row>
    <row r="403" spans="6:7" x14ac:dyDescent="0.25">
      <c r="F403" s="20">
        <f t="shared" si="8"/>
        <v>0</v>
      </c>
      <c r="G403" s="8" t="str">
        <f t="shared" si="9"/>
        <v xml:space="preserve"> 0</v>
      </c>
    </row>
    <row r="404" spans="6:7" x14ac:dyDescent="0.25">
      <c r="F404" s="20">
        <f t="shared" si="8"/>
        <v>0</v>
      </c>
      <c r="G404" s="8" t="str">
        <f t="shared" si="9"/>
        <v xml:space="preserve"> 0</v>
      </c>
    </row>
    <row r="405" spans="6:7" x14ac:dyDescent="0.25">
      <c r="F405" s="20">
        <f t="shared" si="8"/>
        <v>0</v>
      </c>
      <c r="G405" s="8" t="str">
        <f t="shared" si="9"/>
        <v xml:space="preserve"> 0</v>
      </c>
    </row>
    <row r="406" spans="6:7" x14ac:dyDescent="0.25">
      <c r="F406" s="20">
        <f t="shared" si="8"/>
        <v>0</v>
      </c>
      <c r="G406" s="8" t="str">
        <f t="shared" si="9"/>
        <v xml:space="preserve"> 0</v>
      </c>
    </row>
    <row r="407" spans="6:7" x14ac:dyDescent="0.25">
      <c r="F407" s="20">
        <f t="shared" si="8"/>
        <v>0</v>
      </c>
      <c r="G407" s="8" t="str">
        <f t="shared" si="9"/>
        <v xml:space="preserve"> 0</v>
      </c>
    </row>
    <row r="408" spans="6:7" x14ac:dyDescent="0.25">
      <c r="F408" s="20">
        <f t="shared" si="8"/>
        <v>0</v>
      </c>
      <c r="G408" s="8" t="str">
        <f t="shared" si="9"/>
        <v xml:space="preserve"> 0</v>
      </c>
    </row>
    <row r="409" spans="6:7" x14ac:dyDescent="0.25">
      <c r="F409" s="20">
        <f t="shared" si="8"/>
        <v>0</v>
      </c>
      <c r="G409" s="8" t="str">
        <f t="shared" si="9"/>
        <v xml:space="preserve"> 0</v>
      </c>
    </row>
    <row r="410" spans="6:7" x14ac:dyDescent="0.25">
      <c r="F410" s="20">
        <f t="shared" ref="F410:F473" si="10">B410</f>
        <v>0</v>
      </c>
      <c r="G410" s="8" t="str">
        <f t="shared" si="9"/>
        <v xml:space="preserve"> 0</v>
      </c>
    </row>
    <row r="411" spans="6:7" x14ac:dyDescent="0.25">
      <c r="F411" s="20">
        <f t="shared" si="10"/>
        <v>0</v>
      </c>
      <c r="G411" s="8" t="str">
        <f t="shared" si="9"/>
        <v xml:space="preserve"> 0</v>
      </c>
    </row>
    <row r="412" spans="6:7" x14ac:dyDescent="0.25">
      <c r="F412" s="20">
        <f t="shared" si="10"/>
        <v>0</v>
      </c>
      <c r="G412" s="8" t="str">
        <f t="shared" si="9"/>
        <v xml:space="preserve"> 0</v>
      </c>
    </row>
    <row r="413" spans="6:7" x14ac:dyDescent="0.25">
      <c r="F413" s="20">
        <f t="shared" si="10"/>
        <v>0</v>
      </c>
      <c r="G413" s="8" t="str">
        <f t="shared" si="9"/>
        <v xml:space="preserve"> 0</v>
      </c>
    </row>
    <row r="414" spans="6:7" x14ac:dyDescent="0.25">
      <c r="F414" s="20">
        <f t="shared" si="10"/>
        <v>0</v>
      </c>
      <c r="G414" s="8" t="str">
        <f t="shared" si="9"/>
        <v xml:space="preserve"> 0</v>
      </c>
    </row>
    <row r="415" spans="6:7" x14ac:dyDescent="0.25">
      <c r="F415" s="20">
        <f t="shared" si="10"/>
        <v>0</v>
      </c>
      <c r="G415" s="8" t="str">
        <f t="shared" si="9"/>
        <v xml:space="preserve"> 0</v>
      </c>
    </row>
    <row r="416" spans="6:7" x14ac:dyDescent="0.25">
      <c r="F416" s="20">
        <f t="shared" si="10"/>
        <v>0</v>
      </c>
      <c r="G416" s="8" t="str">
        <f t="shared" si="9"/>
        <v xml:space="preserve"> 0</v>
      </c>
    </row>
    <row r="417" spans="6:7" x14ac:dyDescent="0.25">
      <c r="F417" s="20">
        <f t="shared" si="10"/>
        <v>0</v>
      </c>
      <c r="G417" s="8" t="str">
        <f t="shared" si="9"/>
        <v xml:space="preserve"> 0</v>
      </c>
    </row>
    <row r="418" spans="6:7" x14ac:dyDescent="0.25">
      <c r="F418" s="20">
        <f t="shared" si="10"/>
        <v>0</v>
      </c>
      <c r="G418" s="8" t="str">
        <f t="shared" si="9"/>
        <v xml:space="preserve"> 0</v>
      </c>
    </row>
    <row r="419" spans="6:7" x14ac:dyDescent="0.25">
      <c r="F419" s="20">
        <f t="shared" si="10"/>
        <v>0</v>
      </c>
      <c r="G419" s="8" t="str">
        <f t="shared" si="9"/>
        <v xml:space="preserve"> 0</v>
      </c>
    </row>
    <row r="420" spans="6:7" x14ac:dyDescent="0.25">
      <c r="F420" s="20">
        <f t="shared" si="10"/>
        <v>0</v>
      </c>
      <c r="G420" s="8" t="str">
        <f t="shared" si="9"/>
        <v xml:space="preserve"> 0</v>
      </c>
    </row>
    <row r="421" spans="6:7" x14ac:dyDescent="0.25">
      <c r="F421" s="20">
        <f t="shared" si="10"/>
        <v>0</v>
      </c>
      <c r="G421" s="8" t="str">
        <f t="shared" si="9"/>
        <v xml:space="preserve"> 0</v>
      </c>
    </row>
    <row r="422" spans="6:7" x14ac:dyDescent="0.25">
      <c r="F422" s="20">
        <f t="shared" si="10"/>
        <v>0</v>
      </c>
      <c r="G422" s="8" t="str">
        <f t="shared" si="9"/>
        <v xml:space="preserve"> 0</v>
      </c>
    </row>
    <row r="423" spans="6:7" x14ac:dyDescent="0.25">
      <c r="F423" s="20">
        <f t="shared" si="10"/>
        <v>0</v>
      </c>
      <c r="G423" s="8" t="str">
        <f t="shared" si="9"/>
        <v xml:space="preserve"> 0</v>
      </c>
    </row>
    <row r="424" spans="6:7" x14ac:dyDescent="0.25">
      <c r="F424" s="20">
        <f t="shared" si="10"/>
        <v>0</v>
      </c>
      <c r="G424" s="8" t="str">
        <f t="shared" si="9"/>
        <v xml:space="preserve"> 0</v>
      </c>
    </row>
    <row r="425" spans="6:7" x14ac:dyDescent="0.25">
      <c r="F425" s="20">
        <f t="shared" si="10"/>
        <v>0</v>
      </c>
      <c r="G425" s="8" t="str">
        <f t="shared" si="9"/>
        <v xml:space="preserve"> 0</v>
      </c>
    </row>
    <row r="426" spans="6:7" x14ac:dyDescent="0.25">
      <c r="F426" s="20">
        <f t="shared" si="10"/>
        <v>0</v>
      </c>
      <c r="G426" s="8" t="str">
        <f t="shared" si="9"/>
        <v xml:space="preserve"> 0</v>
      </c>
    </row>
    <row r="427" spans="6:7" x14ac:dyDescent="0.25">
      <c r="F427" s="20">
        <f t="shared" si="10"/>
        <v>0</v>
      </c>
      <c r="G427" s="8" t="str">
        <f t="shared" si="9"/>
        <v xml:space="preserve"> 0</v>
      </c>
    </row>
    <row r="428" spans="6:7" x14ac:dyDescent="0.25">
      <c r="F428" s="20">
        <f t="shared" si="10"/>
        <v>0</v>
      </c>
      <c r="G428" s="8" t="str">
        <f t="shared" si="9"/>
        <v xml:space="preserve"> 0</v>
      </c>
    </row>
    <row r="429" spans="6:7" x14ac:dyDescent="0.25">
      <c r="F429" s="20">
        <f t="shared" si="10"/>
        <v>0</v>
      </c>
      <c r="G429" s="8" t="str">
        <f t="shared" si="9"/>
        <v xml:space="preserve"> 0</v>
      </c>
    </row>
    <row r="430" spans="6:7" x14ac:dyDescent="0.25">
      <c r="F430" s="20">
        <f t="shared" si="10"/>
        <v>0</v>
      </c>
      <c r="G430" s="8" t="str">
        <f t="shared" si="9"/>
        <v xml:space="preserve"> 0</v>
      </c>
    </row>
    <row r="431" spans="6:7" x14ac:dyDescent="0.25">
      <c r="F431" s="20">
        <f t="shared" si="10"/>
        <v>0</v>
      </c>
      <c r="G431" s="8" t="str">
        <f t="shared" si="9"/>
        <v xml:space="preserve"> 0</v>
      </c>
    </row>
    <row r="432" spans="6:7" x14ac:dyDescent="0.25">
      <c r="F432" s="20">
        <f t="shared" si="10"/>
        <v>0</v>
      </c>
      <c r="G432" s="8" t="str">
        <f t="shared" si="9"/>
        <v xml:space="preserve"> 0</v>
      </c>
    </row>
    <row r="433" spans="6:7" x14ac:dyDescent="0.25">
      <c r="F433" s="20">
        <f t="shared" si="10"/>
        <v>0</v>
      </c>
      <c r="G433" s="8" t="str">
        <f t="shared" si="9"/>
        <v xml:space="preserve"> 0</v>
      </c>
    </row>
    <row r="434" spans="6:7" x14ac:dyDescent="0.25">
      <c r="F434" s="20">
        <f t="shared" si="10"/>
        <v>0</v>
      </c>
      <c r="G434" s="8" t="str">
        <f t="shared" si="9"/>
        <v xml:space="preserve"> 0</v>
      </c>
    </row>
    <row r="435" spans="6:7" x14ac:dyDescent="0.25">
      <c r="F435" s="20">
        <f t="shared" si="10"/>
        <v>0</v>
      </c>
      <c r="G435" s="8" t="str">
        <f t="shared" si="9"/>
        <v xml:space="preserve"> 0</v>
      </c>
    </row>
    <row r="436" spans="6:7" x14ac:dyDescent="0.25">
      <c r="F436" s="20">
        <f t="shared" si="10"/>
        <v>0</v>
      </c>
      <c r="G436" s="8" t="str">
        <f t="shared" si="9"/>
        <v xml:space="preserve"> 0</v>
      </c>
    </row>
    <row r="437" spans="6:7" x14ac:dyDescent="0.25">
      <c r="F437" s="20">
        <f t="shared" si="10"/>
        <v>0</v>
      </c>
      <c r="G437" s="8" t="str">
        <f t="shared" si="9"/>
        <v xml:space="preserve"> 0</v>
      </c>
    </row>
    <row r="438" spans="6:7" x14ac:dyDescent="0.25">
      <c r="F438" s="20">
        <f t="shared" si="10"/>
        <v>0</v>
      </c>
      <c r="G438" s="8" t="str">
        <f t="shared" si="9"/>
        <v xml:space="preserve"> 0</v>
      </c>
    </row>
    <row r="439" spans="6:7" x14ac:dyDescent="0.25">
      <c r="F439" s="20">
        <f t="shared" si="10"/>
        <v>0</v>
      </c>
      <c r="G439" s="8" t="str">
        <f t="shared" si="9"/>
        <v xml:space="preserve"> 0</v>
      </c>
    </row>
    <row r="440" spans="6:7" x14ac:dyDescent="0.25">
      <c r="F440" s="20">
        <f t="shared" si="10"/>
        <v>0</v>
      </c>
      <c r="G440" s="8" t="str">
        <f t="shared" si="9"/>
        <v xml:space="preserve"> 0</v>
      </c>
    </row>
    <row r="441" spans="6:7" x14ac:dyDescent="0.25">
      <c r="F441" s="20">
        <f t="shared" si="10"/>
        <v>0</v>
      </c>
      <c r="G441" s="8" t="str">
        <f t="shared" si="9"/>
        <v xml:space="preserve"> 0</v>
      </c>
    </row>
    <row r="442" spans="6:7" x14ac:dyDescent="0.25">
      <c r="F442" s="20">
        <f t="shared" si="10"/>
        <v>0</v>
      </c>
      <c r="G442" s="8" t="str">
        <f t="shared" si="9"/>
        <v xml:space="preserve"> 0</v>
      </c>
    </row>
    <row r="443" spans="6:7" x14ac:dyDescent="0.25">
      <c r="F443" s="20">
        <f t="shared" si="10"/>
        <v>0</v>
      </c>
      <c r="G443" s="8" t="str">
        <f t="shared" si="9"/>
        <v xml:space="preserve"> 0</v>
      </c>
    </row>
    <row r="444" spans="6:7" x14ac:dyDescent="0.25">
      <c r="F444" s="20">
        <f t="shared" si="10"/>
        <v>0</v>
      </c>
      <c r="G444" s="8" t="str">
        <f t="shared" si="9"/>
        <v xml:space="preserve"> 0</v>
      </c>
    </row>
    <row r="445" spans="6:7" x14ac:dyDescent="0.25">
      <c r="F445" s="20">
        <f t="shared" si="10"/>
        <v>0</v>
      </c>
      <c r="G445" s="8" t="str">
        <f t="shared" si="9"/>
        <v xml:space="preserve"> 0</v>
      </c>
    </row>
    <row r="446" spans="6:7" x14ac:dyDescent="0.25">
      <c r="F446" s="20">
        <f t="shared" si="10"/>
        <v>0</v>
      </c>
      <c r="G446" s="8" t="str">
        <f t="shared" si="9"/>
        <v xml:space="preserve"> 0</v>
      </c>
    </row>
    <row r="447" spans="6:7" x14ac:dyDescent="0.25">
      <c r="F447" s="20">
        <f t="shared" si="10"/>
        <v>0</v>
      </c>
      <c r="G447" s="8" t="str">
        <f t="shared" si="9"/>
        <v xml:space="preserve"> 0</v>
      </c>
    </row>
    <row r="448" spans="6:7" x14ac:dyDescent="0.25">
      <c r="F448" s="20">
        <f t="shared" si="10"/>
        <v>0</v>
      </c>
      <c r="G448" s="8" t="str">
        <f t="shared" si="9"/>
        <v xml:space="preserve"> 0</v>
      </c>
    </row>
    <row r="449" spans="6:7" x14ac:dyDescent="0.25">
      <c r="F449" s="20">
        <f t="shared" si="10"/>
        <v>0</v>
      </c>
      <c r="G449" s="8" t="str">
        <f t="shared" si="9"/>
        <v xml:space="preserve"> 0</v>
      </c>
    </row>
    <row r="450" spans="6:7" x14ac:dyDescent="0.25">
      <c r="F450" s="20">
        <f t="shared" si="10"/>
        <v>0</v>
      </c>
      <c r="G450" s="8" t="str">
        <f t="shared" si="9"/>
        <v xml:space="preserve"> 0</v>
      </c>
    </row>
    <row r="451" spans="6:7" x14ac:dyDescent="0.25">
      <c r="F451" s="20">
        <f t="shared" si="10"/>
        <v>0</v>
      </c>
      <c r="G451" s="8" t="str">
        <f t="shared" ref="G451:G514" si="11">E451&amp;" "&amp;F451</f>
        <v xml:space="preserve"> 0</v>
      </c>
    </row>
    <row r="452" spans="6:7" x14ac:dyDescent="0.25">
      <c r="F452" s="20">
        <f t="shared" si="10"/>
        <v>0</v>
      </c>
      <c r="G452" s="8" t="str">
        <f t="shared" si="11"/>
        <v xml:space="preserve"> 0</v>
      </c>
    </row>
    <row r="453" spans="6:7" x14ac:dyDescent="0.25">
      <c r="F453" s="20">
        <f t="shared" si="10"/>
        <v>0</v>
      </c>
      <c r="G453" s="8" t="str">
        <f t="shared" si="11"/>
        <v xml:space="preserve"> 0</v>
      </c>
    </row>
    <row r="454" spans="6:7" x14ac:dyDescent="0.25">
      <c r="F454" s="20">
        <f t="shared" si="10"/>
        <v>0</v>
      </c>
      <c r="G454" s="8" t="str">
        <f t="shared" si="11"/>
        <v xml:space="preserve"> 0</v>
      </c>
    </row>
    <row r="455" spans="6:7" x14ac:dyDescent="0.25">
      <c r="F455" s="20">
        <f t="shared" si="10"/>
        <v>0</v>
      </c>
      <c r="G455" s="8" t="str">
        <f t="shared" si="11"/>
        <v xml:space="preserve"> 0</v>
      </c>
    </row>
    <row r="456" spans="6:7" x14ac:dyDescent="0.25">
      <c r="F456" s="20">
        <f t="shared" si="10"/>
        <v>0</v>
      </c>
      <c r="G456" s="8" t="str">
        <f t="shared" si="11"/>
        <v xml:space="preserve"> 0</v>
      </c>
    </row>
    <row r="457" spans="6:7" x14ac:dyDescent="0.25">
      <c r="F457" s="20">
        <f t="shared" si="10"/>
        <v>0</v>
      </c>
      <c r="G457" s="8" t="str">
        <f t="shared" si="11"/>
        <v xml:space="preserve"> 0</v>
      </c>
    </row>
    <row r="458" spans="6:7" x14ac:dyDescent="0.25">
      <c r="F458" s="20">
        <f t="shared" si="10"/>
        <v>0</v>
      </c>
      <c r="G458" s="8" t="str">
        <f t="shared" si="11"/>
        <v xml:space="preserve"> 0</v>
      </c>
    </row>
    <row r="459" spans="6:7" x14ac:dyDescent="0.25">
      <c r="F459" s="20">
        <f t="shared" si="10"/>
        <v>0</v>
      </c>
      <c r="G459" s="8" t="str">
        <f t="shared" si="11"/>
        <v xml:space="preserve"> 0</v>
      </c>
    </row>
    <row r="460" spans="6:7" x14ac:dyDescent="0.25">
      <c r="F460" s="20">
        <f t="shared" si="10"/>
        <v>0</v>
      </c>
      <c r="G460" s="8" t="str">
        <f t="shared" si="11"/>
        <v xml:space="preserve"> 0</v>
      </c>
    </row>
    <row r="461" spans="6:7" x14ac:dyDescent="0.25">
      <c r="F461" s="20">
        <f t="shared" si="10"/>
        <v>0</v>
      </c>
      <c r="G461" s="8" t="str">
        <f t="shared" si="11"/>
        <v xml:space="preserve"> 0</v>
      </c>
    </row>
    <row r="462" spans="6:7" x14ac:dyDescent="0.25">
      <c r="F462" s="20">
        <f t="shared" si="10"/>
        <v>0</v>
      </c>
      <c r="G462" s="8" t="str">
        <f t="shared" si="11"/>
        <v xml:space="preserve"> 0</v>
      </c>
    </row>
    <row r="463" spans="6:7" x14ac:dyDescent="0.25">
      <c r="F463" s="20">
        <f t="shared" si="10"/>
        <v>0</v>
      </c>
      <c r="G463" s="8" t="str">
        <f t="shared" si="11"/>
        <v xml:space="preserve"> 0</v>
      </c>
    </row>
    <row r="464" spans="6:7" x14ac:dyDescent="0.25">
      <c r="F464" s="20">
        <f t="shared" si="10"/>
        <v>0</v>
      </c>
      <c r="G464" s="8" t="str">
        <f t="shared" si="11"/>
        <v xml:space="preserve"> 0</v>
      </c>
    </row>
    <row r="465" spans="6:7" x14ac:dyDescent="0.25">
      <c r="F465" s="20">
        <f t="shared" si="10"/>
        <v>0</v>
      </c>
      <c r="G465" s="8" t="str">
        <f t="shared" si="11"/>
        <v xml:space="preserve"> 0</v>
      </c>
    </row>
    <row r="466" spans="6:7" x14ac:dyDescent="0.25">
      <c r="F466" s="20">
        <f t="shared" si="10"/>
        <v>0</v>
      </c>
      <c r="G466" s="8" t="str">
        <f t="shared" si="11"/>
        <v xml:space="preserve"> 0</v>
      </c>
    </row>
    <row r="467" spans="6:7" x14ac:dyDescent="0.25">
      <c r="F467" s="20">
        <f t="shared" si="10"/>
        <v>0</v>
      </c>
      <c r="G467" s="8" t="str">
        <f t="shared" si="11"/>
        <v xml:space="preserve"> 0</v>
      </c>
    </row>
    <row r="468" spans="6:7" x14ac:dyDescent="0.25">
      <c r="F468" s="20">
        <f t="shared" si="10"/>
        <v>0</v>
      </c>
      <c r="G468" s="8" t="str">
        <f t="shared" si="11"/>
        <v xml:space="preserve"> 0</v>
      </c>
    </row>
    <row r="469" spans="6:7" x14ac:dyDescent="0.25">
      <c r="F469" s="20">
        <f t="shared" si="10"/>
        <v>0</v>
      </c>
      <c r="G469" s="8" t="str">
        <f t="shared" si="11"/>
        <v xml:space="preserve"> 0</v>
      </c>
    </row>
    <row r="470" spans="6:7" x14ac:dyDescent="0.25">
      <c r="F470" s="20">
        <f t="shared" si="10"/>
        <v>0</v>
      </c>
      <c r="G470" s="8" t="str">
        <f t="shared" si="11"/>
        <v xml:space="preserve"> 0</v>
      </c>
    </row>
    <row r="471" spans="6:7" x14ac:dyDescent="0.25">
      <c r="F471" s="20">
        <f t="shared" si="10"/>
        <v>0</v>
      </c>
      <c r="G471" s="8" t="str">
        <f t="shared" si="11"/>
        <v xml:space="preserve"> 0</v>
      </c>
    </row>
    <row r="472" spans="6:7" x14ac:dyDescent="0.25">
      <c r="F472" s="20">
        <f t="shared" si="10"/>
        <v>0</v>
      </c>
      <c r="G472" s="8" t="str">
        <f t="shared" si="11"/>
        <v xml:space="preserve"> 0</v>
      </c>
    </row>
    <row r="473" spans="6:7" x14ac:dyDescent="0.25">
      <c r="F473" s="20">
        <f t="shared" si="10"/>
        <v>0</v>
      </c>
      <c r="G473" s="8" t="str">
        <f t="shared" si="11"/>
        <v xml:space="preserve"> 0</v>
      </c>
    </row>
    <row r="474" spans="6:7" x14ac:dyDescent="0.25">
      <c r="F474" s="20">
        <f t="shared" ref="F474:F537" si="12">B474</f>
        <v>0</v>
      </c>
      <c r="G474" s="8" t="str">
        <f t="shared" si="11"/>
        <v xml:space="preserve"> 0</v>
      </c>
    </row>
    <row r="475" spans="6:7" x14ac:dyDescent="0.25">
      <c r="F475" s="20">
        <f t="shared" si="12"/>
        <v>0</v>
      </c>
      <c r="G475" s="8" t="str">
        <f t="shared" si="11"/>
        <v xml:space="preserve"> 0</v>
      </c>
    </row>
    <row r="476" spans="6:7" x14ac:dyDescent="0.25">
      <c r="F476" s="20">
        <f t="shared" si="12"/>
        <v>0</v>
      </c>
      <c r="G476" s="8" t="str">
        <f t="shared" si="11"/>
        <v xml:space="preserve"> 0</v>
      </c>
    </row>
    <row r="477" spans="6:7" x14ac:dyDescent="0.25">
      <c r="F477" s="20">
        <f t="shared" si="12"/>
        <v>0</v>
      </c>
      <c r="G477" s="8" t="str">
        <f t="shared" si="11"/>
        <v xml:space="preserve"> 0</v>
      </c>
    </row>
    <row r="478" spans="6:7" x14ac:dyDescent="0.25">
      <c r="F478" s="20">
        <f t="shared" si="12"/>
        <v>0</v>
      </c>
      <c r="G478" s="8" t="str">
        <f t="shared" si="11"/>
        <v xml:space="preserve"> 0</v>
      </c>
    </row>
    <row r="479" spans="6:7" x14ac:dyDescent="0.25">
      <c r="F479" s="20">
        <f t="shared" si="12"/>
        <v>0</v>
      </c>
      <c r="G479" s="8" t="str">
        <f t="shared" si="11"/>
        <v xml:space="preserve"> 0</v>
      </c>
    </row>
    <row r="480" spans="6:7" x14ac:dyDescent="0.25">
      <c r="F480" s="20">
        <f t="shared" si="12"/>
        <v>0</v>
      </c>
      <c r="G480" s="8" t="str">
        <f t="shared" si="11"/>
        <v xml:space="preserve"> 0</v>
      </c>
    </row>
    <row r="481" spans="6:7" x14ac:dyDescent="0.25">
      <c r="F481" s="20">
        <f t="shared" si="12"/>
        <v>0</v>
      </c>
      <c r="G481" s="8" t="str">
        <f t="shared" si="11"/>
        <v xml:space="preserve"> 0</v>
      </c>
    </row>
    <row r="482" spans="6:7" x14ac:dyDescent="0.25">
      <c r="F482" s="20">
        <f t="shared" si="12"/>
        <v>0</v>
      </c>
      <c r="G482" s="8" t="str">
        <f t="shared" si="11"/>
        <v xml:space="preserve"> 0</v>
      </c>
    </row>
    <row r="483" spans="6:7" x14ac:dyDescent="0.25">
      <c r="F483" s="20">
        <f t="shared" si="12"/>
        <v>0</v>
      </c>
      <c r="G483" s="8" t="str">
        <f t="shared" si="11"/>
        <v xml:space="preserve"> 0</v>
      </c>
    </row>
    <row r="484" spans="6:7" x14ac:dyDescent="0.25">
      <c r="F484" s="20">
        <f t="shared" si="12"/>
        <v>0</v>
      </c>
      <c r="G484" s="8" t="str">
        <f t="shared" si="11"/>
        <v xml:space="preserve"> 0</v>
      </c>
    </row>
    <row r="485" spans="6:7" x14ac:dyDescent="0.25">
      <c r="F485" s="20">
        <f t="shared" si="12"/>
        <v>0</v>
      </c>
      <c r="G485" s="8" t="str">
        <f t="shared" si="11"/>
        <v xml:space="preserve"> 0</v>
      </c>
    </row>
    <row r="486" spans="6:7" x14ac:dyDescent="0.25">
      <c r="F486" s="20">
        <f t="shared" si="12"/>
        <v>0</v>
      </c>
      <c r="G486" s="8" t="str">
        <f t="shared" si="11"/>
        <v xml:space="preserve"> 0</v>
      </c>
    </row>
    <row r="487" spans="6:7" x14ac:dyDescent="0.25">
      <c r="F487" s="20">
        <f t="shared" si="12"/>
        <v>0</v>
      </c>
      <c r="G487" s="8" t="str">
        <f t="shared" si="11"/>
        <v xml:space="preserve"> 0</v>
      </c>
    </row>
    <row r="488" spans="6:7" x14ac:dyDescent="0.25">
      <c r="F488" s="20">
        <f t="shared" si="12"/>
        <v>0</v>
      </c>
      <c r="G488" s="8" t="str">
        <f t="shared" si="11"/>
        <v xml:space="preserve"> 0</v>
      </c>
    </row>
    <row r="489" spans="6:7" x14ac:dyDescent="0.25">
      <c r="F489" s="20">
        <f t="shared" si="12"/>
        <v>0</v>
      </c>
      <c r="G489" s="8" t="str">
        <f t="shared" si="11"/>
        <v xml:space="preserve"> 0</v>
      </c>
    </row>
    <row r="490" spans="6:7" x14ac:dyDescent="0.25">
      <c r="F490" s="20">
        <f t="shared" si="12"/>
        <v>0</v>
      </c>
      <c r="G490" s="8" t="str">
        <f t="shared" si="11"/>
        <v xml:space="preserve"> 0</v>
      </c>
    </row>
    <row r="491" spans="6:7" x14ac:dyDescent="0.25">
      <c r="F491" s="20">
        <f t="shared" si="12"/>
        <v>0</v>
      </c>
      <c r="G491" s="8" t="str">
        <f t="shared" si="11"/>
        <v xml:space="preserve"> 0</v>
      </c>
    </row>
    <row r="492" spans="6:7" x14ac:dyDescent="0.25">
      <c r="F492" s="20">
        <f t="shared" si="12"/>
        <v>0</v>
      </c>
      <c r="G492" s="8" t="str">
        <f t="shared" si="11"/>
        <v xml:space="preserve"> 0</v>
      </c>
    </row>
    <row r="493" spans="6:7" x14ac:dyDescent="0.25">
      <c r="F493" s="20">
        <f t="shared" si="12"/>
        <v>0</v>
      </c>
      <c r="G493" s="8" t="str">
        <f t="shared" si="11"/>
        <v xml:space="preserve"> 0</v>
      </c>
    </row>
    <row r="494" spans="6:7" x14ac:dyDescent="0.25">
      <c r="F494" s="20">
        <f t="shared" si="12"/>
        <v>0</v>
      </c>
      <c r="G494" s="8" t="str">
        <f t="shared" si="11"/>
        <v xml:space="preserve"> 0</v>
      </c>
    </row>
    <row r="495" spans="6:7" x14ac:dyDescent="0.25">
      <c r="F495" s="20">
        <f t="shared" si="12"/>
        <v>0</v>
      </c>
      <c r="G495" s="8" t="str">
        <f t="shared" si="11"/>
        <v xml:space="preserve"> 0</v>
      </c>
    </row>
    <row r="496" spans="6:7" x14ac:dyDescent="0.25">
      <c r="F496" s="20">
        <f t="shared" si="12"/>
        <v>0</v>
      </c>
      <c r="G496" s="8" t="str">
        <f t="shared" si="11"/>
        <v xml:space="preserve"> 0</v>
      </c>
    </row>
    <row r="497" spans="6:7" x14ac:dyDescent="0.25">
      <c r="F497" s="20">
        <f t="shared" si="12"/>
        <v>0</v>
      </c>
      <c r="G497" s="8" t="str">
        <f t="shared" si="11"/>
        <v xml:space="preserve"> 0</v>
      </c>
    </row>
    <row r="498" spans="6:7" x14ac:dyDescent="0.25">
      <c r="F498" s="20">
        <f t="shared" si="12"/>
        <v>0</v>
      </c>
      <c r="G498" s="8" t="str">
        <f t="shared" si="11"/>
        <v xml:space="preserve"> 0</v>
      </c>
    </row>
    <row r="499" spans="6:7" x14ac:dyDescent="0.25">
      <c r="F499" s="20">
        <f t="shared" si="12"/>
        <v>0</v>
      </c>
      <c r="G499" s="8" t="str">
        <f t="shared" si="11"/>
        <v xml:space="preserve"> 0</v>
      </c>
    </row>
    <row r="500" spans="6:7" x14ac:dyDescent="0.25">
      <c r="F500" s="20">
        <f t="shared" si="12"/>
        <v>0</v>
      </c>
      <c r="G500" s="8" t="str">
        <f t="shared" si="11"/>
        <v xml:space="preserve"> 0</v>
      </c>
    </row>
    <row r="501" spans="6:7" x14ac:dyDescent="0.25">
      <c r="F501" s="20">
        <f t="shared" si="12"/>
        <v>0</v>
      </c>
      <c r="G501" s="8" t="str">
        <f t="shared" si="11"/>
        <v xml:space="preserve"> 0</v>
      </c>
    </row>
    <row r="502" spans="6:7" x14ac:dyDescent="0.25">
      <c r="F502" s="20">
        <f t="shared" si="12"/>
        <v>0</v>
      </c>
      <c r="G502" s="8" t="str">
        <f t="shared" si="11"/>
        <v xml:space="preserve"> 0</v>
      </c>
    </row>
    <row r="503" spans="6:7" x14ac:dyDescent="0.25">
      <c r="F503" s="20">
        <f t="shared" si="12"/>
        <v>0</v>
      </c>
      <c r="G503" s="8" t="str">
        <f t="shared" si="11"/>
        <v xml:space="preserve"> 0</v>
      </c>
    </row>
    <row r="504" spans="6:7" x14ac:dyDescent="0.25">
      <c r="F504" s="20">
        <f t="shared" si="12"/>
        <v>0</v>
      </c>
      <c r="G504" s="8" t="str">
        <f t="shared" si="11"/>
        <v xml:space="preserve"> 0</v>
      </c>
    </row>
    <row r="505" spans="6:7" x14ac:dyDescent="0.25">
      <c r="F505" s="20">
        <f t="shared" si="12"/>
        <v>0</v>
      </c>
      <c r="G505" s="8" t="str">
        <f t="shared" si="11"/>
        <v xml:space="preserve"> 0</v>
      </c>
    </row>
    <row r="506" spans="6:7" x14ac:dyDescent="0.25">
      <c r="F506" s="20">
        <f t="shared" si="12"/>
        <v>0</v>
      </c>
      <c r="G506" s="8" t="str">
        <f t="shared" si="11"/>
        <v xml:space="preserve"> 0</v>
      </c>
    </row>
    <row r="507" spans="6:7" x14ac:dyDescent="0.25">
      <c r="F507" s="20">
        <f t="shared" si="12"/>
        <v>0</v>
      </c>
      <c r="G507" s="8" t="str">
        <f t="shared" si="11"/>
        <v xml:space="preserve"> 0</v>
      </c>
    </row>
    <row r="508" spans="6:7" x14ac:dyDescent="0.25">
      <c r="F508" s="20">
        <f t="shared" si="12"/>
        <v>0</v>
      </c>
      <c r="G508" s="8" t="str">
        <f t="shared" si="11"/>
        <v xml:space="preserve"> 0</v>
      </c>
    </row>
    <row r="509" spans="6:7" x14ac:dyDescent="0.25">
      <c r="F509" s="20">
        <f t="shared" si="12"/>
        <v>0</v>
      </c>
      <c r="G509" s="8" t="str">
        <f t="shared" si="11"/>
        <v xml:space="preserve"> 0</v>
      </c>
    </row>
    <row r="510" spans="6:7" x14ac:dyDescent="0.25">
      <c r="F510" s="20">
        <f t="shared" si="12"/>
        <v>0</v>
      </c>
      <c r="G510" s="8" t="str">
        <f t="shared" si="11"/>
        <v xml:space="preserve"> 0</v>
      </c>
    </row>
    <row r="511" spans="6:7" x14ac:dyDescent="0.25">
      <c r="F511" s="20">
        <f t="shared" si="12"/>
        <v>0</v>
      </c>
      <c r="G511" s="8" t="str">
        <f t="shared" si="11"/>
        <v xml:space="preserve"> 0</v>
      </c>
    </row>
    <row r="512" spans="6:7" x14ac:dyDescent="0.25">
      <c r="F512" s="20">
        <f t="shared" si="12"/>
        <v>0</v>
      </c>
      <c r="G512" s="8" t="str">
        <f t="shared" si="11"/>
        <v xml:space="preserve"> 0</v>
      </c>
    </row>
    <row r="513" spans="6:7" x14ac:dyDescent="0.25">
      <c r="F513" s="20">
        <f t="shared" si="12"/>
        <v>0</v>
      </c>
      <c r="G513" s="8" t="str">
        <f t="shared" si="11"/>
        <v xml:space="preserve"> 0</v>
      </c>
    </row>
    <row r="514" spans="6:7" x14ac:dyDescent="0.25">
      <c r="F514" s="20">
        <f t="shared" si="12"/>
        <v>0</v>
      </c>
      <c r="G514" s="8" t="str">
        <f t="shared" si="11"/>
        <v xml:space="preserve"> 0</v>
      </c>
    </row>
    <row r="515" spans="6:7" x14ac:dyDescent="0.25">
      <c r="F515" s="20">
        <f t="shared" si="12"/>
        <v>0</v>
      </c>
      <c r="G515" s="8" t="str">
        <f t="shared" ref="G515:G543" si="13">E515&amp;" "&amp;F515</f>
        <v xml:space="preserve"> 0</v>
      </c>
    </row>
    <row r="516" spans="6:7" x14ac:dyDescent="0.25">
      <c r="F516" s="20">
        <f t="shared" si="12"/>
        <v>0</v>
      </c>
      <c r="G516" s="8" t="str">
        <f t="shared" si="13"/>
        <v xml:space="preserve"> 0</v>
      </c>
    </row>
    <row r="517" spans="6:7" x14ac:dyDescent="0.25">
      <c r="F517" s="20">
        <f t="shared" si="12"/>
        <v>0</v>
      </c>
      <c r="G517" s="8" t="str">
        <f t="shared" si="13"/>
        <v xml:space="preserve"> 0</v>
      </c>
    </row>
    <row r="518" spans="6:7" x14ac:dyDescent="0.25">
      <c r="F518" s="20">
        <f t="shared" si="12"/>
        <v>0</v>
      </c>
      <c r="G518" s="8" t="str">
        <f t="shared" si="13"/>
        <v xml:space="preserve"> 0</v>
      </c>
    </row>
    <row r="519" spans="6:7" x14ac:dyDescent="0.25">
      <c r="F519" s="20">
        <f t="shared" si="12"/>
        <v>0</v>
      </c>
      <c r="G519" s="8" t="str">
        <f t="shared" si="13"/>
        <v xml:space="preserve"> 0</v>
      </c>
    </row>
    <row r="520" spans="6:7" x14ac:dyDescent="0.25">
      <c r="F520" s="20">
        <f t="shared" si="12"/>
        <v>0</v>
      </c>
      <c r="G520" s="8" t="str">
        <f t="shared" si="13"/>
        <v xml:space="preserve"> 0</v>
      </c>
    </row>
    <row r="521" spans="6:7" x14ac:dyDescent="0.25">
      <c r="F521" s="20">
        <f t="shared" si="12"/>
        <v>0</v>
      </c>
      <c r="G521" s="8" t="str">
        <f t="shared" si="13"/>
        <v xml:space="preserve"> 0</v>
      </c>
    </row>
    <row r="522" spans="6:7" x14ac:dyDescent="0.25">
      <c r="F522" s="20">
        <f t="shared" si="12"/>
        <v>0</v>
      </c>
      <c r="G522" s="8" t="str">
        <f t="shared" si="13"/>
        <v xml:space="preserve"> 0</v>
      </c>
    </row>
    <row r="523" spans="6:7" x14ac:dyDescent="0.25">
      <c r="F523" s="20">
        <f t="shared" si="12"/>
        <v>0</v>
      </c>
      <c r="G523" s="8" t="str">
        <f t="shared" si="13"/>
        <v xml:space="preserve"> 0</v>
      </c>
    </row>
    <row r="524" spans="6:7" x14ac:dyDescent="0.25">
      <c r="F524" s="20">
        <f t="shared" si="12"/>
        <v>0</v>
      </c>
      <c r="G524" s="8" t="str">
        <f t="shared" si="13"/>
        <v xml:space="preserve"> 0</v>
      </c>
    </row>
    <row r="525" spans="6:7" x14ac:dyDescent="0.25">
      <c r="F525" s="20">
        <f t="shared" si="12"/>
        <v>0</v>
      </c>
      <c r="G525" s="8" t="str">
        <f t="shared" si="13"/>
        <v xml:space="preserve"> 0</v>
      </c>
    </row>
    <row r="526" spans="6:7" x14ac:dyDescent="0.25">
      <c r="F526" s="20">
        <f t="shared" si="12"/>
        <v>0</v>
      </c>
      <c r="G526" s="8" t="str">
        <f t="shared" si="13"/>
        <v xml:space="preserve"> 0</v>
      </c>
    </row>
    <row r="527" spans="6:7" x14ac:dyDescent="0.25">
      <c r="F527" s="20">
        <f t="shared" si="12"/>
        <v>0</v>
      </c>
      <c r="G527" s="8" t="str">
        <f t="shared" si="13"/>
        <v xml:space="preserve"> 0</v>
      </c>
    </row>
    <row r="528" spans="6:7" x14ac:dyDescent="0.25">
      <c r="F528" s="20">
        <f t="shared" si="12"/>
        <v>0</v>
      </c>
      <c r="G528" s="8" t="str">
        <f t="shared" si="13"/>
        <v xml:space="preserve"> 0</v>
      </c>
    </row>
    <row r="529" spans="6:7" x14ac:dyDescent="0.25">
      <c r="F529" s="20">
        <f t="shared" si="12"/>
        <v>0</v>
      </c>
      <c r="G529" s="8" t="str">
        <f t="shared" si="13"/>
        <v xml:space="preserve"> 0</v>
      </c>
    </row>
    <row r="530" spans="6:7" x14ac:dyDescent="0.25">
      <c r="F530" s="20">
        <f t="shared" si="12"/>
        <v>0</v>
      </c>
      <c r="G530" s="8" t="str">
        <f t="shared" si="13"/>
        <v xml:space="preserve"> 0</v>
      </c>
    </row>
    <row r="531" spans="6:7" x14ac:dyDescent="0.25">
      <c r="F531" s="20">
        <f t="shared" si="12"/>
        <v>0</v>
      </c>
      <c r="G531" s="8" t="str">
        <f t="shared" si="13"/>
        <v xml:space="preserve"> 0</v>
      </c>
    </row>
    <row r="532" spans="6:7" x14ac:dyDescent="0.25">
      <c r="F532" s="20">
        <f t="shared" si="12"/>
        <v>0</v>
      </c>
      <c r="G532" s="8" t="str">
        <f t="shared" si="13"/>
        <v xml:space="preserve"> 0</v>
      </c>
    </row>
    <row r="533" spans="6:7" x14ac:dyDescent="0.25">
      <c r="F533" s="20">
        <f t="shared" si="12"/>
        <v>0</v>
      </c>
      <c r="G533" s="8" t="str">
        <f t="shared" si="13"/>
        <v xml:space="preserve"> 0</v>
      </c>
    </row>
    <row r="534" spans="6:7" x14ac:dyDescent="0.25">
      <c r="F534" s="20">
        <f t="shared" si="12"/>
        <v>0</v>
      </c>
      <c r="G534" s="8" t="str">
        <f t="shared" si="13"/>
        <v xml:space="preserve"> 0</v>
      </c>
    </row>
    <row r="535" spans="6:7" x14ac:dyDescent="0.25">
      <c r="F535" s="20">
        <f t="shared" si="12"/>
        <v>0</v>
      </c>
      <c r="G535" s="8" t="str">
        <f t="shared" si="13"/>
        <v xml:space="preserve"> 0</v>
      </c>
    </row>
    <row r="536" spans="6:7" x14ac:dyDescent="0.25">
      <c r="F536" s="20">
        <f t="shared" si="12"/>
        <v>0</v>
      </c>
      <c r="G536" s="8" t="str">
        <f t="shared" si="13"/>
        <v xml:space="preserve"> 0</v>
      </c>
    </row>
    <row r="537" spans="6:7" x14ac:dyDescent="0.25">
      <c r="F537" s="20">
        <f t="shared" si="12"/>
        <v>0</v>
      </c>
      <c r="G537" s="8" t="str">
        <f t="shared" si="13"/>
        <v xml:space="preserve"> 0</v>
      </c>
    </row>
    <row r="538" spans="6:7" x14ac:dyDescent="0.25">
      <c r="F538" s="20">
        <f t="shared" ref="F538:F543" si="14">B538</f>
        <v>0</v>
      </c>
      <c r="G538" s="8" t="str">
        <f t="shared" si="13"/>
        <v xml:space="preserve"> 0</v>
      </c>
    </row>
    <row r="539" spans="6:7" x14ac:dyDescent="0.25">
      <c r="F539" s="20">
        <f t="shared" si="14"/>
        <v>0</v>
      </c>
      <c r="G539" s="8" t="str">
        <f t="shared" si="13"/>
        <v xml:space="preserve"> 0</v>
      </c>
    </row>
    <row r="540" spans="6:7" x14ac:dyDescent="0.25">
      <c r="F540" s="20">
        <f t="shared" si="14"/>
        <v>0</v>
      </c>
      <c r="G540" s="8" t="str">
        <f t="shared" si="13"/>
        <v xml:space="preserve"> 0</v>
      </c>
    </row>
    <row r="541" spans="6:7" x14ac:dyDescent="0.25">
      <c r="F541" s="20">
        <f t="shared" si="14"/>
        <v>0</v>
      </c>
      <c r="G541" s="8" t="str">
        <f t="shared" si="13"/>
        <v xml:space="preserve"> 0</v>
      </c>
    </row>
    <row r="542" spans="6:7" x14ac:dyDescent="0.25">
      <c r="F542" s="20">
        <f t="shared" si="14"/>
        <v>0</v>
      </c>
      <c r="G542" s="8" t="str">
        <f t="shared" si="13"/>
        <v xml:space="preserve"> 0</v>
      </c>
    </row>
    <row r="543" spans="6:7" x14ac:dyDescent="0.25">
      <c r="F543" s="20">
        <f t="shared" si="14"/>
        <v>0</v>
      </c>
      <c r="G543" s="8" t="str">
        <f t="shared" si="13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Q29"/>
    </sheetView>
  </sheetViews>
  <sheetFormatPr defaultRowHeight="15" x14ac:dyDescent="0.25"/>
  <cols>
    <col min="1" max="1" width="22.5703125" style="153" customWidth="1"/>
    <col min="2" max="2" width="8.42578125" style="153" bestFit="1" customWidth="1"/>
    <col min="3" max="3" width="12.5703125" style="153" bestFit="1" customWidth="1"/>
    <col min="4" max="4" width="18.5703125" style="142" bestFit="1" customWidth="1"/>
    <col min="5" max="5" width="9.85546875" style="153" bestFit="1" customWidth="1"/>
    <col min="6" max="6" width="9" style="153" bestFit="1" customWidth="1"/>
    <col min="7" max="7" width="8.85546875" style="153" bestFit="1" customWidth="1"/>
    <col min="8" max="8" width="14" style="153" bestFit="1" customWidth="1"/>
    <col min="9" max="9" width="21.140625" style="153" bestFit="1" customWidth="1"/>
    <col min="10" max="10" width="8.7109375" style="153" bestFit="1" customWidth="1"/>
    <col min="11" max="11" width="11.28515625" style="153" bestFit="1" customWidth="1"/>
    <col min="12" max="12" width="11" style="153" bestFit="1" customWidth="1"/>
    <col min="13" max="13" width="11.28515625" style="153" bestFit="1" customWidth="1"/>
    <col min="14" max="14" width="13.7109375" style="153" bestFit="1" customWidth="1"/>
    <col min="15" max="15" width="14.85546875" style="153" bestFit="1" customWidth="1"/>
    <col min="16" max="16" width="16.7109375" style="153" bestFit="1" customWidth="1"/>
    <col min="17" max="17" width="9.42578125" style="122" bestFit="1" customWidth="1"/>
    <col min="18" max="16384" width="9.140625" style="122"/>
  </cols>
  <sheetData>
    <row r="1" spans="1:18" s="123" customFormat="1" x14ac:dyDescent="0.25">
      <c r="A1" s="170" t="s">
        <v>162</v>
      </c>
      <c r="B1" s="170" t="s">
        <v>165</v>
      </c>
      <c r="C1" s="170" t="s">
        <v>158</v>
      </c>
      <c r="D1" s="148" t="s">
        <v>170</v>
      </c>
      <c r="E1" s="170" t="s">
        <v>159</v>
      </c>
      <c r="F1" s="170" t="s">
        <v>157</v>
      </c>
      <c r="G1" s="170" t="s">
        <v>155</v>
      </c>
      <c r="H1" s="170" t="s">
        <v>168</v>
      </c>
      <c r="I1" s="170" t="s">
        <v>169</v>
      </c>
      <c r="J1" s="170" t="s">
        <v>696</v>
      </c>
      <c r="K1" s="170" t="s">
        <v>163</v>
      </c>
      <c r="L1" s="170" t="s">
        <v>161</v>
      </c>
      <c r="M1" s="170" t="s">
        <v>156</v>
      </c>
      <c r="N1" s="170" t="s">
        <v>166</v>
      </c>
      <c r="O1" s="170" t="s">
        <v>160</v>
      </c>
      <c r="P1" s="170" t="s">
        <v>167</v>
      </c>
      <c r="Q1" s="170" t="s">
        <v>164</v>
      </c>
      <c r="R1"/>
    </row>
    <row r="2" spans="1:18" x14ac:dyDescent="0.25">
      <c r="A2" s="171">
        <v>40.22</v>
      </c>
      <c r="B2" s="171">
        <v>0.52</v>
      </c>
      <c r="C2" s="171">
        <v>17.23</v>
      </c>
      <c r="D2" s="8">
        <v>42773</v>
      </c>
      <c r="E2" s="171">
        <v>0.36</v>
      </c>
      <c r="F2" s="171" t="s">
        <v>270</v>
      </c>
      <c r="G2" s="171">
        <v>321.68</v>
      </c>
      <c r="H2" s="171">
        <v>0</v>
      </c>
      <c r="I2" s="171">
        <v>0</v>
      </c>
      <c r="J2" s="171"/>
      <c r="K2" s="171">
        <v>1005.33</v>
      </c>
      <c r="L2" s="171" t="s">
        <v>272</v>
      </c>
      <c r="M2" s="171">
        <v>42.43</v>
      </c>
      <c r="N2" s="171">
        <v>1486450800</v>
      </c>
      <c r="O2" s="171">
        <v>6.58</v>
      </c>
      <c r="P2" s="171">
        <v>249</v>
      </c>
      <c r="Q2" s="171">
        <v>3.9</v>
      </c>
      <c r="R2"/>
    </row>
    <row r="3" spans="1:18" x14ac:dyDescent="0.25">
      <c r="A3" s="171">
        <v>42.78</v>
      </c>
      <c r="B3" s="171">
        <v>0.54</v>
      </c>
      <c r="C3" s="171">
        <v>17.59</v>
      </c>
      <c r="D3" s="8">
        <v>42773.041666666664</v>
      </c>
      <c r="E3" s="171">
        <v>0.36</v>
      </c>
      <c r="F3" s="171" t="s">
        <v>270</v>
      </c>
      <c r="G3" s="171">
        <v>319.29000000000002</v>
      </c>
      <c r="H3" s="171">
        <v>0</v>
      </c>
      <c r="I3" s="171">
        <v>0</v>
      </c>
      <c r="J3" s="171"/>
      <c r="K3" s="171">
        <v>1005.85</v>
      </c>
      <c r="L3" s="171" t="s">
        <v>272</v>
      </c>
      <c r="M3" s="171">
        <v>42.78</v>
      </c>
      <c r="N3" s="171">
        <v>1486454400</v>
      </c>
      <c r="O3" s="171">
        <v>6.45</v>
      </c>
      <c r="P3" s="171">
        <v>241</v>
      </c>
      <c r="Q3" s="171">
        <v>2.66</v>
      </c>
      <c r="R3"/>
    </row>
    <row r="4" spans="1:18" x14ac:dyDescent="0.25">
      <c r="A4" s="171">
        <v>39.25</v>
      </c>
      <c r="B4" s="171">
        <v>0.56000000000000005</v>
      </c>
      <c r="C4" s="171">
        <v>16.22</v>
      </c>
      <c r="D4" s="8">
        <v>42773.083333333336</v>
      </c>
      <c r="E4" s="171">
        <v>0.35</v>
      </c>
      <c r="F4" s="171" t="s">
        <v>270</v>
      </c>
      <c r="G4" s="171">
        <v>316.89</v>
      </c>
      <c r="H4" s="171">
        <v>0</v>
      </c>
      <c r="I4" s="171">
        <v>0</v>
      </c>
      <c r="J4" s="171"/>
      <c r="K4" s="171">
        <v>1006.41</v>
      </c>
      <c r="L4" s="171" t="s">
        <v>272</v>
      </c>
      <c r="M4" s="171">
        <v>41.54</v>
      </c>
      <c r="N4" s="171">
        <v>1486458000</v>
      </c>
      <c r="O4" s="171">
        <v>6.04</v>
      </c>
      <c r="P4" s="171">
        <v>238</v>
      </c>
      <c r="Q4" s="171">
        <v>3.83</v>
      </c>
      <c r="R4"/>
    </row>
    <row r="5" spans="1:18" x14ac:dyDescent="0.25">
      <c r="A5" s="171">
        <v>38.65</v>
      </c>
      <c r="B5" s="171">
        <v>0.62</v>
      </c>
      <c r="C5" s="171">
        <v>17.399999999999999</v>
      </c>
      <c r="D5" s="8">
        <v>42773.125</v>
      </c>
      <c r="E5" s="171">
        <v>0.39</v>
      </c>
      <c r="F5" s="171" t="s">
        <v>270</v>
      </c>
      <c r="G5" s="171">
        <v>315.17</v>
      </c>
      <c r="H5" s="171">
        <v>0</v>
      </c>
      <c r="I5" s="171">
        <v>0</v>
      </c>
      <c r="J5" s="171"/>
      <c r="K5" s="171">
        <v>1005.72</v>
      </c>
      <c r="L5" s="171" t="s">
        <v>311</v>
      </c>
      <c r="M5" s="171">
        <v>40.43</v>
      </c>
      <c r="N5" s="171">
        <v>1486461600</v>
      </c>
      <c r="O5" s="171">
        <v>5.73</v>
      </c>
      <c r="P5" s="171">
        <v>249</v>
      </c>
      <c r="Q5" s="171">
        <v>3.17</v>
      </c>
      <c r="R5"/>
    </row>
    <row r="6" spans="1:18" x14ac:dyDescent="0.25">
      <c r="A6" s="171">
        <v>39.81</v>
      </c>
      <c r="B6" s="171">
        <v>0.72</v>
      </c>
      <c r="C6" s="171">
        <v>17.52</v>
      </c>
      <c r="D6" s="8">
        <v>42773.166666666664</v>
      </c>
      <c r="E6" s="171">
        <v>0.4</v>
      </c>
      <c r="F6" s="171" t="s">
        <v>270</v>
      </c>
      <c r="G6" s="171">
        <v>313.74</v>
      </c>
      <c r="H6" s="171">
        <v>0</v>
      </c>
      <c r="I6" s="171">
        <v>0</v>
      </c>
      <c r="J6" s="171"/>
      <c r="K6" s="171">
        <v>1004.68</v>
      </c>
      <c r="L6" s="171" t="s">
        <v>311</v>
      </c>
      <c r="M6" s="171">
        <v>39.81</v>
      </c>
      <c r="N6" s="171">
        <v>1486465200</v>
      </c>
      <c r="O6" s="171">
        <v>5.96</v>
      </c>
      <c r="P6" s="171">
        <v>237</v>
      </c>
      <c r="Q6" s="171">
        <v>2.64</v>
      </c>
      <c r="R6"/>
    </row>
    <row r="7" spans="1:18" x14ac:dyDescent="0.25">
      <c r="A7" s="171">
        <v>39.21</v>
      </c>
      <c r="B7" s="171">
        <v>0.73</v>
      </c>
      <c r="C7" s="171">
        <v>18.2</v>
      </c>
      <c r="D7" s="8">
        <v>42773.208333333336</v>
      </c>
      <c r="E7" s="171">
        <v>0.42</v>
      </c>
      <c r="F7" s="171" t="s">
        <v>270</v>
      </c>
      <c r="G7" s="171">
        <v>312.33999999999997</v>
      </c>
      <c r="H7" s="171">
        <v>0</v>
      </c>
      <c r="I7" s="171">
        <v>0</v>
      </c>
      <c r="J7" s="171"/>
      <c r="K7" s="171">
        <v>1004.06</v>
      </c>
      <c r="L7" s="171" t="s">
        <v>311</v>
      </c>
      <c r="M7" s="171">
        <v>39.21</v>
      </c>
      <c r="N7" s="171">
        <v>1486468800</v>
      </c>
      <c r="O7" s="171">
        <v>6.77</v>
      </c>
      <c r="P7" s="171">
        <v>245</v>
      </c>
      <c r="Q7" s="171">
        <v>2.12</v>
      </c>
      <c r="R7"/>
    </row>
    <row r="8" spans="1:18" x14ac:dyDescent="0.25">
      <c r="A8" s="171">
        <v>39.74</v>
      </c>
      <c r="B8" s="171">
        <v>0.7</v>
      </c>
      <c r="C8" s="171">
        <v>18.55</v>
      </c>
      <c r="D8" s="8">
        <v>42773.25</v>
      </c>
      <c r="E8" s="171">
        <v>0.42</v>
      </c>
      <c r="F8" s="171" t="s">
        <v>270</v>
      </c>
      <c r="G8" s="171">
        <v>311.2</v>
      </c>
      <c r="H8" s="171">
        <v>0</v>
      </c>
      <c r="I8" s="171">
        <v>0</v>
      </c>
      <c r="J8" s="171"/>
      <c r="K8" s="171">
        <v>1004.28</v>
      </c>
      <c r="L8" s="171" t="s">
        <v>311</v>
      </c>
      <c r="M8" s="171">
        <v>39.74</v>
      </c>
      <c r="N8" s="171">
        <v>1486472400</v>
      </c>
      <c r="O8" s="171">
        <v>10</v>
      </c>
      <c r="P8" s="171">
        <v>243</v>
      </c>
      <c r="Q8" s="171">
        <v>2.33</v>
      </c>
      <c r="R8"/>
    </row>
    <row r="9" spans="1:18" x14ac:dyDescent="0.25">
      <c r="A9" s="171">
        <v>40.21</v>
      </c>
      <c r="B9" s="171">
        <v>0.57999999999999996</v>
      </c>
      <c r="C9" s="171">
        <v>19.02</v>
      </c>
      <c r="D9" s="8">
        <v>42773.291666666664</v>
      </c>
      <c r="E9" s="171">
        <v>0.42</v>
      </c>
      <c r="F9" s="171" t="s">
        <v>270</v>
      </c>
      <c r="G9" s="171">
        <v>310.08999999999997</v>
      </c>
      <c r="H9" s="171">
        <v>0</v>
      </c>
      <c r="I9" s="171">
        <v>0</v>
      </c>
      <c r="J9" s="171"/>
      <c r="K9" s="171">
        <v>1004.96</v>
      </c>
      <c r="L9" s="171" t="s">
        <v>272</v>
      </c>
      <c r="M9" s="171">
        <v>40.21</v>
      </c>
      <c r="N9" s="171">
        <v>1486476000</v>
      </c>
      <c r="O9" s="171">
        <v>6.04</v>
      </c>
      <c r="P9" s="171">
        <v>234</v>
      </c>
      <c r="Q9" s="171">
        <v>2.17</v>
      </c>
      <c r="R9"/>
    </row>
    <row r="10" spans="1:18" x14ac:dyDescent="0.25">
      <c r="A10" s="171">
        <v>39.92</v>
      </c>
      <c r="B10" s="171">
        <v>0.46</v>
      </c>
      <c r="C10" s="171">
        <v>19.690000000000001</v>
      </c>
      <c r="D10" s="8">
        <v>42773.333333333336</v>
      </c>
      <c r="E10" s="171">
        <v>0.44</v>
      </c>
      <c r="F10" s="171" t="s">
        <v>271</v>
      </c>
      <c r="G10" s="171">
        <v>308.05</v>
      </c>
      <c r="H10" s="171">
        <v>0</v>
      </c>
      <c r="I10" s="171">
        <v>0</v>
      </c>
      <c r="J10" s="171"/>
      <c r="K10" s="171">
        <v>1005.15</v>
      </c>
      <c r="L10" s="171" t="s">
        <v>272</v>
      </c>
      <c r="M10" s="171">
        <v>39.92</v>
      </c>
      <c r="N10" s="171">
        <v>1486479600</v>
      </c>
      <c r="O10" s="171">
        <v>5.53</v>
      </c>
      <c r="P10" s="171">
        <v>230</v>
      </c>
      <c r="Q10" s="171">
        <v>2.88</v>
      </c>
      <c r="R10"/>
    </row>
    <row r="11" spans="1:18" x14ac:dyDescent="0.25">
      <c r="A11" s="171">
        <v>45.34</v>
      </c>
      <c r="B11" s="171">
        <v>0.49</v>
      </c>
      <c r="C11" s="171">
        <v>24.16</v>
      </c>
      <c r="D11" s="8">
        <v>42773.375</v>
      </c>
      <c r="E11" s="171">
        <v>0.41</v>
      </c>
      <c r="F11" s="171" t="s">
        <v>271</v>
      </c>
      <c r="G11" s="171">
        <v>303.98</v>
      </c>
      <c r="H11" s="171">
        <v>0</v>
      </c>
      <c r="I11" s="171">
        <v>0</v>
      </c>
      <c r="J11" s="171"/>
      <c r="K11" s="171">
        <v>1004.18</v>
      </c>
      <c r="L11" s="171" t="s">
        <v>272</v>
      </c>
      <c r="M11" s="171">
        <v>46.84</v>
      </c>
      <c r="N11" s="171">
        <v>1486483200</v>
      </c>
      <c r="O11" s="171">
        <v>5.31</v>
      </c>
      <c r="P11" s="171">
        <v>244</v>
      </c>
      <c r="Q11" s="171">
        <v>3.85</v>
      </c>
      <c r="R11"/>
    </row>
    <row r="12" spans="1:18" x14ac:dyDescent="0.25">
      <c r="A12" s="171">
        <v>49.97</v>
      </c>
      <c r="B12" s="171">
        <v>0.57999999999999996</v>
      </c>
      <c r="C12" s="171">
        <v>24.13</v>
      </c>
      <c r="D12" s="8">
        <v>42773.416666666664</v>
      </c>
      <c r="E12" s="171">
        <v>0.36</v>
      </c>
      <c r="F12" s="171" t="s">
        <v>271</v>
      </c>
      <c r="G12" s="171">
        <v>298.98</v>
      </c>
      <c r="H12" s="171">
        <v>0</v>
      </c>
      <c r="I12" s="171">
        <v>0</v>
      </c>
      <c r="J12" s="171"/>
      <c r="K12" s="171">
        <v>1002.78</v>
      </c>
      <c r="L12" s="171" t="s">
        <v>272</v>
      </c>
      <c r="M12" s="171">
        <v>49.97</v>
      </c>
      <c r="N12" s="171">
        <v>1486486800</v>
      </c>
      <c r="O12" s="171">
        <v>5.24</v>
      </c>
      <c r="P12" s="171">
        <v>260</v>
      </c>
      <c r="Q12" s="171">
        <v>2.92</v>
      </c>
      <c r="R12"/>
    </row>
    <row r="13" spans="1:18" x14ac:dyDescent="0.25">
      <c r="A13" s="171">
        <v>56.91</v>
      </c>
      <c r="B13" s="171">
        <v>0.64</v>
      </c>
      <c r="C13" s="171">
        <v>25.04</v>
      </c>
      <c r="D13" s="8">
        <v>42773.458333333336</v>
      </c>
      <c r="E13" s="171">
        <v>0.28999999999999998</v>
      </c>
      <c r="F13" s="171" t="s">
        <v>271</v>
      </c>
      <c r="G13" s="171">
        <v>295.39999999999998</v>
      </c>
      <c r="H13" s="171">
        <v>0</v>
      </c>
      <c r="I13" s="171">
        <v>0</v>
      </c>
      <c r="J13" s="171"/>
      <c r="K13" s="171">
        <v>1001.8</v>
      </c>
      <c r="L13" s="171" t="s">
        <v>311</v>
      </c>
      <c r="M13" s="171">
        <v>56.91</v>
      </c>
      <c r="N13" s="171">
        <v>1486490400</v>
      </c>
      <c r="O13" s="171">
        <v>5.23</v>
      </c>
      <c r="P13" s="171">
        <v>281</v>
      </c>
      <c r="Q13" s="171">
        <v>3.22</v>
      </c>
      <c r="R13"/>
    </row>
    <row r="14" spans="1:18" x14ac:dyDescent="0.25">
      <c r="A14" s="171">
        <v>58.29</v>
      </c>
      <c r="B14" s="171">
        <v>0.57999999999999996</v>
      </c>
      <c r="C14" s="171">
        <v>24.85</v>
      </c>
      <c r="D14" s="8">
        <v>42773.5</v>
      </c>
      <c r="E14" s="171">
        <v>0.27</v>
      </c>
      <c r="F14" s="171" t="s">
        <v>271</v>
      </c>
      <c r="G14" s="171">
        <v>294.52</v>
      </c>
      <c r="H14" s="171">
        <v>0</v>
      </c>
      <c r="I14" s="171">
        <v>0</v>
      </c>
      <c r="J14" s="171"/>
      <c r="K14" s="171">
        <v>1000.95</v>
      </c>
      <c r="L14" s="171" t="s">
        <v>272</v>
      </c>
      <c r="M14" s="171">
        <v>58.29</v>
      </c>
      <c r="N14" s="171">
        <v>1486494000</v>
      </c>
      <c r="O14" s="171">
        <v>10</v>
      </c>
      <c r="P14" s="171">
        <v>283</v>
      </c>
      <c r="Q14" s="171">
        <v>3.13</v>
      </c>
      <c r="R14"/>
    </row>
    <row r="15" spans="1:18" x14ac:dyDescent="0.25">
      <c r="A15" s="171">
        <v>59.41</v>
      </c>
      <c r="B15" s="171">
        <v>0.42</v>
      </c>
      <c r="C15" s="171">
        <v>24.86</v>
      </c>
      <c r="D15" s="8">
        <v>42773.541666666664</v>
      </c>
      <c r="E15" s="171">
        <v>0.26</v>
      </c>
      <c r="F15" s="171" t="s">
        <v>271</v>
      </c>
      <c r="G15" s="171">
        <v>295.06</v>
      </c>
      <c r="H15" s="171">
        <v>8.0000000000000004E-4</v>
      </c>
      <c r="I15" s="171">
        <v>0.01</v>
      </c>
      <c r="J15" s="171" t="s">
        <v>697</v>
      </c>
      <c r="K15" s="171">
        <v>1000.36</v>
      </c>
      <c r="L15" s="171" t="s">
        <v>272</v>
      </c>
      <c r="M15" s="171">
        <v>59.41</v>
      </c>
      <c r="N15" s="171">
        <v>1486497600</v>
      </c>
      <c r="O15" s="171">
        <v>10</v>
      </c>
      <c r="P15" s="171">
        <v>249</v>
      </c>
      <c r="Q15" s="171">
        <v>4.01</v>
      </c>
      <c r="R15"/>
    </row>
    <row r="16" spans="1:18" x14ac:dyDescent="0.25">
      <c r="A16" s="171">
        <v>60.42</v>
      </c>
      <c r="B16" s="171">
        <v>0.34</v>
      </c>
      <c r="C16" s="171">
        <v>24.71</v>
      </c>
      <c r="D16" s="8">
        <v>42773.583333333336</v>
      </c>
      <c r="E16" s="171">
        <v>0.25</v>
      </c>
      <c r="F16" s="171" t="s">
        <v>271</v>
      </c>
      <c r="G16" s="171">
        <v>295.51</v>
      </c>
      <c r="H16" s="171">
        <v>1E-3</v>
      </c>
      <c r="I16" s="171">
        <v>0.01</v>
      </c>
      <c r="J16" s="171" t="s">
        <v>697</v>
      </c>
      <c r="K16" s="171">
        <v>1000.14</v>
      </c>
      <c r="L16" s="171" t="s">
        <v>272</v>
      </c>
      <c r="M16" s="171">
        <v>60.42</v>
      </c>
      <c r="N16" s="171">
        <v>1486501200</v>
      </c>
      <c r="O16" s="171">
        <v>5.24</v>
      </c>
      <c r="P16" s="171">
        <v>287</v>
      </c>
      <c r="Q16" s="171">
        <v>4.45</v>
      </c>
      <c r="R16"/>
    </row>
    <row r="17" spans="1:18" x14ac:dyDescent="0.25">
      <c r="A17" s="171">
        <v>57.96</v>
      </c>
      <c r="B17" s="171">
        <v>0.41</v>
      </c>
      <c r="C17" s="171">
        <v>24.62</v>
      </c>
      <c r="D17" s="8">
        <v>42773.625</v>
      </c>
      <c r="E17" s="171">
        <v>0.27</v>
      </c>
      <c r="F17" s="171" t="s">
        <v>271</v>
      </c>
      <c r="G17" s="171">
        <v>295.39999999999998</v>
      </c>
      <c r="H17" s="171">
        <v>8.9999999999999998E-4</v>
      </c>
      <c r="I17" s="171">
        <v>0.01</v>
      </c>
      <c r="J17" s="171" t="s">
        <v>697</v>
      </c>
      <c r="K17" s="171">
        <v>1000.16</v>
      </c>
      <c r="L17" s="171" t="s">
        <v>272</v>
      </c>
      <c r="M17" s="171">
        <v>57.96</v>
      </c>
      <c r="N17" s="171">
        <v>1486504800</v>
      </c>
      <c r="O17" s="171">
        <v>5.42</v>
      </c>
      <c r="P17" s="171">
        <v>279</v>
      </c>
      <c r="Q17" s="171">
        <v>5.78</v>
      </c>
      <c r="R17"/>
    </row>
    <row r="18" spans="1:18" x14ac:dyDescent="0.25">
      <c r="A18" s="171">
        <v>55.82</v>
      </c>
      <c r="B18" s="171">
        <v>0.54</v>
      </c>
      <c r="C18" s="171">
        <v>26.35</v>
      </c>
      <c r="D18" s="8">
        <v>42773.666666666664</v>
      </c>
      <c r="E18" s="171">
        <v>0.32</v>
      </c>
      <c r="F18" s="171" t="s">
        <v>271</v>
      </c>
      <c r="G18" s="171">
        <v>295.22000000000003</v>
      </c>
      <c r="H18" s="171">
        <v>1.1000000000000001E-3</v>
      </c>
      <c r="I18" s="171">
        <v>0.02</v>
      </c>
      <c r="J18" s="171" t="s">
        <v>697</v>
      </c>
      <c r="K18" s="171">
        <v>1000.42</v>
      </c>
      <c r="L18" s="171" t="s">
        <v>272</v>
      </c>
      <c r="M18" s="171">
        <v>55.82</v>
      </c>
      <c r="N18" s="171">
        <v>1486508400</v>
      </c>
      <c r="O18" s="171">
        <v>5.55</v>
      </c>
      <c r="P18" s="171">
        <v>283</v>
      </c>
      <c r="Q18" s="171">
        <v>7.13</v>
      </c>
      <c r="R18"/>
    </row>
    <row r="19" spans="1:18" x14ac:dyDescent="0.25">
      <c r="A19" s="171">
        <v>53.89</v>
      </c>
      <c r="B19" s="171">
        <v>0.64</v>
      </c>
      <c r="C19" s="171">
        <v>27.15</v>
      </c>
      <c r="D19" s="8">
        <v>42773.708333333336</v>
      </c>
      <c r="E19" s="171">
        <v>0.35</v>
      </c>
      <c r="F19" s="171" t="s">
        <v>271</v>
      </c>
      <c r="G19" s="171">
        <v>294.87</v>
      </c>
      <c r="H19" s="171">
        <v>2.3999999999999998E-3</v>
      </c>
      <c r="I19" s="171">
        <v>7.0000000000000007E-2</v>
      </c>
      <c r="J19" s="171" t="s">
        <v>697</v>
      </c>
      <c r="K19" s="171">
        <v>1000.99</v>
      </c>
      <c r="L19" s="171" t="s">
        <v>311</v>
      </c>
      <c r="M19" s="171">
        <v>53.89</v>
      </c>
      <c r="N19" s="171">
        <v>1486512000</v>
      </c>
      <c r="O19" s="171">
        <v>6</v>
      </c>
      <c r="P19" s="171">
        <v>268</v>
      </c>
      <c r="Q19" s="171">
        <v>7.81</v>
      </c>
      <c r="R19"/>
    </row>
    <row r="20" spans="1:18" x14ac:dyDescent="0.25">
      <c r="A20" s="171">
        <v>52.72</v>
      </c>
      <c r="B20" s="171">
        <v>0.67</v>
      </c>
      <c r="C20" s="171">
        <v>30.08</v>
      </c>
      <c r="D20" s="8">
        <v>42773.75</v>
      </c>
      <c r="E20" s="171">
        <v>0.42</v>
      </c>
      <c r="F20" s="171" t="s">
        <v>270</v>
      </c>
      <c r="G20" s="171">
        <v>294.06</v>
      </c>
      <c r="H20" s="171">
        <v>1.2999999999999999E-3</v>
      </c>
      <c r="I20" s="171">
        <v>0.02</v>
      </c>
      <c r="J20" s="171" t="s">
        <v>697</v>
      </c>
      <c r="K20" s="171">
        <v>1001.65</v>
      </c>
      <c r="L20" s="171" t="s">
        <v>311</v>
      </c>
      <c r="M20" s="171">
        <v>52.72</v>
      </c>
      <c r="N20" s="171">
        <v>1486515600</v>
      </c>
      <c r="O20" s="171">
        <v>6.83</v>
      </c>
      <c r="P20" s="171">
        <v>241</v>
      </c>
      <c r="Q20" s="171">
        <v>6.05</v>
      </c>
      <c r="R20"/>
    </row>
    <row r="21" spans="1:18" x14ac:dyDescent="0.25">
      <c r="A21" s="171">
        <v>51.13</v>
      </c>
      <c r="B21" s="171">
        <v>0.47</v>
      </c>
      <c r="C21" s="171">
        <v>30.74</v>
      </c>
      <c r="D21" s="8">
        <v>42773.791666666664</v>
      </c>
      <c r="E21" s="171">
        <v>0.45</v>
      </c>
      <c r="F21" s="171" t="s">
        <v>270</v>
      </c>
      <c r="G21" s="171">
        <v>293.08999999999997</v>
      </c>
      <c r="H21" s="171">
        <v>1E-3</v>
      </c>
      <c r="I21" s="171">
        <v>0.01</v>
      </c>
      <c r="J21" s="171" t="s">
        <v>697</v>
      </c>
      <c r="K21" s="171">
        <v>1002.77</v>
      </c>
      <c r="L21" s="171" t="s">
        <v>272</v>
      </c>
      <c r="M21" s="171">
        <v>51.13</v>
      </c>
      <c r="N21" s="171">
        <v>1486519200</v>
      </c>
      <c r="O21" s="171">
        <v>7.25</v>
      </c>
      <c r="P21" s="171">
        <v>247</v>
      </c>
      <c r="Q21" s="171">
        <v>4.7300000000000004</v>
      </c>
      <c r="R21"/>
    </row>
    <row r="22" spans="1:18" x14ac:dyDescent="0.25">
      <c r="A22" s="171">
        <v>47.98</v>
      </c>
      <c r="B22" s="171">
        <v>0.37</v>
      </c>
      <c r="C22" s="171">
        <v>29.4</v>
      </c>
      <c r="D22" s="8">
        <v>42773.833333333336</v>
      </c>
      <c r="E22" s="171">
        <v>0.45</v>
      </c>
      <c r="F22" s="171" t="s">
        <v>270</v>
      </c>
      <c r="G22" s="171">
        <v>292.77</v>
      </c>
      <c r="H22" s="171">
        <v>1.9E-3</v>
      </c>
      <c r="I22" s="171">
        <v>0.05</v>
      </c>
      <c r="J22" s="171" t="s">
        <v>697</v>
      </c>
      <c r="K22" s="171">
        <v>1003.6</v>
      </c>
      <c r="L22" s="171" t="s">
        <v>272</v>
      </c>
      <c r="M22" s="171">
        <v>49.63</v>
      </c>
      <c r="N22" s="171">
        <v>1486522800</v>
      </c>
      <c r="O22" s="171">
        <v>6.17</v>
      </c>
      <c r="P22" s="171">
        <v>269</v>
      </c>
      <c r="Q22" s="171">
        <v>4.6900000000000004</v>
      </c>
      <c r="R22"/>
    </row>
    <row r="23" spans="1:18" x14ac:dyDescent="0.25">
      <c r="A23" s="171">
        <v>48.72</v>
      </c>
      <c r="B23" s="171">
        <v>0.42</v>
      </c>
      <c r="C23" s="171">
        <v>28.9</v>
      </c>
      <c r="D23" s="8">
        <v>42773.875</v>
      </c>
      <c r="E23" s="171">
        <v>0.44</v>
      </c>
      <c r="F23" s="171" t="s">
        <v>270</v>
      </c>
      <c r="G23" s="171">
        <v>293.43</v>
      </c>
      <c r="H23" s="171">
        <v>8.0000000000000004E-4</v>
      </c>
      <c r="I23" s="171">
        <v>0.01</v>
      </c>
      <c r="J23" s="171" t="s">
        <v>697</v>
      </c>
      <c r="K23" s="171">
        <v>1003.57</v>
      </c>
      <c r="L23" s="171" t="s">
        <v>272</v>
      </c>
      <c r="M23" s="171">
        <v>49.77</v>
      </c>
      <c r="N23" s="171">
        <v>1486526400</v>
      </c>
      <c r="O23" s="171">
        <v>5.36</v>
      </c>
      <c r="P23" s="171">
        <v>268</v>
      </c>
      <c r="Q23" s="171">
        <v>3.85</v>
      </c>
      <c r="R23"/>
    </row>
    <row r="24" spans="1:18" x14ac:dyDescent="0.25">
      <c r="A24" s="171">
        <v>47.24</v>
      </c>
      <c r="B24" s="171">
        <v>0.48</v>
      </c>
      <c r="C24" s="171">
        <v>30.68</v>
      </c>
      <c r="D24" s="8">
        <v>42773.916666666664</v>
      </c>
      <c r="E24" s="171">
        <v>0.49</v>
      </c>
      <c r="F24" s="171" t="s">
        <v>270</v>
      </c>
      <c r="G24" s="171">
        <v>294.74</v>
      </c>
      <c r="H24" s="171">
        <v>1.5E-3</v>
      </c>
      <c r="I24" s="171">
        <v>0.03</v>
      </c>
      <c r="J24" s="171" t="s">
        <v>697</v>
      </c>
      <c r="K24" s="171">
        <v>1003.15</v>
      </c>
      <c r="L24" s="171" t="s">
        <v>272</v>
      </c>
      <c r="M24" s="171">
        <v>48.8</v>
      </c>
      <c r="N24" s="171">
        <v>1486530000</v>
      </c>
      <c r="O24" s="171">
        <v>5.33</v>
      </c>
      <c r="P24" s="171">
        <v>265</v>
      </c>
      <c r="Q24" s="171">
        <v>4.34</v>
      </c>
      <c r="R24"/>
    </row>
    <row r="25" spans="1:18" x14ac:dyDescent="0.25">
      <c r="A25" s="171">
        <v>45.31</v>
      </c>
      <c r="B25" s="171">
        <v>0.5</v>
      </c>
      <c r="C25" s="171">
        <v>30.25</v>
      </c>
      <c r="D25" s="8">
        <v>42773.958333333336</v>
      </c>
      <c r="E25" s="171">
        <v>0.49</v>
      </c>
      <c r="F25" s="171" t="s">
        <v>270</v>
      </c>
      <c r="G25" s="171">
        <v>296.51</v>
      </c>
      <c r="H25" s="171">
        <v>3.5999999999999999E-3</v>
      </c>
      <c r="I25" s="171">
        <v>0.13</v>
      </c>
      <c r="J25" s="171" t="s">
        <v>697</v>
      </c>
      <c r="K25" s="171">
        <v>1003.11</v>
      </c>
      <c r="L25" s="171" t="s">
        <v>272</v>
      </c>
      <c r="M25" s="171">
        <v>48.34</v>
      </c>
      <c r="N25" s="171">
        <v>1486533600</v>
      </c>
      <c r="O25" s="171">
        <v>5.62</v>
      </c>
      <c r="P25" s="171">
        <v>242</v>
      </c>
      <c r="Q25" s="171">
        <v>6.74</v>
      </c>
      <c r="R25"/>
    </row>
    <row r="26" spans="1:18" x14ac:dyDescent="0.25">
      <c r="A26" s="171">
        <v>45.63</v>
      </c>
      <c r="B26" s="171">
        <v>0.52</v>
      </c>
      <c r="C26" s="171">
        <v>30.86</v>
      </c>
      <c r="D26" s="8">
        <v>42774</v>
      </c>
      <c r="E26" s="171">
        <v>0.52</v>
      </c>
      <c r="F26" s="171" t="s">
        <v>270</v>
      </c>
      <c r="G26" s="171">
        <v>299.13</v>
      </c>
      <c r="H26" s="171">
        <v>8.0000000000000004E-4</v>
      </c>
      <c r="I26" s="171">
        <v>0.01</v>
      </c>
      <c r="J26" s="171" t="s">
        <v>697</v>
      </c>
      <c r="K26" s="171">
        <v>1004.17</v>
      </c>
      <c r="L26" s="171" t="s">
        <v>272</v>
      </c>
      <c r="M26" s="171">
        <v>47.86</v>
      </c>
      <c r="N26" s="171">
        <v>1486537200</v>
      </c>
      <c r="O26" s="171">
        <v>5.9</v>
      </c>
      <c r="P26" s="171">
        <v>218</v>
      </c>
      <c r="Q26" s="171">
        <v>5.1100000000000003</v>
      </c>
      <c r="R26"/>
    </row>
    <row r="27" spans="1:18" x14ac:dyDescent="0.25">
      <c r="A27" s="171">
        <v>42.83</v>
      </c>
      <c r="B27" s="171">
        <v>0.56000000000000005</v>
      </c>
      <c r="C27" s="171">
        <v>31.57</v>
      </c>
      <c r="D27" s="8">
        <v>42774.041666666664</v>
      </c>
      <c r="E27" s="171">
        <v>0.56000000000000005</v>
      </c>
      <c r="F27" s="171" t="s">
        <v>270</v>
      </c>
      <c r="G27" s="171">
        <v>301.74</v>
      </c>
      <c r="H27" s="171">
        <v>0</v>
      </c>
      <c r="I27" s="171">
        <v>0</v>
      </c>
      <c r="J27" s="171"/>
      <c r="K27" s="171">
        <v>1005.08</v>
      </c>
      <c r="L27" s="171" t="s">
        <v>272</v>
      </c>
      <c r="M27" s="171">
        <v>46.21</v>
      </c>
      <c r="N27" s="171">
        <v>1486540800</v>
      </c>
      <c r="O27" s="171">
        <v>5.64</v>
      </c>
      <c r="P27" s="171">
        <v>230</v>
      </c>
      <c r="Q27" s="171">
        <v>6.6</v>
      </c>
      <c r="R27"/>
    </row>
    <row r="28" spans="1:18" x14ac:dyDescent="0.25">
      <c r="A28" s="171">
        <v>50.29</v>
      </c>
      <c r="B28" s="171">
        <v>0.56999999999999995</v>
      </c>
      <c r="C28" s="171">
        <v>35.26</v>
      </c>
      <c r="D28" s="8">
        <v>42774.083333333336</v>
      </c>
      <c r="E28" s="171">
        <v>0.56000000000000005</v>
      </c>
      <c r="F28" s="171" t="s">
        <v>270</v>
      </c>
      <c r="G28" s="171">
        <v>304.36</v>
      </c>
      <c r="H28" s="171">
        <v>4.3E-3</v>
      </c>
      <c r="I28" s="171">
        <v>0.17</v>
      </c>
      <c r="J28" s="171" t="s">
        <v>697</v>
      </c>
      <c r="K28" s="171">
        <v>1005.98</v>
      </c>
      <c r="L28" s="171" t="s">
        <v>272</v>
      </c>
      <c r="M28" s="171">
        <v>50.29</v>
      </c>
      <c r="N28" s="171">
        <v>1486544400</v>
      </c>
      <c r="O28" s="171">
        <v>3.9</v>
      </c>
      <c r="P28" s="171">
        <v>269</v>
      </c>
      <c r="Q28" s="171">
        <v>8.43</v>
      </c>
      <c r="R28"/>
    </row>
    <row r="29" spans="1:18" x14ac:dyDescent="0.25">
      <c r="A29" s="171">
        <v>39.020000000000003</v>
      </c>
      <c r="B29" s="171">
        <v>0.53</v>
      </c>
      <c r="C29" s="171">
        <v>30.59</v>
      </c>
      <c r="D29" s="8">
        <v>42774.125</v>
      </c>
      <c r="E29" s="171">
        <v>0.59</v>
      </c>
      <c r="F29" s="171" t="s">
        <v>697</v>
      </c>
      <c r="G29" s="171">
        <v>304.18</v>
      </c>
      <c r="H29" s="171">
        <v>5.3E-3</v>
      </c>
      <c r="I29" s="171">
        <v>0.23</v>
      </c>
      <c r="J29" s="171" t="s">
        <v>697</v>
      </c>
      <c r="K29" s="171">
        <v>1007.16</v>
      </c>
      <c r="L29" s="171" t="s">
        <v>698</v>
      </c>
      <c r="M29" s="171">
        <v>44.07</v>
      </c>
      <c r="N29" s="171">
        <v>1486548000</v>
      </c>
      <c r="O29" s="171">
        <v>6.46</v>
      </c>
      <c r="P29" s="171">
        <v>273</v>
      </c>
      <c r="Q29" s="171">
        <v>9.1999999999999993</v>
      </c>
      <c r="R29"/>
    </row>
    <row r="30" spans="1:18" x14ac:dyDescent="0.25">
      <c r="A30" s="152"/>
      <c r="B30" s="152"/>
      <c r="C30" s="152"/>
      <c r="D30" s="8"/>
      <c r="E30" s="152"/>
      <c r="F30" s="152"/>
      <c r="G30" s="152"/>
      <c r="H30" s="152"/>
      <c r="I30" s="152"/>
      <c r="J30" s="152"/>
      <c r="K30" s="152"/>
      <c r="L30" s="152"/>
      <c r="M30" s="152"/>
      <c r="N30" s="152"/>
      <c r="O30" s="152"/>
      <c r="P30" s="152"/>
    </row>
    <row r="31" spans="1:18" x14ac:dyDescent="0.25">
      <c r="A31" s="153" t="s">
        <v>190</v>
      </c>
    </row>
    <row r="33" spans="1:1" x14ac:dyDescent="0.25">
      <c r="A33" s="153" t="s">
        <v>179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Q41"/>
  <sheetViews>
    <sheetView workbookViewId="0">
      <selection activeCell="D14" sqref="D14"/>
    </sheetView>
  </sheetViews>
  <sheetFormatPr defaultRowHeight="15" x14ac:dyDescent="0.25"/>
  <cols>
    <col min="1" max="1" width="32.140625" customWidth="1"/>
    <col min="3" max="3" width="24" customWidth="1"/>
    <col min="4" max="4" width="19.140625" style="64" customWidth="1"/>
    <col min="10" max="10" width="24.28515625" style="152" bestFit="1" customWidth="1"/>
    <col min="11" max="11" width="15.28515625" style="152" hidden="1" customWidth="1"/>
    <col min="12" max="12" width="13.5703125" style="152" hidden="1" customWidth="1"/>
    <col min="13" max="13" width="9" style="152" bestFit="1" customWidth="1"/>
    <col min="14" max="17" width="9.140625" style="152"/>
  </cols>
  <sheetData>
    <row r="1" spans="1:16" ht="45.75" x14ac:dyDescent="0.3">
      <c r="A1" s="11" t="s">
        <v>25</v>
      </c>
      <c r="C1" s="131" t="s">
        <v>99</v>
      </c>
      <c r="D1" s="132" t="s">
        <v>100</v>
      </c>
      <c r="J1" s="162" t="s">
        <v>101</v>
      </c>
      <c r="K1" s="162" t="s">
        <v>66</v>
      </c>
      <c r="L1" s="162" t="s">
        <v>67</v>
      </c>
      <c r="O1" s="163" t="s">
        <v>102</v>
      </c>
    </row>
    <row r="2" spans="1:16" ht="15.75" thickBot="1" x14ac:dyDescent="0.3">
      <c r="A2" s="12">
        <v>42773</v>
      </c>
      <c r="B2" s="4"/>
      <c r="C2" s="133">
        <v>50</v>
      </c>
      <c r="D2" s="134">
        <v>25</v>
      </c>
      <c r="F2" t="s">
        <v>113</v>
      </c>
      <c r="J2" s="162"/>
      <c r="K2" s="162" t="s">
        <v>66</v>
      </c>
      <c r="L2" s="162" t="s">
        <v>67</v>
      </c>
    </row>
    <row r="3" spans="1:16" x14ac:dyDescent="0.25">
      <c r="C3" s="64"/>
      <c r="F3" t="s">
        <v>52</v>
      </c>
      <c r="J3" s="164" t="s">
        <v>68</v>
      </c>
      <c r="K3" s="165">
        <v>2.7052</v>
      </c>
      <c r="L3" s="165">
        <v>2.7349999999999999</v>
      </c>
      <c r="M3" s="152">
        <f t="shared" ref="M3:M14" si="0">AVERAGE(K3:L3)</f>
        <v>2.7201</v>
      </c>
      <c r="O3" s="152" t="s">
        <v>103</v>
      </c>
      <c r="P3" s="152">
        <f>AVERAGE(1.0714,1.1016)</f>
        <v>1.0865</v>
      </c>
    </row>
    <row r="4" spans="1:16" ht="45" x14ac:dyDescent="0.25">
      <c r="C4" s="131" t="s">
        <v>99</v>
      </c>
      <c r="D4" s="132" t="s">
        <v>100</v>
      </c>
      <c r="F4" t="s">
        <v>53</v>
      </c>
      <c r="J4" s="164" t="s">
        <v>69</v>
      </c>
      <c r="K4" s="165">
        <v>3.0830000000000002</v>
      </c>
      <c r="L4" s="165">
        <v>3.097</v>
      </c>
      <c r="M4" s="152">
        <f t="shared" si="0"/>
        <v>3.09</v>
      </c>
    </row>
    <row r="5" spans="1:16" x14ac:dyDescent="0.25">
      <c r="C5" s="64">
        <v>30</v>
      </c>
      <c r="D5" s="64">
        <v>9</v>
      </c>
      <c r="J5" s="164" t="s">
        <v>70</v>
      </c>
      <c r="K5" s="165">
        <v>3.3136000000000001</v>
      </c>
      <c r="L5" s="165">
        <v>3.3256999999999999</v>
      </c>
      <c r="M5" s="152">
        <f t="shared" si="0"/>
        <v>3.3196500000000002</v>
      </c>
    </row>
    <row r="6" spans="1:16" x14ac:dyDescent="0.25">
      <c r="C6" s="64"/>
      <c r="F6" t="s">
        <v>114</v>
      </c>
      <c r="J6" s="164" t="s">
        <v>71</v>
      </c>
      <c r="K6" s="165">
        <v>4.2778999999999998</v>
      </c>
      <c r="L6" s="165">
        <v>4.2961</v>
      </c>
      <c r="M6" s="152">
        <f t="shared" si="0"/>
        <v>4.2869999999999999</v>
      </c>
    </row>
    <row r="7" spans="1:16" x14ac:dyDescent="0.25">
      <c r="C7" s="64"/>
      <c r="F7" t="s">
        <v>115</v>
      </c>
      <c r="J7" s="164" t="s">
        <v>72</v>
      </c>
      <c r="K7" s="165">
        <v>4.7865000000000002</v>
      </c>
      <c r="L7" s="165">
        <v>4.8048000000000002</v>
      </c>
      <c r="M7" s="152">
        <f t="shared" si="0"/>
        <v>4.7956500000000002</v>
      </c>
    </row>
    <row r="8" spans="1:16" x14ac:dyDescent="0.25">
      <c r="C8" s="64"/>
      <c r="F8" t="s">
        <v>116</v>
      </c>
      <c r="J8" s="164" t="s">
        <v>73</v>
      </c>
      <c r="K8" s="165">
        <v>5.3155000000000001</v>
      </c>
      <c r="L8" s="165">
        <v>5.3277000000000001</v>
      </c>
      <c r="M8" s="152">
        <f t="shared" si="0"/>
        <v>5.3216000000000001</v>
      </c>
    </row>
    <row r="9" spans="1:16" x14ac:dyDescent="0.25">
      <c r="C9" s="64"/>
      <c r="J9" s="164" t="s">
        <v>74</v>
      </c>
      <c r="K9" s="165">
        <v>5.8117000000000001</v>
      </c>
      <c r="L9" s="165">
        <v>5.8300999999999998</v>
      </c>
      <c r="M9" s="152">
        <f t="shared" si="0"/>
        <v>5.8209</v>
      </c>
    </row>
    <row r="10" spans="1:16" x14ac:dyDescent="0.25">
      <c r="C10" s="64"/>
      <c r="J10" s="164" t="s">
        <v>75</v>
      </c>
      <c r="K10" s="165">
        <v>5.8783000000000003</v>
      </c>
      <c r="L10" s="165">
        <v>5.8903999999999996</v>
      </c>
      <c r="M10" s="152">
        <f t="shared" si="0"/>
        <v>5.8843499999999995</v>
      </c>
    </row>
    <row r="11" spans="1:16" x14ac:dyDescent="0.25">
      <c r="C11" s="64"/>
      <c r="J11" s="164" t="s">
        <v>76</v>
      </c>
      <c r="K11" s="165">
        <v>6.3068</v>
      </c>
      <c r="L11" s="165">
        <v>6.3308999999999997</v>
      </c>
      <c r="M11" s="152">
        <f t="shared" si="0"/>
        <v>6.3188499999999994</v>
      </c>
    </row>
    <row r="12" spans="1:16" x14ac:dyDescent="0.25">
      <c r="C12" s="64"/>
      <c r="J12" s="164" t="s">
        <v>77</v>
      </c>
      <c r="K12" s="165">
        <v>7.8349000000000002</v>
      </c>
      <c r="L12" s="165">
        <v>7.8468999999999998</v>
      </c>
      <c r="M12" s="152">
        <f t="shared" si="0"/>
        <v>7.8408999999999995</v>
      </c>
    </row>
    <row r="13" spans="1:16" x14ac:dyDescent="0.25">
      <c r="C13" s="64"/>
      <c r="J13" s="164" t="s">
        <v>78</v>
      </c>
      <c r="K13" s="165">
        <v>10.373799999999999</v>
      </c>
      <c r="L13" s="165">
        <v>10.38</v>
      </c>
      <c r="M13" s="152">
        <f t="shared" si="0"/>
        <v>10.376899999999999</v>
      </c>
    </row>
    <row r="14" spans="1:16" x14ac:dyDescent="0.25">
      <c r="C14" s="64"/>
      <c r="J14" s="164" t="s">
        <v>79</v>
      </c>
      <c r="K14" s="165">
        <v>10.8954</v>
      </c>
      <c r="L14" s="165">
        <v>10.913500000000001</v>
      </c>
      <c r="M14" s="152">
        <f t="shared" si="0"/>
        <v>10.904450000000001</v>
      </c>
    </row>
    <row r="15" spans="1:16" x14ac:dyDescent="0.25">
      <c r="C15" s="64"/>
      <c r="J15" s="164"/>
      <c r="K15" s="165"/>
      <c r="L15" s="165"/>
    </row>
    <row r="16" spans="1:16" x14ac:dyDescent="0.25">
      <c r="C16" s="64"/>
      <c r="J16" s="164"/>
      <c r="K16" s="165"/>
      <c r="L16" s="165"/>
    </row>
    <row r="17" spans="3:13" x14ac:dyDescent="0.25">
      <c r="C17" s="149" t="s">
        <v>191</v>
      </c>
      <c r="J17" s="164"/>
      <c r="K17" s="165"/>
      <c r="L17" s="165"/>
    </row>
    <row r="18" spans="3:13" x14ac:dyDescent="0.25">
      <c r="C18" t="s">
        <v>863</v>
      </c>
      <c r="J18" s="164" t="s">
        <v>85</v>
      </c>
      <c r="K18" s="165"/>
      <c r="L18" s="165"/>
      <c r="M18" s="152" t="str">
        <f>"""C:\Program Files (x86)\AstroGrep\AstroGrep.exe"""</f>
        <v>"C:\Program Files (x86)\AstroGrep\AstroGrep.exe"</v>
      </c>
    </row>
    <row r="19" spans="3:13" x14ac:dyDescent="0.25">
      <c r="C19" t="s">
        <v>864</v>
      </c>
      <c r="J19" s="164" t="s">
        <v>86</v>
      </c>
      <c r="K19" s="165"/>
      <c r="L19" s="165"/>
      <c r="M19" s="152" t="s">
        <v>112</v>
      </c>
    </row>
    <row r="20" spans="3:13" x14ac:dyDescent="0.25">
      <c r="C20" t="s">
        <v>865</v>
      </c>
      <c r="J20" s="152" t="s">
        <v>87</v>
      </c>
      <c r="M20" s="152" t="s">
        <v>217</v>
      </c>
    </row>
    <row r="21" spans="3:13" x14ac:dyDescent="0.25">
      <c r="C21" t="s">
        <v>866</v>
      </c>
      <c r="J21" s="152" t="s">
        <v>90</v>
      </c>
      <c r="K21" s="152" t="s">
        <v>91</v>
      </c>
      <c r="M21" s="152" t="s">
        <v>178</v>
      </c>
    </row>
    <row r="22" spans="3:13" x14ac:dyDescent="0.25">
      <c r="C22" t="s">
        <v>867</v>
      </c>
      <c r="J22" s="152" t="s">
        <v>92</v>
      </c>
      <c r="K22" s="152" t="s">
        <v>93</v>
      </c>
      <c r="M22" s="152" t="s">
        <v>111</v>
      </c>
    </row>
    <row r="23" spans="3:13" x14ac:dyDescent="0.25">
      <c r="C23" t="s">
        <v>868</v>
      </c>
      <c r="J23" s="166" t="s">
        <v>95</v>
      </c>
      <c r="M23" s="152" t="str">
        <f>"-07"</f>
        <v>-07</v>
      </c>
    </row>
    <row r="24" spans="3:13" x14ac:dyDescent="0.25">
      <c r="C24" t="s">
        <v>461</v>
      </c>
      <c r="J24" s="152" t="s">
        <v>108</v>
      </c>
      <c r="M24" s="152" t="s">
        <v>110</v>
      </c>
    </row>
    <row r="25" spans="3:13" x14ac:dyDescent="0.25">
      <c r="C25" t="s">
        <v>869</v>
      </c>
      <c r="J25" s="152" t="s">
        <v>150</v>
      </c>
      <c r="M25" s="152" t="b">
        <v>1</v>
      </c>
    </row>
    <row r="26" spans="3:13" x14ac:dyDescent="0.25">
      <c r="C26" t="s">
        <v>870</v>
      </c>
      <c r="J26" s="152" t="s">
        <v>151</v>
      </c>
      <c r="M26" s="152" t="str">
        <f>"C:\Users\stu\Documents\GitHub\eaglep3-reporting\EC\"&amp;TEXT(A2,"yyyy-mm-dd")&amp;"-refined-times.txt"</f>
        <v>C:\Users\stu\Documents\GitHub\eaglep3-reporting\EC\2017-02-07-refined-times.txt</v>
      </c>
    </row>
    <row r="27" spans="3:13" x14ac:dyDescent="0.25">
      <c r="C27" t="s">
        <v>871</v>
      </c>
      <c r="J27" s="152" t="s">
        <v>180</v>
      </c>
      <c r="M27" s="152" t="str">
        <f>"C:\Users\stu\Documents\GitHub\eaglep3-reporting\EC\"&amp;TEXT(A2,"YYYY-MM-DD")&amp;"-Enforcements.txt"</f>
        <v>C:\Users\stu\Documents\GitHub\eaglep3-reporting\EC\2017-02-07-Enforcements.txt</v>
      </c>
    </row>
    <row r="28" spans="3:13" x14ac:dyDescent="0.25">
      <c r="C28" t="s">
        <v>872</v>
      </c>
      <c r="J28" s="152" t="s">
        <v>181</v>
      </c>
      <c r="M28" s="152" t="str">
        <f>"C:\Users\stu\Documents\GitHub\eaglep3-reporting\EC\"&amp;TEXT(A2,"YYYY-MM-DD")&amp;"-Runs-refined.txt"</f>
        <v>C:\Users\stu\Documents\GitHub\eaglep3-reporting\EC\2017-02-07-Runs-refined.txt</v>
      </c>
    </row>
    <row r="29" spans="3:13" x14ac:dyDescent="0.25">
      <c r="C29" t="s">
        <v>873</v>
      </c>
      <c r="J29" s="152" t="s">
        <v>182</v>
      </c>
      <c r="M29" s="152" t="str">
        <f>"C:\Users\stu\Documents\GitHub\eaglep3-reporting\EC\"&amp;TEXT(A2,"YYYY-MM-DD")&amp;"-Trips.txt"</f>
        <v>C:\Users\stu\Documents\GitHub\eaglep3-reporting\EC\2017-02-07-Trips.txt</v>
      </c>
    </row>
    <row r="30" spans="3:13" x14ac:dyDescent="0.25">
      <c r="C30" t="s">
        <v>874</v>
      </c>
      <c r="J30" s="152" t="s">
        <v>183</v>
      </c>
      <c r="M30" s="152" t="str">
        <f>"C:\Users\stu\Documents\GitHub\eaglep3-reporting\EC\"&amp;TEXT(A2,"YYYY-MM-DD")&amp;"-Weather.txt"</f>
        <v>C:\Users\stu\Documents\GitHub\eaglep3-reporting\EC\2017-02-07-Weather.txt</v>
      </c>
    </row>
    <row r="31" spans="3:13" x14ac:dyDescent="0.25">
      <c r="C31" t="s">
        <v>875</v>
      </c>
      <c r="J31" s="152" t="s">
        <v>215</v>
      </c>
      <c r="M31" s="152" t="s">
        <v>216</v>
      </c>
    </row>
    <row r="32" spans="3:13" x14ac:dyDescent="0.25">
      <c r="C32" t="s">
        <v>876</v>
      </c>
    </row>
    <row r="33" spans="3:3" x14ac:dyDescent="0.25">
      <c r="C33" t="s">
        <v>877</v>
      </c>
    </row>
    <row r="34" spans="3:3" x14ac:dyDescent="0.25">
      <c r="C34" t="s">
        <v>878</v>
      </c>
    </row>
    <row r="35" spans="3:3" x14ac:dyDescent="0.25">
      <c r="C35" t="s">
        <v>879</v>
      </c>
    </row>
    <row r="36" spans="3:3" x14ac:dyDescent="0.25">
      <c r="C36" t="s">
        <v>880</v>
      </c>
    </row>
    <row r="37" spans="3:3" x14ac:dyDescent="0.25">
      <c r="C37" t="s">
        <v>881</v>
      </c>
    </row>
    <row r="38" spans="3:3" x14ac:dyDescent="0.25">
      <c r="C38" t="s">
        <v>882</v>
      </c>
    </row>
    <row r="39" spans="3:3" x14ac:dyDescent="0.25">
      <c r="C39" t="s">
        <v>883</v>
      </c>
    </row>
    <row r="40" spans="3:3" x14ac:dyDescent="0.25">
      <c r="C40" t="s">
        <v>884</v>
      </c>
    </row>
    <row r="41" spans="3:3" x14ac:dyDescent="0.25">
      <c r="C41" t="s">
        <v>885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02" bestFit="1" customWidth="1"/>
    <col min="2" max="7" width="9.140625" style="102"/>
    <col min="8" max="8" width="17.7109375" style="102" bestFit="1" customWidth="1"/>
    <col min="9" max="9" width="9.140625" style="104"/>
    <col min="10" max="16384" width="9.140625" style="102"/>
  </cols>
  <sheetData>
    <row r="1" spans="1:11" x14ac:dyDescent="0.25">
      <c r="A1" s="101" t="s">
        <v>121</v>
      </c>
      <c r="B1" s="101" t="s">
        <v>122</v>
      </c>
      <c r="C1" s="102" t="s">
        <v>123</v>
      </c>
      <c r="H1" t="s">
        <v>117</v>
      </c>
      <c r="I1" s="103" t="s">
        <v>119</v>
      </c>
      <c r="J1"/>
    </row>
    <row r="2" spans="1:11" x14ac:dyDescent="0.25">
      <c r="A2" s="102" t="s">
        <v>124</v>
      </c>
      <c r="B2" s="102" t="s">
        <v>125</v>
      </c>
      <c r="C2" s="102" t="s">
        <v>126</v>
      </c>
      <c r="H2" t="s">
        <v>118</v>
      </c>
      <c r="I2" s="95" t="s">
        <v>120</v>
      </c>
      <c r="J2"/>
    </row>
    <row r="3" spans="1:11" x14ac:dyDescent="0.25">
      <c r="A3" s="102" t="s">
        <v>127</v>
      </c>
      <c r="B3" s="102" t="s">
        <v>128</v>
      </c>
      <c r="C3" s="102" t="s">
        <v>129</v>
      </c>
      <c r="H3" t="s">
        <v>143</v>
      </c>
      <c r="I3" s="95">
        <v>1</v>
      </c>
      <c r="J3"/>
      <c r="K3" s="63"/>
    </row>
    <row r="4" spans="1:11" x14ac:dyDescent="0.25">
      <c r="A4" s="102" t="s">
        <v>130</v>
      </c>
      <c r="C4" s="102" t="s">
        <v>131</v>
      </c>
      <c r="H4" t="s">
        <v>144</v>
      </c>
      <c r="I4" s="95">
        <v>2</v>
      </c>
      <c r="J4"/>
      <c r="K4" s="63"/>
    </row>
    <row r="5" spans="1:11" x14ac:dyDescent="0.25">
      <c r="A5" s="102" t="s">
        <v>132</v>
      </c>
      <c r="C5" s="102" t="s">
        <v>133</v>
      </c>
      <c r="H5" t="s">
        <v>145</v>
      </c>
      <c r="I5" s="95">
        <v>23</v>
      </c>
      <c r="J5"/>
      <c r="K5" s="63"/>
    </row>
    <row r="6" spans="1:11" x14ac:dyDescent="0.25">
      <c r="A6" s="102" t="s">
        <v>134</v>
      </c>
      <c r="C6" s="102" t="s">
        <v>135</v>
      </c>
      <c r="H6" s="105" t="s">
        <v>146</v>
      </c>
      <c r="I6" s="106" t="s">
        <v>125</v>
      </c>
    </row>
    <row r="7" spans="1:11" x14ac:dyDescent="0.25">
      <c r="A7" s="102" t="s">
        <v>136</v>
      </c>
      <c r="C7" s="102" t="s">
        <v>137</v>
      </c>
    </row>
    <row r="8" spans="1:11" x14ac:dyDescent="0.25">
      <c r="C8" s="102" t="s">
        <v>138</v>
      </c>
    </row>
    <row r="9" spans="1:11" x14ac:dyDescent="0.25">
      <c r="C9" s="105" t="s">
        <v>171</v>
      </c>
    </row>
    <row r="10" spans="1:11" x14ac:dyDescent="0.25">
      <c r="C10" s="102" t="s">
        <v>139</v>
      </c>
    </row>
    <row r="11" spans="1:11" x14ac:dyDescent="0.25">
      <c r="C11" s="102" t="s">
        <v>140</v>
      </c>
    </row>
    <row r="12" spans="1:11" x14ac:dyDescent="0.25">
      <c r="C12" s="102" t="s">
        <v>141</v>
      </c>
    </row>
    <row r="13" spans="1:11" x14ac:dyDescent="0.25">
      <c r="C13" s="102" t="s">
        <v>142</v>
      </c>
    </row>
    <row r="14" spans="1:11" x14ac:dyDescent="0.25">
      <c r="C14" s="105" t="s">
        <v>172</v>
      </c>
    </row>
    <row r="15" spans="1:11" x14ac:dyDescent="0.25">
      <c r="C15" s="105" t="s">
        <v>194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O17" sqref="O17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890</v>
      </c>
      <c r="B1" t="str">
        <f t="shared" ref="B1:B30" si="0">MID(A1,6,23)</f>
        <v>2017/02/07 12:00:56.685</v>
      </c>
      <c r="C1" t="e">
        <f>ABS(B1-#REF!)</f>
        <v>#REF!</v>
      </c>
    </row>
    <row r="2" spans="1:3" x14ac:dyDescent="0.25">
      <c r="A2" t="s">
        <v>891</v>
      </c>
      <c r="B2" s="20" t="str">
        <f t="shared" si="0"/>
        <v>2017/02/07 13:55:01.354</v>
      </c>
      <c r="C2">
        <f>ABS(B2-B1)</f>
        <v>7.9220706022169907E-2</v>
      </c>
    </row>
    <row r="3" spans="1:3" x14ac:dyDescent="0.25">
      <c r="A3" t="s">
        <v>892</v>
      </c>
      <c r="B3" s="20" t="str">
        <f t="shared" si="0"/>
        <v>2017/02/07 13:55:01.553</v>
      </c>
      <c r="C3" s="20">
        <f t="shared" ref="C3:C30" si="1">ABS(B3-B2)</f>
        <v>2.3032407625578344E-6</v>
      </c>
    </row>
    <row r="4" spans="1:3" x14ac:dyDescent="0.25">
      <c r="A4" t="s">
        <v>893</v>
      </c>
      <c r="B4" s="20" t="str">
        <f t="shared" si="0"/>
        <v>2017/02/07 13:55:51.548</v>
      </c>
      <c r="C4" s="20">
        <f t="shared" si="1"/>
        <v>5.7864583504851907E-4</v>
      </c>
    </row>
    <row r="5" spans="1:3" x14ac:dyDescent="0.25">
      <c r="A5" t="s">
        <v>894</v>
      </c>
      <c r="B5" s="20" t="str">
        <f t="shared" si="0"/>
        <v>2017/02/07 13:55:55.355</v>
      </c>
      <c r="C5" s="20">
        <f t="shared" si="1"/>
        <v>4.4062493543606251E-5</v>
      </c>
    </row>
    <row r="6" spans="1:3" x14ac:dyDescent="0.25">
      <c r="A6" t="s">
        <v>895</v>
      </c>
      <c r="B6" s="20" t="str">
        <f t="shared" si="0"/>
        <v>2017/02/07 14:47:08.050</v>
      </c>
      <c r="C6" s="20">
        <f t="shared" si="1"/>
        <v>3.5563599543820601E-2</v>
      </c>
    </row>
    <row r="7" spans="1:3" x14ac:dyDescent="0.25">
      <c r="A7" t="s">
        <v>896</v>
      </c>
      <c r="B7" s="20" t="str">
        <f t="shared" si="0"/>
        <v>2017/02/07 14:47:11.537</v>
      </c>
      <c r="C7" s="20">
        <f t="shared" si="1"/>
        <v>4.035879101138562E-5</v>
      </c>
    </row>
    <row r="8" spans="1:3" x14ac:dyDescent="0.25">
      <c r="A8" t="s">
        <v>897</v>
      </c>
      <c r="B8" s="20" t="str">
        <f t="shared" si="0"/>
        <v>2017/02/07 15:36:46.745</v>
      </c>
      <c r="C8" s="20">
        <f t="shared" si="1"/>
        <v>3.443527778290445E-2</v>
      </c>
    </row>
    <row r="9" spans="1:3" x14ac:dyDescent="0.25">
      <c r="A9" t="s">
        <v>898</v>
      </c>
      <c r="B9" s="20" t="str">
        <f t="shared" si="0"/>
        <v>2017/02/07 15:36:46.852</v>
      </c>
      <c r="C9" s="20">
        <f t="shared" si="1"/>
        <v>1.2384189176373184E-6</v>
      </c>
    </row>
    <row r="10" spans="1:3" x14ac:dyDescent="0.25">
      <c r="A10" t="s">
        <v>899</v>
      </c>
      <c r="B10" s="20" t="str">
        <f t="shared" si="0"/>
        <v>2017/02/07 15:36:46.859</v>
      </c>
      <c r="C10" s="20">
        <f t="shared" si="1"/>
        <v>8.1025063991546631E-8</v>
      </c>
    </row>
    <row r="11" spans="1:3" x14ac:dyDescent="0.25">
      <c r="A11" t="s">
        <v>900</v>
      </c>
      <c r="B11" s="20" t="str">
        <f t="shared" si="0"/>
        <v>2017/02/07 16:06:13.604</v>
      </c>
      <c r="C11" s="20">
        <f t="shared" si="1"/>
        <v>2.0448437498998828E-2</v>
      </c>
    </row>
    <row r="12" spans="1:3" x14ac:dyDescent="0.25">
      <c r="A12" t="s">
        <v>901</v>
      </c>
      <c r="B12" s="20" t="str">
        <f t="shared" si="0"/>
        <v>2017/02/07 16:06:14.075</v>
      </c>
      <c r="C12" s="20">
        <f t="shared" si="1"/>
        <v>5.4513875511474907E-6</v>
      </c>
    </row>
    <row r="13" spans="1:3" x14ac:dyDescent="0.25">
      <c r="A13" t="s">
        <v>902</v>
      </c>
      <c r="B13" s="20" t="str">
        <f t="shared" si="0"/>
        <v>2017/02/07 16:06:15.192</v>
      </c>
      <c r="C13" s="20">
        <f t="shared" si="1"/>
        <v>1.2928241631016135E-5</v>
      </c>
    </row>
    <row r="14" spans="1:3" x14ac:dyDescent="0.25">
      <c r="A14" t="s">
        <v>903</v>
      </c>
      <c r="B14" s="20" t="str">
        <f t="shared" si="0"/>
        <v>2017/02/07 16:30:46.483</v>
      </c>
      <c r="C14" s="20">
        <f t="shared" si="1"/>
        <v>1.7028831018251367E-2</v>
      </c>
    </row>
    <row r="15" spans="1:3" x14ac:dyDescent="0.25">
      <c r="A15" t="s">
        <v>904</v>
      </c>
      <c r="B15" s="20" t="str">
        <f t="shared" si="0"/>
        <v>2017/02/07 17:34:23.659</v>
      </c>
      <c r="C15" s="20">
        <f t="shared" si="1"/>
        <v>4.4180277778650634E-2</v>
      </c>
    </row>
    <row r="16" spans="1:3" x14ac:dyDescent="0.25">
      <c r="A16" t="s">
        <v>905</v>
      </c>
      <c r="B16" s="20" t="str">
        <f t="shared" si="0"/>
        <v>2017/02/07 17:45:09.428</v>
      </c>
      <c r="C16" s="20">
        <f t="shared" si="1"/>
        <v>7.4741782373166643E-3</v>
      </c>
    </row>
    <row r="17" spans="1:3" x14ac:dyDescent="0.25">
      <c r="A17" t="s">
        <v>906</v>
      </c>
      <c r="B17" s="20" t="str">
        <f t="shared" si="0"/>
        <v>2017/02/07 17:45:10.066</v>
      </c>
      <c r="C17" s="20">
        <f t="shared" si="1"/>
        <v>7.3842602432705462E-6</v>
      </c>
    </row>
    <row r="18" spans="1:3" x14ac:dyDescent="0.25">
      <c r="A18" t="s">
        <v>907</v>
      </c>
      <c r="B18" s="20" t="str">
        <f t="shared" si="0"/>
        <v>2017/02/07 18:34:46.658</v>
      </c>
      <c r="C18" s="20">
        <f t="shared" si="1"/>
        <v>3.4451296298357192E-2</v>
      </c>
    </row>
    <row r="19" spans="1:3" x14ac:dyDescent="0.25">
      <c r="A19" t="s">
        <v>908</v>
      </c>
      <c r="B19" s="20" t="str">
        <f t="shared" si="0"/>
        <v>2017/02/07 18:34:47.434</v>
      </c>
      <c r="C19" s="20">
        <f t="shared" si="1"/>
        <v>8.9814784587360919E-6</v>
      </c>
    </row>
    <row r="20" spans="1:3" x14ac:dyDescent="0.25">
      <c r="A20" t="s">
        <v>909</v>
      </c>
      <c r="B20" s="20" t="str">
        <f t="shared" si="0"/>
        <v>2017/02/07 18:55:06.290</v>
      </c>
      <c r="C20" s="20">
        <f t="shared" si="1"/>
        <v>1.4107129631156567E-2</v>
      </c>
    </row>
    <row r="21" spans="1:3" x14ac:dyDescent="0.25">
      <c r="A21" t="s">
        <v>910</v>
      </c>
      <c r="B21" s="20" t="str">
        <f t="shared" si="0"/>
        <v>2017/02/07 18:55:06.899</v>
      </c>
      <c r="C21" s="20">
        <f t="shared" si="1"/>
        <v>7.0486130425706506E-6</v>
      </c>
    </row>
    <row r="22" spans="1:3" x14ac:dyDescent="0.25">
      <c r="A22" t="s">
        <v>911</v>
      </c>
      <c r="B22" s="20" t="str">
        <f t="shared" si="0"/>
        <v>2017/02/07 20:05:48.057</v>
      </c>
      <c r="C22" s="20">
        <f t="shared" si="1"/>
        <v>4.9087476851127576E-2</v>
      </c>
    </row>
    <row r="23" spans="1:3" x14ac:dyDescent="0.25">
      <c r="A23" t="s">
        <v>912</v>
      </c>
      <c r="B23" s="20" t="str">
        <f t="shared" si="0"/>
        <v>2017/02/07 20:05:48.181</v>
      </c>
      <c r="C23" s="20">
        <f t="shared" si="1"/>
        <v>1.4351826393976808E-6</v>
      </c>
    </row>
    <row r="24" spans="1:3" x14ac:dyDescent="0.25">
      <c r="A24" t="s">
        <v>913</v>
      </c>
      <c r="B24" s="20" t="str">
        <f t="shared" si="0"/>
        <v>2017/02/07 20:34:23.331</v>
      </c>
      <c r="C24" s="20">
        <f t="shared" si="1"/>
        <v>1.9851273151289206E-2</v>
      </c>
    </row>
    <row r="25" spans="1:3" x14ac:dyDescent="0.25">
      <c r="A25" t="s">
        <v>914</v>
      </c>
      <c r="B25" s="20" t="str">
        <f t="shared" si="0"/>
        <v>2017/02/07 20:36:24.264</v>
      </c>
      <c r="C25" s="20">
        <f t="shared" si="1"/>
        <v>1.3996874986332841E-3</v>
      </c>
    </row>
    <row r="26" spans="1:3" x14ac:dyDescent="0.25">
      <c r="A26" t="s">
        <v>915</v>
      </c>
      <c r="B26" s="20" t="str">
        <f t="shared" si="0"/>
        <v>2017/02/07 20:36:24.468</v>
      </c>
      <c r="C26" s="20">
        <f t="shared" si="1"/>
        <v>2.3611137294210494E-6</v>
      </c>
    </row>
    <row r="27" spans="1:3" x14ac:dyDescent="0.25">
      <c r="A27" t="s">
        <v>916</v>
      </c>
      <c r="B27" s="20" t="str">
        <f t="shared" si="0"/>
        <v>2017/02/07 20:36:24.508</v>
      </c>
      <c r="C27" s="20">
        <f t="shared" si="1"/>
        <v>4.6296190703287721E-7</v>
      </c>
    </row>
    <row r="28" spans="1:3" x14ac:dyDescent="0.25">
      <c r="A28" t="s">
        <v>917</v>
      </c>
      <c r="B28" s="20" t="str">
        <f t="shared" si="0"/>
        <v>2017/02/07 22:35:57.811</v>
      </c>
      <c r="C28" s="20">
        <f t="shared" si="1"/>
        <v>8.3024340274278075E-2</v>
      </c>
    </row>
    <row r="29" spans="1:3" x14ac:dyDescent="0.25">
      <c r="A29" t="s">
        <v>918</v>
      </c>
      <c r="B29" s="20" t="str">
        <f t="shared" si="0"/>
        <v>2017/02/07 22:35:57.849</v>
      </c>
      <c r="C29" s="20">
        <f t="shared" si="1"/>
        <v>4.3981708586215973E-7</v>
      </c>
    </row>
    <row r="30" spans="1:3" x14ac:dyDescent="0.25">
      <c r="A30" t="s">
        <v>919</v>
      </c>
      <c r="B30" s="20" t="str">
        <f t="shared" si="0"/>
        <v>2017/02/07 22:35:57.963</v>
      </c>
      <c r="C30" s="20">
        <f t="shared" si="1"/>
        <v>1.319443981628865E-6</v>
      </c>
    </row>
    <row r="31" spans="1:3" x14ac:dyDescent="0.25">
      <c r="A31" t="s">
        <v>920</v>
      </c>
      <c r="B31" s="20" t="str">
        <f t="shared" ref="B31:B32" si="2">MID(A31,6,23)</f>
        <v>2017/02/07 23:09:55.846</v>
      </c>
      <c r="C31" s="20">
        <f t="shared" ref="C31:C32" si="3">ABS(B31-B30)</f>
        <v>2.3586608796904329E-2</v>
      </c>
    </row>
    <row r="32" spans="1:3" x14ac:dyDescent="0.25">
      <c r="A32" t="s">
        <v>921</v>
      </c>
      <c r="B32" s="20" t="str">
        <f t="shared" si="2"/>
        <v>2017/02/07 23:09:57.307</v>
      </c>
      <c r="C32" s="20">
        <f t="shared" si="3"/>
        <v>1.6909718397073448E-5</v>
      </c>
    </row>
    <row r="33" spans="1:3" x14ac:dyDescent="0.25">
      <c r="A33" t="s">
        <v>922</v>
      </c>
      <c r="B33" s="20" t="str">
        <f t="shared" ref="B33:B49" si="4">MID(A33,6,23)</f>
        <v>2017/02/07 23:09:58.017</v>
      </c>
      <c r="C33" s="20">
        <f t="shared" ref="C33:C49" si="5">ABS(B33-B32)</f>
        <v>8.2175974966958165E-6</v>
      </c>
    </row>
    <row r="34" spans="1:3" x14ac:dyDescent="0.25">
      <c r="A34" t="s">
        <v>923</v>
      </c>
      <c r="B34" s="20" t="str">
        <f t="shared" si="4"/>
        <v>2017/02/07 23:26:24.807</v>
      </c>
      <c r="C34" s="20">
        <f t="shared" si="5"/>
        <v>1.1421180555771571E-2</v>
      </c>
    </row>
    <row r="35" spans="1:3" x14ac:dyDescent="0.25">
      <c r="A35" t="s">
        <v>924</v>
      </c>
      <c r="B35" s="20" t="str">
        <f t="shared" si="4"/>
        <v>2017/02/07 23:26:24.850</v>
      </c>
      <c r="C35" s="20">
        <f t="shared" si="5"/>
        <v>4.9768277676776052E-7</v>
      </c>
    </row>
    <row r="36" spans="1:3" x14ac:dyDescent="0.25">
      <c r="A36" t="s">
        <v>925</v>
      </c>
      <c r="B36" s="20" t="str">
        <f t="shared" si="4"/>
        <v>2017/02/07 23:26:24.964</v>
      </c>
      <c r="C36" s="20">
        <f t="shared" si="5"/>
        <v>1.319443981628865E-6</v>
      </c>
    </row>
    <row r="37" spans="1:3" x14ac:dyDescent="0.25">
      <c r="A37" t="s">
        <v>926</v>
      </c>
      <c r="B37" s="20" t="str">
        <f t="shared" si="4"/>
        <v>2017/02/08 00:04:18.849</v>
      </c>
      <c r="C37" s="20">
        <f t="shared" si="5"/>
        <v>2.6318113428715151E-2</v>
      </c>
    </row>
    <row r="38" spans="1:3" x14ac:dyDescent="0.25">
      <c r="A38" t="s">
        <v>927</v>
      </c>
      <c r="B38" s="20" t="str">
        <f t="shared" si="4"/>
        <v>2017/02/08 00:04:19.016</v>
      </c>
      <c r="C38" s="20">
        <f t="shared" si="5"/>
        <v>1.9328654161654413E-6</v>
      </c>
    </row>
    <row r="39" spans="1:3" x14ac:dyDescent="0.25">
      <c r="A39" t="s">
        <v>928</v>
      </c>
      <c r="B39" s="20" t="str">
        <f t="shared" si="4"/>
        <v>2017/02/08 00:04:19.306</v>
      </c>
      <c r="C39" s="20">
        <f t="shared" si="5"/>
        <v>3.3564865589141846E-6</v>
      </c>
    </row>
    <row r="40" spans="1:3" x14ac:dyDescent="0.25">
      <c r="A40" t="s">
        <v>929</v>
      </c>
      <c r="B40" s="20" t="str">
        <f t="shared" si="4"/>
        <v>2017/02/08 00:05:21.847</v>
      </c>
      <c r="C40" s="20">
        <f t="shared" si="5"/>
        <v>7.2385416569886729E-4</v>
      </c>
    </row>
    <row r="41" spans="1:3" x14ac:dyDescent="0.25">
      <c r="A41" t="s">
        <v>930</v>
      </c>
      <c r="B41" s="20" t="str">
        <f t="shared" si="4"/>
        <v>2017/02/08 00:05:22.014</v>
      </c>
      <c r="C41" s="20">
        <f t="shared" si="5"/>
        <v>1.9328654161654413E-6</v>
      </c>
    </row>
    <row r="42" spans="1:3" x14ac:dyDescent="0.25">
      <c r="A42" t="s">
        <v>931</v>
      </c>
      <c r="B42" s="20" t="str">
        <f t="shared" si="4"/>
        <v>2017/02/08 00:05:22.303</v>
      </c>
      <c r="C42" s="20">
        <f t="shared" si="5"/>
        <v>3.3449105103500187E-6</v>
      </c>
    </row>
    <row r="43" spans="1:3" x14ac:dyDescent="0.25">
      <c r="A43" t="s">
        <v>932</v>
      </c>
      <c r="B43" s="20" t="str">
        <f t="shared" si="4"/>
        <v>2017/02/08 00:23:05.855</v>
      </c>
      <c r="C43" s="20">
        <f t="shared" si="5"/>
        <v>1.2309629630181007E-2</v>
      </c>
    </row>
    <row r="44" spans="1:3" x14ac:dyDescent="0.25">
      <c r="A44" t="s">
        <v>933</v>
      </c>
      <c r="B44" s="20" t="str">
        <f t="shared" si="4"/>
        <v>2017/02/08 00:23:05.963</v>
      </c>
      <c r="C44" s="20">
        <f t="shared" si="5"/>
        <v>1.2500022421590984E-6</v>
      </c>
    </row>
    <row r="45" spans="1:3" x14ac:dyDescent="0.25">
      <c r="A45" t="s">
        <v>934</v>
      </c>
      <c r="B45" s="20" t="str">
        <f t="shared" si="4"/>
        <v>2017/02/08 00:23:06.816</v>
      </c>
      <c r="C45" s="20">
        <f t="shared" si="5"/>
        <v>9.872681403066963E-6</v>
      </c>
    </row>
    <row r="46" spans="1:3" x14ac:dyDescent="0.25">
      <c r="A46" t="s">
        <v>935</v>
      </c>
      <c r="B46" s="20" t="str">
        <f t="shared" si="4"/>
        <v>2017/02/08 00:25:34.816</v>
      </c>
      <c r="C46" s="20">
        <f t="shared" si="5"/>
        <v>1.7129629632108845E-3</v>
      </c>
    </row>
    <row r="47" spans="1:3" x14ac:dyDescent="0.25">
      <c r="A47" t="s">
        <v>936</v>
      </c>
      <c r="B47" s="20" t="str">
        <f t="shared" si="4"/>
        <v>2017/02/08 00:25:34.849</v>
      </c>
      <c r="C47" s="20">
        <f t="shared" si="5"/>
        <v>3.8194411899894476E-7</v>
      </c>
    </row>
    <row r="48" spans="1:3" x14ac:dyDescent="0.25">
      <c r="A48" t="s">
        <v>937</v>
      </c>
      <c r="B48" s="20" t="str">
        <f t="shared" si="4"/>
        <v>2017/02/08 00:25:34.957</v>
      </c>
      <c r="C48" s="20">
        <f t="shared" si="5"/>
        <v>1.2500022421590984E-6</v>
      </c>
    </row>
    <row r="49" spans="1:3" x14ac:dyDescent="0.25">
      <c r="A49" t="s">
        <v>938</v>
      </c>
      <c r="B49" s="20" t="str">
        <f t="shared" si="4"/>
        <v>2017/02/08 01:15:29.705</v>
      </c>
      <c r="C49" s="20">
        <f t="shared" si="5"/>
        <v>3.4661435187445022E-2</v>
      </c>
    </row>
    <row r="50" spans="1:3" x14ac:dyDescent="0.25">
      <c r="A50" t="s">
        <v>939</v>
      </c>
      <c r="B50" s="20" t="str">
        <f t="shared" ref="B50:B54" si="6">MID(A50,6,23)</f>
        <v>2017/02/08 01:37:02.029</v>
      </c>
      <c r="C50" s="20">
        <f t="shared" ref="C50:C54" si="7">ABS(B50-B49)</f>
        <v>1.4957453699025791E-2</v>
      </c>
    </row>
    <row r="51" spans="1:3" x14ac:dyDescent="0.25">
      <c r="A51" t="s">
        <v>940</v>
      </c>
      <c r="B51" s="20" t="str">
        <f t="shared" si="6"/>
        <v>2017/02/08 02:06:00.018</v>
      </c>
      <c r="C51" s="20">
        <f t="shared" si="7"/>
        <v>2.0115613428060897E-2</v>
      </c>
    </row>
    <row r="52" spans="1:3" x14ac:dyDescent="0.25">
      <c r="A52" t="s">
        <v>941</v>
      </c>
      <c r="B52" s="20" t="str">
        <f t="shared" si="6"/>
        <v>2017/02/08 02:06:01.465</v>
      </c>
      <c r="C52" s="20">
        <f t="shared" si="7"/>
        <v>1.6747682821005583E-5</v>
      </c>
    </row>
    <row r="53" spans="1:3" x14ac:dyDescent="0.25">
      <c r="A53" t="s">
        <v>942</v>
      </c>
      <c r="B53" s="20" t="str">
        <f t="shared" si="6"/>
        <v>2017/02/08 02:06:01.888</v>
      </c>
      <c r="C53" s="20">
        <f t="shared" si="7"/>
        <v>4.8958318075165153E-6</v>
      </c>
    </row>
    <row r="54" spans="1:3" x14ac:dyDescent="0.25">
      <c r="A54" t="s">
        <v>943</v>
      </c>
      <c r="B54" s="20" t="str">
        <f t="shared" si="6"/>
        <v>2017/02/08 02:06:02.284</v>
      </c>
      <c r="C54" s="20">
        <f t="shared" si="7"/>
        <v>4.5833367039449513E-6</v>
      </c>
    </row>
    <row r="55" spans="1:3" x14ac:dyDescent="0.25">
      <c r="A55" t="s">
        <v>944</v>
      </c>
      <c r="B55" s="20" t="str">
        <f t="shared" ref="B55:B74" si="8">MID(A55,6,23)</f>
        <v>2017/02/08 02:06:41.308</v>
      </c>
      <c r="C55" s="20">
        <f t="shared" ref="C55:C74" si="9">ABS(B55-B54)</f>
        <v>4.5166666677687317E-4</v>
      </c>
    </row>
    <row r="56" spans="1:3" x14ac:dyDescent="0.25">
      <c r="A56" t="s">
        <v>945</v>
      </c>
      <c r="B56" s="20" t="str">
        <f t="shared" si="8"/>
        <v>2017/02/08 02:06:41.848</v>
      </c>
      <c r="C56" s="20">
        <f t="shared" si="9"/>
        <v>6.2499966588802636E-6</v>
      </c>
    </row>
    <row r="57" spans="1:3" x14ac:dyDescent="0.25">
      <c r="A57" t="s">
        <v>946</v>
      </c>
      <c r="B57" s="20" t="str">
        <f t="shared" si="8"/>
        <v>2017/02/08 02:06:42.018</v>
      </c>
      <c r="C57" s="20">
        <f t="shared" si="9"/>
        <v>1.9675935618579388E-6</v>
      </c>
    </row>
    <row r="58" spans="1:3" x14ac:dyDescent="0.25">
      <c r="A58" t="s">
        <v>947</v>
      </c>
      <c r="B58" s="20" t="str">
        <f t="shared" si="8"/>
        <v>2017/02/08 02:41:52.549</v>
      </c>
      <c r="C58" s="20">
        <f t="shared" si="9"/>
        <v>2.4427442134765442E-2</v>
      </c>
    </row>
    <row r="59" spans="1:3" x14ac:dyDescent="0.25">
      <c r="A59" t="s">
        <v>948</v>
      </c>
      <c r="B59" s="20" t="str">
        <f t="shared" si="8"/>
        <v>2017/02/08 02:41:52.827</v>
      </c>
      <c r="C59" s="20">
        <f t="shared" si="9"/>
        <v>3.217588528059423E-6</v>
      </c>
    </row>
    <row r="60" spans="1:3" x14ac:dyDescent="0.25">
      <c r="A60" t="s">
        <v>949</v>
      </c>
      <c r="B60" s="20" t="str">
        <f t="shared" si="8"/>
        <v>2017/02/08 02:41:53.183</v>
      </c>
      <c r="C60" s="20">
        <f t="shared" si="9"/>
        <v>4.1203747969120741E-6</v>
      </c>
    </row>
    <row r="61" spans="1:3" x14ac:dyDescent="0.25">
      <c r="A61" t="s">
        <v>950</v>
      </c>
      <c r="B61" s="20" t="str">
        <f t="shared" si="8"/>
        <v>2017/02/08 08:41:20.651</v>
      </c>
      <c r="C61" s="20">
        <f t="shared" si="9"/>
        <v>0.24962347222026438</v>
      </c>
    </row>
    <row r="62" spans="1:3" x14ac:dyDescent="0.25">
      <c r="A62" t="s">
        <v>951</v>
      </c>
      <c r="B62" s="20" t="str">
        <f t="shared" si="8"/>
        <v>2017/02/08 08:41:20.659</v>
      </c>
      <c r="C62" s="20">
        <f t="shared" si="9"/>
        <v>9.2593836598098278E-8</v>
      </c>
    </row>
    <row r="63" spans="1:3" x14ac:dyDescent="0.25">
      <c r="B63" s="20"/>
      <c r="C63" s="20"/>
    </row>
    <row r="64" spans="1:3" x14ac:dyDescent="0.25">
      <c r="B64" s="20"/>
      <c r="C64" s="20"/>
    </row>
    <row r="65" spans="2:3" x14ac:dyDescent="0.25">
      <c r="B65" s="20"/>
      <c r="C65" s="20"/>
    </row>
    <row r="66" spans="2:3" x14ac:dyDescent="0.25">
      <c r="B66" s="20"/>
      <c r="C66" s="20"/>
    </row>
    <row r="67" spans="2:3" x14ac:dyDescent="0.25">
      <c r="B67" s="20"/>
      <c r="C67" s="20"/>
    </row>
    <row r="68" spans="2:3" x14ac:dyDescent="0.25">
      <c r="B68" s="20"/>
      <c r="C68" s="20"/>
    </row>
    <row r="69" spans="2:3" x14ac:dyDescent="0.25">
      <c r="B69" s="20"/>
      <c r="C69" s="20"/>
    </row>
    <row r="70" spans="2:3" x14ac:dyDescent="0.25">
      <c r="B70" s="20"/>
      <c r="C70" s="20"/>
    </row>
    <row r="71" spans="2:3" x14ac:dyDescent="0.25">
      <c r="B71" s="20"/>
      <c r="C71" s="20"/>
    </row>
    <row r="72" spans="2:3" x14ac:dyDescent="0.25">
      <c r="B72" s="20"/>
      <c r="C72" s="20"/>
    </row>
    <row r="73" spans="2:3" x14ac:dyDescent="0.25">
      <c r="B73" s="20"/>
      <c r="C73" s="20"/>
    </row>
    <row r="74" spans="2:3" x14ac:dyDescent="0.25">
      <c r="B74" s="20"/>
      <c r="C74" s="20"/>
    </row>
    <row r="75" spans="2:3" x14ac:dyDescent="0.25">
      <c r="B75" s="20"/>
      <c r="C75" s="20"/>
    </row>
    <row r="76" spans="2:3" x14ac:dyDescent="0.25">
      <c r="B76" s="20"/>
      <c r="C76" s="20"/>
    </row>
    <row r="77" spans="2:3" x14ac:dyDescent="0.25">
      <c r="B77" s="20"/>
      <c r="C77" s="20"/>
    </row>
    <row r="78" spans="2:3" x14ac:dyDescent="0.25">
      <c r="B78" s="20"/>
      <c r="C78" s="20"/>
    </row>
    <row r="79" spans="2:3" x14ac:dyDescent="0.25">
      <c r="B79" s="20"/>
      <c r="C79" s="20"/>
    </row>
    <row r="80" spans="2:3" x14ac:dyDescent="0.25">
      <c r="B80" s="20"/>
      <c r="C80" s="20"/>
    </row>
    <row r="81" spans="2:3" x14ac:dyDescent="0.25">
      <c r="B81" s="20"/>
      <c r="C81" s="20"/>
    </row>
    <row r="82" spans="2:3" x14ac:dyDescent="0.25">
      <c r="B82" s="20"/>
      <c r="C82" s="20"/>
    </row>
    <row r="83" spans="2:3" x14ac:dyDescent="0.25">
      <c r="B83" s="20"/>
      <c r="C83" s="20"/>
    </row>
    <row r="84" spans="2:3" x14ac:dyDescent="0.25">
      <c r="B84" s="20"/>
      <c r="C84" s="20"/>
    </row>
    <row r="85" spans="2:3" x14ac:dyDescent="0.25">
      <c r="B85" s="20"/>
      <c r="C85" s="20"/>
    </row>
    <row r="86" spans="2:3" x14ac:dyDescent="0.25">
      <c r="B86" s="20"/>
      <c r="C86" s="20"/>
    </row>
    <row r="87" spans="2:3" x14ac:dyDescent="0.25">
      <c r="B87" s="20"/>
      <c r="C87" s="20"/>
    </row>
    <row r="88" spans="2:3" x14ac:dyDescent="0.25">
      <c r="B88" s="20"/>
      <c r="C88" s="20"/>
    </row>
    <row r="89" spans="2:3" x14ac:dyDescent="0.25">
      <c r="B89" s="20"/>
      <c r="C89" s="20"/>
    </row>
    <row r="90" spans="2:3" x14ac:dyDescent="0.25">
      <c r="B90" s="20"/>
      <c r="C90" s="20"/>
    </row>
    <row r="91" spans="2:3" x14ac:dyDescent="0.25">
      <c r="B91" s="20"/>
      <c r="C91" s="20"/>
    </row>
    <row r="92" spans="2:3" x14ac:dyDescent="0.25">
      <c r="B92" s="20"/>
      <c r="C92" s="20"/>
    </row>
    <row r="93" spans="2:3" x14ac:dyDescent="0.25">
      <c r="B93" s="20"/>
      <c r="C93" s="20"/>
    </row>
    <row r="94" spans="2:3" x14ac:dyDescent="0.25">
      <c r="B94" s="20"/>
      <c r="C94" s="20"/>
    </row>
    <row r="95" spans="2:3" x14ac:dyDescent="0.25">
      <c r="B95" s="20"/>
      <c r="C95" s="20"/>
    </row>
    <row r="96" spans="2:3" x14ac:dyDescent="0.25">
      <c r="B96" s="20"/>
      <c r="C96" s="20"/>
    </row>
    <row r="97" spans="2:3" x14ac:dyDescent="0.25">
      <c r="B97" s="20"/>
      <c r="C97" s="20"/>
    </row>
    <row r="98" spans="2:3" x14ac:dyDescent="0.25">
      <c r="B98" s="20"/>
      <c r="C98" s="20"/>
    </row>
    <row r="99" spans="2:3" x14ac:dyDescent="0.25">
      <c r="B99" s="20"/>
      <c r="C99" s="20"/>
    </row>
    <row r="100" spans="2:3" x14ac:dyDescent="0.25">
      <c r="B100" s="20"/>
      <c r="C100" s="20"/>
    </row>
    <row r="101" spans="2:3" x14ac:dyDescent="0.25">
      <c r="B101" s="20"/>
      <c r="C101" s="20"/>
    </row>
    <row r="102" spans="2:3" x14ac:dyDescent="0.25">
      <c r="B102" s="20"/>
      <c r="C102" s="20"/>
    </row>
    <row r="103" spans="2:3" x14ac:dyDescent="0.25">
      <c r="B103" s="20"/>
      <c r="C103" s="20"/>
    </row>
    <row r="104" spans="2:3" x14ac:dyDescent="0.25">
      <c r="B104" s="20"/>
      <c r="C104" s="20"/>
    </row>
    <row r="105" spans="2:3" x14ac:dyDescent="0.25">
      <c r="B105" s="20"/>
      <c r="C105" s="20"/>
    </row>
    <row r="106" spans="2:3" x14ac:dyDescent="0.25">
      <c r="B106" s="20"/>
      <c r="C106" s="20"/>
    </row>
    <row r="107" spans="2:3" x14ac:dyDescent="0.25">
      <c r="B107" s="20"/>
      <c r="C107" s="20"/>
    </row>
    <row r="108" spans="2:3" x14ac:dyDescent="0.25">
      <c r="B108" s="20"/>
      <c r="C108" s="20"/>
    </row>
    <row r="109" spans="2:3" x14ac:dyDescent="0.25">
      <c r="B109" s="20"/>
      <c r="C109" s="20"/>
    </row>
    <row r="110" spans="2:3" x14ac:dyDescent="0.25">
      <c r="B110" s="20"/>
      <c r="C110" s="20"/>
    </row>
    <row r="111" spans="2:3" x14ac:dyDescent="0.25">
      <c r="B111" s="20"/>
      <c r="C111" s="20"/>
    </row>
    <row r="112" spans="2:3" x14ac:dyDescent="0.25">
      <c r="B112" s="20"/>
      <c r="C112" s="20"/>
    </row>
    <row r="113" spans="2:3" x14ac:dyDescent="0.25">
      <c r="B113" s="20"/>
      <c r="C113" s="20"/>
    </row>
    <row r="114" spans="2:3" x14ac:dyDescent="0.25">
      <c r="B114" s="20"/>
      <c r="C114" s="20"/>
    </row>
    <row r="115" spans="2:3" x14ac:dyDescent="0.25">
      <c r="B115" s="20"/>
      <c r="C115" s="20"/>
    </row>
    <row r="116" spans="2:3" x14ac:dyDescent="0.25">
      <c r="B116" s="20"/>
      <c r="C116" s="20"/>
    </row>
    <row r="117" spans="2:3" x14ac:dyDescent="0.25">
      <c r="B117" s="20"/>
      <c r="C117" s="20"/>
    </row>
    <row r="118" spans="2:3" x14ac:dyDescent="0.25">
      <c r="B118" s="20"/>
      <c r="C118" s="20"/>
    </row>
    <row r="119" spans="2:3" x14ac:dyDescent="0.25">
      <c r="B119" s="20"/>
      <c r="C119" s="20"/>
    </row>
    <row r="120" spans="2:3" x14ac:dyDescent="0.25">
      <c r="B120" s="20"/>
      <c r="C120" s="20"/>
    </row>
    <row r="121" spans="2:3" x14ac:dyDescent="0.25">
      <c r="B121" s="20"/>
      <c r="C121" s="20"/>
    </row>
    <row r="122" spans="2:3" x14ac:dyDescent="0.25">
      <c r="B122" s="20"/>
      <c r="C122" s="20"/>
    </row>
    <row r="123" spans="2:3" x14ac:dyDescent="0.25">
      <c r="B123" s="20"/>
      <c r="C123" s="20"/>
    </row>
    <row r="124" spans="2:3" x14ac:dyDescent="0.25">
      <c r="B124" s="20"/>
      <c r="C124" s="20"/>
    </row>
    <row r="125" spans="2:3" x14ac:dyDescent="0.25">
      <c r="B125" s="20"/>
      <c r="C125" s="20"/>
    </row>
    <row r="126" spans="2:3" x14ac:dyDescent="0.25">
      <c r="B126" s="20"/>
      <c r="C126" s="20"/>
    </row>
    <row r="127" spans="2:3" x14ac:dyDescent="0.25">
      <c r="B127" s="20"/>
      <c r="C127" s="20"/>
    </row>
    <row r="128" spans="2:3" x14ac:dyDescent="0.25">
      <c r="B128" s="20"/>
      <c r="C128" s="20"/>
    </row>
    <row r="129" spans="2:3" x14ac:dyDescent="0.25">
      <c r="B129" s="20"/>
      <c r="C129" s="20"/>
    </row>
    <row r="130" spans="2:3" x14ac:dyDescent="0.25">
      <c r="B130" s="20"/>
      <c r="C130" s="20"/>
    </row>
    <row r="131" spans="2:3" x14ac:dyDescent="0.25">
      <c r="B131" s="20"/>
      <c r="C131" s="20"/>
    </row>
    <row r="132" spans="2:3" x14ac:dyDescent="0.25">
      <c r="B132" s="20"/>
      <c r="C132" s="20"/>
    </row>
    <row r="133" spans="2:3" x14ac:dyDescent="0.25">
      <c r="B133" s="20"/>
      <c r="C133" s="20"/>
    </row>
    <row r="134" spans="2:3" x14ac:dyDescent="0.25">
      <c r="B134" s="20"/>
      <c r="C134" s="20"/>
    </row>
    <row r="135" spans="2:3" x14ac:dyDescent="0.25">
      <c r="B135" s="20"/>
      <c r="C135" s="20"/>
    </row>
    <row r="136" spans="2:3" x14ac:dyDescent="0.25">
      <c r="B136" s="20"/>
      <c r="C136" s="20"/>
    </row>
    <row r="137" spans="2:3" x14ac:dyDescent="0.25">
      <c r="B137" s="20"/>
      <c r="C137" s="20"/>
    </row>
    <row r="138" spans="2:3" x14ac:dyDescent="0.25">
      <c r="B138" s="20"/>
      <c r="C138" s="20"/>
    </row>
    <row r="139" spans="2:3" x14ac:dyDescent="0.25">
      <c r="B139" s="20"/>
      <c r="C139" s="20"/>
    </row>
    <row r="140" spans="2:3" x14ac:dyDescent="0.25">
      <c r="B140" s="20"/>
      <c r="C140" s="20"/>
    </row>
    <row r="141" spans="2:3" x14ac:dyDescent="0.25">
      <c r="B141" s="20"/>
      <c r="C141" s="20"/>
    </row>
    <row r="142" spans="2:3" x14ac:dyDescent="0.25">
      <c r="B142" s="20"/>
      <c r="C142" s="20"/>
    </row>
    <row r="143" spans="2:3" x14ac:dyDescent="0.25">
      <c r="B143" s="20"/>
      <c r="C143" s="20"/>
    </row>
    <row r="144" spans="2:3" x14ac:dyDescent="0.25">
      <c r="B144" s="20"/>
      <c r="C144" s="20"/>
    </row>
    <row r="145" spans="2:3" x14ac:dyDescent="0.25">
      <c r="B145" s="20"/>
      <c r="C145" s="20"/>
    </row>
    <row r="146" spans="2:3" x14ac:dyDescent="0.25">
      <c r="B146" s="20"/>
      <c r="C146" s="20"/>
    </row>
    <row r="147" spans="2:3" x14ac:dyDescent="0.25">
      <c r="B147" s="20"/>
      <c r="C147" s="20"/>
    </row>
    <row r="148" spans="2:3" x14ac:dyDescent="0.25">
      <c r="B148" s="20"/>
      <c r="C148" s="20"/>
    </row>
    <row r="149" spans="2:3" x14ac:dyDescent="0.25">
      <c r="B149" s="20"/>
      <c r="C149" s="20"/>
    </row>
    <row r="150" spans="2:3" x14ac:dyDescent="0.25">
      <c r="B150" s="20"/>
      <c r="C150" s="20"/>
    </row>
    <row r="151" spans="2:3" x14ac:dyDescent="0.25">
      <c r="B151" s="20"/>
      <c r="C151" s="20"/>
    </row>
    <row r="152" spans="2:3" x14ac:dyDescent="0.25">
      <c r="B152" s="20"/>
      <c r="C152" s="20"/>
    </row>
    <row r="153" spans="2:3" x14ac:dyDescent="0.25">
      <c r="B153" s="20"/>
      <c r="C153" s="20"/>
    </row>
    <row r="154" spans="2:3" x14ac:dyDescent="0.25">
      <c r="B154" s="20"/>
      <c r="C154" s="20"/>
    </row>
    <row r="155" spans="2:3" x14ac:dyDescent="0.25">
      <c r="B155" s="20"/>
      <c r="C155" s="20"/>
    </row>
    <row r="156" spans="2:3" x14ac:dyDescent="0.25">
      <c r="B156" s="20"/>
      <c r="C156" s="20"/>
    </row>
    <row r="157" spans="2:3" x14ac:dyDescent="0.25">
      <c r="B157" s="20"/>
      <c r="C157" s="20"/>
    </row>
    <row r="158" spans="2:3" x14ac:dyDescent="0.25">
      <c r="B158" s="20"/>
      <c r="C158" s="20"/>
    </row>
    <row r="159" spans="2:3" x14ac:dyDescent="0.25">
      <c r="B159" s="20"/>
      <c r="C159" s="20"/>
    </row>
    <row r="160" spans="2:3" x14ac:dyDescent="0.25">
      <c r="B160" s="20"/>
      <c r="C160" s="20"/>
    </row>
    <row r="161" spans="2:3" x14ac:dyDescent="0.25">
      <c r="B161" s="20"/>
      <c r="C161" s="20"/>
    </row>
    <row r="162" spans="2:3" x14ac:dyDescent="0.25">
      <c r="B162" s="20"/>
      <c r="C162" s="20"/>
    </row>
    <row r="163" spans="2:3" x14ac:dyDescent="0.25">
      <c r="B163" s="20"/>
      <c r="C163" s="20"/>
    </row>
    <row r="164" spans="2:3" x14ac:dyDescent="0.25">
      <c r="B164" s="20"/>
      <c r="C164" s="20"/>
    </row>
    <row r="165" spans="2:3" x14ac:dyDescent="0.25">
      <c r="B165" s="20"/>
      <c r="C165" s="20"/>
    </row>
    <row r="166" spans="2:3" x14ac:dyDescent="0.25">
      <c r="B166" s="20"/>
      <c r="C166" s="20"/>
    </row>
    <row r="167" spans="2:3" x14ac:dyDescent="0.25">
      <c r="B167" s="20"/>
      <c r="C167" s="20"/>
    </row>
    <row r="168" spans="2:3" x14ac:dyDescent="0.25">
      <c r="B168" s="20"/>
      <c r="C168" s="20"/>
    </row>
    <row r="169" spans="2:3" x14ac:dyDescent="0.25">
      <c r="B169" s="20"/>
      <c r="C169" s="20"/>
    </row>
    <row r="170" spans="2:3" x14ac:dyDescent="0.25">
      <c r="B170" s="20"/>
      <c r="C170" s="20"/>
    </row>
    <row r="171" spans="2:3" x14ac:dyDescent="0.25">
      <c r="B171" s="20"/>
      <c r="C171" s="20"/>
    </row>
    <row r="172" spans="2:3" x14ac:dyDescent="0.25">
      <c r="B172" s="20"/>
      <c r="C172" s="20"/>
    </row>
    <row r="173" spans="2:3" x14ac:dyDescent="0.25">
      <c r="B173" s="20"/>
      <c r="C173" s="20"/>
    </row>
    <row r="174" spans="2:3" x14ac:dyDescent="0.25">
      <c r="B174" s="20"/>
      <c r="C174" s="20"/>
    </row>
    <row r="175" spans="2:3" x14ac:dyDescent="0.25">
      <c r="B175" s="20"/>
      <c r="C175" s="20"/>
    </row>
    <row r="176" spans="2:3" x14ac:dyDescent="0.25">
      <c r="B176" s="20"/>
      <c r="C176" s="20"/>
    </row>
    <row r="177" spans="2:3" x14ac:dyDescent="0.25">
      <c r="B177" s="20"/>
      <c r="C177" s="20"/>
    </row>
    <row r="178" spans="2:3" x14ac:dyDescent="0.25">
      <c r="B178" s="20"/>
      <c r="C178" s="20"/>
    </row>
    <row r="179" spans="2:3" x14ac:dyDescent="0.25">
      <c r="B179" s="20"/>
      <c r="C179" s="20"/>
    </row>
    <row r="180" spans="2:3" x14ac:dyDescent="0.25">
      <c r="B180" s="20"/>
      <c r="C180" s="20"/>
    </row>
    <row r="181" spans="2:3" x14ac:dyDescent="0.25">
      <c r="B181" s="20"/>
      <c r="C181" s="20"/>
    </row>
    <row r="182" spans="2:3" x14ac:dyDescent="0.25">
      <c r="B182" s="20"/>
      <c r="C182" s="20"/>
    </row>
    <row r="183" spans="2:3" x14ac:dyDescent="0.25">
      <c r="B183" s="20"/>
      <c r="C183" s="20"/>
    </row>
    <row r="184" spans="2:3" x14ac:dyDescent="0.25">
      <c r="B184" s="20"/>
      <c r="C184" s="20"/>
    </row>
    <row r="185" spans="2:3" x14ac:dyDescent="0.25">
      <c r="B185" s="20"/>
      <c r="C185" s="20"/>
    </row>
    <row r="186" spans="2:3" x14ac:dyDescent="0.25">
      <c r="B186" s="20"/>
      <c r="C186" s="20"/>
    </row>
    <row r="187" spans="2:3" x14ac:dyDescent="0.25">
      <c r="B187" s="20"/>
      <c r="C187" s="20"/>
    </row>
    <row r="188" spans="2:3" x14ac:dyDescent="0.25">
      <c r="B188" s="20"/>
      <c r="C188" s="20"/>
    </row>
    <row r="189" spans="2:3" x14ac:dyDescent="0.25">
      <c r="B189" s="20"/>
      <c r="C189" s="20"/>
    </row>
    <row r="190" spans="2:3" x14ac:dyDescent="0.25">
      <c r="B190" s="20"/>
      <c r="C190" s="20"/>
    </row>
    <row r="191" spans="2:3" x14ac:dyDescent="0.25">
      <c r="B191" s="20"/>
      <c r="C191" s="20"/>
    </row>
    <row r="192" spans="2:3" x14ac:dyDescent="0.25">
      <c r="B192" s="20"/>
      <c r="C192" s="20"/>
    </row>
    <row r="193" spans="2:3" x14ac:dyDescent="0.25">
      <c r="B193" s="20"/>
      <c r="C193" s="20"/>
    </row>
    <row r="194" spans="2:3" x14ac:dyDescent="0.25">
      <c r="B194" s="20"/>
      <c r="C194" s="20"/>
    </row>
    <row r="195" spans="2:3" x14ac:dyDescent="0.25">
      <c r="B195" s="20"/>
      <c r="C195" s="20"/>
    </row>
    <row r="196" spans="2:3" x14ac:dyDescent="0.25">
      <c r="B196" s="20"/>
      <c r="C196" s="20"/>
    </row>
    <row r="197" spans="2:3" x14ac:dyDescent="0.25">
      <c r="B197" s="20"/>
      <c r="C197" s="20"/>
    </row>
    <row r="198" spans="2:3" x14ac:dyDescent="0.25">
      <c r="B198" s="20"/>
      <c r="C198" s="20"/>
    </row>
    <row r="199" spans="2:3" x14ac:dyDescent="0.25">
      <c r="B199" s="20"/>
      <c r="C199" s="20"/>
    </row>
    <row r="200" spans="2:3" x14ac:dyDescent="0.25">
      <c r="B200" s="20"/>
      <c r="C200" s="20"/>
    </row>
    <row r="201" spans="2:3" x14ac:dyDescent="0.25">
      <c r="B201" s="20"/>
      <c r="C201" s="20"/>
    </row>
    <row r="202" spans="2:3" x14ac:dyDescent="0.25">
      <c r="B202" s="20"/>
      <c r="C202" s="20"/>
    </row>
    <row r="203" spans="2:3" x14ac:dyDescent="0.25">
      <c r="B203" s="20"/>
      <c r="C203" s="20"/>
    </row>
    <row r="204" spans="2:3" x14ac:dyDescent="0.25">
      <c r="B204" s="20"/>
      <c r="C204" s="20"/>
    </row>
    <row r="205" spans="2:3" x14ac:dyDescent="0.25">
      <c r="B205" s="20"/>
      <c r="C205" s="20"/>
    </row>
    <row r="206" spans="2:3" x14ac:dyDescent="0.25">
      <c r="B206" s="20"/>
      <c r="C206" s="20"/>
    </row>
    <row r="207" spans="2:3" x14ac:dyDescent="0.25">
      <c r="B207" s="20"/>
      <c r="C207" s="20"/>
    </row>
    <row r="208" spans="2:3" x14ac:dyDescent="0.25">
      <c r="B208" s="20"/>
      <c r="C208" s="20"/>
    </row>
    <row r="209" spans="2:3" x14ac:dyDescent="0.25">
      <c r="B209" s="20"/>
      <c r="C209" s="20"/>
    </row>
    <row r="210" spans="2:3" x14ac:dyDescent="0.25">
      <c r="B210" s="20"/>
      <c r="C210" s="20"/>
    </row>
    <row r="211" spans="2:3" x14ac:dyDescent="0.25">
      <c r="B211" s="20"/>
      <c r="C211" s="20"/>
    </row>
    <row r="212" spans="2:3" x14ac:dyDescent="0.25">
      <c r="B212" s="20"/>
      <c r="C212" s="20"/>
    </row>
    <row r="213" spans="2:3" x14ac:dyDescent="0.25">
      <c r="B213" s="20"/>
      <c r="C213" s="20"/>
    </row>
    <row r="214" spans="2:3" x14ac:dyDescent="0.25">
      <c r="B214" s="20"/>
      <c r="C214" s="20"/>
    </row>
    <row r="215" spans="2:3" x14ac:dyDescent="0.25">
      <c r="B215" s="20"/>
      <c r="C215" s="20"/>
    </row>
    <row r="216" spans="2:3" x14ac:dyDescent="0.25">
      <c r="B216" s="20"/>
      <c r="C216" s="20"/>
    </row>
    <row r="217" spans="2:3" x14ac:dyDescent="0.25">
      <c r="B217" s="20"/>
      <c r="C217" s="20"/>
    </row>
    <row r="218" spans="2:3" x14ac:dyDescent="0.25">
      <c r="B218" s="20"/>
      <c r="C218" s="20"/>
    </row>
    <row r="219" spans="2:3" x14ac:dyDescent="0.25">
      <c r="B219" s="20"/>
      <c r="C219" s="20"/>
    </row>
    <row r="220" spans="2:3" x14ac:dyDescent="0.25">
      <c r="B220" s="20"/>
      <c r="C220" s="20"/>
    </row>
    <row r="221" spans="2:3" x14ac:dyDescent="0.25">
      <c r="B221" s="20"/>
      <c r="C221" s="20"/>
    </row>
    <row r="222" spans="2:3" x14ac:dyDescent="0.25">
      <c r="B222" s="20"/>
      <c r="C222" s="20"/>
    </row>
    <row r="223" spans="2:3" x14ac:dyDescent="0.25">
      <c r="B223" s="20"/>
      <c r="C223" s="20"/>
    </row>
    <row r="224" spans="2:3" x14ac:dyDescent="0.25">
      <c r="B224" s="20"/>
      <c r="C224" s="20"/>
    </row>
    <row r="225" spans="2:3" x14ac:dyDescent="0.25">
      <c r="B225" s="20"/>
      <c r="C225" s="20"/>
    </row>
    <row r="226" spans="2:3" x14ac:dyDescent="0.25">
      <c r="B226" s="20"/>
      <c r="C226" s="20"/>
    </row>
    <row r="227" spans="2:3" x14ac:dyDescent="0.25">
      <c r="B227" s="20"/>
      <c r="C227" s="20"/>
    </row>
    <row r="228" spans="2:3" x14ac:dyDescent="0.25">
      <c r="B228" s="20"/>
      <c r="C228" s="20"/>
    </row>
    <row r="229" spans="2:3" x14ac:dyDescent="0.25">
      <c r="B229" s="20"/>
      <c r="C229" s="20"/>
    </row>
    <row r="230" spans="2:3" x14ac:dyDescent="0.25">
      <c r="B230" s="20"/>
      <c r="C230" s="20"/>
    </row>
    <row r="231" spans="2:3" x14ac:dyDescent="0.25">
      <c r="B231" s="20"/>
      <c r="C231" s="20"/>
    </row>
    <row r="232" spans="2:3" x14ac:dyDescent="0.25">
      <c r="B232" s="20"/>
      <c r="C232" s="20"/>
    </row>
    <row r="233" spans="2:3" x14ac:dyDescent="0.25">
      <c r="B233" s="20"/>
      <c r="C233" s="20"/>
    </row>
    <row r="234" spans="2:3" x14ac:dyDescent="0.25">
      <c r="B234" s="20"/>
      <c r="C234" s="20"/>
    </row>
    <row r="235" spans="2:3" x14ac:dyDescent="0.25">
      <c r="B235" s="20"/>
      <c r="C235" s="20"/>
    </row>
    <row r="236" spans="2:3" x14ac:dyDescent="0.25">
      <c r="B236" s="20"/>
      <c r="C236" s="20"/>
    </row>
    <row r="237" spans="2:3" x14ac:dyDescent="0.25">
      <c r="B237" s="20"/>
      <c r="C237" s="20"/>
    </row>
    <row r="238" spans="2:3" x14ac:dyDescent="0.25">
      <c r="B238" s="20"/>
      <c r="C238" s="20"/>
    </row>
    <row r="239" spans="2:3" x14ac:dyDescent="0.25">
      <c r="B239" s="20"/>
      <c r="C239" s="20"/>
    </row>
    <row r="240" spans="2:3" x14ac:dyDescent="0.25">
      <c r="B240" s="20"/>
      <c r="C240" s="20"/>
    </row>
    <row r="241" spans="2:3" x14ac:dyDescent="0.25">
      <c r="B241" s="20"/>
      <c r="C241" s="20"/>
    </row>
    <row r="242" spans="2:3" x14ac:dyDescent="0.25">
      <c r="B242" s="20"/>
      <c r="C242" s="20"/>
    </row>
    <row r="243" spans="2:3" x14ac:dyDescent="0.25">
      <c r="B243" s="20"/>
      <c r="C243" s="20"/>
    </row>
    <row r="244" spans="2:3" x14ac:dyDescent="0.25">
      <c r="B244" s="20"/>
      <c r="C244" s="20"/>
    </row>
    <row r="245" spans="2:3" x14ac:dyDescent="0.25">
      <c r="B245" s="20"/>
      <c r="C245" s="20"/>
    </row>
    <row r="246" spans="2:3" x14ac:dyDescent="0.25">
      <c r="B246" s="20"/>
      <c r="C246" s="20"/>
    </row>
    <row r="247" spans="2:3" x14ac:dyDescent="0.25">
      <c r="B247" s="20"/>
      <c r="C247" s="20"/>
    </row>
    <row r="248" spans="2:3" x14ac:dyDescent="0.25">
      <c r="B248" s="20"/>
      <c r="C248" s="20"/>
    </row>
    <row r="249" spans="2:3" x14ac:dyDescent="0.25">
      <c r="B249" s="20"/>
      <c r="C249" s="20"/>
    </row>
    <row r="250" spans="2:3" x14ac:dyDescent="0.25">
      <c r="B250" s="20"/>
      <c r="C250" s="20"/>
    </row>
    <row r="251" spans="2:3" x14ac:dyDescent="0.25">
      <c r="B251" s="20"/>
      <c r="C251" s="20"/>
    </row>
    <row r="252" spans="2:3" x14ac:dyDescent="0.25">
      <c r="B252" s="20"/>
      <c r="C252" s="20"/>
    </row>
    <row r="253" spans="2:3" x14ac:dyDescent="0.25">
      <c r="B253" s="20"/>
      <c r="C253" s="20"/>
    </row>
    <row r="254" spans="2:3" x14ac:dyDescent="0.25">
      <c r="B254" s="20"/>
      <c r="C254" s="20"/>
    </row>
    <row r="255" spans="2:3" x14ac:dyDescent="0.25">
      <c r="B255" s="20"/>
      <c r="C255" s="20"/>
    </row>
    <row r="256" spans="2:3" x14ac:dyDescent="0.25">
      <c r="B256" s="20"/>
      <c r="C256" s="20"/>
    </row>
    <row r="257" spans="2:3" x14ac:dyDescent="0.25">
      <c r="B257" s="20"/>
      <c r="C257" s="20"/>
    </row>
    <row r="258" spans="2:3" x14ac:dyDescent="0.25">
      <c r="B258" s="20"/>
      <c r="C258" s="20"/>
    </row>
    <row r="259" spans="2:3" x14ac:dyDescent="0.25">
      <c r="B259" s="20"/>
      <c r="C259" s="20"/>
    </row>
    <row r="260" spans="2:3" x14ac:dyDescent="0.25">
      <c r="B260" s="20"/>
      <c r="C260" s="20"/>
    </row>
    <row r="261" spans="2:3" x14ac:dyDescent="0.25">
      <c r="B261" s="20"/>
      <c r="C261" s="20"/>
    </row>
    <row r="262" spans="2:3" x14ac:dyDescent="0.25">
      <c r="B262" s="20"/>
      <c r="C262" s="20"/>
    </row>
    <row r="263" spans="2:3" x14ac:dyDescent="0.25">
      <c r="B263" s="20"/>
      <c r="C263" s="20"/>
    </row>
    <row r="264" spans="2:3" x14ac:dyDescent="0.25">
      <c r="B264" s="20"/>
      <c r="C264" s="20"/>
    </row>
    <row r="265" spans="2:3" x14ac:dyDescent="0.25">
      <c r="B265" s="20"/>
      <c r="C265" s="20"/>
    </row>
    <row r="266" spans="2:3" x14ac:dyDescent="0.25">
      <c r="B266" s="20"/>
      <c r="C266" s="20"/>
    </row>
    <row r="267" spans="2:3" x14ac:dyDescent="0.25">
      <c r="B267" s="20"/>
      <c r="C267" s="20"/>
    </row>
    <row r="268" spans="2:3" x14ac:dyDescent="0.25">
      <c r="B268" s="20"/>
      <c r="C268" s="20"/>
    </row>
    <row r="269" spans="2:3" x14ac:dyDescent="0.25">
      <c r="B269" s="20"/>
      <c r="C269" s="20"/>
    </row>
    <row r="270" spans="2:3" x14ac:dyDescent="0.25">
      <c r="B270" s="20"/>
      <c r="C270" s="20"/>
    </row>
    <row r="271" spans="2:3" x14ac:dyDescent="0.25">
      <c r="B271" s="20"/>
      <c r="C271" s="20"/>
    </row>
    <row r="272" spans="2:3" x14ac:dyDescent="0.25">
      <c r="B272" s="20"/>
      <c r="C272" s="20"/>
    </row>
    <row r="273" spans="2:3" x14ac:dyDescent="0.25">
      <c r="B273" s="20"/>
      <c r="C273" s="20"/>
    </row>
    <row r="274" spans="2:3" x14ac:dyDescent="0.25">
      <c r="B274" s="20"/>
      <c r="C274" s="20"/>
    </row>
    <row r="275" spans="2:3" x14ac:dyDescent="0.25">
      <c r="B275" s="20"/>
      <c r="C275" s="20"/>
    </row>
    <row r="276" spans="2:3" x14ac:dyDescent="0.25">
      <c r="B276" s="20"/>
      <c r="C276" s="20"/>
    </row>
    <row r="277" spans="2:3" x14ac:dyDescent="0.25">
      <c r="B277" s="20"/>
      <c r="C277" s="20"/>
    </row>
    <row r="278" spans="2:3" x14ac:dyDescent="0.25">
      <c r="B278" s="20"/>
      <c r="C278" s="20"/>
    </row>
    <row r="279" spans="2:3" x14ac:dyDescent="0.25">
      <c r="B279" s="20"/>
      <c r="C279" s="20"/>
    </row>
    <row r="280" spans="2:3" x14ac:dyDescent="0.25">
      <c r="B280" s="20"/>
      <c r="C280" s="20"/>
    </row>
    <row r="281" spans="2:3" x14ac:dyDescent="0.25">
      <c r="B281" s="20"/>
      <c r="C281" s="20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21</vt:i4>
      </vt:variant>
    </vt:vector>
  </HeadingPairs>
  <TitlesOfParts>
    <vt:vector size="29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dls3logs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2017-02-08T16:33:06Z</dcterms:modified>
</cp:coreProperties>
</file>